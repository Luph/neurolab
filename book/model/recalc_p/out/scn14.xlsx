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<sst xmlns="http://schemas.openxmlformats.org/spreadsheetml/2006/main" count="2466" uniqueCount="947">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</sst>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14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3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2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2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1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44531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53661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40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7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8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41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57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44531</v>
      </c>
      <c r="K28" s="9" t="n">
        <f aca="false">MAX(K22,$F$8)</f>
        <v>44531</v>
      </c>
      <c r="L28" s="9" t="n">
        <f aca="false">MAX(L22,$F$8)</f>
        <v>44531</v>
      </c>
      <c r="M28" s="9" t="n">
        <f aca="false">MAX(M22,$F$8)</f>
        <v>44531</v>
      </c>
      <c r="N28" s="9" t="n">
        <f aca="false">MAX(N22,$F$8)</f>
        <v>44531</v>
      </c>
      <c r="O28" s="9" t="n">
        <f aca="false">MAX(O22,$F$8)</f>
        <v>44531</v>
      </c>
      <c r="P28" s="9" t="n">
        <f aca="false">MAX(P22,$F$8)</f>
        <v>44531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53508</v>
      </c>
      <c r="BN29" s="9" t="n">
        <f aca="false">MIN(BN23,$F$10)</f>
        <v>53661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0</v>
      </c>
      <c r="P30" s="10" t="n">
        <f aca="false">IF(P29&gt;=P28,(YEAR(P29)-YEAR(P28))*12+MONTH(P29)-MONTH(P28)+1,0)</f>
        <v>1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6</v>
      </c>
      <c r="BN30" s="10" t="n">
        <f aca="false">IF(BN29&gt;=BN28,(YEAR(BN29)-YEAR(BN28))*12+MONTH(BN29)-MONTH(BN28)+1,0)</f>
        <v>5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0</v>
      </c>
      <c r="P31" s="10" t="n">
        <f aca="false">IF(P29&gt;=P28,P29-P28+1,0)</f>
        <v>31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181</v>
      </c>
      <c r="BN31" s="10" t="n">
        <f aca="false">IF(BN29&gt;=BN28,BN29-BN28+1,0)</f>
        <v>153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0</v>
      </c>
      <c r="Q32" s="10" t="n">
        <f aca="false">MIN(MAX((YEAR(Q22)-YEAR($F$8))*12+MONTH(Q22)-MONTH($F$8),0),$F$9)</f>
        <v>1</v>
      </c>
      <c r="R32" s="10" t="n">
        <f aca="false">MIN(MAX((YEAR(R22)-YEAR($F$8))*12+MONTH(R22)-MONTH($F$8),0),$F$9)</f>
        <v>7</v>
      </c>
      <c r="S32" s="10" t="n">
        <f aca="false">MIN(MAX((YEAR(S22)-YEAR($F$8))*12+MONTH(S22)-MONTH($F$8),0),$F$9)</f>
        <v>13</v>
      </c>
      <c r="T32" s="10" t="n">
        <f aca="false">MIN(MAX((YEAR(T22)-YEAR($F$8))*12+MONTH(T22)-MONTH($F$8),0),$F$9)</f>
        <v>19</v>
      </c>
      <c r="U32" s="10" t="n">
        <f aca="false">MIN(MAX((YEAR(U22)-YEAR($F$8))*12+MONTH(U22)-MONTH($F$8),0),$F$9)</f>
        <v>25</v>
      </c>
      <c r="V32" s="10" t="n">
        <f aca="false">MIN(MAX((YEAR(V22)-YEAR($F$8))*12+MONTH(V22)-MONTH($F$8),0),$F$9)</f>
        <v>31</v>
      </c>
      <c r="W32" s="10" t="n">
        <f aca="false">MIN(MAX((YEAR(W22)-YEAR($F$8))*12+MONTH(W22)-MONTH($F$8),0),$F$9)</f>
        <v>37</v>
      </c>
      <c r="X32" s="10" t="n">
        <f aca="false">MIN(MAX((YEAR(X22)-YEAR($F$8))*12+MONTH(X22)-MONTH($F$8),0),$F$9)</f>
        <v>43</v>
      </c>
      <c r="Y32" s="10" t="n">
        <f aca="false">MIN(MAX((YEAR(Y22)-YEAR($F$8))*12+MONTH(Y22)-MONTH($F$8),0),$F$9)</f>
        <v>49</v>
      </c>
      <c r="Z32" s="10" t="n">
        <f aca="false">MIN(MAX((YEAR(Z22)-YEAR($F$8))*12+MONTH(Z22)-MONTH($F$8),0),$F$9)</f>
        <v>55</v>
      </c>
      <c r="AA32" s="10" t="n">
        <f aca="false">MIN(MAX((YEAR(AA22)-YEAR($F$8))*12+MONTH(AA22)-MONTH($F$8),0),$F$9)</f>
        <v>61</v>
      </c>
      <c r="AB32" s="10" t="n">
        <f aca="false">MIN(MAX((YEAR(AB22)-YEAR($F$8))*12+MONTH(AB22)-MONTH($F$8),0),$F$9)</f>
        <v>67</v>
      </c>
      <c r="AC32" s="10" t="n">
        <f aca="false">MIN(MAX((YEAR(AC22)-YEAR($F$8))*12+MONTH(AC22)-MONTH($F$8),0),$F$9)</f>
        <v>73</v>
      </c>
      <c r="AD32" s="10" t="n">
        <f aca="false">MIN(MAX((YEAR(AD22)-YEAR($F$8))*12+MONTH(AD22)-MONTH($F$8),0),$F$9)</f>
        <v>79</v>
      </c>
      <c r="AE32" s="10" t="n">
        <f aca="false">MIN(MAX((YEAR(AE22)-YEAR($F$8))*12+MONTH(AE22)-MONTH($F$8),0),$F$9)</f>
        <v>85</v>
      </c>
      <c r="AF32" s="10" t="n">
        <f aca="false">MIN(MAX((YEAR(AF22)-YEAR($F$8))*12+MONTH(AF22)-MONTH($F$8),0),$F$9)</f>
        <v>91</v>
      </c>
      <c r="AG32" s="10" t="n">
        <f aca="false">MIN(MAX((YEAR(AG22)-YEAR($F$8))*12+MONTH(AG22)-MONTH($F$8),0),$F$9)</f>
        <v>97</v>
      </c>
      <c r="AH32" s="10" t="n">
        <f aca="false">MIN(MAX((YEAR(AH22)-YEAR($F$8))*12+MONTH(AH22)-MONTH($F$8),0),$F$9)</f>
        <v>103</v>
      </c>
      <c r="AI32" s="10" t="n">
        <f aca="false">MIN(MAX((YEAR(AI22)-YEAR($F$8))*12+MONTH(AI22)-MONTH($F$8),0),$F$9)</f>
        <v>109</v>
      </c>
      <c r="AJ32" s="10" t="n">
        <f aca="false">MIN(MAX((YEAR(AJ22)-YEAR($F$8))*12+MONTH(AJ22)-MONTH($F$8),0),$F$9)</f>
        <v>115</v>
      </c>
      <c r="AK32" s="10" t="n">
        <f aca="false">MIN(MAX((YEAR(AK22)-YEAR($F$8))*12+MONTH(AK22)-MONTH($F$8),0),$F$9)</f>
        <v>121</v>
      </c>
      <c r="AL32" s="10" t="n">
        <f aca="false">MIN(MAX((YEAR(AL22)-YEAR($F$8))*12+MONTH(AL22)-MONTH($F$8),0),$F$9)</f>
        <v>127</v>
      </c>
      <c r="AM32" s="10" t="n">
        <f aca="false">MIN(MAX((YEAR(AM22)-YEAR($F$8))*12+MONTH(AM22)-MONTH($F$8),0),$F$9)</f>
        <v>133</v>
      </c>
      <c r="AN32" s="10" t="n">
        <f aca="false">MIN(MAX((YEAR(AN22)-YEAR($F$8))*12+MONTH(AN22)-MONTH($F$8),0),$F$9)</f>
        <v>139</v>
      </c>
      <c r="AO32" s="10" t="n">
        <f aca="false">MIN(MAX((YEAR(AO22)-YEAR($F$8))*12+MONTH(AO22)-MONTH($F$8),0),$F$9)</f>
        <v>145</v>
      </c>
      <c r="AP32" s="10" t="n">
        <f aca="false">MIN(MAX((YEAR(AP22)-YEAR($F$8))*12+MONTH(AP22)-MONTH($F$8),0),$F$9)</f>
        <v>151</v>
      </c>
      <c r="AQ32" s="10" t="n">
        <f aca="false">MIN(MAX((YEAR(AQ22)-YEAR($F$8))*12+MONTH(AQ22)-MONTH($F$8),0),$F$9)</f>
        <v>157</v>
      </c>
      <c r="AR32" s="10" t="n">
        <f aca="false">MIN(MAX((YEAR(AR22)-YEAR($F$8))*12+MONTH(AR22)-MONTH($F$8),0),$F$9)</f>
        <v>163</v>
      </c>
      <c r="AS32" s="10" t="n">
        <f aca="false">MIN(MAX((YEAR(AS22)-YEAR($F$8))*12+MONTH(AS22)-MONTH($F$8),0),$F$9)</f>
        <v>169</v>
      </c>
      <c r="AT32" s="10" t="n">
        <f aca="false">MIN(MAX((YEAR(AT22)-YEAR($F$8))*12+MONTH(AT22)-MONTH($F$8),0),$F$9)</f>
        <v>175</v>
      </c>
      <c r="AU32" s="10" t="n">
        <f aca="false">MIN(MAX((YEAR(AU22)-YEAR($F$8))*12+MONTH(AU22)-MONTH($F$8),0),$F$9)</f>
        <v>181</v>
      </c>
      <c r="AV32" s="10" t="n">
        <f aca="false">MIN(MAX((YEAR(AV22)-YEAR($F$8))*12+MONTH(AV22)-MONTH($F$8),0),$F$9)</f>
        <v>187</v>
      </c>
      <c r="AW32" s="10" t="n">
        <f aca="false">MIN(MAX((YEAR(AW22)-YEAR($F$8))*12+MONTH(AW22)-MONTH($F$8),0),$F$9)</f>
        <v>193</v>
      </c>
      <c r="AX32" s="10" t="n">
        <f aca="false">MIN(MAX((YEAR(AX22)-YEAR($F$8))*12+MONTH(AX22)-MONTH($F$8),0),$F$9)</f>
        <v>199</v>
      </c>
      <c r="AY32" s="10" t="n">
        <f aca="false">MIN(MAX((YEAR(AY22)-YEAR($F$8))*12+MONTH(AY22)-MONTH($F$8),0),$F$9)</f>
        <v>205</v>
      </c>
      <c r="AZ32" s="10" t="n">
        <f aca="false">MIN(MAX((YEAR(AZ22)-YEAR($F$8))*12+MONTH(AZ22)-MONTH($F$8),0),$F$9)</f>
        <v>211</v>
      </c>
      <c r="BA32" s="10" t="n">
        <f aca="false">MIN(MAX((YEAR(BA22)-YEAR($F$8))*12+MONTH(BA22)-MONTH($F$8),0),$F$9)</f>
        <v>217</v>
      </c>
      <c r="BB32" s="10" t="n">
        <f aca="false">MIN(MAX((YEAR(BB22)-YEAR($F$8))*12+MONTH(BB22)-MONTH($F$8),0),$F$9)</f>
        <v>223</v>
      </c>
      <c r="BC32" s="10" t="n">
        <f aca="false">MIN(MAX((YEAR(BC22)-YEAR($F$8))*12+MONTH(BC22)-MONTH($F$8),0),$F$9)</f>
        <v>229</v>
      </c>
      <c r="BD32" s="10" t="n">
        <f aca="false">MIN(MAX((YEAR(BD22)-YEAR($F$8))*12+MONTH(BD22)-MONTH($F$8),0),$F$9)</f>
        <v>235</v>
      </c>
      <c r="BE32" s="10" t="n">
        <f aca="false">MIN(MAX((YEAR(BE22)-YEAR($F$8))*12+MONTH(BE22)-MONTH($F$8),0),$F$9)</f>
        <v>241</v>
      </c>
      <c r="BF32" s="10" t="n">
        <f aca="false">MIN(MAX((YEAR(BF22)-YEAR($F$8))*12+MONTH(BF22)-MONTH($F$8),0),$F$9)</f>
        <v>247</v>
      </c>
      <c r="BG32" s="10" t="n">
        <f aca="false">MIN(MAX((YEAR(BG22)-YEAR($F$8))*12+MONTH(BG22)-MONTH($F$8),0),$F$9)</f>
        <v>253</v>
      </c>
      <c r="BH32" s="10" t="n">
        <f aca="false">MIN(MAX((YEAR(BH22)-YEAR($F$8))*12+MONTH(BH22)-MONTH($F$8),0),$F$9)</f>
        <v>259</v>
      </c>
      <c r="BI32" s="10" t="n">
        <f aca="false">MIN(MAX((YEAR(BI22)-YEAR($F$8))*12+MONTH(BI22)-MONTH($F$8),0),$F$9)</f>
        <v>265</v>
      </c>
      <c r="BJ32" s="10" t="n">
        <f aca="false">MIN(MAX((YEAR(BJ22)-YEAR($F$8))*12+MONTH(BJ22)-MONTH($F$8),0),$F$9)</f>
        <v>271</v>
      </c>
      <c r="BK32" s="10" t="n">
        <f aca="false">MIN(MAX((YEAR(BK22)-YEAR($F$8))*12+MONTH(BK22)-MONTH($F$8),0),$F$9)</f>
        <v>277</v>
      </c>
      <c r="BL32" s="10" t="n">
        <f aca="false">MIN(MAX((YEAR(BL22)-YEAR($F$8))*12+MONTH(BL22)-MONTH($F$8),0),$F$9)</f>
        <v>283</v>
      </c>
      <c r="BM32" s="10" t="n">
        <f aca="false">MIN(MAX((YEAR(BM22)-YEAR($F$8))*12+MONTH(BM22)-MONTH($F$8),0),$F$9)</f>
        <v>289</v>
      </c>
      <c r="BN32" s="10" t="n">
        <f aca="false">MIN(MAX((YEAR(BN22)-YEAR($F$8))*12+MONTH(BN22)-MONTH($F$8),0),$F$9)</f>
        <v>295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0</v>
      </c>
      <c r="P33" s="10" t="n">
        <f aca="false">P32+P30</f>
        <v>1</v>
      </c>
      <c r="Q33" s="10" t="n">
        <f aca="false">Q32+Q30</f>
        <v>7</v>
      </c>
      <c r="R33" s="10" t="n">
        <f aca="false">R32+R30</f>
        <v>13</v>
      </c>
      <c r="S33" s="10" t="n">
        <f aca="false">S32+S30</f>
        <v>19</v>
      </c>
      <c r="T33" s="10" t="n">
        <f aca="false">T32+T30</f>
        <v>25</v>
      </c>
      <c r="U33" s="10" t="n">
        <f aca="false">U32+U30</f>
        <v>31</v>
      </c>
      <c r="V33" s="10" t="n">
        <f aca="false">V32+V30</f>
        <v>37</v>
      </c>
      <c r="W33" s="10" t="n">
        <f aca="false">W32+W30</f>
        <v>43</v>
      </c>
      <c r="X33" s="10" t="n">
        <f aca="false">X32+X30</f>
        <v>49</v>
      </c>
      <c r="Y33" s="10" t="n">
        <f aca="false">Y32+Y30</f>
        <v>55</v>
      </c>
      <c r="Z33" s="10" t="n">
        <f aca="false">Z32+Z30</f>
        <v>61</v>
      </c>
      <c r="AA33" s="10" t="n">
        <f aca="false">AA32+AA30</f>
        <v>67</v>
      </c>
      <c r="AB33" s="10" t="n">
        <f aca="false">AB32+AB30</f>
        <v>73</v>
      </c>
      <c r="AC33" s="10" t="n">
        <f aca="false">AC32+AC30</f>
        <v>79</v>
      </c>
      <c r="AD33" s="10" t="n">
        <f aca="false">AD32+AD30</f>
        <v>85</v>
      </c>
      <c r="AE33" s="10" t="n">
        <f aca="false">AE32+AE30</f>
        <v>91</v>
      </c>
      <c r="AF33" s="10" t="n">
        <f aca="false">AF32+AF30</f>
        <v>97</v>
      </c>
      <c r="AG33" s="10" t="n">
        <f aca="false">AG32+AG30</f>
        <v>103</v>
      </c>
      <c r="AH33" s="10" t="n">
        <f aca="false">AH32+AH30</f>
        <v>109</v>
      </c>
      <c r="AI33" s="10" t="n">
        <f aca="false">AI32+AI30</f>
        <v>115</v>
      </c>
      <c r="AJ33" s="10" t="n">
        <f aca="false">AJ32+AJ30</f>
        <v>121</v>
      </c>
      <c r="AK33" s="10" t="n">
        <f aca="false">AK32+AK30</f>
        <v>127</v>
      </c>
      <c r="AL33" s="10" t="n">
        <f aca="false">AL32+AL30</f>
        <v>133</v>
      </c>
      <c r="AM33" s="10" t="n">
        <f aca="false">AM32+AM30</f>
        <v>139</v>
      </c>
      <c r="AN33" s="10" t="n">
        <f aca="false">AN32+AN30</f>
        <v>145</v>
      </c>
      <c r="AO33" s="10" t="n">
        <f aca="false">AO32+AO30</f>
        <v>151</v>
      </c>
      <c r="AP33" s="10" t="n">
        <f aca="false">AP32+AP30</f>
        <v>157</v>
      </c>
      <c r="AQ33" s="10" t="n">
        <f aca="false">AQ32+AQ30</f>
        <v>163</v>
      </c>
      <c r="AR33" s="10" t="n">
        <f aca="false">AR32+AR30</f>
        <v>169</v>
      </c>
      <c r="AS33" s="10" t="n">
        <f aca="false">AS32+AS30</f>
        <v>175</v>
      </c>
      <c r="AT33" s="10" t="n">
        <f aca="false">AT32+AT30</f>
        <v>181</v>
      </c>
      <c r="AU33" s="10" t="n">
        <f aca="false">AU32+AU30</f>
        <v>187</v>
      </c>
      <c r="AV33" s="10" t="n">
        <f aca="false">AV32+AV30</f>
        <v>193</v>
      </c>
      <c r="AW33" s="10" t="n">
        <f aca="false">AW32+AW30</f>
        <v>199</v>
      </c>
      <c r="AX33" s="10" t="n">
        <f aca="false">AX32+AX30</f>
        <v>205</v>
      </c>
      <c r="AY33" s="10" t="n">
        <f aca="false">AY32+AY30</f>
        <v>211</v>
      </c>
      <c r="AZ33" s="10" t="n">
        <f aca="false">AZ32+AZ30</f>
        <v>217</v>
      </c>
      <c r="BA33" s="10" t="n">
        <f aca="false">BA32+BA30</f>
        <v>223</v>
      </c>
      <c r="BB33" s="10" t="n">
        <f aca="false">BB32+BB30</f>
        <v>229</v>
      </c>
      <c r="BC33" s="10" t="n">
        <f aca="false">BC32+BC30</f>
        <v>235</v>
      </c>
      <c r="BD33" s="10" t="n">
        <f aca="false">BD32+BD30</f>
        <v>241</v>
      </c>
      <c r="BE33" s="10" t="n">
        <f aca="false">BE32+BE30</f>
        <v>247</v>
      </c>
      <c r="BF33" s="10" t="n">
        <f aca="false">BF32+BF30</f>
        <v>253</v>
      </c>
      <c r="BG33" s="10" t="n">
        <f aca="false">BG32+BG30</f>
        <v>259</v>
      </c>
      <c r="BH33" s="10" t="n">
        <f aca="false">BH32+BH30</f>
        <v>265</v>
      </c>
      <c r="BI33" s="10" t="n">
        <f aca="false">BI32+BI30</f>
        <v>271</v>
      </c>
      <c r="BJ33" s="10" t="n">
        <f aca="false">BJ32+BJ30</f>
        <v>277</v>
      </c>
      <c r="BK33" s="10" t="n">
        <f aca="false">BK32+BK30</f>
        <v>283</v>
      </c>
      <c r="BL33" s="10" t="n">
        <f aca="false">BL32+BL30</f>
        <v>289</v>
      </c>
      <c r="BM33" s="10" t="n">
        <f aca="false">BM32+BM30</f>
        <v>295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0</v>
      </c>
      <c r="P34" s="10" t="n">
        <f aca="false">IF(P20=$F$12,1,0)</f>
        <v>1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0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0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1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0</v>
      </c>
      <c r="BN37" s="10" t="n">
        <f aca="false">IF(AND(BN30&gt;0,BO30=0),1,0)</f>
        <v>1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1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0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1</v>
      </c>
      <c r="AR13" s="10" t="n">
        <f aca="false">IF(AR8&lt;=Time!$F$11,1,0)</f>
        <v>1</v>
      </c>
      <c r="AS13" s="10" t="n">
        <f aca="false">IF(AS8&lt;=Time!$F$11,1,0)</f>
        <v>1</v>
      </c>
      <c r="AT13" s="10" t="n">
        <f aca="false">IF(AT8&lt;=Time!$F$11,1,0)</f>
        <v>1</v>
      </c>
      <c r="AU13" s="10" t="n">
        <f aca="false">IF(AU8&lt;=Time!$F$11,1,0)</f>
        <v>1</v>
      </c>
      <c r="AV13" s="10" t="n">
        <f aca="false">IF(AV8&lt;=Time!$F$11,1,0)</f>
        <v>1</v>
      </c>
      <c r="AW13" s="10" t="n">
        <f aca="false">IF(AW8&lt;=Time!$F$11,1,0)</f>
        <v>1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1</v>
      </c>
      <c r="AT14" s="10" t="n">
        <f aca="false">IF(AT8&lt;=Time!$F$14,1,0)</f>
        <v>1</v>
      </c>
      <c r="AU14" s="10" t="n">
        <f aca="false">IF(AU8&lt;=Time!$F$14,1,0)</f>
        <v>1</v>
      </c>
      <c r="AV14" s="10" t="n">
        <f aca="false">IF(AV8&lt;=Time!$F$14,1,0)</f>
        <v>1</v>
      </c>
      <c r="AW14" s="10" t="n">
        <f aca="false">IF(AW8&lt;=Time!$F$14,1,0)</f>
        <v>1</v>
      </c>
      <c r="AX14" s="10" t="n">
        <f aca="false">IF(AX8&lt;=Time!$F$14,1,0)</f>
        <v>1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0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1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524.6</v>
      </c>
      <c r="K16" s="13" t="n">
        <f aca="false">IF(Inputs!$F$33=1,Inputs!$F$60*Time!$F$16^((K8-Inputs!$F$212)/12),INDEX(Operations!$J$11:$BN$11,1,K12))</f>
        <v>524.6</v>
      </c>
      <c r="L16" s="13" t="n">
        <f aca="false">IF(Inputs!$F$33=1,Inputs!$F$60*Time!$F$16^((L8-Inputs!$F$212)/12),INDEX(Operations!$J$11:$BN$11,1,L12))</f>
        <v>524.6</v>
      </c>
      <c r="M16" s="13" t="n">
        <f aca="false">IF(Inputs!$F$33=1,Inputs!$F$60*Time!$F$16^((M8-Inputs!$F$212)/12),INDEX(Operations!$J$11:$BN$11,1,M12))</f>
        <v>524.6</v>
      </c>
      <c r="N16" s="13" t="n">
        <f aca="false">IF(Inputs!$F$33=1,Inputs!$F$60*Time!$F$16^((N8-Inputs!$F$212)/12),INDEX(Operations!$J$11:$BN$11,1,N12))</f>
        <v>524.6</v>
      </c>
      <c r="O16" s="13" t="n">
        <f aca="false">IF(Inputs!$F$33=1,Inputs!$F$60*Time!$F$16^((O8-Inputs!$F$212)/12),INDEX(Operations!$J$11:$BN$11,1,O12))</f>
        <v>539.1</v>
      </c>
      <c r="P16" s="13" t="n">
        <f aca="false">IF(Inputs!$F$33=1,Inputs!$F$60*Time!$F$16^((P8-Inputs!$F$212)/12),INDEX(Operations!$J$11:$BN$11,1,P12))</f>
        <v>539.1</v>
      </c>
      <c r="Q16" s="13" t="n">
        <f aca="false">IF(Inputs!$F$33=1,Inputs!$F$60*Time!$F$16^((Q8-Inputs!$F$212)/12),INDEX(Operations!$J$11:$BN$11,1,Q12))</f>
        <v>539.1</v>
      </c>
      <c r="R16" s="13" t="n">
        <f aca="false">IF(Inputs!$F$33=1,Inputs!$F$60*Time!$F$16^((R8-Inputs!$F$212)/12),INDEX(Operations!$J$11:$BN$11,1,R12))</f>
        <v>539.1</v>
      </c>
      <c r="S16" s="13" t="n">
        <f aca="false">IF(Inputs!$F$33=1,Inputs!$F$60*Time!$F$16^((S8-Inputs!$F$212)/12),INDEX(Operations!$J$11:$BN$11,1,S12))</f>
        <v>539.1</v>
      </c>
      <c r="T16" s="13" t="n">
        <f aca="false">IF(Inputs!$F$33=1,Inputs!$F$60*Time!$F$16^((T8-Inputs!$F$212)/12),INDEX(Operations!$J$11:$BN$11,1,T12))</f>
        <v>539.1</v>
      </c>
      <c r="U16" s="13" t="n">
        <f aca="false">IF(Inputs!$F$33=1,Inputs!$F$60*Time!$F$16^((U8-Inputs!$F$212)/12),INDEX(Operations!$J$11:$BN$11,1,U12))</f>
        <v>551.3</v>
      </c>
      <c r="V16" s="13" t="n">
        <f aca="false">IF(Inputs!$F$33=1,Inputs!$F$60*Time!$F$16^((V8-Inputs!$F$212)/12),INDEX(Operations!$J$11:$BN$11,1,V12))</f>
        <v>551.3</v>
      </c>
      <c r="W16" s="13" t="n">
        <f aca="false">IF(Inputs!$F$33=1,Inputs!$F$60*Time!$F$16^((W8-Inputs!$F$212)/12),INDEX(Operations!$J$11:$BN$11,1,W12))</f>
        <v>551.3</v>
      </c>
      <c r="X16" s="13" t="n">
        <f aca="false">IF(Inputs!$F$33=1,Inputs!$F$60*Time!$F$16^((X8-Inputs!$F$212)/12),INDEX(Operations!$J$11:$BN$11,1,X12))</f>
        <v>551.3</v>
      </c>
      <c r="Y16" s="13" t="n">
        <f aca="false">IF(Inputs!$F$33=1,Inputs!$F$60*Time!$F$16^((Y8-Inputs!$F$212)/12),INDEX(Operations!$J$11:$BN$11,1,Y12))</f>
        <v>551.3</v>
      </c>
      <c r="Z16" s="13" t="n">
        <f aca="false">IF(Inputs!$F$33=1,Inputs!$F$60*Time!$F$16^((Z8-Inputs!$F$212)/12),INDEX(Operations!$J$11:$BN$11,1,Z12))</f>
        <v>551.3</v>
      </c>
      <c r="AA16" s="13" t="n">
        <f aca="false">IF(Inputs!$F$33=1,Inputs!$F$60*Time!$F$16^((AA8-Inputs!$F$212)/12),INDEX(Operations!$J$11:$BN$11,1,AA12))</f>
        <v>566</v>
      </c>
      <c r="AB16" s="13" t="n">
        <f aca="false">IF(Inputs!$F$33=1,Inputs!$F$60*Time!$F$16^((AB8-Inputs!$F$212)/12),INDEX(Operations!$J$11:$BN$11,1,AB12))</f>
        <v>566</v>
      </c>
      <c r="AC16" s="13" t="n">
        <f aca="false">IF(Inputs!$F$33=1,Inputs!$F$60*Time!$F$16^((AC8-Inputs!$F$212)/12),INDEX(Operations!$J$11:$BN$11,1,AC12))</f>
        <v>566</v>
      </c>
      <c r="AD16" s="13" t="n">
        <f aca="false">IF(Inputs!$F$33=1,Inputs!$F$60*Time!$F$16^((AD8-Inputs!$F$212)/12),INDEX(Operations!$J$11:$BN$11,1,AD12))</f>
        <v>566</v>
      </c>
      <c r="AE16" s="13" t="n">
        <f aca="false">IF(Inputs!$F$33=1,Inputs!$F$60*Time!$F$16^((AE8-Inputs!$F$212)/12),INDEX(Operations!$J$11:$BN$11,1,AE12))</f>
        <v>566</v>
      </c>
      <c r="AF16" s="13" t="n">
        <f aca="false">IF(Inputs!$F$33=1,Inputs!$F$60*Time!$F$16^((AF8-Inputs!$F$212)/12),INDEX(Operations!$J$11:$BN$11,1,AF12))</f>
        <v>566</v>
      </c>
      <c r="AG16" s="13" t="n">
        <f aca="false">IF(Inputs!$F$33=1,Inputs!$F$60*Time!$F$16^((AG8-Inputs!$F$212)/12),INDEX(Operations!$J$11:$BN$11,1,AG12))</f>
        <v>579.8</v>
      </c>
      <c r="AH16" s="13" t="n">
        <f aca="false">IF(Inputs!$F$33=1,Inputs!$F$60*Time!$F$16^((AH8-Inputs!$F$212)/12),INDEX(Operations!$J$11:$BN$11,1,AH12))</f>
        <v>579.8</v>
      </c>
      <c r="AI16" s="13" t="n">
        <f aca="false">IF(Inputs!$F$33=1,Inputs!$F$60*Time!$F$16^((AI8-Inputs!$F$212)/12),INDEX(Operations!$J$11:$BN$11,1,AI12))</f>
        <v>579.8</v>
      </c>
      <c r="AJ16" s="13" t="n">
        <f aca="false">IF(Inputs!$F$33=1,Inputs!$F$60*Time!$F$16^((AJ8-Inputs!$F$212)/12),INDEX(Operations!$J$11:$BN$11,1,AJ12))</f>
        <v>579.8</v>
      </c>
      <c r="AK16" s="13" t="n">
        <f aca="false">IF(Inputs!$F$33=1,Inputs!$F$60*Time!$F$16^((AK8-Inputs!$F$212)/12),INDEX(Operations!$J$11:$BN$11,1,AK12))</f>
        <v>579.8</v>
      </c>
      <c r="AL16" s="13" t="n">
        <f aca="false">IF(Inputs!$F$33=1,Inputs!$F$60*Time!$F$16^((AL8-Inputs!$F$212)/12),INDEX(Operations!$J$11:$BN$11,1,AL12))</f>
        <v>579.8</v>
      </c>
      <c r="AM16" s="13" t="n">
        <f aca="false">IF(Inputs!$F$33=1,Inputs!$F$60*Time!$F$16^((AM8-Inputs!$F$212)/12),INDEX(Operations!$J$11:$BN$11,1,AM12))</f>
        <v>597.4</v>
      </c>
      <c r="AN16" s="13" t="n">
        <f aca="false">IF(Inputs!$F$33=1,Inputs!$F$60*Time!$F$16^((AN8-Inputs!$F$212)/12),INDEX(Operations!$J$11:$BN$11,1,AN12))</f>
        <v>597.4</v>
      </c>
      <c r="AO16" s="13" t="n">
        <f aca="false">IF(Inputs!$F$33=1,Inputs!$F$60*Time!$F$16^((AO8-Inputs!$F$212)/12),INDEX(Operations!$J$11:$BN$11,1,AO12))</f>
        <v>597.4</v>
      </c>
      <c r="AP16" s="13" t="n">
        <f aca="false">IF(Inputs!$F$33=1,Inputs!$F$60*Time!$F$16^((AP8-Inputs!$F$212)/12),INDEX(Operations!$J$11:$BN$11,1,AP12))</f>
        <v>597.4</v>
      </c>
      <c r="AQ16" s="13" t="n">
        <f aca="false">IF(Inputs!$F$33=1,Inputs!$F$60*Time!$F$16^((AQ8-Inputs!$F$212)/12),INDEX(Operations!$J$11:$BN$11,1,AQ12))</f>
        <v>597.4</v>
      </c>
      <c r="AR16" s="13" t="n">
        <f aca="false">IF(Inputs!$F$33=1,Inputs!$F$60*Time!$F$16^((AR8-Inputs!$F$212)/12),INDEX(Operations!$J$11:$BN$11,1,AR12))</f>
        <v>597.4</v>
      </c>
      <c r="AS16" s="13" t="n">
        <f aca="false">IF(Inputs!$F$33=1,Inputs!$F$60*Time!$F$16^((AS8-Inputs!$F$212)/12),INDEX(Operations!$J$11:$BN$11,1,AS12))</f>
        <v>609.6</v>
      </c>
      <c r="AT16" s="13" t="n">
        <f aca="false">IF(Inputs!$F$33=1,Inputs!$F$60*Time!$F$16^((AT8-Inputs!$F$212)/12),INDEX(Operations!$J$11:$BN$11,1,AT12))</f>
        <v>609.6</v>
      </c>
      <c r="AU16" s="13" t="n">
        <f aca="false">IF(Inputs!$F$33=1,Inputs!$F$60*Time!$F$16^((AU8-Inputs!$F$212)/12),INDEX(Operations!$J$11:$BN$11,1,AU12))</f>
        <v>609.6</v>
      </c>
      <c r="AV16" s="13" t="n">
        <f aca="false">IF(Inputs!$F$33=1,Inputs!$F$60*Time!$F$16^((AV8-Inputs!$F$212)/12),INDEX(Operations!$J$11:$BN$11,1,AV12))</f>
        <v>609.6</v>
      </c>
      <c r="AW16" s="13" t="n">
        <f aca="false">IF(Inputs!$F$33=1,Inputs!$F$60*Time!$F$16^((AW8-Inputs!$F$212)/12),INDEX(Operations!$J$11:$BN$11,1,AW12))</f>
        <v>609.6</v>
      </c>
      <c r="AX16" s="13" t="n">
        <f aca="false">IF(Inputs!$F$33=1,Inputs!$F$60*Time!$F$16^((AX8-Inputs!$F$212)/12),INDEX(Operations!$J$11:$BN$11,1,AX12))</f>
        <v>609.6</v>
      </c>
      <c r="AY16" s="13" t="n">
        <f aca="false">IF(Inputs!$F$33=1,Inputs!$F$60*Time!$F$16^((AY8-Inputs!$F$212)/12),INDEX(Operations!$J$11:$BN$11,1,AY12))</f>
        <v>625.206871438513</v>
      </c>
      <c r="AZ16" s="13" t="n">
        <f aca="false">IF(Inputs!$F$33=1,Inputs!$F$60*Time!$F$16^((AZ8-Inputs!$F$212)/12),INDEX(Operations!$J$11:$BN$11,1,AZ12))</f>
        <v>625.206871438513</v>
      </c>
      <c r="BA16" s="13" t="n">
        <f aca="false">IF(Inputs!$F$33=1,Inputs!$F$60*Time!$F$16^((BA8-Inputs!$F$212)/12),INDEX(Operations!$J$11:$BN$11,1,BA12))</f>
        <v>625.206871438513</v>
      </c>
      <c r="BB16" s="13" t="n">
        <f aca="false">IF(Inputs!$F$33=1,Inputs!$F$60*Time!$F$16^((BB8-Inputs!$F$212)/12),INDEX(Operations!$J$11:$BN$11,1,BB12))</f>
        <v>625.206871438513</v>
      </c>
      <c r="BC16" s="13" t="n">
        <f aca="false">IF(Inputs!$F$33=1,Inputs!$F$60*Time!$F$16^((BC8-Inputs!$F$212)/12),INDEX(Operations!$J$11:$BN$11,1,BC12))</f>
        <v>625.206871438513</v>
      </c>
      <c r="BD16" s="13" t="n">
        <f aca="false">IF(Inputs!$F$33=1,Inputs!$F$60*Time!$F$16^((BD8-Inputs!$F$212)/12),INDEX(Operations!$J$11:$BN$11,1,BD12))</f>
        <v>625.206871438513</v>
      </c>
      <c r="BE16" s="13" t="n">
        <f aca="false">IF(Inputs!$F$33=1,Inputs!$F$60*Time!$F$16^((BE8-Inputs!$F$212)/12),INDEX(Operations!$J$11:$BN$11,1,BE12))</f>
        <v>641.213307240704</v>
      </c>
      <c r="BF16" s="13" t="n">
        <f aca="false">IF(Inputs!$F$33=1,Inputs!$F$60*Time!$F$16^((BF8-Inputs!$F$212)/12),INDEX(Operations!$J$11:$BN$11,1,BF12))</f>
        <v>641.213307240704</v>
      </c>
      <c r="BG16" s="13" t="n">
        <f aca="false">IF(Inputs!$F$33=1,Inputs!$F$60*Time!$F$16^((BG8-Inputs!$F$212)/12),INDEX(Operations!$J$11:$BN$11,1,BG12))</f>
        <v>641.213307240704</v>
      </c>
      <c r="BH16" s="13" t="n">
        <f aca="false">IF(Inputs!$F$33=1,Inputs!$F$60*Time!$F$16^((BH8-Inputs!$F$212)/12),INDEX(Operations!$J$11:$BN$11,1,BH12))</f>
        <v>641.213307240704</v>
      </c>
      <c r="BI16" s="13" t="n">
        <f aca="false">IF(Inputs!$F$33=1,Inputs!$F$60*Time!$F$16^((BI8-Inputs!$F$212)/12),INDEX(Operations!$J$11:$BN$11,1,BI12))</f>
        <v>641.213307240704</v>
      </c>
      <c r="BJ16" s="13" t="n">
        <f aca="false">IF(Inputs!$F$33=1,Inputs!$F$60*Time!$F$16^((BJ8-Inputs!$F$212)/12),INDEX(Operations!$J$11:$BN$11,1,BJ12))</f>
        <v>641.213307240704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2.87</v>
      </c>
      <c r="P17" s="13" t="n">
        <f aca="false">INDEX(Operations!$J$8:$BN$8,1,P12)</f>
        <v>2.87</v>
      </c>
      <c r="Q17" s="13" t="n">
        <f aca="false">INDEX(Operations!$J$8:$BN$8,1,Q12)</f>
        <v>2.87</v>
      </c>
      <c r="R17" s="13" t="n">
        <f aca="false">INDEX(Operations!$J$8:$BN$8,1,R12)</f>
        <v>2.87</v>
      </c>
      <c r="S17" s="13" t="n">
        <f aca="false">INDEX(Operations!$J$8:$BN$8,1,S12)</f>
        <v>2.87</v>
      </c>
      <c r="T17" s="13" t="n">
        <f aca="false">INDEX(Operations!$J$8:$BN$8,1,T12)</f>
        <v>2.87</v>
      </c>
      <c r="U17" s="13" t="n">
        <f aca="false">INDEX(Operations!$J$8:$BN$8,1,U12)</f>
        <v>2.2</v>
      </c>
      <c r="V17" s="13" t="n">
        <f aca="false">INDEX(Operations!$J$8:$BN$8,1,V12)</f>
        <v>2.2</v>
      </c>
      <c r="W17" s="13" t="n">
        <f aca="false">INDEX(Operations!$J$8:$BN$8,1,W12)</f>
        <v>2.2</v>
      </c>
      <c r="X17" s="13" t="n">
        <f aca="false">INDEX(Operations!$J$8:$BN$8,1,X12)</f>
        <v>2.2</v>
      </c>
      <c r="Y17" s="13" t="n">
        <f aca="false">INDEX(Operations!$J$8:$BN$8,1,Y12)</f>
        <v>2.2</v>
      </c>
      <c r="Z17" s="13" t="n">
        <f aca="false">INDEX(Operations!$J$8:$BN$8,1,Z12)</f>
        <v>2.2</v>
      </c>
      <c r="AA17" s="13" t="n">
        <f aca="false">INDEX(Operations!$J$8:$BN$8,1,AA12)</f>
        <v>1.91</v>
      </c>
      <c r="AB17" s="13" t="n">
        <f aca="false">INDEX(Operations!$J$8:$BN$8,1,AB12)</f>
        <v>1.91</v>
      </c>
      <c r="AC17" s="13" t="n">
        <f aca="false">INDEX(Operations!$J$8:$BN$8,1,AC12)</f>
        <v>1.91</v>
      </c>
      <c r="AD17" s="13" t="n">
        <f aca="false">INDEX(Operations!$J$8:$BN$8,1,AD12)</f>
        <v>1.91</v>
      </c>
      <c r="AE17" s="13" t="n">
        <f aca="false">INDEX(Operations!$J$8:$BN$8,1,AE12)</f>
        <v>1.91</v>
      </c>
      <c r="AF17" s="13" t="n">
        <f aca="false">INDEX(Operations!$J$8:$BN$8,1,AF12)</f>
        <v>1.91</v>
      </c>
      <c r="AG17" s="13" t="n">
        <f aca="false">INDEX(Operations!$J$8:$BN$8,1,AG12)</f>
        <v>0.37</v>
      </c>
      <c r="AH17" s="13" t="n">
        <f aca="false">INDEX(Operations!$J$8:$BN$8,1,AH12)</f>
        <v>0.37</v>
      </c>
      <c r="AI17" s="13" t="n">
        <f aca="false">INDEX(Operations!$J$8:$BN$8,1,AI12)</f>
        <v>0.37</v>
      </c>
      <c r="AJ17" s="13" t="n">
        <f aca="false">INDEX(Operations!$J$8:$BN$8,1,AJ12)</f>
        <v>0.37</v>
      </c>
      <c r="AK17" s="13" t="n">
        <f aca="false">INDEX(Operations!$J$8:$BN$8,1,AK12)</f>
        <v>0.37</v>
      </c>
      <c r="AL17" s="13" t="n">
        <f aca="false">INDEX(Operations!$J$8:$BN$8,1,AL12)</f>
        <v>0.37</v>
      </c>
      <c r="AM17" s="13" t="n">
        <f aca="false">INDEX(Operations!$J$8:$BN$8,1,AM12)</f>
        <v>0.25</v>
      </c>
      <c r="AN17" s="13" t="n">
        <f aca="false">INDEX(Operations!$J$8:$BN$8,1,AN12)</f>
        <v>0.25</v>
      </c>
      <c r="AO17" s="13" t="n">
        <f aca="false">INDEX(Operations!$J$8:$BN$8,1,AO12)</f>
        <v>0.25</v>
      </c>
      <c r="AP17" s="13" t="n">
        <f aca="false">INDEX(Operations!$J$8:$BN$8,1,AP12)</f>
        <v>0.25</v>
      </c>
      <c r="AQ17" s="13" t="n">
        <f aca="false">INDEX(Operations!$J$8:$BN$8,1,AQ12)</f>
        <v>0.25</v>
      </c>
      <c r="AR17" s="13" t="n">
        <f aca="false">INDEX(Operations!$J$8:$BN$8,1,AR12)</f>
        <v>0.25</v>
      </c>
      <c r="AS17" s="13" t="n">
        <f aca="false">INDEX(Operations!$J$8:$BN$8,1,AS12)</f>
        <v>0.16</v>
      </c>
      <c r="AT17" s="13" t="n">
        <f aca="false">INDEX(Operations!$J$8:$BN$8,1,AT12)</f>
        <v>0.16</v>
      </c>
      <c r="AU17" s="13" t="n">
        <f aca="false">INDEX(Operations!$J$8:$BN$8,1,AU12)</f>
        <v>0.16</v>
      </c>
      <c r="AV17" s="13" t="n">
        <f aca="false">INDEX(Operations!$J$8:$BN$8,1,AV12)</f>
        <v>0.16</v>
      </c>
      <c r="AW17" s="13" t="n">
        <f aca="false">INDEX(Operations!$J$8:$BN$8,1,AW12)</f>
        <v>0.16</v>
      </c>
      <c r="AX17" s="13" t="n">
        <f aca="false">INDEX(Operations!$J$8:$BN$8,1,AX12)</f>
        <v>0.16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19</v>
      </c>
      <c r="AZ18" s="13" t="n">
        <f aca="false">IF(Inputs!$F$33=1,Inputs!$F$73,INDEX(Inputs!$J$289:$AR$289,1,MATCH(YEAR(AZ9),Inputs!$J$282:$AR$282,0)))</f>
        <v>19</v>
      </c>
      <c r="BA18" s="13" t="n">
        <f aca="false">IF(Inputs!$F$33=1,Inputs!$F$73,INDEX(Inputs!$J$289:$AR$289,1,MATCH(YEAR(BA9),Inputs!$J$282:$AR$282,0)))</f>
        <v>19</v>
      </c>
      <c r="BB18" s="13" t="n">
        <f aca="false">IF(Inputs!$F$33=1,Inputs!$F$73,INDEX(Inputs!$J$289:$AR$289,1,MATCH(YEAR(BB9),Inputs!$J$282:$AR$282,0)))</f>
        <v>19</v>
      </c>
      <c r="BC18" s="13" t="n">
        <f aca="false">IF(Inputs!$F$33=1,Inputs!$F$73,INDEX(Inputs!$J$289:$AR$289,1,MATCH(YEAR(BC9),Inputs!$J$282:$AR$282,0)))</f>
        <v>19</v>
      </c>
      <c r="BD18" s="13" t="n">
        <f aca="false">IF(Inputs!$F$33=1,Inputs!$F$73,INDEX(Inputs!$J$289:$AR$289,1,MATCH(YEAR(BD9),Inputs!$J$282:$AR$282,0)))</f>
        <v>19</v>
      </c>
      <c r="BE18" s="13" t="n">
        <f aca="false">IF(Inputs!$F$33=1,Inputs!$F$73,INDEX(Inputs!$J$289:$AR$289,1,MATCH(YEAR(BE9),Inputs!$J$282:$AR$282,0)))</f>
        <v>19</v>
      </c>
      <c r="BF18" s="13" t="n">
        <f aca="false">IF(Inputs!$F$33=1,Inputs!$F$73,INDEX(Inputs!$J$289:$AR$289,1,MATCH(YEAR(BF9),Inputs!$J$282:$AR$282,0)))</f>
        <v>19</v>
      </c>
      <c r="BG18" s="13" t="n">
        <f aca="false">IF(Inputs!$F$33=1,Inputs!$F$73,INDEX(Inputs!$J$289:$AR$289,1,MATCH(YEAR(BG9),Inputs!$J$282:$AR$282,0)))</f>
        <v>19</v>
      </c>
      <c r="BH18" s="13" t="n">
        <f aca="false">IF(Inputs!$F$33=1,Inputs!$F$73,INDEX(Inputs!$J$289:$AR$289,1,MATCH(YEAR(BH9),Inputs!$J$282:$AR$282,0)))</f>
        <v>19</v>
      </c>
      <c r="BI18" s="13" t="n">
        <f aca="false">IF(Inputs!$F$33=1,Inputs!$F$73,INDEX(Inputs!$J$289:$AR$289,1,MATCH(YEAR(BI9),Inputs!$J$282:$AR$282,0)))</f>
        <v>19</v>
      </c>
      <c r="BJ18" s="13" t="n">
        <f aca="false">IF(Inputs!$F$33=1,Inputs!$F$73,INDEX(Inputs!$J$289:$AR$289,1,MATCH(YEAR(BJ9),Inputs!$J$282:$AR$282,0)))</f>
        <v>19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0.0102</v>
      </c>
      <c r="L20" s="13" t="n">
        <f aca="false">IF(Inputs!$F$34&lt;&gt;1,Inputs!L306,Inputs!L305+IF(Inputs!$F$35&gt;0,IF(L8=Inputs!$F$237,-Inputs!$F$238,0)+IF(L8=Inputs!$F$237+Inputs!$F$35,Inputs!$F$238,0),0))</f>
        <v>0.0868</v>
      </c>
      <c r="M20" s="13" t="n">
        <f aca="false">IF(Inputs!$F$34&lt;&gt;1,Inputs!M306,Inputs!M305+IF(Inputs!$F$35&gt;0,IF(M8=Inputs!$F$237,-Inputs!$F$238,0)+IF(M8=Inputs!$F$237+Inputs!$F$35,Inputs!$F$238,0),0))</f>
        <v>0.2284</v>
      </c>
      <c r="N20" s="13" t="n">
        <f aca="false">IF(Inputs!$F$34&lt;&gt;1,Inputs!N306,Inputs!N305+IF(Inputs!$F$35&gt;0,IF(N8=Inputs!$F$237,-Inputs!$F$238,0)+IF(N8=Inputs!$F$237+Inputs!$F$35,Inputs!$F$238,0),0))</f>
        <v>0.4235</v>
      </c>
      <c r="O20" s="13" t="n">
        <f aca="false">IF(Inputs!$F$34&lt;&gt;1,Inputs!O306,Inputs!O305+IF(Inputs!$F$35&gt;0,IF(O8=Inputs!$F$237,-Inputs!$F$238,0)+IF(O8=Inputs!$F$237+Inputs!$F$35,Inputs!$F$238,0),0))</f>
        <v>0.6612</v>
      </c>
      <c r="P20" s="13" t="n">
        <f aca="false">IF(Inputs!$F$34&lt;&gt;1,Inputs!P306,Inputs!P305+IF(Inputs!$F$35&gt;0,IF(P8=Inputs!$F$237,-Inputs!$F$238,0)+IF(P8=Inputs!$F$237+Inputs!$F$35,Inputs!$F$238,0),0))</f>
        <v>0.9313</v>
      </c>
      <c r="Q20" s="13" t="n">
        <f aca="false">IF(Inputs!$F$34&lt;&gt;1,Inputs!Q306,Inputs!Q305+IF(Inputs!$F$35&gt;0,IF(Q8=Inputs!$F$237,-Inputs!$F$238,0)+IF(Q8=Inputs!$F$237+Inputs!$F$35,Inputs!$F$238,0),0))</f>
        <v>1.2242</v>
      </c>
      <c r="R20" s="13" t="n">
        <f aca="false">IF(Inputs!$F$34&lt;&gt;1,Inputs!R306,Inputs!R305+IF(Inputs!$F$35&gt;0,IF(R8=Inputs!$F$237,-Inputs!$F$238,0)+IF(R8=Inputs!$F$237+Inputs!$F$35,Inputs!$F$238,0),0))</f>
        <v>1.5311</v>
      </c>
      <c r="S20" s="13" t="n">
        <f aca="false">IF(Inputs!$F$34&lt;&gt;1,Inputs!S306,Inputs!S305+IF(Inputs!$F$35&gt;0,IF(S8=Inputs!$F$237,-Inputs!$F$238,0)+IF(S8=Inputs!$F$237+Inputs!$F$35,Inputs!$F$238,0),0))</f>
        <v>1.8437</v>
      </c>
      <c r="T20" s="13" t="n">
        <f aca="false">IF(Inputs!$F$34&lt;&gt;1,Inputs!T306,Inputs!T305+IF(Inputs!$F$35&gt;0,IF(T8=Inputs!$F$237,-Inputs!$F$238,0)+IF(T8=Inputs!$F$237+Inputs!$F$35,Inputs!$F$238,0),0))</f>
        <v>2.1545</v>
      </c>
      <c r="U20" s="13" t="n">
        <f aca="false">IF(Inputs!$F$34&lt;&gt;1,Inputs!U306,Inputs!U305+IF(Inputs!$F$35&gt;0,IF(U8=Inputs!$F$237,-Inputs!$F$238,0)+IF(U8=Inputs!$F$237+Inputs!$F$35,Inputs!$F$238,0),0))</f>
        <v>2.4565</v>
      </c>
      <c r="V20" s="13" t="n">
        <f aca="false">IF(Inputs!$F$34&lt;&gt;1,Inputs!V306,Inputs!V305+IF(Inputs!$F$35&gt;0,IF(V8=Inputs!$F$237,-Inputs!$F$238,0)+IF(V8=Inputs!$F$237+Inputs!$F$35,Inputs!$F$238,0),0))</f>
        <v>2.7436</v>
      </c>
      <c r="W20" s="13" t="n">
        <f aca="false">IF(Inputs!$F$34&lt;&gt;1,Inputs!W306,Inputs!W305+IF(Inputs!$F$35&gt;0,IF(W8=Inputs!$F$237,-Inputs!$F$238,0)+IF(W8=Inputs!$F$237+Inputs!$F$35,Inputs!$F$238,0),0))</f>
        <v>3.01</v>
      </c>
      <c r="X20" s="13" t="n">
        <f aca="false">IF(Inputs!$F$34&lt;&gt;1,Inputs!X306,Inputs!X305+IF(Inputs!$F$35&gt;0,IF(X8=Inputs!$F$237,-Inputs!$F$238,0)+IF(X8=Inputs!$F$237+Inputs!$F$35,Inputs!$F$238,0),0))</f>
        <v>3.2509</v>
      </c>
      <c r="Y20" s="13" t="n">
        <f aca="false">IF(Inputs!$F$34&lt;&gt;1,Inputs!Y306,Inputs!Y305+IF(Inputs!$F$35&gt;0,IF(Y8=Inputs!$F$237,-Inputs!$F$238,0)+IF(Y8=Inputs!$F$237+Inputs!$F$35,Inputs!$F$238,0),0))</f>
        <v>3.4619</v>
      </c>
      <c r="Z20" s="13" t="n">
        <f aca="false">IF(Inputs!$F$34&lt;&gt;1,Inputs!Z306,Inputs!Z305+IF(Inputs!$F$35&gt;0,IF(Z8=Inputs!$F$237,-Inputs!$F$238,0)+IF(Z8=Inputs!$F$237+Inputs!$F$35,Inputs!$F$238,0),0))</f>
        <v>3.6396</v>
      </c>
      <c r="AA20" s="13" t="n">
        <f aca="false">IF(Inputs!$F$34&lt;&gt;1,Inputs!AA306,Inputs!AA305+IF(Inputs!$F$35&gt;0,IF(AA8=Inputs!$F$237,-Inputs!$F$238,0)+IF(AA8=Inputs!$F$237+Inputs!$F$35,Inputs!$F$238,0),0))</f>
        <v>3.7808</v>
      </c>
      <c r="AB20" s="13" t="n">
        <f aca="false">IF(Inputs!$F$34&lt;&gt;1,Inputs!AB306,Inputs!AB305+IF(Inputs!$F$35&gt;0,IF(AB8=Inputs!$F$237,-Inputs!$F$238,0)+IF(AB8=Inputs!$F$237+Inputs!$F$35,Inputs!$F$238,0),0))</f>
        <v>3.8833</v>
      </c>
      <c r="AC20" s="13" t="n">
        <f aca="false">IF(Inputs!$F$34&lt;&gt;1,Inputs!AC306,Inputs!AC305+IF(Inputs!$F$35&gt;0,IF(AC8=Inputs!$F$237,-Inputs!$F$238,0)+IF(AC8=Inputs!$F$237+Inputs!$F$35,Inputs!$F$238,0),0))</f>
        <v>3.9455</v>
      </c>
      <c r="AD20" s="13" t="n">
        <f aca="false">IF(Inputs!$F$34&lt;&gt;1,Inputs!AD306,Inputs!AD305+IF(Inputs!$F$35&gt;0,IF(AD8=Inputs!$F$237,-Inputs!$F$238,0)+IF(AD8=Inputs!$F$237+Inputs!$F$35,Inputs!$F$238,0),0))</f>
        <v>3.966</v>
      </c>
      <c r="AE20" s="13" t="n">
        <f aca="false">IF(Inputs!$F$34&lt;&gt;1,Inputs!AE306,Inputs!AE305+IF(Inputs!$F$35&gt;0,IF(AE8=Inputs!$F$237,-Inputs!$F$238,0)+IF(AE8=Inputs!$F$237+Inputs!$F$35,Inputs!$F$238,0),0))</f>
        <v>3.9455</v>
      </c>
      <c r="AF20" s="13" t="n">
        <f aca="false">IF(Inputs!$F$34&lt;&gt;1,Inputs!AF306,Inputs!AF305+IF(Inputs!$F$35&gt;0,IF(AF8=Inputs!$F$237,-Inputs!$F$238,0)+IF(AF8=Inputs!$F$237+Inputs!$F$35,Inputs!$F$238,0),0))</f>
        <v>3.8833</v>
      </c>
      <c r="AG20" s="13" t="n">
        <f aca="false">IF(Inputs!$F$34&lt;&gt;1,Inputs!AG306,Inputs!AG305+IF(Inputs!$F$35&gt;0,IF(AG8=Inputs!$F$237,-Inputs!$F$238,0)+IF(AG8=Inputs!$F$237+Inputs!$F$35,Inputs!$F$238,0),0))</f>
        <v>3.7808</v>
      </c>
      <c r="AH20" s="13" t="n">
        <f aca="false">IF(Inputs!$F$34&lt;&gt;1,Inputs!AH306,Inputs!AH305+IF(Inputs!$F$35&gt;0,IF(AH8=Inputs!$F$237,-Inputs!$F$238,0)+IF(AH8=Inputs!$F$237+Inputs!$F$35,Inputs!$F$238,0),0))</f>
        <v>3.6396</v>
      </c>
      <c r="AI20" s="13" t="n">
        <f aca="false">IF(Inputs!$F$34&lt;&gt;1,Inputs!AI306,Inputs!AI305+IF(Inputs!$F$35&gt;0,IF(AI8=Inputs!$F$237,-Inputs!$F$238,0)+IF(AI8=Inputs!$F$237+Inputs!$F$35,Inputs!$F$238,0),0))</f>
        <v>3.4619</v>
      </c>
      <c r="AJ20" s="13" t="n">
        <f aca="false">IF(Inputs!$F$34&lt;&gt;1,Inputs!AJ306,Inputs!AJ305+IF(Inputs!$F$35&gt;0,IF(AJ8=Inputs!$F$237,-Inputs!$F$238,0)+IF(AJ8=Inputs!$F$237+Inputs!$F$35,Inputs!$F$238,0),0))</f>
        <v>3.2509</v>
      </c>
      <c r="AK20" s="13" t="n">
        <f aca="false">IF(Inputs!$F$34&lt;&gt;1,Inputs!AK306,Inputs!AK305+IF(Inputs!$F$35&gt;0,IF(AK8=Inputs!$F$237,-Inputs!$F$238,0)+IF(AK8=Inputs!$F$237+Inputs!$F$35,Inputs!$F$238,0),0))</f>
        <v>3.01</v>
      </c>
      <c r="AL20" s="13" t="n">
        <f aca="false">IF(Inputs!$F$34&lt;&gt;1,Inputs!AL306,Inputs!AL305+IF(Inputs!$F$35&gt;0,IF(AL8=Inputs!$F$237,-Inputs!$F$238,0)+IF(AL8=Inputs!$F$237+Inputs!$F$35,Inputs!$F$238,0),0))</f>
        <v>2.7436</v>
      </c>
      <c r="AM20" s="13" t="n">
        <f aca="false">IF(Inputs!$F$34&lt;&gt;1,Inputs!AM306,Inputs!AM305+IF(Inputs!$F$35&gt;0,IF(AM8=Inputs!$F$237,-Inputs!$F$238,0)+IF(AM8=Inputs!$F$237+Inputs!$F$35,Inputs!$F$238,0),0))</f>
        <v>2.4565</v>
      </c>
      <c r="AN20" s="13" t="n">
        <f aca="false">IF(Inputs!$F$34&lt;&gt;1,Inputs!AN306,Inputs!AN305+IF(Inputs!$F$35&gt;0,IF(AN8=Inputs!$F$237,-Inputs!$F$238,0)+IF(AN8=Inputs!$F$237+Inputs!$F$35,Inputs!$F$238,0),0))</f>
        <v>2.1545</v>
      </c>
      <c r="AO20" s="13" t="n">
        <f aca="false">IF(Inputs!$F$34&lt;&gt;1,Inputs!AO306,Inputs!AO305+IF(Inputs!$F$35&gt;0,IF(AO8=Inputs!$F$237,-Inputs!$F$238,0)+IF(AO8=Inputs!$F$237+Inputs!$F$35,Inputs!$F$238,0),0))</f>
        <v>1.8437</v>
      </c>
      <c r="AP20" s="13" t="n">
        <f aca="false">IF(Inputs!$F$34&lt;&gt;1,Inputs!AP306,Inputs!AP305+IF(Inputs!$F$35&gt;0,IF(AP8=Inputs!$F$237,-Inputs!$F$238,0)+IF(AP8=Inputs!$F$237+Inputs!$F$35,Inputs!$F$238,0),0))</f>
        <v>1.5311</v>
      </c>
      <c r="AQ20" s="13" t="n">
        <f aca="false">IF(Inputs!$F$34&lt;&gt;1,Inputs!AQ306,Inputs!AQ305+IF(Inputs!$F$35&gt;0,IF(AQ8=Inputs!$F$237,-Inputs!$F$238,0)+IF(AQ8=Inputs!$F$237+Inputs!$F$35,Inputs!$F$238,0),0))</f>
        <v>1.2242</v>
      </c>
      <c r="AR20" s="13" t="n">
        <f aca="false">IF(Inputs!$F$34&lt;&gt;1,Inputs!AR306,Inputs!AR305+IF(Inputs!$F$35&gt;0,IF(AR8=Inputs!$F$237,-Inputs!$F$238,0)+IF(AR8=Inputs!$F$237+Inputs!$F$35,Inputs!$F$238,0),0))</f>
        <v>0.9313</v>
      </c>
      <c r="AS20" s="13" t="n">
        <f aca="false">IF(Inputs!$F$34&lt;&gt;1,Inputs!AS306,Inputs!AS305+IF(Inputs!$F$35&gt;0,IF(AS8=Inputs!$F$237,-Inputs!$F$238,0)+IF(AS8=Inputs!$F$237+Inputs!$F$35,Inputs!$F$238,0),0))</f>
        <v>0.6612</v>
      </c>
      <c r="AT20" s="13" t="n">
        <f aca="false">IF(Inputs!$F$34&lt;&gt;1,Inputs!AT306,Inputs!AT305+IF(Inputs!$F$35&gt;0,IF(AT8=Inputs!$F$237,-Inputs!$F$238,0)+IF(AT8=Inputs!$F$237+Inputs!$F$35,Inputs!$F$238,0),0))</f>
        <v>0.4235</v>
      </c>
      <c r="AU20" s="13" t="n">
        <f aca="false">IF(Inputs!$F$34&lt;&gt;1,Inputs!AU306,Inputs!AU305+IF(Inputs!$F$35&gt;0,IF(AU8=Inputs!$F$237,-Inputs!$F$238,0)+IF(AU8=Inputs!$F$237+Inputs!$F$35,Inputs!$F$238,0),0))</f>
        <v>0.2284</v>
      </c>
      <c r="AV20" s="13" t="n">
        <f aca="false">IF(Inputs!$F$34&lt;&gt;1,Inputs!AV306,Inputs!AV305+IF(Inputs!$F$35&gt;0,IF(AV8=Inputs!$F$237,-Inputs!$F$238,0)+IF(AV8=Inputs!$F$237+Inputs!$F$35,Inputs!$F$238,0),0))</f>
        <v>0.0868</v>
      </c>
      <c r="AW20" s="13" t="n">
        <f aca="false">IF(Inputs!$F$34&lt;&gt;1,Inputs!AW306,Inputs!AW305+IF(Inputs!$F$35&gt;0,IF(AW8=Inputs!$F$237,-Inputs!$F$238,0)+IF(AW8=Inputs!$F$237+Inputs!$F$35,Inputs!$F$238,0),0))</f>
        <v>7.5102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0.0102</v>
      </c>
      <c r="L21" s="13" t="n">
        <f aca="false">IF(L8=1,0,L20)-IF(L8=Time!$F$11,Inputs!$F$238,0)</f>
        <v>0.0868</v>
      </c>
      <c r="M21" s="13" t="n">
        <f aca="false">IF(M8=1,0,M20)-IF(M8=Time!$F$11,Inputs!$F$238,0)</f>
        <v>0.2284</v>
      </c>
      <c r="N21" s="13" t="n">
        <f aca="false">IF(N8=1,0,N20)-IF(N8=Time!$F$11,Inputs!$F$238,0)</f>
        <v>0.4235</v>
      </c>
      <c r="O21" s="13" t="n">
        <f aca="false">IF(O8=1,0,O20)-IF(O8=Time!$F$11,Inputs!$F$238,0)</f>
        <v>0.6612</v>
      </c>
      <c r="P21" s="13" t="n">
        <f aca="false">IF(P8=1,0,P20)-IF(P8=Time!$F$11,Inputs!$F$238,0)</f>
        <v>0.9313</v>
      </c>
      <c r="Q21" s="13" t="n">
        <f aca="false">IF(Q8=1,0,Q20)-IF(Q8=Time!$F$11,Inputs!$F$238,0)</f>
        <v>1.2242</v>
      </c>
      <c r="R21" s="13" t="n">
        <f aca="false">IF(R8=1,0,R20)-IF(R8=Time!$F$11,Inputs!$F$238,0)</f>
        <v>1.5311</v>
      </c>
      <c r="S21" s="13" t="n">
        <f aca="false">IF(S8=1,0,S20)-IF(S8=Time!$F$11,Inputs!$F$238,0)</f>
        <v>1.8437</v>
      </c>
      <c r="T21" s="13" t="n">
        <f aca="false">IF(T8=1,0,T20)-IF(T8=Time!$F$11,Inputs!$F$238,0)</f>
        <v>2.1545</v>
      </c>
      <c r="U21" s="13" t="n">
        <f aca="false">IF(U8=1,0,U20)-IF(U8=Time!$F$11,Inputs!$F$238,0)</f>
        <v>2.4565</v>
      </c>
      <c r="V21" s="13" t="n">
        <f aca="false">IF(V8=1,0,V20)-IF(V8=Time!$F$11,Inputs!$F$238,0)</f>
        <v>2.7436</v>
      </c>
      <c r="W21" s="13" t="n">
        <f aca="false">IF(W8=1,0,W20)-IF(W8=Time!$F$11,Inputs!$F$238,0)</f>
        <v>3.01</v>
      </c>
      <c r="X21" s="13" t="n">
        <f aca="false">IF(X8=1,0,X20)-IF(X8=Time!$F$11,Inputs!$F$238,0)</f>
        <v>3.2509</v>
      </c>
      <c r="Y21" s="13" t="n">
        <f aca="false">IF(Y8=1,0,Y20)-IF(Y8=Time!$F$11,Inputs!$F$238,0)</f>
        <v>3.4619</v>
      </c>
      <c r="Z21" s="13" t="n">
        <f aca="false">IF(Z8=1,0,Z20)-IF(Z8=Time!$F$11,Inputs!$F$238,0)</f>
        <v>3.6396</v>
      </c>
      <c r="AA21" s="13" t="n">
        <f aca="false">IF(AA8=1,0,AA20)-IF(AA8=Time!$F$11,Inputs!$F$238,0)</f>
        <v>3.7808</v>
      </c>
      <c r="AB21" s="13" t="n">
        <f aca="false">IF(AB8=1,0,AB20)-IF(AB8=Time!$F$11,Inputs!$F$238,0)</f>
        <v>3.8833</v>
      </c>
      <c r="AC21" s="13" t="n">
        <f aca="false">IF(AC8=1,0,AC20)-IF(AC8=Time!$F$11,Inputs!$F$238,0)</f>
        <v>3.9455</v>
      </c>
      <c r="AD21" s="13" t="n">
        <f aca="false">IF(AD8=1,0,AD20)-IF(AD8=Time!$F$11,Inputs!$F$238,0)</f>
        <v>3.966</v>
      </c>
      <c r="AE21" s="13" t="n">
        <f aca="false">IF(AE8=1,0,AE20)-IF(AE8=Time!$F$11,Inputs!$F$238,0)</f>
        <v>3.9455</v>
      </c>
      <c r="AF21" s="13" t="n">
        <f aca="false">IF(AF8=1,0,AF20)-IF(AF8=Time!$F$11,Inputs!$F$238,0)</f>
        <v>3.8833</v>
      </c>
      <c r="AG21" s="13" t="n">
        <f aca="false">IF(AG8=1,0,AG20)-IF(AG8=Time!$F$11,Inputs!$F$238,0)</f>
        <v>3.7808</v>
      </c>
      <c r="AH21" s="13" t="n">
        <f aca="false">IF(AH8=1,0,AH20)-IF(AH8=Time!$F$11,Inputs!$F$238,0)</f>
        <v>3.6396</v>
      </c>
      <c r="AI21" s="13" t="n">
        <f aca="false">IF(AI8=1,0,AI20)-IF(AI8=Time!$F$11,Inputs!$F$238,0)</f>
        <v>3.4619</v>
      </c>
      <c r="AJ21" s="13" t="n">
        <f aca="false">IF(AJ8=1,0,AJ20)-IF(AJ8=Time!$F$11,Inputs!$F$238,0)</f>
        <v>3.2509</v>
      </c>
      <c r="AK21" s="13" t="n">
        <f aca="false">IF(AK8=1,0,AK20)-IF(AK8=Time!$F$11,Inputs!$F$238,0)</f>
        <v>3.01</v>
      </c>
      <c r="AL21" s="13" t="n">
        <f aca="false">IF(AL8=1,0,AL20)-IF(AL8=Time!$F$11,Inputs!$F$238,0)</f>
        <v>2.7436</v>
      </c>
      <c r="AM21" s="13" t="n">
        <f aca="false">IF(AM8=1,0,AM20)-IF(AM8=Time!$F$11,Inputs!$F$238,0)</f>
        <v>2.4565</v>
      </c>
      <c r="AN21" s="13" t="n">
        <f aca="false">IF(AN8=1,0,AN20)-IF(AN8=Time!$F$11,Inputs!$F$238,0)</f>
        <v>2.1545</v>
      </c>
      <c r="AO21" s="13" t="n">
        <f aca="false">IF(AO8=1,0,AO20)-IF(AO8=Time!$F$11,Inputs!$F$238,0)</f>
        <v>1.8437</v>
      </c>
      <c r="AP21" s="13" t="n">
        <f aca="false">IF(AP8=1,0,AP20)-IF(AP8=Time!$F$11,Inputs!$F$238,0)</f>
        <v>1.5311</v>
      </c>
      <c r="AQ21" s="13" t="n">
        <f aca="false">IF(AQ8=1,0,AQ20)-IF(AQ8=Time!$F$11,Inputs!$F$238,0)</f>
        <v>1.2242</v>
      </c>
      <c r="AR21" s="13" t="n">
        <f aca="false">IF(AR8=1,0,AR20)-IF(AR8=Time!$F$11,Inputs!$F$238,0)</f>
        <v>0.9313</v>
      </c>
      <c r="AS21" s="13" t="n">
        <f aca="false">IF(AS8=1,0,AS20)-IF(AS8=Time!$F$11,Inputs!$F$238,0)</f>
        <v>0.6612</v>
      </c>
      <c r="AT21" s="13" t="n">
        <f aca="false">IF(AT8=1,0,AT20)-IF(AT8=Time!$F$11,Inputs!$F$238,0)</f>
        <v>0.4235</v>
      </c>
      <c r="AU21" s="13" t="n">
        <f aca="false">IF(AU8=1,0,AU20)-IF(AU8=Time!$F$11,Inputs!$F$238,0)</f>
        <v>0.2284</v>
      </c>
      <c r="AV21" s="13" t="n">
        <f aca="false">IF(AV8=1,0,AV20)-IF(AV8=Time!$F$11,Inputs!$F$238,0)</f>
        <v>0.0868</v>
      </c>
      <c r="AW21" s="13" t="n">
        <f aca="false">IF(AW8=1,0,AW20)-IF(AW8=Time!$F$11,Inputs!$F$238,0)</f>
        <v>0.0102000000000002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565.121630382208</v>
      </c>
      <c r="J22" s="13" t="n">
        <f aca="false">IF(Inputs!$F$34&lt;&gt;1,J20/100*Inputs!$F$58+J20/100*Inputs!$F$59*Inputs!$F$60/J16,Inputs!$F$57*Inputs!$F$36*J20/100)</f>
        <v>57.1020548989707</v>
      </c>
      <c r="K22" s="13" t="n">
        <f aca="false">IF(Inputs!$F$34&lt;&gt;1,K20/100*Inputs!$F$58+K20/100*Inputs!$F$59*Inputs!$F$60/K16,Inputs!$F$57*Inputs!$F$36*K20/100)</f>
        <v>0.0582440959969501</v>
      </c>
      <c r="L22" s="13" t="n">
        <f aca="false">IF(Inputs!$F$34&lt;&gt;1,L20/100*Inputs!$F$58+L20/100*Inputs!$F$59*Inputs!$F$60/L16,Inputs!$F$57*Inputs!$F$36*L20/100)</f>
        <v>0.495645836523065</v>
      </c>
      <c r="M22" s="13" t="n">
        <f aca="false">IF(Inputs!$F$34&lt;&gt;1,M20/100*Inputs!$F$58+M20/100*Inputs!$F$59*Inputs!$F$60/M16,Inputs!$F$57*Inputs!$F$36*M20/100)</f>
        <v>1.30421093389249</v>
      </c>
      <c r="N22" s="13" t="n">
        <f aca="false">IF(Inputs!$F$34&lt;&gt;1,N20/100*Inputs!$F$58+N20/100*Inputs!$F$59*Inputs!$F$60/N16,Inputs!$F$57*Inputs!$F$36*N20/100)</f>
        <v>2.41827202497141</v>
      </c>
      <c r="O22" s="13" t="n">
        <f aca="false">IF(Inputs!$F$34&lt;&gt;1,O20/100*Inputs!$F$58+O20/100*Inputs!$F$59*Inputs!$F$60/O16,Inputs!$F$57*Inputs!$F$36*O20/100)</f>
        <v>3.76103149905398</v>
      </c>
      <c r="P22" s="13" t="n">
        <f aca="false">IF(Inputs!$F$34&lt;&gt;1,P20/100*Inputs!$F$58+P20/100*Inputs!$F$59*Inputs!$F$60/P16,Inputs!$F$57*Inputs!$F$36*P20/100)</f>
        <v>5.29741172877945</v>
      </c>
      <c r="Q22" s="13" t="n">
        <f aca="false">IF(Inputs!$F$34&lt;&gt;1,Q20/100*Inputs!$F$58+Q20/100*Inputs!$F$59*Inputs!$F$60/Q16,Inputs!$F$57*Inputs!$F$36*Q20/100)</f>
        <v>6.9634826998516</v>
      </c>
      <c r="R22" s="13" t="n">
        <f aca="false">IF(Inputs!$F$34&lt;&gt;1,R20/100*Inputs!$F$58+R20/100*Inputs!$F$59*Inputs!$F$60/R16,Inputs!$F$57*Inputs!$F$36*R20/100)</f>
        <v>8.70918833666296</v>
      </c>
      <c r="S22" s="13" t="n">
        <f aca="false">IF(Inputs!$F$34&lt;&gt;1,S20/100*Inputs!$F$58+S20/100*Inputs!$F$59*Inputs!$F$60/S16,Inputs!$F$57*Inputs!$F$36*S20/100)</f>
        <v>10.487316658811</v>
      </c>
      <c r="T22" s="13" t="n">
        <f aca="false">IF(Inputs!$F$34&lt;&gt;1,T20/100*Inputs!$F$58+T20/100*Inputs!$F$59*Inputs!$F$60/T16,Inputs!$F$57*Inputs!$F$36*T20/100)</f>
        <v>12.2552062382211</v>
      </c>
      <c r="U22" s="13" t="n">
        <f aca="false">IF(Inputs!$F$34&lt;&gt;1,U20/100*Inputs!$F$58+U20/100*Inputs!$F$59*Inputs!$F$60/U16,Inputs!$F$57*Inputs!$F$36*U20/100)</f>
        <v>13.9297416102576</v>
      </c>
      <c r="V22" s="13" t="n">
        <f aca="false">IF(Inputs!$F$34&lt;&gt;1,V20/100*Inputs!$F$58+V20/100*Inputs!$F$59*Inputs!$F$60/V16,Inputs!$F$57*Inputs!$F$36*V20/100)</f>
        <v>15.5577606683911</v>
      </c>
      <c r="W22" s="13" t="n">
        <f aca="false">IF(Inputs!$F$34&lt;&gt;1,W20/100*Inputs!$F$58+W20/100*Inputs!$F$59*Inputs!$F$60/W16,Inputs!$F$57*Inputs!$F$36*W20/100)</f>
        <v>17.0683990420824</v>
      </c>
      <c r="X22" s="13" t="n">
        <f aca="false">IF(Inputs!$F$34&lt;&gt;1,X20/100*Inputs!$F$58+X20/100*Inputs!$F$59*Inputs!$F$60/X16,Inputs!$F$57*Inputs!$F$36*X20/100)</f>
        <v>18.4344380218955</v>
      </c>
      <c r="Y22" s="13" t="n">
        <f aca="false">IF(Inputs!$F$34&lt;&gt;1,Y20/100*Inputs!$F$58+Y20/100*Inputs!$F$59*Inputs!$F$60/Y16,Inputs!$F$57*Inputs!$F$36*Y20/100)</f>
        <v>19.630927124181</v>
      </c>
      <c r="Z22" s="13" t="n">
        <f aca="false">IF(Inputs!$F$34&lt;&gt;1,Z20/100*Inputs!$F$58+Z20/100*Inputs!$F$59*Inputs!$F$60/Z16,Inputs!$F$57*Inputs!$F$36*Z20/100)</f>
        <v>20.6385864297551</v>
      </c>
      <c r="AA22" s="13" t="n">
        <f aca="false">IF(Inputs!$F$34&lt;&gt;1,AA20/100*Inputs!$F$58+AA20/100*Inputs!$F$59*Inputs!$F$60/AA16,Inputs!$F$57*Inputs!$F$36*AA20/100)</f>
        <v>21.3627903755194</v>
      </c>
      <c r="AB22" s="13" t="n">
        <f aca="false">IF(Inputs!$F$34&lt;&gt;1,AB20/100*Inputs!$F$58+AB20/100*Inputs!$F$59*Inputs!$F$60/AB16,Inputs!$F$57*Inputs!$F$36*AB20/100)</f>
        <v>21.9419498162438</v>
      </c>
      <c r="AC22" s="13" t="n">
        <f aca="false">IF(Inputs!$F$34&lt;&gt;1,AC20/100*Inputs!$F$58+AC20/100*Inputs!$F$59*Inputs!$F$60/AC16,Inputs!$F$57*Inputs!$F$36*AC20/100)</f>
        <v>22.2934007158834</v>
      </c>
      <c r="AD22" s="13" t="n">
        <f aca="false">IF(Inputs!$F$34&lt;&gt;1,AD20/100*Inputs!$F$58+AD20/100*Inputs!$F$59*Inputs!$F$60/AD16,Inputs!$F$57*Inputs!$F$36*AD20/100)</f>
        <v>22.4092326040283</v>
      </c>
      <c r="AE22" s="13" t="n">
        <f aca="false">IF(Inputs!$F$34&lt;&gt;1,AE20/100*Inputs!$F$58+AE20/100*Inputs!$F$59*Inputs!$F$60/AE16,Inputs!$F$57*Inputs!$F$36*AE20/100)</f>
        <v>22.2934007158834</v>
      </c>
      <c r="AF22" s="13" t="n">
        <f aca="false">IF(Inputs!$F$34&lt;&gt;1,AF20/100*Inputs!$F$58+AF20/100*Inputs!$F$59*Inputs!$F$60/AF16,Inputs!$F$57*Inputs!$F$36*AF20/100)</f>
        <v>21.9419498162438</v>
      </c>
      <c r="AG22" s="13" t="n">
        <f aca="false">IF(Inputs!$F$34&lt;&gt;1,AG20/100*Inputs!$F$58+AG20/100*Inputs!$F$59*Inputs!$F$60/AG16,Inputs!$F$57*Inputs!$F$36*AG20/100)</f>
        <v>21.2945222416557</v>
      </c>
      <c r="AH22" s="13" t="n">
        <f aca="false">IF(Inputs!$F$34&lt;&gt;1,AH20/100*Inputs!$F$58+AH20/100*Inputs!$F$59*Inputs!$F$60/AH16,Inputs!$F$57*Inputs!$F$36*AH20/100)</f>
        <v>20.4992443796896</v>
      </c>
      <c r="AI22" s="13" t="n">
        <f aca="false">IF(Inputs!$F$34&lt;&gt;1,AI20/100*Inputs!$F$58+AI20/100*Inputs!$F$59*Inputs!$F$60/AI16,Inputs!$F$57*Inputs!$F$36*AI20/100)</f>
        <v>19.498388316861</v>
      </c>
      <c r="AJ22" s="13" t="n">
        <f aca="false">IF(Inputs!$F$34&lt;&gt;1,AJ20/100*Inputs!$F$58+AJ20/100*Inputs!$F$59*Inputs!$F$60/AJ16,Inputs!$F$57*Inputs!$F$36*AJ20/100)</f>
        <v>18.3099773474922</v>
      </c>
      <c r="AK22" s="13" t="n">
        <f aca="false">IF(Inputs!$F$34&lt;&gt;1,AK20/100*Inputs!$F$58+AK20/100*Inputs!$F$59*Inputs!$F$60/AK16,Inputs!$F$57*Inputs!$F$36*AK20/100)</f>
        <v>16.9531612218006</v>
      </c>
      <c r="AL22" s="13" t="n">
        <f aca="false">IF(Inputs!$F$34&lt;&gt;1,AL20/100*Inputs!$F$58+AL20/100*Inputs!$F$59*Inputs!$F$60/AL16,Inputs!$F$57*Inputs!$F$36*AL20/100)</f>
        <v>15.4527219694791</v>
      </c>
      <c r="AM22" s="13" t="n">
        <f aca="false">IF(Inputs!$F$34&lt;&gt;1,AM20/100*Inputs!$F$58+AM20/100*Inputs!$F$59*Inputs!$F$60/AM16,Inputs!$F$57*Inputs!$F$36*AM20/100)</f>
        <v>13.7820980986609</v>
      </c>
      <c r="AN22" s="13" t="n">
        <f aca="false">IF(Inputs!$F$34&lt;&gt;1,AN20/100*Inputs!$F$58+AN20/100*Inputs!$F$59*Inputs!$F$60/AN16,Inputs!$F$57*Inputs!$F$36*AN20/100)</f>
        <v>12.0877387964848</v>
      </c>
      <c r="AO22" s="13" t="n">
        <f aca="false">IF(Inputs!$F$34&lt;&gt;1,AO20/100*Inputs!$F$58+AO20/100*Inputs!$F$59*Inputs!$F$60/AO16,Inputs!$F$57*Inputs!$F$36*AO20/100)</f>
        <v>10.3440074351724</v>
      </c>
      <c r="AP22" s="13" t="n">
        <f aca="false">IF(Inputs!$F$34&lt;&gt;1,AP20/100*Inputs!$F$58+AP20/100*Inputs!$F$59*Inputs!$F$60/AP16,Inputs!$F$57*Inputs!$F$36*AP20/100)</f>
        <v>8.59017724358219</v>
      </c>
      <c r="AQ22" s="13" t="n">
        <f aca="false">IF(Inputs!$F$34&lt;&gt;1,AQ20/100*Inputs!$F$58+AQ20/100*Inputs!$F$59*Inputs!$F$60/AQ16,Inputs!$F$57*Inputs!$F$36*AQ20/100)</f>
        <v>6.86832668120522</v>
      </c>
      <c r="AR22" s="13" t="n">
        <f aca="false">IF(Inputs!$F$34&lt;&gt;1,AR20/100*Inputs!$F$58+AR20/100*Inputs!$F$59*Inputs!$F$60/AR16,Inputs!$F$57*Inputs!$F$36*AR20/100)</f>
        <v>5.22502257654503</v>
      </c>
      <c r="AS22" s="13" t="n">
        <f aca="false">IF(Inputs!$F$34&lt;&gt;1,AS20/100*Inputs!$F$58+AS20/100*Inputs!$F$59*Inputs!$F$60/AS16,Inputs!$F$57*Inputs!$F$36*AS20/100)</f>
        <v>3.70012585295276</v>
      </c>
      <c r="AT22" s="13" t="n">
        <f aca="false">IF(Inputs!$F$34&lt;&gt;1,AT20/100*Inputs!$F$58+AT20/100*Inputs!$F$59*Inputs!$F$60/AT16,Inputs!$F$57*Inputs!$F$36*AT20/100)</f>
        <v>2.36993844332349</v>
      </c>
      <c r="AU22" s="13" t="n">
        <f aca="false">IF(Inputs!$F$34&lt;&gt;1,AU20/100*Inputs!$F$58+AU20/100*Inputs!$F$59*Inputs!$F$60/AU16,Inputs!$F$57*Inputs!$F$36*AU20/100)</f>
        <v>1.27814389717848</v>
      </c>
      <c r="AV22" s="13" t="n">
        <f aca="false">IF(Inputs!$F$34&lt;&gt;1,AV20/100*Inputs!$F$58+AV20/100*Inputs!$F$59*Inputs!$F$60/AV16,Inputs!$F$57*Inputs!$F$36*AV20/100)</f>
        <v>0.485739449540683</v>
      </c>
      <c r="AW22" s="13" t="n">
        <f aca="false">IF(Inputs!$F$34&lt;&gt;1,AW20/100*Inputs!$F$58+AW20/100*Inputs!$F$59*Inputs!$F$60/AW16,Inputs!$F$57*Inputs!$F$36*AW20/100)</f>
        <v>42.0276545384843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53.11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0.99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0.99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0.99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0.99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0.99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0.99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0.99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0.069</v>
      </c>
      <c r="L26" s="13" t="n">
        <f aca="false">Inputs!$F$65*Inputs!$F$36*(Inputs!$F$244*IF(L8=1,1,0)+(1-Inputs!$F$244)/(Time!$F$11-1)*IF(AND(L8&gt;1,L8&lt;=Time!$F$11),1,0))</f>
        <v>0.069</v>
      </c>
      <c r="M26" s="13" t="n">
        <f aca="false">Inputs!$F$65*Inputs!$F$36*(Inputs!$F$244*IF(M8=1,1,0)+(1-Inputs!$F$244)/(Time!$F$11-1)*IF(AND(M8&gt;1,M8&lt;=Time!$F$11),1,0))</f>
        <v>0.069</v>
      </c>
      <c r="N26" s="13" t="n">
        <f aca="false">Inputs!$F$65*Inputs!$F$36*(Inputs!$F$244*IF(N8=1,1,0)+(1-Inputs!$F$244)/(Time!$F$11-1)*IF(AND(N8&gt;1,N8&lt;=Time!$F$11),1,0))</f>
        <v>0.069</v>
      </c>
      <c r="O26" s="13" t="n">
        <f aca="false">Inputs!$F$65*Inputs!$F$36*(Inputs!$F$244*IF(O8=1,1,0)+(1-Inputs!$F$244)/(Time!$F$11-1)*IF(AND(O8&gt;1,O8&lt;=Time!$F$11),1,0))</f>
        <v>0.069</v>
      </c>
      <c r="P26" s="13" t="n">
        <f aca="false">Inputs!$F$65*Inputs!$F$36*(Inputs!$F$244*IF(P8=1,1,0)+(1-Inputs!$F$244)/(Time!$F$11-1)*IF(AND(P8&gt;1,P8&lt;=Time!$F$11),1,0))</f>
        <v>0.069</v>
      </c>
      <c r="Q26" s="13" t="n">
        <f aca="false">Inputs!$F$65*Inputs!$F$36*(Inputs!$F$244*IF(Q8=1,1,0)+(1-Inputs!$F$244)/(Time!$F$11-1)*IF(AND(Q8&gt;1,Q8&lt;=Time!$F$11),1,0))</f>
        <v>0.069</v>
      </c>
      <c r="R26" s="13" t="n">
        <f aca="false">Inputs!$F$65*Inputs!$F$36*(Inputs!$F$244*IF(R8=1,1,0)+(1-Inputs!$F$244)/(Time!$F$11-1)*IF(AND(R8&gt;1,R8&lt;=Time!$F$11),1,0))</f>
        <v>0.069</v>
      </c>
      <c r="S26" s="13" t="n">
        <f aca="false">Inputs!$F$65*Inputs!$F$36*(Inputs!$F$244*IF(S8=1,1,0)+(1-Inputs!$F$244)/(Time!$F$11-1)*IF(AND(S8&gt;1,S8&lt;=Time!$F$11),1,0))</f>
        <v>0.069</v>
      </c>
      <c r="T26" s="13" t="n">
        <f aca="false">Inputs!$F$65*Inputs!$F$36*(Inputs!$F$244*IF(T8=1,1,0)+(1-Inputs!$F$244)/(Time!$F$11-1)*IF(AND(T8&gt;1,T8&lt;=Time!$F$11),1,0))</f>
        <v>0.069</v>
      </c>
      <c r="U26" s="13" t="n">
        <f aca="false">Inputs!$F$65*Inputs!$F$36*(Inputs!$F$244*IF(U8=1,1,0)+(1-Inputs!$F$244)/(Time!$F$11-1)*IF(AND(U8&gt;1,U8&lt;=Time!$F$11),1,0))</f>
        <v>0.069</v>
      </c>
      <c r="V26" s="13" t="n">
        <f aca="false">Inputs!$F$65*Inputs!$F$36*(Inputs!$F$244*IF(V8=1,1,0)+(1-Inputs!$F$244)/(Time!$F$11-1)*IF(AND(V8&gt;1,V8&lt;=Time!$F$11),1,0))</f>
        <v>0.069</v>
      </c>
      <c r="W26" s="13" t="n">
        <f aca="false">Inputs!$F$65*Inputs!$F$36*(Inputs!$F$244*IF(W8=1,1,0)+(1-Inputs!$F$244)/(Time!$F$11-1)*IF(AND(W8&gt;1,W8&lt;=Time!$F$11),1,0))</f>
        <v>0.069</v>
      </c>
      <c r="X26" s="13" t="n">
        <f aca="false">Inputs!$F$65*Inputs!$F$36*(Inputs!$F$244*IF(X8=1,1,0)+(1-Inputs!$F$244)/(Time!$F$11-1)*IF(AND(X8&gt;1,X8&lt;=Time!$F$11),1,0))</f>
        <v>0.069</v>
      </c>
      <c r="Y26" s="13" t="n">
        <f aca="false">Inputs!$F$65*Inputs!$F$36*(Inputs!$F$244*IF(Y8=1,1,0)+(1-Inputs!$F$244)/(Time!$F$11-1)*IF(AND(Y8&gt;1,Y8&lt;=Time!$F$11),1,0))</f>
        <v>0.069</v>
      </c>
      <c r="Z26" s="13" t="n">
        <f aca="false">Inputs!$F$65*Inputs!$F$36*(Inputs!$F$244*IF(Z8=1,1,0)+(1-Inputs!$F$244)/(Time!$F$11-1)*IF(AND(Z8&gt;1,Z8&lt;=Time!$F$11),1,0))</f>
        <v>0.069</v>
      </c>
      <c r="AA26" s="13" t="n">
        <f aca="false">Inputs!$F$65*Inputs!$F$36*(Inputs!$F$244*IF(AA8=1,1,0)+(1-Inputs!$F$244)/(Time!$F$11-1)*IF(AND(AA8&gt;1,AA8&lt;=Time!$F$11),1,0))</f>
        <v>0.069</v>
      </c>
      <c r="AB26" s="13" t="n">
        <f aca="false">Inputs!$F$65*Inputs!$F$36*(Inputs!$F$244*IF(AB8=1,1,0)+(1-Inputs!$F$244)/(Time!$F$11-1)*IF(AND(AB8&gt;1,AB8&lt;=Time!$F$11),1,0))</f>
        <v>0.069</v>
      </c>
      <c r="AC26" s="13" t="n">
        <f aca="false">Inputs!$F$65*Inputs!$F$36*(Inputs!$F$244*IF(AC8=1,1,0)+(1-Inputs!$F$244)/(Time!$F$11-1)*IF(AND(AC8&gt;1,AC8&lt;=Time!$F$11),1,0))</f>
        <v>0.069</v>
      </c>
      <c r="AD26" s="13" t="n">
        <f aca="false">Inputs!$F$65*Inputs!$F$36*(Inputs!$F$244*IF(AD8=1,1,0)+(1-Inputs!$F$244)/(Time!$F$11-1)*IF(AND(AD8&gt;1,AD8&lt;=Time!$F$11),1,0))</f>
        <v>0.069</v>
      </c>
      <c r="AE26" s="13" t="n">
        <f aca="false">Inputs!$F$65*Inputs!$F$36*(Inputs!$F$244*IF(AE8=1,1,0)+(1-Inputs!$F$244)/(Time!$F$11-1)*IF(AND(AE8&gt;1,AE8&lt;=Time!$F$11),1,0))</f>
        <v>0.069</v>
      </c>
      <c r="AF26" s="13" t="n">
        <f aca="false">Inputs!$F$65*Inputs!$F$36*(Inputs!$F$244*IF(AF8=1,1,0)+(1-Inputs!$F$244)/(Time!$F$11-1)*IF(AND(AF8&gt;1,AF8&lt;=Time!$F$11),1,0))</f>
        <v>0.069</v>
      </c>
      <c r="AG26" s="13" t="n">
        <f aca="false">Inputs!$F$65*Inputs!$F$36*(Inputs!$F$244*IF(AG8=1,1,0)+(1-Inputs!$F$244)/(Time!$F$11-1)*IF(AND(AG8&gt;1,AG8&lt;=Time!$F$11),1,0))</f>
        <v>0.069</v>
      </c>
      <c r="AH26" s="13" t="n">
        <f aca="false">Inputs!$F$65*Inputs!$F$36*(Inputs!$F$244*IF(AH8=1,1,0)+(1-Inputs!$F$244)/(Time!$F$11-1)*IF(AND(AH8&gt;1,AH8&lt;=Time!$F$11),1,0))</f>
        <v>0.069</v>
      </c>
      <c r="AI26" s="13" t="n">
        <f aca="false">Inputs!$F$65*Inputs!$F$36*(Inputs!$F$244*IF(AI8=1,1,0)+(1-Inputs!$F$244)/(Time!$F$11-1)*IF(AND(AI8&gt;1,AI8&lt;=Time!$F$11),1,0))</f>
        <v>0.069</v>
      </c>
      <c r="AJ26" s="13" t="n">
        <f aca="false">Inputs!$F$65*Inputs!$F$36*(Inputs!$F$244*IF(AJ8=1,1,0)+(1-Inputs!$F$244)/(Time!$F$11-1)*IF(AND(AJ8&gt;1,AJ8&lt;=Time!$F$11),1,0))</f>
        <v>0.069</v>
      </c>
      <c r="AK26" s="13" t="n">
        <f aca="false">Inputs!$F$65*Inputs!$F$36*(Inputs!$F$244*IF(AK8=1,1,0)+(1-Inputs!$F$244)/(Time!$F$11-1)*IF(AND(AK8&gt;1,AK8&lt;=Time!$F$11),1,0))</f>
        <v>0.069</v>
      </c>
      <c r="AL26" s="13" t="n">
        <f aca="false">Inputs!$F$65*Inputs!$F$36*(Inputs!$F$244*IF(AL8=1,1,0)+(1-Inputs!$F$244)/(Time!$F$11-1)*IF(AND(AL8&gt;1,AL8&lt;=Time!$F$11),1,0))</f>
        <v>0.069</v>
      </c>
      <c r="AM26" s="13" t="n">
        <f aca="false">Inputs!$F$65*Inputs!$F$36*(Inputs!$F$244*IF(AM8=1,1,0)+(1-Inputs!$F$244)/(Time!$F$11-1)*IF(AND(AM8&gt;1,AM8&lt;=Time!$F$11),1,0))</f>
        <v>0.069</v>
      </c>
      <c r="AN26" s="13" t="n">
        <f aca="false">Inputs!$F$65*Inputs!$F$36*(Inputs!$F$244*IF(AN8=1,1,0)+(1-Inputs!$F$244)/(Time!$F$11-1)*IF(AND(AN8&gt;1,AN8&lt;=Time!$F$11),1,0))</f>
        <v>0.069</v>
      </c>
      <c r="AO26" s="13" t="n">
        <f aca="false">Inputs!$F$65*Inputs!$F$36*(Inputs!$F$244*IF(AO8=1,1,0)+(1-Inputs!$F$244)/(Time!$F$11-1)*IF(AND(AO8&gt;1,AO8&lt;=Time!$F$11),1,0))</f>
        <v>0.069</v>
      </c>
      <c r="AP26" s="13" t="n">
        <f aca="false">Inputs!$F$65*Inputs!$F$36*(Inputs!$F$244*IF(AP8=1,1,0)+(1-Inputs!$F$244)/(Time!$F$11-1)*IF(AND(AP8&gt;1,AP8&lt;=Time!$F$11),1,0))</f>
        <v>0.069</v>
      </c>
      <c r="AQ26" s="13" t="n">
        <f aca="false">Inputs!$F$65*Inputs!$F$36*(Inputs!$F$244*IF(AQ8=1,1,0)+(1-Inputs!$F$244)/(Time!$F$11-1)*IF(AND(AQ8&gt;1,AQ8&lt;=Time!$F$11),1,0))</f>
        <v>0.069</v>
      </c>
      <c r="AR26" s="13" t="n">
        <f aca="false">Inputs!$F$65*Inputs!$F$36*(Inputs!$F$244*IF(AR8=1,1,0)+(1-Inputs!$F$244)/(Time!$F$11-1)*IF(AND(AR8&gt;1,AR8&lt;=Time!$F$11),1,0))</f>
        <v>0.069</v>
      </c>
      <c r="AS26" s="13" t="n">
        <f aca="false">Inputs!$F$65*Inputs!$F$36*(Inputs!$F$244*IF(AS8=1,1,0)+(1-Inputs!$F$244)/(Time!$F$11-1)*IF(AND(AS8&gt;1,AS8&lt;=Time!$F$11),1,0))</f>
        <v>0.069</v>
      </c>
      <c r="AT26" s="13" t="n">
        <f aca="false">Inputs!$F$65*Inputs!$F$36*(Inputs!$F$244*IF(AT8=1,1,0)+(1-Inputs!$F$244)/(Time!$F$11-1)*IF(AND(AT8&gt;1,AT8&lt;=Time!$F$11),1,0))</f>
        <v>0.069</v>
      </c>
      <c r="AU26" s="13" t="n">
        <f aca="false">Inputs!$F$65*Inputs!$F$36*(Inputs!$F$244*IF(AU8=1,1,0)+(1-Inputs!$F$244)/(Time!$F$11-1)*IF(AND(AU8&gt;1,AU8&lt;=Time!$F$11),1,0))</f>
        <v>0.069</v>
      </c>
      <c r="AV26" s="13" t="n">
        <f aca="false">Inputs!$F$65*Inputs!$F$36*(Inputs!$F$244*IF(AV8=1,1,0)+(1-Inputs!$F$244)/(Time!$F$11-1)*IF(AND(AV8&gt;1,AV8&lt;=Time!$F$11),1,0))</f>
        <v>0.069</v>
      </c>
      <c r="AW26" s="13" t="n">
        <f aca="false">Inputs!$F$65*Inputs!$F$36*(Inputs!$F$244*IF(AW8=1,1,0)+(1-Inputs!$F$244)/(Time!$F$11-1)*IF(AND(AW8&gt;1,AW8&lt;=Time!$F$11),1,0))</f>
        <v>0.069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0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</v>
      </c>
      <c r="L27" s="13" t="n">
        <f aca="false">IF(Inputs!$F$34=1,Inputs!$F$66*Inputs!$F$36*L21/SUM($J$21:$BJ$21),0)</f>
        <v>0</v>
      </c>
      <c r="M27" s="13" t="n">
        <f aca="false">IF(Inputs!$F$34=1,Inputs!$F$66*Inputs!$F$36*M21/SUM($J$21:$BJ$21),0)</f>
        <v>0</v>
      </c>
      <c r="N27" s="13" t="n">
        <f aca="false">IF(Inputs!$F$34=1,Inputs!$F$66*Inputs!$F$36*N21/SUM($J$21:$BJ$21),0)</f>
        <v>0</v>
      </c>
      <c r="O27" s="13" t="n">
        <f aca="false">IF(Inputs!$F$34=1,Inputs!$F$66*Inputs!$F$36*O21/SUM($J$21:$BJ$21),0)</f>
        <v>0</v>
      </c>
      <c r="P27" s="13" t="n">
        <f aca="false">IF(Inputs!$F$34=1,Inputs!$F$66*Inputs!$F$36*P21/SUM($J$21:$BJ$21),0)</f>
        <v>0</v>
      </c>
      <c r="Q27" s="13" t="n">
        <f aca="false">IF(Inputs!$F$34=1,Inputs!$F$66*Inputs!$F$36*Q21/SUM($J$21:$BJ$21),0)</f>
        <v>0</v>
      </c>
      <c r="R27" s="13" t="n">
        <f aca="false">IF(Inputs!$F$34=1,Inputs!$F$66*Inputs!$F$36*R21/SUM($J$21:$BJ$21),0)</f>
        <v>0</v>
      </c>
      <c r="S27" s="13" t="n">
        <f aca="false">IF(Inputs!$F$34=1,Inputs!$F$66*Inputs!$F$36*S21/SUM($J$21:$BJ$21),0)</f>
        <v>0</v>
      </c>
      <c r="T27" s="13" t="n">
        <f aca="false">IF(Inputs!$F$34=1,Inputs!$F$66*Inputs!$F$36*T21/SUM($J$21:$BJ$21),0)</f>
        <v>0</v>
      </c>
      <c r="U27" s="13" t="n">
        <f aca="false">IF(Inputs!$F$34=1,Inputs!$F$66*Inputs!$F$36*U21/SUM($J$21:$BJ$21),0)</f>
        <v>0</v>
      </c>
      <c r="V27" s="13" t="n">
        <f aca="false">IF(Inputs!$F$34=1,Inputs!$F$66*Inputs!$F$36*V21/SUM($J$21:$BJ$21),0)</f>
        <v>0</v>
      </c>
      <c r="W27" s="13" t="n">
        <f aca="false">IF(Inputs!$F$34=1,Inputs!$F$66*Inputs!$F$36*W21/SUM($J$21:$BJ$21),0)</f>
        <v>0</v>
      </c>
      <c r="X27" s="13" t="n">
        <f aca="false">IF(Inputs!$F$34=1,Inputs!$F$66*Inputs!$F$36*X21/SUM($J$21:$BJ$21),0)</f>
        <v>0</v>
      </c>
      <c r="Y27" s="13" t="n">
        <f aca="false">IF(Inputs!$F$34=1,Inputs!$F$66*Inputs!$F$36*Y21/SUM($J$21:$BJ$21),0)</f>
        <v>0</v>
      </c>
      <c r="Z27" s="13" t="n">
        <f aca="false">IF(Inputs!$F$34=1,Inputs!$F$66*Inputs!$F$36*Z21/SUM($J$21:$BJ$21),0)</f>
        <v>0</v>
      </c>
      <c r="AA27" s="13" t="n">
        <f aca="false">IF(Inputs!$F$34=1,Inputs!$F$66*Inputs!$F$36*AA21/SUM($J$21:$BJ$21),0)</f>
        <v>0</v>
      </c>
      <c r="AB27" s="13" t="n">
        <f aca="false">IF(Inputs!$F$34=1,Inputs!$F$66*Inputs!$F$36*AB21/SUM($J$21:$BJ$21),0)</f>
        <v>0</v>
      </c>
      <c r="AC27" s="13" t="n">
        <f aca="false">IF(Inputs!$F$34=1,Inputs!$F$66*Inputs!$F$36*AC21/SUM($J$21:$BJ$21),0)</f>
        <v>0</v>
      </c>
      <c r="AD27" s="13" t="n">
        <f aca="false">IF(Inputs!$F$34=1,Inputs!$F$66*Inputs!$F$36*AD21/SUM($J$21:$BJ$21),0)</f>
        <v>0</v>
      </c>
      <c r="AE27" s="13" t="n">
        <f aca="false">IF(Inputs!$F$34=1,Inputs!$F$66*Inputs!$F$36*AE21/SUM($J$21:$BJ$21),0)</f>
        <v>0</v>
      </c>
      <c r="AF27" s="13" t="n">
        <f aca="false">IF(Inputs!$F$34=1,Inputs!$F$66*Inputs!$F$36*AF21/SUM($J$21:$BJ$21),0)</f>
        <v>0</v>
      </c>
      <c r="AG27" s="13" t="n">
        <f aca="false">IF(Inputs!$F$34=1,Inputs!$F$66*Inputs!$F$36*AG21/SUM($J$21:$BJ$21),0)</f>
        <v>0</v>
      </c>
      <c r="AH27" s="13" t="n">
        <f aca="false">IF(Inputs!$F$34=1,Inputs!$F$66*Inputs!$F$36*AH21/SUM($J$21:$BJ$21),0)</f>
        <v>0</v>
      </c>
      <c r="AI27" s="13" t="n">
        <f aca="false">IF(Inputs!$F$34=1,Inputs!$F$66*Inputs!$F$36*AI21/SUM($J$21:$BJ$21),0)</f>
        <v>0</v>
      </c>
      <c r="AJ27" s="13" t="n">
        <f aca="false">IF(Inputs!$F$34=1,Inputs!$F$66*Inputs!$F$36*AJ21/SUM($J$21:$BJ$21),0)</f>
        <v>0</v>
      </c>
      <c r="AK27" s="13" t="n">
        <f aca="false">IF(Inputs!$F$34=1,Inputs!$F$66*Inputs!$F$36*AK21/SUM($J$21:$BJ$21),0)</f>
        <v>0</v>
      </c>
      <c r="AL27" s="13" t="n">
        <f aca="false">IF(Inputs!$F$34=1,Inputs!$F$66*Inputs!$F$36*AL21/SUM($J$21:$BJ$21),0)</f>
        <v>0</v>
      </c>
      <c r="AM27" s="13" t="n">
        <f aca="false">IF(Inputs!$F$34=1,Inputs!$F$66*Inputs!$F$36*AM21/SUM($J$21:$BJ$21),0)</f>
        <v>0</v>
      </c>
      <c r="AN27" s="13" t="n">
        <f aca="false">IF(Inputs!$F$34=1,Inputs!$F$66*Inputs!$F$36*AN21/SUM($J$21:$BJ$21),0)</f>
        <v>0</v>
      </c>
      <c r="AO27" s="13" t="n">
        <f aca="false">IF(Inputs!$F$34=1,Inputs!$F$66*Inputs!$F$36*AO21/SUM($J$21:$BJ$21),0)</f>
        <v>0</v>
      </c>
      <c r="AP27" s="13" t="n">
        <f aca="false">IF(Inputs!$F$34=1,Inputs!$F$66*Inputs!$F$36*AP21/SUM($J$21:$BJ$21),0)</f>
        <v>0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0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5.35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74.51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0.3425</v>
      </c>
      <c r="AE29" s="13" t="n">
        <f aca="false">IF(Inputs!$F$34&lt;&gt;1,Inputs!AE308,0)</f>
        <v>0.3425</v>
      </c>
      <c r="AF29" s="13" t="n">
        <f aca="false">IF(Inputs!$F$34&lt;&gt;1,Inputs!AF308,0)</f>
        <v>0.3425</v>
      </c>
      <c r="AG29" s="13" t="n">
        <f aca="false">IF(Inputs!$F$34&lt;&gt;1,Inputs!AG308,0)</f>
        <v>0.3425</v>
      </c>
      <c r="AH29" s="13" t="n">
        <f aca="false">IF(Inputs!$F$34&lt;&gt;1,Inputs!AH308,0)</f>
        <v>0.3425</v>
      </c>
      <c r="AI29" s="13" t="n">
        <f aca="false">IF(Inputs!$F$34&lt;&gt;1,Inputs!AI308,0)</f>
        <v>0.3425</v>
      </c>
      <c r="AJ29" s="13" t="n">
        <f aca="false">IF(Inputs!$F$34&lt;&gt;1,Inputs!AJ308,0)</f>
        <v>1.90916666666667</v>
      </c>
      <c r="AK29" s="13" t="n">
        <f aca="false">IF(Inputs!$F$34&lt;&gt;1,Inputs!AK308,0)</f>
        <v>1.90916666666667</v>
      </c>
      <c r="AL29" s="13" t="n">
        <f aca="false">IF(Inputs!$F$34&lt;&gt;1,Inputs!AL308,0)</f>
        <v>1.90916666666667</v>
      </c>
      <c r="AM29" s="13" t="n">
        <f aca="false">IF(Inputs!$F$34&lt;&gt;1,Inputs!AM308,0)</f>
        <v>2.45416666666667</v>
      </c>
      <c r="AN29" s="13" t="n">
        <f aca="false">IF(Inputs!$F$34&lt;&gt;1,Inputs!AN308,0)</f>
        <v>2.45416666666667</v>
      </c>
      <c r="AO29" s="13" t="n">
        <f aca="false">IF(Inputs!$F$34&lt;&gt;1,Inputs!AO308,0)</f>
        <v>2.45416666666667</v>
      </c>
      <c r="AP29" s="13" t="n">
        <f aca="false">IF(Inputs!$F$34&lt;&gt;1,Inputs!AP308,0)</f>
        <v>0.545</v>
      </c>
      <c r="AQ29" s="13" t="n">
        <f aca="false">IF(Inputs!$F$34&lt;&gt;1,Inputs!AQ308,0)</f>
        <v>8.11214285714286</v>
      </c>
      <c r="AR29" s="13" t="n">
        <f aca="false">IF(Inputs!$F$34&lt;&gt;1,Inputs!AR308,0)</f>
        <v>6.69214285714286</v>
      </c>
      <c r="AS29" s="13" t="n">
        <f aca="false">IF(Inputs!$F$34&lt;&gt;1,Inputs!AS308,0)</f>
        <v>7.14714285714286</v>
      </c>
      <c r="AT29" s="13" t="n">
        <f aca="false">IF(Inputs!$F$34&lt;&gt;1,Inputs!AT308,0)</f>
        <v>6.14714285714286</v>
      </c>
      <c r="AU29" s="13" t="n">
        <f aca="false">IF(Inputs!$F$34&lt;&gt;1,Inputs!AU308,0)</f>
        <v>8.78714285714286</v>
      </c>
      <c r="AV29" s="13" t="n">
        <f aca="false">IF(Inputs!$F$34&lt;&gt;1,Inputs!AV308,0)</f>
        <v>6.83214285714286</v>
      </c>
      <c r="AW29" s="13" t="n">
        <f aca="false">IF(Inputs!$F$34&lt;&gt;1,Inputs!AW308,0)</f>
        <v>15.1021428571429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4.39743522292355</v>
      </c>
      <c r="J31" s="13" t="n">
        <f aca="false">IF(Inputs!$F$34&lt;&gt;1,Inputs!$F$259*J34*(1/J16-1/J30),0)</f>
        <v>0.0158306969964722</v>
      </c>
      <c r="K31" s="13" t="n">
        <f aca="false">IF(Inputs!$F$34&lt;&gt;1,Inputs!$F$259*K34*(1/K16-1/K30),0)</f>
        <v>6.8157468465398E-005</v>
      </c>
      <c r="L31" s="13" t="n">
        <f aca="false">IF(Inputs!$F$34&lt;&gt;1,Inputs!$F$259*L34*(1/L16-1/L30),0)</f>
        <v>0.0010334843420916</v>
      </c>
      <c r="M31" s="13" t="n">
        <f aca="false">IF(Inputs!$F$34&lt;&gt;1,Inputs!$F$259*M34*(1/M16-1/M30),0)</f>
        <v>0.00386442886384587</v>
      </c>
      <c r="N31" s="13" t="n">
        <f aca="false">IF(Inputs!$F$34&lt;&gt;1,Inputs!$F$259*N34*(1/N16-1/N30),0)</f>
        <v>0.00934066453586027</v>
      </c>
      <c r="O31" s="13" t="n">
        <f aca="false">IF(Inputs!$F$34&lt;&gt;1,Inputs!$F$259*O34*(1/O16-1/O30),0)</f>
        <v>0.00647906929115071</v>
      </c>
      <c r="P31" s="13" t="n">
        <f aca="false">IF(Inputs!$F$34&lt;&gt;1,Inputs!$F$259*P34*(1/P16-1/P30),0)</f>
        <v>0.0132705510653585</v>
      </c>
      <c r="Q31" s="13" t="n">
        <f aca="false">IF(Inputs!$F$34&lt;&gt;1,Inputs!$F$259*Q34*(1/Q16-1/Q30),0)</f>
        <v>0.0234281994833214</v>
      </c>
      <c r="R31" s="13" t="n">
        <f aca="false">IF(Inputs!$F$34&lt;&gt;1,Inputs!$F$259*R34*(1/R16-1/R30),0)</f>
        <v>0.0364844744492641</v>
      </c>
      <c r="S31" s="13" t="n">
        <f aca="false">IF(Inputs!$F$34&lt;&gt;1,Inputs!$F$259*S34*(1/S16-1/S30),0)</f>
        <v>0.0527974774921872</v>
      </c>
      <c r="T31" s="13" t="n">
        <f aca="false">IF(Inputs!$F$34&lt;&gt;1,Inputs!$F$259*T34*(1/T16-1/T30),0)</f>
        <v>0.0716392751804851</v>
      </c>
      <c r="U31" s="13" t="n">
        <f aca="false">IF(Inputs!$F$34&lt;&gt;1,Inputs!$F$259*U34*(1/U16-1/U30),0)</f>
        <v>0.0587415075475079</v>
      </c>
      <c r="V31" s="13" t="n">
        <f aca="false">IF(Inputs!$F$34&lt;&gt;1,Inputs!$F$259*V34*(1/V16-1/V30),0)</f>
        <v>0.0783026931192457</v>
      </c>
      <c r="W31" s="13" t="n">
        <f aca="false">IF(Inputs!$F$34&lt;&gt;1,Inputs!$F$259*W34*(1/W16-1/W30),0)</f>
        <v>0.0992755277143403</v>
      </c>
      <c r="X31" s="13" t="n">
        <f aca="false">IF(Inputs!$F$34&lt;&gt;1,Inputs!$F$259*X34*(1/X16-1/X30),0)</f>
        <v>0.122020699117504</v>
      </c>
      <c r="Y31" s="13" t="n">
        <f aca="false">IF(Inputs!$F$34&lt;&gt;1,Inputs!$F$259*Y34*(1/Y16-1/Y30),0)</f>
        <v>0.145068522285048</v>
      </c>
      <c r="Z31" s="13" t="n">
        <f aca="false">IF(Inputs!$F$34&lt;&gt;1,Inputs!$F$259*Z34*(1/Z16-1/Z30),0)</f>
        <v>0.168816089350321</v>
      </c>
      <c r="AA31" s="13" t="n">
        <f aca="false">IF(Inputs!$F$34&lt;&gt;1,Inputs!$F$259*AA34*(1/AA16-1/AA30),0)</f>
        <v>0.132381671317594</v>
      </c>
      <c r="AB31" s="13" t="n">
        <f aca="false">IF(Inputs!$F$34&lt;&gt;1,Inputs!$F$259*AB34*(1/AB16-1/AB30),0)</f>
        <v>0.151869979882513</v>
      </c>
      <c r="AC31" s="13" t="n">
        <f aca="false">IF(Inputs!$F$34&lt;&gt;1,Inputs!$F$259*AC34*(1/AC16-1/AC30),0)</f>
        <v>0.171433667335836</v>
      </c>
      <c r="AD31" s="13" t="n">
        <f aca="false">IF(Inputs!$F$34&lt;&gt;1,Inputs!$F$259*AD34*(1/AD16-1/AD30),0)</f>
        <v>0.188854696070776</v>
      </c>
      <c r="AE31" s="13" t="n">
        <f aca="false">IF(Inputs!$F$34&lt;&gt;1,Inputs!$F$259*AE34*(1/AE16-1/AE30),0)</f>
        <v>0.204734523507322</v>
      </c>
      <c r="AF31" s="13" t="n">
        <f aca="false">IF(Inputs!$F$34&lt;&gt;1,Inputs!$F$259*AF34*(1/AF16-1/AF30),0)</f>
        <v>0.217432578230647</v>
      </c>
      <c r="AG31" s="13" t="n">
        <f aca="false">IF(Inputs!$F$34&lt;&gt;1,Inputs!$F$259*AG34*(1/AG16-1/AG30),0)</f>
        <v>0.174860513965399</v>
      </c>
      <c r="AH31" s="13" t="n">
        <f aca="false">IF(Inputs!$F$34&lt;&gt;1,Inputs!$F$259*AH34*(1/AH16-1/AH30),0)</f>
        <v>0.183455535856035</v>
      </c>
      <c r="AI31" s="13" t="n">
        <f aca="false">IF(Inputs!$F$34&lt;&gt;1,Inputs!$F$259*AI34*(1/AI16-1/AI30),0)</f>
        <v>0.188309566880255</v>
      </c>
      <c r="AJ31" s="13" t="n">
        <f aca="false">IF(Inputs!$F$34&lt;&gt;1,Inputs!$F$259*AJ34*(1/AJ16-1/AJ30),0)</f>
        <v>0.19012624010373</v>
      </c>
      <c r="AK31" s="13" t="n">
        <f aca="false">IF(Inputs!$F$34&lt;&gt;1,Inputs!$F$259*AK34*(1/AK16-1/AK30),0)</f>
        <v>0.1878535488664</v>
      </c>
      <c r="AL31" s="13" t="n">
        <f aca="false">IF(Inputs!$F$34&lt;&gt;1,Inputs!$F$259*AL34*(1/AL16-1/AL30),0)</f>
        <v>0.182267573513798</v>
      </c>
      <c r="AM31" s="13" t="n">
        <f aca="false">IF(Inputs!$F$34&lt;&gt;1,Inputs!$F$259*AM34*(1/AM16-1/AM30),0)</f>
        <v>0.131918269635502</v>
      </c>
      <c r="AN31" s="13" t="n">
        <f aca="false">IF(Inputs!$F$34&lt;&gt;1,Inputs!$F$259*AN34*(1/AN16-1/AN30),0)</f>
        <v>0.12338916698145</v>
      </c>
      <c r="AO31" s="13" t="n">
        <f aca="false">IF(Inputs!$F$34&lt;&gt;1,Inputs!$F$259*AO34*(1/AO16-1/AO30),0)</f>
        <v>0.11281771815391</v>
      </c>
      <c r="AP31" s="13" t="n">
        <f aca="false">IF(Inputs!$F$34&lt;&gt;1,Inputs!$F$259*AP34*(1/AP16-1/AP30),0)</f>
        <v>0.0994519483292928</v>
      </c>
      <c r="AQ31" s="13" t="n">
        <f aca="false">IF(Inputs!$F$34&lt;&gt;1,Inputs!$F$259*AQ34*(1/AQ16-1/AQ30),0)</f>
        <v>0.0842403058967179</v>
      </c>
      <c r="AR31" s="13" t="n">
        <f aca="false">IF(Inputs!$F$34&lt;&gt;1,Inputs!$F$259*AR34*(1/AR16-1/AR30),0)</f>
        <v>0.0675342939225132</v>
      </c>
      <c r="AS31" s="13" t="n">
        <f aca="false">IF(Inputs!$F$34&lt;&gt;1,Inputs!$F$259*AS34*(1/AS16-1/AS30),0)</f>
        <v>0.0433245295520897</v>
      </c>
      <c r="AT31" s="13" t="n">
        <f aca="false">IF(Inputs!$F$34&lt;&gt;1,Inputs!$F$259*AT34*(1/AT16-1/AT30),0)</f>
        <v>0.0293441588601079</v>
      </c>
      <c r="AU31" s="13" t="n">
        <f aca="false">IF(Inputs!$F$34&lt;&gt;1,Inputs!$F$259*AU34*(1/AU16-1/AU30),0)</f>
        <v>0.0166513935200134</v>
      </c>
      <c r="AV31" s="13" t="n">
        <f aca="false">IF(Inputs!$F$34&lt;&gt;1,Inputs!$F$259*AV34*(1/AV16-1/AV30),0)</f>
        <v>0.00664974875500874</v>
      </c>
      <c r="AW31" s="13" t="n">
        <f aca="false">IF(Inputs!$F$34&lt;&gt;1,Inputs!$F$259*AW34*(1/AW16-1/AW30),0)</f>
        <v>0.60207207548417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742.914195159284</v>
      </c>
      <c r="J32" s="13" t="n">
        <f aca="false">J22+J23+J24+J25+J26+J27+J28+J29-J31</f>
        <v>108.013824201974</v>
      </c>
      <c r="K32" s="13" t="n">
        <f aca="false">K22+K23+K24+K25+K26+K27+K28+K29-K31</f>
        <v>1.39712593852848</v>
      </c>
      <c r="L32" s="13" t="n">
        <f aca="false">L22+L23+L24+L25+L26+L27+L28+L29-L31</f>
        <v>1.83356235218097</v>
      </c>
      <c r="M32" s="13" t="n">
        <f aca="false">M22+M23+M24+M25+M26+M27+M28+M29-M31</f>
        <v>2.63929650502864</v>
      </c>
      <c r="N32" s="13" t="n">
        <f aca="false">N22+N23+N24+N25+N26+N27+N28+N29-N31</f>
        <v>3.74788136043555</v>
      </c>
      <c r="O32" s="13" t="n">
        <f aca="false">O22+O23+O24+O25+O26+O27+O28+O29-O31</f>
        <v>5.09350242976283</v>
      </c>
      <c r="P32" s="13" t="n">
        <f aca="false">P22+P23+P24+P25+P26+P27+P28+P29-P31</f>
        <v>6.62309117771409</v>
      </c>
      <c r="Q32" s="13" t="n">
        <f aca="false">Q22+Q23+Q24+Q25+Q26+Q27+Q28+Q29-Q31</f>
        <v>8.27900450036828</v>
      </c>
      <c r="R32" s="13" t="n">
        <f aca="false">R22+R23+R24+R25+R26+R27+R28+R29-R31</f>
        <v>10.0116538622137</v>
      </c>
      <c r="S32" s="13" t="n">
        <f aca="false">S22+S23+S24+S25+S26+S27+S28+S29-S31</f>
        <v>11.7734691813188</v>
      </c>
      <c r="T32" s="13" t="n">
        <f aca="false">T22+T23+T24+T25+T26+T27+T28+T29-T31</f>
        <v>13.5225169630406</v>
      </c>
      <c r="U32" s="13" t="n">
        <f aca="false">U22+U23+U24+U25+U26+U27+U28+U29-U31</f>
        <v>15.2099501027101</v>
      </c>
      <c r="V32" s="13" t="n">
        <f aca="false">V22+V23+V24+V25+V26+V27+V28+V29-V31</f>
        <v>16.8184079752718</v>
      </c>
      <c r="W32" s="13" t="n">
        <f aca="false">W22+W23+W24+W25+W26+W27+W28+W29-W31</f>
        <v>18.308073514368</v>
      </c>
      <c r="X32" s="13" t="n">
        <f aca="false">X22+X23+X24+X25+X26+X27+X28+X29-X31</f>
        <v>19.651367322778</v>
      </c>
      <c r="Y32" s="13" t="n">
        <f aca="false">Y22+Y23+Y24+Y25+Y26+Y27+Y28+Y29-Y31</f>
        <v>20.824808601896</v>
      </c>
      <c r="Z32" s="13" t="n">
        <f aca="false">Z22+Z23+Z24+Z25+Z26+Z27+Z28+Z29-Z31</f>
        <v>21.8087203404048</v>
      </c>
      <c r="AA32" s="13" t="n">
        <f aca="false">AA22+AA23+AA24+AA25+AA26+AA27+AA28+AA29-AA31</f>
        <v>23.7123587042018</v>
      </c>
      <c r="AB32" s="13" t="n">
        <f aca="false">AB22+AB23+AB24+AB25+AB26+AB27+AB28+AB29-AB31</f>
        <v>23.1290298363613</v>
      </c>
      <c r="AC32" s="13" t="n">
        <f aca="false">AC22+AC23+AC24+AC25+AC26+AC27+AC28+AC29-AC31</f>
        <v>23.4609170485476</v>
      </c>
      <c r="AD32" s="13" t="n">
        <f aca="false">AD22+AD23+AD24+AD25+AD26+AD27+AD28+AD29-AD31</f>
        <v>23.9018279079575</v>
      </c>
      <c r="AE32" s="13" t="n">
        <f aca="false">AE22+AE23+AE24+AE25+AE26+AE27+AE28+AE29-AE31</f>
        <v>23.7701161923761</v>
      </c>
      <c r="AF32" s="13" t="n">
        <f aca="false">AF22+AF23+AF24+AF25+AF26+AF27+AF28+AF29-AF31</f>
        <v>23.4059672380132</v>
      </c>
      <c r="AG32" s="13" t="n">
        <f aca="false">AG22+AG23+AG24+AG25+AG26+AG27+AG28+AG29-AG31</f>
        <v>22.8011117276903</v>
      </c>
      <c r="AH32" s="13" t="n">
        <f aca="false">AH22+AH23+AH24+AH25+AH26+AH27+AH28+AH29-AH31</f>
        <v>21.9972388438335</v>
      </c>
      <c r="AI32" s="13" t="n">
        <f aca="false">AI22+AI23+AI24+AI25+AI26+AI27+AI28+AI29-AI31</f>
        <v>20.9915287499807</v>
      </c>
      <c r="AJ32" s="13" t="n">
        <f aca="false">AJ22+AJ23+AJ24+AJ25+AJ26+AJ27+AJ28+AJ29-AJ31</f>
        <v>21.3679677740552</v>
      </c>
      <c r="AK32" s="13" t="n">
        <f aca="false">AK22+AK23+AK24+AK25+AK26+AK27+AK28+AK29-AK31</f>
        <v>20.0134243396009</v>
      </c>
      <c r="AL32" s="13" t="n">
        <f aca="false">AL22+AL23+AL24+AL25+AL26+AL27+AL28+AL29-AL31</f>
        <v>18.518571062632</v>
      </c>
      <c r="AM32" s="13" t="n">
        <f aca="false">AM22+AM23+AM24+AM25+AM26+AM27+AM28+AM29-AM31</f>
        <v>17.443296495692</v>
      </c>
      <c r="AN32" s="13" t="n">
        <f aca="false">AN22+AN23+AN24+AN25+AN26+AN27+AN28+AN29-AN31</f>
        <v>15.75746629617</v>
      </c>
      <c r="AO32" s="13" t="n">
        <f aca="false">AO22+AO23+AO24+AO25+AO26+AO27+AO28+AO29-AO31</f>
        <v>14.0243063836852</v>
      </c>
      <c r="AP32" s="13" t="n">
        <f aca="false">AP22+AP23+AP24+AP25+AP26+AP27+AP28+AP29-AP31</f>
        <v>10.3746752952529</v>
      </c>
      <c r="AQ32" s="13" t="n">
        <f aca="false">AQ22+AQ23+AQ24+AQ25+AQ26+AQ27+AQ28+AQ29-AQ31</f>
        <v>15.9552292324514</v>
      </c>
      <c r="AR32" s="13" t="n">
        <f aca="false">AR22+AR23+AR24+AR25+AR26+AR27+AR28+AR29-AR31</f>
        <v>12.9086311397654</v>
      </c>
      <c r="AS32" s="13" t="n">
        <f aca="false">AS22+AS23+AS24+AS25+AS26+AS27+AS28+AS29-AS31</f>
        <v>11.8629441805435</v>
      </c>
      <c r="AT32" s="13" t="n">
        <f aca="false">AT22+AT23+AT24+AT25+AT26+AT27+AT28+AT29-AT31</f>
        <v>9.54673714160624</v>
      </c>
      <c r="AU32" s="13" t="n">
        <f aca="false">AU22+AU23+AU24+AU25+AU26+AU27+AU28+AU29-AU31</f>
        <v>11.1076353608013</v>
      </c>
      <c r="AV32" s="13" t="n">
        <f aca="false">AV22+AV23+AV24+AV25+AV26+AV27+AV28+AV29-AV31</f>
        <v>8.37023255792853</v>
      </c>
      <c r="AW32" s="13" t="n">
        <f aca="false">AW22+AW23+AW24+AW25+AW26+AW27+AW28+AW29-AW31</f>
        <v>62.936725320143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4.379757396</v>
      </c>
      <c r="L34" s="13" t="n">
        <f aca="false">L20/100*Inputs!$F$59*Inputs!$F$60*Inputs!$F$36</f>
        <v>37.270876664</v>
      </c>
      <c r="M34" s="13" t="n">
        <f aca="false">M20/100*Inputs!$F$59*Inputs!$F$60*Inputs!$F$36</f>
        <v>98.072214632</v>
      </c>
      <c r="N34" s="13" t="n">
        <f aca="false">N20/100*Inputs!$F$59*Inputs!$F$60*Inputs!$F$36</f>
        <v>181.84580953</v>
      </c>
      <c r="O34" s="13" t="n">
        <f aca="false">O20/100*Inputs!$F$59*Inputs!$F$60*Inputs!$F$36</f>
        <v>283.911332376</v>
      </c>
      <c r="P34" s="13" t="n">
        <f aca="false">P20/100*Inputs!$F$59*Inputs!$F$60*Inputs!$F$36</f>
        <v>399.889025774</v>
      </c>
      <c r="Q34" s="13" t="n">
        <f aca="false">Q20/100*Inputs!$F$59*Inputs!$F$60*Inputs!$F$36</f>
        <v>525.656765116</v>
      </c>
      <c r="R34" s="13" t="n">
        <f aca="false">R20/100*Inputs!$F$59*Inputs!$F$60*Inputs!$F$36</f>
        <v>657.435936178</v>
      </c>
      <c r="S34" s="13" t="n">
        <f aca="false">S20/100*Inputs!$F$59*Inputs!$F$60*Inputs!$F$36</f>
        <v>791.662618726</v>
      </c>
      <c r="T34" s="13" t="n">
        <f aca="false">T20/100*Inputs!$F$59*Inputs!$F$60*Inputs!$F$36</f>
        <v>925.11640291</v>
      </c>
      <c r="U34" s="13" t="n">
        <f aca="false">U20/100*Inputs!$F$59*Inputs!$F$60*Inputs!$F$36</f>
        <v>1054.79157287</v>
      </c>
      <c r="V34" s="13" t="n">
        <f aca="false">V20/100*Inputs!$F$59*Inputs!$F$60*Inputs!$F$36</f>
        <v>1178.068861928</v>
      </c>
      <c r="W34" s="13" t="n">
        <f aca="false">W20/100*Inputs!$F$59*Inputs!$F$60*Inputs!$F$36</f>
        <v>1292.4578198</v>
      </c>
      <c r="X34" s="13" t="n">
        <f aca="false">X20/100*Inputs!$F$59*Inputs!$F$60*Inputs!$F$36</f>
        <v>1395.897384182</v>
      </c>
      <c r="Y34" s="13" t="n">
        <f aca="false">Y20/100*Inputs!$F$59*Inputs!$F$60*Inputs!$F$36</f>
        <v>1486.498247962</v>
      </c>
      <c r="Z34" s="13" t="n">
        <f aca="false">Z20/100*Inputs!$F$59*Inputs!$F$60*Inputs!$F$36</f>
        <v>1562.800492008</v>
      </c>
      <c r="AA34" s="13" t="n">
        <f aca="false">AA20/100*Inputs!$F$59*Inputs!$F$60*Inputs!$F$36</f>
        <v>1623.430074784</v>
      </c>
      <c r="AB34" s="13" t="n">
        <f aca="false">AB20/100*Inputs!$F$59*Inputs!$F$60*Inputs!$F$36</f>
        <v>1667.442342734</v>
      </c>
      <c r="AC34" s="13" t="n">
        <f aca="false">AC20/100*Inputs!$F$59*Inputs!$F$60*Inputs!$F$36</f>
        <v>1694.15027509</v>
      </c>
      <c r="AD34" s="13" t="n">
        <f aca="false">AD20/100*Inputs!$F$59*Inputs!$F$60*Inputs!$F$36</f>
        <v>1702.95272868</v>
      </c>
      <c r="AE34" s="13" t="n">
        <f aca="false">AE20/100*Inputs!$F$59*Inputs!$F$60*Inputs!$F$36</f>
        <v>1694.15027509</v>
      </c>
      <c r="AF34" s="13" t="n">
        <f aca="false">AF20/100*Inputs!$F$59*Inputs!$F$60*Inputs!$F$36</f>
        <v>1667.442342734</v>
      </c>
      <c r="AG34" s="13" t="n">
        <f aca="false">AG20/100*Inputs!$F$59*Inputs!$F$60*Inputs!$F$36</f>
        <v>1623.430074784</v>
      </c>
      <c r="AH34" s="13" t="n">
        <f aca="false">AH20/100*Inputs!$F$59*Inputs!$F$60*Inputs!$F$36</f>
        <v>1562.800492008</v>
      </c>
      <c r="AI34" s="13" t="n">
        <f aca="false">AI20/100*Inputs!$F$59*Inputs!$F$60*Inputs!$F$36</f>
        <v>1486.498247962</v>
      </c>
      <c r="AJ34" s="13" t="n">
        <f aca="false">AJ20/100*Inputs!$F$59*Inputs!$F$60*Inputs!$F$36</f>
        <v>1395.897384182</v>
      </c>
      <c r="AK34" s="13" t="n">
        <f aca="false">AK20/100*Inputs!$F$59*Inputs!$F$60*Inputs!$F$36</f>
        <v>1292.4578198</v>
      </c>
      <c r="AL34" s="13" t="n">
        <f aca="false">AL20/100*Inputs!$F$59*Inputs!$F$60*Inputs!$F$36</f>
        <v>1178.068861928</v>
      </c>
      <c r="AM34" s="13" t="n">
        <f aca="false">AM20/100*Inputs!$F$59*Inputs!$F$60*Inputs!$F$36</f>
        <v>1054.79157287</v>
      </c>
      <c r="AN34" s="13" t="n">
        <f aca="false">AN20/100*Inputs!$F$59*Inputs!$F$60*Inputs!$F$36</f>
        <v>925.11640291</v>
      </c>
      <c r="AO34" s="13" t="n">
        <f aca="false">AO20/100*Inputs!$F$59*Inputs!$F$60*Inputs!$F$36</f>
        <v>791.662618726</v>
      </c>
      <c r="AP34" s="13" t="n">
        <f aca="false">AP20/100*Inputs!$F$59*Inputs!$F$60*Inputs!$F$36</f>
        <v>657.435936178</v>
      </c>
      <c r="AQ34" s="13" t="n">
        <f aca="false">AQ20/100*Inputs!$F$59*Inputs!$F$60*Inputs!$F$36</f>
        <v>525.656765116</v>
      </c>
      <c r="AR34" s="13" t="n">
        <f aca="false">AR20/100*Inputs!$F$59*Inputs!$F$60*Inputs!$F$36</f>
        <v>399.889025774</v>
      </c>
      <c r="AS34" s="13" t="n">
        <f aca="false">AS20/100*Inputs!$F$59*Inputs!$F$60*Inputs!$F$36</f>
        <v>283.911332376</v>
      </c>
      <c r="AT34" s="13" t="n">
        <f aca="false">AT20/100*Inputs!$F$59*Inputs!$F$60*Inputs!$F$36</f>
        <v>181.84580953</v>
      </c>
      <c r="AU34" s="13" t="n">
        <f aca="false">AU20/100*Inputs!$F$59*Inputs!$F$60*Inputs!$F$36</f>
        <v>98.072214632</v>
      </c>
      <c r="AV34" s="13" t="n">
        <f aca="false">AV20/100*Inputs!$F$59*Inputs!$F$60*Inputs!$F$36</f>
        <v>37.270876664</v>
      </c>
      <c r="AW34" s="13" t="n">
        <f aca="false">AW20/100*Inputs!$F$59*Inputs!$F$60*Inputs!$F$36</f>
        <v>3224.789607396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0.78835633128</v>
      </c>
      <c r="L35" s="13" t="n">
        <f aca="false">Inputs!$F$70/100*L34</f>
        <v>6.70875779952</v>
      </c>
      <c r="M35" s="13" t="n">
        <f aca="false">Inputs!$F$70/100*M34</f>
        <v>17.65299863376</v>
      </c>
      <c r="N35" s="13" t="n">
        <f aca="false">Inputs!$F$70/100*N34</f>
        <v>32.7322457154</v>
      </c>
      <c r="O35" s="13" t="n">
        <f aca="false">Inputs!$F$70/100*O34</f>
        <v>51.10403982768</v>
      </c>
      <c r="P35" s="13" t="n">
        <f aca="false">Inputs!$F$70/100*P34</f>
        <v>71.98002463932</v>
      </c>
      <c r="Q35" s="13" t="n">
        <f aca="false">Inputs!$F$70/100*Q34</f>
        <v>94.61821772088</v>
      </c>
      <c r="R35" s="13" t="n">
        <f aca="false">Inputs!$F$70/100*R34</f>
        <v>118.33846851204</v>
      </c>
      <c r="S35" s="13" t="n">
        <f aca="false">Inputs!$F$70/100*S34</f>
        <v>142.49927137068</v>
      </c>
      <c r="T35" s="13" t="n">
        <f aca="false">Inputs!$F$70/100*T34</f>
        <v>166.5209525238</v>
      </c>
      <c r="U35" s="13" t="n">
        <f aca="false">Inputs!$F$70/100*U34</f>
        <v>189.8624831166</v>
      </c>
      <c r="V35" s="13" t="n">
        <f aca="false">Inputs!$F$70/100*V34</f>
        <v>212.05239514704</v>
      </c>
      <c r="W35" s="13" t="n">
        <f aca="false">Inputs!$F$70/100*W34</f>
        <v>232.642407564</v>
      </c>
      <c r="X35" s="13" t="n">
        <f aca="false">Inputs!$F$70/100*X34</f>
        <v>251.26152915276</v>
      </c>
      <c r="Y35" s="13" t="n">
        <f aca="false">Inputs!$F$70/100*Y34</f>
        <v>267.56968463316</v>
      </c>
      <c r="Z35" s="13" t="n">
        <f aca="false">Inputs!$F$70/100*Z34</f>
        <v>281.30408856144</v>
      </c>
      <c r="AA35" s="13" t="n">
        <f aca="false">Inputs!$F$70/100*AA34</f>
        <v>292.21741346112</v>
      </c>
      <c r="AB35" s="13" t="n">
        <f aca="false">Inputs!$F$70/100*AB34</f>
        <v>300.13962169212</v>
      </c>
      <c r="AC35" s="13" t="n">
        <f aca="false">Inputs!$F$70/100*AC34</f>
        <v>304.9470495162</v>
      </c>
      <c r="AD35" s="13" t="n">
        <f aca="false">Inputs!$F$70/100*AD34</f>
        <v>306.5314911624</v>
      </c>
      <c r="AE35" s="13" t="n">
        <f aca="false">Inputs!$F$70/100*AE34</f>
        <v>304.9470495162</v>
      </c>
      <c r="AF35" s="13" t="n">
        <f aca="false">Inputs!$F$70/100*AF34</f>
        <v>300.13962169212</v>
      </c>
      <c r="AG35" s="13" t="n">
        <f aca="false">Inputs!$F$70/100*AG34</f>
        <v>292.21741346112</v>
      </c>
      <c r="AH35" s="13" t="n">
        <f aca="false">Inputs!$F$70/100*AH34</f>
        <v>281.30408856144</v>
      </c>
      <c r="AI35" s="13" t="n">
        <f aca="false">Inputs!$F$70/100*AI34</f>
        <v>267.56968463316</v>
      </c>
      <c r="AJ35" s="13" t="n">
        <f aca="false">Inputs!$F$70/100*AJ34</f>
        <v>251.26152915276</v>
      </c>
      <c r="AK35" s="13" t="n">
        <f aca="false">Inputs!$F$70/100*AK34</f>
        <v>232.642407564</v>
      </c>
      <c r="AL35" s="13" t="n">
        <f aca="false">Inputs!$F$70/100*AL34</f>
        <v>212.05239514704</v>
      </c>
      <c r="AM35" s="13" t="n">
        <f aca="false">Inputs!$F$70/100*AM34</f>
        <v>189.8624831166</v>
      </c>
      <c r="AN35" s="13" t="n">
        <f aca="false">Inputs!$F$70/100*AN34</f>
        <v>166.5209525238</v>
      </c>
      <c r="AO35" s="13" t="n">
        <f aca="false">Inputs!$F$70/100*AO34</f>
        <v>142.49927137068</v>
      </c>
      <c r="AP35" s="13" t="n">
        <f aca="false">Inputs!$F$70/100*AP34</f>
        <v>118.33846851204</v>
      </c>
      <c r="AQ35" s="13" t="n">
        <f aca="false">Inputs!$F$70/100*AQ34</f>
        <v>94.61821772088</v>
      </c>
      <c r="AR35" s="13" t="n">
        <f aca="false">Inputs!$F$70/100*AR34</f>
        <v>71.98002463932</v>
      </c>
      <c r="AS35" s="13" t="n">
        <f aca="false">Inputs!$F$70/100*AS34</f>
        <v>51.10403982768</v>
      </c>
      <c r="AT35" s="13" t="n">
        <f aca="false">Inputs!$F$70/100*AT34</f>
        <v>32.7322457154</v>
      </c>
      <c r="AU35" s="13" t="n">
        <f aca="false">Inputs!$F$70/100*AU34</f>
        <v>17.65299863376</v>
      </c>
      <c r="AV35" s="13" t="n">
        <f aca="false">Inputs!$F$70/100*AV34</f>
        <v>6.70875779952</v>
      </c>
      <c r="AW35" s="13" t="n">
        <f aca="false">Inputs!$F$70/100*AW34</f>
        <v>580.46212933128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0.78835633128</v>
      </c>
      <c r="U36" s="13" t="n">
        <f aca="false">SUMIFS($J$35:$BJ$35,$J$8:$BJ$8,U8-Inputs!$F$246)</f>
        <v>6.70875779952</v>
      </c>
      <c r="V36" s="13" t="n">
        <f aca="false">SUMIFS($J$35:$BJ$35,$J$8:$BJ$8,V8-Inputs!$F$246)</f>
        <v>17.65299863376</v>
      </c>
      <c r="W36" s="13" t="n">
        <f aca="false">SUMIFS($J$35:$BJ$35,$J$8:$BJ$8,W8-Inputs!$F$246)</f>
        <v>32.7322457154</v>
      </c>
      <c r="X36" s="13" t="n">
        <f aca="false">SUMIFS($J$35:$BJ$35,$J$8:$BJ$8,X8-Inputs!$F$246)</f>
        <v>51.10403982768</v>
      </c>
      <c r="Y36" s="13" t="n">
        <f aca="false">SUMIFS($J$35:$BJ$35,$J$8:$BJ$8,Y8-Inputs!$F$246)</f>
        <v>71.98002463932</v>
      </c>
      <c r="Z36" s="13" t="n">
        <f aca="false">SUMIFS($J$35:$BJ$35,$J$8:$BJ$8,Z8-Inputs!$F$246)</f>
        <v>94.61821772088</v>
      </c>
      <c r="AA36" s="13" t="n">
        <f aca="false">SUMIFS($J$35:$BJ$35,$J$8:$BJ$8,AA8-Inputs!$F$246)</f>
        <v>118.33846851204</v>
      </c>
      <c r="AB36" s="13" t="n">
        <f aca="false">SUMIFS($J$35:$BJ$35,$J$8:$BJ$8,AB8-Inputs!$F$246)</f>
        <v>142.49927137068</v>
      </c>
      <c r="AC36" s="13" t="n">
        <f aca="false">SUMIFS($J$35:$BJ$35,$J$8:$BJ$8,AC8-Inputs!$F$246)</f>
        <v>166.5209525238</v>
      </c>
      <c r="AD36" s="13" t="n">
        <f aca="false">SUMIFS($J$35:$BJ$35,$J$8:$BJ$8,AD8-Inputs!$F$246)</f>
        <v>189.8624831166</v>
      </c>
      <c r="AE36" s="13" t="n">
        <f aca="false">SUMIFS($J$35:$BJ$35,$J$8:$BJ$8,AE8-Inputs!$F$246)</f>
        <v>212.05239514704</v>
      </c>
      <c r="AF36" s="13" t="n">
        <f aca="false">SUMIFS($J$35:$BJ$35,$J$8:$BJ$8,AF8-Inputs!$F$246)</f>
        <v>232.642407564</v>
      </c>
      <c r="AG36" s="13" t="n">
        <f aca="false">SUMIFS($J$35:$BJ$35,$J$8:$BJ$8,AG8-Inputs!$F$246)</f>
        <v>251.26152915276</v>
      </c>
      <c r="AH36" s="13" t="n">
        <f aca="false">SUMIFS($J$35:$BJ$35,$J$8:$BJ$8,AH8-Inputs!$F$246)</f>
        <v>267.56968463316</v>
      </c>
      <c r="AI36" s="13" t="n">
        <f aca="false">SUMIFS($J$35:$BJ$35,$J$8:$BJ$8,AI8-Inputs!$F$246)</f>
        <v>281.30408856144</v>
      </c>
      <c r="AJ36" s="13" t="n">
        <f aca="false">SUMIFS($J$35:$BJ$35,$J$8:$BJ$8,AJ8-Inputs!$F$246)</f>
        <v>292.21741346112</v>
      </c>
      <c r="AK36" s="13" t="n">
        <f aca="false">SUMIFS($J$35:$BJ$35,$J$8:$BJ$8,AK8-Inputs!$F$246)</f>
        <v>300.13962169212</v>
      </c>
      <c r="AL36" s="13" t="n">
        <f aca="false">SUMIFS($J$35:$BJ$35,$J$8:$BJ$8,AL8-Inputs!$F$246)</f>
        <v>304.9470495162</v>
      </c>
      <c r="AM36" s="13" t="n">
        <f aca="false">SUMIFS($J$35:$BJ$35,$J$8:$BJ$8,AM8-Inputs!$F$246)</f>
        <v>306.5314911624</v>
      </c>
      <c r="AN36" s="13" t="n">
        <f aca="false">SUMIFS($J$35:$BJ$35,$J$8:$BJ$8,AN8-Inputs!$F$246)</f>
        <v>304.9470495162</v>
      </c>
      <c r="AO36" s="13" t="n">
        <f aca="false">SUMIFS($J$35:$BJ$35,$J$8:$BJ$8,AO8-Inputs!$F$246)</f>
        <v>300.13962169212</v>
      </c>
      <c r="AP36" s="13" t="n">
        <f aca="false">SUMIFS($J$35:$BJ$35,$J$8:$BJ$8,AP8-Inputs!$F$246)</f>
        <v>292.21741346112</v>
      </c>
      <c r="AQ36" s="13" t="n">
        <f aca="false">SUMIFS($J$35:$BJ$35,$J$8:$BJ$8,AQ8-Inputs!$F$246)</f>
        <v>281.30408856144</v>
      </c>
      <c r="AR36" s="13" t="n">
        <f aca="false">SUMIFS($J$35:$BJ$35,$J$8:$BJ$8,AR8-Inputs!$F$246)</f>
        <v>267.56968463316</v>
      </c>
      <c r="AS36" s="13" t="n">
        <f aca="false">SUMIFS($J$35:$BJ$35,$J$8:$BJ$8,AS8-Inputs!$F$246)</f>
        <v>251.26152915276</v>
      </c>
      <c r="AT36" s="13" t="n">
        <f aca="false">SUMIFS($J$35:$BJ$35,$J$8:$BJ$8,AT8-Inputs!$F$246)</f>
        <v>232.642407564</v>
      </c>
      <c r="AU36" s="13" t="n">
        <f aca="false">SUMIFS($J$35:$BJ$35,$J$8:$BJ$8,AU8-Inputs!$F$246)</f>
        <v>212.05239514704</v>
      </c>
      <c r="AV36" s="13" t="n">
        <f aca="false">SUMIFS($J$35:$BJ$35,$J$8:$BJ$8,AV8-Inputs!$F$246)</f>
        <v>189.8624831166</v>
      </c>
      <c r="AW36" s="13" t="n">
        <f aca="false">SUMIFS($J$35:$BJ$35,$J$8:$BJ$8,AW8-Inputs!$F$246)</f>
        <v>166.5209525238</v>
      </c>
      <c r="AX36" s="13" t="n">
        <f aca="false">SUMIFS($J$35:$BJ$35,$J$8:$BJ$8,AX8-Inputs!$F$246)</f>
        <v>142.49927137068</v>
      </c>
      <c r="AY36" s="13" t="n">
        <f aca="false">SUMIFS($J$35:$BJ$35,$J$8:$BJ$8,AY8-Inputs!$F$246)</f>
        <v>118.33846851204</v>
      </c>
      <c r="AZ36" s="13" t="n">
        <f aca="false">SUMIFS($J$35:$BJ$35,$J$8:$BJ$8,AZ8-Inputs!$F$246)</f>
        <v>94.61821772088</v>
      </c>
      <c r="BA36" s="13" t="n">
        <f aca="false">SUMIFS($J$35:$BJ$35,$J$8:$BJ$8,BA8-Inputs!$F$246)</f>
        <v>71.98002463932</v>
      </c>
      <c r="BB36" s="13" t="n">
        <f aca="false">SUMIFS($J$35:$BJ$35,$J$8:$BJ$8,BB8-Inputs!$F$246)</f>
        <v>51.10403982768</v>
      </c>
      <c r="BC36" s="13" t="n">
        <f aca="false">SUMIFS($J$35:$BJ$35,$J$8:$BJ$8,BC8-Inputs!$F$246)</f>
        <v>32.7322457154</v>
      </c>
      <c r="BD36" s="13" t="n">
        <f aca="false">SUMIFS($J$35:$BJ$35,$J$8:$BJ$8,BD8-Inputs!$F$246)</f>
        <v>17.65299863376</v>
      </c>
      <c r="BE36" s="13" t="n">
        <f aca="false">SUMIFS($J$35:$BJ$35,$J$8:$BJ$8,BE8-Inputs!$F$246)</f>
        <v>6.70875779952</v>
      </c>
      <c r="BF36" s="13" t="n">
        <f aca="false">SUMIFS($J$35:$BJ$35,$J$8:$BJ$8,BF8-Inputs!$F$246)</f>
        <v>580.46212933128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773.68672033128</v>
      </c>
      <c r="L37" s="13" t="n">
        <f aca="false">K37+L35-L36</f>
        <v>780.3954781308</v>
      </c>
      <c r="M37" s="13" t="n">
        <f aca="false">L37+M35-M36</f>
        <v>798.04847676456</v>
      </c>
      <c r="N37" s="13" t="n">
        <f aca="false">M37+N35-N36</f>
        <v>830.78072247996</v>
      </c>
      <c r="O37" s="13" t="n">
        <f aca="false">N37+O35-O36</f>
        <v>881.88476230764</v>
      </c>
      <c r="P37" s="13" t="n">
        <f aca="false">O37+P35-P36</f>
        <v>953.86478694696</v>
      </c>
      <c r="Q37" s="13" t="n">
        <f aca="false">P37+Q35-Q36</f>
        <v>1048.48300466784</v>
      </c>
      <c r="R37" s="13" t="n">
        <f aca="false">Q37+R35-R36</f>
        <v>1166.82147317988</v>
      </c>
      <c r="S37" s="13" t="n">
        <f aca="false">R37+S35-S36</f>
        <v>536.42238055056</v>
      </c>
      <c r="T37" s="13" t="n">
        <f aca="false">S37+T35-T36</f>
        <v>702.15497674308</v>
      </c>
      <c r="U37" s="13" t="n">
        <f aca="false">T37+U35-U36</f>
        <v>885.30870206016</v>
      </c>
      <c r="V37" s="13" t="n">
        <f aca="false">U37+V35-V36</f>
        <v>1079.70809857344</v>
      </c>
      <c r="W37" s="13" t="n">
        <f aca="false">V37+W35-W36</f>
        <v>1279.61826042204</v>
      </c>
      <c r="X37" s="13" t="n">
        <f aca="false">W37+X35-X36</f>
        <v>1479.77574974712</v>
      </c>
      <c r="Y37" s="13" t="n">
        <f aca="false">X37+Y35-Y36</f>
        <v>1675.36540974096</v>
      </c>
      <c r="Z37" s="13" t="n">
        <f aca="false">Y37+Z35-Z36</f>
        <v>1862.05128058152</v>
      </c>
      <c r="AA37" s="13" t="n">
        <f aca="false">Z37+AA35-AA36</f>
        <v>2035.9302255306</v>
      </c>
      <c r="AB37" s="13" t="n">
        <f aca="false">AA37+AB35-AB36</f>
        <v>2193.57057585204</v>
      </c>
      <c r="AC37" s="13" t="n">
        <f aca="false">AB37+AC35-AC36</f>
        <v>2331.99667284444</v>
      </c>
      <c r="AD37" s="13" t="n">
        <f aca="false">AC37+AD35-AD36</f>
        <v>2448.66568089024</v>
      </c>
      <c r="AE37" s="13" t="n">
        <f aca="false">AD37+AE35-AE36</f>
        <v>2541.5603352594</v>
      </c>
      <c r="AF37" s="13" t="n">
        <f aca="false">AE37+AF35-AF36</f>
        <v>2609.05754938752</v>
      </c>
      <c r="AG37" s="13" t="n">
        <f aca="false">AF37+AG35-AG36</f>
        <v>2650.01343369588</v>
      </c>
      <c r="AH37" s="13" t="n">
        <f aca="false">AG37+AH35-AH36</f>
        <v>2663.74783762416</v>
      </c>
      <c r="AI37" s="13" t="n">
        <f aca="false">AH37+AI35-AI36</f>
        <v>2650.01343369588</v>
      </c>
      <c r="AJ37" s="13" t="n">
        <f aca="false">AI37+AJ35-AJ36</f>
        <v>2609.05754938752</v>
      </c>
      <c r="AK37" s="13" t="n">
        <f aca="false">AJ37+AK35-AK36</f>
        <v>2541.5603352594</v>
      </c>
      <c r="AL37" s="13" t="n">
        <f aca="false">AK37+AL35-AL36</f>
        <v>2448.66568089024</v>
      </c>
      <c r="AM37" s="13" t="n">
        <f aca="false">AL37+AM35-AM36</f>
        <v>2331.99667284444</v>
      </c>
      <c r="AN37" s="13" t="n">
        <f aca="false">AM37+AN35-AN36</f>
        <v>2193.57057585204</v>
      </c>
      <c r="AO37" s="13" t="n">
        <f aca="false">AN37+AO35-AO36</f>
        <v>2035.9302255306</v>
      </c>
      <c r="AP37" s="13" t="n">
        <f aca="false">AO37+AP35-AP36</f>
        <v>1862.05128058152</v>
      </c>
      <c r="AQ37" s="13" t="n">
        <f aca="false">AP37+AQ35-AQ36</f>
        <v>1675.36540974096</v>
      </c>
      <c r="AR37" s="13" t="n">
        <f aca="false">AQ37+AR35-AR36</f>
        <v>1479.77574974712</v>
      </c>
      <c r="AS37" s="13" t="n">
        <f aca="false">AR37+AS35-AS36</f>
        <v>1279.61826042204</v>
      </c>
      <c r="AT37" s="13" t="n">
        <f aca="false">AS37+AT35-AT36</f>
        <v>1079.70809857344</v>
      </c>
      <c r="AU37" s="13" t="n">
        <f aca="false">AT37+AU35-AU36</f>
        <v>885.30870206016</v>
      </c>
      <c r="AV37" s="13" t="n">
        <f aca="false">AU37+AV35-AV36</f>
        <v>702.15497674308</v>
      </c>
      <c r="AW37" s="13" t="n">
        <f aca="false">AV37+AW35-AW36</f>
        <v>1116.09615355056</v>
      </c>
      <c r="AX37" s="13" t="n">
        <f aca="false">AW37+AX35-AX36</f>
        <v>973.59688217988</v>
      </c>
      <c r="AY37" s="13" t="n">
        <f aca="false">AX37+AY35-AY36</f>
        <v>855.25841366784</v>
      </c>
      <c r="AZ37" s="13" t="n">
        <f aca="false">AY37+AZ35-AZ36</f>
        <v>760.64019594696</v>
      </c>
      <c r="BA37" s="13" t="n">
        <f aca="false">AZ37+BA35-BA36</f>
        <v>688.66017130764</v>
      </c>
      <c r="BB37" s="13" t="n">
        <f aca="false">BA37+BB35-BB36</f>
        <v>637.55613147996</v>
      </c>
      <c r="BC37" s="13" t="n">
        <f aca="false">BB37+BC35-BC36</f>
        <v>604.82388576456</v>
      </c>
      <c r="BD37" s="13" t="n">
        <f aca="false">BC37+BD35-BD36</f>
        <v>587.1708871308</v>
      </c>
      <c r="BE37" s="13" t="n">
        <f aca="false">BD37+BE35-BE36</f>
        <v>580.46212933128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1.64923784986982</v>
      </c>
      <c r="J38" s="13" t="n">
        <f aca="false">I37*(J18+Inputs!$F$71)/100*J11/Inputs!$F$248/J16</f>
        <v>0</v>
      </c>
      <c r="K38" s="13" t="n">
        <f aca="false">J37*(K18+Inputs!$F$71)/100*K11/Inputs!$F$248/K16</f>
        <v>0.0193750340622209</v>
      </c>
      <c r="L38" s="13" t="n">
        <f aca="false">K37*(L18+Inputs!$F$71)/100*L11/Inputs!$F$248/L16</f>
        <v>0.0200412898168632</v>
      </c>
      <c r="M38" s="13" t="n">
        <f aca="false">L37*(M18+Inputs!$F$71)/100*M11/Inputs!$F$248/M16</f>
        <v>0.0195629718926245</v>
      </c>
      <c r="N38" s="13" t="n">
        <f aca="false">M37*(N18+Inputs!$F$71)/100*N11/Inputs!$F$248/N16</f>
        <v>0.0206723475929591</v>
      </c>
      <c r="O38" s="13" t="n">
        <f aca="false">N37*(O18+Inputs!$F$71)/100*O11/Inputs!$F$248/O16</f>
        <v>0.0209414086059241</v>
      </c>
      <c r="P38" s="13" t="n">
        <f aca="false">O37*(P18+Inputs!$F$71)/100*P11/Inputs!$F$248/P16</f>
        <v>0.0200783331688696</v>
      </c>
      <c r="Q38" s="13" t="n">
        <f aca="false">P37*(Q18+Inputs!$F$71)/100*Q11/Inputs!$F$248/Q16</f>
        <v>0.0240439766086904</v>
      </c>
      <c r="R38" s="13" t="n">
        <f aca="false">Q37*(R18+Inputs!$F$71)/100*R11/Inputs!$F$248/R16</f>
        <v>0.0255764601195073</v>
      </c>
      <c r="S38" s="13" t="n">
        <f aca="false">R37*(S18+Inputs!$F$71)/100*S11/Inputs!$F$248/S16</f>
        <v>0.0294119550187512</v>
      </c>
      <c r="T38" s="13" t="n">
        <f aca="false">S37*(T18+Inputs!$F$71)/100*T11/Inputs!$F$248/T16</f>
        <v>0.013085367681004</v>
      </c>
      <c r="U38" s="13" t="n">
        <f aca="false">T37*(U18+Inputs!$F$71)/100*U11/Inputs!$F$248/U16</f>
        <v>0.0173074783868052</v>
      </c>
      <c r="V38" s="13" t="n">
        <f aca="false">U37*(V18+Inputs!$F$71)/100*V11/Inputs!$F$248/V16</f>
        <v>0.0218220503080807</v>
      </c>
      <c r="W38" s="13" t="n">
        <f aca="false">V37*(W18+Inputs!$F$71)/100*W11/Inputs!$F$248/W16</f>
        <v>0.0257553074956206</v>
      </c>
      <c r="X38" s="13" t="n">
        <f aca="false">W37*(X18+Inputs!$F$71)/100*X11/Inputs!$F$248/X16</f>
        <v>0.0315414205113856</v>
      </c>
      <c r="Y38" s="13" t="n">
        <f aca="false">X37*(Y18+Inputs!$F$71)/100*Y11/Inputs!$F$248/Y16</f>
        <v>0.0352985029098652</v>
      </c>
      <c r="Z38" s="13" t="n">
        <f aca="false">Y37*(Z18+Inputs!$F$71)/100*Z11/Inputs!$F$248/Z16</f>
        <v>0.0412962260177819</v>
      </c>
      <c r="AA38" s="13" t="n">
        <f aca="false">Z37*(AA18+Inputs!$F$71)/100*AA11/Inputs!$F$248/AA16</f>
        <v>0.0447058151492538</v>
      </c>
      <c r="AB38" s="13" t="n">
        <f aca="false">AA37*(AB18+Inputs!$F$71)/100*AB11/Inputs!$F$248/AB16</f>
        <v>0.0457268805192022</v>
      </c>
      <c r="AC38" s="13" t="n">
        <f aca="false">AB37*(AC18+Inputs!$F$71)/100*AC11/Inputs!$F$248/AC16</f>
        <v>0.0526652309222427</v>
      </c>
      <c r="AD38" s="13" t="n">
        <f aca="false">AC37*(AD18+Inputs!$F$71)/100*AD11/Inputs!$F$248/AD16</f>
        <v>0.0541826033673136</v>
      </c>
      <c r="AE38" s="13" t="n">
        <f aca="false">AD37*(AE18+Inputs!$F$71)/100*AE11/Inputs!$F$248/AE16</f>
        <v>0.058789785455325</v>
      </c>
      <c r="AF38" s="13" t="n">
        <f aca="false">AE37*(AF18+Inputs!$F$71)/100*AF11/Inputs!$F$248/AF16</f>
        <v>0.0590516947056736</v>
      </c>
      <c r="AG38" s="13" t="n">
        <f aca="false">AF37*(AG18+Inputs!$F$71)/100*AG11/Inputs!$F$248/AG16</f>
        <v>0.061149689996844</v>
      </c>
      <c r="AH38" s="13" t="n">
        <f aca="false">AG37*(AH18+Inputs!$F$71)/100*AH11/Inputs!$F$248/AH16</f>
        <v>0.0621095920233787</v>
      </c>
      <c r="AI38" s="13" t="n">
        <f aca="false">AH37*(AI18+Inputs!$F$71)/100*AI11/Inputs!$F$248/AI16</f>
        <v>0.0604175725242808</v>
      </c>
      <c r="AJ38" s="13" t="n">
        <f aca="false">AI37*(AJ18+Inputs!$F$71)/100*AJ11/Inputs!$F$248/AJ16</f>
        <v>0.0621095920233787</v>
      </c>
      <c r="AK38" s="13" t="n">
        <f aca="false">AJ37*(AK18+Inputs!$F$71)/100*AK11/Inputs!$F$248/AK16</f>
        <v>0.0591771193517845</v>
      </c>
      <c r="AL38" s="13" t="n">
        <f aca="false">AK37*(AL18+Inputs!$F$71)/100*AL11/Inputs!$F$248/AL16</f>
        <v>0.0595677265324681</v>
      </c>
      <c r="AM38" s="13" t="n">
        <f aca="false">AL37*(AM18+Inputs!$F$71)/100*AM11/Inputs!$F$248/AM16</f>
        <v>0.0556997297752159</v>
      </c>
      <c r="AN38" s="13" t="n">
        <f aca="false">AM37*(AN18+Inputs!$F$71)/100*AN11/Inputs!$F$248/AN16</f>
        <v>0.0479123924877349</v>
      </c>
      <c r="AO38" s="13" t="n">
        <f aca="false">AN37*(AO18+Inputs!$F$71)/100*AO11/Inputs!$F$248/AO16</f>
        <v>0.049897088553715</v>
      </c>
      <c r="AP38" s="13" t="n">
        <f aca="false">AO37*(AP18+Inputs!$F$71)/100*AP11/Inputs!$F$248/AP16</f>
        <v>0.0448173366897968</v>
      </c>
      <c r="AQ38" s="13" t="n">
        <f aca="false">AP37*(AQ18+Inputs!$F$71)/100*AQ11/Inputs!$F$248/AQ16</f>
        <v>0.0423560284139231</v>
      </c>
      <c r="AR38" s="13" t="n">
        <f aca="false">AQ37*(AR18+Inputs!$F$71)/100*AR11/Inputs!$F$248/AR16</f>
        <v>0.0368801517386144</v>
      </c>
      <c r="AS38" s="13" t="n">
        <f aca="false">AR37*(AS18+Inputs!$F$71)/100*AS11/Inputs!$F$248/AS16</f>
        <v>0.032986767513149</v>
      </c>
      <c r="AT38" s="13" t="n">
        <f aca="false">AS37*(AT18+Inputs!$F$71)/100*AT11/Inputs!$F$248/AT16</f>
        <v>0.0285249099867567</v>
      </c>
      <c r="AU38" s="13" t="n">
        <f aca="false">AT37*(AU18+Inputs!$F$71)/100*AU11/Inputs!$F$248/AU16</f>
        <v>0.0232921604697107</v>
      </c>
      <c r="AV38" s="13" t="n">
        <f aca="false">AU37*(AV18+Inputs!$F$71)/100*AV11/Inputs!$F$248/AV16</f>
        <v>0.0197350661660842</v>
      </c>
      <c r="AW38" s="13" t="n">
        <f aca="false">AV37*(AW18+Inputs!$F$71)/100*AW11/Inputs!$F$248/AW16</f>
        <v>0.0151473406696814</v>
      </c>
      <c r="AX38" s="13" t="n">
        <f aca="false">AW37*(AX18+Inputs!$F$71)/100*AX11/Inputs!$F$248/AX16</f>
        <v>0.0248797186639826</v>
      </c>
      <c r="AY38" s="13" t="n">
        <f aca="false">AX37*(AY18+Inputs!$F$71)/100*AY11/Inputs!$F$248/AY16</f>
        <v>0.0284356212633611</v>
      </c>
      <c r="AZ38" s="13" t="n">
        <f aca="false">AY37*(AZ18+Inputs!$F$71)/100*AZ11/Inputs!$F$248/AZ16</f>
        <v>0.0225619815385641</v>
      </c>
      <c r="BA38" s="13" t="n">
        <f aca="false">AZ37*(BA18+Inputs!$F$71)/100*BA11/Inputs!$F$248/BA16</f>
        <v>0.0222158440783096</v>
      </c>
      <c r="BB38" s="13" t="n">
        <f aca="false">BA37*(BB18+Inputs!$F$71)/100*BB11/Inputs!$F$248/BB16</f>
        <v>0.0194647161060365</v>
      </c>
      <c r="BC38" s="13" t="n">
        <f aca="false">BB37*(BC18+Inputs!$F$71)/100*BC11/Inputs!$F$248/BC16</f>
        <v>0.0186209559836576</v>
      </c>
      <c r="BD38" s="13" t="n">
        <f aca="false">BC37*(BD18+Inputs!$F$71)/100*BD11/Inputs!$F$248/BD16</f>
        <v>0.017095115589744</v>
      </c>
      <c r="BE38" s="13" t="n">
        <f aca="false">BD37*(BE18+Inputs!$F$71)/100*BE11/Inputs!$F$248/BE16</f>
        <v>0.0167212706702603</v>
      </c>
      <c r="BF38" s="13" t="n">
        <f aca="false">BE37*(BF18+Inputs!$F$71)/100*BF11/Inputs!$F$248/BF16</f>
        <v>0.0165302207434236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2.87</v>
      </c>
      <c r="L8" s="13" t="n">
        <f aca="false">CHOOSE(Inputs!$F$33,Inputs!L291,Inputs!L292,Inputs!L293)</f>
        <v>2.2</v>
      </c>
      <c r="M8" s="13" t="n">
        <f aca="false">CHOOSE(Inputs!$F$33,Inputs!M291,Inputs!M292,Inputs!M293)</f>
        <v>1.91</v>
      </c>
      <c r="N8" s="13" t="n">
        <f aca="false">CHOOSE(Inputs!$F$33,Inputs!N291,Inputs!N292,Inputs!N293)</f>
        <v>0.37</v>
      </c>
      <c r="O8" s="13" t="n">
        <f aca="false">CHOOSE(Inputs!$F$33,Inputs!O291,Inputs!O292,Inputs!O293)</f>
        <v>0.25</v>
      </c>
      <c r="P8" s="13" t="n">
        <f aca="false">CHOOSE(Inputs!$F$33,Inputs!P291,Inputs!P292,Inputs!P293)</f>
        <v>0.16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2.87</v>
      </c>
      <c r="L9" s="13" t="n">
        <f aca="false">L8+Inputs!$F$42*Time!L39</f>
        <v>2.2</v>
      </c>
      <c r="M9" s="13" t="n">
        <f aca="false">M8+Inputs!$F$42*Time!M39</f>
        <v>1.91</v>
      </c>
      <c r="N9" s="13" t="n">
        <f aca="false">N8+Inputs!$F$42*Time!N39</f>
        <v>0.37</v>
      </c>
      <c r="O9" s="13" t="n">
        <f aca="false">O8+Inputs!$F$42*Time!O39</f>
        <v>0.25</v>
      </c>
      <c r="P9" s="13" t="n">
        <f aca="false">P8+Inputs!$F$42*Time!P39</f>
        <v>0.16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524.6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539.1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551.3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566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579.8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597.4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609.6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625.206871438513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641.213307240704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657.62953698278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674.466052136749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691.733612775429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709.443254449124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727.606295238343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746.234342987092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765.339302721348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784.93338425746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805.029110005332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825.639322971398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846.777194966469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868.456235023731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890.690298032245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913.493593591497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936.880695092625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960.866549032152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985.46648456416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1010.69622329703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1036.57188934097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1063.11001961282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1090.32757440464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1118.24194822288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1146.87098090508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1176.23296902113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1206.34667756649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1237.23135195471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1268.90673031701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1301.39305611675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1334.71109108687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1368.88212849854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1403.92800676946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1439.87112342067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1476.73444939057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1514.54154371548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1553.31656858598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1593.08430478879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1633.87016754396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1675.7002227475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1718.6012036299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1762.60052784106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1807.72631497274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1854.00740452949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1901.47337435978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1950.1545595589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2000.08207185593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2051.28781949689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2103.80452763711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2157.66575925554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524.6</v>
      </c>
      <c r="K11" s="13" t="n">
        <f aca="false">K10/(1-Inputs!$F$43*Time!K39)</f>
        <v>539.1</v>
      </c>
      <c r="L11" s="13" t="n">
        <f aca="false">L10/(1-Inputs!$F$43*Time!L39)</f>
        <v>551.3</v>
      </c>
      <c r="M11" s="13" t="n">
        <f aca="false">M10/(1-Inputs!$F$43*Time!M39)</f>
        <v>566</v>
      </c>
      <c r="N11" s="13" t="n">
        <f aca="false">N10/(1-Inputs!$F$43*Time!N39)</f>
        <v>579.8</v>
      </c>
      <c r="O11" s="13" t="n">
        <f aca="false">O10/(1-Inputs!$F$43*Time!O39)</f>
        <v>597.4</v>
      </c>
      <c r="P11" s="13" t="n">
        <f aca="false">P10/(1-Inputs!$F$43*Time!P39)</f>
        <v>609.6</v>
      </c>
      <c r="Q11" s="13" t="n">
        <f aca="false">Q10/(1-Inputs!$F$43*Time!Q39)</f>
        <v>625.206871438513</v>
      </c>
      <c r="R11" s="13" t="n">
        <f aca="false">R10/(1-Inputs!$F$43*Time!R39)</f>
        <v>641.213307240704</v>
      </c>
      <c r="S11" s="13" t="n">
        <f aca="false">S10/(1-Inputs!$F$43*Time!S39)</f>
        <v>657.62953698278</v>
      </c>
      <c r="T11" s="13" t="n">
        <f aca="false">T10/(1-Inputs!$F$43*Time!T39)</f>
        <v>674.466052136749</v>
      </c>
      <c r="U11" s="13" t="n">
        <f aca="false">U10/(1-Inputs!$F$43*Time!U39)</f>
        <v>691.733612775429</v>
      </c>
      <c r="V11" s="13" t="n">
        <f aca="false">V10/(1-Inputs!$F$43*Time!V39)</f>
        <v>709.443254449124</v>
      </c>
      <c r="W11" s="13" t="n">
        <f aca="false">W10/(1-Inputs!$F$43*Time!W39)</f>
        <v>727.606295238343</v>
      </c>
      <c r="X11" s="13" t="n">
        <f aca="false">X10/(1-Inputs!$F$43*Time!X39)</f>
        <v>746.234342987092</v>
      </c>
      <c r="Y11" s="13" t="n">
        <f aca="false">Y10/(1-Inputs!$F$43*Time!Y39)</f>
        <v>765.339302721348</v>
      </c>
      <c r="Z11" s="13" t="n">
        <f aca="false">Z10/(1-Inputs!$F$43*Time!Z39)</f>
        <v>784.93338425746</v>
      </c>
      <c r="AA11" s="13" t="n">
        <f aca="false">AA10/(1-Inputs!$F$43*Time!AA39)</f>
        <v>805.029110005332</v>
      </c>
      <c r="AB11" s="13" t="n">
        <f aca="false">AB10/(1-Inputs!$F$43*Time!AB39)</f>
        <v>825.639322971398</v>
      </c>
      <c r="AC11" s="13" t="n">
        <f aca="false">AC10/(1-Inputs!$F$43*Time!AC39)</f>
        <v>846.777194966469</v>
      </c>
      <c r="AD11" s="13" t="n">
        <f aca="false">AD10/(1-Inputs!$F$43*Time!AD39)</f>
        <v>868.456235023731</v>
      </c>
      <c r="AE11" s="13" t="n">
        <f aca="false">AE10/(1-Inputs!$F$43*Time!AE39)</f>
        <v>890.690298032245</v>
      </c>
      <c r="AF11" s="13" t="n">
        <f aca="false">AF10/(1-Inputs!$F$43*Time!AF39)</f>
        <v>913.493593591497</v>
      </c>
      <c r="AG11" s="13" t="n">
        <f aca="false">AG10/(1-Inputs!$F$43*Time!AG39)</f>
        <v>936.880695092625</v>
      </c>
      <c r="AH11" s="13" t="n">
        <f aca="false">AH10/(1-Inputs!$F$43*Time!AH39)</f>
        <v>960.866549032152</v>
      </c>
      <c r="AI11" s="13" t="n">
        <f aca="false">AI10/(1-Inputs!$F$43*Time!AI39)</f>
        <v>985.46648456416</v>
      </c>
      <c r="AJ11" s="13" t="n">
        <f aca="false">AJ10/(1-Inputs!$F$43*Time!AJ39)</f>
        <v>1010.69622329703</v>
      </c>
      <c r="AK11" s="13" t="n">
        <f aca="false">AK10/(1-Inputs!$F$43*Time!AK39)</f>
        <v>1036.57188934097</v>
      </c>
      <c r="AL11" s="13" t="n">
        <f aca="false">AL10/(1-Inputs!$F$43*Time!AL39)</f>
        <v>1063.11001961282</v>
      </c>
      <c r="AM11" s="13" t="n">
        <f aca="false">AM10/(1-Inputs!$F$43*Time!AM39)</f>
        <v>1090.32757440464</v>
      </c>
      <c r="AN11" s="13" t="n">
        <f aca="false">AN10/(1-Inputs!$F$43*Time!AN39)</f>
        <v>1118.24194822288</v>
      </c>
      <c r="AO11" s="13" t="n">
        <f aca="false">AO10/(1-Inputs!$F$43*Time!AO39)</f>
        <v>1146.87098090508</v>
      </c>
      <c r="AP11" s="13" t="n">
        <f aca="false">AP10/(1-Inputs!$F$43*Time!AP39)</f>
        <v>1176.23296902113</v>
      </c>
      <c r="AQ11" s="13" t="n">
        <f aca="false">AQ10/(1-Inputs!$F$43*Time!AQ39)</f>
        <v>1206.34667756649</v>
      </c>
      <c r="AR11" s="13" t="n">
        <f aca="false">AR10/(1-Inputs!$F$43*Time!AR39)</f>
        <v>1237.23135195471</v>
      </c>
      <c r="AS11" s="13" t="n">
        <f aca="false">AS10/(1-Inputs!$F$43*Time!AS39)</f>
        <v>1268.90673031701</v>
      </c>
      <c r="AT11" s="13" t="n">
        <f aca="false">AT10/(1-Inputs!$F$43*Time!AT39)</f>
        <v>1301.39305611675</v>
      </c>
      <c r="AU11" s="13" t="n">
        <f aca="false">AU10/(1-Inputs!$F$43*Time!AU39)</f>
        <v>1334.71109108687</v>
      </c>
      <c r="AV11" s="13" t="n">
        <f aca="false">AV10/(1-Inputs!$F$43*Time!AV39)</f>
        <v>1368.88212849854</v>
      </c>
      <c r="AW11" s="13" t="n">
        <f aca="false">AW10/(1-Inputs!$F$43*Time!AW39)</f>
        <v>1403.92800676946</v>
      </c>
      <c r="AX11" s="13" t="n">
        <f aca="false">AX10/(1-Inputs!$F$43*Time!AX39)</f>
        <v>1439.87112342067</v>
      </c>
      <c r="AY11" s="13" t="n">
        <f aca="false">AY10/(1-Inputs!$F$43*Time!AY39)</f>
        <v>1476.73444939057</v>
      </c>
      <c r="AZ11" s="13" t="n">
        <f aca="false">AZ10/(1-Inputs!$F$43*Time!AZ39)</f>
        <v>1514.54154371548</v>
      </c>
      <c r="BA11" s="13" t="n">
        <f aca="false">BA10/(1-Inputs!$F$43*Time!BA39)</f>
        <v>1553.31656858598</v>
      </c>
      <c r="BB11" s="13" t="n">
        <f aca="false">BB10/(1-Inputs!$F$43*Time!BB39)</f>
        <v>1593.08430478879</v>
      </c>
      <c r="BC11" s="13" t="n">
        <f aca="false">BC10/(1-Inputs!$F$43*Time!BC39)</f>
        <v>1633.87016754396</v>
      </c>
      <c r="BD11" s="13" t="n">
        <f aca="false">BD10/(1-Inputs!$F$43*Time!BD39)</f>
        <v>1675.7002227475</v>
      </c>
      <c r="BE11" s="13" t="n">
        <f aca="false">BE10/(1-Inputs!$F$43*Time!BE39)</f>
        <v>1718.6012036299</v>
      </c>
      <c r="BF11" s="13" t="n">
        <f aca="false">BF10/(1-Inputs!$F$43*Time!BF39)</f>
        <v>1762.60052784106</v>
      </c>
      <c r="BG11" s="13" t="n">
        <f aca="false">BG10/(1-Inputs!$F$43*Time!BG39)</f>
        <v>1807.72631497274</v>
      </c>
      <c r="BH11" s="13" t="n">
        <f aca="false">BH10/(1-Inputs!$F$43*Time!BH39)</f>
        <v>1854.00740452949</v>
      </c>
      <c r="BI11" s="13" t="n">
        <f aca="false">BI10/(1-Inputs!$F$43*Time!BI39)</f>
        <v>1901.47337435978</v>
      </c>
      <c r="BJ11" s="13" t="n">
        <f aca="false">BJ10/(1-Inputs!$F$43*Time!BJ39)</f>
        <v>1950.1545595589</v>
      </c>
      <c r="BK11" s="13" t="n">
        <f aca="false">BK10/(1-Inputs!$F$43*Time!BK39)</f>
        <v>2000.08207185593</v>
      </c>
      <c r="BL11" s="13" t="n">
        <f aca="false">BL10/(1-Inputs!$F$43*Time!BL39)</f>
        <v>2051.28781949689</v>
      </c>
      <c r="BM11" s="13" t="n">
        <f aca="false">BM10/(1-Inputs!$F$43*Time!BM39)</f>
        <v>2103.80452763711</v>
      </c>
      <c r="BN11" s="13" t="n">
        <f aca="false">BN10/(1-Inputs!$F$43*Time!BN39)</f>
        <v>2157.66575925554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2.4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1.8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1.8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1.2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1.2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4.7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4.7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7.6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7.9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7.9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9.8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9.8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10.6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10.6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2.4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2.4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1.8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1.8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1.2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1.2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4.7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4.7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7.6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7.6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7.9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7.9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9.8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9.8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10.6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10.6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103.429202060808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104.044269021353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102.817771123367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104.044269021353</v>
      </c>
      <c r="K19" s="13" t="n">
        <f aca="false">IF(Time!K20=1,$F$17,J19*IF(Time!K27=1,(1+K14/100)^(Inputs!$F$236/12)*(1+K12/100)^((Time!K21-Inputs!$F$236)/12),(1+K12/100)^Time!K24))</f>
        <v>105.130830933754</v>
      </c>
      <c r="L19" s="13" t="n">
        <f aca="false">IF(Time!L20=1,$F$17,K19*IF(Time!L27=1,(1+L14/100)^(Inputs!$F$236/12)*(1+L12/100)^((Time!L21-Inputs!$F$236)/12),(1+L12/100)^Time!L24))</f>
        <v>106.072788507951</v>
      </c>
      <c r="M19" s="13" t="n">
        <f aca="false">IF(Time!M20=1,$F$17,L19*IF(Time!M27=1,(1+M14/100)^(Inputs!$F$236/12)*(1+M12/100)^((Time!M21-Inputs!$F$236)/12),(1+M12/100)^Time!M24))</f>
        <v>106.86513989817</v>
      </c>
      <c r="N19" s="13" t="n">
        <f aca="false">IF(Time!N20=1,$F$17,M19*IF(Time!N27=1,(1+N14/100)^(Inputs!$F$236/12)*(1+N12/100)^((Time!N21-Inputs!$F$236)/12),(1+N12/100)^Time!N24))</f>
        <v>107.504418620636</v>
      </c>
      <c r="O19" s="13" t="n">
        <f aca="false">IF(Time!O20=1,$F$17,N19*IF(Time!O27=1,(1+O14/100)^(Inputs!$F$236/12)*(1+O12/100)^((Time!O21-Inputs!$F$236)/12),(1+O12/100)^Time!O24))</f>
        <v>109.070703276742</v>
      </c>
      <c r="P19" s="13" t="n">
        <f aca="false">IF(Time!P20=1,$F$17,O19*IF(Time!P27=1,(1+P14/100)^(Inputs!$F$236/12)*(1+P12/100)^((Time!P21-Inputs!$F$236)/12),(1+P12/100)^Time!P24))</f>
        <v>111.604435279282</v>
      </c>
      <c r="Q19" s="13" t="n">
        <f aca="false">IF(Time!Q20=1,$F$17,P19*IF(Time!Q27=1,(1+Q14/100)^(Inputs!$F$236/12)*(1+Q12/100)^((Time!Q21-Inputs!$F$236)/12),(1+Q12/100)^Time!Q24))</f>
        <v>113.509144019052</v>
      </c>
      <c r="R19" s="13" t="n">
        <f aca="false">IF(Time!R20=1,$F$17,Q19*IF(Time!R27=1,(1+R14/100)^(Inputs!$F$236/12)*(1+R12/100)^((Time!R21-Inputs!$F$236)/12),(1+R12/100)^Time!R24))</f>
        <v>114.750951817441</v>
      </c>
      <c r="S19" s="13" t="n">
        <f aca="false">IF(Time!S20=1,$F$17,R19*IF(Time!S27=1,(1+S14/100)^(Inputs!$F$236/12)*(1+S12/100)^((Time!S21-Inputs!$F$236)/12),(1+S12/100)^Time!S24))</f>
        <v>116.006345187472</v>
      </c>
      <c r="T19" s="13" t="n">
        <f aca="false">IF(Time!T20=1,$F$17,S19*IF(Time!T27=1,(1+T14/100)^(Inputs!$F$236/12)*(1+T12/100)^((Time!T21-Inputs!$F$236)/12),(1+T12/100)^Time!T24))</f>
        <v>117.275472757425</v>
      </c>
      <c r="U19" s="13" t="n">
        <f aca="false">IF(Time!U20=1,$F$17,T19*IF(Time!U27=1,(1+U14/100)^(Inputs!$F$236/12)*(1+U12/100)^((Time!U21-Inputs!$F$236)/12),(1+U12/100)^Time!U24))</f>
        <v>118.558484781596</v>
      </c>
      <c r="V19" s="13" t="n">
        <f aca="false">IF(Time!V20=1,$F$17,U19*IF(Time!V27=1,(1+V14/100)^(Inputs!$F$236/12)*(1+V12/100)^((Time!V21-Inputs!$F$236)/12),(1+V12/100)^Time!V24))</f>
        <v>119.855533158088</v>
      </c>
      <c r="W19" s="13" t="n">
        <f aca="false">IF(Time!W20=1,$F$17,V19*IF(Time!W27=1,(1+W14/100)^(Inputs!$F$236/12)*(1+W12/100)^((Time!W21-Inputs!$F$236)/12),(1+W12/100)^Time!W24))</f>
        <v>121.166771446791</v>
      </c>
      <c r="X19" s="13" t="n">
        <f aca="false">IF(Time!X20=1,$F$17,W19*IF(Time!X27=1,(1+X14/100)^(Inputs!$F$236/12)*(1+X12/100)^((Time!X21-Inputs!$F$236)/12),(1+X12/100)^Time!X24))</f>
        <v>122.492354887566</v>
      </c>
      <c r="Y19" s="13" t="n">
        <f aca="false">IF(Time!Y20=1,$F$17,X19*IF(Time!Y27=1,(1+Y14/100)^(Inputs!$F$236/12)*(1+Y12/100)^((Time!Y21-Inputs!$F$236)/12),(1+Y12/100)^Time!Y24))</f>
        <v>123.83244041862</v>
      </c>
      <c r="Z19" s="13" t="n">
        <f aca="false">IF(Time!Z20=1,$F$17,Y19*IF(Time!Z27=1,(1+Z14/100)^(Inputs!$F$236/12)*(1+Z12/100)^((Time!Z21-Inputs!$F$236)/12),(1+Z12/100)^Time!Z24))</f>
        <v>125.187186695092</v>
      </c>
      <c r="AA19" s="13" t="n">
        <f aca="false">IF(Time!AA20=1,$F$17,Z19*IF(Time!AA27=1,(1+AA14/100)^(Inputs!$F$236/12)*(1+AA12/100)^((Time!AA21-Inputs!$F$236)/12),(1+AA12/100)^Time!AA24))</f>
        <v>126.55675410783</v>
      </c>
      <c r="AB19" s="13" t="n">
        <f aca="false">IF(Time!AB20=1,$F$17,AA19*IF(Time!AB27=1,(1+AB14/100)^(Inputs!$F$236/12)*(1+AB12/100)^((Time!AB21-Inputs!$F$236)/12),(1+AB12/100)^Time!AB24))</f>
        <v>127.941304802384</v>
      </c>
      <c r="AC19" s="13" t="n">
        <f aca="false">IF(Time!AC20=1,$F$17,AB19*IF(Time!AC27=1,(1+AC14/100)^(Inputs!$F$236/12)*(1+AC12/100)^((Time!AC21-Inputs!$F$236)/12),(1+AC12/100)^Time!AC24))</f>
        <v>129.341002698202</v>
      </c>
      <c r="AD19" s="13" t="n">
        <f aca="false">IF(Time!AD20=1,$F$17,AC19*IF(Time!AD27=1,(1+AD14/100)^(Inputs!$F$236/12)*(1+AD12/100)^((Time!AD21-Inputs!$F$236)/12),(1+AD12/100)^Time!AD24))</f>
        <v>130.756013508037</v>
      </c>
      <c r="AE19" s="13" t="n">
        <f aca="false">IF(Time!AE20=1,$F$17,AD19*IF(Time!AE27=1,(1+AE14/100)^(Inputs!$F$236/12)*(1+AE12/100)^((Time!AE21-Inputs!$F$236)/12),(1+AE12/100)^Time!AE24))</f>
        <v>132.186504757563</v>
      </c>
      <c r="AF19" s="13" t="n">
        <f aca="false">IF(Time!AF20=1,$F$17,AE19*IF(Time!AF27=1,(1+AF14/100)^(Inputs!$F$236/12)*(1+AF12/100)^((Time!AF21-Inputs!$F$236)/12),(1+AF12/100)^Time!AF24))</f>
        <v>133.632645805213</v>
      </c>
      <c r="AG19" s="13" t="n">
        <f aca="false">IF(Time!AG20=1,$F$17,AF19*IF(Time!AG27=1,(1+AG14/100)^(Inputs!$F$236/12)*(1+AG12/100)^((Time!AG21-Inputs!$F$236)/12),(1+AG12/100)^Time!AG24))</f>
        <v>135.094607862229</v>
      </c>
      <c r="AH19" s="13" t="n">
        <f aca="false">IF(Time!AH20=1,$F$17,AG19*IF(Time!AH27=1,(1+AH14/100)^(Inputs!$F$236/12)*(1+AH12/100)^((Time!AH21-Inputs!$F$236)/12),(1+AH12/100)^Time!AH24))</f>
        <v>136.572564012928</v>
      </c>
      <c r="AI19" s="13" t="n">
        <f aca="false">IF(Time!AI20=1,$F$17,AH19*IF(Time!AI27=1,(1+AI14/100)^(Inputs!$F$236/12)*(1+AI12/100)^((Time!AI21-Inputs!$F$236)/12),(1+AI12/100)^Time!AI24))</f>
        <v>138.066689235198</v>
      </c>
      <c r="AJ19" s="13" t="n">
        <f aca="false">IF(Time!AJ20=1,$F$17,AI19*IF(Time!AJ27=1,(1+AJ14/100)^(Inputs!$F$236/12)*(1+AJ12/100)^((Time!AJ21-Inputs!$F$236)/12),(1+AJ12/100)^Time!AJ24))</f>
        <v>139.577160421212</v>
      </c>
      <c r="AK19" s="13" t="n">
        <f aca="false">IF(Time!AK20=1,$F$17,AJ19*IF(Time!AK27=1,(1+AK14/100)^(Inputs!$F$236/12)*(1+AK12/100)^((Time!AK21-Inputs!$F$236)/12),(1+AK12/100)^Time!AK24))</f>
        <v>141.104156398372</v>
      </c>
      <c r="AL19" s="13" t="n">
        <f aca="false">IF(Time!AL20=1,$F$17,AK19*IF(Time!AL27=1,(1+AL14/100)^(Inputs!$F$236/12)*(1+AL12/100)^((Time!AL21-Inputs!$F$236)/12),(1+AL12/100)^Time!AL24))</f>
        <v>142.647857950479</v>
      </c>
      <c r="AM19" s="13" t="n">
        <f aca="false">IF(Time!AM20=1,$F$17,AL19*IF(Time!AM27=1,(1+AM14/100)^(Inputs!$F$236/12)*(1+AM12/100)^((Time!AM21-Inputs!$F$236)/12),(1+AM12/100)^Time!AM24))</f>
        <v>144.208447839137</v>
      </c>
      <c r="AN19" s="13" t="n">
        <f aca="false">IF(Time!AN20=1,$F$17,AM19*IF(Time!AN27=1,(1+AN14/100)^(Inputs!$F$236/12)*(1+AN12/100)^((Time!AN21-Inputs!$F$236)/12),(1+AN12/100)^Time!AN24))</f>
        <v>145.78611082539</v>
      </c>
      <c r="AO19" s="13" t="n">
        <f aca="false">IF(Time!AO20=1,$F$17,AN19*IF(Time!AO27=1,(1+AO14/100)^(Inputs!$F$236/12)*(1+AO12/100)^((Time!AO21-Inputs!$F$236)/12),(1+AO12/100)^Time!AO24))</f>
        <v>147.381033691598</v>
      </c>
      <c r="AP19" s="13" t="n">
        <f aca="false">IF(Time!AP20=1,$F$17,AO19*IF(Time!AP27=1,(1+AP14/100)^(Inputs!$F$236/12)*(1+AP12/100)^((Time!AP21-Inputs!$F$236)/12),(1+AP12/100)^Time!AP24))</f>
        <v>148.993405263548</v>
      </c>
      <c r="AQ19" s="13" t="n">
        <f aca="false">IF(Time!AQ20=1,$F$17,AP19*IF(Time!AQ27=1,(1+AQ14/100)^(Inputs!$F$236/12)*(1+AQ12/100)^((Time!AQ21-Inputs!$F$236)/12),(1+AQ12/100)^Time!AQ24))</f>
        <v>150.623416432813</v>
      </c>
      <c r="AR19" s="13" t="n">
        <f aca="false">IF(Time!AR20=1,$F$17,AQ19*IF(Time!AR27=1,(1+AR14/100)^(Inputs!$F$236/12)*(1+AR12/100)^((Time!AR21-Inputs!$F$236)/12),(1+AR12/100)^Time!AR24))</f>
        <v>152.271260179346</v>
      </c>
      <c r="AS19" s="13" t="n">
        <f aca="false">IF(Time!AS20=1,$F$17,AR19*IF(Time!AS27=1,(1+AS14/100)^(Inputs!$F$236/12)*(1+AS12/100)^((Time!AS21-Inputs!$F$236)/12),(1+AS12/100)^Time!AS24))</f>
        <v>153.937131594335</v>
      </c>
      <c r="AT19" s="13" t="n">
        <f aca="false">IF(Time!AT20=1,$F$17,AS19*IF(Time!AT27=1,(1+AT14/100)^(Inputs!$F$236/12)*(1+AT12/100)^((Time!AT21-Inputs!$F$236)/12),(1+AT12/100)^Time!AT24))</f>
        <v>155.621227903292</v>
      </c>
      <c r="AU19" s="13" t="n">
        <f aca="false">IF(Time!AU20=1,$F$17,AT19*IF(Time!AU27=1,(1+AU14/100)^(Inputs!$F$236/12)*(1+AU12/100)^((Time!AU21-Inputs!$F$236)/12),(1+AU12/100)^Time!AU24))</f>
        <v>157.32374848941</v>
      </c>
      <c r="AV19" s="13" t="n">
        <f aca="false">IF(Time!AV20=1,$F$17,AU19*IF(Time!AV27=1,(1+AV14/100)^(Inputs!$F$236/12)*(1+AV12/100)^((Time!AV21-Inputs!$F$236)/12),(1+AV12/100)^Time!AV24))</f>
        <v>159.044894917164</v>
      </c>
      <c r="AW19" s="13" t="n">
        <f aca="false">IF(Time!AW20=1,$F$17,AV19*IF(Time!AW27=1,(1+AW14/100)^(Inputs!$F$236/12)*(1+AW12/100)^((Time!AW21-Inputs!$F$236)/12),(1+AW12/100)^Time!AW24))</f>
        <v>160.784870956177</v>
      </c>
      <c r="AX19" s="13" t="n">
        <f aca="false">IF(Time!AX20=1,$F$17,AW19*IF(Time!AX27=1,(1+AX14/100)^(Inputs!$F$236/12)*(1+AX12/100)^((Time!AX21-Inputs!$F$236)/12),(1+AX12/100)^Time!AX24))</f>
        <v>162.543882605342</v>
      </c>
      <c r="AY19" s="13" t="n">
        <f aca="false">IF(Time!AY20=1,$F$17,AX19*IF(Time!AY27=1,(1+AY14/100)^(Inputs!$F$236/12)*(1+AY12/100)^((Time!AY21-Inputs!$F$236)/12),(1+AY12/100)^Time!AY24))</f>
        <v>164.322138117213</v>
      </c>
      <c r="AZ19" s="13" t="n">
        <f aca="false">IF(Time!AZ20=1,$F$17,AY19*IF(Time!AZ27=1,(1+AZ14/100)^(Inputs!$F$236/12)*(1+AZ12/100)^((Time!AZ21-Inputs!$F$236)/12),(1+AZ12/100)^Time!AZ24))</f>
        <v>166.119848022659</v>
      </c>
      <c r="BA19" s="13" t="n">
        <f aca="false">IF(Time!BA20=1,$F$17,AZ19*IF(Time!BA27=1,(1+BA14/100)^(Inputs!$F$236/12)*(1+BA12/100)^((Time!BA21-Inputs!$F$236)/12),(1+BA12/100)^Time!BA24))</f>
        <v>167.937225155791</v>
      </c>
      <c r="BB19" s="13" t="n">
        <f aca="false">IF(Time!BB20=1,$F$17,BA19*IF(Time!BB27=1,(1+BB14/100)^(Inputs!$F$236/12)*(1+BB12/100)^((Time!BB21-Inputs!$F$236)/12),(1+BB12/100)^Time!BB24))</f>
        <v>169.774484679158</v>
      </c>
      <c r="BC19" s="13" t="n">
        <f aca="false">IF(Time!BC20=1,$F$17,BB19*IF(Time!BC27=1,(1+BC14/100)^(Inputs!$F$236/12)*(1+BC12/100)^((Time!BC21-Inputs!$F$236)/12),(1+BC12/100)^Time!BC24))</f>
        <v>171.631844109219</v>
      </c>
      <c r="BD19" s="13" t="n">
        <f aca="false">IF(Time!BD20=1,$F$17,BC19*IF(Time!BD27=1,(1+BD14/100)^(Inputs!$F$236/12)*(1+BD12/100)^((Time!BD21-Inputs!$F$236)/12),(1+BD12/100)^Time!BD24))</f>
        <v>173.509523342099</v>
      </c>
      <c r="BE19" s="13" t="n">
        <f aca="false">IF(Time!BE20=1,$F$17,BD19*IF(Time!BE27=1,(1+BE14/100)^(Inputs!$F$236/12)*(1+BE12/100)^((Time!BE21-Inputs!$F$236)/12),(1+BE12/100)^Time!BE24))</f>
        <v>175.407744679621</v>
      </c>
      <c r="BF19" s="13" t="n">
        <f aca="false">IF(Time!BF20=1,$F$17,BE19*IF(Time!BF27=1,(1+BF14/100)^(Inputs!$F$236/12)*(1+BF12/100)^((Time!BF21-Inputs!$F$236)/12),(1+BF12/100)^Time!BF24))</f>
        <v>177.326732855625</v>
      </c>
      <c r="BG19" s="13" t="n">
        <f aca="false">IF(Time!BG20=1,$F$17,BF19*IF(Time!BG27=1,(1+BG14/100)^(Inputs!$F$236/12)*(1+BG12/100)^((Time!BG21-Inputs!$F$236)/12),(1+BG12/100)^Time!BG24))</f>
        <v>179.266715062573</v>
      </c>
      <c r="BH19" s="13" t="n">
        <f aca="false">IF(Time!BH20=1,$F$17,BG19*IF(Time!BH27=1,(1+BH14/100)^(Inputs!$F$236/12)*(1+BH12/100)^((Time!BH21-Inputs!$F$236)/12),(1+BH12/100)^Time!BH24))</f>
        <v>181.227920978449</v>
      </c>
      <c r="BI19" s="13" t="n">
        <f aca="false">IF(Time!BI20=1,$F$17,BH19*IF(Time!BI27=1,(1+BI14/100)^(Inputs!$F$236/12)*(1+BI12/100)^((Time!BI21-Inputs!$F$236)/12),(1+BI12/100)^Time!BI24))</f>
        <v>183.21058279395</v>
      </c>
      <c r="BJ19" s="13" t="n">
        <f aca="false">IF(Time!BJ20=1,$F$17,BI19*IF(Time!BJ27=1,(1+BJ14/100)^(Inputs!$F$236/12)*(1+BJ12/100)^((Time!BJ21-Inputs!$F$236)/12),(1+BJ12/100)^Time!BJ24))</f>
        <v>185.214935239975</v>
      </c>
      <c r="BK19" s="13" t="n">
        <f aca="false">IF(Time!BK20=1,$F$17,BJ19*IF(Time!BK27=1,(1+BK14/100)^(Inputs!$F$236/12)*(1+BK12/100)^((Time!BK21-Inputs!$F$236)/12),(1+BK12/100)^Time!BK24))</f>
        <v>187.241215615417</v>
      </c>
      <c r="BL19" s="13" t="n">
        <f aca="false">IF(Time!BL20=1,$F$17,BK19*IF(Time!BL27=1,(1+BL14/100)^(Inputs!$F$236/12)*(1+BL12/100)^((Time!BL21-Inputs!$F$236)/12),(1+BL12/100)^Time!BL24))</f>
        <v>189.289663815254</v>
      </c>
      <c r="BM19" s="13" t="n">
        <f aca="false">IF(Time!BM20=1,$F$17,BL19*IF(Time!BM27=1,(1+BM14/100)^(Inputs!$F$236/12)*(1+BM12/100)^((Time!BM21-Inputs!$F$236)/12),(1+BM12/100)^Time!BM24))</f>
        <v>191.360522358956</v>
      </c>
      <c r="BN19" s="13" t="n">
        <f aca="false">IF(Time!BN20=1,$F$17,BM19*IF(Time!BN27=1,(1+BN14/100)^(Inputs!$F$236/12)*(1+BN12/100)^((Time!BN21-Inputs!$F$236)/12),(1+BN12/100)^Time!BN24))</f>
        <v>193.45403641919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102.817771123367</v>
      </c>
      <c r="K20" s="13" t="n">
        <f aca="false">IF(Time!K20=1,$F$18,J19)</f>
        <v>104.044269021353</v>
      </c>
      <c r="L20" s="13" t="n">
        <f aca="false">IF(Time!L20=1,$F$18,K19)</f>
        <v>105.130830933754</v>
      </c>
      <c r="M20" s="13" t="n">
        <f aca="false">IF(Time!M20=1,$F$18,L19)</f>
        <v>106.072788507951</v>
      </c>
      <c r="N20" s="13" t="n">
        <f aca="false">IF(Time!N20=1,$F$18,M19)</f>
        <v>106.86513989817</v>
      </c>
      <c r="O20" s="13" t="n">
        <f aca="false">IF(Time!O20=1,$F$18,N19)</f>
        <v>107.504418620636</v>
      </c>
      <c r="P20" s="13" t="n">
        <f aca="false">IF(Time!P20=1,$F$18,O19)</f>
        <v>109.070703276742</v>
      </c>
      <c r="Q20" s="13" t="n">
        <f aca="false">IF(Time!Q20=1,$F$18,P19)</f>
        <v>111.604435279282</v>
      </c>
      <c r="R20" s="13" t="n">
        <f aca="false">IF(Time!R20=1,$F$18,Q19)</f>
        <v>113.509144019052</v>
      </c>
      <c r="S20" s="13" t="n">
        <f aca="false">IF(Time!S20=1,$F$18,R19)</f>
        <v>114.750951817441</v>
      </c>
      <c r="T20" s="13" t="n">
        <f aca="false">IF(Time!T20=1,$F$18,S19)</f>
        <v>116.006345187472</v>
      </c>
      <c r="U20" s="13" t="n">
        <f aca="false">IF(Time!U20=1,$F$18,T19)</f>
        <v>117.275472757425</v>
      </c>
      <c r="V20" s="13" t="n">
        <f aca="false">IF(Time!V20=1,$F$18,U19)</f>
        <v>118.558484781596</v>
      </c>
      <c r="W20" s="13" t="n">
        <f aca="false">IF(Time!W20=1,$F$18,V19)</f>
        <v>119.855533158088</v>
      </c>
      <c r="X20" s="13" t="n">
        <f aca="false">IF(Time!X20=1,$F$18,W19)</f>
        <v>121.166771446791</v>
      </c>
      <c r="Y20" s="13" t="n">
        <f aca="false">IF(Time!Y20=1,$F$18,X19)</f>
        <v>122.492354887566</v>
      </c>
      <c r="Z20" s="13" t="n">
        <f aca="false">IF(Time!Z20=1,$F$18,Y19)</f>
        <v>123.83244041862</v>
      </c>
      <c r="AA20" s="13" t="n">
        <f aca="false">IF(Time!AA20=1,$F$18,Z19)</f>
        <v>125.187186695092</v>
      </c>
      <c r="AB20" s="13" t="n">
        <f aca="false">IF(Time!AB20=1,$F$18,AA19)</f>
        <v>126.55675410783</v>
      </c>
      <c r="AC20" s="13" t="n">
        <f aca="false">IF(Time!AC20=1,$F$18,AB19)</f>
        <v>127.941304802384</v>
      </c>
      <c r="AD20" s="13" t="n">
        <f aca="false">IF(Time!AD20=1,$F$18,AC19)</f>
        <v>129.341002698202</v>
      </c>
      <c r="AE20" s="13" t="n">
        <f aca="false">IF(Time!AE20=1,$F$18,AD19)</f>
        <v>130.756013508037</v>
      </c>
      <c r="AF20" s="13" t="n">
        <f aca="false">IF(Time!AF20=1,$F$18,AE19)</f>
        <v>132.186504757563</v>
      </c>
      <c r="AG20" s="13" t="n">
        <f aca="false">IF(Time!AG20=1,$F$18,AF19)</f>
        <v>133.632645805213</v>
      </c>
      <c r="AH20" s="13" t="n">
        <f aca="false">IF(Time!AH20=1,$F$18,AG19)</f>
        <v>135.094607862229</v>
      </c>
      <c r="AI20" s="13" t="n">
        <f aca="false">IF(Time!AI20=1,$F$18,AH19)</f>
        <v>136.572564012928</v>
      </c>
      <c r="AJ20" s="13" t="n">
        <f aca="false">IF(Time!AJ20=1,$F$18,AI19)</f>
        <v>138.066689235198</v>
      </c>
      <c r="AK20" s="13" t="n">
        <f aca="false">IF(Time!AK20=1,$F$18,AJ19)</f>
        <v>139.577160421212</v>
      </c>
      <c r="AL20" s="13" t="n">
        <f aca="false">IF(Time!AL20=1,$F$18,AK19)</f>
        <v>141.104156398372</v>
      </c>
      <c r="AM20" s="13" t="n">
        <f aca="false">IF(Time!AM20=1,$F$18,AL19)</f>
        <v>142.647857950479</v>
      </c>
      <c r="AN20" s="13" t="n">
        <f aca="false">IF(Time!AN20=1,$F$18,AM19)</f>
        <v>144.208447839137</v>
      </c>
      <c r="AO20" s="13" t="n">
        <f aca="false">IF(Time!AO20=1,$F$18,AN19)</f>
        <v>145.78611082539</v>
      </c>
      <c r="AP20" s="13" t="n">
        <f aca="false">IF(Time!AP20=1,$F$18,AO19)</f>
        <v>147.381033691598</v>
      </c>
      <c r="AQ20" s="13" t="n">
        <f aca="false">IF(Time!AQ20=1,$F$18,AP19)</f>
        <v>148.993405263548</v>
      </c>
      <c r="AR20" s="13" t="n">
        <f aca="false">IF(Time!AR20=1,$F$18,AQ19)</f>
        <v>150.623416432813</v>
      </c>
      <c r="AS20" s="13" t="n">
        <f aca="false">IF(Time!AS20=1,$F$18,AR19)</f>
        <v>152.271260179346</v>
      </c>
      <c r="AT20" s="13" t="n">
        <f aca="false">IF(Time!AT20=1,$F$18,AS19)</f>
        <v>153.937131594335</v>
      </c>
      <c r="AU20" s="13" t="n">
        <f aca="false">IF(Time!AU20=1,$F$18,AT19)</f>
        <v>155.621227903292</v>
      </c>
      <c r="AV20" s="13" t="n">
        <f aca="false">IF(Time!AV20=1,$F$18,AU19)</f>
        <v>157.32374848941</v>
      </c>
      <c r="AW20" s="13" t="n">
        <f aca="false">IF(Time!AW20=1,$F$18,AV19)</f>
        <v>159.044894917164</v>
      </c>
      <c r="AX20" s="13" t="n">
        <f aca="false">IF(Time!AX20=1,$F$18,AW19)</f>
        <v>160.784870956177</v>
      </c>
      <c r="AY20" s="13" t="n">
        <f aca="false">IF(Time!AY20=1,$F$18,AX19)</f>
        <v>162.543882605342</v>
      </c>
      <c r="AZ20" s="13" t="n">
        <f aca="false">IF(Time!AZ20=1,$F$18,AY19)</f>
        <v>164.322138117213</v>
      </c>
      <c r="BA20" s="13" t="n">
        <f aca="false">IF(Time!BA20=1,$F$18,AZ19)</f>
        <v>166.119848022659</v>
      </c>
      <c r="BB20" s="13" t="n">
        <f aca="false">IF(Time!BB20=1,$F$18,BA19)</f>
        <v>167.937225155791</v>
      </c>
      <c r="BC20" s="13" t="n">
        <f aca="false">IF(Time!BC20=1,$F$18,BB19)</f>
        <v>169.774484679158</v>
      </c>
      <c r="BD20" s="13" t="n">
        <f aca="false">IF(Time!BD20=1,$F$18,BC19)</f>
        <v>171.631844109219</v>
      </c>
      <c r="BE20" s="13" t="n">
        <f aca="false">IF(Time!BE20=1,$F$18,BD19)</f>
        <v>173.509523342099</v>
      </c>
      <c r="BF20" s="13" t="n">
        <f aca="false">IF(Time!BF20=1,$F$18,BE19)</f>
        <v>175.407744679621</v>
      </c>
      <c r="BG20" s="13" t="n">
        <f aca="false">IF(Time!BG20=1,$F$18,BF19)</f>
        <v>177.326732855625</v>
      </c>
      <c r="BH20" s="13" t="n">
        <f aca="false">IF(Time!BH20=1,$F$18,BG19)</f>
        <v>179.266715062573</v>
      </c>
      <c r="BI20" s="13" t="n">
        <f aca="false">IF(Time!BI20=1,$F$18,BH19)</f>
        <v>181.227920978449</v>
      </c>
      <c r="BJ20" s="13" t="n">
        <f aca="false">IF(Time!BJ20=1,$F$18,BI19)</f>
        <v>183.21058279395</v>
      </c>
      <c r="BK20" s="13" t="n">
        <f aca="false">IF(Time!BK20=1,$F$18,BJ19)</f>
        <v>185.214935239975</v>
      </c>
      <c r="BL20" s="13" t="n">
        <f aca="false">IF(Time!BL20=1,$F$18,BK19)</f>
        <v>187.241215615417</v>
      </c>
      <c r="BM20" s="13" t="n">
        <f aca="false">IF(Time!BM20=1,$F$18,BL19)</f>
        <v>189.289663815254</v>
      </c>
      <c r="BN20" s="13" t="n">
        <f aca="false">IF(Time!BN20=1,$F$18,BM19)</f>
        <v>191.360522358956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1.00594674374635</v>
      </c>
      <c r="K21" s="13" t="n">
        <f aca="false">K19/$F$16</f>
        <v>1.01645211254695</v>
      </c>
      <c r="L21" s="13" t="n">
        <f aca="false">L19/$F$16</f>
        <v>1.02555938162984</v>
      </c>
      <c r="M21" s="13" t="n">
        <f aca="false">M19/$F$16</f>
        <v>1.03322019090258</v>
      </c>
      <c r="N21" s="13" t="n">
        <f aca="false">N19/$F$16</f>
        <v>1.0394010248424</v>
      </c>
      <c r="O21" s="13" t="n">
        <f aca="false">O19/$F$16</f>
        <v>1.0545445686859</v>
      </c>
      <c r="P21" s="13" t="n">
        <f aca="false">P19/$F$16</f>
        <v>1.07904182818376</v>
      </c>
      <c r="Q21" s="13" t="n">
        <f aca="false">Q19/$F$16</f>
        <v>1.09745740813429</v>
      </c>
      <c r="R21" s="13" t="n">
        <f aca="false">R19/$F$16</f>
        <v>1.1094637639182</v>
      </c>
      <c r="S21" s="13" t="n">
        <f aca="false">S19/$F$16</f>
        <v>1.12160147111324</v>
      </c>
      <c r="T21" s="13" t="n">
        <f aca="false">T19/$F$16</f>
        <v>1.1338719667244</v>
      </c>
      <c r="U21" s="13" t="n">
        <f aca="false">U19/$F$16</f>
        <v>1.14627670347774</v>
      </c>
      <c r="V21" s="13" t="n">
        <f aca="false">V19/$F$16</f>
        <v>1.15881714999234</v>
      </c>
      <c r="W21" s="13" t="n">
        <f aca="false">W19/$F$16</f>
        <v>1.17149479095425</v>
      </c>
      <c r="X21" s="13" t="n">
        <f aca="false">X19/$F$16</f>
        <v>1.18431112729217</v>
      </c>
      <c r="Y21" s="13" t="n">
        <f aca="false">Y19/$F$16</f>
        <v>1.19726767635524</v>
      </c>
      <c r="Z21" s="13" t="n">
        <f aca="false">Z19/$F$16</f>
        <v>1.2103659720926</v>
      </c>
      <c r="AA21" s="13" t="n">
        <f aca="false">AA19/$F$16</f>
        <v>1.22360756523505</v>
      </c>
      <c r="AB21" s="13" t="n">
        <f aca="false">AB19/$F$16</f>
        <v>1.23699402347864</v>
      </c>
      <c r="AC21" s="13" t="n">
        <f aca="false">AC19/$F$16</f>
        <v>1.25052693167022</v>
      </c>
      <c r="AD21" s="13" t="n">
        <f aca="false">AD19/$F$16</f>
        <v>1.26420789199517</v>
      </c>
      <c r="AE21" s="13" t="n">
        <f aca="false">AE19/$F$16</f>
        <v>1.27803852416697</v>
      </c>
      <c r="AF21" s="13" t="n">
        <f aca="false">AF19/$F$16</f>
        <v>1.29202046561906</v>
      </c>
      <c r="AG21" s="13" t="n">
        <f aca="false">AG19/$F$16</f>
        <v>1.30615537169864</v>
      </c>
      <c r="AH21" s="13" t="n">
        <f aca="false">AH19/$F$16</f>
        <v>1.32044491586268</v>
      </c>
      <c r="AI21" s="13" t="n">
        <f aca="false">AI19/$F$16</f>
        <v>1.33489078987601</v>
      </c>
      <c r="AJ21" s="13" t="n">
        <f aca="false">AJ19/$F$16</f>
        <v>1.34949470401166</v>
      </c>
      <c r="AK21" s="13" t="n">
        <f aca="false">AK19/$F$16</f>
        <v>1.36425838725328</v>
      </c>
      <c r="AL21" s="13" t="n">
        <f aca="false">AL19/$F$16</f>
        <v>1.37918358749991</v>
      </c>
      <c r="AM21" s="13" t="n">
        <f aca="false">AM19/$F$16</f>
        <v>1.39427207177286</v>
      </c>
      <c r="AN21" s="13" t="n">
        <f aca="false">AN19/$F$16</f>
        <v>1.40952562642491</v>
      </c>
      <c r="AO21" s="13" t="n">
        <f aca="false">AO19/$F$16</f>
        <v>1.42494605735186</v>
      </c>
      <c r="AP21" s="13" t="n">
        <f aca="false">AP19/$F$16</f>
        <v>1.44053519020626</v>
      </c>
      <c r="AQ21" s="13" t="n">
        <f aca="false">AQ19/$F$16</f>
        <v>1.4562948706136</v>
      </c>
      <c r="AR21" s="13" t="n">
        <f aca="false">AR19/$F$16</f>
        <v>1.4722269643908</v>
      </c>
      <c r="AS21" s="13" t="n">
        <f aca="false">AS19/$F$16</f>
        <v>1.4883333577671</v>
      </c>
      <c r="AT21" s="13" t="n">
        <f aca="false">AT19/$F$16</f>
        <v>1.50461595760739</v>
      </c>
      <c r="AU21" s="13" t="n">
        <f aca="false">AU19/$F$16</f>
        <v>1.52107669163797</v>
      </c>
      <c r="AV21" s="13" t="n">
        <f aca="false">AV19/$F$16</f>
        <v>1.53771750867476</v>
      </c>
      <c r="AW21" s="13" t="n">
        <f aca="false">AW19/$F$16</f>
        <v>1.55454037885401</v>
      </c>
      <c r="AX21" s="13" t="n">
        <f aca="false">AX19/$F$16</f>
        <v>1.5715472938656</v>
      </c>
      <c r="AY21" s="13" t="n">
        <f aca="false">AY19/$F$16</f>
        <v>1.5887402671888</v>
      </c>
      <c r="AZ21" s="13" t="n">
        <f aca="false">AZ19/$F$16</f>
        <v>1.60612133433064</v>
      </c>
      <c r="BA21" s="13" t="n">
        <f aca="false">BA19/$F$16</f>
        <v>1.62369255306695</v>
      </c>
      <c r="BB21" s="13" t="n">
        <f aca="false">BB19/$F$16</f>
        <v>1.64145600368592</v>
      </c>
      <c r="BC21" s="13" t="n">
        <f aca="false">BC19/$F$16</f>
        <v>1.65941378923442</v>
      </c>
      <c r="BD21" s="13" t="n">
        <f aca="false">BD19/$F$16</f>
        <v>1.67756803576701</v>
      </c>
      <c r="BE21" s="13" t="n">
        <f aca="false">BE19/$F$16</f>
        <v>1.69592089259758</v>
      </c>
      <c r="BF21" s="13" t="n">
        <f aca="false">BF19/$F$16</f>
        <v>1.71447453255388</v>
      </c>
      <c r="BG21" s="13" t="n">
        <f aca="false">BG19/$F$16</f>
        <v>1.73323115223473</v>
      </c>
      <c r="BH21" s="13" t="n">
        <f aca="false">BH19/$F$16</f>
        <v>1.75219297227007</v>
      </c>
      <c r="BI21" s="13" t="n">
        <f aca="false">BI19/$F$16</f>
        <v>1.77136223758389</v>
      </c>
      <c r="BJ21" s="13" t="n">
        <f aca="false">BJ19/$F$16</f>
        <v>1.79074121766001</v>
      </c>
      <c r="BK21" s="13" t="n">
        <f aca="false">BK19/$F$16</f>
        <v>1.81033220681074</v>
      </c>
      <c r="BL21" s="13" t="n">
        <f aca="false">BL19/$F$16</f>
        <v>1.83013752444853</v>
      </c>
      <c r="BM21" s="13" t="n">
        <f aca="false">BM19/$F$16</f>
        <v>1.85015951536057</v>
      </c>
      <c r="BN21" s="13" t="n">
        <f aca="false">BN19/$F$16</f>
        <v>1.87040054998639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112.975240134372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115.063171655127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110.925196132035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115.063171655127</v>
      </c>
      <c r="K25" s="13" t="n">
        <f aca="false">IF(Time!K20=1,$F$23,J25*IF(Time!K27=1,(1+K15/100)^(Inputs!$F$236/12)*(1+K13/100)^((Time!K21-Inputs!$F$236)/12),(1+K13/100)^Time!K24))</f>
        <v>119.438618093899</v>
      </c>
      <c r="L25" s="13" t="n">
        <f aca="false">IF(Time!L20=1,$F$23,K25*IF(Time!L27=1,(1+L15/100)^(Inputs!$F$236/12)*(1+L13/100)^((Time!L21-Inputs!$F$236)/12),(1+L13/100)^Time!L24))</f>
        <v>124.066774714516</v>
      </c>
      <c r="M25" s="13" t="n">
        <f aca="false">IF(Time!M20=1,$F$23,L25*IF(Time!M27=1,(1+M15/100)^(Inputs!$F$236/12)*(1+M13/100)^((Time!M21-Inputs!$F$236)/12),(1+M13/100)^Time!M24))</f>
        <v>129.43789408732</v>
      </c>
      <c r="N25" s="13" t="n">
        <f aca="false">IF(Time!N20=1,$F$23,M25*IF(Time!N27=1,(1+N15/100)^(Inputs!$F$236/12)*(1+N13/100)^((Time!N21-Inputs!$F$236)/12),(1+N13/100)^Time!N24))</f>
        <v>135.632138269234</v>
      </c>
      <c r="O25" s="13" t="n">
        <f aca="false">IF(Time!O20=1,$F$23,N25*IF(Time!O27=1,(1+O15/100)^(Inputs!$F$236/12)*(1+O13/100)^((Time!O21-Inputs!$F$236)/12),(1+O13/100)^Time!O24))</f>
        <v>142.380979176357</v>
      </c>
      <c r="P25" s="13" t="n">
        <f aca="false">IF(Time!P20=1,$F$23,O25*IF(Time!P27=1,(1+P15/100)^(Inputs!$F$236/12)*(1+P13/100)^((Time!P21-Inputs!$F$236)/12),(1+P13/100)^Time!P24))</f>
        <v>149.737141730859</v>
      </c>
      <c r="Q25" s="13" t="n">
        <f aca="false">IF(Time!Q20=1,$F$23,P25*IF(Time!Q27=1,(1+Q15/100)^(Inputs!$F$236/12)*(1+Q13/100)^((Time!Q21-Inputs!$F$236)/12),(1+Q13/100)^Time!Q24))</f>
        <v>156.358118789697</v>
      </c>
      <c r="R25" s="13" t="n">
        <f aca="false">IF(Time!R20=1,$F$23,Q25*IF(Time!R27=1,(1+R15/100)^(Inputs!$F$236/12)*(1+R13/100)^((Time!R21-Inputs!$F$236)/12),(1+R13/100)^Time!R24))</f>
        <v>162.11554801996</v>
      </c>
      <c r="S25" s="13" t="n">
        <f aca="false">IF(Time!S20=1,$F$23,R25*IF(Time!S27=1,(1+S15/100)^(Inputs!$F$236/12)*(1+S13/100)^((Time!S21-Inputs!$F$236)/12),(1+S13/100)^Time!S24))</f>
        <v>168.084977698924</v>
      </c>
      <c r="T25" s="13" t="n">
        <f aca="false">IF(Time!T20=1,$F$23,S25*IF(Time!T27=1,(1+T15/100)^(Inputs!$F$236/12)*(1+T13/100)^((Time!T21-Inputs!$F$236)/12),(1+T13/100)^Time!T24))</f>
        <v>174.274214121457</v>
      </c>
      <c r="U25" s="13" t="n">
        <f aca="false">IF(Time!U20=1,$F$23,T25*IF(Time!U27=1,(1+U15/100)^(Inputs!$F$236/12)*(1+U13/100)^((Time!U21-Inputs!$F$236)/12),(1+U13/100)^Time!U24))</f>
        <v>180.691351026344</v>
      </c>
      <c r="V25" s="13" t="n">
        <f aca="false">IF(Time!V20=1,$F$23,U25*IF(Time!V27=1,(1+V15/100)^(Inputs!$F$236/12)*(1+V13/100)^((Time!V21-Inputs!$F$236)/12),(1+V13/100)^Time!V24))</f>
        <v>187.344780180566</v>
      </c>
      <c r="W25" s="13" t="n">
        <f aca="false">IF(Time!W20=1,$F$23,V25*IF(Time!W27=1,(1+W15/100)^(Inputs!$F$236/12)*(1+W13/100)^((Time!W21-Inputs!$F$236)/12),(1+W13/100)^Time!W24))</f>
        <v>194.243202353319</v>
      </c>
      <c r="X25" s="13" t="n">
        <f aca="false">IF(Time!X20=1,$F$23,W25*IF(Time!X27=1,(1+X15/100)^(Inputs!$F$236/12)*(1+X13/100)^((Time!X21-Inputs!$F$236)/12),(1+X13/100)^Time!X24))</f>
        <v>201.395638694109</v>
      </c>
      <c r="Y25" s="13" t="n">
        <f aca="false">IF(Time!Y20=1,$F$23,X25*IF(Time!Y27=1,(1+Y15/100)^(Inputs!$F$236/12)*(1+Y13/100)^((Time!Y21-Inputs!$F$236)/12),(1+Y13/100)^Time!Y24))</f>
        <v>208.811442529818</v>
      </c>
      <c r="Z25" s="13" t="n">
        <f aca="false">IF(Time!Z20=1,$F$23,Y25*IF(Time!Z27=1,(1+Z15/100)^(Inputs!$F$236/12)*(1+Z13/100)^((Time!Z21-Inputs!$F$236)/12),(1+Z13/100)^Time!Z24))</f>
        <v>216.500311596167</v>
      </c>
      <c r="AA25" s="13" t="n">
        <f aca="false">IF(Time!AA20=1,$F$23,Z25*IF(Time!AA27=1,(1+AA15/100)^(Inputs!$F$236/12)*(1+AA13/100)^((Time!AA21-Inputs!$F$236)/12),(1+AA13/100)^Time!AA24))</f>
        <v>224.472300719555</v>
      </c>
      <c r="AB25" s="13" t="n">
        <f aca="false">IF(Time!AB20=1,$F$23,AA25*IF(Time!AB27=1,(1+AB15/100)^(Inputs!$F$236/12)*(1+AB13/100)^((Time!AB21-Inputs!$F$236)/12),(1+AB13/100)^Time!AB24))</f>
        <v>232.737834965879</v>
      </c>
      <c r="AC25" s="13" t="n">
        <f aca="false">IF(Time!AC20=1,$F$23,AB25*IF(Time!AC27=1,(1+AC15/100)^(Inputs!$F$236/12)*(1+AC13/100)^((Time!AC21-Inputs!$F$236)/12),(1+AC13/100)^Time!AC24))</f>
        <v>241.307723273521</v>
      </c>
      <c r="AD25" s="13" t="n">
        <f aca="false">IF(Time!AD20=1,$F$23,AC25*IF(Time!AD27=1,(1+AD15/100)^(Inputs!$F$236/12)*(1+AD13/100)^((Time!AD21-Inputs!$F$236)/12),(1+AD13/100)^Time!AD24))</f>
        <v>250.19317258832</v>
      </c>
      <c r="AE25" s="13" t="n">
        <f aca="false">IF(Time!AE20=1,$F$23,AD25*IF(Time!AE27=1,(1+AE15/100)^(Inputs!$F$236/12)*(1+AE13/100)^((Time!AE21-Inputs!$F$236)/12),(1+AE13/100)^Time!AE24))</f>
        <v>259.405802519035</v>
      </c>
      <c r="AF25" s="13" t="n">
        <f aca="false">IF(Time!AF20=1,$F$23,AE25*IF(Time!AF27=1,(1+AF15/100)^(Inputs!$F$236/12)*(1+AF13/100)^((Time!AF21-Inputs!$F$236)/12),(1+AF13/100)^Time!AF24))</f>
        <v>268.957660532444</v>
      </c>
      <c r="AG25" s="13" t="n">
        <f aca="false">IF(Time!AG20=1,$F$23,AF25*IF(Time!AG27=1,(1+AG15/100)^(Inputs!$F$236/12)*(1+AG13/100)^((Time!AG21-Inputs!$F$236)/12),(1+AG13/100)^Time!AG24))</f>
        <v>278.861237707963</v>
      </c>
      <c r="AH25" s="13" t="n">
        <f aca="false">IF(Time!AH20=1,$F$23,AG25*IF(Time!AH27=1,(1+AH15/100)^(Inputs!$F$236/12)*(1+AH13/100)^((Time!AH21-Inputs!$F$236)/12),(1+AH13/100)^Time!AH24))</f>
        <v>289.129485072378</v>
      </c>
      <c r="AI25" s="13" t="n">
        <f aca="false">IF(Time!AI20=1,$F$23,AH25*IF(Time!AI27=1,(1+AI15/100)^(Inputs!$F$236/12)*(1+AI13/100)^((Time!AI21-Inputs!$F$236)/12),(1+AI13/100)^Time!AI24))</f>
        <v>299.77583053606</v>
      </c>
      <c r="AJ25" s="13" t="n">
        <f aca="false">IF(Time!AJ20=1,$F$23,AI25*IF(Time!AJ27=1,(1+AJ15/100)^(Inputs!$F$236/12)*(1+AJ13/100)^((Time!AJ21-Inputs!$F$236)/12),(1+AJ13/100)^Time!AJ24))</f>
        <v>310.814196452806</v>
      </c>
      <c r="AK25" s="13" t="n">
        <f aca="false">IF(Time!AK20=1,$F$23,AJ25*IF(Time!AK27=1,(1+AK15/100)^(Inputs!$F$236/12)*(1+AK13/100)^((Time!AK21-Inputs!$F$236)/12),(1+AK13/100)^Time!AK24))</f>
        <v>322.259017826265</v>
      </c>
      <c r="AL25" s="13" t="n">
        <f aca="false">IF(Time!AL20=1,$F$23,AK25*IF(Time!AL27=1,(1+AL15/100)^(Inputs!$F$236/12)*(1+AL13/100)^((Time!AL21-Inputs!$F$236)/12),(1+AL13/100)^Time!AL24))</f>
        <v>334.125261186766</v>
      </c>
      <c r="AM25" s="13" t="n">
        <f aca="false">IF(Time!AM20=1,$F$23,AL25*IF(Time!AM27=1,(1+AM15/100)^(Inputs!$F$236/12)*(1+AM13/100)^((Time!AM21-Inputs!$F$236)/12),(1+AM13/100)^Time!AM24))</f>
        <v>346.428444163234</v>
      </c>
      <c r="AN25" s="13" t="n">
        <f aca="false">IF(Time!AN20=1,$F$23,AM25*IF(Time!AN27=1,(1+AN15/100)^(Inputs!$F$236/12)*(1+AN13/100)^((Time!AN21-Inputs!$F$236)/12),(1+AN13/100)^Time!AN24))</f>
        <v>359.184655775774</v>
      </c>
      <c r="AO25" s="13" t="n">
        <f aca="false">IF(Time!AO20=1,$F$23,AN25*IF(Time!AO27=1,(1+AO15/100)^(Inputs!$F$236/12)*(1+AO13/100)^((Time!AO21-Inputs!$F$236)/12),(1+AO13/100)^Time!AO24))</f>
        <v>372.410577475477</v>
      </c>
      <c r="AP25" s="13" t="n">
        <f aca="false">IF(Time!AP20=1,$F$23,AO25*IF(Time!AP27=1,(1+AP15/100)^(Inputs!$F$236/12)*(1+AP13/100)^((Time!AP21-Inputs!$F$236)/12),(1+AP13/100)^Time!AP24))</f>
        <v>386.123504958957</v>
      </c>
      <c r="AQ25" s="13" t="n">
        <f aca="false">IF(Time!AQ20=1,$F$23,AP25*IF(Time!AQ27=1,(1+AQ15/100)^(Inputs!$F$236/12)*(1+AQ13/100)^((Time!AQ21-Inputs!$F$236)/12),(1+AQ13/100)^Time!AQ24))</f>
        <v>400.341370786137</v>
      </c>
      <c r="AR25" s="13" t="n">
        <f aca="false">IF(Time!AR20=1,$F$23,AQ25*IF(Time!AR27=1,(1+AR15/100)^(Inputs!$F$236/12)*(1+AR13/100)^((Time!AR21-Inputs!$F$236)/12),(1+AR13/100)^Time!AR24))</f>
        <v>415.082767830878</v>
      </c>
      <c r="AS25" s="13" t="n">
        <f aca="false">IF(Time!AS20=1,$F$23,AR25*IF(Time!AS27=1,(1+AS15/100)^(Inputs!$F$236/12)*(1+AS13/100)^((Time!AS21-Inputs!$F$236)/12),(1+AS13/100)^Time!AS24))</f>
        <v>430.366973595098</v>
      </c>
      <c r="AT25" s="13" t="n">
        <f aca="false">IF(Time!AT20=1,$F$23,AS25*IF(Time!AT27=1,(1+AT15/100)^(Inputs!$F$236/12)*(1+AT13/100)^((Time!AT21-Inputs!$F$236)/12),(1+AT13/100)^Time!AT24))</f>
        <v>446.213975418194</v>
      </c>
      <c r="AU25" s="13" t="n">
        <f aca="false">IF(Time!AU20=1,$F$23,AT25*IF(Time!AU27=1,(1+AU15/100)^(Inputs!$F$236/12)*(1+AU13/100)^((Time!AU21-Inputs!$F$236)/12),(1+AU13/100)^Time!AU24))</f>
        <v>462.64449661473</v>
      </c>
      <c r="AV25" s="13" t="n">
        <f aca="false">IF(Time!AV20=1,$F$23,AU25*IF(Time!AV27=1,(1+AV15/100)^(Inputs!$F$236/12)*(1+AV13/100)^((Time!AV21-Inputs!$F$236)/12),(1+AV13/100)^Time!AV24))</f>
        <v>479.680023574559</v>
      </c>
      <c r="AW25" s="13" t="n">
        <f aca="false">IF(Time!AW20=1,$F$23,AV25*IF(Time!AW27=1,(1+AW15/100)^(Inputs!$F$236/12)*(1+AW13/100)^((Time!AW21-Inputs!$F$236)/12),(1+AW13/100)^Time!AW24))</f>
        <v>497.342833860835</v>
      </c>
      <c r="AX25" s="13" t="n">
        <f aca="false">IF(Time!AX20=1,$F$23,AW25*IF(Time!AX27=1,(1+AX15/100)^(Inputs!$F$236/12)*(1+AX13/100)^((Time!AX21-Inputs!$F$236)/12),(1+AX13/100)^Time!AX24))</f>
        <v>515.65602534265</v>
      </c>
      <c r="AY25" s="13" t="n">
        <f aca="false">IF(Time!AY20=1,$F$23,AX25*IF(Time!AY27=1,(1+AY15/100)^(Inputs!$F$236/12)*(1+AY13/100)^((Time!AY21-Inputs!$F$236)/12),(1+AY13/100)^Time!AY24))</f>
        <v>534.643546400397</v>
      </c>
      <c r="AZ25" s="13" t="n">
        <f aca="false">IF(Time!AZ20=1,$F$23,AY25*IF(Time!AZ27=1,(1+AZ15/100)^(Inputs!$F$236/12)*(1+AZ13/100)^((Time!AZ21-Inputs!$F$236)/12),(1+AZ13/100)^Time!AZ24))</f>
        <v>554.330227243349</v>
      </c>
      <c r="BA25" s="13" t="n">
        <f aca="false">IF(Time!BA20=1,$F$23,AZ25*IF(Time!BA27=1,(1+BA15/100)^(Inputs!$F$236/12)*(1+BA13/100)^((Time!BA21-Inputs!$F$236)/12),(1+BA13/100)^Time!BA24))</f>
        <v>574.741812380427</v>
      </c>
      <c r="BB25" s="13" t="n">
        <f aca="false">IF(Time!BB20=1,$F$23,BA25*IF(Time!BB27=1,(1+BB15/100)^(Inputs!$F$236/12)*(1+BB13/100)^((Time!BB21-Inputs!$F$236)/12),(1+BB13/100)^Time!BB24))</f>
        <v>595.9049942866</v>
      </c>
      <c r="BC25" s="13" t="n">
        <f aca="false">IF(Time!BC20=1,$F$23,BB25*IF(Time!BC27=1,(1+BC15/100)^(Inputs!$F$236/12)*(1+BC13/100)^((Time!BC21-Inputs!$F$236)/12),(1+BC13/100)^Time!BC24))</f>
        <v>617.847448308959</v>
      </c>
      <c r="BD25" s="13" t="n">
        <f aca="false">IF(Time!BD20=1,$F$23,BC25*IF(Time!BD27=1,(1+BD15/100)^(Inputs!$F$236/12)*(1+BD13/100)^((Time!BD21-Inputs!$F$236)/12),(1+BD13/100)^Time!BD24))</f>
        <v>640.597868858095</v>
      </c>
      <c r="BE25" s="13" t="n">
        <f aca="false">IF(Time!BE20=1,$F$23,BD25*IF(Time!BE27=1,(1+BE15/100)^(Inputs!$F$236/12)*(1+BE13/100)^((Time!BE21-Inputs!$F$236)/12),(1+BE13/100)^Time!BE24))</f>
        <v>664.186006932131</v>
      </c>
      <c r="BF25" s="13" t="n">
        <f aca="false">IF(Time!BF20=1,$F$23,BE25*IF(Time!BF27=1,(1+BF15/100)^(Inputs!$F$236/12)*(1+BF13/100)^((Time!BF21-Inputs!$F$236)/12),(1+BF13/100)^Time!BF24))</f>
        <v>688.642709022452</v>
      </c>
      <c r="BG25" s="13" t="n">
        <f aca="false">IF(Time!BG20=1,$F$23,BF25*IF(Time!BG27=1,(1+BG15/100)^(Inputs!$F$236/12)*(1+BG13/100)^((Time!BG21-Inputs!$F$236)/12),(1+BG13/100)^Time!BG24))</f>
        <v>713.99995745204</v>
      </c>
      <c r="BH25" s="13" t="n">
        <f aca="false">IF(Time!BH20=1,$F$23,BG25*IF(Time!BH27=1,(1+BH15/100)^(Inputs!$F$236/12)*(1+BH13/100)^((Time!BH21-Inputs!$F$236)/12),(1+BH13/100)^Time!BH24))</f>
        <v>740.290912199136</v>
      </c>
      <c r="BI25" s="13" t="n">
        <f aca="false">IF(Time!BI20=1,$F$23,BH25*IF(Time!BI27=1,(1+BI15/100)^(Inputs!$F$236/12)*(1+BI13/100)^((Time!BI21-Inputs!$F$236)/12),(1+BI13/100)^Time!BI24))</f>
        <v>767.549954260943</v>
      </c>
      <c r="BJ25" s="13" t="n">
        <f aca="false">IF(Time!BJ20=1,$F$23,BI25*IF(Time!BJ27=1,(1+BJ15/100)^(Inputs!$F$236/12)*(1+BJ13/100)^((Time!BJ21-Inputs!$F$236)/12),(1+BJ13/100)^Time!BJ24))</f>
        <v>795.812730614071</v>
      </c>
      <c r="BK25" s="13" t="n">
        <f aca="false">IF(Time!BK20=1,$F$23,BJ25*IF(Time!BK27=1,(1+BK15/100)^(Inputs!$F$236/12)*(1+BK13/100)^((Time!BK21-Inputs!$F$236)/12),(1+BK13/100)^Time!BK24))</f>
        <v>825.116200830514</v>
      </c>
      <c r="BL25" s="13" t="n">
        <f aca="false">IF(Time!BL20=1,$F$23,BK25*IF(Time!BL27=1,(1+BL15/100)^(Inputs!$F$236/12)*(1+BL13/100)^((Time!BL21-Inputs!$F$236)/12),(1+BL13/100)^Time!BL24))</f>
        <v>855.498685410126</v>
      </c>
      <c r="BM25" s="13" t="n">
        <f aca="false">IF(Time!BM20=1,$F$23,BL25*IF(Time!BM27=1,(1+BM15/100)^(Inputs!$F$236/12)*(1+BM13/100)^((Time!BM21-Inputs!$F$236)/12),(1+BM13/100)^Time!BM24))</f>
        <v>886.999915892802</v>
      </c>
      <c r="BN25" s="13" t="n">
        <f aca="false">IF(Time!BN20=1,$F$23,BM25*IF(Time!BN27=1,(1+BN15/100)^(Inputs!$F$236/12)*(1+BN13/100)^((Time!BN21-Inputs!$F$236)/12),(1+BN13/100)^Time!BN24))</f>
        <v>919.661086815886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110.925196132035</v>
      </c>
      <c r="K26" s="13" t="n">
        <f aca="false">IF(Time!K20=1,$F$24,J25)</f>
        <v>115.063171655127</v>
      </c>
      <c r="L26" s="13" t="n">
        <f aca="false">IF(Time!L20=1,$F$24,K25)</f>
        <v>119.438618093899</v>
      </c>
      <c r="M26" s="13" t="n">
        <f aca="false">IF(Time!M20=1,$F$24,L25)</f>
        <v>124.066774714516</v>
      </c>
      <c r="N26" s="13" t="n">
        <f aca="false">IF(Time!N20=1,$F$24,M25)</f>
        <v>129.43789408732</v>
      </c>
      <c r="O26" s="13" t="n">
        <f aca="false">IF(Time!O20=1,$F$24,N25)</f>
        <v>135.632138269234</v>
      </c>
      <c r="P26" s="13" t="n">
        <f aca="false">IF(Time!P20=1,$F$24,O25)</f>
        <v>142.380979176357</v>
      </c>
      <c r="Q26" s="13" t="n">
        <f aca="false">IF(Time!Q20=1,$F$24,P25)</f>
        <v>149.737141730859</v>
      </c>
      <c r="R26" s="13" t="n">
        <f aca="false">IF(Time!R20=1,$F$24,Q25)</f>
        <v>156.358118789697</v>
      </c>
      <c r="S26" s="13" t="n">
        <f aca="false">IF(Time!S20=1,$F$24,R25)</f>
        <v>162.11554801996</v>
      </c>
      <c r="T26" s="13" t="n">
        <f aca="false">IF(Time!T20=1,$F$24,S25)</f>
        <v>168.084977698924</v>
      </c>
      <c r="U26" s="13" t="n">
        <f aca="false">IF(Time!U20=1,$F$24,T25)</f>
        <v>174.274214121457</v>
      </c>
      <c r="V26" s="13" t="n">
        <f aca="false">IF(Time!V20=1,$F$24,U25)</f>
        <v>180.691351026344</v>
      </c>
      <c r="W26" s="13" t="n">
        <f aca="false">IF(Time!W20=1,$F$24,V25)</f>
        <v>187.344780180566</v>
      </c>
      <c r="X26" s="13" t="n">
        <f aca="false">IF(Time!X20=1,$F$24,W25)</f>
        <v>194.243202353319</v>
      </c>
      <c r="Y26" s="13" t="n">
        <f aca="false">IF(Time!Y20=1,$F$24,X25)</f>
        <v>201.395638694109</v>
      </c>
      <c r="Z26" s="13" t="n">
        <f aca="false">IF(Time!Z20=1,$F$24,Y25)</f>
        <v>208.811442529818</v>
      </c>
      <c r="AA26" s="13" t="n">
        <f aca="false">IF(Time!AA20=1,$F$24,Z25)</f>
        <v>216.500311596167</v>
      </c>
      <c r="AB26" s="13" t="n">
        <f aca="false">IF(Time!AB20=1,$F$24,AA25)</f>
        <v>224.472300719555</v>
      </c>
      <c r="AC26" s="13" t="n">
        <f aca="false">IF(Time!AC20=1,$F$24,AB25)</f>
        <v>232.737834965879</v>
      </c>
      <c r="AD26" s="13" t="n">
        <f aca="false">IF(Time!AD20=1,$F$24,AC25)</f>
        <v>241.307723273521</v>
      </c>
      <c r="AE26" s="13" t="n">
        <f aca="false">IF(Time!AE20=1,$F$24,AD25)</f>
        <v>250.19317258832</v>
      </c>
      <c r="AF26" s="13" t="n">
        <f aca="false">IF(Time!AF20=1,$F$24,AE25)</f>
        <v>259.405802519035</v>
      </c>
      <c r="AG26" s="13" t="n">
        <f aca="false">IF(Time!AG20=1,$F$24,AF25)</f>
        <v>268.957660532444</v>
      </c>
      <c r="AH26" s="13" t="n">
        <f aca="false">IF(Time!AH20=1,$F$24,AG25)</f>
        <v>278.861237707963</v>
      </c>
      <c r="AI26" s="13" t="n">
        <f aca="false">IF(Time!AI20=1,$F$24,AH25)</f>
        <v>289.129485072378</v>
      </c>
      <c r="AJ26" s="13" t="n">
        <f aca="false">IF(Time!AJ20=1,$F$24,AI25)</f>
        <v>299.77583053606</v>
      </c>
      <c r="AK26" s="13" t="n">
        <f aca="false">IF(Time!AK20=1,$F$24,AJ25)</f>
        <v>310.814196452806</v>
      </c>
      <c r="AL26" s="13" t="n">
        <f aca="false">IF(Time!AL20=1,$F$24,AK25)</f>
        <v>322.259017826265</v>
      </c>
      <c r="AM26" s="13" t="n">
        <f aca="false">IF(Time!AM20=1,$F$24,AL25)</f>
        <v>334.125261186766</v>
      </c>
      <c r="AN26" s="13" t="n">
        <f aca="false">IF(Time!AN20=1,$F$24,AM25)</f>
        <v>346.428444163234</v>
      </c>
      <c r="AO26" s="13" t="n">
        <f aca="false">IF(Time!AO20=1,$F$24,AN25)</f>
        <v>359.184655775774</v>
      </c>
      <c r="AP26" s="13" t="n">
        <f aca="false">IF(Time!AP20=1,$F$24,AO25)</f>
        <v>372.410577475477</v>
      </c>
      <c r="AQ26" s="13" t="n">
        <f aca="false">IF(Time!AQ20=1,$F$24,AP25)</f>
        <v>386.123504958957</v>
      </c>
      <c r="AR26" s="13" t="n">
        <f aca="false">IF(Time!AR20=1,$F$24,AQ25)</f>
        <v>400.341370786137</v>
      </c>
      <c r="AS26" s="13" t="n">
        <f aca="false">IF(Time!AS20=1,$F$24,AR25)</f>
        <v>415.082767830878</v>
      </c>
      <c r="AT26" s="13" t="n">
        <f aca="false">IF(Time!AT20=1,$F$24,AS25)</f>
        <v>430.366973595098</v>
      </c>
      <c r="AU26" s="13" t="n">
        <f aca="false">IF(Time!AU20=1,$F$24,AT25)</f>
        <v>446.213975418194</v>
      </c>
      <c r="AV26" s="13" t="n">
        <f aca="false">IF(Time!AV20=1,$F$24,AU25)</f>
        <v>462.64449661473</v>
      </c>
      <c r="AW26" s="13" t="n">
        <f aca="false">IF(Time!AW20=1,$F$24,AV25)</f>
        <v>479.680023574559</v>
      </c>
      <c r="AX26" s="13" t="n">
        <f aca="false">IF(Time!AX20=1,$F$24,AW25)</f>
        <v>497.342833860835</v>
      </c>
      <c r="AY26" s="13" t="n">
        <f aca="false">IF(Time!AY20=1,$F$24,AX25)</f>
        <v>515.65602534265</v>
      </c>
      <c r="AZ26" s="13" t="n">
        <f aca="false">IF(Time!AZ20=1,$F$24,AY25)</f>
        <v>534.643546400397</v>
      </c>
      <c r="BA26" s="13" t="n">
        <f aca="false">IF(Time!BA20=1,$F$24,AZ25)</f>
        <v>554.330227243349</v>
      </c>
      <c r="BB26" s="13" t="n">
        <f aca="false">IF(Time!BB20=1,$F$24,BA25)</f>
        <v>574.741812380427</v>
      </c>
      <c r="BC26" s="13" t="n">
        <f aca="false">IF(Time!BC20=1,$F$24,BB25)</f>
        <v>595.9049942866</v>
      </c>
      <c r="BD26" s="13" t="n">
        <f aca="false">IF(Time!BD20=1,$F$24,BC25)</f>
        <v>617.847448308959</v>
      </c>
      <c r="BE26" s="13" t="n">
        <f aca="false">IF(Time!BE20=1,$F$24,BD25)</f>
        <v>640.597868858095</v>
      </c>
      <c r="BF26" s="13" t="n">
        <f aca="false">IF(Time!BF20=1,$F$24,BE25)</f>
        <v>664.186006932131</v>
      </c>
      <c r="BG26" s="13" t="n">
        <f aca="false">IF(Time!BG20=1,$F$24,BF25)</f>
        <v>688.642709022452</v>
      </c>
      <c r="BH26" s="13" t="n">
        <f aca="false">IF(Time!BH20=1,$F$24,BG25)</f>
        <v>713.99995745204</v>
      </c>
      <c r="BI26" s="13" t="n">
        <f aca="false">IF(Time!BI20=1,$F$24,BH25)</f>
        <v>740.290912199136</v>
      </c>
      <c r="BJ26" s="13" t="n">
        <f aca="false">IF(Time!BJ20=1,$F$24,BI25)</f>
        <v>767.549954260943</v>
      </c>
      <c r="BK26" s="13" t="n">
        <f aca="false">IF(Time!BK20=1,$F$24,BJ25)</f>
        <v>795.812730614071</v>
      </c>
      <c r="BL26" s="13" t="n">
        <f aca="false">IF(Time!BL20=1,$F$24,BK25)</f>
        <v>825.116200830514</v>
      </c>
      <c r="BM26" s="13" t="n">
        <f aca="false">IF(Time!BM20=1,$F$24,BL25)</f>
        <v>855.498685410126</v>
      </c>
      <c r="BN26" s="13" t="n">
        <f aca="false">IF(Time!BN20=1,$F$24,BM25)</f>
        <v>886.999915892802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1.01848131960836</v>
      </c>
      <c r="K27" s="13" t="n">
        <f aca="false">K25/$F$22</f>
        <v>1.05721057066876</v>
      </c>
      <c r="L27" s="13" t="n">
        <f aca="false">L25/$F$22</f>
        <v>1.09817668514758</v>
      </c>
      <c r="M27" s="13" t="n">
        <f aca="false">M25/$F$22</f>
        <v>1.14571913220426</v>
      </c>
      <c r="N27" s="13" t="n">
        <f aca="false">N25/$F$22</f>
        <v>1.20054746604579</v>
      </c>
      <c r="O27" s="13" t="n">
        <f aca="false">O25/$F$22</f>
        <v>1.26028481114102</v>
      </c>
      <c r="P27" s="13" t="n">
        <f aca="false">P25/$F$22</f>
        <v>1.32539786198076</v>
      </c>
      <c r="Q27" s="13" t="n">
        <f aca="false">Q25/$F$22</f>
        <v>1.38400342060549</v>
      </c>
      <c r="R27" s="13" t="n">
        <f aca="false">R25/$F$22</f>
        <v>1.43496528820954</v>
      </c>
      <c r="S27" s="13" t="n">
        <f aca="false">S25/$F$22</f>
        <v>1.4878036771509</v>
      </c>
      <c r="T27" s="13" t="n">
        <f aca="false">T25/$F$22</f>
        <v>1.54258768482525</v>
      </c>
      <c r="U27" s="13" t="n">
        <f aca="false">U25/$F$22</f>
        <v>1.59938895293722</v>
      </c>
      <c r="V27" s="13" t="n">
        <f aca="false">V25/$F$22</f>
        <v>1.65828176118714</v>
      </c>
      <c r="W27" s="13" t="n">
        <f aca="false">W25/$F$22</f>
        <v>1.71934312440751</v>
      </c>
      <c r="X27" s="13" t="n">
        <f aca="false">X25/$F$22</f>
        <v>1.78265289327618</v>
      </c>
      <c r="Y27" s="13" t="n">
        <f aca="false">Y25/$F$22</f>
        <v>1.84829385873807</v>
      </c>
      <c r="Z27" s="13" t="n">
        <f aca="false">Z25/$F$22</f>
        <v>1.91635186027189</v>
      </c>
      <c r="AA27" s="13" t="n">
        <f aca="false">AA25/$F$22</f>
        <v>1.98691589814343</v>
      </c>
      <c r="AB27" s="13" t="n">
        <f aca="false">AB25/$F$22</f>
        <v>2.06007824979228</v>
      </c>
      <c r="AC27" s="13" t="n">
        <f aca="false">AC25/$F$22</f>
        <v>2.13593459050419</v>
      </c>
      <c r="AD27" s="13" t="n">
        <f aca="false">AD25/$F$22</f>
        <v>2.21458411852671</v>
      </c>
      <c r="AE27" s="13" t="n">
        <f aca="false">AE25/$F$22</f>
        <v>2.296129684792</v>
      </c>
      <c r="AF27" s="13" t="n">
        <f aca="false">AF25/$F$22</f>
        <v>2.38067792741621</v>
      </c>
      <c r="AG27" s="13" t="n">
        <f aca="false">AG25/$F$22</f>
        <v>2.4683394111514</v>
      </c>
      <c r="AH27" s="13" t="n">
        <f aca="false">AH25/$F$22</f>
        <v>2.55922877197242</v>
      </c>
      <c r="AI27" s="13" t="n">
        <f aca="false">AI25/$F$22</f>
        <v>2.65346486698775</v>
      </c>
      <c r="AJ27" s="13" t="n">
        <f aca="false">AJ25/$F$22</f>
        <v>2.75117092987035</v>
      </c>
      <c r="AK27" s="13" t="n">
        <f aca="false">AK25/$F$22</f>
        <v>2.85247473201183</v>
      </c>
      <c r="AL27" s="13" t="n">
        <f aca="false">AL25/$F$22</f>
        <v>2.95750874961063</v>
      </c>
      <c r="AM27" s="13" t="n">
        <f aca="false">AM25/$F$22</f>
        <v>3.06641033691272</v>
      </c>
      <c r="AN27" s="13" t="n">
        <f aca="false">AN25/$F$22</f>
        <v>3.17932190583143</v>
      </c>
      <c r="AO27" s="13" t="n">
        <f aca="false">AO25/$F$22</f>
        <v>3.29639111218118</v>
      </c>
      <c r="AP27" s="13" t="n">
        <f aca="false">AP25/$F$22</f>
        <v>3.41777104876878</v>
      </c>
      <c r="AQ27" s="13" t="n">
        <f aca="false">AQ25/$F$22</f>
        <v>3.54362044559476</v>
      </c>
      <c r="AR27" s="13" t="n">
        <f aca="false">AR25/$F$22</f>
        <v>3.67410387742644</v>
      </c>
      <c r="AS27" s="13" t="n">
        <f aca="false">AS25/$F$22</f>
        <v>3.80939197901437</v>
      </c>
      <c r="AT27" s="13" t="n">
        <f aca="false">AT25/$F$22</f>
        <v>3.94966166823342</v>
      </c>
      <c r="AU27" s="13" t="n">
        <f aca="false">AU25/$F$22</f>
        <v>4.09509637744045</v>
      </c>
      <c r="AV27" s="13" t="n">
        <f aca="false">AV25/$F$22</f>
        <v>4.24588629335093</v>
      </c>
      <c r="AW27" s="13" t="n">
        <f aca="false">AW25/$F$22</f>
        <v>4.40222860574848</v>
      </c>
      <c r="AX27" s="13" t="n">
        <f aca="false">AX25/$F$22</f>
        <v>4.56432776535225</v>
      </c>
      <c r="AY27" s="13" t="n">
        <f aca="false">AY25/$F$22</f>
        <v>4.73239575117961</v>
      </c>
      <c r="AZ27" s="13" t="n">
        <f aca="false">AZ25/$F$22</f>
        <v>4.90665234775367</v>
      </c>
      <c r="BA27" s="13" t="n">
        <f aca="false">BA25/$F$22</f>
        <v>5.08732543251808</v>
      </c>
      <c r="BB27" s="13" t="n">
        <f aca="false">BB25/$F$22</f>
        <v>5.27465127383519</v>
      </c>
      <c r="BC27" s="13" t="n">
        <f aca="false">BC25/$F$22</f>
        <v>5.46887483995694</v>
      </c>
      <c r="BD27" s="13" t="n">
        <f aca="false">BD25/$F$22</f>
        <v>5.67025011937283</v>
      </c>
      <c r="BE27" s="13" t="n">
        <f aca="false">BE25/$F$22</f>
        <v>5.87904045295371</v>
      </c>
      <c r="BF27" s="13" t="n">
        <f aca="false">BF25/$F$22</f>
        <v>6.09551887832579</v>
      </c>
      <c r="BG27" s="13" t="n">
        <f aca="false">BG25/$F$22</f>
        <v>6.31996848692524</v>
      </c>
      <c r="BH27" s="13" t="n">
        <f aca="false">BH25/$F$22</f>
        <v>6.55268279420022</v>
      </c>
      <c r="BI27" s="13" t="n">
        <f aca="false">BI25/$F$22</f>
        <v>6.79396612344463</v>
      </c>
      <c r="BJ27" s="13" t="n">
        <f aca="false">BJ25/$F$22</f>
        <v>7.04413400376524</v>
      </c>
      <c r="BK27" s="13" t="n">
        <f aca="false">BK25/$F$22</f>
        <v>7.30351358270297</v>
      </c>
      <c r="BL27" s="13" t="n">
        <f aca="false">BL25/$F$22</f>
        <v>7.57244405404763</v>
      </c>
      <c r="BM27" s="13" t="n">
        <f aca="false">BM25/$F$22</f>
        <v>7.8512771014057</v>
      </c>
      <c r="BN27" s="13" t="n">
        <f aca="false">BN25/$F$22</f>
        <v>8.1403773581012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1</v>
      </c>
      <c r="S29" s="10" t="n">
        <f aca="false">INT(Time!S32/12)+1</f>
        <v>2</v>
      </c>
      <c r="T29" s="10" t="n">
        <f aca="false">INT(Time!T32/12)+1</f>
        <v>2</v>
      </c>
      <c r="U29" s="10" t="n">
        <f aca="false">INT(Time!U32/12)+1</f>
        <v>3</v>
      </c>
      <c r="V29" s="10" t="n">
        <f aca="false">INT(Time!V32/12)+1</f>
        <v>3</v>
      </c>
      <c r="W29" s="10" t="n">
        <f aca="false">INT(Time!W32/12)+1</f>
        <v>4</v>
      </c>
      <c r="X29" s="10" t="n">
        <f aca="false">INT(Time!X32/12)+1</f>
        <v>4</v>
      </c>
      <c r="Y29" s="10" t="n">
        <f aca="false">INT(Time!Y32/12)+1</f>
        <v>5</v>
      </c>
      <c r="Z29" s="10" t="n">
        <f aca="false">INT(Time!Z32/12)+1</f>
        <v>5</v>
      </c>
      <c r="AA29" s="10" t="n">
        <f aca="false">INT(Time!AA32/12)+1</f>
        <v>6</v>
      </c>
      <c r="AB29" s="10" t="n">
        <f aca="false">INT(Time!AB32/12)+1</f>
        <v>6</v>
      </c>
      <c r="AC29" s="10" t="n">
        <f aca="false">INT(Time!AC32/12)+1</f>
        <v>7</v>
      </c>
      <c r="AD29" s="10" t="n">
        <f aca="false">INT(Time!AD32/12)+1</f>
        <v>7</v>
      </c>
      <c r="AE29" s="10" t="n">
        <f aca="false">INT(Time!AE32/12)+1</f>
        <v>8</v>
      </c>
      <c r="AF29" s="10" t="n">
        <f aca="false">INT(Time!AF32/12)+1</f>
        <v>8</v>
      </c>
      <c r="AG29" s="10" t="n">
        <f aca="false">INT(Time!AG32/12)+1</f>
        <v>9</v>
      </c>
      <c r="AH29" s="10" t="n">
        <f aca="false">INT(Time!AH32/12)+1</f>
        <v>9</v>
      </c>
      <c r="AI29" s="10" t="n">
        <f aca="false">INT(Time!AI32/12)+1</f>
        <v>10</v>
      </c>
      <c r="AJ29" s="10" t="n">
        <f aca="false">INT(Time!AJ32/12)+1</f>
        <v>10</v>
      </c>
      <c r="AK29" s="10" t="n">
        <f aca="false">INT(Time!AK32/12)+1</f>
        <v>11</v>
      </c>
      <c r="AL29" s="10" t="n">
        <f aca="false">INT(Time!AL32/12)+1</f>
        <v>11</v>
      </c>
      <c r="AM29" s="10" t="n">
        <f aca="false">INT(Time!AM32/12)+1</f>
        <v>12</v>
      </c>
      <c r="AN29" s="10" t="n">
        <f aca="false">INT(Time!AN32/12)+1</f>
        <v>12</v>
      </c>
      <c r="AO29" s="10" t="n">
        <f aca="false">INT(Time!AO32/12)+1</f>
        <v>13</v>
      </c>
      <c r="AP29" s="10" t="n">
        <f aca="false">INT(Time!AP32/12)+1</f>
        <v>13</v>
      </c>
      <c r="AQ29" s="10" t="n">
        <f aca="false">INT(Time!AQ32/12)+1</f>
        <v>14</v>
      </c>
      <c r="AR29" s="10" t="n">
        <f aca="false">INT(Time!AR32/12)+1</f>
        <v>14</v>
      </c>
      <c r="AS29" s="10" t="n">
        <f aca="false">INT(Time!AS32/12)+1</f>
        <v>15</v>
      </c>
      <c r="AT29" s="10" t="n">
        <f aca="false">INT(Time!AT32/12)+1</f>
        <v>15</v>
      </c>
      <c r="AU29" s="10" t="n">
        <f aca="false">INT(Time!AU32/12)+1</f>
        <v>16</v>
      </c>
      <c r="AV29" s="10" t="n">
        <f aca="false">INT(Time!AV32/12)+1</f>
        <v>16</v>
      </c>
      <c r="AW29" s="10" t="n">
        <f aca="false">INT(Time!AW32/12)+1</f>
        <v>17</v>
      </c>
      <c r="AX29" s="10" t="n">
        <f aca="false">INT(Time!AX32/12)+1</f>
        <v>17</v>
      </c>
      <c r="AY29" s="10" t="n">
        <f aca="false">INT(Time!AY32/12)+1</f>
        <v>18</v>
      </c>
      <c r="AZ29" s="10" t="n">
        <f aca="false">INT(Time!AZ32/12)+1</f>
        <v>18</v>
      </c>
      <c r="BA29" s="10" t="n">
        <f aca="false">INT(Time!BA32/12)+1</f>
        <v>19</v>
      </c>
      <c r="BB29" s="10" t="n">
        <f aca="false">INT(Time!BB32/12)+1</f>
        <v>19</v>
      </c>
      <c r="BC29" s="10" t="n">
        <f aca="false">INT(Time!BC32/12)+1</f>
        <v>20</v>
      </c>
      <c r="BD29" s="10" t="n">
        <f aca="false">INT(Time!BD32/12)+1</f>
        <v>20</v>
      </c>
      <c r="BE29" s="10" t="n">
        <f aca="false">INT(Time!BE32/12)+1</f>
        <v>21</v>
      </c>
      <c r="BF29" s="10" t="n">
        <f aca="false">INT(Time!BF32/12)+1</f>
        <v>21</v>
      </c>
      <c r="BG29" s="10" t="n">
        <f aca="false">INT(Time!BG32/12)+1</f>
        <v>22</v>
      </c>
      <c r="BH29" s="10" t="n">
        <f aca="false">INT(Time!BH32/12)+1</f>
        <v>22</v>
      </c>
      <c r="BI29" s="10" t="n">
        <f aca="false">INT(Time!BI32/12)+1</f>
        <v>23</v>
      </c>
      <c r="BJ29" s="10" t="n">
        <f aca="false">INT(Time!BJ32/12)+1</f>
        <v>23</v>
      </c>
      <c r="BK29" s="10" t="n">
        <f aca="false">INT(Time!BK32/12)+1</f>
        <v>24</v>
      </c>
      <c r="BL29" s="10" t="n">
        <f aca="false">INT(Time!BL32/12)+1</f>
        <v>24</v>
      </c>
      <c r="BM29" s="10" t="n">
        <f aca="false">INT(Time!BM32/12)+1</f>
        <v>25</v>
      </c>
      <c r="BN29" s="10" t="n">
        <f aca="false">INT(Time!BN32/12)+1</f>
        <v>25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0</v>
      </c>
      <c r="P30" s="10" t="n">
        <f aca="false">MIN(Time!P33,P29*12)-Time!P32</f>
        <v>1</v>
      </c>
      <c r="Q30" s="10" t="n">
        <f aca="false">MIN(Time!Q33,Q29*12)-Time!Q32</f>
        <v>6</v>
      </c>
      <c r="R30" s="10" t="n">
        <f aca="false">MIN(Time!R33,R29*12)-Time!R32</f>
        <v>5</v>
      </c>
      <c r="S30" s="10" t="n">
        <f aca="false">MIN(Time!S33,S29*12)-Time!S32</f>
        <v>6</v>
      </c>
      <c r="T30" s="10" t="n">
        <f aca="false">MIN(Time!T33,T29*12)-Time!T32</f>
        <v>5</v>
      </c>
      <c r="U30" s="10" t="n">
        <f aca="false">MIN(Time!U33,U29*12)-Time!U32</f>
        <v>6</v>
      </c>
      <c r="V30" s="10" t="n">
        <f aca="false">MIN(Time!V33,V29*12)-Time!V32</f>
        <v>5</v>
      </c>
      <c r="W30" s="10" t="n">
        <f aca="false">MIN(Time!W33,W29*12)-Time!W32</f>
        <v>6</v>
      </c>
      <c r="X30" s="10" t="n">
        <f aca="false">MIN(Time!X33,X29*12)-Time!X32</f>
        <v>5</v>
      </c>
      <c r="Y30" s="10" t="n">
        <f aca="false">MIN(Time!Y33,Y29*12)-Time!Y32</f>
        <v>6</v>
      </c>
      <c r="Z30" s="10" t="n">
        <f aca="false">MIN(Time!Z33,Z29*12)-Time!Z32</f>
        <v>5</v>
      </c>
      <c r="AA30" s="10" t="n">
        <f aca="false">MIN(Time!AA33,AA29*12)-Time!AA32</f>
        <v>6</v>
      </c>
      <c r="AB30" s="10" t="n">
        <f aca="false">MIN(Time!AB33,AB29*12)-Time!AB32</f>
        <v>5</v>
      </c>
      <c r="AC30" s="10" t="n">
        <f aca="false">MIN(Time!AC33,AC29*12)-Time!AC32</f>
        <v>6</v>
      </c>
      <c r="AD30" s="10" t="n">
        <f aca="false">MIN(Time!AD33,AD29*12)-Time!AD32</f>
        <v>5</v>
      </c>
      <c r="AE30" s="10" t="n">
        <f aca="false">MIN(Time!AE33,AE29*12)-Time!AE32</f>
        <v>6</v>
      </c>
      <c r="AF30" s="10" t="n">
        <f aca="false">MIN(Time!AF33,AF29*12)-Time!AF32</f>
        <v>5</v>
      </c>
      <c r="AG30" s="10" t="n">
        <f aca="false">MIN(Time!AG33,AG29*12)-Time!AG32</f>
        <v>6</v>
      </c>
      <c r="AH30" s="10" t="n">
        <f aca="false">MIN(Time!AH33,AH29*12)-Time!AH32</f>
        <v>5</v>
      </c>
      <c r="AI30" s="10" t="n">
        <f aca="false">MIN(Time!AI33,AI29*12)-Time!AI32</f>
        <v>6</v>
      </c>
      <c r="AJ30" s="10" t="n">
        <f aca="false">MIN(Time!AJ33,AJ29*12)-Time!AJ32</f>
        <v>5</v>
      </c>
      <c r="AK30" s="10" t="n">
        <f aca="false">MIN(Time!AK33,AK29*12)-Time!AK32</f>
        <v>6</v>
      </c>
      <c r="AL30" s="10" t="n">
        <f aca="false">MIN(Time!AL33,AL29*12)-Time!AL32</f>
        <v>5</v>
      </c>
      <c r="AM30" s="10" t="n">
        <f aca="false">MIN(Time!AM33,AM29*12)-Time!AM32</f>
        <v>6</v>
      </c>
      <c r="AN30" s="10" t="n">
        <f aca="false">MIN(Time!AN33,AN29*12)-Time!AN32</f>
        <v>5</v>
      </c>
      <c r="AO30" s="10" t="n">
        <f aca="false">MIN(Time!AO33,AO29*12)-Time!AO32</f>
        <v>6</v>
      </c>
      <c r="AP30" s="10" t="n">
        <f aca="false">MIN(Time!AP33,AP29*12)-Time!AP32</f>
        <v>5</v>
      </c>
      <c r="AQ30" s="10" t="n">
        <f aca="false">MIN(Time!AQ33,AQ29*12)-Time!AQ32</f>
        <v>6</v>
      </c>
      <c r="AR30" s="10" t="n">
        <f aca="false">MIN(Time!AR33,AR29*12)-Time!AR32</f>
        <v>5</v>
      </c>
      <c r="AS30" s="10" t="n">
        <f aca="false">MIN(Time!AS33,AS29*12)-Time!AS32</f>
        <v>6</v>
      </c>
      <c r="AT30" s="10" t="n">
        <f aca="false">MIN(Time!AT33,AT29*12)-Time!AT32</f>
        <v>5</v>
      </c>
      <c r="AU30" s="10" t="n">
        <f aca="false">MIN(Time!AU33,AU29*12)-Time!AU32</f>
        <v>6</v>
      </c>
      <c r="AV30" s="10" t="n">
        <f aca="false">MIN(Time!AV33,AV29*12)-Time!AV32</f>
        <v>5</v>
      </c>
      <c r="AW30" s="10" t="n">
        <f aca="false">MIN(Time!AW33,AW29*12)-Time!AW32</f>
        <v>6</v>
      </c>
      <c r="AX30" s="10" t="n">
        <f aca="false">MIN(Time!AX33,AX29*12)-Time!AX32</f>
        <v>5</v>
      </c>
      <c r="AY30" s="10" t="n">
        <f aca="false">MIN(Time!AY33,AY29*12)-Time!AY32</f>
        <v>6</v>
      </c>
      <c r="AZ30" s="10" t="n">
        <f aca="false">MIN(Time!AZ33,AZ29*12)-Time!AZ32</f>
        <v>5</v>
      </c>
      <c r="BA30" s="10" t="n">
        <f aca="false">MIN(Time!BA33,BA29*12)-Time!BA32</f>
        <v>6</v>
      </c>
      <c r="BB30" s="10" t="n">
        <f aca="false">MIN(Time!BB33,BB29*12)-Time!BB32</f>
        <v>5</v>
      </c>
      <c r="BC30" s="10" t="n">
        <f aca="false">MIN(Time!BC33,BC29*12)-Time!BC32</f>
        <v>6</v>
      </c>
      <c r="BD30" s="10" t="n">
        <f aca="false">MIN(Time!BD33,BD29*12)-Time!BD32</f>
        <v>5</v>
      </c>
      <c r="BE30" s="10" t="n">
        <f aca="false">MIN(Time!BE33,BE29*12)-Time!BE32</f>
        <v>6</v>
      </c>
      <c r="BF30" s="10" t="n">
        <f aca="false">MIN(Time!BF33,BF29*12)-Time!BF32</f>
        <v>5</v>
      </c>
      <c r="BG30" s="10" t="n">
        <f aca="false">MIN(Time!BG33,BG29*12)-Time!BG32</f>
        <v>6</v>
      </c>
      <c r="BH30" s="10" t="n">
        <f aca="false">MIN(Time!BH33,BH29*12)-Time!BH32</f>
        <v>5</v>
      </c>
      <c r="BI30" s="10" t="n">
        <f aca="false">MIN(Time!BI33,BI29*12)-Time!BI32</f>
        <v>6</v>
      </c>
      <c r="BJ30" s="10" t="n">
        <f aca="false">MIN(Time!BJ33,BJ29*12)-Time!BJ32</f>
        <v>5</v>
      </c>
      <c r="BK30" s="10" t="n">
        <f aca="false">MIN(Time!BK33,BK29*12)-Time!BK32</f>
        <v>6</v>
      </c>
      <c r="BL30" s="10" t="n">
        <f aca="false">MIN(Time!BL33,BL29*12)-Time!BL32</f>
        <v>5</v>
      </c>
      <c r="BM30" s="10" t="n">
        <f aca="false">MIN(Time!BM33,BM29*12)-Time!BM32</f>
        <v>6</v>
      </c>
      <c r="BN30" s="10" t="n">
        <f aca="false">MIN(Time!BN33,BN29*12)-Time!BN32</f>
        <v>5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0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93.8</v>
      </c>
      <c r="R31" s="13" t="n">
        <f aca="false">IF(Time!R30&gt;0,(R30*INDEX(Inputs!$J$302:$Q$302,1,MOD(R29-1,Inputs!$F$220)+1)+(Time!R30-R30)*INDEX(Inputs!$J$302:$Q$302,1,MOD(R29,Inputs!$F$220)+1))/Time!R30,0)</f>
        <v>93.65</v>
      </c>
      <c r="S31" s="13" t="n">
        <f aca="false">IF(Time!S30&gt;0,(S30*INDEX(Inputs!$J$302:$Q$302,1,MOD(S29-1,Inputs!$F$220)+1)+(Time!S30-S30)*INDEX(Inputs!$J$302:$Q$302,1,MOD(S29,Inputs!$F$220)+1))/Time!S30,0)</f>
        <v>92.9</v>
      </c>
      <c r="T31" s="13" t="n">
        <f aca="false">IF(Time!T30&gt;0,(T30*INDEX(Inputs!$J$302:$Q$302,1,MOD(T29-1,Inputs!$F$220)+1)+(Time!T30-T30)*INDEX(Inputs!$J$302:$Q$302,1,MOD(T29,Inputs!$F$220)+1))/Time!T30,0)</f>
        <v>93.05</v>
      </c>
      <c r="U31" s="13" t="n">
        <f aca="false">IF(Time!U30&gt;0,(U30*INDEX(Inputs!$J$302:$Q$302,1,MOD(U29-1,Inputs!$F$220)+1)+(Time!U30-U30)*INDEX(Inputs!$J$302:$Q$302,1,MOD(U29,Inputs!$F$220)+1))/Time!U30,0)</f>
        <v>93.8</v>
      </c>
      <c r="V31" s="13" t="n">
        <f aca="false">IF(Time!V30&gt;0,(V30*INDEX(Inputs!$J$302:$Q$302,1,MOD(V29-1,Inputs!$F$220)+1)+(Time!V30-V30)*INDEX(Inputs!$J$302:$Q$302,1,MOD(V29,Inputs!$F$220)+1))/Time!V30,0)</f>
        <v>93.2666666666667</v>
      </c>
      <c r="W31" s="13" t="n">
        <f aca="false">IF(Time!W30&gt;0,(W30*INDEX(Inputs!$J$302:$Q$302,1,MOD(W29-1,Inputs!$F$220)+1)+(Time!W30-W30)*INDEX(Inputs!$J$302:$Q$302,1,MOD(W29,Inputs!$F$220)+1))/Time!W30,0)</f>
        <v>90.6</v>
      </c>
      <c r="X31" s="13" t="n">
        <f aca="false">IF(Time!X30&gt;0,(X30*INDEX(Inputs!$J$302:$Q$302,1,MOD(X29-1,Inputs!$F$220)+1)+(Time!X30-X30)*INDEX(Inputs!$J$302:$Q$302,1,MOD(X29,Inputs!$F$220)+1))/Time!X30,0)</f>
        <v>91.1333333333333</v>
      </c>
      <c r="Y31" s="13" t="n">
        <f aca="false">IF(Time!Y30&gt;0,(Y30*INDEX(Inputs!$J$302:$Q$302,1,MOD(Y29-1,Inputs!$F$220)+1)+(Time!Y30-Y30)*INDEX(Inputs!$J$302:$Q$302,1,MOD(Y29,Inputs!$F$220)+1))/Time!Y30,0)</f>
        <v>93.8</v>
      </c>
      <c r="Z31" s="13" t="n">
        <f aca="false">IF(Time!Z30&gt;0,(Z30*INDEX(Inputs!$J$302:$Q$302,1,MOD(Z29-1,Inputs!$F$220)+1)+(Time!Z30-Z30)*INDEX(Inputs!$J$302:$Q$302,1,MOD(Z29,Inputs!$F$220)+1))/Time!Z30,0)</f>
        <v>93.65</v>
      </c>
      <c r="AA31" s="13" t="n">
        <f aca="false">IF(Time!AA30&gt;0,(AA30*INDEX(Inputs!$J$302:$Q$302,1,MOD(AA29-1,Inputs!$F$220)+1)+(Time!AA30-AA30)*INDEX(Inputs!$J$302:$Q$302,1,MOD(AA29,Inputs!$F$220)+1))/Time!AA30,0)</f>
        <v>92.9</v>
      </c>
      <c r="AB31" s="13" t="n">
        <f aca="false">IF(Time!AB30&gt;0,(AB30*INDEX(Inputs!$J$302:$Q$302,1,MOD(AB29-1,Inputs!$F$220)+1)+(Time!AB30-AB30)*INDEX(Inputs!$J$302:$Q$302,1,MOD(AB29,Inputs!$F$220)+1))/Time!AB30,0)</f>
        <v>93.05</v>
      </c>
      <c r="AC31" s="13" t="n">
        <f aca="false">IF(Time!AC30&gt;0,(AC30*INDEX(Inputs!$J$302:$Q$302,1,MOD(AC29-1,Inputs!$F$220)+1)+(Time!AC30-AC30)*INDEX(Inputs!$J$302:$Q$302,1,MOD(AC29,Inputs!$F$220)+1))/Time!AC30,0)</f>
        <v>93.8</v>
      </c>
      <c r="AD31" s="13" t="n">
        <f aca="false">IF(Time!AD30&gt;0,(AD30*INDEX(Inputs!$J$302:$Q$302,1,MOD(AD29-1,Inputs!$F$220)+1)+(Time!AD30-AD30)*INDEX(Inputs!$J$302:$Q$302,1,MOD(AD29,Inputs!$F$220)+1))/Time!AD30,0)</f>
        <v>92.95</v>
      </c>
      <c r="AE31" s="13" t="n">
        <f aca="false">IF(Time!AE30&gt;0,(AE30*INDEX(Inputs!$J$302:$Q$302,1,MOD(AE29-1,Inputs!$F$220)+1)+(Time!AE30-AE30)*INDEX(Inputs!$J$302:$Q$302,1,MOD(AE29,Inputs!$F$220)+1))/Time!AE30,0)</f>
        <v>88.7</v>
      </c>
      <c r="AF31" s="13" t="n">
        <f aca="false">IF(Time!AF30&gt;0,(AF30*INDEX(Inputs!$J$302:$Q$302,1,MOD(AF29-1,Inputs!$F$220)+1)+(Time!AF30-AF30)*INDEX(Inputs!$J$302:$Q$302,1,MOD(AF29,Inputs!$F$220)+1))/Time!AF30,0)</f>
        <v>89.55</v>
      </c>
      <c r="AG31" s="13" t="n">
        <f aca="false">IF(Time!AG30&gt;0,(AG30*INDEX(Inputs!$J$302:$Q$302,1,MOD(AG29-1,Inputs!$F$220)+1)+(Time!AG30-AG30)*INDEX(Inputs!$J$302:$Q$302,1,MOD(AG29,Inputs!$F$220)+1))/Time!AG30,0)</f>
        <v>93.8</v>
      </c>
      <c r="AH31" s="13" t="n">
        <f aca="false">IF(Time!AH30&gt;0,(AH30*INDEX(Inputs!$J$302:$Q$302,1,MOD(AH29-1,Inputs!$F$220)+1)+(Time!AH30-AH30)*INDEX(Inputs!$J$302:$Q$302,1,MOD(AH29,Inputs!$F$220)+1))/Time!AH30,0)</f>
        <v>93.65</v>
      </c>
      <c r="AI31" s="13" t="n">
        <f aca="false">IF(Time!AI30&gt;0,(AI30*INDEX(Inputs!$J$302:$Q$302,1,MOD(AI29-1,Inputs!$F$220)+1)+(Time!AI30-AI30)*INDEX(Inputs!$J$302:$Q$302,1,MOD(AI29,Inputs!$F$220)+1))/Time!AI30,0)</f>
        <v>92.9</v>
      </c>
      <c r="AJ31" s="13" t="n">
        <f aca="false">IF(Time!AJ30&gt;0,(AJ30*INDEX(Inputs!$J$302:$Q$302,1,MOD(AJ29-1,Inputs!$F$220)+1)+(Time!AJ30-AJ30)*INDEX(Inputs!$J$302:$Q$302,1,MOD(AJ29,Inputs!$F$220)+1))/Time!AJ30,0)</f>
        <v>93.05</v>
      </c>
      <c r="AK31" s="13" t="n">
        <f aca="false">IF(Time!AK30&gt;0,(AK30*INDEX(Inputs!$J$302:$Q$302,1,MOD(AK29-1,Inputs!$F$220)+1)+(Time!AK30-AK30)*INDEX(Inputs!$J$302:$Q$302,1,MOD(AK29,Inputs!$F$220)+1))/Time!AK30,0)</f>
        <v>93.8</v>
      </c>
      <c r="AL31" s="13" t="n">
        <f aca="false">IF(Time!AL30&gt;0,(AL30*INDEX(Inputs!$J$302:$Q$302,1,MOD(AL29-1,Inputs!$F$220)+1)+(Time!AL30-AL30)*INDEX(Inputs!$J$302:$Q$302,1,MOD(AL29,Inputs!$F$220)+1))/Time!AL30,0)</f>
        <v>93.2666666666667</v>
      </c>
      <c r="AM31" s="13" t="n">
        <f aca="false">IF(Time!AM30&gt;0,(AM30*INDEX(Inputs!$J$302:$Q$302,1,MOD(AM29-1,Inputs!$F$220)+1)+(Time!AM30-AM30)*INDEX(Inputs!$J$302:$Q$302,1,MOD(AM29,Inputs!$F$220)+1))/Time!AM30,0)</f>
        <v>90.6</v>
      </c>
      <c r="AN31" s="13" t="n">
        <f aca="false">IF(Time!AN30&gt;0,(AN30*INDEX(Inputs!$J$302:$Q$302,1,MOD(AN29-1,Inputs!$F$220)+1)+(Time!AN30-AN30)*INDEX(Inputs!$J$302:$Q$302,1,MOD(AN29,Inputs!$F$220)+1))/Time!AN30,0)</f>
        <v>91.1333333333333</v>
      </c>
      <c r="AO31" s="13" t="n">
        <f aca="false">IF(Time!AO30&gt;0,(AO30*INDEX(Inputs!$J$302:$Q$302,1,MOD(AO29-1,Inputs!$F$220)+1)+(Time!AO30-AO30)*INDEX(Inputs!$J$302:$Q$302,1,MOD(AO29,Inputs!$F$220)+1))/Time!AO30,0)</f>
        <v>93.8</v>
      </c>
      <c r="AP31" s="13" t="n">
        <f aca="false">IF(Time!AP30&gt;0,(AP30*INDEX(Inputs!$J$302:$Q$302,1,MOD(AP29-1,Inputs!$F$220)+1)+(Time!AP30-AP30)*INDEX(Inputs!$J$302:$Q$302,1,MOD(AP29,Inputs!$F$220)+1))/Time!AP30,0)</f>
        <v>93.65</v>
      </c>
      <c r="AQ31" s="13" t="n">
        <f aca="false">IF(Time!AQ30&gt;0,(AQ30*INDEX(Inputs!$J$302:$Q$302,1,MOD(AQ29-1,Inputs!$F$220)+1)+(Time!AQ30-AQ30)*INDEX(Inputs!$J$302:$Q$302,1,MOD(AQ29,Inputs!$F$220)+1))/Time!AQ30,0)</f>
        <v>92.9</v>
      </c>
      <c r="AR31" s="13" t="n">
        <f aca="false">IF(Time!AR30&gt;0,(AR30*INDEX(Inputs!$J$302:$Q$302,1,MOD(AR29-1,Inputs!$F$220)+1)+(Time!AR30-AR30)*INDEX(Inputs!$J$302:$Q$302,1,MOD(AR29,Inputs!$F$220)+1))/Time!AR30,0)</f>
        <v>93.05</v>
      </c>
      <c r="AS31" s="13" t="n">
        <f aca="false">IF(Time!AS30&gt;0,(AS30*INDEX(Inputs!$J$302:$Q$302,1,MOD(AS29-1,Inputs!$F$220)+1)+(Time!AS30-AS30)*INDEX(Inputs!$J$302:$Q$302,1,MOD(AS29,Inputs!$F$220)+1))/Time!AS30,0)</f>
        <v>93.8</v>
      </c>
      <c r="AT31" s="13" t="n">
        <f aca="false">IF(Time!AT30&gt;0,(AT30*INDEX(Inputs!$J$302:$Q$302,1,MOD(AT29-1,Inputs!$F$220)+1)+(Time!AT30-AT30)*INDEX(Inputs!$J$302:$Q$302,1,MOD(AT29,Inputs!$F$220)+1))/Time!AT30,0)</f>
        <v>92.95</v>
      </c>
      <c r="AU31" s="13" t="n">
        <f aca="false">IF(Time!AU30&gt;0,(AU30*INDEX(Inputs!$J$302:$Q$302,1,MOD(AU29-1,Inputs!$F$220)+1)+(Time!AU30-AU30)*INDEX(Inputs!$J$302:$Q$302,1,MOD(AU29,Inputs!$F$220)+1))/Time!AU30,0)</f>
        <v>88.7</v>
      </c>
      <c r="AV31" s="13" t="n">
        <f aca="false">IF(Time!AV30&gt;0,(AV30*INDEX(Inputs!$J$302:$Q$302,1,MOD(AV29-1,Inputs!$F$220)+1)+(Time!AV30-AV30)*INDEX(Inputs!$J$302:$Q$302,1,MOD(AV29,Inputs!$F$220)+1))/Time!AV30,0)</f>
        <v>89.55</v>
      </c>
      <c r="AW31" s="13" t="n">
        <f aca="false">IF(Time!AW30&gt;0,(AW30*INDEX(Inputs!$J$302:$Q$302,1,MOD(AW29-1,Inputs!$F$220)+1)+(Time!AW30-AW30)*INDEX(Inputs!$J$302:$Q$302,1,MOD(AW29,Inputs!$F$220)+1))/Time!AW30,0)</f>
        <v>93.8</v>
      </c>
      <c r="AX31" s="13" t="n">
        <f aca="false">IF(Time!AX30&gt;0,(AX30*INDEX(Inputs!$J$302:$Q$302,1,MOD(AX29-1,Inputs!$F$220)+1)+(Time!AX30-AX30)*INDEX(Inputs!$J$302:$Q$302,1,MOD(AX29,Inputs!$F$220)+1))/Time!AX30,0)</f>
        <v>93.65</v>
      </c>
      <c r="AY31" s="13" t="n">
        <f aca="false">IF(Time!AY30&gt;0,(AY30*INDEX(Inputs!$J$302:$Q$302,1,MOD(AY29-1,Inputs!$F$220)+1)+(Time!AY30-AY30)*INDEX(Inputs!$J$302:$Q$302,1,MOD(AY29,Inputs!$F$220)+1))/Time!AY30,0)</f>
        <v>92.9</v>
      </c>
      <c r="AZ31" s="13" t="n">
        <f aca="false">IF(Time!AZ30&gt;0,(AZ30*INDEX(Inputs!$J$302:$Q$302,1,MOD(AZ29-1,Inputs!$F$220)+1)+(Time!AZ30-AZ30)*INDEX(Inputs!$J$302:$Q$302,1,MOD(AZ29,Inputs!$F$220)+1))/Time!AZ30,0)</f>
        <v>93.05</v>
      </c>
      <c r="BA31" s="13" t="n">
        <f aca="false">IF(Time!BA30&gt;0,(BA30*INDEX(Inputs!$J$302:$Q$302,1,MOD(BA29-1,Inputs!$F$220)+1)+(Time!BA30-BA30)*INDEX(Inputs!$J$302:$Q$302,1,MOD(BA29,Inputs!$F$220)+1))/Time!BA30,0)</f>
        <v>93.8</v>
      </c>
      <c r="BB31" s="13" t="n">
        <f aca="false">IF(Time!BB30&gt;0,(BB30*INDEX(Inputs!$J$302:$Q$302,1,MOD(BB29-1,Inputs!$F$220)+1)+(Time!BB30-BB30)*INDEX(Inputs!$J$302:$Q$302,1,MOD(BB29,Inputs!$F$220)+1))/Time!BB30,0)</f>
        <v>93.2666666666667</v>
      </c>
      <c r="BC31" s="13" t="n">
        <f aca="false">IF(Time!BC30&gt;0,(BC30*INDEX(Inputs!$J$302:$Q$302,1,MOD(BC29-1,Inputs!$F$220)+1)+(Time!BC30-BC30)*INDEX(Inputs!$J$302:$Q$302,1,MOD(BC29,Inputs!$F$220)+1))/Time!BC30,0)</f>
        <v>90.6</v>
      </c>
      <c r="BD31" s="13" t="n">
        <f aca="false">IF(Time!BD30&gt;0,(BD30*INDEX(Inputs!$J$302:$Q$302,1,MOD(BD29-1,Inputs!$F$220)+1)+(Time!BD30-BD30)*INDEX(Inputs!$J$302:$Q$302,1,MOD(BD29,Inputs!$F$220)+1))/Time!BD30,0)</f>
        <v>91.1333333333333</v>
      </c>
      <c r="BE31" s="13" t="n">
        <f aca="false">IF(Time!BE30&gt;0,(BE30*INDEX(Inputs!$J$302:$Q$302,1,MOD(BE29-1,Inputs!$F$220)+1)+(Time!BE30-BE30)*INDEX(Inputs!$J$302:$Q$302,1,MOD(BE29,Inputs!$F$220)+1))/Time!BE30,0)</f>
        <v>93.8</v>
      </c>
      <c r="BF31" s="13" t="n">
        <f aca="false">IF(Time!BF30&gt;0,(BF30*INDEX(Inputs!$J$302:$Q$302,1,MOD(BF29-1,Inputs!$F$220)+1)+(Time!BF30-BF30)*INDEX(Inputs!$J$302:$Q$302,1,MOD(BF29,Inputs!$F$220)+1))/Time!BF30,0)</f>
        <v>93.65</v>
      </c>
      <c r="BG31" s="13" t="n">
        <f aca="false">IF(Time!BG30&gt;0,(BG30*INDEX(Inputs!$J$302:$Q$302,1,MOD(BG29-1,Inputs!$F$220)+1)+(Time!BG30-BG30)*INDEX(Inputs!$J$302:$Q$302,1,MOD(BG29,Inputs!$F$220)+1))/Time!BG30,0)</f>
        <v>92.9</v>
      </c>
      <c r="BH31" s="13" t="n">
        <f aca="false">IF(Time!BH30&gt;0,(BH30*INDEX(Inputs!$J$302:$Q$302,1,MOD(BH29-1,Inputs!$F$220)+1)+(Time!BH30-BH30)*INDEX(Inputs!$J$302:$Q$302,1,MOD(BH29,Inputs!$F$220)+1))/Time!BH30,0)</f>
        <v>93.05</v>
      </c>
      <c r="BI31" s="13" t="n">
        <f aca="false">IF(Time!BI30&gt;0,(BI30*INDEX(Inputs!$J$302:$Q$302,1,MOD(BI29-1,Inputs!$F$220)+1)+(Time!BI30-BI30)*INDEX(Inputs!$J$302:$Q$302,1,MOD(BI29,Inputs!$F$220)+1))/Time!BI30,0)</f>
        <v>93.8</v>
      </c>
      <c r="BJ31" s="13" t="n">
        <f aca="false">IF(Time!BJ30&gt;0,(BJ30*INDEX(Inputs!$J$302:$Q$302,1,MOD(BJ29-1,Inputs!$F$220)+1)+(Time!BJ30-BJ30)*INDEX(Inputs!$J$302:$Q$302,1,MOD(BJ29,Inputs!$F$220)+1))/Time!BJ30,0)</f>
        <v>92.95</v>
      </c>
      <c r="BK31" s="13" t="n">
        <f aca="false">IF(Time!BK30&gt;0,(BK30*INDEX(Inputs!$J$302:$Q$302,1,MOD(BK29-1,Inputs!$F$220)+1)+(Time!BK30-BK30)*INDEX(Inputs!$J$302:$Q$302,1,MOD(BK29,Inputs!$F$220)+1))/Time!BK30,0)</f>
        <v>88.7</v>
      </c>
      <c r="BL31" s="13" t="n">
        <f aca="false">IF(Time!BL30&gt;0,(BL30*INDEX(Inputs!$J$302:$Q$302,1,MOD(BL29-1,Inputs!$F$220)+1)+(Time!BL30-BL30)*INDEX(Inputs!$J$302:$Q$302,1,MOD(BL29,Inputs!$F$220)+1))/Time!BL30,0)</f>
        <v>89.55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93.8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0</v>
      </c>
      <c r="P32" s="13" t="n">
        <f aca="false">IF(Time!P30&gt;0,P31+Inputs!$F$37,0)</f>
        <v>93.8</v>
      </c>
      <c r="Q32" s="13" t="n">
        <f aca="false">IF(Time!Q30&gt;0,Q31+Inputs!$F$37,0)</f>
        <v>93.8</v>
      </c>
      <c r="R32" s="13" t="n">
        <f aca="false">IF(Time!R30&gt;0,R31+Inputs!$F$37,0)</f>
        <v>93.65</v>
      </c>
      <c r="S32" s="13" t="n">
        <f aca="false">IF(Time!S30&gt;0,S31+Inputs!$F$37,0)</f>
        <v>92.9</v>
      </c>
      <c r="T32" s="13" t="n">
        <f aca="false">IF(Time!T30&gt;0,T31+Inputs!$F$37,0)</f>
        <v>93.05</v>
      </c>
      <c r="U32" s="13" t="n">
        <f aca="false">IF(Time!U30&gt;0,U31+Inputs!$F$37,0)</f>
        <v>93.8</v>
      </c>
      <c r="V32" s="13" t="n">
        <f aca="false">IF(Time!V30&gt;0,V31+Inputs!$F$37,0)</f>
        <v>93.2666666666667</v>
      </c>
      <c r="W32" s="13" t="n">
        <f aca="false">IF(Time!W30&gt;0,W31+Inputs!$F$37,0)</f>
        <v>90.6</v>
      </c>
      <c r="X32" s="13" t="n">
        <f aca="false">IF(Time!X30&gt;0,X31+Inputs!$F$37,0)</f>
        <v>91.1333333333333</v>
      </c>
      <c r="Y32" s="13" t="n">
        <f aca="false">IF(Time!Y30&gt;0,Y31+Inputs!$F$37,0)</f>
        <v>93.8</v>
      </c>
      <c r="Z32" s="13" t="n">
        <f aca="false">IF(Time!Z30&gt;0,Z31+Inputs!$F$37,0)</f>
        <v>93.65</v>
      </c>
      <c r="AA32" s="13" t="n">
        <f aca="false">IF(Time!AA30&gt;0,AA31+Inputs!$F$37,0)</f>
        <v>92.9</v>
      </c>
      <c r="AB32" s="13" t="n">
        <f aca="false">IF(Time!AB30&gt;0,AB31+Inputs!$F$37,0)</f>
        <v>93.05</v>
      </c>
      <c r="AC32" s="13" t="n">
        <f aca="false">IF(Time!AC30&gt;0,AC31+Inputs!$F$37,0)</f>
        <v>93.8</v>
      </c>
      <c r="AD32" s="13" t="n">
        <f aca="false">IF(Time!AD30&gt;0,AD31+Inputs!$F$37,0)</f>
        <v>92.95</v>
      </c>
      <c r="AE32" s="13" t="n">
        <f aca="false">IF(Time!AE30&gt;0,AE31+Inputs!$F$37,0)</f>
        <v>88.7</v>
      </c>
      <c r="AF32" s="13" t="n">
        <f aca="false">IF(Time!AF30&gt;0,AF31+Inputs!$F$37,0)</f>
        <v>89.55</v>
      </c>
      <c r="AG32" s="13" t="n">
        <f aca="false">IF(Time!AG30&gt;0,AG31+Inputs!$F$37,0)</f>
        <v>93.8</v>
      </c>
      <c r="AH32" s="13" t="n">
        <f aca="false">IF(Time!AH30&gt;0,AH31+Inputs!$F$37,0)</f>
        <v>93.65</v>
      </c>
      <c r="AI32" s="13" t="n">
        <f aca="false">IF(Time!AI30&gt;0,AI31+Inputs!$F$37,0)</f>
        <v>92.9</v>
      </c>
      <c r="AJ32" s="13" t="n">
        <f aca="false">IF(Time!AJ30&gt;0,AJ31+Inputs!$F$37,0)</f>
        <v>93.05</v>
      </c>
      <c r="AK32" s="13" t="n">
        <f aca="false">IF(Time!AK30&gt;0,AK31+Inputs!$F$37,0)</f>
        <v>93.8</v>
      </c>
      <c r="AL32" s="13" t="n">
        <f aca="false">IF(Time!AL30&gt;0,AL31+Inputs!$F$37,0)</f>
        <v>93.2666666666667</v>
      </c>
      <c r="AM32" s="13" t="n">
        <f aca="false">IF(Time!AM30&gt;0,AM31+Inputs!$F$37,0)</f>
        <v>90.6</v>
      </c>
      <c r="AN32" s="13" t="n">
        <f aca="false">IF(Time!AN30&gt;0,AN31+Inputs!$F$37,0)</f>
        <v>91.1333333333333</v>
      </c>
      <c r="AO32" s="13" t="n">
        <f aca="false">IF(Time!AO30&gt;0,AO31+Inputs!$F$37,0)</f>
        <v>93.8</v>
      </c>
      <c r="AP32" s="13" t="n">
        <f aca="false">IF(Time!AP30&gt;0,AP31+Inputs!$F$37,0)</f>
        <v>93.65</v>
      </c>
      <c r="AQ32" s="13" t="n">
        <f aca="false">IF(Time!AQ30&gt;0,AQ31+Inputs!$F$37,0)</f>
        <v>92.9</v>
      </c>
      <c r="AR32" s="13" t="n">
        <f aca="false">IF(Time!AR30&gt;0,AR31+Inputs!$F$37,0)</f>
        <v>93.05</v>
      </c>
      <c r="AS32" s="13" t="n">
        <f aca="false">IF(Time!AS30&gt;0,AS31+Inputs!$F$37,0)</f>
        <v>93.8</v>
      </c>
      <c r="AT32" s="13" t="n">
        <f aca="false">IF(Time!AT30&gt;0,AT31+Inputs!$F$37,0)</f>
        <v>92.95</v>
      </c>
      <c r="AU32" s="13" t="n">
        <f aca="false">IF(Time!AU30&gt;0,AU31+Inputs!$F$37,0)</f>
        <v>88.7</v>
      </c>
      <c r="AV32" s="13" t="n">
        <f aca="false">IF(Time!AV30&gt;0,AV31+Inputs!$F$37,0)</f>
        <v>89.55</v>
      </c>
      <c r="AW32" s="13" t="n">
        <f aca="false">IF(Time!AW30&gt;0,AW31+Inputs!$F$37,0)</f>
        <v>93.8</v>
      </c>
      <c r="AX32" s="13" t="n">
        <f aca="false">IF(Time!AX30&gt;0,AX31+Inputs!$F$37,0)</f>
        <v>93.65</v>
      </c>
      <c r="AY32" s="13" t="n">
        <f aca="false">IF(Time!AY30&gt;0,AY31+Inputs!$F$37,0)</f>
        <v>92.9</v>
      </c>
      <c r="AZ32" s="13" t="n">
        <f aca="false">IF(Time!AZ30&gt;0,AZ31+Inputs!$F$37,0)</f>
        <v>93.05</v>
      </c>
      <c r="BA32" s="13" t="n">
        <f aca="false">IF(Time!BA30&gt;0,BA31+Inputs!$F$37,0)</f>
        <v>93.8</v>
      </c>
      <c r="BB32" s="13" t="n">
        <f aca="false">IF(Time!BB30&gt;0,BB31+Inputs!$F$37,0)</f>
        <v>93.2666666666667</v>
      </c>
      <c r="BC32" s="13" t="n">
        <f aca="false">IF(Time!BC30&gt;0,BC31+Inputs!$F$37,0)</f>
        <v>90.6</v>
      </c>
      <c r="BD32" s="13" t="n">
        <f aca="false">IF(Time!BD30&gt;0,BD31+Inputs!$F$37,0)</f>
        <v>91.1333333333333</v>
      </c>
      <c r="BE32" s="13" t="n">
        <f aca="false">IF(Time!BE30&gt;0,BE31+Inputs!$F$37,0)</f>
        <v>93.8</v>
      </c>
      <c r="BF32" s="13" t="n">
        <f aca="false">IF(Time!BF30&gt;0,BF31+Inputs!$F$37,0)</f>
        <v>93.65</v>
      </c>
      <c r="BG32" s="13" t="n">
        <f aca="false">IF(Time!BG30&gt;0,BG31+Inputs!$F$37,0)</f>
        <v>92.9</v>
      </c>
      <c r="BH32" s="13" t="n">
        <f aca="false">IF(Time!BH30&gt;0,BH31+Inputs!$F$37,0)</f>
        <v>93.05</v>
      </c>
      <c r="BI32" s="13" t="n">
        <f aca="false">IF(Time!BI30&gt;0,BI31+Inputs!$F$37,0)</f>
        <v>93.8</v>
      </c>
      <c r="BJ32" s="13" t="n">
        <f aca="false">IF(Time!BJ30&gt;0,BJ31+Inputs!$F$37,0)</f>
        <v>92.95</v>
      </c>
      <c r="BK32" s="13" t="n">
        <f aca="false">IF(Time!BK30&gt;0,BK31+Inputs!$F$37,0)</f>
        <v>88.7</v>
      </c>
      <c r="BL32" s="13" t="n">
        <f aca="false">IF(Time!BL30&gt;0,BL31+Inputs!$F$37,0)</f>
        <v>89.55</v>
      </c>
      <c r="BM32" s="13" t="n">
        <f aca="false">IF(Time!BM30&gt;0,BM31+Inputs!$F$37,0)</f>
        <v>93.8</v>
      </c>
      <c r="BN32" s="13" t="n">
        <f aca="false">IF(Time!BN30&gt;0,BN31+Inputs!$F$37,0)</f>
        <v>93.8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</v>
      </c>
      <c r="P33" s="13" t="n">
        <f aca="false">IF(Time!P30&gt;0,AVERAGE(Time!P32,Time!P33)/12,0)</f>
        <v>0.0416666666666667</v>
      </c>
      <c r="Q33" s="13" t="n">
        <f aca="false">IF(Time!Q30&gt;0,AVERAGE(Time!Q32,Time!Q33)/12,0)</f>
        <v>0.333333333333333</v>
      </c>
      <c r="R33" s="13" t="n">
        <f aca="false">IF(Time!R30&gt;0,AVERAGE(Time!R32,Time!R33)/12,0)</f>
        <v>0.833333333333333</v>
      </c>
      <c r="S33" s="13" t="n">
        <f aca="false">IF(Time!S30&gt;0,AVERAGE(Time!S32,Time!S33)/12,0)</f>
        <v>1.33333333333333</v>
      </c>
      <c r="T33" s="13" t="n">
        <f aca="false">IF(Time!T30&gt;0,AVERAGE(Time!T32,Time!T33)/12,0)</f>
        <v>1.83333333333333</v>
      </c>
      <c r="U33" s="13" t="n">
        <f aca="false">IF(Time!U30&gt;0,AVERAGE(Time!U32,Time!U33)/12,0)</f>
        <v>2.33333333333333</v>
      </c>
      <c r="V33" s="13" t="n">
        <f aca="false">IF(Time!V30&gt;0,AVERAGE(Time!V32,Time!V33)/12,0)</f>
        <v>2.83333333333333</v>
      </c>
      <c r="W33" s="13" t="n">
        <f aca="false">IF(Time!W30&gt;0,AVERAGE(Time!W32,Time!W33)/12,0)</f>
        <v>3.33333333333333</v>
      </c>
      <c r="X33" s="13" t="n">
        <f aca="false">IF(Time!X30&gt;0,AVERAGE(Time!X32,Time!X33)/12,0)</f>
        <v>3.83333333333333</v>
      </c>
      <c r="Y33" s="13" t="n">
        <f aca="false">IF(Time!Y30&gt;0,AVERAGE(Time!Y32,Time!Y33)/12,0)</f>
        <v>4.33333333333333</v>
      </c>
      <c r="Z33" s="13" t="n">
        <f aca="false">IF(Time!Z30&gt;0,AVERAGE(Time!Z32,Time!Z33)/12,0)</f>
        <v>4.83333333333333</v>
      </c>
      <c r="AA33" s="13" t="n">
        <f aca="false">IF(Time!AA30&gt;0,AVERAGE(Time!AA32,Time!AA33)/12,0)</f>
        <v>5.33333333333333</v>
      </c>
      <c r="AB33" s="13" t="n">
        <f aca="false">IF(Time!AB30&gt;0,AVERAGE(Time!AB32,Time!AB33)/12,0)</f>
        <v>5.83333333333333</v>
      </c>
      <c r="AC33" s="13" t="n">
        <f aca="false">IF(Time!AC30&gt;0,AVERAGE(Time!AC32,Time!AC33)/12,0)</f>
        <v>6.33333333333333</v>
      </c>
      <c r="AD33" s="13" t="n">
        <f aca="false">IF(Time!AD30&gt;0,AVERAGE(Time!AD32,Time!AD33)/12,0)</f>
        <v>6.83333333333333</v>
      </c>
      <c r="AE33" s="13" t="n">
        <f aca="false">IF(Time!AE30&gt;0,AVERAGE(Time!AE32,Time!AE33)/12,0)</f>
        <v>7.33333333333333</v>
      </c>
      <c r="AF33" s="13" t="n">
        <f aca="false">IF(Time!AF30&gt;0,AVERAGE(Time!AF32,Time!AF33)/12,0)</f>
        <v>7.83333333333333</v>
      </c>
      <c r="AG33" s="13" t="n">
        <f aca="false">IF(Time!AG30&gt;0,AVERAGE(Time!AG32,Time!AG33)/12,0)</f>
        <v>8.33333333333333</v>
      </c>
      <c r="AH33" s="13" t="n">
        <f aca="false">IF(Time!AH30&gt;0,AVERAGE(Time!AH32,Time!AH33)/12,0)</f>
        <v>8.83333333333333</v>
      </c>
      <c r="AI33" s="13" t="n">
        <f aca="false">IF(Time!AI30&gt;0,AVERAGE(Time!AI32,Time!AI33)/12,0)</f>
        <v>9.33333333333333</v>
      </c>
      <c r="AJ33" s="13" t="n">
        <f aca="false">IF(Time!AJ30&gt;0,AVERAGE(Time!AJ32,Time!AJ33)/12,0)</f>
        <v>9.83333333333333</v>
      </c>
      <c r="AK33" s="13" t="n">
        <f aca="false">IF(Time!AK30&gt;0,AVERAGE(Time!AK32,Time!AK33)/12,0)</f>
        <v>10.3333333333333</v>
      </c>
      <c r="AL33" s="13" t="n">
        <f aca="false">IF(Time!AL30&gt;0,AVERAGE(Time!AL32,Time!AL33)/12,0)</f>
        <v>10.8333333333333</v>
      </c>
      <c r="AM33" s="13" t="n">
        <f aca="false">IF(Time!AM30&gt;0,AVERAGE(Time!AM32,Time!AM33)/12,0)</f>
        <v>11.3333333333333</v>
      </c>
      <c r="AN33" s="13" t="n">
        <f aca="false">IF(Time!AN30&gt;0,AVERAGE(Time!AN32,Time!AN33)/12,0)</f>
        <v>11.8333333333333</v>
      </c>
      <c r="AO33" s="13" t="n">
        <f aca="false">IF(Time!AO30&gt;0,AVERAGE(Time!AO32,Time!AO33)/12,0)</f>
        <v>12.3333333333333</v>
      </c>
      <c r="AP33" s="13" t="n">
        <f aca="false">IF(Time!AP30&gt;0,AVERAGE(Time!AP32,Time!AP33)/12,0)</f>
        <v>12.8333333333333</v>
      </c>
      <c r="AQ33" s="13" t="n">
        <f aca="false">IF(Time!AQ30&gt;0,AVERAGE(Time!AQ32,Time!AQ33)/12,0)</f>
        <v>13.3333333333333</v>
      </c>
      <c r="AR33" s="13" t="n">
        <f aca="false">IF(Time!AR30&gt;0,AVERAGE(Time!AR32,Time!AR33)/12,0)</f>
        <v>13.8333333333333</v>
      </c>
      <c r="AS33" s="13" t="n">
        <f aca="false">IF(Time!AS30&gt;0,AVERAGE(Time!AS32,Time!AS33)/12,0)</f>
        <v>14.3333333333333</v>
      </c>
      <c r="AT33" s="13" t="n">
        <f aca="false">IF(Time!AT30&gt;0,AVERAGE(Time!AT32,Time!AT33)/12,0)</f>
        <v>14.8333333333333</v>
      </c>
      <c r="AU33" s="13" t="n">
        <f aca="false">IF(Time!AU30&gt;0,AVERAGE(Time!AU32,Time!AU33)/12,0)</f>
        <v>15.3333333333333</v>
      </c>
      <c r="AV33" s="13" t="n">
        <f aca="false">IF(Time!AV30&gt;0,AVERAGE(Time!AV32,Time!AV33)/12,0)</f>
        <v>15.8333333333333</v>
      </c>
      <c r="AW33" s="13" t="n">
        <f aca="false">IF(Time!AW30&gt;0,AVERAGE(Time!AW32,Time!AW33)/12,0)</f>
        <v>16.3333333333333</v>
      </c>
      <c r="AX33" s="13" t="n">
        <f aca="false">IF(Time!AX30&gt;0,AVERAGE(Time!AX32,Time!AX33)/12,0)</f>
        <v>16.8333333333333</v>
      </c>
      <c r="AY33" s="13" t="n">
        <f aca="false">IF(Time!AY30&gt;0,AVERAGE(Time!AY32,Time!AY33)/12,0)</f>
        <v>17.3333333333333</v>
      </c>
      <c r="AZ33" s="13" t="n">
        <f aca="false">IF(Time!AZ30&gt;0,AVERAGE(Time!AZ32,Time!AZ33)/12,0)</f>
        <v>17.8333333333333</v>
      </c>
      <c r="BA33" s="13" t="n">
        <f aca="false">IF(Time!BA30&gt;0,AVERAGE(Time!BA32,Time!BA33)/12,0)</f>
        <v>18.3333333333333</v>
      </c>
      <c r="BB33" s="13" t="n">
        <f aca="false">IF(Time!BB30&gt;0,AVERAGE(Time!BB32,Time!BB33)/12,0)</f>
        <v>18.8333333333333</v>
      </c>
      <c r="BC33" s="13" t="n">
        <f aca="false">IF(Time!BC30&gt;0,AVERAGE(Time!BC32,Time!BC33)/12,0)</f>
        <v>19.3333333333333</v>
      </c>
      <c r="BD33" s="13" t="n">
        <f aca="false">IF(Time!BD30&gt;0,AVERAGE(Time!BD32,Time!BD33)/12,0)</f>
        <v>19.8333333333333</v>
      </c>
      <c r="BE33" s="13" t="n">
        <f aca="false">IF(Time!BE30&gt;0,AVERAGE(Time!BE32,Time!BE33)/12,0)</f>
        <v>20.3333333333333</v>
      </c>
      <c r="BF33" s="13" t="n">
        <f aca="false">IF(Time!BF30&gt;0,AVERAGE(Time!BF32,Time!BF33)/12,0)</f>
        <v>20.8333333333333</v>
      </c>
      <c r="BG33" s="13" t="n">
        <f aca="false">IF(Time!BG30&gt;0,AVERAGE(Time!BG32,Time!BG33)/12,0)</f>
        <v>21.3333333333333</v>
      </c>
      <c r="BH33" s="13" t="n">
        <f aca="false">IF(Time!BH30&gt;0,AVERAGE(Time!BH32,Time!BH33)/12,0)</f>
        <v>21.8333333333333</v>
      </c>
      <c r="BI33" s="13" t="n">
        <f aca="false">IF(Time!BI30&gt;0,AVERAGE(Time!BI32,Time!BI33)/12,0)</f>
        <v>22.3333333333333</v>
      </c>
      <c r="BJ33" s="13" t="n">
        <f aca="false">IF(Time!BJ30&gt;0,AVERAGE(Time!BJ32,Time!BJ33)/12,0)</f>
        <v>22.8333333333333</v>
      </c>
      <c r="BK33" s="13" t="n">
        <f aca="false">IF(Time!BK30&gt;0,AVERAGE(Time!BK32,Time!BK33)/12,0)</f>
        <v>23.3333333333333</v>
      </c>
      <c r="BL33" s="13" t="n">
        <f aca="false">IF(Time!BL30&gt;0,AVERAGE(Time!BL32,Time!BL33)/12,0)</f>
        <v>23.8333333333333</v>
      </c>
      <c r="BM33" s="13" t="n">
        <f aca="false">IF(Time!BM30&gt;0,AVERAGE(Time!BM32,Time!BM33)/12,0)</f>
        <v>24.3333333333333</v>
      </c>
      <c r="BN33" s="13" t="n">
        <f aca="false">IF(Time!BN30&gt;0,AVERAGE(Time!BN32,Time!BN33)/12,0)</f>
        <v>24.7916666666667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581.9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6286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0.99</v>
      </c>
      <c r="P36" s="13" t="n">
        <f aca="false">(1-Inputs!$F$125/100*P33)*(1-Inputs!$F$126/100)</f>
        <v>0.989938125</v>
      </c>
      <c r="Q36" s="13" t="n">
        <f aca="false">(1-Inputs!$F$125/100*Q33)*(1-Inputs!$F$126/100)</f>
        <v>0.989505</v>
      </c>
      <c r="R36" s="13" t="n">
        <f aca="false">(1-Inputs!$F$125/100*R33)*(1-Inputs!$F$126/100)</f>
        <v>0.9887625</v>
      </c>
      <c r="S36" s="13" t="n">
        <f aca="false">(1-Inputs!$F$125/100*S33)*(1-Inputs!$F$126/100)</f>
        <v>0.98802</v>
      </c>
      <c r="T36" s="13" t="n">
        <f aca="false">(1-Inputs!$F$125/100*T33)*(1-Inputs!$F$126/100)</f>
        <v>0.9872775</v>
      </c>
      <c r="U36" s="13" t="n">
        <f aca="false">(1-Inputs!$F$125/100*U33)*(1-Inputs!$F$126/100)</f>
        <v>0.986535</v>
      </c>
      <c r="V36" s="13" t="n">
        <f aca="false">(1-Inputs!$F$125/100*V33)*(1-Inputs!$F$126/100)</f>
        <v>0.9857925</v>
      </c>
      <c r="W36" s="13" t="n">
        <f aca="false">(1-Inputs!$F$125/100*W33)*(1-Inputs!$F$126/100)</f>
        <v>0.98505</v>
      </c>
      <c r="X36" s="13" t="n">
        <f aca="false">(1-Inputs!$F$125/100*X33)*(1-Inputs!$F$126/100)</f>
        <v>0.9843075</v>
      </c>
      <c r="Y36" s="13" t="n">
        <f aca="false">(1-Inputs!$F$125/100*Y33)*(1-Inputs!$F$126/100)</f>
        <v>0.983565</v>
      </c>
      <c r="Z36" s="13" t="n">
        <f aca="false">(1-Inputs!$F$125/100*Z33)*(1-Inputs!$F$126/100)</f>
        <v>0.9828225</v>
      </c>
      <c r="AA36" s="13" t="n">
        <f aca="false">(1-Inputs!$F$125/100*AA33)*(1-Inputs!$F$126/100)</f>
        <v>0.98208</v>
      </c>
      <c r="AB36" s="13" t="n">
        <f aca="false">(1-Inputs!$F$125/100*AB33)*(1-Inputs!$F$126/100)</f>
        <v>0.9813375</v>
      </c>
      <c r="AC36" s="13" t="n">
        <f aca="false">(1-Inputs!$F$125/100*AC33)*(1-Inputs!$F$126/100)</f>
        <v>0.980595</v>
      </c>
      <c r="AD36" s="13" t="n">
        <f aca="false">(1-Inputs!$F$125/100*AD33)*(1-Inputs!$F$126/100)</f>
        <v>0.9798525</v>
      </c>
      <c r="AE36" s="13" t="n">
        <f aca="false">(1-Inputs!$F$125/100*AE33)*(1-Inputs!$F$126/100)</f>
        <v>0.97911</v>
      </c>
      <c r="AF36" s="13" t="n">
        <f aca="false">(1-Inputs!$F$125/100*AF33)*(1-Inputs!$F$126/100)</f>
        <v>0.9783675</v>
      </c>
      <c r="AG36" s="13" t="n">
        <f aca="false">(1-Inputs!$F$125/100*AG33)*(1-Inputs!$F$126/100)</f>
        <v>0.977625</v>
      </c>
      <c r="AH36" s="13" t="n">
        <f aca="false">(1-Inputs!$F$125/100*AH33)*(1-Inputs!$F$126/100)</f>
        <v>0.9768825</v>
      </c>
      <c r="AI36" s="13" t="n">
        <f aca="false">(1-Inputs!$F$125/100*AI33)*(1-Inputs!$F$126/100)</f>
        <v>0.97614</v>
      </c>
      <c r="AJ36" s="13" t="n">
        <f aca="false">(1-Inputs!$F$125/100*AJ33)*(1-Inputs!$F$126/100)</f>
        <v>0.9753975</v>
      </c>
      <c r="AK36" s="13" t="n">
        <f aca="false">(1-Inputs!$F$125/100*AK33)*(1-Inputs!$F$126/100)</f>
        <v>0.974655</v>
      </c>
      <c r="AL36" s="13" t="n">
        <f aca="false">(1-Inputs!$F$125/100*AL33)*(1-Inputs!$F$126/100)</f>
        <v>0.9739125</v>
      </c>
      <c r="AM36" s="13" t="n">
        <f aca="false">(1-Inputs!$F$125/100*AM33)*(1-Inputs!$F$126/100)</f>
        <v>0.97317</v>
      </c>
      <c r="AN36" s="13" t="n">
        <f aca="false">(1-Inputs!$F$125/100*AN33)*(1-Inputs!$F$126/100)</f>
        <v>0.9724275</v>
      </c>
      <c r="AO36" s="13" t="n">
        <f aca="false">(1-Inputs!$F$125/100*AO33)*(1-Inputs!$F$126/100)</f>
        <v>0.971685</v>
      </c>
      <c r="AP36" s="13" t="n">
        <f aca="false">(1-Inputs!$F$125/100*AP33)*(1-Inputs!$F$126/100)</f>
        <v>0.9709425</v>
      </c>
      <c r="AQ36" s="13" t="n">
        <f aca="false">(1-Inputs!$F$125/100*AQ33)*(1-Inputs!$F$126/100)</f>
        <v>0.9702</v>
      </c>
      <c r="AR36" s="13" t="n">
        <f aca="false">(1-Inputs!$F$125/100*AR33)*(1-Inputs!$F$126/100)</f>
        <v>0.9694575</v>
      </c>
      <c r="AS36" s="13" t="n">
        <f aca="false">(1-Inputs!$F$125/100*AS33)*(1-Inputs!$F$126/100)</f>
        <v>0.968715</v>
      </c>
      <c r="AT36" s="13" t="n">
        <f aca="false">(1-Inputs!$F$125/100*AT33)*(1-Inputs!$F$126/100)</f>
        <v>0.9679725</v>
      </c>
      <c r="AU36" s="13" t="n">
        <f aca="false">(1-Inputs!$F$125/100*AU33)*(1-Inputs!$F$126/100)</f>
        <v>0.96723</v>
      </c>
      <c r="AV36" s="13" t="n">
        <f aca="false">(1-Inputs!$F$125/100*AV33)*(1-Inputs!$F$126/100)</f>
        <v>0.9664875</v>
      </c>
      <c r="AW36" s="13" t="n">
        <f aca="false">(1-Inputs!$F$125/100*AW33)*(1-Inputs!$F$126/100)</f>
        <v>0.965745</v>
      </c>
      <c r="AX36" s="13" t="n">
        <f aca="false">(1-Inputs!$F$125/100*AX33)*(1-Inputs!$F$126/100)</f>
        <v>0.9650025</v>
      </c>
      <c r="AY36" s="13" t="n">
        <f aca="false">(1-Inputs!$F$125/100*AY33)*(1-Inputs!$F$126/100)</f>
        <v>0.96426</v>
      </c>
      <c r="AZ36" s="13" t="n">
        <f aca="false">(1-Inputs!$F$125/100*AZ33)*(1-Inputs!$F$126/100)</f>
        <v>0.9635175</v>
      </c>
      <c r="BA36" s="13" t="n">
        <f aca="false">(1-Inputs!$F$125/100*BA33)*(1-Inputs!$F$126/100)</f>
        <v>0.962775</v>
      </c>
      <c r="BB36" s="13" t="n">
        <f aca="false">(1-Inputs!$F$125/100*BB33)*(1-Inputs!$F$126/100)</f>
        <v>0.9620325</v>
      </c>
      <c r="BC36" s="13" t="n">
        <f aca="false">(1-Inputs!$F$125/100*BC33)*(1-Inputs!$F$126/100)</f>
        <v>0.96129</v>
      </c>
      <c r="BD36" s="13" t="n">
        <f aca="false">(1-Inputs!$F$125/100*BD33)*(1-Inputs!$F$126/100)</f>
        <v>0.9605475</v>
      </c>
      <c r="BE36" s="13" t="n">
        <f aca="false">(1-Inputs!$F$125/100*BE33)*(1-Inputs!$F$126/100)</f>
        <v>0.959805</v>
      </c>
      <c r="BF36" s="13" t="n">
        <f aca="false">(1-Inputs!$F$125/100*BF33)*(1-Inputs!$F$126/100)</f>
        <v>0.9590625</v>
      </c>
      <c r="BG36" s="13" t="n">
        <f aca="false">(1-Inputs!$F$125/100*BG33)*(1-Inputs!$F$126/100)</f>
        <v>0.95832</v>
      </c>
      <c r="BH36" s="13" t="n">
        <f aca="false">(1-Inputs!$F$125/100*BH33)*(1-Inputs!$F$126/100)</f>
        <v>0.9575775</v>
      </c>
      <c r="BI36" s="13" t="n">
        <f aca="false">(1-Inputs!$F$125/100*BI33)*(1-Inputs!$F$126/100)</f>
        <v>0.956835</v>
      </c>
      <c r="BJ36" s="13" t="n">
        <f aca="false">(1-Inputs!$F$125/100*BJ33)*(1-Inputs!$F$126/100)</f>
        <v>0.9560925</v>
      </c>
      <c r="BK36" s="13" t="n">
        <f aca="false">(1-Inputs!$F$125/100*BK33)*(1-Inputs!$F$126/100)</f>
        <v>0.95535</v>
      </c>
      <c r="BL36" s="13" t="n">
        <f aca="false">(1-Inputs!$F$125/100*BL33)*(1-Inputs!$F$126/100)</f>
        <v>0.9546075</v>
      </c>
      <c r="BM36" s="13" t="n">
        <f aca="false">(1-Inputs!$F$125/100*BM33)*(1-Inputs!$F$126/100)</f>
        <v>0.953865</v>
      </c>
      <c r="BN36" s="13" t="n">
        <f aca="false">(1-Inputs!$F$125/100*BN33)*(1-Inputs!$F$126/100)</f>
        <v>0.953184375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0</v>
      </c>
      <c r="P38" s="15" t="n">
        <f aca="false">$F$34*Inputs!$F$215*Time!P30*P32/100*P37/100*P36</f>
        <v>301747.40312263</v>
      </c>
      <c r="Q38" s="15" t="n">
        <f aca="false">$F$34*Inputs!$F$215*Time!Q30*Q32/100*Q37/100*Q36</f>
        <v>1809692.28229406</v>
      </c>
      <c r="R38" s="15" t="n">
        <f aca="false">$F$34*Inputs!$F$215*Time!R30*R32/100*R37/100*R36</f>
        <v>1805442.54146308</v>
      </c>
      <c r="S38" s="15" t="n">
        <f aca="false">$F$34*Inputs!$F$215*Time!S30*S32/100*S37/100*S36</f>
        <v>1789638.65940505</v>
      </c>
      <c r="T38" s="15" t="n">
        <f aca="false">$F$34*Inputs!$F$215*Time!T30*T32/100*T37/100*T36</f>
        <v>1791181.19010013</v>
      </c>
      <c r="U38" s="15" t="n">
        <f aca="false">$F$34*Inputs!$F$215*Time!U30*U32/100*U37/100*U36</f>
        <v>1804260.4895508</v>
      </c>
      <c r="V38" s="15" t="n">
        <f aca="false">$F$34*Inputs!$F$215*Time!V30*V32/100*V37/100*V36</f>
        <v>1792651.49635368</v>
      </c>
      <c r="W38" s="15" t="n">
        <f aca="false">$F$34*Inputs!$F$215*Time!W30*W32/100*W37/100*W36</f>
        <v>1740084.64970185</v>
      </c>
      <c r="X38" s="15" t="n">
        <f aca="false">$F$34*Inputs!$F$215*Time!X30*X32/100*X37/100*X36</f>
        <v>1749008.63092106</v>
      </c>
      <c r="Y38" s="15" t="n">
        <f aca="false">$F$34*Inputs!$F$215*Time!Y30*Y32/100*Y37/100*Y36</f>
        <v>1798828.69680755</v>
      </c>
      <c r="Z38" s="15" t="n">
        <f aca="false">$F$34*Inputs!$F$215*Time!Z30*Z32/100*Z37/100*Z36</f>
        <v>1794596.32844803</v>
      </c>
      <c r="AA38" s="15" t="n">
        <f aca="false">$F$34*Inputs!$F$215*Time!AA30*AA32/100*AA37/100*AA36</f>
        <v>1778879.30874731</v>
      </c>
      <c r="AB38" s="15" t="n">
        <f aca="false">$F$34*Inputs!$F$215*Time!AB30*AB32/100*AB37/100*AB36</f>
        <v>1780404.46697092</v>
      </c>
      <c r="AC38" s="15" t="n">
        <f aca="false">$F$34*Inputs!$F$215*Time!AC30*AC32/100*AC37/100*AC36</f>
        <v>1793396.9040643</v>
      </c>
      <c r="AD38" s="15" t="n">
        <f aca="false">$F$34*Inputs!$F$215*Time!AD30*AD32/100*AD37/100*AD36</f>
        <v>1775799.79689664</v>
      </c>
      <c r="AE38" s="15" t="n">
        <f aca="false">$F$34*Inputs!$F$215*Time!AE30*AE32/100*AE37/100*AE36</f>
        <v>1693319.88680533</v>
      </c>
      <c r="AF38" s="15" t="n">
        <f aca="false">$F$34*Inputs!$F$215*Time!AF30*AF32/100*AF37/100*AF36</f>
        <v>1708250.31960383</v>
      </c>
      <c r="AG38" s="15" t="n">
        <f aca="false">$F$34*Inputs!$F$215*Time!AG30*AG32/100*AG37/100*AG36</f>
        <v>1787965.11132104</v>
      </c>
      <c r="AH38" s="15" t="n">
        <f aca="false">$F$34*Inputs!$F$215*Time!AH30*AH32/100*AH37/100*AH36</f>
        <v>1783750.11543299</v>
      </c>
      <c r="AI38" s="15" t="n">
        <f aca="false">$F$34*Inputs!$F$215*Time!AI30*AI32/100*AI37/100*AI36</f>
        <v>1768119.95808956</v>
      </c>
      <c r="AJ38" s="15" t="n">
        <f aca="false">$F$34*Inputs!$F$215*Time!AJ30*AJ32/100*AJ37/100*AJ36</f>
        <v>1769627.74384172</v>
      </c>
      <c r="AK38" s="15" t="n">
        <f aca="false">$F$34*Inputs!$F$215*Time!AK30*AK32/100*AK37/100*AK36</f>
        <v>1782533.31857779</v>
      </c>
      <c r="AL38" s="15" t="n">
        <f aca="false">$F$34*Inputs!$F$215*Time!AL30*AL32/100*AL37/100*AL36</f>
        <v>1771047.86295549</v>
      </c>
      <c r="AM38" s="15" t="n">
        <f aca="false">$F$34*Inputs!$F$215*Time!AM30*AM32/100*AM37/100*AM36</f>
        <v>1719098.70417781</v>
      </c>
      <c r="AN38" s="15" t="n">
        <f aca="false">$F$34*Inputs!$F$215*Time!AN30*AN32/100*AN37/100*AN36</f>
        <v>1727899.14782219</v>
      </c>
      <c r="AO38" s="15" t="n">
        <f aca="false">$F$34*Inputs!$F$215*Time!AO30*AO32/100*AO37/100*AO36</f>
        <v>1777101.52583454</v>
      </c>
      <c r="AP38" s="15" t="n">
        <f aca="false">$F$34*Inputs!$F$215*Time!AP30*AP32/100*AP37/100*AP36</f>
        <v>1772903.90241794</v>
      </c>
      <c r="AQ38" s="15" t="n">
        <f aca="false">$F$34*Inputs!$F$215*Time!AQ30*AQ32/100*AQ37/100*AQ36</f>
        <v>1757360.60743181</v>
      </c>
      <c r="AR38" s="15" t="n">
        <f aca="false">$F$34*Inputs!$F$215*Time!AR30*AR32/100*AR37/100*AR36</f>
        <v>1758851.02071251</v>
      </c>
      <c r="AS38" s="15" t="n">
        <f aca="false">$F$34*Inputs!$F$215*Time!AS30*AS32/100*AS37/100*AS36</f>
        <v>1771669.73309128</v>
      </c>
      <c r="AT38" s="15" t="n">
        <f aca="false">$F$34*Inputs!$F$215*Time!AT30*AT32/100*AT37/100*AT36</f>
        <v>1754269.51393351</v>
      </c>
      <c r="AU38" s="15" t="n">
        <f aca="false">$F$34*Inputs!$F$215*Time!AU30*AU32/100*AU37/100*AU36</f>
        <v>1672774.04389161</v>
      </c>
      <c r="AV38" s="15" t="n">
        <f aca="false">$F$34*Inputs!$F$215*Time!AV30*AV32/100*AV37/100*AV36</f>
        <v>1687507.58868023</v>
      </c>
      <c r="AW38" s="15" t="n">
        <f aca="false">$F$34*Inputs!$F$215*Time!AW30*AW32/100*AW37/100*AW36</f>
        <v>1766237.94034803</v>
      </c>
      <c r="AX38" s="15" t="n">
        <f aca="false">$F$34*Inputs!$F$215*Time!AX30*AX32/100*AX37/100*AX36</f>
        <v>1762057.68940289</v>
      </c>
      <c r="AY38" s="15" t="n">
        <f aca="false">$F$34*Inputs!$F$215*Time!AY30*AY32/100*AY37/100*AY36</f>
        <v>1746601.25677407</v>
      </c>
      <c r="AZ38" s="15" t="n">
        <f aca="false">$F$34*Inputs!$F$215*Time!AZ30*AZ32/100*AZ37/100*AZ36</f>
        <v>1748074.29758331</v>
      </c>
      <c r="BA38" s="15" t="n">
        <f aca="false">$F$34*Inputs!$F$215*Time!BA30*BA32/100*BA37/100*BA36</f>
        <v>1760806.14760477</v>
      </c>
      <c r="BB38" s="15" t="n">
        <f aca="false">$F$34*Inputs!$F$215*Time!BB30*BB32/100*BB37/100*BB36</f>
        <v>1749444.2295573</v>
      </c>
      <c r="BC38" s="15" t="n">
        <f aca="false">$F$34*Inputs!$F$215*Time!BC30*BC32/100*BC37/100*BC36</f>
        <v>1698112.75865376</v>
      </c>
      <c r="BD38" s="15" t="n">
        <f aca="false">$F$34*Inputs!$F$215*Time!BD30*BD32/100*BD37/100*BD36</f>
        <v>1706789.66472332</v>
      </c>
      <c r="BE38" s="15" t="n">
        <f aca="false">$F$34*Inputs!$F$215*Time!BE30*BE32/100*BE37/100*BE36</f>
        <v>1755374.35486152</v>
      </c>
      <c r="BF38" s="15" t="n">
        <f aca="false">$F$34*Inputs!$F$215*Time!BF30*BF32/100*BF37/100*BF36</f>
        <v>1751211.47638785</v>
      </c>
      <c r="BG38" s="15" t="n">
        <f aca="false">$F$34*Inputs!$F$215*Time!BG30*BG32/100*BG37/100*BG36</f>
        <v>1735841.90611632</v>
      </c>
      <c r="BH38" s="15" t="n">
        <f aca="false">$F$34*Inputs!$F$215*Time!BH30*BH32/100*BH37/100*BH36</f>
        <v>1737297.5744541</v>
      </c>
      <c r="BI38" s="15" t="n">
        <f aca="false">$F$34*Inputs!$F$215*Time!BI30*BI32/100*BI37/100*BI36</f>
        <v>1749942.56211827</v>
      </c>
      <c r="BJ38" s="15" t="n">
        <f aca="false">$F$34*Inputs!$F$215*Time!BJ30*BJ32/100*BJ37/100*BJ36</f>
        <v>1732739.23097038</v>
      </c>
      <c r="BK38" s="15" t="n">
        <f aca="false">$F$34*Inputs!$F$215*Time!BK30*BK32/100*BK37/100*BK36</f>
        <v>1652228.2009779</v>
      </c>
      <c r="BL38" s="15" t="n">
        <f aca="false">$F$34*Inputs!$F$215*Time!BL30*BL32/100*BL37/100*BL36</f>
        <v>1666764.85775663</v>
      </c>
      <c r="BM38" s="15" t="n">
        <f aca="false">$F$34*Inputs!$F$215*Time!BM30*BM32/100*BM37/100*BM36</f>
        <v>1744510.76937501</v>
      </c>
      <c r="BN38" s="15" t="n">
        <f aca="false">$F$34*Inputs!$F$215*Time!BN30*BN32/100*BN37/100*BN36</f>
        <v>1452721.65294835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6482.022624</v>
      </c>
      <c r="K39" s="13" t="n">
        <f aca="false">$F$35*(1+Inputs!$F$127/100*K33)*(1+Inputs!$F$128/100)*(1+Inputs!$F$122/100)*Inputs!$F$39</f>
        <v>6482.022624</v>
      </c>
      <c r="L39" s="13" t="n">
        <f aca="false">$F$35*(1+Inputs!$F$127/100*L33)*(1+Inputs!$F$128/100)*(1+Inputs!$F$122/100)*Inputs!$F$39</f>
        <v>6482.022624</v>
      </c>
      <c r="M39" s="13" t="n">
        <f aca="false">$F$35*(1+Inputs!$F$127/100*M33)*(1+Inputs!$F$128/100)*(1+Inputs!$F$122/100)*Inputs!$F$39</f>
        <v>6482.022624</v>
      </c>
      <c r="N39" s="13" t="n">
        <f aca="false">$F$35*(1+Inputs!$F$127/100*N33)*(1+Inputs!$F$128/100)*(1+Inputs!$F$122/100)*Inputs!$F$39</f>
        <v>6482.022624</v>
      </c>
      <c r="O39" s="13" t="n">
        <f aca="false">$F$35*(1+Inputs!$F$127/100*O33)*(1+Inputs!$F$128/100)*(1+Inputs!$F$122/100)*Inputs!$F$39</f>
        <v>6482.022624</v>
      </c>
      <c r="P39" s="13" t="n">
        <f aca="false">$F$35*(1+Inputs!$F$127/100*P33)*(1+Inputs!$F$128/100)*(1+Inputs!$F$122/100)*Inputs!$F$39</f>
        <v>6482.3467251312</v>
      </c>
      <c r="Q39" s="13" t="n">
        <f aca="false">$F$35*(1+Inputs!$F$127/100*Q33)*(1+Inputs!$F$128/100)*(1+Inputs!$F$122/100)*Inputs!$F$39</f>
        <v>6484.6154330496</v>
      </c>
      <c r="R39" s="13" t="n">
        <f aca="false">$F$35*(1+Inputs!$F$127/100*R33)*(1+Inputs!$F$128/100)*(1+Inputs!$F$122/100)*Inputs!$F$39</f>
        <v>6488.504646624</v>
      </c>
      <c r="S39" s="13" t="n">
        <f aca="false">$F$35*(1+Inputs!$F$127/100*S33)*(1+Inputs!$F$128/100)*(1+Inputs!$F$122/100)*Inputs!$F$39</f>
        <v>6492.3938601984</v>
      </c>
      <c r="T39" s="13" t="n">
        <f aca="false">$F$35*(1+Inputs!$F$127/100*T33)*(1+Inputs!$F$128/100)*(1+Inputs!$F$122/100)*Inputs!$F$39</f>
        <v>6496.2830737728</v>
      </c>
      <c r="U39" s="13" t="n">
        <f aca="false">$F$35*(1+Inputs!$F$127/100*U33)*(1+Inputs!$F$128/100)*(1+Inputs!$F$122/100)*Inputs!$F$39</f>
        <v>6500.1722873472</v>
      </c>
      <c r="V39" s="13" t="n">
        <f aca="false">$F$35*(1+Inputs!$F$127/100*V33)*(1+Inputs!$F$128/100)*(1+Inputs!$F$122/100)*Inputs!$F$39</f>
        <v>6504.0615009216</v>
      </c>
      <c r="W39" s="13" t="n">
        <f aca="false">$F$35*(1+Inputs!$F$127/100*W33)*(1+Inputs!$F$128/100)*(1+Inputs!$F$122/100)*Inputs!$F$39</f>
        <v>6507.950714496</v>
      </c>
      <c r="X39" s="13" t="n">
        <f aca="false">$F$35*(1+Inputs!$F$127/100*X33)*(1+Inputs!$F$128/100)*(1+Inputs!$F$122/100)*Inputs!$F$39</f>
        <v>6511.8399280704</v>
      </c>
      <c r="Y39" s="13" t="n">
        <f aca="false">$F$35*(1+Inputs!$F$127/100*Y33)*(1+Inputs!$F$128/100)*(1+Inputs!$F$122/100)*Inputs!$F$39</f>
        <v>6515.7291416448</v>
      </c>
      <c r="Z39" s="13" t="n">
        <f aca="false">$F$35*(1+Inputs!$F$127/100*Z33)*(1+Inputs!$F$128/100)*(1+Inputs!$F$122/100)*Inputs!$F$39</f>
        <v>6519.6183552192</v>
      </c>
      <c r="AA39" s="13" t="n">
        <f aca="false">$F$35*(1+Inputs!$F$127/100*AA33)*(1+Inputs!$F$128/100)*(1+Inputs!$F$122/100)*Inputs!$F$39</f>
        <v>6523.5075687936</v>
      </c>
      <c r="AB39" s="13" t="n">
        <f aca="false">$F$35*(1+Inputs!$F$127/100*AB33)*(1+Inputs!$F$128/100)*(1+Inputs!$F$122/100)*Inputs!$F$39</f>
        <v>6527.396782368</v>
      </c>
      <c r="AC39" s="13" t="n">
        <f aca="false">$F$35*(1+Inputs!$F$127/100*AC33)*(1+Inputs!$F$128/100)*(1+Inputs!$F$122/100)*Inputs!$F$39</f>
        <v>6531.2859959424</v>
      </c>
      <c r="AD39" s="13" t="n">
        <f aca="false">$F$35*(1+Inputs!$F$127/100*AD33)*(1+Inputs!$F$128/100)*(1+Inputs!$F$122/100)*Inputs!$F$39</f>
        <v>6535.1752095168</v>
      </c>
      <c r="AE39" s="13" t="n">
        <f aca="false">$F$35*(1+Inputs!$F$127/100*AE33)*(1+Inputs!$F$128/100)*(1+Inputs!$F$122/100)*Inputs!$F$39</f>
        <v>6539.0644230912</v>
      </c>
      <c r="AF39" s="13" t="n">
        <f aca="false">$F$35*(1+Inputs!$F$127/100*AF33)*(1+Inputs!$F$128/100)*(1+Inputs!$F$122/100)*Inputs!$F$39</f>
        <v>6542.9536366656</v>
      </c>
      <c r="AG39" s="13" t="n">
        <f aca="false">$F$35*(1+Inputs!$F$127/100*AG33)*(1+Inputs!$F$128/100)*(1+Inputs!$F$122/100)*Inputs!$F$39</f>
        <v>6546.84285024</v>
      </c>
      <c r="AH39" s="13" t="n">
        <f aca="false">$F$35*(1+Inputs!$F$127/100*AH33)*(1+Inputs!$F$128/100)*(1+Inputs!$F$122/100)*Inputs!$F$39</f>
        <v>6550.7320638144</v>
      </c>
      <c r="AI39" s="13" t="n">
        <f aca="false">$F$35*(1+Inputs!$F$127/100*AI33)*(1+Inputs!$F$128/100)*(1+Inputs!$F$122/100)*Inputs!$F$39</f>
        <v>6554.6212773888</v>
      </c>
      <c r="AJ39" s="13" t="n">
        <f aca="false">$F$35*(1+Inputs!$F$127/100*AJ33)*(1+Inputs!$F$128/100)*(1+Inputs!$F$122/100)*Inputs!$F$39</f>
        <v>6558.5104909632</v>
      </c>
      <c r="AK39" s="13" t="n">
        <f aca="false">$F$35*(1+Inputs!$F$127/100*AK33)*(1+Inputs!$F$128/100)*(1+Inputs!$F$122/100)*Inputs!$F$39</f>
        <v>6562.3997045376</v>
      </c>
      <c r="AL39" s="13" t="n">
        <f aca="false">$F$35*(1+Inputs!$F$127/100*AL33)*(1+Inputs!$F$128/100)*(1+Inputs!$F$122/100)*Inputs!$F$39</f>
        <v>6566.288918112</v>
      </c>
      <c r="AM39" s="13" t="n">
        <f aca="false">$F$35*(1+Inputs!$F$127/100*AM33)*(1+Inputs!$F$128/100)*(1+Inputs!$F$122/100)*Inputs!$F$39</f>
        <v>6570.1781316864</v>
      </c>
      <c r="AN39" s="13" t="n">
        <f aca="false">$F$35*(1+Inputs!$F$127/100*AN33)*(1+Inputs!$F$128/100)*(1+Inputs!$F$122/100)*Inputs!$F$39</f>
        <v>6574.0673452608</v>
      </c>
      <c r="AO39" s="13" t="n">
        <f aca="false">$F$35*(1+Inputs!$F$127/100*AO33)*(1+Inputs!$F$128/100)*(1+Inputs!$F$122/100)*Inputs!$F$39</f>
        <v>6577.9565588352</v>
      </c>
      <c r="AP39" s="13" t="n">
        <f aca="false">$F$35*(1+Inputs!$F$127/100*AP33)*(1+Inputs!$F$128/100)*(1+Inputs!$F$122/100)*Inputs!$F$39</f>
        <v>6581.8457724096</v>
      </c>
      <c r="AQ39" s="13" t="n">
        <f aca="false">$F$35*(1+Inputs!$F$127/100*AQ33)*(1+Inputs!$F$128/100)*(1+Inputs!$F$122/100)*Inputs!$F$39</f>
        <v>6585.734985984</v>
      </c>
      <c r="AR39" s="13" t="n">
        <f aca="false">$F$35*(1+Inputs!$F$127/100*AR33)*(1+Inputs!$F$128/100)*(1+Inputs!$F$122/100)*Inputs!$F$39</f>
        <v>6589.6241995584</v>
      </c>
      <c r="AS39" s="13" t="n">
        <f aca="false">$F$35*(1+Inputs!$F$127/100*AS33)*(1+Inputs!$F$128/100)*(1+Inputs!$F$122/100)*Inputs!$F$39</f>
        <v>6593.5134131328</v>
      </c>
      <c r="AT39" s="13" t="n">
        <f aca="false">$F$35*(1+Inputs!$F$127/100*AT33)*(1+Inputs!$F$128/100)*(1+Inputs!$F$122/100)*Inputs!$F$39</f>
        <v>6597.4026267072</v>
      </c>
      <c r="AU39" s="13" t="n">
        <f aca="false">$F$35*(1+Inputs!$F$127/100*AU33)*(1+Inputs!$F$128/100)*(1+Inputs!$F$122/100)*Inputs!$F$39</f>
        <v>6601.2918402816</v>
      </c>
      <c r="AV39" s="13" t="n">
        <f aca="false">$F$35*(1+Inputs!$F$127/100*AV33)*(1+Inputs!$F$128/100)*(1+Inputs!$F$122/100)*Inputs!$F$39</f>
        <v>6605.181053856</v>
      </c>
      <c r="AW39" s="13" t="n">
        <f aca="false">$F$35*(1+Inputs!$F$127/100*AW33)*(1+Inputs!$F$128/100)*(1+Inputs!$F$122/100)*Inputs!$F$39</f>
        <v>6609.0702674304</v>
      </c>
      <c r="AX39" s="13" t="n">
        <f aca="false">$F$35*(1+Inputs!$F$127/100*AX33)*(1+Inputs!$F$128/100)*(1+Inputs!$F$122/100)*Inputs!$F$39</f>
        <v>6612.9594810048</v>
      </c>
      <c r="AY39" s="13" t="n">
        <f aca="false">$F$35*(1+Inputs!$F$127/100*AY33)*(1+Inputs!$F$128/100)*(1+Inputs!$F$122/100)*Inputs!$F$39</f>
        <v>6616.8486945792</v>
      </c>
      <c r="AZ39" s="13" t="n">
        <f aca="false">$F$35*(1+Inputs!$F$127/100*AZ33)*(1+Inputs!$F$128/100)*(1+Inputs!$F$122/100)*Inputs!$F$39</f>
        <v>6620.7379081536</v>
      </c>
      <c r="BA39" s="13" t="n">
        <f aca="false">$F$35*(1+Inputs!$F$127/100*BA33)*(1+Inputs!$F$128/100)*(1+Inputs!$F$122/100)*Inputs!$F$39</f>
        <v>6624.627121728</v>
      </c>
      <c r="BB39" s="13" t="n">
        <f aca="false">$F$35*(1+Inputs!$F$127/100*BB33)*(1+Inputs!$F$128/100)*(1+Inputs!$F$122/100)*Inputs!$F$39</f>
        <v>6628.5163353024</v>
      </c>
      <c r="BC39" s="13" t="n">
        <f aca="false">$F$35*(1+Inputs!$F$127/100*BC33)*(1+Inputs!$F$128/100)*(1+Inputs!$F$122/100)*Inputs!$F$39</f>
        <v>6632.4055488768</v>
      </c>
      <c r="BD39" s="13" t="n">
        <f aca="false">$F$35*(1+Inputs!$F$127/100*BD33)*(1+Inputs!$F$128/100)*(1+Inputs!$F$122/100)*Inputs!$F$39</f>
        <v>6636.2947624512</v>
      </c>
      <c r="BE39" s="13" t="n">
        <f aca="false">$F$35*(1+Inputs!$F$127/100*BE33)*(1+Inputs!$F$128/100)*(1+Inputs!$F$122/100)*Inputs!$F$39</f>
        <v>6640.1839760256</v>
      </c>
      <c r="BF39" s="13" t="n">
        <f aca="false">$F$35*(1+Inputs!$F$127/100*BF33)*(1+Inputs!$F$128/100)*(1+Inputs!$F$122/100)*Inputs!$F$39</f>
        <v>6644.0731896</v>
      </c>
      <c r="BG39" s="13" t="n">
        <f aca="false">$F$35*(1+Inputs!$F$127/100*BG33)*(1+Inputs!$F$128/100)*(1+Inputs!$F$122/100)*Inputs!$F$39</f>
        <v>6647.9624031744</v>
      </c>
      <c r="BH39" s="13" t="n">
        <f aca="false">$F$35*(1+Inputs!$F$127/100*BH33)*(1+Inputs!$F$128/100)*(1+Inputs!$F$122/100)*Inputs!$F$39</f>
        <v>6651.8516167488</v>
      </c>
      <c r="BI39" s="13" t="n">
        <f aca="false">$F$35*(1+Inputs!$F$127/100*BI33)*(1+Inputs!$F$128/100)*(1+Inputs!$F$122/100)*Inputs!$F$39</f>
        <v>6655.7408303232</v>
      </c>
      <c r="BJ39" s="13" t="n">
        <f aca="false">$F$35*(1+Inputs!$F$127/100*BJ33)*(1+Inputs!$F$128/100)*(1+Inputs!$F$122/100)*Inputs!$F$39</f>
        <v>6659.6300438976</v>
      </c>
      <c r="BK39" s="13" t="n">
        <f aca="false">$F$35*(1+Inputs!$F$127/100*BK33)*(1+Inputs!$F$128/100)*(1+Inputs!$F$122/100)*Inputs!$F$39</f>
        <v>6663.519257472</v>
      </c>
      <c r="BL39" s="13" t="n">
        <f aca="false">$F$35*(1+Inputs!$F$127/100*BL33)*(1+Inputs!$F$128/100)*(1+Inputs!$F$122/100)*Inputs!$F$39</f>
        <v>6667.4084710464</v>
      </c>
      <c r="BM39" s="13" t="n">
        <f aca="false">$F$35*(1+Inputs!$F$127/100*BM33)*(1+Inputs!$F$128/100)*(1+Inputs!$F$122/100)*Inputs!$F$39</f>
        <v>6671.2976846208</v>
      </c>
      <c r="BN39" s="13" t="n">
        <f aca="false">$F$35*(1+Inputs!$F$127/100*BN33)*(1+Inputs!$F$128/100)*(1+Inputs!$F$122/100)*Inputs!$F$39</f>
        <v>6674.862797064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6468.429</v>
      </c>
      <c r="P40" s="13" t="n">
        <f aca="false">Inputs!$F$120*(1+Inputs!$F$121/100*P33)*(1+Inputs!$F$122/100)</f>
        <v>6468.698517875</v>
      </c>
      <c r="Q40" s="13" t="n">
        <f aca="false">Inputs!$F$120*(1+Inputs!$F$121/100*Q33)*(1+Inputs!$F$122/100)</f>
        <v>6470.585143</v>
      </c>
      <c r="R40" s="13" t="n">
        <f aca="false">Inputs!$F$120*(1+Inputs!$F$121/100*R33)*(1+Inputs!$F$122/100)</f>
        <v>6473.8193575</v>
      </c>
      <c r="S40" s="13" t="n">
        <f aca="false">Inputs!$F$120*(1+Inputs!$F$121/100*S33)*(1+Inputs!$F$122/100)</f>
        <v>6477.053572</v>
      </c>
      <c r="T40" s="13" t="n">
        <f aca="false">Inputs!$F$120*(1+Inputs!$F$121/100*T33)*(1+Inputs!$F$122/100)</f>
        <v>6480.2877865</v>
      </c>
      <c r="U40" s="13" t="n">
        <f aca="false">Inputs!$F$120*(1+Inputs!$F$121/100*U33)*(1+Inputs!$F$122/100)</f>
        <v>6483.522001</v>
      </c>
      <c r="V40" s="13" t="n">
        <f aca="false">Inputs!$F$120*(1+Inputs!$F$121/100*V33)*(1+Inputs!$F$122/100)</f>
        <v>6486.7562155</v>
      </c>
      <c r="W40" s="13" t="n">
        <f aca="false">Inputs!$F$120*(1+Inputs!$F$121/100*W33)*(1+Inputs!$F$122/100)</f>
        <v>6489.99043</v>
      </c>
      <c r="X40" s="13" t="n">
        <f aca="false">Inputs!$F$120*(1+Inputs!$F$121/100*X33)*(1+Inputs!$F$122/100)</f>
        <v>6493.2246445</v>
      </c>
      <c r="Y40" s="13" t="n">
        <f aca="false">Inputs!$F$120*(1+Inputs!$F$121/100*Y33)*(1+Inputs!$F$122/100)</f>
        <v>6496.458859</v>
      </c>
      <c r="Z40" s="13" t="n">
        <f aca="false">Inputs!$F$120*(1+Inputs!$F$121/100*Z33)*(1+Inputs!$F$122/100)</f>
        <v>6499.6930735</v>
      </c>
      <c r="AA40" s="13" t="n">
        <f aca="false">Inputs!$F$120*(1+Inputs!$F$121/100*AA33)*(1+Inputs!$F$122/100)</f>
        <v>6502.927288</v>
      </c>
      <c r="AB40" s="13" t="n">
        <f aca="false">Inputs!$F$120*(1+Inputs!$F$121/100*AB33)*(1+Inputs!$F$122/100)</f>
        <v>6506.1615025</v>
      </c>
      <c r="AC40" s="13" t="n">
        <f aca="false">Inputs!$F$120*(1+Inputs!$F$121/100*AC33)*(1+Inputs!$F$122/100)</f>
        <v>6509.395717</v>
      </c>
      <c r="AD40" s="13" t="n">
        <f aca="false">Inputs!$F$120*(1+Inputs!$F$121/100*AD33)*(1+Inputs!$F$122/100)</f>
        <v>6512.6299315</v>
      </c>
      <c r="AE40" s="13" t="n">
        <f aca="false">Inputs!$F$120*(1+Inputs!$F$121/100*AE33)*(1+Inputs!$F$122/100)</f>
        <v>6515.864146</v>
      </c>
      <c r="AF40" s="13" t="n">
        <f aca="false">Inputs!$F$120*(1+Inputs!$F$121/100*AF33)*(1+Inputs!$F$122/100)</f>
        <v>6519.0983605</v>
      </c>
      <c r="AG40" s="13" t="n">
        <f aca="false">Inputs!$F$120*(1+Inputs!$F$121/100*AG33)*(1+Inputs!$F$122/100)</f>
        <v>6522.332575</v>
      </c>
      <c r="AH40" s="13" t="n">
        <f aca="false">Inputs!$F$120*(1+Inputs!$F$121/100*AH33)*(1+Inputs!$F$122/100)</f>
        <v>6525.5667895</v>
      </c>
      <c r="AI40" s="13" t="n">
        <f aca="false">Inputs!$F$120*(1+Inputs!$F$121/100*AI33)*(1+Inputs!$F$122/100)</f>
        <v>6528.801004</v>
      </c>
      <c r="AJ40" s="13" t="n">
        <f aca="false">Inputs!$F$120*(1+Inputs!$F$121/100*AJ33)*(1+Inputs!$F$122/100)</f>
        <v>6532.0352185</v>
      </c>
      <c r="AK40" s="13" t="n">
        <f aca="false">Inputs!$F$120*(1+Inputs!$F$121/100*AK33)*(1+Inputs!$F$122/100)</f>
        <v>6535.269433</v>
      </c>
      <c r="AL40" s="13" t="n">
        <f aca="false">Inputs!$F$120*(1+Inputs!$F$121/100*AL33)*(1+Inputs!$F$122/100)</f>
        <v>6538.5036475</v>
      </c>
      <c r="AM40" s="13" t="n">
        <f aca="false">Inputs!$F$120*(1+Inputs!$F$121/100*AM33)*(1+Inputs!$F$122/100)</f>
        <v>6541.737862</v>
      </c>
      <c r="AN40" s="13" t="n">
        <f aca="false">Inputs!$F$120*(1+Inputs!$F$121/100*AN33)*(1+Inputs!$F$122/100)</f>
        <v>6544.9720765</v>
      </c>
      <c r="AO40" s="13" t="n">
        <f aca="false">Inputs!$F$120*(1+Inputs!$F$121/100*AO33)*(1+Inputs!$F$122/100)</f>
        <v>6548.206291</v>
      </c>
      <c r="AP40" s="13" t="n">
        <f aca="false">Inputs!$F$120*(1+Inputs!$F$121/100*AP33)*(1+Inputs!$F$122/100)</f>
        <v>6551.4405055</v>
      </c>
      <c r="AQ40" s="13" t="n">
        <f aca="false">Inputs!$F$120*(1+Inputs!$F$121/100*AQ33)*(1+Inputs!$F$122/100)</f>
        <v>6554.67472</v>
      </c>
      <c r="AR40" s="13" t="n">
        <f aca="false">Inputs!$F$120*(1+Inputs!$F$121/100*AR33)*(1+Inputs!$F$122/100)</f>
        <v>6557.9089345</v>
      </c>
      <c r="AS40" s="13" t="n">
        <f aca="false">Inputs!$F$120*(1+Inputs!$F$121/100*AS33)*(1+Inputs!$F$122/100)</f>
        <v>6561.143149</v>
      </c>
      <c r="AT40" s="13" t="n">
        <f aca="false">Inputs!$F$120*(1+Inputs!$F$121/100*AT33)*(1+Inputs!$F$122/100)</f>
        <v>6564.3773635</v>
      </c>
      <c r="AU40" s="13" t="n">
        <f aca="false">Inputs!$F$120*(1+Inputs!$F$121/100*AU33)*(1+Inputs!$F$122/100)</f>
        <v>6567.611578</v>
      </c>
      <c r="AV40" s="13" t="n">
        <f aca="false">Inputs!$F$120*(1+Inputs!$F$121/100*AV33)*(1+Inputs!$F$122/100)</f>
        <v>6570.8457925</v>
      </c>
      <c r="AW40" s="13" t="n">
        <f aca="false">Inputs!$F$120*(1+Inputs!$F$121/100*AW33)*(1+Inputs!$F$122/100)</f>
        <v>6574.080007</v>
      </c>
      <c r="AX40" s="13" t="n">
        <f aca="false">Inputs!$F$120*(1+Inputs!$F$121/100*AX33)*(1+Inputs!$F$122/100)</f>
        <v>6577.3142215</v>
      </c>
      <c r="AY40" s="13" t="n">
        <f aca="false">Inputs!$F$120*(1+Inputs!$F$121/100*AY33)*(1+Inputs!$F$122/100)</f>
        <v>6580.548436</v>
      </c>
      <c r="AZ40" s="13" t="n">
        <f aca="false">Inputs!$F$120*(1+Inputs!$F$121/100*AZ33)*(1+Inputs!$F$122/100)</f>
        <v>6583.7826505</v>
      </c>
      <c r="BA40" s="13" t="n">
        <f aca="false">Inputs!$F$120*(1+Inputs!$F$121/100*BA33)*(1+Inputs!$F$122/100)</f>
        <v>6587.016865</v>
      </c>
      <c r="BB40" s="13" t="n">
        <f aca="false">Inputs!$F$120*(1+Inputs!$F$121/100*BB33)*(1+Inputs!$F$122/100)</f>
        <v>6590.2510795</v>
      </c>
      <c r="BC40" s="13" t="n">
        <f aca="false">Inputs!$F$120*(1+Inputs!$F$121/100*BC33)*(1+Inputs!$F$122/100)</f>
        <v>6593.485294</v>
      </c>
      <c r="BD40" s="13" t="n">
        <f aca="false">Inputs!$F$120*(1+Inputs!$F$121/100*BD33)*(1+Inputs!$F$122/100)</f>
        <v>6596.7195085</v>
      </c>
      <c r="BE40" s="13" t="n">
        <f aca="false">Inputs!$F$120*(1+Inputs!$F$121/100*BE33)*(1+Inputs!$F$122/100)</f>
        <v>6599.953723</v>
      </c>
      <c r="BF40" s="13" t="n">
        <f aca="false">Inputs!$F$120*(1+Inputs!$F$121/100*BF33)*(1+Inputs!$F$122/100)</f>
        <v>6603.1879375</v>
      </c>
      <c r="BG40" s="13" t="n">
        <f aca="false">Inputs!$F$120*(1+Inputs!$F$121/100*BG33)*(1+Inputs!$F$122/100)</f>
        <v>6606.422152</v>
      </c>
      <c r="BH40" s="13" t="n">
        <f aca="false">Inputs!$F$120*(1+Inputs!$F$121/100*BH33)*(1+Inputs!$F$122/100)</f>
        <v>6609.6563665</v>
      </c>
      <c r="BI40" s="13" t="n">
        <f aca="false">Inputs!$F$120*(1+Inputs!$F$121/100*BI33)*(1+Inputs!$F$122/100)</f>
        <v>6612.890581</v>
      </c>
      <c r="BJ40" s="13" t="n">
        <f aca="false">Inputs!$F$120*(1+Inputs!$F$121/100*BJ33)*(1+Inputs!$F$122/100)</f>
        <v>6616.1247955</v>
      </c>
      <c r="BK40" s="13" t="n">
        <f aca="false">Inputs!$F$120*(1+Inputs!$F$121/100*BK33)*(1+Inputs!$F$122/100)</f>
        <v>6619.35901</v>
      </c>
      <c r="BL40" s="13" t="n">
        <f aca="false">Inputs!$F$120*(1+Inputs!$F$121/100*BL33)*(1+Inputs!$F$122/100)</f>
        <v>6622.5932245</v>
      </c>
      <c r="BM40" s="13" t="n">
        <f aca="false">Inputs!$F$120*(1+Inputs!$F$121/100*BM33)*(1+Inputs!$F$122/100)</f>
        <v>6625.827439</v>
      </c>
      <c r="BN40" s="13" t="n">
        <f aca="false">Inputs!$F$120*(1+Inputs!$F$121/100*BN33)*(1+Inputs!$F$122/100)</f>
        <v>6628.792135625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0</v>
      </c>
      <c r="P42" s="15" t="n">
        <f aca="false">P38*P39*(1000*Inputs!$F$123/Inputs!$F$124)</f>
        <v>2054187.33206323</v>
      </c>
      <c r="Q42" s="15" t="n">
        <f aca="false">Q38*Q39*(1000*Inputs!$F$123/Inputs!$F$124)</f>
        <v>12324043.1040068</v>
      </c>
      <c r="R42" s="15" t="n">
        <f aca="false">R38*R39*(1000*Inputs!$F$123/Inputs!$F$124)</f>
        <v>12302476.3898802</v>
      </c>
      <c r="S42" s="15" t="n">
        <f aca="false">S38*S39*(1000*Inputs!$F$123/Inputs!$F$124)</f>
        <v>12202096.6290689</v>
      </c>
      <c r="T42" s="15" t="n">
        <f aca="false">T38*T39*(1000*Inputs!$F$123/Inputs!$F$124)</f>
        <v>12219929.7595738</v>
      </c>
      <c r="U42" s="15" t="n">
        <f aca="false">U38*U39*(1000*Inputs!$F$123/Inputs!$F$124)</f>
        <v>12316529.6144789</v>
      </c>
      <c r="V42" s="15" t="n">
        <f aca="false">V38*V39*(1000*Inputs!$F$123/Inputs!$F$124)</f>
        <v>12244604.3289264</v>
      </c>
      <c r="W42" s="15" t="n">
        <f aca="false">W38*W39*(1000*Inputs!$F$123/Inputs!$F$124)</f>
        <v>11892656.6308862</v>
      </c>
      <c r="X42" s="15" t="n">
        <f aca="false">X38*X39*(1000*Inputs!$F$123/Inputs!$F$124)</f>
        <v>11960791.4414094</v>
      </c>
      <c r="Y42" s="15" t="n">
        <f aca="false">Y38*Y39*(1000*Inputs!$F$123/Inputs!$F$124)</f>
        <v>12308838.6409465</v>
      </c>
      <c r="Z42" s="15" t="n">
        <f aca="false">Z38*Z39*(1000*Inputs!$F$123/Inputs!$F$124)</f>
        <v>12287207.6409024</v>
      </c>
      <c r="AA42" s="15" t="n">
        <f aca="false">AA38*AA39*(1000*Inputs!$F$123/Inputs!$F$124)</f>
        <v>12186862.2699822</v>
      </c>
      <c r="AB42" s="15" t="n">
        <f aca="false">AB38*AB39*(1000*Inputs!$F$123/Inputs!$F$124)</f>
        <v>12204582.7700461</v>
      </c>
      <c r="AC42" s="15" t="n">
        <f aca="false">AC38*AC39*(1000*Inputs!$F$123/Inputs!$F$124)</f>
        <v>12300970.1834094</v>
      </c>
      <c r="AD42" s="15" t="n">
        <f aca="false">AD38*AD39*(1000*Inputs!$F$123/Inputs!$F$124)</f>
        <v>12187524.0681028</v>
      </c>
      <c r="AE42" s="15" t="n">
        <f aca="false">AE38*AE39*(1000*Inputs!$F$123/Inputs!$F$124)</f>
        <v>11628370.8487734</v>
      </c>
      <c r="AF42" s="15" t="n">
        <f aca="false">AF38*AF39*(1000*Inputs!$F$123/Inputs!$F$124)</f>
        <v>11737878.2986056</v>
      </c>
      <c r="AG42" s="15" t="n">
        <f aca="false">AG38*AG39*(1000*Inputs!$F$123/Inputs!$F$124)</f>
        <v>12292924.2418678</v>
      </c>
      <c r="AH42" s="15" t="n">
        <f aca="false">AH38*AH39*(1000*Inputs!$F$123/Inputs!$F$124)</f>
        <v>12271230.0911984</v>
      </c>
      <c r="AI42" s="15" t="n">
        <f aca="false">AI38*AI39*(1000*Inputs!$F$123/Inputs!$F$124)</f>
        <v>12170924.78663</v>
      </c>
      <c r="AJ42" s="15" t="n">
        <f aca="false">AJ38*AJ39*(1000*Inputs!$F$123/Inputs!$F$124)</f>
        <v>12188531.5209607</v>
      </c>
      <c r="AK42" s="15" t="n">
        <f aca="false">AK38*AK39*(1000*Inputs!$F$123/Inputs!$F$124)</f>
        <v>12284700.8163215</v>
      </c>
      <c r="AL42" s="15" t="n">
        <f aca="false">AL38*AL39*(1000*Inputs!$F$123/Inputs!$F$124)</f>
        <v>12212780.0298898</v>
      </c>
      <c r="AM42" s="15" t="n">
        <f aca="false">AM38*AM39*(1000*Inputs!$F$123/Inputs!$F$124)</f>
        <v>11861570.8183628</v>
      </c>
      <c r="AN42" s="15" t="n">
        <f aca="false">AN38*AN39*(1000*Inputs!$F$123/Inputs!$F$124)</f>
        <v>11929350.1983504</v>
      </c>
      <c r="AO42" s="15" t="n">
        <f aca="false">AO38*AO39*(1000*Inputs!$F$123/Inputs!$F$124)</f>
        <v>12276299.9067707</v>
      </c>
      <c r="AP42" s="15" t="n">
        <f aca="false">AP38*AP39*(1000*Inputs!$F$123/Inputs!$F$124)</f>
        <v>12254543.7407682</v>
      </c>
      <c r="AQ42" s="15" t="n">
        <f aca="false">AQ38*AQ39*(1000*Inputs!$F$123/Inputs!$F$124)</f>
        <v>12154284.1790123</v>
      </c>
      <c r="AR42" s="15" t="n">
        <f aca="false">AR38*AR39*(1000*Inputs!$F$123/Inputs!$F$124)</f>
        <v>12171776.0123176</v>
      </c>
      <c r="AS42" s="15" t="n">
        <f aca="false">AS38*AS39*(1000*Inputs!$F$123/Inputs!$F$124)</f>
        <v>12267721.5132153</v>
      </c>
      <c r="AT42" s="15" t="n">
        <f aca="false">AT38*AT39*(1000*Inputs!$F$123/Inputs!$F$124)</f>
        <v>12154400.8161543</v>
      </c>
      <c r="AU42" s="15" t="n">
        <f aca="false">AU38*AU39*(1000*Inputs!$F$123/Inputs!$F$124)</f>
        <v>11596594.2740545</v>
      </c>
      <c r="AV42" s="15" t="n">
        <f aca="false">AV38*AV39*(1000*Inputs!$F$123/Inputs!$F$124)</f>
        <v>11705627.770954</v>
      </c>
      <c r="AW42" s="15" t="n">
        <f aca="false">AW38*AW39*(1000*Inputs!$F$123/Inputs!$F$124)</f>
        <v>12258965.6356553</v>
      </c>
      <c r="AX42" s="15" t="n">
        <f aca="false">AX38*AX39*(1000*Inputs!$F$123/Inputs!$F$124)</f>
        <v>12237148.5896117</v>
      </c>
      <c r="AY42" s="15" t="n">
        <f aca="false">AY38*AY39*(1000*Inputs!$F$123/Inputs!$F$124)</f>
        <v>12136940.447129</v>
      </c>
      <c r="AZ42" s="15" t="n">
        <f aca="false">AZ38*AZ39*(1000*Inputs!$F$123/Inputs!$F$124)</f>
        <v>12154316.2441168</v>
      </c>
      <c r="BA42" s="15" t="n">
        <f aca="false">BA38*BA39*(1000*Inputs!$F$123/Inputs!$F$124)</f>
        <v>12250032.2740907</v>
      </c>
      <c r="BB42" s="15" t="n">
        <f aca="false">BB38*BB39*(1000*Inputs!$F$123/Inputs!$F$124)</f>
        <v>12178132.1331567</v>
      </c>
      <c r="BC42" s="15" t="n">
        <f aca="false">BC38*BC39*(1000*Inputs!$F$123/Inputs!$F$124)</f>
        <v>11827742.1400286</v>
      </c>
      <c r="BD42" s="15" t="n">
        <f aca="false">BD38*BD39*(1000*Inputs!$F$123/Inputs!$F$124)</f>
        <v>11895149.9431035</v>
      </c>
      <c r="BE42" s="15" t="n">
        <f aca="false">BE38*BE39*(1000*Inputs!$F$123/Inputs!$F$124)</f>
        <v>12240921.4285215</v>
      </c>
      <c r="BF42" s="15" t="n">
        <f aca="false">BF38*BF39*(1000*Inputs!$F$123/Inputs!$F$124)</f>
        <v>12219044.637729</v>
      </c>
      <c r="BG42" s="15" t="n">
        <f aca="false">BG38*BG39*(1000*Inputs!$F$123/Inputs!$F$124)</f>
        <v>12118893.5909802</v>
      </c>
      <c r="BH42" s="15" t="n">
        <f aca="false">BH38*BH39*(1000*Inputs!$F$123/Inputs!$F$124)</f>
        <v>12136152.2163583</v>
      </c>
      <c r="BI42" s="15" t="n">
        <f aca="false">BI38*BI39*(1000*Inputs!$F$123/Inputs!$F$124)</f>
        <v>12231633.0989477</v>
      </c>
      <c r="BJ42" s="15" t="n">
        <f aca="false">BJ38*BJ39*(1000*Inputs!$F$123/Inputs!$F$124)</f>
        <v>12118463.5534207</v>
      </c>
      <c r="BK42" s="15" t="n">
        <f aca="false">BK38*BK39*(1000*Inputs!$F$123/Inputs!$F$124)</f>
        <v>11562132.3549931</v>
      </c>
      <c r="BL42" s="15" t="n">
        <f aca="false">BL38*BL39*(1000*Inputs!$F$123/Inputs!$F$124)</f>
        <v>11670666.1656715</v>
      </c>
      <c r="BM42" s="15" t="n">
        <f aca="false">BM38*BM39*(1000*Inputs!$F$123/Inputs!$F$124)</f>
        <v>12222167.2853693</v>
      </c>
      <c r="BN42" s="15" t="n">
        <f aca="false">BN38*BN39*(1000*Inputs!$F$123/Inputs!$F$124)</f>
        <v>10183310.8660163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0</v>
      </c>
      <c r="P43" s="15" t="n">
        <f aca="false">Inputs!$F$145*Inputs!$F$144*Time!P31</f>
        <v>1795520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10483520</v>
      </c>
      <c r="BN43" s="15" t="n">
        <f aca="false">Inputs!$F$145*Inputs!$F$144*Time!BN31</f>
        <v>8861760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14.4409263866631</v>
      </c>
      <c r="K45" s="13" t="n">
        <f aca="false">Inputs!$F$134*Inputs!$F$54*(1-Inputs!$F$135+Inputs!$F$135*K20/100)</f>
        <v>14.4761514062933</v>
      </c>
      <c r="L45" s="13" t="n">
        <f aca="false">Inputs!$F$134*Inputs!$F$54*(1-Inputs!$F$135+Inputs!$F$135*L20/100)</f>
        <v>14.5073574644174</v>
      </c>
      <c r="M45" s="13" t="n">
        <f aca="false">Inputs!$F$134*Inputs!$F$54*(1-Inputs!$F$135+Inputs!$F$135*M20/100)</f>
        <v>14.5344104859483</v>
      </c>
      <c r="N45" s="13" t="n">
        <f aca="false">Inputs!$F$134*Inputs!$F$54*(1-Inputs!$F$135+Inputs!$F$135*N20/100)</f>
        <v>14.5571668178754</v>
      </c>
      <c r="O45" s="13" t="n">
        <f aca="false">Inputs!$F$134*Inputs!$F$54*(1-Inputs!$F$135+Inputs!$F$135*O20/100)</f>
        <v>14.5755269027847</v>
      </c>
      <c r="P45" s="13" t="n">
        <f aca="false">Inputs!$F$134*Inputs!$F$54*(1-Inputs!$F$135+Inputs!$F$135*P20/100)</f>
        <v>14.620510598108</v>
      </c>
      <c r="Q45" s="13" t="n">
        <f aca="false">Inputs!$F$134*Inputs!$F$54*(1-Inputs!$F$135+Inputs!$F$135*Q20/100)</f>
        <v>14.693279381221</v>
      </c>
      <c r="R45" s="13" t="n">
        <f aca="false">Inputs!$F$134*Inputs!$F$54*(1-Inputs!$F$135+Inputs!$F$135*R20/100)</f>
        <v>14.7479826162272</v>
      </c>
      <c r="S45" s="13" t="n">
        <f aca="false">Inputs!$F$134*Inputs!$F$54*(1-Inputs!$F$135+Inputs!$F$135*S20/100)</f>
        <v>14.7836473361969</v>
      </c>
      <c r="T45" s="13" t="n">
        <f aca="false">Inputs!$F$134*Inputs!$F$54*(1-Inputs!$F$135+Inputs!$F$135*T20/100)</f>
        <v>14.8197022337842</v>
      </c>
      <c r="U45" s="13" t="n">
        <f aca="false">Inputs!$F$134*Inputs!$F$54*(1-Inputs!$F$135+Inputs!$F$135*U20/100)</f>
        <v>14.8561515775932</v>
      </c>
      <c r="V45" s="13" t="n">
        <f aca="false">Inputs!$F$134*Inputs!$F$54*(1-Inputs!$F$135+Inputs!$F$135*V20/100)</f>
        <v>14.8929996829274</v>
      </c>
      <c r="W45" s="13" t="n">
        <f aca="false">Inputs!$F$134*Inputs!$F$54*(1-Inputs!$F$135+Inputs!$F$135*W20/100)</f>
        <v>14.9302509123003</v>
      </c>
      <c r="X45" s="13" t="n">
        <f aca="false">Inputs!$F$134*Inputs!$F$54*(1-Inputs!$F$135+Inputs!$F$135*X20/100)</f>
        <v>14.9679096759518</v>
      </c>
      <c r="Y45" s="13" t="n">
        <f aca="false">Inputs!$F$134*Inputs!$F$54*(1-Inputs!$F$135+Inputs!$F$135*Y20/100)</f>
        <v>15.0059804323709</v>
      </c>
      <c r="Z45" s="13" t="n">
        <f aca="false">Inputs!$F$134*Inputs!$F$54*(1-Inputs!$F$135+Inputs!$F$135*Z20/100)</f>
        <v>15.0444676888228</v>
      </c>
      <c r="AA45" s="13" t="n">
        <f aca="false">Inputs!$F$134*Inputs!$F$54*(1-Inputs!$F$135+Inputs!$F$135*AA20/100)</f>
        <v>15.083376001883</v>
      </c>
      <c r="AB45" s="13" t="n">
        <f aca="false">Inputs!$F$134*Inputs!$F$54*(1-Inputs!$F$135+Inputs!$F$135*AB20/100)</f>
        <v>15.1227099779769</v>
      </c>
      <c r="AC45" s="13" t="n">
        <f aca="false">Inputs!$F$134*Inputs!$F$54*(1-Inputs!$F$135+Inputs!$F$135*AC20/100)</f>
        <v>15.1624742739245</v>
      </c>
      <c r="AD45" s="13" t="n">
        <f aca="false">Inputs!$F$134*Inputs!$F$54*(1-Inputs!$F$135+Inputs!$F$135*AD20/100)</f>
        <v>15.2026735974924</v>
      </c>
      <c r="AE45" s="13" t="n">
        <f aca="false">Inputs!$F$134*Inputs!$F$54*(1-Inputs!$F$135+Inputs!$F$135*AE20/100)</f>
        <v>15.2433127079508</v>
      </c>
      <c r="AF45" s="13" t="n">
        <f aca="false">Inputs!$F$134*Inputs!$F$54*(1-Inputs!$F$135+Inputs!$F$135*AF20/100)</f>
        <v>15.2843964166372</v>
      </c>
      <c r="AG45" s="13" t="n">
        <f aca="false">Inputs!$F$134*Inputs!$F$54*(1-Inputs!$F$135+Inputs!$F$135*AG20/100)</f>
        <v>15.3259295875257</v>
      </c>
      <c r="AH45" s="13" t="n">
        <f aca="false">Inputs!$F$134*Inputs!$F$54*(1-Inputs!$F$135+Inputs!$F$135*AH20/100)</f>
        <v>15.3679171378032</v>
      </c>
      <c r="AI45" s="13" t="n">
        <f aca="false">Inputs!$F$134*Inputs!$F$54*(1-Inputs!$F$135+Inputs!$F$135*AI20/100)</f>
        <v>15.4103640384513</v>
      </c>
      <c r="AJ45" s="13" t="n">
        <f aca="false">Inputs!$F$134*Inputs!$F$54*(1-Inputs!$F$135+Inputs!$F$135*AJ20/100)</f>
        <v>15.4532753148349</v>
      </c>
      <c r="AK45" s="13" t="n">
        <f aca="false">Inputs!$F$134*Inputs!$F$54*(1-Inputs!$F$135+Inputs!$F$135*AK20/100)</f>
        <v>15.4966560472972</v>
      </c>
      <c r="AL45" s="13" t="n">
        <f aca="false">Inputs!$F$134*Inputs!$F$54*(1-Inputs!$F$135+Inputs!$F$135*AL20/100)</f>
        <v>15.5405113717613</v>
      </c>
      <c r="AM45" s="13" t="n">
        <f aca="false">Inputs!$F$134*Inputs!$F$54*(1-Inputs!$F$135+Inputs!$F$135*AM20/100)</f>
        <v>15.5848464803378</v>
      </c>
      <c r="AN45" s="13" t="n">
        <f aca="false">Inputs!$F$134*Inputs!$F$54*(1-Inputs!$F$135+Inputs!$F$135*AN20/100)</f>
        <v>15.62966662194</v>
      </c>
      <c r="AO45" s="13" t="n">
        <f aca="false">Inputs!$F$134*Inputs!$F$54*(1-Inputs!$F$135+Inputs!$F$135*AO20/100)</f>
        <v>15.6749771029052</v>
      </c>
      <c r="AP45" s="13" t="n">
        <f aca="false">Inputs!$F$134*Inputs!$F$54*(1-Inputs!$F$135+Inputs!$F$135*AP20/100)</f>
        <v>15.7207832876227</v>
      </c>
      <c r="AQ45" s="13" t="n">
        <f aca="false">Inputs!$F$134*Inputs!$F$54*(1-Inputs!$F$135+Inputs!$F$135*AQ20/100)</f>
        <v>15.7670905991691</v>
      </c>
      <c r="AR45" s="13" t="n">
        <f aca="false">Inputs!$F$134*Inputs!$F$54*(1-Inputs!$F$135+Inputs!$F$135*AR20/100)</f>
        <v>15.8139045199504</v>
      </c>
      <c r="AS45" s="13" t="n">
        <f aca="false">Inputs!$F$134*Inputs!$F$54*(1-Inputs!$F$135+Inputs!$F$135*AS20/100)</f>
        <v>15.8612305923508</v>
      </c>
      <c r="AT45" s="13" t="n">
        <f aca="false">Inputs!$F$134*Inputs!$F$54*(1-Inputs!$F$135+Inputs!$F$135*AT20/100)</f>
        <v>15.9090744193893</v>
      </c>
      <c r="AU45" s="13" t="n">
        <f aca="false">Inputs!$F$134*Inputs!$F$54*(1-Inputs!$F$135+Inputs!$F$135*AU20/100)</f>
        <v>15.9574416653825</v>
      </c>
      <c r="AV45" s="13" t="n">
        <f aca="false">Inputs!$F$134*Inputs!$F$54*(1-Inputs!$F$135+Inputs!$F$135*AV20/100)</f>
        <v>16.0063380566159</v>
      </c>
      <c r="AW45" s="13" t="n">
        <f aca="false">Inputs!$F$134*Inputs!$F$54*(1-Inputs!$F$135+Inputs!$F$135*AW20/100)</f>
        <v>16.055769382021</v>
      </c>
      <c r="AX45" s="13" t="n">
        <f aca="false">Inputs!$F$134*Inputs!$F$54*(1-Inputs!$F$135+Inputs!$F$135*AX20/100)</f>
        <v>16.1057414938614</v>
      </c>
      <c r="AY45" s="13" t="n">
        <f aca="false">Inputs!$F$134*Inputs!$F$54*(1-Inputs!$F$135+Inputs!$F$135*AY20/100)</f>
        <v>16.1562603084254</v>
      </c>
      <c r="AZ45" s="13" t="n">
        <f aca="false">Inputs!$F$134*Inputs!$F$54*(1-Inputs!$F$135+Inputs!$F$135*AZ20/100)</f>
        <v>16.2073318067263</v>
      </c>
      <c r="BA45" s="13" t="n">
        <f aca="false">Inputs!$F$134*Inputs!$F$54*(1-Inputs!$F$135+Inputs!$F$135*BA20/100)</f>
        <v>16.2589620352108</v>
      </c>
      <c r="BB45" s="13" t="n">
        <f aca="false">Inputs!$F$134*Inputs!$F$54*(1-Inputs!$F$135+Inputs!$F$135*BB20/100)</f>
        <v>16.3111571064743</v>
      </c>
      <c r="BC45" s="13" t="n">
        <f aca="false">Inputs!$F$134*Inputs!$F$54*(1-Inputs!$F$135+Inputs!$F$135*BC20/100)</f>
        <v>16.3639231999854</v>
      </c>
      <c r="BD45" s="13" t="n">
        <f aca="false">Inputs!$F$134*Inputs!$F$54*(1-Inputs!$F$135+Inputs!$F$135*BD20/100)</f>
        <v>16.4172665628168</v>
      </c>
      <c r="BE45" s="13" t="n">
        <f aca="false">Inputs!$F$134*Inputs!$F$54*(1-Inputs!$F$135+Inputs!$F$135*BE20/100)</f>
        <v>16.4711935103851</v>
      </c>
      <c r="BF45" s="13" t="n">
        <f aca="false">Inputs!$F$134*Inputs!$F$54*(1-Inputs!$F$135+Inputs!$F$135*BF20/100)</f>
        <v>16.5257104271987</v>
      </c>
      <c r="BG45" s="13" t="n">
        <f aca="false">Inputs!$F$134*Inputs!$F$54*(1-Inputs!$F$135+Inputs!$F$135*BG20/100)</f>
        <v>16.5808237676136</v>
      </c>
      <c r="BH45" s="13" t="n">
        <f aca="false">Inputs!$F$134*Inputs!$F$54*(1-Inputs!$F$135+Inputs!$F$135*BH20/100)</f>
        <v>16.6365400565971</v>
      </c>
      <c r="BI45" s="13" t="n">
        <f aca="false">Inputs!$F$134*Inputs!$F$54*(1-Inputs!$F$135+Inputs!$F$135*BI20/100)</f>
        <v>16.6928658905011</v>
      </c>
      <c r="BJ45" s="13" t="n">
        <f aca="false">Inputs!$F$134*Inputs!$F$54*(1-Inputs!$F$135+Inputs!$F$135*BJ20/100)</f>
        <v>16.7498079378422</v>
      </c>
      <c r="BK45" s="13" t="n">
        <f aca="false">Inputs!$F$134*Inputs!$F$54*(1-Inputs!$F$135+Inputs!$F$135*BK20/100)</f>
        <v>16.8073729400921</v>
      </c>
      <c r="BL45" s="13" t="n">
        <f aca="false">Inputs!$F$134*Inputs!$F$54*(1-Inputs!$F$135+Inputs!$F$135*BL20/100)</f>
        <v>16.8655677124748</v>
      </c>
      <c r="BM45" s="13" t="n">
        <f aca="false">Inputs!$F$134*Inputs!$F$54*(1-Inputs!$F$135+Inputs!$F$135*BM20/100)</f>
        <v>16.9243991447741</v>
      </c>
      <c r="BN45" s="13" t="n">
        <f aca="false">Inputs!$F$134*Inputs!$F$54*(1-Inputs!$F$135+Inputs!$F$135*BN20/100)</f>
        <v>16.9838742021492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2.3307162956518</v>
      </c>
      <c r="K46" s="13" t="n">
        <f aca="false">Inputs!$F$136*(Inputs!$F$137*K20/100+(1-Inputs!$F$137)*K26/100*Inputs!$F$138/K11)</f>
        <v>2.35635247387625</v>
      </c>
      <c r="L46" s="13" t="n">
        <f aca="false">Inputs!$F$136*(Inputs!$F$137*L20/100+(1-Inputs!$F$137)*L26/100*Inputs!$F$138/L11)</f>
        <v>2.38495570490063</v>
      </c>
      <c r="M46" s="13" t="n">
        <f aca="false">Inputs!$F$136*(Inputs!$F$137*M20/100+(1-Inputs!$F$137)*M26/100*Inputs!$F$138/M11)</f>
        <v>2.40879644685733</v>
      </c>
      <c r="N46" s="13" t="n">
        <f aca="false">Inputs!$F$136*(Inputs!$F$137*N20/100+(1-Inputs!$F$137)*N26/100*Inputs!$F$138/N11)</f>
        <v>2.43656732059625</v>
      </c>
      <c r="O46" s="13" t="n">
        <f aca="false">Inputs!$F$136*(Inputs!$F$137*O20/100+(1-Inputs!$F$137)*O26/100*Inputs!$F$138/O11)</f>
        <v>2.46111142528661</v>
      </c>
      <c r="P46" s="13" t="n">
        <f aca="false">Inputs!$F$136*(Inputs!$F$137*P20/100+(1-Inputs!$F$137)*P26/100*Inputs!$F$138/P11)</f>
        <v>2.51003447346692</v>
      </c>
      <c r="Q46" s="13" t="n">
        <f aca="false">Inputs!$F$136*(Inputs!$F$137*Q20/100+(1-Inputs!$F$137)*Q26/100*Inputs!$F$138/Q11)</f>
        <v>2.57041208323898</v>
      </c>
      <c r="R46" s="13" t="n">
        <f aca="false">Inputs!$F$136*(Inputs!$F$137*R20/100+(1-Inputs!$F$137)*R26/100*Inputs!$F$138/R11)</f>
        <v>2.61533415728333</v>
      </c>
      <c r="S46" s="13" t="n">
        <f aca="false">Inputs!$F$136*(Inputs!$F$137*S20/100+(1-Inputs!$F$137)*S26/100*Inputs!$F$138/S11)</f>
        <v>2.64394632223245</v>
      </c>
      <c r="T46" s="13" t="n">
        <f aca="false">Inputs!$F$136*(Inputs!$F$137*T20/100+(1-Inputs!$F$137)*T26/100*Inputs!$F$138/T11)</f>
        <v>2.67287150874357</v>
      </c>
      <c r="U46" s="13" t="n">
        <f aca="false">Inputs!$F$136*(Inputs!$F$137*U20/100+(1-Inputs!$F$137)*U26/100*Inputs!$F$138/U11)</f>
        <v>2.70211314132156</v>
      </c>
      <c r="V46" s="13" t="n">
        <f aca="false">Inputs!$F$136*(Inputs!$F$137*V20/100+(1-Inputs!$F$137)*V26/100*Inputs!$F$138/V11)</f>
        <v>2.73167468193593</v>
      </c>
      <c r="W46" s="13" t="n">
        <f aca="false">Inputs!$F$136*(Inputs!$F$137*W20/100+(1-Inputs!$F$137)*W26/100*Inputs!$F$138/W11)</f>
        <v>2.76155963043064</v>
      </c>
      <c r="X46" s="13" t="n">
        <f aca="false">Inputs!$F$136*(Inputs!$F$137*X20/100+(1-Inputs!$F$137)*X26/100*Inputs!$F$138/X11)</f>
        <v>2.79177152493852</v>
      </c>
      <c r="Y46" s="13" t="n">
        <f aca="false">Inputs!$F$136*(Inputs!$F$137*Y20/100+(1-Inputs!$F$137)*Y26/100*Inputs!$F$138/Y11)</f>
        <v>2.82231394230011</v>
      </c>
      <c r="Z46" s="13" t="n">
        <f aca="false">Inputs!$F$136*(Inputs!$F$137*Z20/100+(1-Inputs!$F$137)*Z26/100*Inputs!$F$138/Z11)</f>
        <v>2.85319049848716</v>
      </c>
      <c r="AA46" s="13" t="n">
        <f aca="false">Inputs!$F$136*(Inputs!$F$137*AA20/100+(1-Inputs!$F$137)*AA26/100*Inputs!$F$138/AA11)</f>
        <v>2.88440484903071</v>
      </c>
      <c r="AB46" s="13" t="n">
        <f aca="false">Inputs!$F$136*(Inputs!$F$137*AB20/100+(1-Inputs!$F$137)*AB26/100*Inputs!$F$138/AB11)</f>
        <v>2.91596068945388</v>
      </c>
      <c r="AC46" s="13" t="n">
        <f aca="false">Inputs!$F$136*(Inputs!$F$137*AC20/100+(1-Inputs!$F$137)*AC26/100*Inputs!$F$138/AC11)</f>
        <v>2.94786175570939</v>
      </c>
      <c r="AD46" s="13" t="n">
        <f aca="false">Inputs!$F$136*(Inputs!$F$137*AD20/100+(1-Inputs!$F$137)*AD26/100*Inputs!$F$138/AD11)</f>
        <v>2.98011182462187</v>
      </c>
      <c r="AE46" s="13" t="n">
        <f aca="false">Inputs!$F$136*(Inputs!$F$137*AE20/100+(1-Inputs!$F$137)*AE26/100*Inputs!$F$138/AE11)</f>
        <v>3.01271471433499</v>
      </c>
      <c r="AF46" s="13" t="n">
        <f aca="false">Inputs!$F$136*(Inputs!$F$137*AF20/100+(1-Inputs!$F$137)*AF26/100*Inputs!$F$138/AF11)</f>
        <v>3.04567428476355</v>
      </c>
      <c r="AG46" s="13" t="n">
        <f aca="false">Inputs!$F$136*(Inputs!$F$137*AG20/100+(1-Inputs!$F$137)*AG26/100*Inputs!$F$138/AG11)</f>
        <v>3.07899443805036</v>
      </c>
      <c r="AH46" s="13" t="n">
        <f aca="false">Inputs!$F$136*(Inputs!$F$137*AH20/100+(1-Inputs!$F$137)*AH26/100*Inputs!$F$138/AH11)</f>
        <v>3.11267911902834</v>
      </c>
      <c r="AI46" s="13" t="n">
        <f aca="false">Inputs!$F$136*(Inputs!$F$137*AI20/100+(1-Inputs!$F$137)*AI26/100*Inputs!$F$138/AI11)</f>
        <v>3.14673231568747</v>
      </c>
      <c r="AJ46" s="13" t="n">
        <f aca="false">Inputs!$F$136*(Inputs!$F$137*AJ20/100+(1-Inputs!$F$137)*AJ26/100*Inputs!$F$138/AJ11)</f>
        <v>3.18115805964697</v>
      </c>
      <c r="AK46" s="13" t="n">
        <f aca="false">Inputs!$F$136*(Inputs!$F$137*AK20/100+(1-Inputs!$F$137)*AK26/100*Inputs!$F$138/AK11)</f>
        <v>3.2159604266326</v>
      </c>
      <c r="AL46" s="13" t="n">
        <f aca="false">Inputs!$F$136*(Inputs!$F$137*AL20/100+(1-Inputs!$F$137)*AL26/100*Inputs!$F$138/AL11)</f>
        <v>3.2511435369592</v>
      </c>
      <c r="AM46" s="13" t="n">
        <f aca="false">Inputs!$F$136*(Inputs!$F$137*AM20/100+(1-Inputs!$F$137)*AM26/100*Inputs!$F$138/AM11)</f>
        <v>3.28671155601851</v>
      </c>
      <c r="AN46" s="13" t="n">
        <f aca="false">Inputs!$F$136*(Inputs!$F$137*AN20/100+(1-Inputs!$F$137)*AN26/100*Inputs!$F$138/AN11)</f>
        <v>3.3226686947723</v>
      </c>
      <c r="AO46" s="13" t="n">
        <f aca="false">Inputs!$F$136*(Inputs!$F$137*AO20/100+(1-Inputs!$F$137)*AO26/100*Inputs!$F$138/AO11)</f>
        <v>3.35901921025092</v>
      </c>
      <c r="AP46" s="13" t="n">
        <f aca="false">Inputs!$F$136*(Inputs!$F$137*AP20/100+(1-Inputs!$F$137)*AP26/100*Inputs!$F$138/AP11)</f>
        <v>3.39576740605729</v>
      </c>
      <c r="AQ46" s="13" t="n">
        <f aca="false">Inputs!$F$136*(Inputs!$F$137*AQ20/100+(1-Inputs!$F$137)*AQ26/100*Inputs!$F$138/AQ11)</f>
        <v>3.43291763287644</v>
      </c>
      <c r="AR46" s="13" t="n">
        <f aca="false">Inputs!$F$136*(Inputs!$F$137*AR20/100+(1-Inputs!$F$137)*AR26/100*Inputs!$F$138/AR11)</f>
        <v>3.47047428899055</v>
      </c>
      <c r="AS46" s="13" t="n">
        <f aca="false">Inputs!$F$136*(Inputs!$F$137*AS20/100+(1-Inputs!$F$137)*AS26/100*Inputs!$F$138/AS11)</f>
        <v>3.50844182079972</v>
      </c>
      <c r="AT46" s="13" t="n">
        <f aca="false">Inputs!$F$136*(Inputs!$F$137*AT20/100+(1-Inputs!$F$137)*AT26/100*Inputs!$F$138/AT11)</f>
        <v>3.54682472334834</v>
      </c>
      <c r="AU46" s="13" t="n">
        <f aca="false">Inputs!$F$136*(Inputs!$F$137*AU20/100+(1-Inputs!$F$137)*AU26/100*Inputs!$F$138/AU11)</f>
        <v>3.58562754085731</v>
      </c>
      <c r="AV46" s="13" t="n">
        <f aca="false">Inputs!$F$136*(Inputs!$F$137*AV20/100+(1-Inputs!$F$137)*AV26/100*Inputs!$F$138/AV11)</f>
        <v>3.62485486726201</v>
      </c>
      <c r="AW46" s="13" t="n">
        <f aca="false">Inputs!$F$136*(Inputs!$F$137*AW20/100+(1-Inputs!$F$137)*AW26/100*Inputs!$F$138/AW11)</f>
        <v>3.66451134675618</v>
      </c>
      <c r="AX46" s="13" t="n">
        <f aca="false">Inputs!$F$136*(Inputs!$F$137*AX20/100+(1-Inputs!$F$137)*AX26/100*Inputs!$F$138/AX11)</f>
        <v>3.70460167434177</v>
      </c>
      <c r="AY46" s="13" t="n">
        <f aca="false">Inputs!$F$136*(Inputs!$F$137*AY20/100+(1-Inputs!$F$137)*AY26/100*Inputs!$F$138/AY11)</f>
        <v>3.74513059638481</v>
      </c>
      <c r="AZ46" s="13" t="n">
        <f aca="false">Inputs!$F$136*(Inputs!$F$137*AZ20/100+(1-Inputs!$F$137)*AZ26/100*Inputs!$F$138/AZ11)</f>
        <v>3.78610291117729</v>
      </c>
      <c r="BA46" s="13" t="n">
        <f aca="false">Inputs!$F$136*(Inputs!$F$137*BA20/100+(1-Inputs!$F$137)*BA26/100*Inputs!$F$138/BA11)</f>
        <v>3.82752346950528</v>
      </c>
      <c r="BB46" s="13" t="n">
        <f aca="false">Inputs!$F$136*(Inputs!$F$137*BB20/100+(1-Inputs!$F$137)*BB26/100*Inputs!$F$138/BB11)</f>
        <v>3.86939717522319</v>
      </c>
      <c r="BC46" s="13" t="n">
        <f aca="false">Inputs!$F$136*(Inputs!$F$137*BC20/100+(1-Inputs!$F$137)*BC26/100*Inputs!$F$138/BC11)</f>
        <v>3.91172898583439</v>
      </c>
      <c r="BD46" s="13" t="n">
        <f aca="false">Inputs!$F$136*(Inputs!$F$137*BD20/100+(1-Inputs!$F$137)*BD26/100*Inputs!$F$138/BD11)</f>
        <v>3.9545239130781</v>
      </c>
      <c r="BE46" s="13" t="n">
        <f aca="false">Inputs!$F$136*(Inputs!$F$137*BE20/100+(1-Inputs!$F$137)*BE26/100*Inputs!$F$138/BE11)</f>
        <v>3.99778702352275</v>
      </c>
      <c r="BF46" s="13" t="n">
        <f aca="false">Inputs!$F$136*(Inputs!$F$137*BF20/100+(1-Inputs!$F$137)*BF26/100*Inputs!$F$138/BF11)</f>
        <v>4.04152343916582</v>
      </c>
      <c r="BG46" s="13" t="n">
        <f aca="false">Inputs!$F$136*(Inputs!$F$137*BG20/100+(1-Inputs!$F$137)*BG26/100*Inputs!$F$138/BG11)</f>
        <v>4.08573833804025</v>
      </c>
      <c r="BH46" s="13" t="n">
        <f aca="false">Inputs!$F$136*(Inputs!$F$137*BH20/100+(1-Inputs!$F$137)*BH26/100*Inputs!$F$138/BH11)</f>
        <v>4.13043695482747</v>
      </c>
      <c r="BI46" s="13" t="n">
        <f aca="false">Inputs!$F$136*(Inputs!$F$137*BI20/100+(1-Inputs!$F$137)*BI26/100*Inputs!$F$138/BI11)</f>
        <v>4.17562458147713</v>
      </c>
      <c r="BJ46" s="13" t="n">
        <f aca="false">Inputs!$F$136*(Inputs!$F$137*BJ20/100+(1-Inputs!$F$137)*BJ26/100*Inputs!$F$138/BJ11)</f>
        <v>4.22130656783367</v>
      </c>
      <c r="BK46" s="13" t="n">
        <f aca="false">Inputs!$F$136*(Inputs!$F$137*BK20/100+(1-Inputs!$F$137)*BK26/100*Inputs!$F$138/BK11)</f>
        <v>4.26748832226963</v>
      </c>
      <c r="BL46" s="13" t="n">
        <f aca="false">Inputs!$F$136*(Inputs!$F$137*BL20/100+(1-Inputs!$F$137)*BL26/100*Inputs!$F$138/BL11)</f>
        <v>4.31417531232601</v>
      </c>
      <c r="BM46" s="13" t="n">
        <f aca="false">Inputs!$F$136*(Inputs!$F$137*BM20/100+(1-Inputs!$F$137)*BM26/100*Inputs!$F$138/BM11)</f>
        <v>4.36137306535956</v>
      </c>
      <c r="BN46" s="13" t="n">
        <f aca="false">Inputs!$F$136*(Inputs!$F$137*BN20/100+(1-Inputs!$F$137)*BN26/100*Inputs!$F$138/BN11)</f>
        <v>4.40908716919718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0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1</v>
      </c>
      <c r="AE47" s="13" t="n">
        <f aca="false">MIN(1,AE32/Inputs!$F$133)</f>
        <v>0.985555555555556</v>
      </c>
      <c r="AF47" s="13" t="n">
        <f aca="false">MIN(1,AF32/Inputs!$F$133)</f>
        <v>0.995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1</v>
      </c>
      <c r="AU47" s="13" t="n">
        <f aca="false">MIN(1,AU32/Inputs!$F$133)</f>
        <v>0.985555555555556</v>
      </c>
      <c r="AV47" s="13" t="n">
        <f aca="false">MIN(1,AV32/Inputs!$F$133)</f>
        <v>0.995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1</v>
      </c>
      <c r="BK47" s="13" t="n">
        <f aca="false">MIN(1,BK32/Inputs!$F$133)</f>
        <v>0.985555555555556</v>
      </c>
      <c r="BL47" s="13" t="n">
        <f aca="false">MIN(1,BL32/Inputs!$F$133)</f>
        <v>0.995</v>
      </c>
      <c r="BM47" s="13" t="n">
        <f aca="false">MIN(1,BM32/Inputs!$F$133)</f>
        <v>1</v>
      </c>
      <c r="BN47" s="13" t="n">
        <f aca="false">MIN(1,BN32/Inputs!$F$133)</f>
        <v>1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3339.73125024445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0</v>
      </c>
      <c r="P48" s="13" t="n">
        <f aca="false">$F$34*1000*Time!P30*(P45+P46)*P47/1000000</f>
        <v>9.96826417714946</v>
      </c>
      <c r="Q48" s="13" t="n">
        <f aca="false">$F$34*1000*Time!Q30*(Q45+Q46)*Q47/1000000</f>
        <v>60.2744523790155</v>
      </c>
      <c r="R48" s="13" t="n">
        <f aca="false">$F$34*1000*Time!R30*(R45+R46)*R47/1000000</f>
        <v>60.6222841830346</v>
      </c>
      <c r="S48" s="13" t="n">
        <f aca="false">$F$34*1000*Time!S30*(S45+S46)*S47/1000000</f>
        <v>60.8467004990402</v>
      </c>
      <c r="T48" s="13" t="n">
        <f aca="false">$F$34*1000*Time!T30*(T45+T46)*T47/1000000</f>
        <v>61.0735719646614</v>
      </c>
      <c r="U48" s="13" t="n">
        <f aca="false">$F$34*1000*Time!U30*(U45+U46)*U47/1000000</f>
        <v>61.3029254396191</v>
      </c>
      <c r="V48" s="13" t="n">
        <f aca="false">$F$34*1000*Time!V30*(V45+V46)*V47/1000000</f>
        <v>61.5347880774839</v>
      </c>
      <c r="W48" s="13" t="n">
        <f aca="false">$F$34*1000*Time!W30*(W45+W46)*W47/1000000</f>
        <v>61.7691873288907</v>
      </c>
      <c r="X48" s="13" t="n">
        <f aca="false">$F$34*1000*Time!X30*(X45+X46)*X47/1000000</f>
        <v>62.0061509447886</v>
      </c>
      <c r="Y48" s="13" t="n">
        <f aca="false">$F$34*1000*Time!Y30*(Y45+Y46)*Y47/1000000</f>
        <v>62.2457069797263</v>
      </c>
      <c r="Z48" s="13" t="n">
        <f aca="false">$F$34*1000*Time!Z30*(Z45+Z46)*Z47/1000000</f>
        <v>62.4878837951739</v>
      </c>
      <c r="AA48" s="13" t="n">
        <f aca="false">$F$34*1000*Time!AA30*(AA45+AA46)*AA47/1000000</f>
        <v>62.7327100628803</v>
      </c>
      <c r="AB48" s="13" t="n">
        <f aca="false">$F$34*1000*Time!AB30*(AB45+AB46)*AB47/1000000</f>
        <v>62.9802147682677</v>
      </c>
      <c r="AC48" s="13" t="n">
        <f aca="false">$F$34*1000*Time!AC30*(AC45+AC46)*AC47/1000000</f>
        <v>63.2304272138637</v>
      </c>
      <c r="AD48" s="13" t="n">
        <f aca="false">$F$34*1000*Time!AD30*(AD45+AD46)*AD47/1000000</f>
        <v>63.4833770227696</v>
      </c>
      <c r="AE48" s="13" t="n">
        <f aca="false">$F$34*1000*Time!AE30*(AE45+AE46)*AE47/1000000</f>
        <v>62.8184183378929</v>
      </c>
      <c r="AF48" s="13" t="n">
        <f aca="false">$F$34*1000*Time!AF30*(AF45+AF46)*AF47/1000000</f>
        <v>63.6776208026362</v>
      </c>
      <c r="AG48" s="13" t="n">
        <f aca="false">$F$34*1000*Time!AG30*(AG45+AG46)*AG47/1000000</f>
        <v>64.2589517428964</v>
      </c>
      <c r="AH48" s="13" t="n">
        <f aca="false">$F$34*1000*Time!AH30*(AH45+AH46)*AH47/1000000</f>
        <v>64.5231537711017</v>
      </c>
      <c r="AI48" s="13" t="n">
        <f aca="false">$F$34*1000*Time!AI30*(AI45+AI46)*AI47/1000000</f>
        <v>64.7902462108401</v>
      </c>
      <c r="AJ48" s="13" t="n">
        <f aca="false">$F$34*1000*Time!AJ30*(AJ45+AJ46)*AJ47/1000000</f>
        <v>65.0602606836659</v>
      </c>
      <c r="AK48" s="13" t="n">
        <f aca="false">$F$34*1000*Time!AK30*(AK45+AK46)*AK47/1000000</f>
        <v>65.3332291570786</v>
      </c>
      <c r="AL48" s="13" t="n">
        <f aca="false">$F$34*1000*Time!AL30*(AL45+AL46)*AL47/1000000</f>
        <v>65.6091839483066</v>
      </c>
      <c r="AM48" s="13" t="n">
        <f aca="false">$F$34*1000*Time!AM30*(AM45+AM46)*AM47/1000000</f>
        <v>65.8881577281343</v>
      </c>
      <c r="AN48" s="13" t="n">
        <f aca="false">$F$34*1000*Time!AN30*(AN45+AN46)*AN47/1000000</f>
        <v>66.1701835247693</v>
      </c>
      <c r="AO48" s="13" t="n">
        <f aca="false">$F$34*1000*Time!AO30*(AO45+AO46)*AO47/1000000</f>
        <v>66.4552947277532</v>
      </c>
      <c r="AP48" s="13" t="n">
        <f aca="false">$F$34*1000*Time!AP30*(AP45+AP46)*AP47/1000000</f>
        <v>66.7435250919143</v>
      </c>
      <c r="AQ48" s="13" t="n">
        <f aca="false">$F$34*1000*Time!AQ30*(AQ45+AQ46)*AQ47/1000000</f>
        <v>67.0349087413638</v>
      </c>
      <c r="AR48" s="13" t="n">
        <f aca="false">$F$34*1000*Time!AR30*(AR45+AR46)*AR47/1000000</f>
        <v>67.3294801735364</v>
      </c>
      <c r="AS48" s="13" t="n">
        <f aca="false">$F$34*1000*Time!AS30*(AS45+AS46)*AS47/1000000</f>
        <v>67.6272742632738</v>
      </c>
      <c r="AT48" s="13" t="n">
        <f aca="false">$F$34*1000*Time!AT30*(AT45+AT46)*AT47/1000000</f>
        <v>67.9283262669542</v>
      </c>
      <c r="AU48" s="13" t="n">
        <f aca="false">$F$34*1000*Time!AU30*(AU45+AU46)*AU47/1000000</f>
        <v>67.2470887891696</v>
      </c>
      <c r="AV48" s="13" t="n">
        <f aca="false">$F$34*1000*Time!AV30*(AV45+AV46)*AV47/1000000</f>
        <v>68.197645239555</v>
      </c>
      <c r="AW48" s="13" t="n">
        <f aca="false">$F$34*1000*Time!AW30*(AW45+AW46)*AW47/1000000</f>
        <v>68.8513881364525</v>
      </c>
      <c r="AX48" s="13" t="n">
        <f aca="false">$F$34*1000*Time!AX30*(AX45+AX46)*AX47/1000000</f>
        <v>69.1658321374646</v>
      </c>
      <c r="AY48" s="13" t="n">
        <f aca="false">$F$34*1000*Time!AY30*(AY45+AY46)*AY47/1000000</f>
        <v>69.4837162050544</v>
      </c>
      <c r="AZ48" s="13" t="n">
        <f aca="false">$F$34*1000*Time!AZ30*(AZ45+AZ46)*AZ47/1000000</f>
        <v>69.8050779740888</v>
      </c>
      <c r="BA48" s="13" t="n">
        <f aca="false">$F$34*1000*Time!BA30*(BA45+BA46)*BA47/1000000</f>
        <v>70.1299554911656</v>
      </c>
      <c r="BB48" s="13" t="n">
        <f aca="false">$F$34*1000*Time!BB30*(BB45+BB46)*BB47/1000000</f>
        <v>70.4583872191187</v>
      </c>
      <c r="BC48" s="13" t="n">
        <f aca="false">$F$34*1000*Time!BC30*(BC45+BC46)*BC47/1000000</f>
        <v>70.7904120415713</v>
      </c>
      <c r="BD48" s="13" t="n">
        <f aca="false">$F$34*1000*Time!BD30*(BD45+BD46)*BD47/1000000</f>
        <v>71.1260692675393</v>
      </c>
      <c r="BE48" s="13" t="n">
        <f aca="false">$F$34*1000*Time!BE30*(BE45+BE46)*BE47/1000000</f>
        <v>71.4653986360858</v>
      </c>
      <c r="BF48" s="13" t="n">
        <f aca="false">$F$34*1000*Time!BF30*(BF45+BF46)*BF47/1000000</f>
        <v>71.8084403210252</v>
      </c>
      <c r="BG48" s="13" t="n">
        <f aca="false">$F$34*1000*Time!BG30*(BG45+BG46)*BG47/1000000</f>
        <v>72.1552349356797</v>
      </c>
      <c r="BH48" s="13" t="n">
        <f aca="false">$F$34*1000*Time!BH30*(BH45+BH46)*BH47/1000000</f>
        <v>72.5058235376877</v>
      </c>
      <c r="BI48" s="13" t="n">
        <f aca="false">$F$34*1000*Time!BI30*(BI45+BI46)*BI47/1000000</f>
        <v>72.8602476338647</v>
      </c>
      <c r="BJ48" s="13" t="n">
        <f aca="false">$F$34*1000*Time!BJ30*(BJ45+BJ46)*BJ47/1000000</f>
        <v>73.2185491851169</v>
      </c>
      <c r="BK48" s="13" t="n">
        <f aca="false">$F$34*1000*Time!BK30*(BK45+BK46)*BK47/1000000</f>
        <v>72.5179372581338</v>
      </c>
      <c r="BL48" s="13" t="n">
        <f aca="false">$F$34*1000*Time!BL30*(BL45+BL46)*BL47/1000000</f>
        <v>73.5772200228055</v>
      </c>
      <c r="BM48" s="13" t="n">
        <f aca="false">$F$34*1000*Time!BM30*(BM45+BM46)*BM47/1000000</f>
        <v>74.3171450944607</v>
      </c>
      <c r="BN48" s="13" t="n">
        <f aca="false">$F$34*1000*Time!BN30*(BN45+BN46)*BN47/1000000</f>
        <v>62.2428211099323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3.91022718246032</v>
      </c>
      <c r="K49" s="13" t="n">
        <f aca="false">Inputs!$F$139*(Inputs!$F$140*K20/100+(1-Inputs!$F$140)*K26/100*Inputs!$F$138/K11)</f>
        <v>3.9540135202476</v>
      </c>
      <c r="L49" s="13" t="n">
        <f aca="false">Inputs!$F$139*(Inputs!$F$140*L20/100+(1-Inputs!$F$140)*L26/100*Inputs!$F$138/L11)</f>
        <v>4.00057685117118</v>
      </c>
      <c r="M49" s="13" t="n">
        <f aca="false">Inputs!$F$139*(Inputs!$F$140*M20/100+(1-Inputs!$F$140)*M26/100*Inputs!$F$138/M11)</f>
        <v>4.03968237214488</v>
      </c>
      <c r="N49" s="13" t="n">
        <f aca="false">Inputs!$F$139*(Inputs!$F$140*N20/100+(1-Inputs!$F$140)*N26/100*Inputs!$F$138/N11)</f>
        <v>4.0827568038087</v>
      </c>
      <c r="O49" s="13" t="n">
        <f aca="false">Inputs!$F$139*(Inputs!$F$140*O20/100+(1-Inputs!$F$140)*O26/100*Inputs!$F$138/O11)</f>
        <v>4.12033054196868</v>
      </c>
      <c r="P49" s="13" t="n">
        <f aca="false">Inputs!$F$139*(Inputs!$F$140*P20/100+(1-Inputs!$F$140)*P26/100*Inputs!$F$138/P11)</f>
        <v>4.1975982986382</v>
      </c>
      <c r="Q49" s="13" t="n">
        <f aca="false">Inputs!$F$139*(Inputs!$F$140*Q20/100+(1-Inputs!$F$140)*Q26/100*Inputs!$F$138/Q11)</f>
        <v>4.29783877703319</v>
      </c>
      <c r="R49" s="13" t="n">
        <f aca="false">Inputs!$F$139*(Inputs!$F$140*R20/100+(1-Inputs!$F$140)*R26/100*Inputs!$F$138/R11)</f>
        <v>4.37257856115553</v>
      </c>
      <c r="S49" s="13" t="n">
        <f aca="false">Inputs!$F$139*(Inputs!$F$140*S20/100+(1-Inputs!$F$140)*S26/100*Inputs!$F$138/S11)</f>
        <v>4.42041525487069</v>
      </c>
      <c r="T49" s="13" t="n">
        <f aca="false">Inputs!$F$139*(Inputs!$F$140*T20/100+(1-Inputs!$F$140)*T26/100*Inputs!$F$138/T11)</f>
        <v>4.46877528950095</v>
      </c>
      <c r="U49" s="13" t="n">
        <f aca="false">Inputs!$F$139*(Inputs!$F$140*U20/100+(1-Inputs!$F$140)*U26/100*Inputs!$F$138/U11)</f>
        <v>4.51766439047784</v>
      </c>
      <c r="V49" s="13" t="n">
        <f aca="false">Inputs!$F$139*(Inputs!$F$140*V20/100+(1-Inputs!$F$140)*V26/100*Inputs!$F$138/V11)</f>
        <v>4.56708834586997</v>
      </c>
      <c r="W49" s="13" t="n">
        <f aca="false">Inputs!$F$139*(Inputs!$F$140*W20/100+(1-Inputs!$F$140)*W26/100*Inputs!$F$138/W11)</f>
        <v>4.61705300706835</v>
      </c>
      <c r="X49" s="13" t="n">
        <f aca="false">Inputs!$F$139*(Inputs!$F$140*X20/100+(1-Inputs!$F$140)*X26/100*Inputs!$F$138/X11)</f>
        <v>4.66756428947911</v>
      </c>
      <c r="Y49" s="13" t="n">
        <f aca="false">Inputs!$F$139*(Inputs!$F$140*Y20/100+(1-Inputs!$F$140)*Y26/100*Inputs!$F$138/Y11)</f>
        <v>4.71862817322386</v>
      </c>
      <c r="Z49" s="13" t="n">
        <f aca="false">Inputs!$F$139*(Inputs!$F$140*Z20/100+(1-Inputs!$F$140)*Z26/100*Inputs!$F$138/Z11)</f>
        <v>4.77025070384765</v>
      </c>
      <c r="AA49" s="13" t="n">
        <f aca="false">Inputs!$F$139*(Inputs!$F$140*AA20/100+(1-Inputs!$F$140)*AA26/100*Inputs!$F$138/AA11)</f>
        <v>4.82243799303478</v>
      </c>
      <c r="AB49" s="13" t="n">
        <f aca="false">Inputs!$F$139*(Inputs!$F$140*AB20/100+(1-Inputs!$F$140)*AB26/100*Inputs!$F$138/AB11)</f>
        <v>4.8751962193323</v>
      </c>
      <c r="AC49" s="13" t="n">
        <f aca="false">Inputs!$F$139*(Inputs!$F$140*AC20/100+(1-Inputs!$F$140)*AC26/100*Inputs!$F$138/AC11)</f>
        <v>4.92853162888155</v>
      </c>
      <c r="AD49" s="13" t="n">
        <f aca="false">Inputs!$F$139*(Inputs!$F$140*AD20/100+(1-Inputs!$F$140)*AD26/100*Inputs!$F$138/AD11)</f>
        <v>4.98245053615761</v>
      </c>
      <c r="AE49" s="13" t="n">
        <f aca="false">Inputs!$F$139*(Inputs!$F$140*AE20/100+(1-Inputs!$F$140)*AE26/100*Inputs!$F$138/AE11)</f>
        <v>5.03695932471694</v>
      </c>
      <c r="AF49" s="13" t="n">
        <f aca="false">Inputs!$F$139*(Inputs!$F$140*AF20/100+(1-Inputs!$F$140)*AF26/100*Inputs!$F$138/AF11)</f>
        <v>5.09206444795308</v>
      </c>
      <c r="AG49" s="13" t="n">
        <f aca="false">Inputs!$F$139*(Inputs!$F$140*AG20/100+(1-Inputs!$F$140)*AG26/100*Inputs!$F$138/AG11)</f>
        <v>5.14777242986071</v>
      </c>
      <c r="AH49" s="13" t="n">
        <f aca="false">Inputs!$F$139*(Inputs!$F$140*AH20/100+(1-Inputs!$F$140)*AH26/100*Inputs!$F$138/AH11)</f>
        <v>5.20408986580805</v>
      </c>
      <c r="AI49" s="13" t="n">
        <f aca="false">Inputs!$F$139*(Inputs!$F$140*AI20/100+(1-Inputs!$F$140)*AI26/100*Inputs!$F$138/AI11)</f>
        <v>5.26102342331765</v>
      </c>
      <c r="AJ49" s="13" t="n">
        <f aca="false">Inputs!$F$139*(Inputs!$F$140*AJ20/100+(1-Inputs!$F$140)*AJ26/100*Inputs!$F$138/AJ11)</f>
        <v>5.31857984285582</v>
      </c>
      <c r="AK49" s="13" t="n">
        <f aca="false">Inputs!$F$139*(Inputs!$F$140*AK20/100+(1-Inputs!$F$140)*AK26/100*Inputs!$F$138/AK11)</f>
        <v>5.37676593863064</v>
      </c>
      <c r="AL49" s="13" t="n">
        <f aca="false">Inputs!$F$139*(Inputs!$F$140*AL20/100+(1-Inputs!$F$140)*AL26/100*Inputs!$F$138/AL11)</f>
        <v>5.43558859939865</v>
      </c>
      <c r="AM49" s="13" t="n">
        <f aca="false">Inputs!$F$139*(Inputs!$F$140*AM20/100+(1-Inputs!$F$140)*AM26/100*Inputs!$F$138/AM11)</f>
        <v>5.49505478928051</v>
      </c>
      <c r="AN49" s="13" t="n">
        <f aca="false">Inputs!$F$139*(Inputs!$F$140*AN20/100+(1-Inputs!$F$140)*AN26/100*Inputs!$F$138/AN11)</f>
        <v>5.55517154858542</v>
      </c>
      <c r="AO49" s="13" t="n">
        <f aca="false">Inputs!$F$139*(Inputs!$F$140*AO20/100+(1-Inputs!$F$140)*AO26/100*Inputs!$F$138/AO11)</f>
        <v>5.61594599464468</v>
      </c>
      <c r="AP49" s="13" t="n">
        <f aca="false">Inputs!$F$139*(Inputs!$F$140*AP20/100+(1-Inputs!$F$140)*AP26/100*Inputs!$F$138/AP11)</f>
        <v>5.6773853226543</v>
      </c>
      <c r="AQ49" s="13" t="n">
        <f aca="false">Inputs!$F$139*(Inputs!$F$140*AQ20/100+(1-Inputs!$F$140)*AQ26/100*Inputs!$F$138/AQ11)</f>
        <v>5.73949680652686</v>
      </c>
      <c r="AR49" s="13" t="n">
        <f aca="false">Inputs!$F$139*(Inputs!$F$140*AR20/100+(1-Inputs!$F$140)*AR26/100*Inputs!$F$138/AR11)</f>
        <v>5.80228779975269</v>
      </c>
      <c r="AS49" s="13" t="n">
        <f aca="false">Inputs!$F$139*(Inputs!$F$140*AS20/100+(1-Inputs!$F$140)*AS26/100*Inputs!$F$138/AS11)</f>
        <v>5.86576573627045</v>
      </c>
      <c r="AT49" s="13" t="n">
        <f aca="false">Inputs!$F$139*(Inputs!$F$140*AT20/100+(1-Inputs!$F$140)*AT26/100*Inputs!$F$138/AT11)</f>
        <v>5.92993813134725</v>
      </c>
      <c r="AU49" s="13" t="n">
        <f aca="false">Inputs!$F$139*(Inputs!$F$140*AU20/100+(1-Inputs!$F$140)*AU26/100*Inputs!$F$138/AU11)</f>
        <v>5.9948125824684</v>
      </c>
      <c r="AV49" s="13" t="n">
        <f aca="false">Inputs!$F$139*(Inputs!$F$140*AV20/100+(1-Inputs!$F$140)*AV26/100*Inputs!$F$138/AV11)</f>
        <v>6.06039677023689</v>
      </c>
      <c r="AW49" s="13" t="n">
        <f aca="false">Inputs!$F$139*(Inputs!$F$140*AW20/100+(1-Inputs!$F$140)*AW26/100*Inputs!$F$138/AW11)</f>
        <v>6.12669845928271</v>
      </c>
      <c r="AX49" s="13" t="n">
        <f aca="false">Inputs!$F$139*(Inputs!$F$140*AX20/100+(1-Inputs!$F$140)*AX26/100*Inputs!$F$138/AX11)</f>
        <v>6.1937254991821</v>
      </c>
      <c r="AY49" s="13" t="n">
        <f aca="false">Inputs!$F$139*(Inputs!$F$140*AY20/100+(1-Inputs!$F$140)*AY26/100*Inputs!$F$138/AY11)</f>
        <v>6.26148582538692</v>
      </c>
      <c r="AZ49" s="13" t="n">
        <f aca="false">Inputs!$F$139*(Inputs!$F$140*AZ20/100+(1-Inputs!$F$140)*AZ26/100*Inputs!$F$138/AZ11)</f>
        <v>6.32998746016411</v>
      </c>
      <c r="BA49" s="13" t="n">
        <f aca="false">Inputs!$F$139*(Inputs!$F$140*BA20/100+(1-Inputs!$F$140)*BA26/100*Inputs!$F$138/BA11)</f>
        <v>6.39923851354544</v>
      </c>
      <c r="BB49" s="13" t="n">
        <f aca="false">Inputs!$F$139*(Inputs!$F$140*BB20/100+(1-Inputs!$F$140)*BB26/100*Inputs!$F$138/BB11)</f>
        <v>6.46924718428772</v>
      </c>
      <c r="BC49" s="13" t="n">
        <f aca="false">Inputs!$F$139*(Inputs!$F$140*BC20/100+(1-Inputs!$F$140)*BC26/100*Inputs!$F$138/BC11)</f>
        <v>6.54002176084344</v>
      </c>
      <c r="BD49" s="13" t="n">
        <f aca="false">Inputs!$F$139*(Inputs!$F$140*BD20/100+(1-Inputs!$F$140)*BD26/100*Inputs!$F$138/BD11)</f>
        <v>6.61157062234205</v>
      </c>
      <c r="BE49" s="13" t="n">
        <f aca="false">Inputs!$F$139*(Inputs!$F$140*BE20/100+(1-Inputs!$F$140)*BE26/100*Inputs!$F$138/BE11)</f>
        <v>6.68390223958199</v>
      </c>
      <c r="BF49" s="13" t="n">
        <f aca="false">Inputs!$F$139*(Inputs!$F$140*BF20/100+(1-Inputs!$F$140)*BF26/100*Inputs!$F$138/BF11)</f>
        <v>6.75702517603357</v>
      </c>
      <c r="BG49" s="13" t="n">
        <f aca="false">Inputs!$F$139*(Inputs!$F$140*BG20/100+(1-Inputs!$F$140)*BG26/100*Inputs!$F$138/BG11)</f>
        <v>6.83094808885279</v>
      </c>
      <c r="BH49" s="13" t="n">
        <f aca="false">Inputs!$F$139*(Inputs!$F$140*BH20/100+(1-Inputs!$F$140)*BH26/100*Inputs!$F$138/BH11)</f>
        <v>6.90567972990631</v>
      </c>
      <c r="BI49" s="13" t="n">
        <f aca="false">Inputs!$F$139*(Inputs!$F$140*BI20/100+(1-Inputs!$F$140)*BI26/100*Inputs!$F$138/BI11)</f>
        <v>6.98122894680755</v>
      </c>
      <c r="BJ49" s="13" t="n">
        <f aca="false">Inputs!$F$139*(Inputs!$F$140*BJ20/100+(1-Inputs!$F$140)*BJ26/100*Inputs!$F$138/BJ11)</f>
        <v>7.05760468396425</v>
      </c>
      <c r="BK49" s="13" t="n">
        <f aca="false">Inputs!$F$139*(Inputs!$F$140*BK20/100+(1-Inputs!$F$140)*BK26/100*Inputs!$F$138/BK11)</f>
        <v>7.13481598363732</v>
      </c>
      <c r="BL49" s="13" t="n">
        <f aca="false">Inputs!$F$139*(Inputs!$F$140*BL20/100+(1-Inputs!$F$140)*BL26/100*Inputs!$F$138/BL11)</f>
        <v>7.21287198701146</v>
      </c>
      <c r="BM49" s="13" t="n">
        <f aca="false">Inputs!$F$139*(Inputs!$F$140*BM20/100+(1-Inputs!$F$140)*BM26/100*Inputs!$F$138/BM11)</f>
        <v>7.29178193527734</v>
      </c>
      <c r="BN49" s="13" t="n">
        <f aca="false">Inputs!$F$139*(Inputs!$F$140*BN20/100+(1-Inputs!$F$140)*BN26/100*Inputs!$F$138/BN11)</f>
        <v>7.37155517072571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499.273942551349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0</v>
      </c>
      <c r="P50" s="13" t="n">
        <f aca="false">P38*P49/1000000</f>
        <v>1.26661438596605</v>
      </c>
      <c r="Q50" s="13" t="n">
        <f aca="false">Q38*Q49/1000000</f>
        <v>7.77776566534109</v>
      </c>
      <c r="R50" s="13" t="n">
        <f aca="false">R38*R49/1000000</f>
        <v>7.89443935019963</v>
      </c>
      <c r="S50" s="13" t="n">
        <f aca="false">S38*S49/1000000</f>
        <v>7.91094603074042</v>
      </c>
      <c r="T50" s="13" t="n">
        <f aca="false">T38*T49/1000000</f>
        <v>8.00438624133837</v>
      </c>
      <c r="U50" s="13" t="n">
        <f aca="false">U38*U49/1000000</f>
        <v>8.15104336478979</v>
      </c>
      <c r="V50" s="13" t="n">
        <f aca="false">V38*V49/1000000</f>
        <v>8.18719775720324</v>
      </c>
      <c r="W50" s="13" t="n">
        <f aca="false">W38*W49/1000000</f>
        <v>8.03406306445941</v>
      </c>
      <c r="X50" s="13" t="n">
        <f aca="false">X38*X49/1000000</f>
        <v>8.16361022767788</v>
      </c>
      <c r="Y50" s="13" t="n">
        <f aca="false">Y38*Y49/1000000</f>
        <v>8.48800376755966</v>
      </c>
      <c r="Z50" s="13" t="n">
        <f aca="false">Z38*Z49/1000000</f>
        <v>8.56067439890165</v>
      </c>
      <c r="AA50" s="13" t="n">
        <f aca="false">AA38*AA49/1000000</f>
        <v>8.57853516352646</v>
      </c>
      <c r="AB50" s="13" t="n">
        <f aca="false">AB38*AB49/1000000</f>
        <v>8.67982112625899</v>
      </c>
      <c r="AC50" s="13" t="n">
        <f aca="false">AC38*AC49/1000000</f>
        <v>8.83881336481913</v>
      </c>
      <c r="AD50" s="13" t="n">
        <f aca="false">AD38*AD49/1000000</f>
        <v>8.84783465015625</v>
      </c>
      <c r="AE50" s="13" t="n">
        <f aca="false">AE38*AE49/1000000</f>
        <v>8.52918339357273</v>
      </c>
      <c r="AF50" s="13" t="n">
        <f aca="false">AF38*AF49/1000000</f>
        <v>8.69852072065913</v>
      </c>
      <c r="AG50" s="13" t="n">
        <f aca="false">AG38*AG49/1000000</f>
        <v>9.2040375056113</v>
      </c>
      <c r="AH50" s="13" t="n">
        <f aca="false">AH38*AH49/1000000</f>
        <v>9.28279589885874</v>
      </c>
      <c r="AI50" s="13" t="n">
        <f aca="false">AI38*AI49/1000000</f>
        <v>9.30212051474459</v>
      </c>
      <c r="AJ50" s="13" t="n">
        <f aca="false">AJ38*AJ49/1000000</f>
        <v>9.41190644775499</v>
      </c>
      <c r="AK50" s="13" t="n">
        <f aca="false">AK38*AK49/1000000</f>
        <v>9.58426443180329</v>
      </c>
      <c r="AL50" s="13" t="n">
        <f aca="false">AL38*AL49/1000000</f>
        <v>9.6266875728702</v>
      </c>
      <c r="AM50" s="13" t="n">
        <f aca="false">AM38*AM49/1000000</f>
        <v>9.44654156763818</v>
      </c>
      <c r="AN50" s="13" t="n">
        <f aca="false">AN38*AN49/1000000</f>
        <v>9.5987761848068</v>
      </c>
      <c r="AO50" s="13" t="n">
        <f aca="false">AO38*AO49/1000000</f>
        <v>9.98010619608741</v>
      </c>
      <c r="AP50" s="13" t="n">
        <f aca="false">AP38*AP49/1000000</f>
        <v>10.0654585940641</v>
      </c>
      <c r="AQ50" s="13" t="n">
        <f aca="false">AQ38*AQ49/1000000</f>
        <v>10.086365594271</v>
      </c>
      <c r="AR50" s="13" t="n">
        <f aca="false">AR38*AR49/1000000</f>
        <v>10.2053598190628</v>
      </c>
      <c r="AS50" s="13" t="n">
        <f aca="false">AS38*AS49/1000000</f>
        <v>10.3921996163543</v>
      </c>
      <c r="AT50" s="13" t="n">
        <f aca="false">AT38*AT49/1000000</f>
        <v>10.4027096833343</v>
      </c>
      <c r="AU50" s="13" t="n">
        <f aca="false">AU38*AU49/1000000</f>
        <v>10.027966885948</v>
      </c>
      <c r="AV50" s="13" t="n">
        <f aca="false">AV38*AV49/1000000</f>
        <v>10.2269655401879</v>
      </c>
      <c r="AW50" s="13" t="n">
        <f aca="false">AW38*AW49/1000000</f>
        <v>10.8212072678569</v>
      </c>
      <c r="AX50" s="13" t="n">
        <f aca="false">AX38*AX49/1000000</f>
        <v>10.9137016418846</v>
      </c>
      <c r="AY50" s="13" t="n">
        <f aca="false">AY38*AY49/1000000</f>
        <v>10.9363190118938</v>
      </c>
      <c r="AZ50" s="13" t="n">
        <f aca="false">AZ38*AZ49/1000000</f>
        <v>11.0652883831375</v>
      </c>
      <c r="BA50" s="13" t="n">
        <f aca="false">BA38*BA49/1000000</f>
        <v>11.26781851464</v>
      </c>
      <c r="BB50" s="13" t="n">
        <f aca="false">BB38*BB49/1000000</f>
        <v>11.317587156132</v>
      </c>
      <c r="BC50" s="13" t="n">
        <f aca="false">BC38*BC49/1000000</f>
        <v>11.1056943939615</v>
      </c>
      <c r="BD50" s="13" t="n">
        <f aca="false">BD38*BD49/1000000</f>
        <v>11.2845604058017</v>
      </c>
      <c r="BE50" s="13" t="n">
        <f aca="false">BE38*BE49/1000000</f>
        <v>11.7327505817637</v>
      </c>
      <c r="BF50" s="13" t="n">
        <f aca="false">BF38*BF49/1000000</f>
        <v>11.8329800345116</v>
      </c>
      <c r="BG50" s="13" t="n">
        <f aca="false">BG38*BG49/1000000</f>
        <v>11.8574459511359</v>
      </c>
      <c r="BH50" s="13" t="n">
        <f aca="false">BH38*BH49/1000000</f>
        <v>11.9972206447231</v>
      </c>
      <c r="BI50" s="13" t="n">
        <f aca="false">BI38*BI49/1000000</f>
        <v>12.2167496699106</v>
      </c>
      <c r="BJ50" s="13" t="n">
        <f aca="false">BJ38*BJ49/1000000</f>
        <v>12.2289885125851</v>
      </c>
      <c r="BK50" s="13" t="n">
        <f aca="false">BK38*BK49/1000000</f>
        <v>11.7883441769534</v>
      </c>
      <c r="BL50" s="13" t="n">
        <f aca="false">BL38*BL49/1000000</f>
        <v>12.0221615514479</v>
      </c>
      <c r="BM50" s="13" t="n">
        <f aca="false">BM38*BM49/1000000</f>
        <v>12.7205921140255</v>
      </c>
      <c r="BN50" s="13" t="n">
        <f aca="false">BN38*BN49/1000000</f>
        <v>10.7088178124166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4888.85545461932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0</v>
      </c>
      <c r="P51" s="13" t="n">
        <f aca="false">P38*P40*(1000*Inputs!$F$123/Inputs!$F$124)*P41/1000000</f>
        <v>12.7474357593207</v>
      </c>
      <c r="Q51" s="13" t="n">
        <f aca="false">Q38*Q40*(1000*Inputs!$F$123/Inputs!$F$124)*Q41/1000000</f>
        <v>78.0029167240814</v>
      </c>
      <c r="R51" s="13" t="n">
        <f aca="false">R38*R40*(1000*Inputs!$F$123/Inputs!$F$124)*R41/1000000</f>
        <v>77.8586376361968</v>
      </c>
      <c r="S51" s="13" t="n">
        <f aca="false">S38*S40*(1000*Inputs!$F$123/Inputs!$F$124)*S41/1000000</f>
        <v>78.7599742483568</v>
      </c>
      <c r="T51" s="13" t="n">
        <f aca="false">T38*T40*(1000*Inputs!$F$123/Inputs!$F$124)*T41/1000000</f>
        <v>78.8672207281559</v>
      </c>
      <c r="U51" s="13" t="n">
        <f aca="false">U38*U40*(1000*Inputs!$F$123/Inputs!$F$124)*U41/1000000</f>
        <v>81.0724174414755</v>
      </c>
      <c r="V51" s="13" t="n">
        <f aca="false">V38*V40*(1000*Inputs!$F$123/Inputs!$F$124)*V41/1000000</f>
        <v>80.5909620115782</v>
      </c>
      <c r="W51" s="13" t="n">
        <f aca="false">W38*W40*(1000*Inputs!$F$123/Inputs!$F$124)*W41/1000000</f>
        <v>79.8320900308212</v>
      </c>
      <c r="X51" s="13" t="n">
        <f aca="false">X38*X40*(1000*Inputs!$F$123/Inputs!$F$124)*X41/1000000</f>
        <v>80.2814943979829</v>
      </c>
      <c r="Y51" s="13" t="n">
        <f aca="false">Y38*Y40*(1000*Inputs!$F$123/Inputs!$F$124)*Y41/1000000</f>
        <v>84.2616072128242</v>
      </c>
      <c r="Z51" s="13" t="n">
        <f aca="false">Z38*Z40*(1000*Inputs!$F$123/Inputs!$F$124)*Z41/1000000</f>
        <v>84.1052028840303</v>
      </c>
      <c r="AA51" s="13" t="n">
        <f aca="false">AA38*AA40*(1000*Inputs!$F$123/Inputs!$F$124)*AA41/1000000</f>
        <v>85.0782978110295</v>
      </c>
      <c r="AB51" s="13" t="n">
        <f aca="false">AB38*AB40*(1000*Inputs!$F$123/Inputs!$F$124)*AB41/1000000</f>
        <v>85.1935911690799</v>
      </c>
      <c r="AC51" s="13" t="n">
        <f aca="false">AC38*AC40*(1000*Inputs!$F$123/Inputs!$F$124)*AC41/1000000</f>
        <v>87.5751060575128</v>
      </c>
      <c r="AD51" s="13" t="n">
        <f aca="false">AD38*AD40*(1000*Inputs!$F$123/Inputs!$F$124)*AD41/1000000</f>
        <v>86.758889656688</v>
      </c>
      <c r="AE51" s="13" t="n">
        <f aca="false">AE38*AE40*(1000*Inputs!$F$123/Inputs!$F$124)*AE41/1000000</f>
        <v>84.4257220958956</v>
      </c>
      <c r="AF51" s="13" t="n">
        <f aca="false">AF38*AF40*(1000*Inputs!$F$123/Inputs!$F$124)*AF41/1000000</f>
        <v>85.212400239831</v>
      </c>
      <c r="AG51" s="13" t="n">
        <f aca="false">AG38*AG40*(1000*Inputs!$F$123/Inputs!$F$124)*AG41/1000000</f>
        <v>91.0177102868353</v>
      </c>
      <c r="AH51" s="13" t="n">
        <f aca="false">AH38*AH40*(1000*Inputs!$F$123/Inputs!$F$124)*AH41/1000000</f>
        <v>90.8481690991381</v>
      </c>
      <c r="AI51" s="13" t="n">
        <f aca="false">AI38*AI40*(1000*Inputs!$F$123/Inputs!$F$124)*AI41/1000000</f>
        <v>91.8986762616863</v>
      </c>
      <c r="AJ51" s="13" t="n">
        <f aca="false">AJ38*AJ40*(1000*Inputs!$F$123/Inputs!$F$124)*AJ41/1000000</f>
        <v>92.0226072379984</v>
      </c>
      <c r="AK51" s="13" t="n">
        <f aca="false">AK38*AK40*(1000*Inputs!$F$123/Inputs!$F$124)*AK41/1000000</f>
        <v>94.5943991409492</v>
      </c>
      <c r="AL51" s="13" t="n">
        <f aca="false">AL38*AL40*(1000*Inputs!$F$123/Inputs!$F$124)*AL41/1000000</f>
        <v>94.031407760169</v>
      </c>
      <c r="AM51" s="13" t="n">
        <f aca="false">AM38*AM40*(1000*Inputs!$F$123/Inputs!$F$124)*AM41/1000000</f>
        <v>93.1447521523658</v>
      </c>
      <c r="AN51" s="13" t="n">
        <f aca="false">AN38*AN40*(1000*Inputs!$F$123/Inputs!$F$124)*AN41/1000000</f>
        <v>93.6678667990417</v>
      </c>
      <c r="AO51" s="13" t="n">
        <f aca="false">AO38*AO40*(1000*Inputs!$F$123/Inputs!$F$124)*AO41/1000000</f>
        <v>98.3103416716607</v>
      </c>
      <c r="AP51" s="13" t="n">
        <f aca="false">AP38*AP40*(1000*Inputs!$F$123/Inputs!$F$124)*AP41/1000000</f>
        <v>98.1265681974824</v>
      </c>
      <c r="AQ51" s="13" t="n">
        <f aca="false">AQ38*AQ40*(1000*Inputs!$F$123/Inputs!$F$124)*AQ41/1000000</f>
        <v>99.2605817716774</v>
      </c>
      <c r="AR51" s="13" t="n">
        <f aca="false">AR38*AR40*(1000*Inputs!$F$123/Inputs!$F$124)*AR41/1000000</f>
        <v>99.3937832292389</v>
      </c>
      <c r="AS51" s="13" t="n">
        <f aca="false">AS38*AS40*(1000*Inputs!$F$123/Inputs!$F$124)*AS41/1000000</f>
        <v>102.17090387996</v>
      </c>
      <c r="AT51" s="13" t="n">
        <f aca="false">AT38*AT40*(1000*Inputs!$F$123/Inputs!$F$124)*AT41/1000000</f>
        <v>101.217314841923</v>
      </c>
      <c r="AU51" s="13" t="n">
        <f aca="false">AU38*AU40*(1000*Inputs!$F$123/Inputs!$F$124)*AU41/1000000</f>
        <v>98.4940212879942</v>
      </c>
      <c r="AV51" s="13" t="n">
        <f aca="false">AV38*AV40*(1000*Inputs!$F$123/Inputs!$F$124)*AV41/1000000</f>
        <v>99.4104724700738</v>
      </c>
      <c r="AW51" s="13" t="n">
        <f aca="false">AW38*AW40*(1000*Inputs!$F$123/Inputs!$F$124)*AW41/1000000</f>
        <v>106.181656117547</v>
      </c>
      <c r="AX51" s="13" t="n">
        <f aca="false">AX38*AX40*(1000*Inputs!$F$123/Inputs!$F$124)*AX41/1000000</f>
        <v>105.982464224198</v>
      </c>
      <c r="AY51" s="13" t="n">
        <f aca="false">AY38*AY40*(1000*Inputs!$F$123/Inputs!$F$124)*AY41/1000000</f>
        <v>107.206552453022</v>
      </c>
      <c r="AZ51" s="13" t="n">
        <f aca="false">AZ38*AZ40*(1000*Inputs!$F$123/Inputs!$F$124)*AZ41/1000000</f>
        <v>107.349702259629</v>
      </c>
      <c r="BA51" s="13" t="n">
        <f aca="false">BA38*BA40*(1000*Inputs!$F$123/Inputs!$F$124)*BA41/1000000</f>
        <v>110.348380761902</v>
      </c>
      <c r="BB51" s="13" t="n">
        <f aca="false">BB38*BB40*(1000*Inputs!$F$123/Inputs!$F$124)*BB41/1000000</f>
        <v>109.690169270263</v>
      </c>
      <c r="BC51" s="13" t="n">
        <f aca="false">BC38*BC40*(1000*Inputs!$F$123/Inputs!$F$124)*BC41/1000000</f>
        <v>108.654416087526</v>
      </c>
      <c r="BD51" s="13" t="n">
        <f aca="false">BD38*BD40*(1000*Inputs!$F$123/Inputs!$F$124)*BD41/1000000</f>
        <v>109.263180487887</v>
      </c>
      <c r="BE51" s="13" t="n">
        <f aca="false">BE38*BE40*(1000*Inputs!$F$123/Inputs!$F$124)*BE41/1000000</f>
        <v>114.677080174812</v>
      </c>
      <c r="BF51" s="13" t="n">
        <f aca="false">BF38*BF40*(1000*Inputs!$F$123/Inputs!$F$124)*BF41/1000000</f>
        <v>114.461185565561</v>
      </c>
      <c r="BG51" s="13" t="n">
        <f aca="false">BG38*BG40*(1000*Inputs!$F$123/Inputs!$F$124)*BG41/1000000</f>
        <v>115.782427124093</v>
      </c>
      <c r="BH51" s="13" t="n">
        <f aca="false">BH38*BH40*(1000*Inputs!$F$123/Inputs!$F$124)*BH41/1000000</f>
        <v>115.936251219054</v>
      </c>
      <c r="BI51" s="13" t="n">
        <f aca="false">BI38*BI40*(1000*Inputs!$F$123/Inputs!$F$124)*BI41/1000000</f>
        <v>119.173984954597</v>
      </c>
      <c r="BJ51" s="13" t="n">
        <f aca="false">BJ38*BJ40*(1000*Inputs!$F$123/Inputs!$F$124)*BJ41/1000000</f>
        <v>118.060121925624</v>
      </c>
      <c r="BK51" s="13" t="n">
        <f aca="false">BK38*BK40*(1000*Inputs!$F$123/Inputs!$F$124)*BK41/1000000</f>
        <v>114.882127395559</v>
      </c>
      <c r="BL51" s="13" t="n">
        <f aca="false">BL38*BL40*(1000*Inputs!$F$123/Inputs!$F$124)*BL41/1000000</f>
        <v>115.949510089741</v>
      </c>
      <c r="BM51" s="13" t="n">
        <f aca="false">BM38*BM40*(1000*Inputs!$F$123/Inputs!$F$124)*BM41/1000000</f>
        <v>123.845562492629</v>
      </c>
      <c r="BN51" s="13" t="n">
        <f aca="false">BN38*BN40*(1000*Inputs!$F$123/Inputs!$F$124)*BN41/1000000</f>
        <v>103.177139822621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696.384199649914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0</v>
      </c>
      <c r="P52" s="13" t="n">
        <f aca="false">Inputs!$F$146*Time!P31*Inputs!$F$147*(1+Inputs!$F$149/100)^(Time!P26-Inputs!$F$256)/1000000</f>
        <v>1.93945105246375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16.4303479493762</v>
      </c>
      <c r="BN52" s="13" t="n">
        <f aca="false">Inputs!$F$146*Time!BN31*Inputs!$F$147*(1+Inputs!$F$149/100)^(Time!BN26-Inputs!$F$256)/1000000</f>
        <v>13.8886366643899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146.656070080484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</v>
      </c>
      <c r="P53" s="13" t="n">
        <f aca="false">P42*Inputs!$F$148*(1+Inputs!$F$149/100)^(Time!P26-Inputs!$F$256)/1000000</f>
        <v>0.408123661554118</v>
      </c>
      <c r="Q53" s="13" t="n">
        <f aca="false">Q42*Inputs!$F$148*(1+Inputs!$F$149/100)^(Time!Q26-Inputs!$F$256)/1000000</f>
        <v>2.48525512791559</v>
      </c>
      <c r="R53" s="13" t="n">
        <f aca="false">R42*Inputs!$F$148*(1+Inputs!$F$149/100)^(Time!R26-Inputs!$F$256)/1000000</f>
        <v>2.48090600430225</v>
      </c>
      <c r="S53" s="13" t="n">
        <f aca="false">S42*Inputs!$F$148*(1+Inputs!$F$149/100)^(Time!S26-Inputs!$F$256)/1000000</f>
        <v>2.497573467346</v>
      </c>
      <c r="T53" s="13" t="n">
        <f aca="false">T42*Inputs!$F$148*(1+Inputs!$F$149/100)^(Time!T26-Inputs!$F$256)/1000000</f>
        <v>2.50122362313011</v>
      </c>
      <c r="U53" s="13" t="n">
        <f aca="false">U42*Inputs!$F$148*(1+Inputs!$F$149/100)^(Time!U26-Inputs!$F$256)/1000000</f>
        <v>2.55881100499938</v>
      </c>
      <c r="V53" s="13" t="n">
        <f aca="false">V42*Inputs!$F$148*(1+Inputs!$F$149/100)^(Time!V26-Inputs!$F$256)/1000000</f>
        <v>2.54386822339043</v>
      </c>
      <c r="W53" s="13" t="n">
        <f aca="false">W42*Inputs!$F$148*(1+Inputs!$F$149/100)^(Time!W26-Inputs!$F$256)/1000000</f>
        <v>2.50781084790856</v>
      </c>
      <c r="X53" s="13" t="n">
        <f aca="false">X42*Inputs!$F$148*(1+Inputs!$F$149/100)^(Time!X26-Inputs!$F$256)/1000000</f>
        <v>2.52217847175019</v>
      </c>
      <c r="Y53" s="13" t="n">
        <f aca="false">Y42*Inputs!$F$148*(1+Inputs!$F$149/100)^(Time!Y26-Inputs!$F$256)/1000000</f>
        <v>2.63450494093857</v>
      </c>
      <c r="Z53" s="13" t="n">
        <f aca="false">Z42*Inputs!$F$148*(1+Inputs!$F$149/100)^(Time!Z26-Inputs!$F$256)/1000000</f>
        <v>2.62987518031242</v>
      </c>
      <c r="AA53" s="13" t="n">
        <f aca="false">AA42*Inputs!$F$148*(1+Inputs!$F$149/100)^(Time!AA26-Inputs!$F$256)/1000000</f>
        <v>2.64752386869151</v>
      </c>
      <c r="AB53" s="13" t="n">
        <f aca="false">AB42*Inputs!$F$148*(1+Inputs!$F$149/100)^(Time!AB26-Inputs!$F$256)/1000000</f>
        <v>2.65137354269658</v>
      </c>
      <c r="AC53" s="13" t="n">
        <f aca="false">AC42*Inputs!$F$148*(1+Inputs!$F$149/100)^(Time!AC26-Inputs!$F$256)/1000000</f>
        <v>2.71239783620011</v>
      </c>
      <c r="AD53" s="13" t="n">
        <f aca="false">AD42*Inputs!$F$148*(1+Inputs!$F$149/100)^(Time!AD26-Inputs!$F$256)/1000000</f>
        <v>2.68738265503187</v>
      </c>
      <c r="AE53" s="13" t="n">
        <f aca="false">AE42*Inputs!$F$148*(1+Inputs!$F$149/100)^(Time!AE26-Inputs!$F$256)/1000000</f>
        <v>2.60254914615226</v>
      </c>
      <c r="AF53" s="13" t="n">
        <f aca="false">AF42*Inputs!$F$148*(1+Inputs!$F$149/100)^(Time!AF26-Inputs!$F$256)/1000000</f>
        <v>2.62705804114404</v>
      </c>
      <c r="AG53" s="13" t="n">
        <f aca="false">AG42*Inputs!$F$148*(1+Inputs!$F$149/100)^(Time!AG26-Inputs!$F$256)/1000000</f>
        <v>2.79255228475565</v>
      </c>
      <c r="AH53" s="13" t="n">
        <f aca="false">AH42*Inputs!$F$148*(1+Inputs!$F$149/100)^(Time!AH26-Inputs!$F$256)/1000000</f>
        <v>2.78762407981226</v>
      </c>
      <c r="AI53" s="13" t="n">
        <f aca="false">AI42*Inputs!$F$148*(1+Inputs!$F$149/100)^(Time!AI26-Inputs!$F$256)/1000000</f>
        <v>2.80631054898283</v>
      </c>
      <c r="AJ53" s="13" t="n">
        <f aca="false">AJ42*Inputs!$F$148*(1+Inputs!$F$149/100)^(Time!AJ26-Inputs!$F$256)/1000000</f>
        <v>2.81037022112372</v>
      </c>
      <c r="AK53" s="13" t="n">
        <f aca="false">AK42*Inputs!$F$148*(1+Inputs!$F$149/100)^(Time!AK26-Inputs!$F$256)/1000000</f>
        <v>2.87503261976931</v>
      </c>
      <c r="AL53" s="13" t="n">
        <f aca="false">AL42*Inputs!$F$148*(1+Inputs!$F$149/100)^(Time!AL26-Inputs!$F$256)/1000000</f>
        <v>2.85820074000908</v>
      </c>
      <c r="AM53" s="13" t="n">
        <f aca="false">AM42*Inputs!$F$148*(1+Inputs!$F$149/100)^(Time!AM26-Inputs!$F$256)/1000000</f>
        <v>2.81764607762169</v>
      </c>
      <c r="AN53" s="13" t="n">
        <f aca="false">AN42*Inputs!$F$148*(1+Inputs!$F$149/100)^(Time!AN26-Inputs!$F$256)/1000000</f>
        <v>2.83374666894219</v>
      </c>
      <c r="AO53" s="13" t="n">
        <f aca="false">AO42*Inputs!$F$148*(1+Inputs!$F$149/100)^(Time!AO26-Inputs!$F$256)/1000000</f>
        <v>2.95990496046848</v>
      </c>
      <c r="AP53" s="13" t="n">
        <f aca="false">AP42*Inputs!$F$148*(1+Inputs!$F$149/100)^(Time!AP26-Inputs!$F$256)/1000000</f>
        <v>2.95465939102487</v>
      </c>
      <c r="AQ53" s="13" t="n">
        <f aca="false">AQ42*Inputs!$F$148*(1+Inputs!$F$149/100)^(Time!AQ26-Inputs!$F$256)/1000000</f>
        <v>2.97444337464817</v>
      </c>
      <c r="AR53" s="13" t="n">
        <f aca="false">AR42*Inputs!$F$148*(1+Inputs!$F$149/100)^(Time!AR26-Inputs!$F$256)/1000000</f>
        <v>2.97872404366323</v>
      </c>
      <c r="AS53" s="13" t="n">
        <f aca="false">AS42*Inputs!$F$148*(1+Inputs!$F$149/100)^(Time!AS26-Inputs!$F$256)/1000000</f>
        <v>3.04723726022646</v>
      </c>
      <c r="AT53" s="13" t="n">
        <f aca="false">AT42*Inputs!$F$148*(1+Inputs!$F$149/100)^(Time!AT26-Inputs!$F$256)/1000000</f>
        <v>3.01908899731821</v>
      </c>
      <c r="AU53" s="13" t="n">
        <f aca="false">AU42*Inputs!$F$148*(1+Inputs!$F$149/100)^(Time!AU26-Inputs!$F$256)/1000000</f>
        <v>2.92374078898384</v>
      </c>
      <c r="AV53" s="13" t="n">
        <f aca="false">AV42*Inputs!$F$148*(1+Inputs!$F$149/100)^(Time!AV26-Inputs!$F$256)/1000000</f>
        <v>2.95123038418024</v>
      </c>
      <c r="AW53" s="13" t="n">
        <f aca="false">AW42*Inputs!$F$148*(1+Inputs!$F$149/100)^(Time!AW26-Inputs!$F$256)/1000000</f>
        <v>3.1370993558864</v>
      </c>
      <c r="AX53" s="13" t="n">
        <f aca="false">AX42*Inputs!$F$148*(1+Inputs!$F$149/100)^(Time!AX26-Inputs!$F$256)/1000000</f>
        <v>3.13151632032495</v>
      </c>
      <c r="AY53" s="13" t="n">
        <f aca="false">AY42*Inputs!$F$148*(1+Inputs!$F$149/100)^(Time!AY26-Inputs!$F$256)/1000000</f>
        <v>3.15246090319439</v>
      </c>
      <c r="AZ53" s="13" t="n">
        <f aca="false">AZ42*Inputs!$F$148*(1+Inputs!$F$149/100)^(Time!AZ26-Inputs!$F$256)/1000000</f>
        <v>3.15697410987151</v>
      </c>
      <c r="BA53" s="13" t="n">
        <f aca="false">BA42*Inputs!$F$148*(1+Inputs!$F$149/100)^(Time!BA26-Inputs!$F$256)/1000000</f>
        <v>3.22956301835661</v>
      </c>
      <c r="BB53" s="13" t="n">
        <f aca="false">BB42*Inputs!$F$148*(1+Inputs!$F$149/100)^(Time!BB26-Inputs!$F$256)/1000000</f>
        <v>3.21060747350747</v>
      </c>
      <c r="BC53" s="13" t="n">
        <f aca="false">BC42*Inputs!$F$148*(1+Inputs!$F$149/100)^(Time!BC26-Inputs!$F$256)/1000000</f>
        <v>3.16500514592022</v>
      </c>
      <c r="BD53" s="13" t="n">
        <f aca="false">BD42*Inputs!$F$148*(1+Inputs!$F$149/100)^(Time!BD26-Inputs!$F$256)/1000000</f>
        <v>3.18304291179991</v>
      </c>
      <c r="BE53" s="13" t="n">
        <f aca="false">BE42*Inputs!$F$148*(1+Inputs!$F$149/100)^(Time!BE26-Inputs!$F$256)/1000000</f>
        <v>3.32470200450799</v>
      </c>
      <c r="BF53" s="13" t="n">
        <f aca="false">BF42*Inputs!$F$148*(1+Inputs!$F$149/100)^(Time!BF26-Inputs!$F$256)/1000000</f>
        <v>3.31876014705678</v>
      </c>
      <c r="BG53" s="13" t="n">
        <f aca="false">BG42*Inputs!$F$148*(1+Inputs!$F$149/100)^(Time!BG26-Inputs!$F$256)/1000000</f>
        <v>3.34093194702467</v>
      </c>
      <c r="BH53" s="13" t="n">
        <f aca="false">BH42*Inputs!$F$148*(1+Inputs!$F$149/100)^(Time!BH26-Inputs!$F$256)/1000000</f>
        <v>3.3456897982637</v>
      </c>
      <c r="BI53" s="13" t="n">
        <f aca="false">BI42*Inputs!$F$148*(1+Inputs!$F$149/100)^(Time!BI26-Inputs!$F$256)/1000000</f>
        <v>3.42259211040503</v>
      </c>
      <c r="BJ53" s="13" t="n">
        <f aca="false">BJ42*Inputs!$F$148*(1+Inputs!$F$149/100)^(Time!BJ26-Inputs!$F$256)/1000000</f>
        <v>3.39092559535138</v>
      </c>
      <c r="BK53" s="13" t="n">
        <f aca="false">BK42*Inputs!$F$148*(1+Inputs!$F$149/100)^(Time!BK26-Inputs!$F$256)/1000000</f>
        <v>3.28378472419834</v>
      </c>
      <c r="BL53" s="13" t="n">
        <f aca="false">BL42*Inputs!$F$148*(1+Inputs!$F$149/100)^(Time!BL26-Inputs!$F$256)/1000000</f>
        <v>3.3146096324957</v>
      </c>
      <c r="BM53" s="13" t="n">
        <f aca="false">BM42*Inputs!$F$148*(1+Inputs!$F$149/100)^(Time!BM26-Inputs!$F$256)/1000000</f>
        <v>3.5233112259024</v>
      </c>
      <c r="BN53" s="13" t="n">
        <f aca="false">BN42*Inputs!$F$148*(1+Inputs!$F$149/100)^(Time!BN26-Inputs!$F$256)/1000000</f>
        <v>2.93556557142191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3839.0051927958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0</v>
      </c>
      <c r="P55" s="13" t="n">
        <f aca="false">P48+P50</f>
        <v>11.2348785631155</v>
      </c>
      <c r="Q55" s="13" t="n">
        <f aca="false">Q48+Q50</f>
        <v>68.0522180443566</v>
      </c>
      <c r="R55" s="13" t="n">
        <f aca="false">R48+R50</f>
        <v>68.5167235332343</v>
      </c>
      <c r="S55" s="13" t="n">
        <f aca="false">S48+S50</f>
        <v>68.7576465297807</v>
      </c>
      <c r="T55" s="13" t="n">
        <f aca="false">T48+T50</f>
        <v>69.0779582059998</v>
      </c>
      <c r="U55" s="13" t="n">
        <f aca="false">U48+U50</f>
        <v>69.4539688044089</v>
      </c>
      <c r="V55" s="13" t="n">
        <f aca="false">V48+V50</f>
        <v>69.7219858346872</v>
      </c>
      <c r="W55" s="13" t="n">
        <f aca="false">W48+W50</f>
        <v>69.8032503933501</v>
      </c>
      <c r="X55" s="13" t="n">
        <f aca="false">X48+X50</f>
        <v>70.1697611724665</v>
      </c>
      <c r="Y55" s="13" t="n">
        <f aca="false">Y48+Y50</f>
        <v>70.733710747286</v>
      </c>
      <c r="Z55" s="13" t="n">
        <f aca="false">Z48+Z50</f>
        <v>71.0485581940756</v>
      </c>
      <c r="AA55" s="13" t="n">
        <f aca="false">AA48+AA50</f>
        <v>71.3112452264068</v>
      </c>
      <c r="AB55" s="13" t="n">
        <f aca="false">AB48+AB50</f>
        <v>71.6600358945267</v>
      </c>
      <c r="AC55" s="13" t="n">
        <f aca="false">AC48+AC50</f>
        <v>72.0692405786828</v>
      </c>
      <c r="AD55" s="13" t="n">
        <f aca="false">AD48+AD50</f>
        <v>72.3312116729259</v>
      </c>
      <c r="AE55" s="13" t="n">
        <f aca="false">AE48+AE50</f>
        <v>71.3476017314656</v>
      </c>
      <c r="AF55" s="13" t="n">
        <f aca="false">AF48+AF50</f>
        <v>72.3761415232954</v>
      </c>
      <c r="AG55" s="13" t="n">
        <f aca="false">AG48+AG50</f>
        <v>73.4629892485077</v>
      </c>
      <c r="AH55" s="13" t="n">
        <f aca="false">AH48+AH50</f>
        <v>73.8059496699605</v>
      </c>
      <c r="AI55" s="13" t="n">
        <f aca="false">AI48+AI50</f>
        <v>74.0923667255847</v>
      </c>
      <c r="AJ55" s="13" t="n">
        <f aca="false">AJ48+AJ50</f>
        <v>74.4721671314209</v>
      </c>
      <c r="AK55" s="13" t="n">
        <f aca="false">AK48+AK50</f>
        <v>74.9174935888819</v>
      </c>
      <c r="AL55" s="13" t="n">
        <f aca="false">AL48+AL50</f>
        <v>75.2358715211768</v>
      </c>
      <c r="AM55" s="13" t="n">
        <f aca="false">AM48+AM50</f>
        <v>75.3346992957725</v>
      </c>
      <c r="AN55" s="13" t="n">
        <f aca="false">AN48+AN50</f>
        <v>75.7689597095761</v>
      </c>
      <c r="AO55" s="13" t="n">
        <f aca="false">AO48+AO50</f>
        <v>76.4354009238407</v>
      </c>
      <c r="AP55" s="13" t="n">
        <f aca="false">AP48+AP50</f>
        <v>76.8089836859784</v>
      </c>
      <c r="AQ55" s="13" t="n">
        <f aca="false">AQ48+AQ50</f>
        <v>77.1212743356348</v>
      </c>
      <c r="AR55" s="13" t="n">
        <f aca="false">AR48+AR50</f>
        <v>77.5348399925992</v>
      </c>
      <c r="AS55" s="13" t="n">
        <f aca="false">AS48+AS50</f>
        <v>78.0194738796281</v>
      </c>
      <c r="AT55" s="13" t="n">
        <f aca="false">AT48+AT50</f>
        <v>78.3310359502885</v>
      </c>
      <c r="AU55" s="13" t="n">
        <f aca="false">AU48+AU50</f>
        <v>77.2750556751175</v>
      </c>
      <c r="AV55" s="13" t="n">
        <f aca="false">AV48+AV50</f>
        <v>78.4246107797429</v>
      </c>
      <c r="AW55" s="13" t="n">
        <f aca="false">AW48+AW50</f>
        <v>79.6725954043094</v>
      </c>
      <c r="AX55" s="13" t="n">
        <f aca="false">AX48+AX50</f>
        <v>80.0795337793491</v>
      </c>
      <c r="AY55" s="13" t="n">
        <f aca="false">AY48+AY50</f>
        <v>80.4200352169482</v>
      </c>
      <c r="AZ55" s="13" t="n">
        <f aca="false">AZ48+AZ50</f>
        <v>80.8703663572263</v>
      </c>
      <c r="BA55" s="13" t="n">
        <f aca="false">BA48+BA50</f>
        <v>81.3977740058056</v>
      </c>
      <c r="BB55" s="13" t="n">
        <f aca="false">BB48+BB50</f>
        <v>81.7759743752507</v>
      </c>
      <c r="BC55" s="13" t="n">
        <f aca="false">BC48+BC50</f>
        <v>81.8961064355327</v>
      </c>
      <c r="BD55" s="13" t="n">
        <f aca="false">BD48+BD50</f>
        <v>82.410629673341</v>
      </c>
      <c r="BE55" s="13" t="n">
        <f aca="false">BE48+BE50</f>
        <v>83.1981492178495</v>
      </c>
      <c r="BF55" s="13" t="n">
        <f aca="false">BF48+BF50</f>
        <v>83.6414203555368</v>
      </c>
      <c r="BG55" s="13" t="n">
        <f aca="false">BG48+BG50</f>
        <v>84.0126808868156</v>
      </c>
      <c r="BH55" s="13" t="n">
        <f aca="false">BH48+BH50</f>
        <v>84.5030441824108</v>
      </c>
      <c r="BI55" s="13" t="n">
        <f aca="false">BI48+BI50</f>
        <v>85.0769973037753</v>
      </c>
      <c r="BJ55" s="13" t="n">
        <f aca="false">BJ48+BJ50</f>
        <v>85.447537697702</v>
      </c>
      <c r="BK55" s="13" t="n">
        <f aca="false">BK48+BK50</f>
        <v>84.3062814350872</v>
      </c>
      <c r="BL55" s="13" t="n">
        <f aca="false">BL48+BL50</f>
        <v>85.5993815742534</v>
      </c>
      <c r="BM55" s="13" t="n">
        <f aca="false">BM48+BM50</f>
        <v>87.0377372084862</v>
      </c>
      <c r="BN55" s="13" t="n">
        <f aca="false">BN48+BN50</f>
        <v>72.9516389223489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9570.90091714552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0</v>
      </c>
      <c r="P56" s="13" t="n">
        <f aca="false">P55+P51+P52+P53+P54</f>
        <v>26.3298890364541</v>
      </c>
      <c r="Q56" s="13" t="n">
        <f aca="false">Q55+Q51+Q52+Q53+Q54</f>
        <v>160.034139899688</v>
      </c>
      <c r="R56" s="13" t="n">
        <f aca="false">R55+R51+R52+R53+R54</f>
        <v>160.54052132077</v>
      </c>
      <c r="S56" s="13" t="n">
        <f aca="false">S55+S51+S52+S53+S54</f>
        <v>161.681350498868</v>
      </c>
      <c r="T56" s="13" t="n">
        <f aca="false">T55+T51+T52+T53+T54</f>
        <v>162.305920516528</v>
      </c>
      <c r="U56" s="13" t="n">
        <f aca="false">U55+U51+U52+U53+U54</f>
        <v>164.991766558551</v>
      </c>
      <c r="V56" s="13" t="n">
        <f aca="false">V55+V51+V52+V53+V54</f>
        <v>164.894226798286</v>
      </c>
      <c r="W56" s="13" t="n">
        <f aca="false">W55+W51+W52+W53+W54</f>
        <v>164.161917098223</v>
      </c>
      <c r="X56" s="13" t="n">
        <f aca="false">X55+X51+X52+X53+X54</f>
        <v>165.19140593176</v>
      </c>
      <c r="Y56" s="13" t="n">
        <f aca="false">Y55+Y51+Y52+Y53+Y54</f>
        <v>169.828870214584</v>
      </c>
      <c r="Z56" s="13" t="n">
        <f aca="false">Z55+Z51+Z52+Z53+Z54</f>
        <v>170.184877726322</v>
      </c>
      <c r="AA56" s="13" t="n">
        <f aca="false">AA55+AA51+AA52+AA53+AA54</f>
        <v>171.419099929366</v>
      </c>
      <c r="AB56" s="13" t="n">
        <f aca="false">AB55+AB51+AB52+AB53+AB54</f>
        <v>172.092260696225</v>
      </c>
      <c r="AC56" s="13" t="n">
        <f aca="false">AC55+AC51+AC52+AC53+AC54</f>
        <v>174.993943148544</v>
      </c>
      <c r="AD56" s="13" t="n">
        <f aca="false">AD55+AD51+AD52+AD53+AD54</f>
        <v>174.553552975917</v>
      </c>
      <c r="AE56" s="13" t="n">
        <f aca="false">AE55+AE51+AE52+AE53+AE54</f>
        <v>171.132152944879</v>
      </c>
      <c r="AF56" s="13" t="n">
        <f aca="false">AF55+AF51+AF52+AF53+AF54</f>
        <v>173.18330983041</v>
      </c>
      <c r="AG56" s="13" t="n">
        <f aca="false">AG55+AG51+AG52+AG53+AG54</f>
        <v>180.220875991035</v>
      </c>
      <c r="AH56" s="13" t="n">
        <f aca="false">AH55+AH51+AH52+AH53+AH54</f>
        <v>180.603968525443</v>
      </c>
      <c r="AI56" s="13" t="n">
        <f aca="false">AI55+AI51+AI52+AI53+AI54</f>
        <v>181.939192069754</v>
      </c>
      <c r="AJ56" s="13" t="n">
        <f aca="false">AJ55+AJ51+AJ52+AJ53+AJ54</f>
        <v>182.664803652223</v>
      </c>
      <c r="AK56" s="13" t="n">
        <f aca="false">AK55+AK51+AK52+AK53+AK54</f>
        <v>185.799587406471</v>
      </c>
      <c r="AL56" s="13" t="n">
        <f aca="false">AL55+AL51+AL52+AL53+AL54</f>
        <v>185.68553396896</v>
      </c>
      <c r="AM56" s="13" t="n">
        <f aca="false">AM55+AM51+AM52+AM53+AM54</f>
        <v>184.836148128935</v>
      </c>
      <c r="AN56" s="13" t="n">
        <f aca="false">AN55+AN51+AN52+AN53+AN54</f>
        <v>186.034027934379</v>
      </c>
      <c r="AO56" s="13" t="n">
        <f aca="false">AO55+AO51+AO52+AO53+AO54</f>
        <v>191.447783918193</v>
      </c>
      <c r="AP56" s="13" t="n">
        <f aca="false">AP55+AP51+AP52+AP53+AP54</f>
        <v>191.860117852657</v>
      </c>
      <c r="AQ56" s="13" t="n">
        <f aca="false">AQ55+AQ51+AQ52+AQ53+AQ54</f>
        <v>193.304567889617</v>
      </c>
      <c r="AR56" s="13" t="n">
        <f aca="false">AR55+AR51+AR52+AR53+AR54</f>
        <v>194.086802442345</v>
      </c>
      <c r="AS56" s="13" t="n">
        <f aca="false">AS55+AS51+AS52+AS53+AS54</f>
        <v>197.473325643828</v>
      </c>
      <c r="AT56" s="13" t="n">
        <f aca="false">AT55+AT51+AT52+AT53+AT54</f>
        <v>196.959586794027</v>
      </c>
      <c r="AU56" s="13" t="n">
        <f aca="false">AU55+AU51+AU52+AU53+AU54</f>
        <v>193.062672572373</v>
      </c>
      <c r="AV56" s="13" t="n">
        <f aca="false">AV55+AV51+AV52+AV53+AV54</f>
        <v>195.394342843561</v>
      </c>
      <c r="AW56" s="13" t="n">
        <f aca="false">AW55+AW51+AW52+AW53+AW54</f>
        <v>203.576753520325</v>
      </c>
      <c r="AX56" s="13" t="n">
        <f aca="false">AX55+AX51+AX52+AX53+AX54</f>
        <v>204.02066397158</v>
      </c>
      <c r="AY56" s="13" t="n">
        <f aca="false">AY55+AY51+AY52+AY53+AY54</f>
        <v>205.583232255386</v>
      </c>
      <c r="AZ56" s="13" t="n">
        <f aca="false">AZ55+AZ51+AZ52+AZ53+AZ54</f>
        <v>206.42659961915</v>
      </c>
      <c r="BA56" s="13" t="n">
        <f aca="false">BA55+BA51+BA52+BA53+BA54</f>
        <v>210.084982159636</v>
      </c>
      <c r="BB56" s="13" t="n">
        <f aca="false">BB55+BB51+BB52+BB53+BB54</f>
        <v>209.95205136483</v>
      </c>
      <c r="BC56" s="13" t="n">
        <f aca="false">BC55+BC51+BC52+BC53+BC54</f>
        <v>208.967167802994</v>
      </c>
      <c r="BD56" s="13" t="n">
        <f aca="false">BD55+BD51+BD52+BD53+BD54</f>
        <v>210.361282822524</v>
      </c>
      <c r="BE56" s="13" t="n">
        <f aca="false">BE55+BE51+BE52+BE53+BE54</f>
        <v>216.680346133196</v>
      </c>
      <c r="BF56" s="13" t="n">
        <f aca="false">BF55+BF51+BF52+BF53+BF54</f>
        <v>217.158362263893</v>
      </c>
      <c r="BG56" s="13" t="n">
        <f aca="false">BG55+BG51+BG52+BG53+BG54</f>
        <v>218.848660914999</v>
      </c>
      <c r="BH56" s="13" t="n">
        <f aca="false">BH55+BH51+BH52+BH53+BH54</f>
        <v>219.758036338403</v>
      </c>
      <c r="BI56" s="13" t="n">
        <f aca="false">BI55+BI51+BI52+BI53+BI54</f>
        <v>223.709996851644</v>
      </c>
      <c r="BJ56" s="13" t="n">
        <f aca="false">BJ55+BJ51+BJ52+BJ53+BJ54</f>
        <v>223.111232124433</v>
      </c>
      <c r="BK56" s="13" t="n">
        <f aca="false">BK55+BK51+BK52+BK53+BK54</f>
        <v>218.659728480338</v>
      </c>
      <c r="BL56" s="13" t="n">
        <f aca="false">BL55+BL51+BL52+BL53+BL54</f>
        <v>221.319337905832</v>
      </c>
      <c r="BM56" s="13" t="n">
        <f aca="false">BM55+BM51+BM52+BM53+BM54</f>
        <v>230.836958876394</v>
      </c>
      <c r="BN56" s="13" t="n">
        <f aca="false">BN55+BN51+BN52+BN53+BN54</f>
        <v>192.952980980782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290.923305577754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0</v>
      </c>
      <c r="P60" s="13" t="n">
        <f aca="false">Inputs!$F$151*(Inputs!$F$152*P21+(1-Inputs!$F$152)*P27*Inputs!$F$153/P11)*Time!P30/12*Inputs!$F$40</f>
        <v>0.72246776496267</v>
      </c>
      <c r="Q60" s="13" t="n">
        <f aca="false">Inputs!$F$151*(Inputs!$F$152*Q21+(1-Inputs!$F$152)*Q27*Inputs!$F$153/Q11)*Time!Q30/12*Inputs!$F$40</f>
        <v>4.4104755186278</v>
      </c>
      <c r="R60" s="13" t="n">
        <f aca="false">Inputs!$F$151*(Inputs!$F$152*R21+(1-Inputs!$F$152)*R27*Inputs!$F$153/R11)*Time!R30/12*Inputs!$F$40</f>
        <v>4.45872681098812</v>
      </c>
      <c r="S60" s="13" t="n">
        <f aca="false">Inputs!$F$151*(Inputs!$F$152*S21+(1-Inputs!$F$152)*S27*Inputs!$F$153/S11)*Time!S30/12*Inputs!$F$40</f>
        <v>4.50750598003761</v>
      </c>
      <c r="T60" s="13" t="n">
        <f aca="false">Inputs!$F$151*(Inputs!$F$152*T21+(1-Inputs!$F$152)*T27*Inputs!$F$153/T11)*Time!T30/12*Inputs!$F$40</f>
        <v>4.55681880082986</v>
      </c>
      <c r="U60" s="13" t="n">
        <f aca="false">Inputs!$F$151*(Inputs!$F$152*U21+(1-Inputs!$F$152)*U27*Inputs!$F$153/U11)*Time!U30/12*Inputs!$F$40</f>
        <v>4.60667111159844</v>
      </c>
      <c r="V60" s="13" t="n">
        <f aca="false">Inputs!$F$151*(Inputs!$F$152*V21+(1-Inputs!$F$152)*V27*Inputs!$F$153/V11)*Time!V30/12*Inputs!$F$40</f>
        <v>4.65706881444811</v>
      </c>
      <c r="W60" s="13" t="n">
        <f aca="false">Inputs!$F$151*(Inputs!$F$152*W21+(1-Inputs!$F$152)*W27*Inputs!$F$153/W11)*Time!W30/12*Inputs!$F$40</f>
        <v>4.7080178760536</v>
      </c>
      <c r="X60" s="13" t="n">
        <f aca="false">Inputs!$F$151*(Inputs!$F$152*X21+(1-Inputs!$F$152)*X27*Inputs!$F$153/X11)*Time!X30/12*Inputs!$F$40</f>
        <v>4.75952432836597</v>
      </c>
      <c r="Y60" s="13" t="n">
        <f aca="false">Inputs!$F$151*(Inputs!$F$152*Y21+(1-Inputs!$F$152)*Y27*Inputs!$F$153/Y11)*Time!Y30/12*Inputs!$F$40</f>
        <v>4.81159426932678</v>
      </c>
      <c r="Z60" s="13" t="n">
        <f aca="false">Inputs!$F$151*(Inputs!$F$152*Z21+(1-Inputs!$F$152)*Z27*Inputs!$F$153/Z11)*Time!Z30/12*Inputs!$F$40</f>
        <v>4.86423386359002</v>
      </c>
      <c r="AA60" s="13" t="n">
        <f aca="false">Inputs!$F$151*(Inputs!$F$152*AA21+(1-Inputs!$F$152)*AA27*Inputs!$F$153/AA11)*Time!AA30/12*Inputs!$F$40</f>
        <v>4.91744934325197</v>
      </c>
      <c r="AB60" s="13" t="n">
        <f aca="false">Inputs!$F$151*(Inputs!$F$152*AB21+(1-Inputs!$F$152)*AB27*Inputs!$F$153/AB11)*Time!AB30/12*Inputs!$F$40</f>
        <v>4.971247008589</v>
      </c>
      <c r="AC60" s="13" t="n">
        <f aca="false">Inputs!$F$151*(Inputs!$F$152*AC21+(1-Inputs!$F$152)*AC27*Inputs!$F$153/AC11)*Time!AC30/12*Inputs!$F$40</f>
        <v>5.02563322880351</v>
      </c>
      <c r="AD60" s="13" t="n">
        <f aca="false">Inputs!$F$151*(Inputs!$F$152*AD21+(1-Inputs!$F$152)*AD27*Inputs!$F$153/AD11)*Time!AD30/12*Inputs!$F$40</f>
        <v>5.08061444277796</v>
      </c>
      <c r="AE60" s="13" t="n">
        <f aca="false">Inputs!$F$151*(Inputs!$F$152*AE21+(1-Inputs!$F$152)*AE27*Inputs!$F$153/AE11)*Time!AE30/12*Inputs!$F$40</f>
        <v>5.13619715983719</v>
      </c>
      <c r="AF60" s="13" t="n">
        <f aca="false">Inputs!$F$151*(Inputs!$F$152*AF21+(1-Inputs!$F$152)*AF27*Inputs!$F$153/AF11)*Time!AF30/12*Inputs!$F$40</f>
        <v>5.19238796051908</v>
      </c>
      <c r="AG60" s="13" t="n">
        <f aca="false">Inputs!$F$151*(Inputs!$F$152*AG21+(1-Inputs!$F$152)*AG27*Inputs!$F$153/AG11)*Time!AG30/12*Inputs!$F$40</f>
        <v>5.24919349735361</v>
      </c>
      <c r="AH60" s="13" t="n">
        <f aca="false">Inputs!$F$151*(Inputs!$F$152*AH21+(1-Inputs!$F$152)*AH27*Inputs!$F$153/AH11)*Time!AH30/12*Inputs!$F$40</f>
        <v>5.30662049565049</v>
      </c>
      <c r="AI60" s="13" t="n">
        <f aca="false">Inputs!$F$151*(Inputs!$F$152*AI21+(1-Inputs!$F$152)*AI27*Inputs!$F$153/AI11)*Time!AI30/12*Inputs!$F$40</f>
        <v>5.36467575429539</v>
      </c>
      <c r="AJ60" s="13" t="n">
        <f aca="false">Inputs!$F$151*(Inputs!$F$152*AJ21+(1-Inputs!$F$152)*AJ27*Inputs!$F$153/AJ11)*Time!AJ30/12*Inputs!$F$40</f>
        <v>5.42336614655481</v>
      </c>
      <c r="AK60" s="13" t="n">
        <f aca="false">Inputs!$F$151*(Inputs!$F$152*AK21+(1-Inputs!$F$152)*AK27*Inputs!$F$153/AK11)*Time!AK30/12*Inputs!$F$40</f>
        <v>5.48269862088988</v>
      </c>
      <c r="AL60" s="13" t="n">
        <f aca="false">Inputs!$F$151*(Inputs!$F$152*AL21+(1-Inputs!$F$152)*AL27*Inputs!$F$153/AL11)*Time!AL30/12*Inputs!$F$40</f>
        <v>5.54268020177901</v>
      </c>
      <c r="AM60" s="13" t="n">
        <f aca="false">Inputs!$F$151*(Inputs!$F$152*AM21+(1-Inputs!$F$152)*AM27*Inputs!$F$153/AM11)*Time!AM30/12*Inputs!$F$40</f>
        <v>5.60331799054946</v>
      </c>
      <c r="AN60" s="13" t="n">
        <f aca="false">Inputs!$F$151*(Inputs!$F$152*AN21+(1-Inputs!$F$152)*AN27*Inputs!$F$153/AN11)*Time!AN30/12*Inputs!$F$40</f>
        <v>5.66461916621815</v>
      </c>
      <c r="AO60" s="13" t="n">
        <f aca="false">Inputs!$F$151*(Inputs!$F$152*AO21+(1-Inputs!$F$152)*AO27*Inputs!$F$153/AO11)*Time!AO30/12*Inputs!$F$40</f>
        <v>5.72659098634155</v>
      </c>
      <c r="AP60" s="13" t="n">
        <f aca="false">Inputs!$F$151*(Inputs!$F$152*AP21+(1-Inputs!$F$152)*AP27*Inputs!$F$153/AP11)*Time!AP30/12*Inputs!$F$40</f>
        <v>5.78924078787495</v>
      </c>
      <c r="AQ60" s="13" t="n">
        <f aca="false">Inputs!$F$151*(Inputs!$F$152*AQ21+(1-Inputs!$F$152)*AQ27*Inputs!$F$153/AQ11)*Time!AQ30/12*Inputs!$F$40</f>
        <v>5.85257598804106</v>
      </c>
      <c r="AR60" s="13" t="n">
        <f aca="false">Inputs!$F$151*(Inputs!$F$152*AR21+(1-Inputs!$F$152)*AR27*Inputs!$F$153/AR11)*Time!AR30/12*Inputs!$F$40</f>
        <v>5.9166040852082</v>
      </c>
      <c r="AS60" s="13" t="n">
        <f aca="false">Inputs!$F$151*(Inputs!$F$152*AS21+(1-Inputs!$F$152)*AS27*Inputs!$F$153/AS11)*Time!AS30/12*Inputs!$F$40</f>
        <v>5.98133265977797</v>
      </c>
      <c r="AT60" s="13" t="n">
        <f aca="false">Inputs!$F$151*(Inputs!$F$152*AT21+(1-Inputs!$F$152)*AT27*Inputs!$F$153/AT11)*Time!AT30/12*Inputs!$F$40</f>
        <v>6.04676937508278</v>
      </c>
      <c r="AU60" s="13" t="n">
        <f aca="false">Inputs!$F$151*(Inputs!$F$152*AU21+(1-Inputs!$F$152)*AU27*Inputs!$F$153/AU11)*Time!AU30/12*Inputs!$F$40</f>
        <v>6.11292197829308</v>
      </c>
      <c r="AV60" s="13" t="n">
        <f aca="false">Inputs!$F$151*(Inputs!$F$152*AV21+(1-Inputs!$F$152)*AV27*Inputs!$F$153/AV11)*Time!AV30/12*Inputs!$F$40</f>
        <v>6.1797983013346</v>
      </c>
      <c r="AW60" s="13" t="n">
        <f aca="false">Inputs!$F$151*(Inputs!$F$152*AW21+(1-Inputs!$F$152)*AW27*Inputs!$F$153/AW11)*Time!AW30/12*Inputs!$F$40</f>
        <v>6.24740626181553</v>
      </c>
      <c r="AX60" s="13" t="n">
        <f aca="false">Inputs!$F$151*(Inputs!$F$152*AX21+(1-Inputs!$F$152)*AX27*Inputs!$F$153/AX11)*Time!AX30/12*Inputs!$F$40</f>
        <v>6.31575386396396</v>
      </c>
      <c r="AY60" s="13" t="n">
        <f aca="false">Inputs!$F$151*(Inputs!$F$152*AY21+(1-Inputs!$F$152)*AY27*Inputs!$F$153/AY11)*Time!AY30/12*Inputs!$F$40</f>
        <v>6.38484919957547</v>
      </c>
      <c r="AZ60" s="13" t="n">
        <f aca="false">Inputs!$F$151*(Inputs!$F$152*AZ21+(1-Inputs!$F$152)*AZ27*Inputs!$F$153/AZ11)*Time!AZ30/12*Inputs!$F$40</f>
        <v>6.45470044897116</v>
      </c>
      <c r="BA60" s="13" t="n">
        <f aca="false">Inputs!$F$151*(Inputs!$F$152*BA21+(1-Inputs!$F$152)*BA27*Inputs!$F$153/BA11)*Time!BA30/12*Inputs!$F$40</f>
        <v>6.52531588196613</v>
      </c>
      <c r="BB60" s="13" t="n">
        <f aca="false">Inputs!$F$151*(Inputs!$F$152*BB21+(1-Inputs!$F$152)*BB27*Inputs!$F$153/BB11)*Time!BB30/12*Inputs!$F$40</f>
        <v>6.59670385884853</v>
      </c>
      <c r="BC60" s="13" t="n">
        <f aca="false">Inputs!$F$151*(Inputs!$F$152*BC21+(1-Inputs!$F$152)*BC27*Inputs!$F$153/BC11)*Time!BC30/12*Inputs!$F$40</f>
        <v>6.66887283136938</v>
      </c>
      <c r="BD60" s="13" t="n">
        <f aca="false">Inputs!$F$151*(Inputs!$F$152*BD21+(1-Inputs!$F$152)*BD27*Inputs!$F$153/BD11)*Time!BD30/12*Inputs!$F$40</f>
        <v>6.74183134374319</v>
      </c>
      <c r="BE60" s="13" t="n">
        <f aca="false">Inputs!$F$151*(Inputs!$F$152*BE21+(1-Inputs!$F$152)*BE27*Inputs!$F$153/BE11)*Time!BE30/12*Inputs!$F$40</f>
        <v>6.81558803365951</v>
      </c>
      <c r="BF60" s="13" t="n">
        <f aca="false">Inputs!$F$151*(Inputs!$F$152*BF21+(1-Inputs!$F$152)*BF27*Inputs!$F$153/BF11)*Time!BF30/12*Inputs!$F$40</f>
        <v>6.89015163330554</v>
      </c>
      <c r="BG60" s="13" t="n">
        <f aca="false">Inputs!$F$151*(Inputs!$F$152*BG21+(1-Inputs!$F$152)*BG27*Inputs!$F$153/BG11)*Time!BG30/12*Inputs!$F$40</f>
        <v>6.96553097040002</v>
      </c>
      <c r="BH60" s="13" t="n">
        <f aca="false">Inputs!$F$151*(Inputs!$F$152*BH21+(1-Inputs!$F$152)*BH27*Inputs!$F$153/BH11)*Time!BH30/12*Inputs!$F$40</f>
        <v>7.04173496923827</v>
      </c>
      <c r="BI60" s="13" t="n">
        <f aca="false">Inputs!$F$151*(Inputs!$F$152*BI21+(1-Inputs!$F$152)*BI27*Inputs!$F$153/BI11)*Time!BI30/12*Inputs!$F$40</f>
        <v>7.11877265174882</v>
      </c>
      <c r="BJ60" s="13" t="n">
        <f aca="false">Inputs!$F$151*(Inputs!$F$152*BJ21+(1-Inputs!$F$152)*BJ27*Inputs!$F$153/BJ11)*Time!BJ30/12*Inputs!$F$40</f>
        <v>7.19665313856151</v>
      </c>
      <c r="BK60" s="13" t="n">
        <f aca="false">Inputs!$F$151*(Inputs!$F$152*BK21+(1-Inputs!$F$152)*BK27*Inputs!$F$153/BK11)*Time!BK30/12*Inputs!$F$40</f>
        <v>7.27538565008729</v>
      </c>
      <c r="BL60" s="13" t="n">
        <f aca="false">Inputs!$F$151*(Inputs!$F$152*BL21+(1-Inputs!$F$152)*BL27*Inputs!$F$153/BL11)*Time!BL30/12*Inputs!$F$40</f>
        <v>7.35497950760986</v>
      </c>
      <c r="BM60" s="13" t="n">
        <f aca="false">Inputs!$F$151*(Inputs!$F$152*BM21+(1-Inputs!$F$152)*BM27*Inputs!$F$153/BM11)*Time!BM30/12*Inputs!$F$40</f>
        <v>7.43544413438921</v>
      </c>
      <c r="BN60" s="13" t="n">
        <f aca="false">Inputs!$F$151*(Inputs!$F$152*BN21+(1-Inputs!$F$152)*BN27*Inputs!$F$153/BN11)*Time!BN30/12*Inputs!$F$40</f>
        <v>6.26399088064773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4.20765686919956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</v>
      </c>
      <c r="P61" s="13" t="n">
        <f aca="false">IF(Time!P30&gt;0,Inputs!$F$154*MAX(-1,MIN(1,(P32-Inputs!$F$216)/Inputs!$F$217))*P21*Time!P30/12,0)</f>
        <v>0.0323712548455126</v>
      </c>
      <c r="Q61" s="13" t="n">
        <f aca="false">IF(Time!Q30&gt;0,Inputs!$F$154*MAX(-1,MIN(1,(Q32-Inputs!$F$216)/Inputs!$F$217))*Q21*Time!Q30/12,0)</f>
        <v>0.197542333464172</v>
      </c>
      <c r="R61" s="13" t="n">
        <f aca="false">IF(Time!R30&gt;0,Inputs!$F$154*MAX(-1,MIN(1,(R32-Inputs!$F$216)/Inputs!$F$217))*R21*Time!R30/12,0)</f>
        <v>0.183061521046503</v>
      </c>
      <c r="S61" s="13" t="n">
        <f aca="false">IF(Time!S30&gt;0,Inputs!$F$154*MAX(-1,MIN(1,(S32-Inputs!$F$216)/Inputs!$F$217))*S21*Time!S30/12,0)</f>
        <v>0.100944132400194</v>
      </c>
      <c r="T61" s="13" t="n">
        <f aca="false">IF(Time!T30&gt;0,Inputs!$F$154*MAX(-1,MIN(1,(T32-Inputs!$F$216)/Inputs!$F$217))*T21*Time!T30/12,0)</f>
        <v>0.119056556506062</v>
      </c>
      <c r="U61" s="13" t="n">
        <f aca="false">IF(Time!U30&gt;0,Inputs!$F$154*MAX(-1,MIN(1,(U32-Inputs!$F$216)/Inputs!$F$217))*U21*Time!U30/12,0)</f>
        <v>0.206329806625992</v>
      </c>
      <c r="V61" s="13" t="n">
        <f aca="false">IF(Time!V30&gt;0,Inputs!$F$154*MAX(-1,MIN(1,(V32-Inputs!$F$216)/Inputs!$F$217))*V21*Time!V30/12,0)</f>
        <v>0.146783505665696</v>
      </c>
      <c r="W61" s="13" t="n">
        <f aca="false">IF(Time!W30&gt;0,Inputs!$F$154*MAX(-1,MIN(1,(W32-Inputs!$F$216)/Inputs!$F$217))*W21*Time!W30/12,0)</f>
        <v>-0.164009270733597</v>
      </c>
      <c r="X61" s="13" t="n">
        <f aca="false">IF(Time!X30&gt;0,Inputs!$F$154*MAX(-1,MIN(1,(X32-Inputs!$F$216)/Inputs!$F$217))*X21*Time!X30/12,0)</f>
        <v>-0.102640297698656</v>
      </c>
      <c r="Y61" s="13" t="n">
        <f aca="false">IF(Time!Y30&gt;0,Inputs!$F$154*MAX(-1,MIN(1,(Y32-Inputs!$F$216)/Inputs!$F$217))*Y21*Time!Y30/12,0)</f>
        <v>0.215508181743943</v>
      </c>
      <c r="Z61" s="13" t="n">
        <f aca="false">IF(Time!Z30&gt;0,Inputs!$F$154*MAX(-1,MIN(1,(Z32-Inputs!$F$216)/Inputs!$F$217))*Z21*Time!Z30/12,0)</f>
        <v>0.199710385395278</v>
      </c>
      <c r="AA61" s="13" t="n">
        <f aca="false">IF(Time!AA30&gt;0,Inputs!$F$154*MAX(-1,MIN(1,(AA32-Inputs!$F$216)/Inputs!$F$217))*AA21*Time!AA30/12,0)</f>
        <v>0.110124680871157</v>
      </c>
      <c r="AB61" s="13" t="n">
        <f aca="false">IF(Time!AB30&gt;0,Inputs!$F$154*MAX(-1,MIN(1,(AB32-Inputs!$F$216)/Inputs!$F$217))*AB21*Time!AB30/12,0)</f>
        <v>0.129884372465256</v>
      </c>
      <c r="AC61" s="13" t="n">
        <f aca="false">IF(Time!AC30&gt;0,Inputs!$F$154*MAX(-1,MIN(1,(AC32-Inputs!$F$216)/Inputs!$F$217))*AC21*Time!AC30/12,0)</f>
        <v>0.22509484770064</v>
      </c>
      <c r="AD61" s="13" t="n">
        <f aca="false">IF(Time!AD30&gt;0,Inputs!$F$154*MAX(-1,MIN(1,(AD32-Inputs!$F$216)/Inputs!$F$217))*AD21*Time!AD30/12,0)</f>
        <v>0.120099749739541</v>
      </c>
      <c r="AE61" s="13" t="n">
        <f aca="false">IF(Time!AE30&gt;0,Inputs!$F$154*MAX(-1,MIN(1,(AE32-Inputs!$F$216)/Inputs!$F$217))*AE21*Time!AE30/12,0)</f>
        <v>-0.383411557250091</v>
      </c>
      <c r="AF61" s="13" t="n">
        <f aca="false">IF(Time!AF30&gt;0,Inputs!$F$154*MAX(-1,MIN(1,(AF32-Inputs!$F$216)/Inputs!$F$217))*AF21*Time!AF30/12,0)</f>
        <v>-0.31654501407667</v>
      </c>
      <c r="AG61" s="13" t="n">
        <f aca="false">IF(Time!AG30&gt;0,Inputs!$F$154*MAX(-1,MIN(1,(AG32-Inputs!$F$216)/Inputs!$F$217))*AG21*Time!AG30/12,0)</f>
        <v>0.235107966905755</v>
      </c>
      <c r="AH61" s="13" t="n">
        <f aca="false">IF(Time!AH30&gt;0,Inputs!$F$154*MAX(-1,MIN(1,(AH32-Inputs!$F$216)/Inputs!$F$217))*AH21*Time!AH30/12,0)</f>
        <v>0.217873411117341</v>
      </c>
      <c r="AI61" s="13" t="n">
        <f aca="false">IF(Time!AI30&gt;0,Inputs!$F$154*MAX(-1,MIN(1,(AI32-Inputs!$F$216)/Inputs!$F$217))*AI21*Time!AI30/12,0)</f>
        <v>0.120140171088844</v>
      </c>
      <c r="AJ61" s="13" t="n">
        <f aca="false">IF(Time!AJ30&gt;0,Inputs!$F$154*MAX(-1,MIN(1,(AJ32-Inputs!$F$216)/Inputs!$F$217))*AJ21*Time!AJ30/12,0)</f>
        <v>0.141696943921224</v>
      </c>
      <c r="AK61" s="13" t="n">
        <f aca="false">IF(Time!AK30&gt;0,Inputs!$F$154*MAX(-1,MIN(1,(AK32-Inputs!$F$216)/Inputs!$F$217))*AK21*Time!AK30/12,0)</f>
        <v>0.245566509705591</v>
      </c>
      <c r="AL61" s="13" t="n">
        <f aca="false">IF(Time!AL30&gt;0,Inputs!$F$154*MAX(-1,MIN(1,(AL32-Inputs!$F$216)/Inputs!$F$217))*AL21*Time!AL30/12,0)</f>
        <v>0.174696587749989</v>
      </c>
      <c r="AM61" s="13" t="n">
        <f aca="false">IF(Time!AM30&gt;0,Inputs!$F$154*MAX(-1,MIN(1,(AM32-Inputs!$F$216)/Inputs!$F$217))*AM21*Time!AM30/12,0)</f>
        <v>-0.195198090048203</v>
      </c>
      <c r="AN61" s="13" t="n">
        <f aca="false">IF(Time!AN30&gt;0,Inputs!$F$154*MAX(-1,MIN(1,(AN32-Inputs!$F$216)/Inputs!$F$217))*AN21*Time!AN30/12,0)</f>
        <v>-0.122158887623493</v>
      </c>
      <c r="AO61" s="13" t="n">
        <f aca="false">IF(Time!AO30&gt;0,Inputs!$F$154*MAX(-1,MIN(1,(AO32-Inputs!$F$216)/Inputs!$F$217))*AO21*Time!AO30/12,0)</f>
        <v>0.256490290323334</v>
      </c>
      <c r="AP61" s="13" t="n">
        <f aca="false">IF(Time!AP30&gt;0,Inputs!$F$154*MAX(-1,MIN(1,(AP32-Inputs!$F$216)/Inputs!$F$217))*AP21*Time!AP30/12,0)</f>
        <v>0.237688306384032</v>
      </c>
      <c r="AQ61" s="13" t="n">
        <f aca="false">IF(Time!AQ30&gt;0,Inputs!$F$154*MAX(-1,MIN(1,(AQ32-Inputs!$F$216)/Inputs!$F$217))*AQ21*Time!AQ30/12,0)</f>
        <v>0.131066538355227</v>
      </c>
      <c r="AR61" s="13" t="n">
        <f aca="false">IF(Time!AR30&gt;0,Inputs!$F$154*MAX(-1,MIN(1,(AR32-Inputs!$F$216)/Inputs!$F$217))*AR21*Time!AR30/12,0)</f>
        <v>0.154583831261033</v>
      </c>
      <c r="AS61" s="13" t="n">
        <f aca="false">IF(Time!AS30&gt;0,Inputs!$F$154*MAX(-1,MIN(1,(AS32-Inputs!$F$216)/Inputs!$F$217))*AS21*Time!AS30/12,0)</f>
        <v>0.267900004398077</v>
      </c>
      <c r="AT61" s="13" t="n">
        <f aca="false">IF(Time!AT30&gt;0,Inputs!$F$154*MAX(-1,MIN(1,(AT32-Inputs!$F$216)/Inputs!$F$217))*AT21*Time!AT30/12,0)</f>
        <v>0.142938515972703</v>
      </c>
      <c r="AU61" s="13" t="n">
        <f aca="false">IF(Time!AU30&gt;0,Inputs!$F$154*MAX(-1,MIN(1,(AU32-Inputs!$F$216)/Inputs!$F$217))*AU21*Time!AU30/12,0)</f>
        <v>-0.456323007491392</v>
      </c>
      <c r="AV61" s="13" t="n">
        <f aca="false">IF(Time!AV30&gt;0,Inputs!$F$154*MAX(-1,MIN(1,(AV32-Inputs!$F$216)/Inputs!$F$217))*AV21*Time!AV30/12,0)</f>
        <v>-0.376740789625316</v>
      </c>
      <c r="AW61" s="13" t="n">
        <f aca="false">IF(Time!AW30&gt;0,Inputs!$F$154*MAX(-1,MIN(1,(AW32-Inputs!$F$216)/Inputs!$F$217))*AW21*Time!AW30/12,0)</f>
        <v>0.279817268193721</v>
      </c>
      <c r="AX61" s="13" t="n">
        <f aca="false">IF(Time!AX30&gt;0,Inputs!$F$154*MAX(-1,MIN(1,(AX32-Inputs!$F$216)/Inputs!$F$217))*AX21*Time!AX30/12,0)</f>
        <v>0.259305303487823</v>
      </c>
      <c r="AY61" s="13" t="n">
        <f aca="false">IF(Time!AY30&gt;0,Inputs!$F$154*MAX(-1,MIN(1,(AY32-Inputs!$F$216)/Inputs!$F$217))*AY21*Time!AY30/12,0)</f>
        <v>0.142986624046995</v>
      </c>
      <c r="AZ61" s="13" t="n">
        <f aca="false">IF(Time!AZ30&gt;0,Inputs!$F$154*MAX(-1,MIN(1,(AZ32-Inputs!$F$216)/Inputs!$F$217))*AZ21*Time!AZ30/12,0)</f>
        <v>0.168642740104717</v>
      </c>
      <c r="BA61" s="13" t="n">
        <f aca="false">IF(Time!BA30&gt;0,Inputs!$F$154*MAX(-1,MIN(1,(BA32-Inputs!$F$216)/Inputs!$F$217))*BA21*Time!BA30/12,0)</f>
        <v>0.292264659552051</v>
      </c>
      <c r="BB61" s="13" t="n">
        <f aca="false">IF(Time!BB30&gt;0,Inputs!$F$154*MAX(-1,MIN(1,(BB32-Inputs!$F$216)/Inputs!$F$217))*BB21*Time!BB30/12,0)</f>
        <v>0.207917760466883</v>
      </c>
      <c r="BC61" s="13" t="n">
        <f aca="false">IF(Time!BC30&gt;0,Inputs!$F$154*MAX(-1,MIN(1,(BC32-Inputs!$F$216)/Inputs!$F$217))*BC21*Time!BC30/12,0)</f>
        <v>-0.232317930492823</v>
      </c>
      <c r="BD61" s="13" t="n">
        <f aca="false">IF(Time!BD30&gt;0,Inputs!$F$154*MAX(-1,MIN(1,(BD32-Inputs!$F$216)/Inputs!$F$217))*BD21*Time!BD30/12,0)</f>
        <v>-0.145389229766475</v>
      </c>
      <c r="BE61" s="13" t="n">
        <f aca="false">IF(Time!BE30&gt;0,Inputs!$F$154*MAX(-1,MIN(1,(BE32-Inputs!$F$216)/Inputs!$F$217))*BE21*Time!BE30/12,0)</f>
        <v>0.305265760667564</v>
      </c>
      <c r="BF61" s="13" t="n">
        <f aca="false">IF(Time!BF30&gt;0,Inputs!$F$154*MAX(-1,MIN(1,(BF32-Inputs!$F$216)/Inputs!$F$217))*BF21*Time!BF30/12,0)</f>
        <v>0.282888297871389</v>
      </c>
      <c r="BG61" s="13" t="n">
        <f aca="false">IF(Time!BG30&gt;0,Inputs!$F$154*MAX(-1,MIN(1,(BG32-Inputs!$F$216)/Inputs!$F$217))*BG21*Time!BG30/12,0)</f>
        <v>0.155990803701129</v>
      </c>
      <c r="BH61" s="13" t="n">
        <f aca="false">IF(Time!BH30&gt;0,Inputs!$F$154*MAX(-1,MIN(1,(BH32-Inputs!$F$216)/Inputs!$F$217))*BH21*Time!BH30/12,0)</f>
        <v>0.183980262088356</v>
      </c>
      <c r="BI61" s="13" t="n">
        <f aca="false">IF(Time!BI30&gt;0,Inputs!$F$154*MAX(-1,MIN(1,(BI32-Inputs!$F$216)/Inputs!$F$217))*BI21*Time!BI30/12,0)</f>
        <v>0.3188452027651</v>
      </c>
      <c r="BJ61" s="13" t="n">
        <f aca="false">IF(Time!BJ30&gt;0,Inputs!$F$154*MAX(-1,MIN(1,(BJ32-Inputs!$F$216)/Inputs!$F$217))*BJ21*Time!BJ30/12,0)</f>
        <v>0.170120415677701</v>
      </c>
      <c r="BK61" s="13" t="n">
        <f aca="false">IF(Time!BK30&gt;0,Inputs!$F$154*MAX(-1,MIN(1,(BK32-Inputs!$F$216)/Inputs!$F$217))*BK21*Time!BK30/12,0)</f>
        <v>-0.543099662043221</v>
      </c>
      <c r="BL61" s="13" t="n">
        <f aca="false">IF(Time!BL30&gt;0,Inputs!$F$154*MAX(-1,MIN(1,(BL32-Inputs!$F$216)/Inputs!$F$217))*BL21*Time!BL30/12,0)</f>
        <v>-0.44838369348989</v>
      </c>
      <c r="BM61" s="13" t="n">
        <f aca="false">IF(Time!BM30&gt;0,Inputs!$F$154*MAX(-1,MIN(1,(BM32-Inputs!$F$216)/Inputs!$F$217))*BM21*Time!BM30/12,0)</f>
        <v>0.333028712764902</v>
      </c>
      <c r="BN61" s="13" t="n">
        <f aca="false">IF(Time!BN30&gt;0,Inputs!$F$154*MAX(-1,MIN(1,(BN32-Inputs!$F$216)/Inputs!$F$217))*BN21*Time!BN30/12,0)</f>
        <v>0.280560082497959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95.5553739651305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</v>
      </c>
      <c r="P62" s="13" t="n">
        <f aca="false">Inputs!$F$155*P21*Time!P30/12*Inputs!$F$40</f>
        <v>0.237389202200426</v>
      </c>
      <c r="Q62" s="13" t="n">
        <f aca="false">Inputs!$F$155*Q21*Time!Q30/12*Inputs!$F$40</f>
        <v>1.44864377873726</v>
      </c>
      <c r="R62" s="13" t="n">
        <f aca="false">Inputs!$F$155*R21*Time!R30/12*Inputs!$F$40</f>
        <v>1.46449216837203</v>
      </c>
      <c r="S62" s="13" t="n">
        <f aca="false">Inputs!$F$155*S21*Time!S30/12*Inputs!$F$40</f>
        <v>1.48051394186948</v>
      </c>
      <c r="T62" s="13" t="n">
        <f aca="false">Inputs!$F$155*T21*Time!T30/12*Inputs!$F$40</f>
        <v>1.49671099607621</v>
      </c>
      <c r="U62" s="13" t="n">
        <f aca="false">Inputs!$F$155*U21*Time!U30/12*Inputs!$F$40</f>
        <v>1.51308524859061</v>
      </c>
      <c r="V62" s="13" t="n">
        <f aca="false">Inputs!$F$155*V21*Time!V30/12*Inputs!$F$40</f>
        <v>1.52963863798989</v>
      </c>
      <c r="W62" s="13" t="n">
        <f aca="false">Inputs!$F$155*W21*Time!W30/12*Inputs!$F$40</f>
        <v>1.5463731240596</v>
      </c>
      <c r="X62" s="13" t="n">
        <f aca="false">Inputs!$F$155*X21*Time!X30/12*Inputs!$F$40</f>
        <v>1.56329068802567</v>
      </c>
      <c r="Y62" s="13" t="n">
        <f aca="false">Inputs!$F$155*Y21*Time!Y30/12*Inputs!$F$40</f>
        <v>1.58039333278891</v>
      </c>
      <c r="Z62" s="13" t="n">
        <f aca="false">Inputs!$F$155*Z21*Time!Z30/12*Inputs!$F$40</f>
        <v>1.59768308316223</v>
      </c>
      <c r="AA62" s="13" t="n">
        <f aca="false">Inputs!$F$155*AA21*Time!AA30/12*Inputs!$F$40</f>
        <v>1.61516198611027</v>
      </c>
      <c r="AB62" s="13" t="n">
        <f aca="false">Inputs!$F$155*AB21*Time!AB30/12*Inputs!$F$40</f>
        <v>1.6328321109918</v>
      </c>
      <c r="AC62" s="13" t="n">
        <f aca="false">Inputs!$F$155*AC21*Time!AC30/12*Inputs!$F$40</f>
        <v>1.6506955498047</v>
      </c>
      <c r="AD62" s="13" t="n">
        <f aca="false">Inputs!$F$155*AD21*Time!AD30/12*Inputs!$F$40</f>
        <v>1.66875441743362</v>
      </c>
      <c r="AE62" s="13" t="n">
        <f aca="false">Inputs!$F$155*AE21*Time!AE30/12*Inputs!$F$40</f>
        <v>1.6870108519004</v>
      </c>
      <c r="AF62" s="13" t="n">
        <f aca="false">Inputs!$F$155*AF21*Time!AF30/12*Inputs!$F$40</f>
        <v>1.70546701461716</v>
      </c>
      <c r="AG62" s="13" t="n">
        <f aca="false">Inputs!$F$155*AG21*Time!AG30/12*Inputs!$F$40</f>
        <v>1.72412509064221</v>
      </c>
      <c r="AH62" s="13" t="n">
        <f aca="false">Inputs!$F$155*AH21*Time!AH30/12*Inputs!$F$40</f>
        <v>1.74298728893874</v>
      </c>
      <c r="AI62" s="13" t="n">
        <f aca="false">Inputs!$F$155*AI21*Time!AI30/12*Inputs!$F$40</f>
        <v>1.76205584263634</v>
      </c>
      <c r="AJ62" s="13" t="n">
        <f aca="false">Inputs!$F$155*AJ21*Time!AJ30/12*Inputs!$F$40</f>
        <v>1.78133300929539</v>
      </c>
      <c r="AK62" s="13" t="n">
        <f aca="false">Inputs!$F$155*AK21*Time!AK30/12*Inputs!$F$40</f>
        <v>1.80082107117434</v>
      </c>
      <c r="AL62" s="13" t="n">
        <f aca="false">Inputs!$F$155*AL21*Time!AL30/12*Inputs!$F$40</f>
        <v>1.82052233549989</v>
      </c>
      <c r="AM62" s="13" t="n">
        <f aca="false">Inputs!$F$155*AM21*Time!AM30/12*Inputs!$F$40</f>
        <v>1.84043913474017</v>
      </c>
      <c r="AN62" s="13" t="n">
        <f aca="false">Inputs!$F$155*AN21*Time!AN30/12*Inputs!$F$40</f>
        <v>1.86057382688088</v>
      </c>
      <c r="AO62" s="13" t="n">
        <f aca="false">Inputs!$F$155*AO21*Time!AO30/12*Inputs!$F$40</f>
        <v>1.88092879570445</v>
      </c>
      <c r="AP62" s="13" t="n">
        <f aca="false">Inputs!$F$155*AP21*Time!AP30/12*Inputs!$F$40</f>
        <v>1.90150645107226</v>
      </c>
      <c r="AQ62" s="13" t="n">
        <f aca="false">Inputs!$F$155*AQ21*Time!AQ30/12*Inputs!$F$40</f>
        <v>1.92230922920995</v>
      </c>
      <c r="AR62" s="13" t="n">
        <f aca="false">Inputs!$F$155*AR21*Time!AR30/12*Inputs!$F$40</f>
        <v>1.94333959299585</v>
      </c>
      <c r="AS62" s="13" t="n">
        <f aca="false">Inputs!$F$155*AS21*Time!AS30/12*Inputs!$F$40</f>
        <v>1.96460003225257</v>
      </c>
      <c r="AT62" s="13" t="n">
        <f aca="false">Inputs!$F$155*AT21*Time!AT30/12*Inputs!$F$40</f>
        <v>1.98609306404176</v>
      </c>
      <c r="AU62" s="13" t="n">
        <f aca="false">Inputs!$F$155*AU21*Time!AU30/12*Inputs!$F$40</f>
        <v>2.00782123296213</v>
      </c>
      <c r="AV62" s="13" t="n">
        <f aca="false">Inputs!$F$155*AV21*Time!AV30/12*Inputs!$F$40</f>
        <v>2.02978711145068</v>
      </c>
      <c r="AW62" s="13" t="n">
        <f aca="false">Inputs!$F$155*AW21*Time!AW30/12*Inputs!$F$40</f>
        <v>2.05199330008729</v>
      </c>
      <c r="AX62" s="13" t="n">
        <f aca="false">Inputs!$F$155*AX21*Time!AX30/12*Inputs!$F$40</f>
        <v>2.07444242790259</v>
      </c>
      <c r="AY62" s="13" t="n">
        <f aca="false">Inputs!$F$155*AY21*Time!AY30/12*Inputs!$F$40</f>
        <v>2.09713715268921</v>
      </c>
      <c r="AZ62" s="13" t="n">
        <f aca="false">Inputs!$F$155*AZ21*Time!AZ30/12*Inputs!$F$40</f>
        <v>2.12008016131645</v>
      </c>
      <c r="BA62" s="13" t="n">
        <f aca="false">Inputs!$F$155*BA21*Time!BA30/12*Inputs!$F$40</f>
        <v>2.14327417004837</v>
      </c>
      <c r="BB62" s="13" t="n">
        <f aca="false">Inputs!$F$155*BB21*Time!BB30/12*Inputs!$F$40</f>
        <v>2.16672192486541</v>
      </c>
      <c r="BC62" s="13" t="n">
        <f aca="false">Inputs!$F$155*BC21*Time!BC30/12*Inputs!$F$40</f>
        <v>2.19042620178944</v>
      </c>
      <c r="BD62" s="13" t="n">
        <f aca="false">Inputs!$F$155*BD21*Time!BD30/12*Inputs!$F$40</f>
        <v>2.21438980721245</v>
      </c>
      <c r="BE62" s="13" t="n">
        <f aca="false">Inputs!$F$155*BE21*Time!BE30/12*Inputs!$F$40</f>
        <v>2.23861557822881</v>
      </c>
      <c r="BF62" s="13" t="n">
        <f aca="false">Inputs!$F$155*BF21*Time!BF30/12*Inputs!$F$40</f>
        <v>2.26310638297112</v>
      </c>
      <c r="BG62" s="13" t="n">
        <f aca="false">Inputs!$F$155*BG21*Time!BG30/12*Inputs!$F$40</f>
        <v>2.28786512094984</v>
      </c>
      <c r="BH62" s="13" t="n">
        <f aca="false">Inputs!$F$155*BH21*Time!BH30/12*Inputs!$F$40</f>
        <v>2.31289472339649</v>
      </c>
      <c r="BI62" s="13" t="n">
        <f aca="false">Inputs!$F$155*BI21*Time!BI30/12*Inputs!$F$40</f>
        <v>2.33819815361073</v>
      </c>
      <c r="BJ62" s="13" t="n">
        <f aca="false">Inputs!$F$155*BJ21*Time!BJ30/12*Inputs!$F$40</f>
        <v>2.36377840731121</v>
      </c>
      <c r="BK62" s="13" t="n">
        <f aca="false">Inputs!$F$155*BK21*Time!BK30/12*Inputs!$F$40</f>
        <v>2.38963851299017</v>
      </c>
      <c r="BL62" s="13" t="n">
        <f aca="false">Inputs!$F$155*BL21*Time!BL30/12*Inputs!$F$40</f>
        <v>2.41578153227206</v>
      </c>
      <c r="BM62" s="13" t="n">
        <f aca="false">Inputs!$F$155*BM21*Time!BM30/12*Inputs!$F$40</f>
        <v>2.44221056027595</v>
      </c>
      <c r="BN62" s="13" t="n">
        <f aca="false">Inputs!$F$155*BN21*Time!BN30/12*Inputs!$F$40</f>
        <v>2.05744060498503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0</v>
      </c>
      <c r="P63" s="15" t="n">
        <f aca="false">IF(P31&gt;0,Inputs!$F$258*(Inputs!$F$129*P32/P31*P37/Inputs!$F$131+Inputs!$F$130*Inputs!$F$132)*Time!P30/12,0)</f>
        <v>1406.5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8439</v>
      </c>
      <c r="BN63" s="15" t="n">
        <f aca="false">IF(BN31&gt;0,Inputs!$F$258*(Inputs!$F$129*BN32/BN31*BN37/Inputs!$F$131+Inputs!$F$130*Inputs!$F$132)*Time!BN30/12,0)</f>
        <v>7032.5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296.89879941923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0</v>
      </c>
      <c r="P64" s="13" t="n">
        <f aca="false">P63*Inputs!$F$156*P21/1000000</f>
        <v>0.73758875303146</v>
      </c>
      <c r="Q64" s="13" t="n">
        <f aca="false">Q63*Inputs!$F$156*Q21/1000000</f>
        <v>4.5010613306812</v>
      </c>
      <c r="R64" s="13" t="n">
        <f aca="false">R63*Inputs!$F$156*R21/1000000</f>
        <v>4.55030364600098</v>
      </c>
      <c r="S64" s="13" t="n">
        <f aca="false">S63*Inputs!$F$156*S21/1000000</f>
        <v>4.60008467995619</v>
      </c>
      <c r="T64" s="13" t="n">
        <f aca="false">T63*Inputs!$F$156*T21/1000000</f>
        <v>4.650410326213</v>
      </c>
      <c r="U64" s="13" t="n">
        <f aca="false">U63*Inputs!$F$156*U21/1000000</f>
        <v>4.70128654291522</v>
      </c>
      <c r="V64" s="13" t="n">
        <f aca="false">V63*Inputs!$F$156*V21/1000000</f>
        <v>4.75271935338969</v>
      </c>
      <c r="W64" s="13" t="n">
        <f aca="false">W63*Inputs!$F$156*W21/1000000</f>
        <v>4.80471484685936</v>
      </c>
      <c r="X64" s="13" t="n">
        <f aca="false">X63*Inputs!$F$156*X21/1000000</f>
        <v>4.85727917916426</v>
      </c>
      <c r="Y64" s="13" t="n">
        <f aca="false">Y63*Inputs!$F$156*Y21/1000000</f>
        <v>4.91041857349026</v>
      </c>
      <c r="Z64" s="13" t="n">
        <f aca="false">Z63*Inputs!$F$156*Z21/1000000</f>
        <v>4.96413932110587</v>
      </c>
      <c r="AA64" s="13" t="n">
        <f aca="false">AA63*Inputs!$F$156*AA21/1000000</f>
        <v>5.01844778210705</v>
      </c>
      <c r="AB64" s="13" t="n">
        <f aca="false">AB63*Inputs!$F$156*AB21/1000000</f>
        <v>5.0733503861702</v>
      </c>
      <c r="AC64" s="13" t="n">
        <f aca="false">AC63*Inputs!$F$156*AC21/1000000</f>
        <v>5.1288536333134</v>
      </c>
      <c r="AD64" s="13" t="n">
        <f aca="false">AD63*Inputs!$F$156*AD21/1000000</f>
        <v>5.18496409466594</v>
      </c>
      <c r="AE64" s="13" t="n">
        <f aca="false">AE63*Inputs!$F$156*AE21/1000000</f>
        <v>5.2416884132463</v>
      </c>
      <c r="AF64" s="13" t="n">
        <f aca="false">AF63*Inputs!$F$156*AF21/1000000</f>
        <v>5.29903330474859</v>
      </c>
      <c r="AG64" s="13" t="n">
        <f aca="false">AG63*Inputs!$F$156*AG21/1000000</f>
        <v>5.35700555833771</v>
      </c>
      <c r="AH64" s="13" t="n">
        <f aca="false">AH63*Inputs!$F$156*AH21/1000000</f>
        <v>5.41561203745306</v>
      </c>
      <c r="AI64" s="13" t="n">
        <f aca="false">AI63*Inputs!$F$156*AI21/1000000</f>
        <v>5.47485968062114</v>
      </c>
      <c r="AJ64" s="13" t="n">
        <f aca="false">AJ63*Inputs!$F$156*AJ21/1000000</f>
        <v>5.53475550227703</v>
      </c>
      <c r="AK64" s="13" t="n">
        <f aca="false">AK63*Inputs!$F$156*AK21/1000000</f>
        <v>5.59530659359481</v>
      </c>
      <c r="AL64" s="13" t="n">
        <f aca="false">AL63*Inputs!$F$156*AL21/1000000</f>
        <v>5.65652012332712</v>
      </c>
      <c r="AM64" s="13" t="n">
        <f aca="false">AM63*Inputs!$F$156*AM21/1000000</f>
        <v>5.71840333865389</v>
      </c>
      <c r="AN64" s="13" t="n">
        <f aca="false">AN63*Inputs!$F$156*AN21/1000000</f>
        <v>5.78096356604032</v>
      </c>
      <c r="AO64" s="13" t="n">
        <f aca="false">AO63*Inputs!$F$156*AO21/1000000</f>
        <v>5.84420821210428</v>
      </c>
      <c r="AP64" s="13" t="n">
        <f aca="false">AP63*Inputs!$F$156*AP21/1000000</f>
        <v>5.90814476449321</v>
      </c>
      <c r="AQ64" s="13" t="n">
        <f aca="false">AQ63*Inputs!$F$156*AQ21/1000000</f>
        <v>5.97278079277057</v>
      </c>
      <c r="AR64" s="13" t="n">
        <f aca="false">AR63*Inputs!$F$156*AR21/1000000</f>
        <v>6.03812394931205</v>
      </c>
      <c r="AS64" s="13" t="n">
        <f aca="false">AS63*Inputs!$F$156*AS21/1000000</f>
        <v>6.10418197021152</v>
      </c>
      <c r="AT64" s="13" t="n">
        <f aca="false">AT63*Inputs!$F$156*AT21/1000000</f>
        <v>6.17096267619692</v>
      </c>
      <c r="AU64" s="13" t="n">
        <f aca="false">AU63*Inputs!$F$156*AU21/1000000</f>
        <v>6.23847397355617</v>
      </c>
      <c r="AV64" s="13" t="n">
        <f aca="false">AV63*Inputs!$F$156*AV21/1000000</f>
        <v>6.30672385507325</v>
      </c>
      <c r="AW64" s="13" t="n">
        <f aca="false">AW63*Inputs!$F$156*AW21/1000000</f>
        <v>6.37572040097441</v>
      </c>
      <c r="AX64" s="13" t="n">
        <f aca="false">AX63*Inputs!$F$156*AX21/1000000</f>
        <v>6.44547177988486</v>
      </c>
      <c r="AY64" s="13" t="n">
        <f aca="false">AY63*Inputs!$F$156*AY21/1000000</f>
        <v>6.51598624979584</v>
      </c>
      <c r="AZ64" s="13" t="n">
        <f aca="false">AZ63*Inputs!$F$156*AZ21/1000000</f>
        <v>6.58727215904232</v>
      </c>
      <c r="BA64" s="13" t="n">
        <f aca="false">BA63*Inputs!$F$156*BA21/1000000</f>
        <v>6.65933794729135</v>
      </c>
      <c r="BB64" s="13" t="n">
        <f aca="false">BB63*Inputs!$F$156*BB21/1000000</f>
        <v>6.73219214654125</v>
      </c>
      <c r="BC64" s="13" t="n">
        <f aca="false">BC63*Inputs!$F$156*BC21/1000000</f>
        <v>6.80584338213176</v>
      </c>
      <c r="BD64" s="13" t="n">
        <f aca="false">BD63*Inputs!$F$156*BD21/1000000</f>
        <v>6.88030037376516</v>
      </c>
      <c r="BE64" s="13" t="n">
        <f aca="false">BE63*Inputs!$F$156*BE21/1000000</f>
        <v>6.95557193653866</v>
      </c>
      <c r="BF64" s="13" t="n">
        <f aca="false">BF63*Inputs!$F$156*BF21/1000000</f>
        <v>7.03166698198799</v>
      </c>
      <c r="BG64" s="13" t="n">
        <f aca="false">BG63*Inputs!$F$156*BG21/1000000</f>
        <v>7.10859451914251</v>
      </c>
      <c r="BH64" s="13" t="n">
        <f aca="false">BH63*Inputs!$F$156*BH21/1000000</f>
        <v>7.18636365559173</v>
      </c>
      <c r="BI64" s="13" t="n">
        <f aca="false">BI63*Inputs!$F$156*BI21/1000000</f>
        <v>7.26498359856364</v>
      </c>
      <c r="BJ64" s="13" t="n">
        <f aca="false">BJ63*Inputs!$F$156*BJ21/1000000</f>
        <v>7.34446365601474</v>
      </c>
      <c r="BK64" s="13" t="n">
        <f aca="false">BK63*Inputs!$F$156*BK21/1000000</f>
        <v>7.42481323773204</v>
      </c>
      <c r="BL64" s="13" t="n">
        <f aca="false">BL63*Inputs!$F$156*BL21/1000000</f>
        <v>7.50604185644706</v>
      </c>
      <c r="BM64" s="13" t="n">
        <f aca="false">BM63*Inputs!$F$156*BM21/1000000</f>
        <v>7.58815912896214</v>
      </c>
      <c r="BN64" s="13" t="n">
        <f aca="false">BN63*Inputs!$F$156*BN21/1000000</f>
        <v>6.39264564774075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158.17310008622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</v>
      </c>
      <c r="P65" s="13" t="n">
        <f aca="false">Inputs!$F$157*P21*Time!P30/12*(1+Inputs!$F$158*Inputs!$F$46*Time!P41)*Inputs!$F$40</f>
        <v>0.392951065763585</v>
      </c>
      <c r="Q65" s="13" t="n">
        <f aca="false">Inputs!$F$157*Q21*Time!Q30/12*(1+Inputs!$F$158*Inputs!$F$46*Time!Q41)*Inputs!$F$40</f>
        <v>2.39794443677342</v>
      </c>
      <c r="R65" s="13" t="n">
        <f aca="false">Inputs!$F$157*R21*Time!R30/12*(1+Inputs!$F$158*Inputs!$F$46*Time!R41)*Inputs!$F$40</f>
        <v>2.42417832416128</v>
      </c>
      <c r="S65" s="13" t="n">
        <f aca="false">Inputs!$F$157*S21*Time!S30/12*(1+Inputs!$F$158*Inputs!$F$46*Time!S41)*Inputs!$F$40</f>
        <v>2.45069921438244</v>
      </c>
      <c r="T65" s="13" t="n">
        <f aca="false">Inputs!$F$157*T21*Time!T30/12*(1+Inputs!$F$158*Inputs!$F$46*Time!T41)*Inputs!$F$40</f>
        <v>2.47751024729282</v>
      </c>
      <c r="U65" s="13" t="n">
        <f aca="false">Inputs!$F$157*U21*Time!U30/12*(1+Inputs!$F$158*Inputs!$F$46*Time!U41)*Inputs!$F$40</f>
        <v>2.50461459709885</v>
      </c>
      <c r="V65" s="13" t="n">
        <f aca="false">Inputs!$F$157*V21*Time!V30/12*(1+Inputs!$F$158*Inputs!$F$46*Time!V41)*Inputs!$F$40</f>
        <v>2.53201547273326</v>
      </c>
      <c r="W65" s="13" t="n">
        <f aca="false">Inputs!$F$157*W21*Time!W30/12*(1+Inputs!$F$158*Inputs!$F$46*Time!W41)*Inputs!$F$40</f>
        <v>2.55971611823503</v>
      </c>
      <c r="X65" s="13" t="n">
        <f aca="false">Inputs!$F$157*X21*Time!X30/12*(1+Inputs!$F$158*Inputs!$F$46*Time!X41)*Inputs!$F$40</f>
        <v>2.5877198131334</v>
      </c>
      <c r="Y65" s="13" t="n">
        <f aca="false">Inputs!$F$157*Y21*Time!Y30/12*(1+Inputs!$F$158*Inputs!$F$46*Time!Y41)*Inputs!$F$40</f>
        <v>2.6160298728362</v>
      </c>
      <c r="Z65" s="13" t="n">
        <f aca="false">Inputs!$F$157*Z21*Time!Z30/12*(1+Inputs!$F$158*Inputs!$F$46*Time!Z41)*Inputs!$F$40</f>
        <v>2.64464964902233</v>
      </c>
      <c r="AA65" s="13" t="n">
        <f aca="false">Inputs!$F$157*AA21*Time!AA30/12*(1+Inputs!$F$158*Inputs!$F$46*Time!AA41)*Inputs!$F$40</f>
        <v>2.67358253003859</v>
      </c>
      <c r="AB65" s="13" t="n">
        <f aca="false">Inputs!$F$157*AB21*Time!AB30/12*(1+Inputs!$F$158*Inputs!$F$46*Time!AB41)*Inputs!$F$40</f>
        <v>2.70283194130082</v>
      </c>
      <c r="AC65" s="13" t="n">
        <f aca="false">Inputs!$F$157*AC21*Time!AC30/12*(1+Inputs!$F$158*Inputs!$F$46*Time!AC41)*Inputs!$F$40</f>
        <v>2.73240134569944</v>
      </c>
      <c r="AD65" s="13" t="n">
        <f aca="false">Inputs!$F$157*AD21*Time!AD30/12*(1+Inputs!$F$158*Inputs!$F$46*Time!AD41)*Inputs!$F$40</f>
        <v>2.76229424400944</v>
      </c>
      <c r="AE65" s="13" t="n">
        <f aca="false">Inputs!$F$157*AE21*Time!AE30/12*(1+Inputs!$F$158*Inputs!$F$46*Time!AE41)*Inputs!$F$40</f>
        <v>2.79251417530483</v>
      </c>
      <c r="AF65" s="13" t="n">
        <f aca="false">Inputs!$F$157*AF21*Time!AF30/12*(1+Inputs!$F$158*Inputs!$F$46*Time!AF41)*Inputs!$F$40</f>
        <v>2.82306471737765</v>
      </c>
      <c r="AG65" s="13" t="n">
        <f aca="false">Inputs!$F$157*AG21*Time!AG30/12*(1+Inputs!$F$158*Inputs!$F$46*Time!AG41)*Inputs!$F$40</f>
        <v>2.85394948716153</v>
      </c>
      <c r="AH65" s="13" t="n">
        <f aca="false">Inputs!$F$157*AH21*Time!AH30/12*(1+Inputs!$F$158*Inputs!$F$46*Time!AH41)*Inputs!$F$40</f>
        <v>2.88517214115995</v>
      </c>
      <c r="AI65" s="13" t="n">
        <f aca="false">Inputs!$F$157*AI21*Time!AI30/12*(1+Inputs!$F$158*Inputs!$F$46*Time!AI41)*Inputs!$F$40</f>
        <v>2.91673637587909</v>
      </c>
      <c r="AJ65" s="13" t="n">
        <f aca="false">Inputs!$F$157*AJ21*Time!AJ30/12*(1+Inputs!$F$158*Inputs!$F$46*Time!AJ41)*Inputs!$F$40</f>
        <v>2.94864592826547</v>
      </c>
      <c r="AK65" s="13" t="n">
        <f aca="false">Inputs!$F$157*AK21*Time!AK30/12*(1+Inputs!$F$158*Inputs!$F$46*Time!AK41)*Inputs!$F$40</f>
        <v>2.98090457614843</v>
      </c>
      <c r="AL65" s="13" t="n">
        <f aca="false">Inputs!$F$157*AL21*Time!AL30/12*(1+Inputs!$F$158*Inputs!$F$46*Time!AL41)*Inputs!$F$40</f>
        <v>3.01351613868731</v>
      </c>
      <c r="AM65" s="13" t="n">
        <f aca="false">Inputs!$F$157*AM21*Time!AM30/12*(1+Inputs!$F$158*Inputs!$F$46*Time!AM41)*Inputs!$F$40</f>
        <v>3.04648447682369</v>
      </c>
      <c r="AN65" s="13" t="n">
        <f aca="false">Inputs!$F$157*AN21*Time!AN30/12*(1+Inputs!$F$158*Inputs!$F$46*Time!AN41)*Inputs!$F$40</f>
        <v>3.07981349373843</v>
      </c>
      <c r="AO65" s="13" t="n">
        <f aca="false">Inputs!$F$157*AO21*Time!AO30/12*(1+Inputs!$F$158*Inputs!$F$46*Time!AO41)*Inputs!$F$40</f>
        <v>3.11350713531381</v>
      </c>
      <c r="AP65" s="13" t="n">
        <f aca="false">Inputs!$F$157*AP21*Time!AP30/12*(1+Inputs!$F$158*Inputs!$F$46*Time!AP41)*Inputs!$F$40</f>
        <v>3.14756939060068</v>
      </c>
      <c r="AQ65" s="13" t="n">
        <f aca="false">Inputs!$F$157*AQ21*Time!AQ30/12*(1+Inputs!$F$158*Inputs!$F$46*Time!AQ41)*Inputs!$F$40</f>
        <v>3.18200429229072</v>
      </c>
      <c r="AR65" s="13" t="n">
        <f aca="false">Inputs!$F$157*AR21*Time!AR30/12*(1+Inputs!$F$158*Inputs!$F$46*Time!AR41)*Inputs!$F$40</f>
        <v>3.21681591719389</v>
      </c>
      <c r="AS65" s="13" t="n">
        <f aca="false">Inputs!$F$157*AS21*Time!AS30/12*(1+Inputs!$F$158*Inputs!$F$46*Time!AS41)*Inputs!$F$40</f>
        <v>3.25200838672111</v>
      </c>
      <c r="AT65" s="13" t="n">
        <f aca="false">Inputs!$F$157*AT21*Time!AT30/12*(1+Inputs!$F$158*Inputs!$F$46*Time!AT41)*Inputs!$F$40</f>
        <v>3.28758586737216</v>
      </c>
      <c r="AU65" s="13" t="n">
        <f aca="false">Inputs!$F$157*AU21*Time!AU30/12*(1+Inputs!$F$158*Inputs!$F$46*Time!AU41)*Inputs!$F$40</f>
        <v>3.32355257122897</v>
      </c>
      <c r="AV65" s="13" t="n">
        <f aca="false">Inputs!$F$157*AV21*Time!AV30/12*(1+Inputs!$F$158*Inputs!$F$46*Time!AV41)*Inputs!$F$40</f>
        <v>3.35991275645434</v>
      </c>
      <c r="AW65" s="13" t="n">
        <f aca="false">Inputs!$F$157*AW21*Time!AW30/12*(1+Inputs!$F$158*Inputs!$F$46*Time!AW41)*Inputs!$F$40</f>
        <v>3.39667072779601</v>
      </c>
      <c r="AX65" s="13" t="n">
        <f aca="false">Inputs!$F$157*AX21*Time!AX30/12*(1+Inputs!$F$158*Inputs!$F$46*Time!AX41)*Inputs!$F$40</f>
        <v>3.43383083709634</v>
      </c>
      <c r="AY65" s="13" t="n">
        <f aca="false">Inputs!$F$157*AY21*Time!AY30/12*(1+Inputs!$F$158*Inputs!$F$46*Time!AY41)*Inputs!$F$40</f>
        <v>3.47139748380752</v>
      </c>
      <c r="AZ65" s="13" t="n">
        <f aca="false">Inputs!$F$157*AZ21*Time!AZ30/12*(1+Inputs!$F$158*Inputs!$F$46*Time!AZ41)*Inputs!$F$40</f>
        <v>3.50937511551246</v>
      </c>
      <c r="BA65" s="13" t="n">
        <f aca="false">Inputs!$F$157*BA21*Time!BA30/12*(1+Inputs!$F$158*Inputs!$F$46*Time!BA41)*Inputs!$F$40</f>
        <v>3.54776822845129</v>
      </c>
      <c r="BB65" s="13" t="n">
        <f aca="false">Inputs!$F$157*BB21*Time!BB30/12*(1+Inputs!$F$158*Inputs!$F$46*Time!BB41)*Inputs!$F$40</f>
        <v>3.58658136805373</v>
      </c>
      <c r="BC65" s="13" t="n">
        <f aca="false">Inputs!$F$157*BC21*Time!BC30/12*(1+Inputs!$F$158*Inputs!$F$46*Time!BC41)*Inputs!$F$40</f>
        <v>3.62581912947721</v>
      </c>
      <c r="BD65" s="13" t="n">
        <f aca="false">Inputs!$F$157*BD21*Time!BD30/12*(1+Inputs!$F$158*Inputs!$F$46*Time!BD41)*Inputs!$F$40</f>
        <v>3.66548615815091</v>
      </c>
      <c r="BE65" s="13" t="n">
        <f aca="false">Inputs!$F$157*BE21*Time!BE30/12*(1+Inputs!$F$158*Inputs!$F$46*Time!BE41)*Inputs!$F$40</f>
        <v>3.70558715032571</v>
      </c>
      <c r="BF65" s="13" t="n">
        <f aca="false">Inputs!$F$157*BF21*Time!BF30/12*(1+Inputs!$F$158*Inputs!$F$46*Time!BF41)*Inputs!$F$40</f>
        <v>3.74612685363023</v>
      </c>
      <c r="BG65" s="13" t="n">
        <f aca="false">Inputs!$F$157*BG21*Time!BG30/12*(1+Inputs!$F$158*Inputs!$F$46*Time!BG41)*Inputs!$F$40</f>
        <v>3.78711006763288</v>
      </c>
      <c r="BH65" s="13" t="n">
        <f aca="false">Inputs!$F$157*BH21*Time!BH30/12*(1+Inputs!$F$158*Inputs!$F$46*Time!BH41)*Inputs!$F$40</f>
        <v>3.82854164441009</v>
      </c>
      <c r="BI65" s="13" t="n">
        <f aca="false">Inputs!$F$157*BI21*Time!BI30/12*(1+Inputs!$F$158*Inputs!$F$46*Time!BI41)*Inputs!$F$40</f>
        <v>3.8704264891208</v>
      </c>
      <c r="BJ65" s="13" t="n">
        <f aca="false">Inputs!$F$157*BJ21*Time!BJ30/12*(1+Inputs!$F$158*Inputs!$F$46*Time!BJ41)*Inputs!$F$40</f>
        <v>3.91276956058712</v>
      </c>
      <c r="BK65" s="13" t="n">
        <f aca="false">Inputs!$F$157*BK21*Time!BK30/12*(1+Inputs!$F$158*Inputs!$F$46*Time!BK41)*Inputs!$F$40</f>
        <v>3.95557587188146</v>
      </c>
      <c r="BL65" s="13" t="n">
        <f aca="false">Inputs!$F$157*BL21*Time!BL30/12*(1+Inputs!$F$158*Inputs!$F$46*Time!BL41)*Inputs!$F$40</f>
        <v>3.99885049092003</v>
      </c>
      <c r="BM65" s="13" t="n">
        <f aca="false">Inputs!$F$157*BM21*Time!BM30/12*(1+Inputs!$F$158*Inputs!$F$46*Time!BM41)*Inputs!$F$40</f>
        <v>4.04259854106285</v>
      </c>
      <c r="BN65" s="13" t="n">
        <f aca="false">Inputs!$F$157*BN21*Time!BN30/12*(1+Inputs!$F$158*Inputs!$F$46*Time!BN41)*Inputs!$F$40</f>
        <v>3.40568766810023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117.542682440305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</v>
      </c>
      <c r="P66" s="13" t="n">
        <f aca="false">Inputs!$F$159*(Inputs!$F$218*P21+(1-Inputs!$F$218)*P27*Inputs!$F$153/P11)*Time!P30/12*Inputs!$F$40</f>
        <v>0.291854183961701</v>
      </c>
      <c r="Q66" s="13" t="n">
        <f aca="false">Inputs!$F$159*(Inputs!$F$218*Q21+(1-Inputs!$F$218)*Q27*Inputs!$F$153/Q11)*Time!Q30/12*Inputs!$F$40</f>
        <v>1.78197937490807</v>
      </c>
      <c r="R66" s="13" t="n">
        <f aca="false">Inputs!$F$159*(Inputs!$F$218*R21+(1-Inputs!$F$218)*R27*Inputs!$F$153/R11)*Time!R30/12*Inputs!$F$40</f>
        <v>1.80147450812797</v>
      </c>
      <c r="S66" s="13" t="n">
        <f aca="false">Inputs!$F$159*(Inputs!$F$218*S21+(1-Inputs!$F$218)*S27*Inputs!$F$153/S11)*Time!S30/12*Inputs!$F$40</f>
        <v>1.82118292115605</v>
      </c>
      <c r="T66" s="13" t="n">
        <f aca="false">Inputs!$F$159*(Inputs!$F$218*T21+(1-Inputs!$F$218)*T27*Inputs!$F$153/T11)*Time!T30/12*Inputs!$F$40</f>
        <v>1.84110694730679</v>
      </c>
      <c r="U66" s="13" t="n">
        <f aca="false">Inputs!$F$159*(Inputs!$F$218*U21+(1-Inputs!$F$218)*U27*Inputs!$F$153/U11)*Time!U30/12*Inputs!$F$40</f>
        <v>1.86124894542148</v>
      </c>
      <c r="V66" s="13" t="n">
        <f aca="false">Inputs!$F$159*(Inputs!$F$218*V21+(1-Inputs!$F$218)*V27*Inputs!$F$153/V11)*Time!V30/12*Inputs!$F$40</f>
        <v>1.88161130014754</v>
      </c>
      <c r="W66" s="13" t="n">
        <f aca="false">Inputs!$F$159*(Inputs!$F$218*W21+(1-Inputs!$F$218)*W27*Inputs!$F$153/W11)*Time!W30/12*Inputs!$F$40</f>
        <v>1.90219642222076</v>
      </c>
      <c r="X66" s="13" t="n">
        <f aca="false">Inputs!$F$159*(Inputs!$F$218*X21+(1-Inputs!$F$218)*X27*Inputs!$F$153/X11)*Time!X30/12*Inputs!$F$40</f>
        <v>1.92300674875078</v>
      </c>
      <c r="Y66" s="13" t="n">
        <f aca="false">Inputs!$F$159*(Inputs!$F$218*Y21+(1-Inputs!$F$218)*Y27*Inputs!$F$153/Y11)*Time!Y30/12*Inputs!$F$40</f>
        <v>1.94404474350961</v>
      </c>
      <c r="Z66" s="13" t="n">
        <f aca="false">Inputs!$F$159*(Inputs!$F$218*Z21+(1-Inputs!$F$218)*Z27*Inputs!$F$153/Z11)*Time!Z30/12*Inputs!$F$40</f>
        <v>1.9653128972233</v>
      </c>
      <c r="AA66" s="13" t="n">
        <f aca="false">Inputs!$F$159*(Inputs!$F$218*AA21+(1-Inputs!$F$218)*AA27*Inputs!$F$153/AA11)*Time!AA30/12*Inputs!$F$40</f>
        <v>1.98681372786682</v>
      </c>
      <c r="AB66" s="13" t="n">
        <f aca="false">Inputs!$F$159*(Inputs!$F$218*AB21+(1-Inputs!$F$218)*AB27*Inputs!$F$153/AB11)*Time!AB30/12*Inputs!$F$40</f>
        <v>2.00854978096221</v>
      </c>
      <c r="AC66" s="13" t="n">
        <f aca="false">Inputs!$F$159*(Inputs!$F$218*AC21+(1-Inputs!$F$218)*AC27*Inputs!$F$153/AC11)*Time!AC30/12*Inputs!$F$40</f>
        <v>2.03052362987989</v>
      </c>
      <c r="AD66" s="13" t="n">
        <f aca="false">Inputs!$F$159*(Inputs!$F$218*AD21+(1-Inputs!$F$218)*AD27*Inputs!$F$153/AD11)*Time!AD30/12*Inputs!$F$40</f>
        <v>2.05273787614338</v>
      </c>
      <c r="AE66" s="13" t="n">
        <f aca="false">Inputs!$F$159*(Inputs!$F$218*AE21+(1-Inputs!$F$218)*AE27*Inputs!$F$153/AE11)*Time!AE30/12*Inputs!$F$40</f>
        <v>2.07519514973725</v>
      </c>
      <c r="AF66" s="13" t="n">
        <f aca="false">Inputs!$F$159*(Inputs!$F$218*AF21+(1-Inputs!$F$218)*AF27*Inputs!$F$153/AF11)*Time!AF30/12*Inputs!$F$40</f>
        <v>2.09789810941853</v>
      </c>
      <c r="AG66" s="13" t="n">
        <f aca="false">Inputs!$F$159*(Inputs!$F$218*AG21+(1-Inputs!$F$218)*AG27*Inputs!$F$153/AG11)*Time!AG30/12*Inputs!$F$40</f>
        <v>2.12084944303147</v>
      </c>
      <c r="AH66" s="13" t="n">
        <f aca="false">Inputs!$F$159*(Inputs!$F$218*AH21+(1-Inputs!$F$218)*AH27*Inputs!$F$153/AH11)*Time!AH30/12*Inputs!$F$40</f>
        <v>2.14405186782574</v>
      </c>
      <c r="AI66" s="13" t="n">
        <f aca="false">Inputs!$F$159*(Inputs!$F$218*AI21+(1-Inputs!$F$218)*AI27*Inputs!$F$153/AI11)*Time!AI30/12*Inputs!$F$40</f>
        <v>2.16750813077816</v>
      </c>
      <c r="AJ66" s="13" t="n">
        <f aca="false">Inputs!$F$159*(Inputs!$F$218*AJ21+(1-Inputs!$F$218)*AJ27*Inputs!$F$153/AJ11)*Time!AJ30/12*Inputs!$F$40</f>
        <v>2.19122100891791</v>
      </c>
      <c r="AK66" s="13" t="n">
        <f aca="false">Inputs!$F$159*(Inputs!$F$218*AK21+(1-Inputs!$F$218)*AK27*Inputs!$F$153/AK11)*Time!AK30/12*Inputs!$F$40</f>
        <v>2.21519330965528</v>
      </c>
      <c r="AL66" s="13" t="n">
        <f aca="false">Inputs!$F$159*(Inputs!$F$218*AL21+(1-Inputs!$F$218)*AL27*Inputs!$F$153/AL11)*Time!AL30/12*Inputs!$F$40</f>
        <v>2.2394278711141</v>
      </c>
      <c r="AM66" s="13" t="n">
        <f aca="false">Inputs!$F$159*(Inputs!$F$218*AM21+(1-Inputs!$F$218)*AM27*Inputs!$F$153/AM11)*Time!AM30/12*Inputs!$F$40</f>
        <v>2.2639275624677</v>
      </c>
      <c r="AN66" s="13" t="n">
        <f aca="false">Inputs!$F$159*(Inputs!$F$218*AN21+(1-Inputs!$F$218)*AN27*Inputs!$F$153/AN11)*Time!AN30/12*Inputs!$F$40</f>
        <v>2.28869528427861</v>
      </c>
      <c r="AO66" s="13" t="n">
        <f aca="false">Inputs!$F$159*(Inputs!$F$218*AO21+(1-Inputs!$F$218)*AO27*Inputs!$F$153/AO11)*Time!AO30/12*Inputs!$F$40</f>
        <v>2.31373396884199</v>
      </c>
      <c r="AP66" s="13" t="n">
        <f aca="false">Inputs!$F$159*(Inputs!$F$218*AP21+(1-Inputs!$F$218)*AP27*Inputs!$F$153/AP11)*Time!AP30/12*Inputs!$F$40</f>
        <v>2.33904658053274</v>
      </c>
      <c r="AQ66" s="13" t="n">
        <f aca="false">Inputs!$F$159*(Inputs!$F$218*AQ21+(1-Inputs!$F$218)*AQ27*Inputs!$F$153/AQ11)*Time!AQ30/12*Inputs!$F$40</f>
        <v>2.36463611615651</v>
      </c>
      <c r="AR66" s="13" t="n">
        <f aca="false">Inputs!$F$159*(Inputs!$F$218*AR21+(1-Inputs!$F$218)*AR27*Inputs!$F$153/AR11)*Time!AR30/12*Inputs!$F$40</f>
        <v>2.39050560530446</v>
      </c>
      <c r="AS66" s="13" t="n">
        <f aca="false">Inputs!$F$159*(Inputs!$F$218*AS21+(1-Inputs!$F$218)*AS27*Inputs!$F$153/AS11)*Time!AS30/12*Inputs!$F$40</f>
        <v>2.41665811071195</v>
      </c>
      <c r="AT66" s="13" t="n">
        <f aca="false">Inputs!$F$159*(Inputs!$F$218*AT21+(1-Inputs!$F$218)*AT27*Inputs!$F$153/AT11)*Time!AT30/12*Inputs!$F$40</f>
        <v>2.44309672862116</v>
      </c>
      <c r="AU66" s="13" t="n">
        <f aca="false">Inputs!$F$159*(Inputs!$F$218*AU21+(1-Inputs!$F$218)*AU27*Inputs!$F$153/AU11)*Time!AU30/12*Inputs!$F$40</f>
        <v>2.46982458914762</v>
      </c>
      <c r="AV66" s="13" t="n">
        <f aca="false">Inputs!$F$159*(Inputs!$F$218*AV21+(1-Inputs!$F$218)*AV27*Inputs!$F$153/AV11)*Time!AV30/12*Inputs!$F$40</f>
        <v>2.49684485665083</v>
      </c>
      <c r="AW66" s="13" t="n">
        <f aca="false">Inputs!$F$159*(Inputs!$F$218*AW21+(1-Inputs!$F$218)*AW27*Inputs!$F$153/AW11)*Time!AW30/12*Inputs!$F$40</f>
        <v>2.52416073010887</v>
      </c>
      <c r="AX66" s="13" t="n">
        <f aca="false">Inputs!$F$159*(Inputs!$F$218*AX21+(1-Inputs!$F$218)*AX27*Inputs!$F$153/AX11)*Time!AX30/12*Inputs!$F$40</f>
        <v>2.55177544349714</v>
      </c>
      <c r="AY66" s="13" t="n">
        <f aca="false">Inputs!$F$159*(Inputs!$F$218*AY21+(1-Inputs!$F$218)*AY27*Inputs!$F$153/AY11)*Time!AY30/12*Inputs!$F$40</f>
        <v>2.57969226617126</v>
      </c>
      <c r="AZ66" s="13" t="n">
        <f aca="false">Inputs!$F$159*(Inputs!$F$218*AZ21+(1-Inputs!$F$218)*AZ27*Inputs!$F$153/AZ11)*Time!AZ30/12*Inputs!$F$40</f>
        <v>2.60791450325408</v>
      </c>
      <c r="BA66" s="13" t="n">
        <f aca="false">Inputs!$F$159*(Inputs!$F$218*BA21+(1-Inputs!$F$218)*BA27*Inputs!$F$153/BA11)*Time!BA30/12*Inputs!$F$40</f>
        <v>2.63644549602703</v>
      </c>
      <c r="BB66" s="13" t="n">
        <f aca="false">Inputs!$F$159*(Inputs!$F$218*BB21+(1-Inputs!$F$218)*BB27*Inputs!$F$153/BB11)*Time!BB30/12*Inputs!$F$40</f>
        <v>2.66528862232567</v>
      </c>
      <c r="BC66" s="13" t="n">
        <f aca="false">Inputs!$F$159*(Inputs!$F$218*BC21+(1-Inputs!$F$218)*BC27*Inputs!$F$153/BC11)*Time!BC30/12*Inputs!$F$40</f>
        <v>2.69444729693962</v>
      </c>
      <c r="BD66" s="13" t="n">
        <f aca="false">Inputs!$F$159*(Inputs!$F$218*BD21+(1-Inputs!$F$218)*BD27*Inputs!$F$153/BD11)*Time!BD30/12*Inputs!$F$40</f>
        <v>2.72392497201683</v>
      </c>
      <c r="BE66" s="13" t="n">
        <f aca="false">Inputs!$F$159*(Inputs!$F$218*BE21+(1-Inputs!$F$218)*BE27*Inputs!$F$153/BE11)*Time!BE30/12*Inputs!$F$40</f>
        <v>2.75372513747229</v>
      </c>
      <c r="BF66" s="13" t="n">
        <f aca="false">Inputs!$F$159*(Inputs!$F$218*BF21+(1-Inputs!$F$218)*BF27*Inputs!$F$153/BF11)*Time!BF30/12*Inputs!$F$40</f>
        <v>2.7838513214012</v>
      </c>
      <c r="BG66" s="13" t="n">
        <f aca="false">Inputs!$F$159*(Inputs!$F$218*BG21+(1-Inputs!$F$218)*BG27*Inputs!$F$153/BG11)*Time!BG30/12*Inputs!$F$40</f>
        <v>2.81430709049668</v>
      </c>
      <c r="BH66" s="13" t="n">
        <f aca="false">Inputs!$F$159*(Inputs!$F$218*BH21+(1-Inputs!$F$218)*BH27*Inputs!$F$153/BH11)*Time!BH30/12*Inputs!$F$40</f>
        <v>2.84509605047203</v>
      </c>
      <c r="BI66" s="13" t="n">
        <f aca="false">Inputs!$F$159*(Inputs!$F$218*BI21+(1-Inputs!$F$218)*BI27*Inputs!$F$153/BI11)*Time!BI30/12*Inputs!$F$40</f>
        <v>2.87622184648761</v>
      </c>
      <c r="BJ66" s="13" t="n">
        <f aca="false">Inputs!$F$159*(Inputs!$F$218*BJ21+(1-Inputs!$F$218)*BJ27*Inputs!$F$153/BJ11)*Time!BJ30/12*Inputs!$F$40</f>
        <v>2.90768816358242</v>
      </c>
      <c r="BK66" s="13" t="n">
        <f aca="false">Inputs!$F$159*(Inputs!$F$218*BK21+(1-Inputs!$F$218)*BK27*Inputs!$F$153/BK11)*Time!BK30/12*Inputs!$F$40</f>
        <v>2.93949872711034</v>
      </c>
      <c r="BL66" s="13" t="n">
        <f aca="false">Inputs!$F$159*(Inputs!$F$218*BL21+(1-Inputs!$F$218)*BL27*Inputs!$F$153/BL11)*Time!BL30/12*Inputs!$F$40</f>
        <v>2.97165730318123</v>
      </c>
      <c r="BM66" s="13" t="n">
        <f aca="false">Inputs!$F$159*(Inputs!$F$218*BM21+(1-Inputs!$F$218)*BM27*Inputs!$F$153/BM11)*Time!BM30/12*Inputs!$F$40</f>
        <v>3.00416769910677</v>
      </c>
      <c r="BN66" s="13" t="n">
        <f aca="false">Inputs!$F$159*(Inputs!$F$218*BN21+(1-Inputs!$F$218)*BN27*Inputs!$F$153/BN11)*Time!BN30/12*Inputs!$F$40</f>
        <v>2.53086146987601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26.8672740893257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</v>
      </c>
      <c r="P67" s="13" t="n">
        <f aca="false">Inputs!$F$160*P27/P11*Time!P30/12*Inputs!$F$40</f>
        <v>0.0666757454627242</v>
      </c>
      <c r="Q67" s="13" t="n">
        <f aca="false">Inputs!$F$160*Q27/Q11*Time!Q30/12*Inputs!$F$40</f>
        <v>0.407315787821527</v>
      </c>
      <c r="R67" s="13" t="n">
        <f aca="false">Inputs!$F$160*R27/R11*Time!R30/12*Inputs!$F$40</f>
        <v>0.411771886280331</v>
      </c>
      <c r="S67" s="13" t="n">
        <f aca="false">Inputs!$F$160*S27/S11*Time!S30/12*Inputs!$F$40</f>
        <v>0.416276735153601</v>
      </c>
      <c r="T67" s="13" t="n">
        <f aca="false">Inputs!$F$160*T27/T11*Time!T30/12*Inputs!$F$40</f>
        <v>0.420830867778499</v>
      </c>
      <c r="U67" s="13" t="n">
        <f aca="false">Inputs!$F$160*U27/U11*Time!U30/12*Inputs!$F$40</f>
        <v>0.42543482332698</v>
      </c>
      <c r="V67" s="13" t="n">
        <f aca="false">Inputs!$F$160*V27/V11*Time!V30/12*Inputs!$F$40</f>
        <v>0.430089146869626</v>
      </c>
      <c r="W67" s="13" t="n">
        <f aca="false">Inputs!$F$160*W27/W11*Time!W30/12*Inputs!$F$40</f>
        <v>0.434794389440174</v>
      </c>
      <c r="X67" s="13" t="n">
        <f aca="false">Inputs!$F$160*X27/X11*Time!X30/12*Inputs!$F$40</f>
        <v>0.439551108100758</v>
      </c>
      <c r="Y67" s="13" t="n">
        <f aca="false">Inputs!$F$160*Y27/Y11*Time!Y30/12*Inputs!$F$40</f>
        <v>0.444359866007858</v>
      </c>
      <c r="Z67" s="13" t="n">
        <f aca="false">Inputs!$F$160*Z27/Z11*Time!Z30/12*Inputs!$F$40</f>
        <v>0.449221232478974</v>
      </c>
      <c r="AA67" s="13" t="n">
        <f aca="false">Inputs!$F$160*AA27/AA11*Time!AA30/12*Inputs!$F$40</f>
        <v>0.45413578306003</v>
      </c>
      <c r="AB67" s="13" t="n">
        <f aca="false">Inputs!$F$160*AB27/AB11*Time!AB30/12*Inputs!$F$40</f>
        <v>0.459104099593512</v>
      </c>
      <c r="AC67" s="13" t="n">
        <f aca="false">Inputs!$F$160*AC27/AC11*Time!AC30/12*Inputs!$F$40</f>
        <v>0.464126770287351</v>
      </c>
      <c r="AD67" s="13" t="n">
        <f aca="false">Inputs!$F$160*AD27/AD11*Time!AD30/12*Inputs!$F$40</f>
        <v>0.469204389784569</v>
      </c>
      <c r="AE67" s="13" t="n">
        <f aca="false">Inputs!$F$160*AE27/AE11*Time!AE30/12*Inputs!$F$40</f>
        <v>0.474337559233673</v>
      </c>
      <c r="AF67" s="13" t="n">
        <f aca="false">Inputs!$F$160*AF27/AF11*Time!AF30/12*Inputs!$F$40</f>
        <v>0.47952688635983</v>
      </c>
      <c r="AG67" s="13" t="n">
        <f aca="false">Inputs!$F$160*AG27/AG11*Time!AG30/12*Inputs!$F$40</f>
        <v>0.484772985536814</v>
      </c>
      <c r="AH67" s="13" t="n">
        <f aca="false">Inputs!$F$160*AH27/AH11*Time!AH30/12*Inputs!$F$40</f>
        <v>0.490076477859746</v>
      </c>
      <c r="AI67" s="13" t="n">
        <f aca="false">Inputs!$F$160*AI27/AI11*Time!AI30/12*Inputs!$F$40</f>
        <v>0.495437991218624</v>
      </c>
      <c r="AJ67" s="13" t="n">
        <f aca="false">Inputs!$F$160*AJ27/AJ11*Time!AJ30/12*Inputs!$F$40</f>
        <v>0.500858160372661</v>
      </c>
      <c r="AK67" s="13" t="n">
        <f aca="false">Inputs!$F$160*AK27/AK11*Time!AK30/12*Inputs!$F$40</f>
        <v>0.506337627025434</v>
      </c>
      <c r="AL67" s="13" t="n">
        <f aca="false">Inputs!$F$160*AL27/AL11*Time!AL30/12*Inputs!$F$40</f>
        <v>0.511877039900859</v>
      </c>
      <c r="AM67" s="13" t="n">
        <f aca="false">Inputs!$F$160*AM27/AM11*Time!AM30/12*Inputs!$F$40</f>
        <v>0.517477054819993</v>
      </c>
      <c r="AN67" s="13" t="n">
        <f aca="false">Inputs!$F$160*AN27/AN11*Time!AN30/12*Inputs!$F$40</f>
        <v>0.523138334778678</v>
      </c>
      <c r="AO67" s="13" t="n">
        <f aca="false">Inputs!$F$160*AO27/AO11*Time!AO30/12*Inputs!$F$40</f>
        <v>0.528861550026033</v>
      </c>
      <c r="AP67" s="13" t="n">
        <f aca="false">Inputs!$F$160*AP27/AP11*Time!AP30/12*Inputs!$F$40</f>
        <v>0.534647378143809</v>
      </c>
      <c r="AQ67" s="13" t="n">
        <f aca="false">Inputs!$F$160*AQ27/AQ11*Time!AQ30/12*Inputs!$F$40</f>
        <v>0.540496504126606</v>
      </c>
      <c r="AR67" s="13" t="n">
        <f aca="false">Inputs!$F$160*AR27/AR11*Time!AR30/12*Inputs!$F$40</f>
        <v>0.546409620462973</v>
      </c>
      <c r="AS67" s="13" t="n">
        <f aca="false">Inputs!$F$160*AS27/AS11*Time!AS30/12*Inputs!$F$40</f>
        <v>0.552387427217391</v>
      </c>
      <c r="AT67" s="13" t="n">
        <f aca="false">Inputs!$F$160*AT27/AT11*Time!AT30/12*Inputs!$F$40</f>
        <v>0.558430632113158</v>
      </c>
      <c r="AU67" s="13" t="n">
        <f aca="false">Inputs!$F$160*AU27/AU11*Time!AU30/12*Inputs!$F$40</f>
        <v>0.564539950616174</v>
      </c>
      <c r="AV67" s="13" t="n">
        <f aca="false">Inputs!$F$160*AV27/AV11*Time!AV30/12*Inputs!$F$40</f>
        <v>0.570716106019648</v>
      </c>
      <c r="AW67" s="13" t="n">
        <f aca="false">Inputs!$F$160*AW27/AW11*Time!AW30/12*Inputs!$F$40</f>
        <v>0.57695982952973</v>
      </c>
      <c r="AX67" s="13" t="n">
        <f aca="false">Inputs!$F$160*AX27/AX11*Time!AX30/12*Inputs!$F$40</f>
        <v>0.58327186035208</v>
      </c>
      <c r="AY67" s="13" t="n">
        <f aca="false">Inputs!$F$160*AY27/AY11*Time!AY30/12*Inputs!$F$40</f>
        <v>0.589652945779384</v>
      </c>
      <c r="AZ67" s="13" t="n">
        <f aca="false">Inputs!$F$160*AZ27/AZ11*Time!AZ30/12*Inputs!$F$40</f>
        <v>0.596103841279826</v>
      </c>
      <c r="BA67" s="13" t="n">
        <f aca="false">Inputs!$F$160*BA27/BA11*Time!BA30/12*Inputs!$F$40</f>
        <v>0.602625310586531</v>
      </c>
      <c r="BB67" s="13" t="n">
        <f aca="false">Inputs!$F$160*BB27/BB11*Time!BB30/12*Inputs!$F$40</f>
        <v>0.609218125787982</v>
      </c>
      <c r="BC67" s="13" t="n">
        <f aca="false">Inputs!$F$160*BC27/BC11*Time!BC30/12*Inputs!$F$40</f>
        <v>0.615883067419434</v>
      </c>
      <c r="BD67" s="13" t="n">
        <f aca="false">Inputs!$F$160*BD27/BD11*Time!BD30/12*Inputs!$F$40</f>
        <v>0.622620924555318</v>
      </c>
      <c r="BE67" s="13" t="n">
        <f aca="false">Inputs!$F$160*BE27/BE11*Time!BE30/12*Inputs!$F$40</f>
        <v>0.629432494902662</v>
      </c>
      <c r="BF67" s="13" t="n">
        <f aca="false">Inputs!$F$160*BF27/BF11*Time!BF30/12*Inputs!$F$40</f>
        <v>0.636318584895535</v>
      </c>
      <c r="BG67" s="13" t="n">
        <f aca="false">Inputs!$F$160*BG27/BG11*Time!BG30/12*Inputs!$F$40</f>
        <v>0.64328000979052</v>
      </c>
      <c r="BH67" s="13" t="n">
        <f aca="false">Inputs!$F$160*BH27/BH11*Time!BH30/12*Inputs!$F$40</f>
        <v>0.650317593763237</v>
      </c>
      <c r="BI67" s="13" t="n">
        <f aca="false">Inputs!$F$160*BI27/BI11*Time!BI30/12*Inputs!$F$40</f>
        <v>0.657432170005912</v>
      </c>
      <c r="BJ67" s="13" t="n">
        <f aca="false">Inputs!$F$160*BJ27/BJ11*Time!BJ30/12*Inputs!$F$40</f>
        <v>0.664624580826028</v>
      </c>
      <c r="BK67" s="13" t="n">
        <f aca="false">Inputs!$F$160*BK27/BK11*Time!BK30/12*Inputs!$F$40</f>
        <v>0.671895677746042</v>
      </c>
      <c r="BL67" s="13" t="n">
        <f aca="false">Inputs!$F$160*BL27/BL11*Time!BL30/12*Inputs!$F$40</f>
        <v>0.679246321604201</v>
      </c>
      <c r="BM67" s="13" t="n">
        <f aca="false">Inputs!$F$160*BM27/BM11*Time!BM30/12*Inputs!$F$40</f>
        <v>0.686677382656455</v>
      </c>
      <c r="BN67" s="13" t="n">
        <f aca="false">Inputs!$F$160*BN27/BN11*Time!BN30/12*Inputs!$F$40</f>
        <v>0.578491450566244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21.1145285603769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</v>
      </c>
      <c r="P68" s="13" t="n">
        <f aca="false">Inputs!$F$161/100*P55</f>
        <v>0.0617918320971353</v>
      </c>
      <c r="Q68" s="13" t="n">
        <f aca="false">Inputs!$F$161/100*Q55</f>
        <v>0.374287199243961</v>
      </c>
      <c r="R68" s="13" t="n">
        <f aca="false">Inputs!$F$161/100*R55</f>
        <v>0.376841979432788</v>
      </c>
      <c r="S68" s="13" t="n">
        <f aca="false">Inputs!$F$161/100*S55</f>
        <v>0.378167055913794</v>
      </c>
      <c r="T68" s="13" t="n">
        <f aca="false">Inputs!$F$161/100*T55</f>
        <v>0.379928770132999</v>
      </c>
      <c r="U68" s="13" t="n">
        <f aca="false">Inputs!$F$161/100*U55</f>
        <v>0.381996828424249</v>
      </c>
      <c r="V68" s="13" t="n">
        <f aca="false">Inputs!$F$161/100*V55</f>
        <v>0.38347092209078</v>
      </c>
      <c r="W68" s="13" t="n">
        <f aca="false">Inputs!$F$161/100*W55</f>
        <v>0.383917877163426</v>
      </c>
      <c r="X68" s="13" t="n">
        <f aca="false">Inputs!$F$161/100*X55</f>
        <v>0.385933686448566</v>
      </c>
      <c r="Y68" s="13" t="n">
        <f aca="false">Inputs!$F$161/100*Y55</f>
        <v>0.389035409110073</v>
      </c>
      <c r="Z68" s="13" t="n">
        <f aca="false">Inputs!$F$161/100*Z55</f>
        <v>0.390767070067416</v>
      </c>
      <c r="AA68" s="13" t="n">
        <f aca="false">Inputs!$F$161/100*AA55</f>
        <v>0.392211848745237</v>
      </c>
      <c r="AB68" s="13" t="n">
        <f aca="false">Inputs!$F$161/100*AB55</f>
        <v>0.394130197419897</v>
      </c>
      <c r="AC68" s="13" t="n">
        <f aca="false">Inputs!$F$161/100*AC55</f>
        <v>0.396380823182755</v>
      </c>
      <c r="AD68" s="13" t="n">
        <f aca="false">Inputs!$F$161/100*AD55</f>
        <v>0.397821664201092</v>
      </c>
      <c r="AE68" s="13" t="n">
        <f aca="false">Inputs!$F$161/100*AE55</f>
        <v>0.392411809523061</v>
      </c>
      <c r="AF68" s="13" t="n">
        <f aca="false">Inputs!$F$161/100*AF55</f>
        <v>0.398068778378124</v>
      </c>
      <c r="AG68" s="13" t="n">
        <f aca="false">Inputs!$F$161/100*AG55</f>
        <v>0.404046440866792</v>
      </c>
      <c r="AH68" s="13" t="n">
        <f aca="false">Inputs!$F$161/100*AH55</f>
        <v>0.405932723184783</v>
      </c>
      <c r="AI68" s="13" t="n">
        <f aca="false">Inputs!$F$161/100*AI55</f>
        <v>0.407508016990716</v>
      </c>
      <c r="AJ68" s="13" t="n">
        <f aca="false">Inputs!$F$161/100*AJ55</f>
        <v>0.409596919222815</v>
      </c>
      <c r="AK68" s="13" t="n">
        <f aca="false">Inputs!$F$161/100*AK55</f>
        <v>0.41204621473885</v>
      </c>
      <c r="AL68" s="13" t="n">
        <f aca="false">Inputs!$F$161/100*AL55</f>
        <v>0.413797293366473</v>
      </c>
      <c r="AM68" s="13" t="n">
        <f aca="false">Inputs!$F$161/100*AM55</f>
        <v>0.414340846126749</v>
      </c>
      <c r="AN68" s="13" t="n">
        <f aca="false">Inputs!$F$161/100*AN55</f>
        <v>0.416729278402669</v>
      </c>
      <c r="AO68" s="13" t="n">
        <f aca="false">Inputs!$F$161/100*AO55</f>
        <v>0.420394705081124</v>
      </c>
      <c r="AP68" s="13" t="n">
        <f aca="false">Inputs!$F$161/100*AP55</f>
        <v>0.422449410272881</v>
      </c>
      <c r="AQ68" s="13" t="n">
        <f aca="false">Inputs!$F$161/100*AQ55</f>
        <v>0.424167008845992</v>
      </c>
      <c r="AR68" s="13" t="n">
        <f aca="false">Inputs!$F$161/100*AR55</f>
        <v>0.426441619959295</v>
      </c>
      <c r="AS68" s="13" t="n">
        <f aca="false">Inputs!$F$161/100*AS55</f>
        <v>0.429107106337954</v>
      </c>
      <c r="AT68" s="13" t="n">
        <f aca="false">Inputs!$F$161/100*AT55</f>
        <v>0.430820697726587</v>
      </c>
      <c r="AU68" s="13" t="n">
        <f aca="false">Inputs!$F$161/100*AU55</f>
        <v>0.425012806213147</v>
      </c>
      <c r="AV68" s="13" t="n">
        <f aca="false">Inputs!$F$161/100*AV55</f>
        <v>0.431335359288586</v>
      </c>
      <c r="AW68" s="13" t="n">
        <f aca="false">Inputs!$F$161/100*AW55</f>
        <v>0.438199274723702</v>
      </c>
      <c r="AX68" s="13" t="n">
        <f aca="false">Inputs!$F$161/100*AX55</f>
        <v>0.44043743578642</v>
      </c>
      <c r="AY68" s="13" t="n">
        <f aca="false">Inputs!$F$161/100*AY55</f>
        <v>0.442310193693215</v>
      </c>
      <c r="AZ68" s="13" t="n">
        <f aca="false">Inputs!$F$161/100*AZ55</f>
        <v>0.444787014964745</v>
      </c>
      <c r="BA68" s="13" t="n">
        <f aca="false">Inputs!$F$161/100*BA55</f>
        <v>0.447687757031931</v>
      </c>
      <c r="BB68" s="13" t="n">
        <f aca="false">Inputs!$F$161/100*BB55</f>
        <v>0.449767859063879</v>
      </c>
      <c r="BC68" s="13" t="n">
        <f aca="false">Inputs!$F$161/100*BC55</f>
        <v>0.45042858539543</v>
      </c>
      <c r="BD68" s="13" t="n">
        <f aca="false">Inputs!$F$161/100*BD55</f>
        <v>0.453258463203376</v>
      </c>
      <c r="BE68" s="13" t="n">
        <f aca="false">Inputs!$F$161/100*BE55</f>
        <v>0.457589820698173</v>
      </c>
      <c r="BF68" s="13" t="n">
        <f aca="false">Inputs!$F$161/100*BF55</f>
        <v>0.460027811955452</v>
      </c>
      <c r="BG68" s="13" t="n">
        <f aca="false">Inputs!$F$161/100*BG55</f>
        <v>0.462069744877486</v>
      </c>
      <c r="BH68" s="13" t="n">
        <f aca="false">Inputs!$F$161/100*BH55</f>
        <v>0.46476674300326</v>
      </c>
      <c r="BI68" s="13" t="n">
        <f aca="false">Inputs!$F$161/100*BI55</f>
        <v>0.467923485170764</v>
      </c>
      <c r="BJ68" s="13" t="n">
        <f aca="false">Inputs!$F$161/100*BJ55</f>
        <v>0.469961457337361</v>
      </c>
      <c r="BK68" s="13" t="n">
        <f aca="false">Inputs!$F$161/100*BK55</f>
        <v>0.46368454789298</v>
      </c>
      <c r="BL68" s="13" t="n">
        <f aca="false">Inputs!$F$161/100*BL55</f>
        <v>0.470796598658394</v>
      </c>
      <c r="BM68" s="13" t="n">
        <f aca="false">Inputs!$F$161/100*BM55</f>
        <v>0.478707554646674</v>
      </c>
      <c r="BN68" s="13" t="n">
        <f aca="false">Inputs!$F$161/100*BN55</f>
        <v>0.401234014072919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138.57633537967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</v>
      </c>
      <c r="P69" s="13" t="n">
        <f aca="false">Inputs!$F$162*(Inputs!$F$219*P21+(1-Inputs!$F$219)*P27*Inputs!$F$153/P11)*P38/1000000</f>
        <v>0.356005252375428</v>
      </c>
      <c r="Q69" s="13" t="n">
        <f aca="false">Inputs!$F$162*(Inputs!$F$219*Q21+(1-Inputs!$F$219)*Q27*Inputs!$F$153/Q11)*Q38/1000000</f>
        <v>2.17225010814421</v>
      </c>
      <c r="R69" s="13" t="n">
        <f aca="false">Inputs!$F$162*(Inputs!$F$219*R21+(1-Inputs!$F$219)*R27*Inputs!$F$153/R11)*R38/1000000</f>
        <v>2.19085791347435</v>
      </c>
      <c r="S69" s="13" t="n">
        <f aca="false">Inputs!$F$162*(Inputs!$F$219*S21+(1-Inputs!$F$219)*S27*Inputs!$F$153/S11)*S38/1000000</f>
        <v>2.19543883304111</v>
      </c>
      <c r="T69" s="13" t="n">
        <f aca="false">Inputs!$F$162*(Inputs!$F$219*T21+(1-Inputs!$F$219)*T27*Inputs!$F$153/T11)*T38/1000000</f>
        <v>2.2213702786757</v>
      </c>
      <c r="U69" s="13" t="n">
        <f aca="false">Inputs!$F$162*(Inputs!$F$219*U21+(1-Inputs!$F$219)*U27*Inputs!$F$153/U11)*U38/1000000</f>
        <v>2.2620704354858</v>
      </c>
      <c r="V69" s="13" t="n">
        <f aca="false">Inputs!$F$162*(Inputs!$F$219*V21+(1-Inputs!$F$219)*V27*Inputs!$F$153/V11)*V38/1000000</f>
        <v>2.27210397089118</v>
      </c>
      <c r="W69" s="13" t="n">
        <f aca="false">Inputs!$F$162*(Inputs!$F$219*W21+(1-Inputs!$F$219)*W27*Inputs!$F$153/W11)*W38/1000000</f>
        <v>2.22960616470855</v>
      </c>
      <c r="X69" s="13" t="n">
        <f aca="false">Inputs!$F$162*(Inputs!$F$219*X21+(1-Inputs!$F$219)*X27*Inputs!$F$153/X11)*X38/1000000</f>
        <v>2.26555798029862</v>
      </c>
      <c r="Y69" s="13" t="n">
        <f aca="false">Inputs!$F$162*(Inputs!$F$219*Y21+(1-Inputs!$F$219)*Y27*Inputs!$F$153/Y11)*Y38/1000000</f>
        <v>2.35558339216172</v>
      </c>
      <c r="Z69" s="13" t="n">
        <f aca="false">Inputs!$F$162*(Inputs!$F$219*Z21+(1-Inputs!$F$219)*Z27*Inputs!$F$153/Z11)*Z38/1000000</f>
        <v>2.37575088230131</v>
      </c>
      <c r="AA69" s="13" t="n">
        <f aca="false">Inputs!$F$162*(Inputs!$F$219*AA21+(1-Inputs!$F$219)*AA27*Inputs!$F$153/AA11)*AA38/1000000</f>
        <v>2.38070758610042</v>
      </c>
      <c r="AB69" s="13" t="n">
        <f aca="false">Inputs!$F$162*(Inputs!$F$219*AB21+(1-Inputs!$F$219)*AB27*Inputs!$F$153/AB11)*AB38/1000000</f>
        <v>2.40881637801492</v>
      </c>
      <c r="AC69" s="13" t="n">
        <f aca="false">Inputs!$F$162*(Inputs!$F$219*AC21+(1-Inputs!$F$219)*AC27*Inputs!$F$153/AC11)*AC38/1000000</f>
        <v>2.45293976519652</v>
      </c>
      <c r="AD69" s="13" t="n">
        <f aca="false">Inputs!$F$162*(Inputs!$F$219*AD21+(1-Inputs!$F$219)*AD27*Inputs!$F$153/AD11)*AD38/1000000</f>
        <v>2.4554433444241</v>
      </c>
      <c r="AE69" s="13" t="n">
        <f aca="false">Inputs!$F$162*(Inputs!$F$219*AE21+(1-Inputs!$F$219)*AE27*Inputs!$F$153/AE11)*AE38/1000000</f>
        <v>2.36701152600663</v>
      </c>
      <c r="AF69" s="13" t="n">
        <f aca="false">Inputs!$F$162*(Inputs!$F$219*AF21+(1-Inputs!$F$219)*AF27*Inputs!$F$153/AF11)*AF38/1000000</f>
        <v>2.41400587312065</v>
      </c>
      <c r="AG69" s="13" t="n">
        <f aca="false">Inputs!$F$162*(Inputs!$F$219*AG21+(1-Inputs!$F$219)*AG27*Inputs!$F$153/AG11)*AG38/1000000</f>
        <v>2.55429644976287</v>
      </c>
      <c r="AH69" s="13" t="n">
        <f aca="false">Inputs!$F$162*(Inputs!$F$219*AH21+(1-Inputs!$F$219)*AH27*Inputs!$F$153/AH11)*AH38/1000000</f>
        <v>2.57615341026942</v>
      </c>
      <c r="AI69" s="13" t="n">
        <f aca="false">Inputs!$F$162*(Inputs!$F$219*AI21+(1-Inputs!$F$219)*AI27*Inputs!$F$153/AI11)*AI38/1000000</f>
        <v>2.58151636079197</v>
      </c>
      <c r="AJ69" s="13" t="n">
        <f aca="false">Inputs!$F$162*(Inputs!$F$219*AJ21+(1-Inputs!$F$219)*AJ27*Inputs!$F$153/AJ11)*AJ38/1000000</f>
        <v>2.61198405703413</v>
      </c>
      <c r="AK69" s="13" t="n">
        <f aca="false">Inputs!$F$162*(Inputs!$F$219*AK21+(1-Inputs!$F$219)*AK27*Inputs!$F$153/AK11)*AK38/1000000</f>
        <v>2.65981669422997</v>
      </c>
      <c r="AL69" s="13" t="n">
        <f aca="false">Inputs!$F$162*(Inputs!$F$219*AL21+(1-Inputs!$F$219)*AL27*Inputs!$F$153/AL11)*AL38/1000000</f>
        <v>2.67158992728654</v>
      </c>
      <c r="AM69" s="13" t="n">
        <f aca="false">Inputs!$F$162*(Inputs!$F$219*AM21+(1-Inputs!$F$219)*AM27*Inputs!$F$153/AM11)*AM38/1000000</f>
        <v>2.62159596525384</v>
      </c>
      <c r="AN69" s="13" t="n">
        <f aca="false">Inputs!$F$162*(Inputs!$F$219*AN21+(1-Inputs!$F$219)*AN27*Inputs!$F$153/AN11)*AN38/1000000</f>
        <v>2.66384398324896</v>
      </c>
      <c r="AO69" s="13" t="n">
        <f aca="false">Inputs!$F$162*(Inputs!$F$219*AO21+(1-Inputs!$F$219)*AO27*Inputs!$F$153/AO11)*AO38/1000000</f>
        <v>2.76967035492642</v>
      </c>
      <c r="AP69" s="13" t="n">
        <f aca="false">Inputs!$F$162*(Inputs!$F$219*AP21+(1-Inputs!$F$219)*AP27*Inputs!$F$153/AP11)*AP38/1000000</f>
        <v>2.79335727786625</v>
      </c>
      <c r="AQ69" s="13" t="n">
        <f aca="false">Inputs!$F$162*(Inputs!$F$219*AQ21+(1-Inputs!$F$219)*AQ27*Inputs!$F$153/AQ11)*AQ38/1000000</f>
        <v>2.79915937030351</v>
      </c>
      <c r="AR69" s="13" t="n">
        <f aca="false">Inputs!$F$162*(Inputs!$F$219*AR21+(1-Inputs!$F$219)*AR27*Inputs!$F$153/AR11)*AR38/1000000</f>
        <v>2.83218254363832</v>
      </c>
      <c r="AS69" s="13" t="n">
        <f aca="false">Inputs!$F$162*(Inputs!$F$219*AS21+(1-Inputs!$F$219)*AS27*Inputs!$F$153/AS11)*AS38/1000000</f>
        <v>2.88403416099702</v>
      </c>
      <c r="AT69" s="13" t="n">
        <f aca="false">Inputs!$F$162*(Inputs!$F$219*AT21+(1-Inputs!$F$219)*AT27*Inputs!$F$153/AT11)*AT38/1000000</f>
        <v>2.88695090560585</v>
      </c>
      <c r="AU69" s="13" t="n">
        <f aca="false">Inputs!$F$162*(Inputs!$F$219*AU21+(1-Inputs!$F$219)*AU27*Inputs!$F$153/AU11)*AU38/1000000</f>
        <v>2.78295261177506</v>
      </c>
      <c r="AV69" s="13" t="n">
        <f aca="false">Inputs!$F$162*(Inputs!$F$219*AV21+(1-Inputs!$F$219)*AV27*Inputs!$F$153/AV11)*AV38/1000000</f>
        <v>2.83817854449456</v>
      </c>
      <c r="AW69" s="13" t="n">
        <f aca="false">Inputs!$F$162*(Inputs!$F$219*AW21+(1-Inputs!$F$219)*AW27*Inputs!$F$153/AW11)*AW38/1000000</f>
        <v>3.00309198974731</v>
      </c>
      <c r="AX69" s="13" t="n">
        <f aca="false">Inputs!$F$162*(Inputs!$F$219*AX21+(1-Inputs!$F$219)*AX27*Inputs!$F$153/AX11)*AX38/1000000</f>
        <v>3.028760947643</v>
      </c>
      <c r="AY69" s="13" t="n">
        <f aca="false">Inputs!$F$162*(Inputs!$F$219*AY21+(1-Inputs!$F$219)*AY27*Inputs!$F$153/AY11)*AY38/1000000</f>
        <v>3.03503770041398</v>
      </c>
      <c r="AZ69" s="13" t="n">
        <f aca="false">Inputs!$F$162*(Inputs!$F$219*AZ21+(1-Inputs!$F$219)*AZ27*Inputs!$F$153/AZ11)*AZ38/1000000</f>
        <v>3.07082916767985</v>
      </c>
      <c r="BA69" s="13" t="n">
        <f aca="false">Inputs!$F$162*(Inputs!$F$219*BA21+(1-Inputs!$F$219)*BA27*Inputs!$F$153/BA11)*BA38/1000000</f>
        <v>3.12703515288488</v>
      </c>
      <c r="BB69" s="13" t="n">
        <f aca="false">Inputs!$F$162*(Inputs!$F$219*BB21+(1-Inputs!$F$219)*BB27*Inputs!$F$153/BB11)*BB38/1000000</f>
        <v>3.14084690280386</v>
      </c>
      <c r="BC69" s="13" t="n">
        <f aca="false">Inputs!$F$162*(Inputs!$F$219*BC21+(1-Inputs!$F$219)*BC27*Inputs!$F$153/BC11)*BC38/1000000</f>
        <v>3.08204260851317</v>
      </c>
      <c r="BD69" s="13" t="n">
        <f aca="false">Inputs!$F$162*(Inputs!$F$219*BD21+(1-Inputs!$F$219)*BD27*Inputs!$F$153/BD11)*BD38/1000000</f>
        <v>3.13168134789772</v>
      </c>
      <c r="BE69" s="13" t="n">
        <f aca="false">Inputs!$F$162*(Inputs!$F$219*BE21+(1-Inputs!$F$219)*BE27*Inputs!$F$153/BE11)*BE38/1000000</f>
        <v>3.25606269408198</v>
      </c>
      <c r="BF69" s="13" t="n">
        <f aca="false">Inputs!$F$162*(Inputs!$F$219*BF21+(1-Inputs!$F$219)*BF27*Inputs!$F$153/BF11)*BF38/1000000</f>
        <v>3.2838782842683</v>
      </c>
      <c r="BG69" s="13" t="n">
        <f aca="false">Inputs!$F$162*(Inputs!$F$219*BG21+(1-Inputs!$F$219)*BG27*Inputs!$F$153/BG11)*BG38/1000000</f>
        <v>3.29066804408137</v>
      </c>
      <c r="BH69" s="13" t="n">
        <f aca="false">Inputs!$F$162*(Inputs!$F$219*BH21+(1-Inputs!$F$219)*BH27*Inputs!$F$153/BH11)*BH38/1000000</f>
        <v>3.32945819496665</v>
      </c>
      <c r="BI69" s="13" t="n">
        <f aca="false">Inputs!$F$162*(Inputs!$F$219*BI21+(1-Inputs!$F$219)*BI27*Inputs!$F$153/BI11)*BI38/1000000</f>
        <v>3.39038169830033</v>
      </c>
      <c r="BJ69" s="13" t="n">
        <f aca="false">Inputs!$F$162*(Inputs!$F$219*BJ21+(1-Inputs!$F$219)*BJ27*Inputs!$F$153/BJ11)*BJ38/1000000</f>
        <v>3.39377821122998</v>
      </c>
      <c r="BK69" s="13" t="n">
        <f aca="false">Inputs!$F$162*(Inputs!$F$219*BK21+(1-Inputs!$F$219)*BK27*Inputs!$F$153/BK11)*BK38/1000000</f>
        <v>3.27149098006366</v>
      </c>
      <c r="BL69" s="13" t="n">
        <f aca="false">Inputs!$F$162*(Inputs!$F$219*BL21+(1-Inputs!$F$219)*BL27*Inputs!$F$153/BL11)*BL38/1000000</f>
        <v>3.33637977361758</v>
      </c>
      <c r="BM69" s="13" t="n">
        <f aca="false">Inputs!$F$162*(Inputs!$F$219*BM21+(1-Inputs!$F$219)*BM27*Inputs!$F$153/BM11)*BM38/1000000</f>
        <v>3.53020761333576</v>
      </c>
      <c r="BN69" s="13" t="n">
        <f aca="false">Inputs!$F$162*(Inputs!$F$219*BN21+(1-Inputs!$F$219)*BN27*Inputs!$F$153/BN11)*BN38/1000000</f>
        <v>2.97190176623431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</v>
      </c>
      <c r="P70" s="13" t="n">
        <f aca="false">Inputs!$F$107*Time!P30/12</f>
        <v>0.02125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0.1275</v>
      </c>
      <c r="BN70" s="13" t="n">
        <f aca="false">Inputs!$F$107*Time!BN30/12</f>
        <v>0.10625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</v>
      </c>
      <c r="P71" s="13" t="n">
        <f aca="false">Inputs!$F$163*Time!P30/12</f>
        <v>0.0259375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0.155625</v>
      </c>
      <c r="BN71" s="13" t="n">
        <f aca="false">Inputs!$F$163*Time!BN30/12</f>
        <v>0.1296875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1164.01530638721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0</v>
      </c>
      <c r="P72" s="13" t="n">
        <f aca="false">P60+P61+P62+P64+P65+P66+P67+P68+P69+P70+P71</f>
        <v>2.94628255470064</v>
      </c>
      <c r="Q72" s="13" t="n">
        <f aca="false">Q60+Q61+Q62+Q64+Q65+Q66+Q67+Q68+Q69+Q70+Q71</f>
        <v>17.9746248684016</v>
      </c>
      <c r="R72" s="13" t="n">
        <f aca="false">R60+R61+R62+R64+R65+R66+R67+R68+R69+R70+R71</f>
        <v>18.1448337578844</v>
      </c>
      <c r="S72" s="13" t="n">
        <f aca="false">S60+S61+S62+S64+S65+S66+S67+S68+S69+S70+S71</f>
        <v>18.2339384939105</v>
      </c>
      <c r="T72" s="13" t="n">
        <f aca="false">T60+T61+T62+T64+T65+T66+T67+T68+T69+T70+T71</f>
        <v>18.4468687908119</v>
      </c>
      <c r="U72" s="13" t="n">
        <f aca="false">U60+U61+U62+U64+U65+U66+U67+U68+U69+U70+U71</f>
        <v>18.7458633394876</v>
      </c>
      <c r="V72" s="13" t="n">
        <f aca="false">V60+V61+V62+V64+V65+V66+V67+V68+V69+V70+V71</f>
        <v>18.8686261242258</v>
      </c>
      <c r="W72" s="13" t="n">
        <f aca="false">W60+W61+W62+W64+W65+W66+W67+W68+W69+W70+W71</f>
        <v>18.6884525480069</v>
      </c>
      <c r="X72" s="13" t="n">
        <f aca="false">X60+X61+X62+X64+X65+X66+X67+X68+X69+X70+X71</f>
        <v>18.9623482345894</v>
      </c>
      <c r="Y72" s="13" t="n">
        <f aca="false">Y60+Y61+Y62+Y64+Y65+Y66+Y67+Y68+Y69+Y70+Y71</f>
        <v>19.5500926409754</v>
      </c>
      <c r="Z72" s="13" t="n">
        <f aca="false">Z60+Z61+Z62+Z64+Z65+Z66+Z67+Z68+Z69+Z70+Z71</f>
        <v>19.7345933843467</v>
      </c>
      <c r="AA72" s="13" t="n">
        <f aca="false">AA60+AA61+AA62+AA64+AA65+AA66+AA67+AA68+AA69+AA70+AA71</f>
        <v>19.8317602681515</v>
      </c>
      <c r="AB72" s="13" t="n">
        <f aca="false">AB60+AB61+AB62+AB64+AB65+AB66+AB67+AB68+AB69+AB70+AB71</f>
        <v>20.0638712755076</v>
      </c>
      <c r="AC72" s="13" t="n">
        <f aca="false">AC60+AC61+AC62+AC64+AC65+AC66+AC67+AC68+AC69+AC70+AC71</f>
        <v>20.3897745938682</v>
      </c>
      <c r="AD72" s="13" t="n">
        <f aca="false">AD60+AD61+AD62+AD64+AD65+AD66+AD67+AD68+AD69+AD70+AD71</f>
        <v>20.4750592231796</v>
      </c>
      <c r="AE72" s="13" t="n">
        <f aca="false">AE60+AE61+AE62+AE64+AE65+AE66+AE67+AE68+AE69+AE70+AE71</f>
        <v>20.0660800875392</v>
      </c>
      <c r="AF72" s="13" t="n">
        <f aca="false">AF60+AF61+AF62+AF64+AF65+AF66+AF67+AF68+AF69+AF70+AF71</f>
        <v>20.3760326304629</v>
      </c>
      <c r="AG72" s="13" t="n">
        <f aca="false">AG60+AG61+AG62+AG64+AG65+AG66+AG67+AG68+AG69+AG70+AG71</f>
        <v>21.2664719195988</v>
      </c>
      <c r="AH72" s="13" t="n">
        <f aca="false">AH60+AH61+AH62+AH64+AH65+AH66+AH67+AH68+AH69+AH70+AH71</f>
        <v>21.4676048534593</v>
      </c>
      <c r="AI72" s="13" t="n">
        <f aca="false">AI60+AI61+AI62+AI64+AI65+AI66+AI67+AI68+AI69+AI70+AI71</f>
        <v>21.5735633243003</v>
      </c>
      <c r="AJ72" s="13" t="n">
        <f aca="false">AJ60+AJ61+AJ62+AJ64+AJ65+AJ66+AJ67+AJ68+AJ69+AJ70+AJ71</f>
        <v>21.8265826758614</v>
      </c>
      <c r="AK72" s="13" t="n">
        <f aca="false">AK60+AK61+AK62+AK64+AK65+AK66+AK67+AK68+AK69+AK70+AK71</f>
        <v>22.1818162171626</v>
      </c>
      <c r="AL72" s="13" t="n">
        <f aca="false">AL60+AL61+AL62+AL64+AL65+AL66+AL67+AL68+AL69+AL70+AL71</f>
        <v>22.3277525187113</v>
      </c>
      <c r="AM72" s="13" t="n">
        <f aca="false">AM60+AM61+AM62+AM64+AM65+AM66+AM67+AM68+AM69+AM70+AM71</f>
        <v>22.1139132793873</v>
      </c>
      <c r="AN72" s="13" t="n">
        <f aca="false">AN60+AN61+AN62+AN64+AN65+AN66+AN67+AN68+AN69+AN70+AN71</f>
        <v>22.4393430459632</v>
      </c>
      <c r="AO72" s="13" t="n">
        <f aca="false">AO60+AO61+AO62+AO64+AO65+AO66+AO67+AO68+AO69+AO70+AO71</f>
        <v>23.137510998663</v>
      </c>
      <c r="AP72" s="13" t="n">
        <f aca="false">AP60+AP61+AP62+AP64+AP65+AP66+AP67+AP68+AP69+AP70+AP71</f>
        <v>23.3567753472408</v>
      </c>
      <c r="AQ72" s="13" t="n">
        <f aca="false">AQ60+AQ61+AQ62+AQ64+AQ65+AQ66+AQ67+AQ68+AQ69+AQ70+AQ71</f>
        <v>23.4723208401001</v>
      </c>
      <c r="AR72" s="13" t="n">
        <f aca="false">AR60+AR61+AR62+AR64+AR65+AR66+AR67+AR68+AR69+AR70+AR71</f>
        <v>23.7481317653361</v>
      </c>
      <c r="AS72" s="13" t="n">
        <f aca="false">AS60+AS61+AS62+AS64+AS65+AS66+AS67+AS68+AS69+AS70+AS71</f>
        <v>24.1353348586256</v>
      </c>
      <c r="AT72" s="13" t="n">
        <f aca="false">AT60+AT61+AT62+AT64+AT65+AT66+AT67+AT68+AT69+AT70+AT71</f>
        <v>24.2367734627331</v>
      </c>
      <c r="AU72" s="13" t="n">
        <f aca="false">AU60+AU61+AU62+AU64+AU65+AU66+AU67+AU68+AU69+AU70+AU71</f>
        <v>23.751901706301</v>
      </c>
      <c r="AV72" s="13" t="n">
        <f aca="false">AV60+AV61+AV62+AV64+AV65+AV66+AV67+AV68+AV69+AV70+AV71</f>
        <v>24.1196811011412</v>
      </c>
      <c r="AW72" s="13" t="n">
        <f aca="false">AW60+AW61+AW62+AW64+AW65+AW66+AW67+AW68+AW69+AW70+AW71</f>
        <v>25.1771447829766</v>
      </c>
      <c r="AX72" s="13" t="n">
        <f aca="false">AX60+AX61+AX62+AX64+AX65+AX66+AX67+AX68+AX69+AX70+AX71</f>
        <v>25.4161748996142</v>
      </c>
      <c r="AY72" s="13" t="n">
        <f aca="false">AY60+AY61+AY62+AY64+AY65+AY66+AY67+AY68+AY69+AY70+AY71</f>
        <v>25.5421748159729</v>
      </c>
      <c r="AZ72" s="13" t="n">
        <f aca="false">AZ60+AZ61+AZ62+AZ64+AZ65+AZ66+AZ67+AZ68+AZ69+AZ70+AZ71</f>
        <v>25.8428301521256</v>
      </c>
      <c r="BA72" s="13" t="n">
        <f aca="false">BA60+BA61+BA62+BA64+BA65+BA66+BA67+BA68+BA69+BA70+BA71</f>
        <v>26.2648796038396</v>
      </c>
      <c r="BB72" s="13" t="n">
        <f aca="false">BB60+BB61+BB62+BB64+BB65+BB66+BB67+BB68+BB69+BB70+BB71</f>
        <v>26.4383635687572</v>
      </c>
      <c r="BC72" s="13" t="n">
        <f aca="false">BC60+BC61+BC62+BC64+BC65+BC66+BC67+BC68+BC69+BC70+BC71</f>
        <v>26.1845701725426</v>
      </c>
      <c r="BD72" s="13" t="n">
        <f aca="false">BD60+BD61+BD62+BD64+BD65+BD66+BD67+BD68+BD69+BD70+BD71</f>
        <v>26.5712291607785</v>
      </c>
      <c r="BE72" s="13" t="n">
        <f aca="false">BE60+BE61+BE62+BE64+BE65+BE66+BE67+BE68+BE69+BE70+BE71</f>
        <v>27.4005636065754</v>
      </c>
      <c r="BF72" s="13" t="n">
        <f aca="false">BF60+BF61+BF62+BF64+BF65+BF66+BF67+BF68+BF69+BF70+BF71</f>
        <v>27.6611411522868</v>
      </c>
      <c r="BG72" s="13" t="n">
        <f aca="false">BG60+BG61+BG62+BG64+BG65+BG66+BG67+BG68+BG69+BG70+BG71</f>
        <v>27.7985413710724</v>
      </c>
      <c r="BH72" s="13" t="n">
        <f aca="false">BH60+BH61+BH62+BH64+BH65+BH66+BH67+BH68+BH69+BH70+BH71</f>
        <v>28.1262788369301</v>
      </c>
      <c r="BI72" s="13" t="n">
        <f aca="false">BI60+BI61+BI62+BI64+BI65+BI66+BI67+BI68+BI69+BI70+BI71</f>
        <v>28.5863102957737</v>
      </c>
      <c r="BJ72" s="13" t="n">
        <f aca="false">BJ60+BJ61+BJ62+BJ64+BJ65+BJ66+BJ67+BJ68+BJ69+BJ70+BJ71</f>
        <v>28.7069625911281</v>
      </c>
      <c r="BK72" s="13" t="n">
        <f aca="false">BK60+BK61+BK62+BK64+BK65+BK66+BK67+BK68+BK69+BK70+BK71</f>
        <v>28.1320085434608</v>
      </c>
      <c r="BL72" s="13" t="n">
        <f aca="false">BL60+BL61+BL62+BL64+BL65+BL66+BL67+BL68+BL69+BL70+BL71</f>
        <v>28.5684746908205</v>
      </c>
      <c r="BM72" s="13" t="n">
        <f aca="false">BM60+BM61+BM62+BM64+BM65+BM66+BM67+BM68+BM69+BM70+BM71</f>
        <v>29.8243263272007</v>
      </c>
      <c r="BN72" s="13" t="n">
        <f aca="false">BN60+BN61+BN62+BN64+BN65+BN66+BN67+BN68+BN69+BN70+BN71</f>
        <v>25.1187510847212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4912.11908275359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0</v>
      </c>
      <c r="P73" s="13" t="n">
        <f aca="false">P42*P41/1000000</f>
        <v>12.7743313774651</v>
      </c>
      <c r="Q73" s="13" t="n">
        <f aca="false">Q42*Q41/1000000</f>
        <v>78.1720518984384</v>
      </c>
      <c r="R73" s="13" t="n">
        <f aca="false">R42*R41/1000000</f>
        <v>78.0352530993953</v>
      </c>
      <c r="S73" s="13" t="n">
        <f aca="false">S42*S41/1000000</f>
        <v>78.9465097911059</v>
      </c>
      <c r="T73" s="13" t="n">
        <f aca="false">T42*T41/1000000</f>
        <v>79.0618886030274</v>
      </c>
      <c r="U73" s="13" t="n">
        <f aca="false">U42*U41/1000000</f>
        <v>81.2806189352087</v>
      </c>
      <c r="V73" s="13" t="n">
        <f aca="false">V42*V41/1000000</f>
        <v>80.8059615512063</v>
      </c>
      <c r="W73" s="13" t="n">
        <f aca="false">W42*W41/1000000</f>
        <v>80.0530159419344</v>
      </c>
      <c r="X73" s="13" t="n">
        <f aca="false">X42*X41/1000000</f>
        <v>80.5116516565862</v>
      </c>
      <c r="Y73" s="13" t="n">
        <f aca="false">Y42*Y41/1000000</f>
        <v>84.5115503006415</v>
      </c>
      <c r="Z73" s="13" t="n">
        <f aca="false">Z42*Z41/1000000</f>
        <v>84.3630334988862</v>
      </c>
      <c r="AA73" s="13" t="n">
        <f aca="false">AA42*AA41/1000000</f>
        <v>85.3475512073613</v>
      </c>
      <c r="AB73" s="13" t="n">
        <f aca="false">AB42*AB41/1000000</f>
        <v>85.4716521656814</v>
      </c>
      <c r="AC73" s="13" t="n">
        <f aca="false">AC42*AC41/1000000</f>
        <v>87.8696101226141</v>
      </c>
      <c r="AD73" s="13" t="n">
        <f aca="false">AD42*AD41/1000000</f>
        <v>87.0592296588549</v>
      </c>
      <c r="AE73" s="13" t="n">
        <f aca="false">AE42*AE41/1000000</f>
        <v>84.726326912442</v>
      </c>
      <c r="AF73" s="13" t="n">
        <f aca="false">AF42*AF41/1000000</f>
        <v>85.5242171856791</v>
      </c>
      <c r="AG73" s="13" t="n">
        <f aca="false">AG42*AG41/1000000</f>
        <v>91.359745763437</v>
      </c>
      <c r="AH73" s="13" t="n">
        <f aca="false">AH42*AH41/1000000</f>
        <v>91.1985170719793</v>
      </c>
      <c r="AI73" s="13" t="n">
        <f aca="false">AI42*AI41/1000000</f>
        <v>92.262119556051</v>
      </c>
      <c r="AJ73" s="13" t="n">
        <f aca="false">AJ42*AJ41/1000000</f>
        <v>92.3955880193175</v>
      </c>
      <c r="AK73" s="13" t="n">
        <f aca="false">AK42*AK41/1000000</f>
        <v>94.987094769024</v>
      </c>
      <c r="AL73" s="13" t="n">
        <f aca="false">AL42*AL41/1000000</f>
        <v>94.4309927801518</v>
      </c>
      <c r="AM73" s="13" t="n">
        <f aca="false">AM42*AM41/1000000</f>
        <v>93.5496998783324</v>
      </c>
      <c r="AN73" s="13" t="n">
        <f aca="false">AN42*AN41/1000000</f>
        <v>94.0842615104193</v>
      </c>
      <c r="AO73" s="13" t="n">
        <f aca="false">AO42*AO41/1000000</f>
        <v>98.7569920772416</v>
      </c>
      <c r="AP73" s="13" t="n">
        <f aca="false">AP42*AP41/1000000</f>
        <v>98.5819740726427</v>
      </c>
      <c r="AQ73" s="13" t="n">
        <f aca="false">AQ42*AQ41/1000000</f>
        <v>99.730942270597</v>
      </c>
      <c r="AR73" s="13" t="n">
        <f aca="false">AR42*AR41/1000000</f>
        <v>99.874470017018</v>
      </c>
      <c r="AS73" s="13" t="n">
        <f aca="false">AS42*AS41/1000000</f>
        <v>102.674977494904</v>
      </c>
      <c r="AT73" s="13" t="n">
        <f aca="false">AT42*AT41/1000000</f>
        <v>101.726537313252</v>
      </c>
      <c r="AU73" s="13" t="n">
        <f aca="false">AU42*AU41/1000000</f>
        <v>98.9991218760468</v>
      </c>
      <c r="AV73" s="13" t="n">
        <f aca="false">AV42*AV41/1000000</f>
        <v>99.9299314045201</v>
      </c>
      <c r="AW73" s="13" t="n">
        <f aca="false">AW42*AW41/1000000</f>
        <v>106.746803453224</v>
      </c>
      <c r="AX73" s="13" t="n">
        <f aca="false">AX42*AX41/1000000</f>
        <v>106.556828214272</v>
      </c>
      <c r="AY73" s="13" t="n">
        <f aca="false">AY42*AY41/1000000</f>
        <v>107.797935620136</v>
      </c>
      <c r="AZ73" s="13" t="n">
        <f aca="false">AZ42*AZ41/1000000</f>
        <v>107.952264056796</v>
      </c>
      <c r="BA73" s="13" t="n">
        <f aca="false">BA42*BA41/1000000</f>
        <v>110.978443051863</v>
      </c>
      <c r="BB73" s="13" t="n">
        <f aca="false">BB42*BB41/1000000</f>
        <v>110.327067976473</v>
      </c>
      <c r="BC73" s="13" t="n">
        <f aca="false">BC42*BC41/1000000</f>
        <v>109.295785163068</v>
      </c>
      <c r="BD73" s="13" t="n">
        <f aca="false">BD42*BD41/1000000</f>
        <v>109.918675709376</v>
      </c>
      <c r="BE73" s="13" t="n">
        <f aca="false">BE42*BE41/1000000</f>
        <v>115.376098402106</v>
      </c>
      <c r="BF73" s="13" t="n">
        <f aca="false">BF42*BF41/1000000</f>
        <v>115.169899973178</v>
      </c>
      <c r="BG73" s="13" t="n">
        <f aca="false">BG42*BG41/1000000</f>
        <v>116.510450703824</v>
      </c>
      <c r="BH73" s="13" t="n">
        <f aca="false">BH42*BH41/1000000</f>
        <v>116.676374284738</v>
      </c>
      <c r="BI73" s="13" t="n">
        <f aca="false">BI42*BI41/1000000</f>
        <v>119.94620928004</v>
      </c>
      <c r="BJ73" s="13" t="n">
        <f aca="false">BJ42*BJ41/1000000</f>
        <v>118.836442670619</v>
      </c>
      <c r="BK73" s="13" t="n">
        <f aca="false">BK42*BK41/1000000</f>
        <v>115.648549517132</v>
      </c>
      <c r="BL73" s="13" t="n">
        <f aca="false">BL42*BL41/1000000</f>
        <v>116.734143194245</v>
      </c>
      <c r="BM73" s="13" t="n">
        <f aca="false">BM42*BM41/1000000</f>
        <v>124.695462101007</v>
      </c>
      <c r="BN73" s="13" t="n">
        <f aca="false">BN42*BN41/1000000</f>
        <v>103.894229600028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5755.15935248399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0</v>
      </c>
      <c r="P74" s="13" t="n">
        <f aca="false">P73+P52+P53+P54</f>
        <v>15.121906091483</v>
      </c>
      <c r="Q74" s="13" t="n">
        <f aca="false">Q73+Q52+Q53+Q54</f>
        <v>92.1510570296888</v>
      </c>
      <c r="R74" s="13" t="n">
        <f aca="false">R73+R52+R53+R54</f>
        <v>92.200413250734</v>
      </c>
      <c r="S74" s="13" t="n">
        <f aca="false">S73+S52+S53+S54</f>
        <v>93.1102395118367</v>
      </c>
      <c r="T74" s="13" t="n">
        <f aca="false">T73+T52+T53+T54</f>
        <v>93.4226301853995</v>
      </c>
      <c r="U74" s="13" t="n">
        <f aca="false">U73+U52+U53+U54</f>
        <v>95.7459992478753</v>
      </c>
      <c r="V74" s="13" t="n">
        <f aca="false">V73+V52+V53+V54</f>
        <v>95.3872405032273</v>
      </c>
      <c r="W74" s="13" t="n">
        <f aca="false">W73+W52+W53+W54</f>
        <v>94.5795926159863</v>
      </c>
      <c r="X74" s="13" t="n">
        <f aca="false">X73+X52+X53+X54</f>
        <v>95.2518020178965</v>
      </c>
      <c r="Y74" s="13" t="n">
        <f aca="false">Y73+Y52+Y53+Y54</f>
        <v>99.3451025551155</v>
      </c>
      <c r="Z74" s="13" t="n">
        <f aca="false">Z73+Z52+Z53+Z54</f>
        <v>99.3941501471021</v>
      </c>
      <c r="AA74" s="13" t="n">
        <f aca="false">AA73+AA52+AA53+AA54</f>
        <v>100.377108099291</v>
      </c>
      <c r="AB74" s="13" t="n">
        <f aca="false">AB73+AB52+AB53+AB54</f>
        <v>100.7102857983</v>
      </c>
      <c r="AC74" s="13" t="n">
        <f aca="false">AC73+AC52+AC53+AC54</f>
        <v>103.219206634963</v>
      </c>
      <c r="AD74" s="13" t="n">
        <f aca="false">AD73+AD52+AD53+AD54</f>
        <v>102.522681305158</v>
      </c>
      <c r="AE74" s="13" t="n">
        <f aca="false">AE73+AE52+AE53+AE54</f>
        <v>100.08515602996</v>
      </c>
      <c r="AF74" s="13" t="n">
        <f aca="false">AF73+AF52+AF53+AF54</f>
        <v>101.118985252963</v>
      </c>
      <c r="AG74" s="13" t="n">
        <f aca="false">AG73+AG52+AG53+AG54</f>
        <v>107.099922219129</v>
      </c>
      <c r="AH74" s="13" t="n">
        <f aca="false">AH73+AH52+AH53+AH54</f>
        <v>107.148366828324</v>
      </c>
      <c r="AI74" s="13" t="n">
        <f aca="false">AI73+AI52+AI53+AI54</f>
        <v>108.210268638534</v>
      </c>
      <c r="AJ74" s="13" t="n">
        <f aca="false">AJ73+AJ52+AJ53+AJ54</f>
        <v>108.565617302121</v>
      </c>
      <c r="AK74" s="13" t="n">
        <f aca="false">AK73+AK52+AK53+AK54</f>
        <v>111.274789445664</v>
      </c>
      <c r="AL74" s="13" t="n">
        <f aca="false">AL73+AL52+AL53+AL54</f>
        <v>110.849247467766</v>
      </c>
      <c r="AM74" s="13" t="n">
        <f aca="false">AM73+AM52+AM53+AM54</f>
        <v>109.90639655913</v>
      </c>
      <c r="AN74" s="13" t="n">
        <f aca="false">AN73+AN52+AN53+AN54</f>
        <v>110.681462936181</v>
      </c>
      <c r="AO74" s="13" t="n">
        <f aca="false">AO73+AO52+AO53+AO54</f>
        <v>115.459033399933</v>
      </c>
      <c r="AP74" s="13" t="n">
        <f aca="false">AP73+AP52+AP53+AP54</f>
        <v>115.506540041839</v>
      </c>
      <c r="AQ74" s="13" t="n">
        <f aca="false">AQ73+AQ52+AQ53+AQ54</f>
        <v>116.653654052902</v>
      </c>
      <c r="AR74" s="13" t="n">
        <f aca="false">AR73+AR52+AR53+AR54</f>
        <v>117.032649237525</v>
      </c>
      <c r="AS74" s="13" t="n">
        <f aca="false">AS73+AS52+AS53+AS54</f>
        <v>119.957925379144</v>
      </c>
      <c r="AT74" s="13" t="n">
        <f aca="false">AT73+AT52+AT53+AT54</f>
        <v>119.137773315067</v>
      </c>
      <c r="AU74" s="13" t="n">
        <f aca="false">AU73+AU52+AU53+AU54</f>
        <v>116.292717485309</v>
      </c>
      <c r="AV74" s="13" t="n">
        <f aca="false">AV73+AV52+AV53+AV54</f>
        <v>117.489190998265</v>
      </c>
      <c r="AW74" s="13" t="n">
        <f aca="false">AW73+AW52+AW53+AW54</f>
        <v>124.469305451692</v>
      </c>
      <c r="AX74" s="13" t="n">
        <f aca="false">AX73+AX52+AX53+AX54</f>
        <v>124.515494182305</v>
      </c>
      <c r="AY74" s="13" t="n">
        <f aca="false">AY73+AY52+AY53+AY54</f>
        <v>125.754580205551</v>
      </c>
      <c r="AZ74" s="13" t="n">
        <f aca="false">AZ73+AZ52+AZ53+AZ54</f>
        <v>126.158795059091</v>
      </c>
      <c r="BA74" s="13" t="n">
        <f aca="false">BA73+BA52+BA53+BA54</f>
        <v>129.317270443792</v>
      </c>
      <c r="BB74" s="13" t="n">
        <f aca="false">BB73+BB52+BB53+BB54</f>
        <v>128.81297569579</v>
      </c>
      <c r="BC74" s="13" t="n">
        <f aca="false">BC73+BC52+BC53+BC54</f>
        <v>127.712430443004</v>
      </c>
      <c r="BD74" s="13" t="n">
        <f aca="false">BD73+BD52+BD53+BD54</f>
        <v>128.606148370672</v>
      </c>
      <c r="BE74" s="13" t="n">
        <f aca="false">BE73+BE52+BE53+BE54</f>
        <v>134.18121514264</v>
      </c>
      <c r="BF74" s="13" t="n">
        <f aca="false">BF73+BF52+BF53+BF54</f>
        <v>134.225656315974</v>
      </c>
      <c r="BG74" s="13" t="n">
        <f aca="false">BG73+BG52+BG53+BG54</f>
        <v>135.564003607915</v>
      </c>
      <c r="BH74" s="13" t="n">
        <f aca="false">BH73+BH52+BH53+BH54</f>
        <v>135.995115221677</v>
      </c>
      <c r="BI74" s="13" t="n">
        <f aca="false">BI73+BI52+BI53+BI54</f>
        <v>139.405223873312</v>
      </c>
      <c r="BJ74" s="13" t="n">
        <f aca="false">BJ73+BJ52+BJ53+BJ54</f>
        <v>138.440015171726</v>
      </c>
      <c r="BK74" s="13" t="n">
        <f aca="false">BK73+BK52+BK53+BK54</f>
        <v>135.119869166824</v>
      </c>
      <c r="BL74" s="13" t="n">
        <f aca="false">BL73+BL52+BL53+BL54</f>
        <v>136.504589436082</v>
      </c>
      <c r="BM74" s="13" t="n">
        <f aca="false">BM73+BM52+BM53+BM54</f>
        <v>144.649121276285</v>
      </c>
      <c r="BN74" s="13" t="n">
        <f aca="false">BN73+BN52+BN53+BN54</f>
        <v>120.71843183584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0.161645725973357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</v>
      </c>
      <c r="Q75" s="13" t="n">
        <f aca="false">SUMIFS(Construction!$J$38:$BJ$38,Construction!$J$12:$BJ$12,Time!Q20,Construction!$J$8:$BJ$8,"&gt;"&amp;Time!$F$14)</f>
        <v>0.128394234559673</v>
      </c>
      <c r="R75" s="13" t="n">
        <f aca="false">SUMIFS(Construction!$J$38:$BJ$38,Construction!$J$12:$BJ$12,Time!R20,Construction!$J$8:$BJ$8,"&gt;"&amp;Time!$F$14)</f>
        <v>0.0332514914136839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0</v>
      </c>
      <c r="Q77" s="10" t="n">
        <f aca="false">INT((Time!Q33-Inputs!$F$221)/12)+1</f>
        <v>1</v>
      </c>
      <c r="R77" s="10" t="n">
        <f aca="false">INT((Time!R33-Inputs!$F$221)/12)+1</f>
        <v>1</v>
      </c>
      <c r="S77" s="10" t="n">
        <f aca="false">INT((Time!S33-Inputs!$F$221)/12)+1</f>
        <v>2</v>
      </c>
      <c r="T77" s="10" t="n">
        <f aca="false">INT((Time!T33-Inputs!$F$221)/12)+1</f>
        <v>2</v>
      </c>
      <c r="U77" s="10" t="n">
        <f aca="false">INT((Time!U33-Inputs!$F$221)/12)+1</f>
        <v>3</v>
      </c>
      <c r="V77" s="10" t="n">
        <f aca="false">INT((Time!V33-Inputs!$F$221)/12)+1</f>
        <v>3</v>
      </c>
      <c r="W77" s="10" t="n">
        <f aca="false">INT((Time!W33-Inputs!$F$221)/12)+1</f>
        <v>4</v>
      </c>
      <c r="X77" s="10" t="n">
        <f aca="false">INT((Time!X33-Inputs!$F$221)/12)+1</f>
        <v>4</v>
      </c>
      <c r="Y77" s="10" t="n">
        <f aca="false">INT((Time!Y33-Inputs!$F$221)/12)+1</f>
        <v>5</v>
      </c>
      <c r="Z77" s="10" t="n">
        <f aca="false">INT((Time!Z33-Inputs!$F$221)/12)+1</f>
        <v>5</v>
      </c>
      <c r="AA77" s="10" t="n">
        <f aca="false">INT((Time!AA33-Inputs!$F$221)/12)+1</f>
        <v>6</v>
      </c>
      <c r="AB77" s="10" t="n">
        <f aca="false">INT((Time!AB33-Inputs!$F$221)/12)+1</f>
        <v>6</v>
      </c>
      <c r="AC77" s="10" t="n">
        <f aca="false">INT((Time!AC33-Inputs!$F$221)/12)+1</f>
        <v>7</v>
      </c>
      <c r="AD77" s="10" t="n">
        <f aca="false">INT((Time!AD33-Inputs!$F$221)/12)+1</f>
        <v>7</v>
      </c>
      <c r="AE77" s="10" t="n">
        <f aca="false">INT((Time!AE33-Inputs!$F$221)/12)+1</f>
        <v>8</v>
      </c>
      <c r="AF77" s="10" t="n">
        <f aca="false">INT((Time!AF33-Inputs!$F$221)/12)+1</f>
        <v>8</v>
      </c>
      <c r="AG77" s="10" t="n">
        <f aca="false">INT((Time!AG33-Inputs!$F$221)/12)+1</f>
        <v>9</v>
      </c>
      <c r="AH77" s="10" t="n">
        <f aca="false">INT((Time!AH33-Inputs!$F$221)/12)+1</f>
        <v>9</v>
      </c>
      <c r="AI77" s="10" t="n">
        <f aca="false">INT((Time!AI33-Inputs!$F$221)/12)+1</f>
        <v>10</v>
      </c>
      <c r="AJ77" s="10" t="n">
        <f aca="false">INT((Time!AJ33-Inputs!$F$221)/12)+1</f>
        <v>10</v>
      </c>
      <c r="AK77" s="10" t="n">
        <f aca="false">INT((Time!AK33-Inputs!$F$221)/12)+1</f>
        <v>11</v>
      </c>
      <c r="AL77" s="10" t="n">
        <f aca="false">INT((Time!AL33-Inputs!$F$221)/12)+1</f>
        <v>11</v>
      </c>
      <c r="AM77" s="10" t="n">
        <f aca="false">INT((Time!AM33-Inputs!$F$221)/12)+1</f>
        <v>12</v>
      </c>
      <c r="AN77" s="10" t="n">
        <f aca="false">INT((Time!AN33-Inputs!$F$221)/12)+1</f>
        <v>12</v>
      </c>
      <c r="AO77" s="10" t="n">
        <f aca="false">INT((Time!AO33-Inputs!$F$221)/12)+1</f>
        <v>13</v>
      </c>
      <c r="AP77" s="10" t="n">
        <f aca="false">INT((Time!AP33-Inputs!$F$221)/12)+1</f>
        <v>13</v>
      </c>
      <c r="AQ77" s="10" t="n">
        <f aca="false">INT((Time!AQ33-Inputs!$F$221)/12)+1</f>
        <v>14</v>
      </c>
      <c r="AR77" s="10" t="n">
        <f aca="false">INT((Time!AR33-Inputs!$F$221)/12)+1</f>
        <v>14</v>
      </c>
      <c r="AS77" s="10" t="n">
        <f aca="false">INT((Time!AS33-Inputs!$F$221)/12)+1</f>
        <v>15</v>
      </c>
      <c r="AT77" s="10" t="n">
        <f aca="false">INT((Time!AT33-Inputs!$F$221)/12)+1</f>
        <v>15</v>
      </c>
      <c r="AU77" s="10" t="n">
        <f aca="false">INT((Time!AU33-Inputs!$F$221)/12)+1</f>
        <v>16</v>
      </c>
      <c r="AV77" s="10" t="n">
        <f aca="false">INT((Time!AV33-Inputs!$F$221)/12)+1</f>
        <v>16</v>
      </c>
      <c r="AW77" s="10" t="n">
        <f aca="false">INT((Time!AW33-Inputs!$F$221)/12)+1</f>
        <v>17</v>
      </c>
      <c r="AX77" s="10" t="n">
        <f aca="false">INT((Time!AX33-Inputs!$F$221)/12)+1</f>
        <v>17</v>
      </c>
      <c r="AY77" s="10" t="n">
        <f aca="false">INT((Time!AY33-Inputs!$F$221)/12)+1</f>
        <v>18</v>
      </c>
      <c r="AZ77" s="10" t="n">
        <f aca="false">INT((Time!AZ33-Inputs!$F$221)/12)+1</f>
        <v>18</v>
      </c>
      <c r="BA77" s="10" t="n">
        <f aca="false">INT((Time!BA33-Inputs!$F$221)/12)+1</f>
        <v>19</v>
      </c>
      <c r="BB77" s="10" t="n">
        <f aca="false">INT((Time!BB33-Inputs!$F$221)/12)+1</f>
        <v>19</v>
      </c>
      <c r="BC77" s="10" t="n">
        <f aca="false">INT((Time!BC33-Inputs!$F$221)/12)+1</f>
        <v>20</v>
      </c>
      <c r="BD77" s="10" t="n">
        <f aca="false">INT((Time!BD33-Inputs!$F$221)/12)+1</f>
        <v>20</v>
      </c>
      <c r="BE77" s="10" t="n">
        <f aca="false">INT((Time!BE33-Inputs!$F$221)/12)+1</f>
        <v>21</v>
      </c>
      <c r="BF77" s="10" t="n">
        <f aca="false">INT((Time!BF33-Inputs!$F$221)/12)+1</f>
        <v>21</v>
      </c>
      <c r="BG77" s="10" t="n">
        <f aca="false">INT((Time!BG33-Inputs!$F$221)/12)+1</f>
        <v>22</v>
      </c>
      <c r="BH77" s="10" t="n">
        <f aca="false">INT((Time!BH33-Inputs!$F$221)/12)+1</f>
        <v>22</v>
      </c>
      <c r="BI77" s="10" t="n">
        <f aca="false">INT((Time!BI33-Inputs!$F$221)/12)+1</f>
        <v>23</v>
      </c>
      <c r="BJ77" s="10" t="n">
        <f aca="false">INT((Time!BJ33-Inputs!$F$221)/12)+1</f>
        <v>23</v>
      </c>
      <c r="BK77" s="10" t="n">
        <f aca="false">INT((Time!BK33-Inputs!$F$221)/12)+1</f>
        <v>24</v>
      </c>
      <c r="BL77" s="10" t="n">
        <f aca="false">INT((Time!BL33-Inputs!$F$221)/12)+1</f>
        <v>24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0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2.18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0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9.47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0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2.18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0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9.47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0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2.18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0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9.47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52.8623609134466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0</v>
      </c>
      <c r="W79" s="13" t="n">
        <f aca="false">W78*W21</f>
        <v>2.55385864428026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0</v>
      </c>
      <c r="AE79" s="13" t="n">
        <f aca="false">AE78*AE21</f>
        <v>12.1030248238612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0</v>
      </c>
      <c r="AM79" s="13" t="n">
        <f aca="false">AM78*AM21</f>
        <v>3.03951311646483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0</v>
      </c>
      <c r="AU79" s="13" t="n">
        <f aca="false">AU78*AU21</f>
        <v>14.4045962698116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0</v>
      </c>
      <c r="BC79" s="13" t="n">
        <f aca="false">BC78*BC21</f>
        <v>3.61752206053104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0</v>
      </c>
      <c r="BK79" s="13" t="n">
        <f aca="false">BK78*BK21</f>
        <v>17.1438459984977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0</v>
      </c>
      <c r="BB80" s="10" t="n">
        <f aca="false">MAX(0,MIN(Time!BB33,Time!$F$9)-MAX(Time!BB32,(Inputs!$F$227-1)*12))</f>
        <v>1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6</v>
      </c>
      <c r="BN80" s="10" t="n">
        <f aca="false">MAX(0,MIN(Time!BN33,Time!$F$9)-MAX(Time!BN32,(Inputs!$F$227-1)*12))</f>
        <v>5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19.5339439119651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</v>
      </c>
      <c r="BB81" s="13" t="n">
        <f aca="false">Inputs!$F$166*BB21*BB80/12</f>
        <v>0.253057800568246</v>
      </c>
      <c r="BC81" s="13" t="n">
        <f aca="false">Inputs!$F$166*BC21*BC80/12</f>
        <v>1.53495775504184</v>
      </c>
      <c r="BD81" s="13" t="n">
        <f aca="false">Inputs!$F$166*BD21*BD80/12</f>
        <v>1.55175043308448</v>
      </c>
      <c r="BE81" s="13" t="n">
        <f aca="false">Inputs!$F$166*BE21*BE80/12</f>
        <v>1.56872682565276</v>
      </c>
      <c r="BF81" s="13" t="n">
        <f aca="false">Inputs!$F$166*BF21*BF80/12</f>
        <v>1.58588894261234</v>
      </c>
      <c r="BG81" s="13" t="n">
        <f aca="false">Inputs!$F$166*BG21*BG80/12</f>
        <v>1.60323881581712</v>
      </c>
      <c r="BH81" s="13" t="n">
        <f aca="false">Inputs!$F$166*BH21*BH80/12</f>
        <v>1.62077849934981</v>
      </c>
      <c r="BI81" s="13" t="n">
        <f aca="false">Inputs!$F$166*BI21*BI80/12</f>
        <v>1.6385100697651</v>
      </c>
      <c r="BJ81" s="13" t="n">
        <f aca="false">Inputs!$F$166*BJ21*BJ80/12</f>
        <v>1.65643562633551</v>
      </c>
      <c r="BK81" s="13" t="n">
        <f aca="false">Inputs!$F$166*BK21*BK80/12</f>
        <v>1.67455729129993</v>
      </c>
      <c r="BL81" s="13" t="n">
        <f aca="false">Inputs!$F$166*BL21*BL80/12</f>
        <v>1.69287721011489</v>
      </c>
      <c r="BM81" s="13" t="n">
        <f aca="false">Inputs!$F$166*BM21*BM80/12</f>
        <v>1.71139755170853</v>
      </c>
      <c r="BN81" s="13" t="n">
        <f aca="false">Inputs!$F$166*BN21*BN80/12</f>
        <v>1.44176709061451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19.5339439119651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0</v>
      </c>
      <c r="BN82" s="13" t="n">
        <f aca="false">Time!BN37*SUM($J$81:$BN$81)</f>
        <v>19.5339439119651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6991.73260942258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0</v>
      </c>
      <c r="P83" s="13" t="n">
        <f aca="false">P72+P74+P75+P76+P79+P82</f>
        <v>18.0681886461837</v>
      </c>
      <c r="Q83" s="13" t="n">
        <f aca="false">Q72+Q74+Q75+Q76+Q79+Q82</f>
        <v>110.25407613265</v>
      </c>
      <c r="R83" s="13" t="n">
        <f aca="false">R72+R74+R75+R76+R79+R82</f>
        <v>110.378498500032</v>
      </c>
      <c r="S83" s="13" t="n">
        <f aca="false">S72+S74+S75+S76+S79+S82</f>
        <v>111.344178005747</v>
      </c>
      <c r="T83" s="13" t="n">
        <f aca="false">T72+T74+T75+T76+T79+T82</f>
        <v>111.869498976211</v>
      </c>
      <c r="U83" s="13" t="n">
        <f aca="false">U72+U74+U75+U76+U79+U82</f>
        <v>114.491862587363</v>
      </c>
      <c r="V83" s="13" t="n">
        <f aca="false">V72+V74+V75+V76+V79+V82</f>
        <v>114.255866627453</v>
      </c>
      <c r="W83" s="13" t="n">
        <f aca="false">W72+W74+W75+W76+W79+W82</f>
        <v>115.821903808273</v>
      </c>
      <c r="X83" s="13" t="n">
        <f aca="false">X72+X74+X75+X76+X79+X82</f>
        <v>114.214150252486</v>
      </c>
      <c r="Y83" s="13" t="n">
        <f aca="false">Y72+Y74+Y75+Y76+Y79+Y82</f>
        <v>118.895195196091</v>
      </c>
      <c r="Z83" s="13" t="n">
        <f aca="false">Z72+Z74+Z75+Z76+Z79+Z82</f>
        <v>119.128743531449</v>
      </c>
      <c r="AA83" s="13" t="n">
        <f aca="false">AA72+AA74+AA75+AA76+AA79+AA82</f>
        <v>120.208868367443</v>
      </c>
      <c r="AB83" s="13" t="n">
        <f aca="false">AB72+AB74+AB75+AB76+AB79+AB82</f>
        <v>120.774157073808</v>
      </c>
      <c r="AC83" s="13" t="n">
        <f aca="false">AC72+AC74+AC75+AC76+AC79+AC82</f>
        <v>123.608981228831</v>
      </c>
      <c r="AD83" s="13" t="n">
        <f aca="false">AD72+AD74+AD75+AD76+AD79+AD82</f>
        <v>122.997740528337</v>
      </c>
      <c r="AE83" s="13" t="n">
        <f aca="false">AE72+AE74+AE75+AE76+AE79+AE82</f>
        <v>132.254260941361</v>
      </c>
      <c r="AF83" s="13" t="n">
        <f aca="false">AF72+AF74+AF75+AF76+AF79+AF82</f>
        <v>121.495017883426</v>
      </c>
      <c r="AG83" s="13" t="n">
        <f aca="false">AG72+AG74+AG75+AG76+AG79+AG82</f>
        <v>128.366394138728</v>
      </c>
      <c r="AH83" s="13" t="n">
        <f aca="false">AH72+AH74+AH75+AH76+AH79+AH82</f>
        <v>128.615971681783</v>
      </c>
      <c r="AI83" s="13" t="n">
        <f aca="false">AI72+AI74+AI75+AI76+AI79+AI82</f>
        <v>129.783831962835</v>
      </c>
      <c r="AJ83" s="13" t="n">
        <f aca="false">AJ72+AJ74+AJ75+AJ76+AJ79+AJ82</f>
        <v>130.392199977983</v>
      </c>
      <c r="AK83" s="13" t="n">
        <f aca="false">AK72+AK74+AK75+AK76+AK79+AK82</f>
        <v>133.456605662826</v>
      </c>
      <c r="AL83" s="13" t="n">
        <f aca="false">AL72+AL74+AL75+AL76+AL79+AL82</f>
        <v>133.176999986477</v>
      </c>
      <c r="AM83" s="13" t="n">
        <f aca="false">AM72+AM74+AM75+AM76+AM79+AM82</f>
        <v>135.059822954982</v>
      </c>
      <c r="AN83" s="13" t="n">
        <f aca="false">AN72+AN74+AN75+AN76+AN79+AN82</f>
        <v>133.120805982144</v>
      </c>
      <c r="AO83" s="13" t="n">
        <f aca="false">AO72+AO74+AO75+AO76+AO79+AO82</f>
        <v>138.596544398596</v>
      </c>
      <c r="AP83" s="13" t="n">
        <f aca="false">AP72+AP74+AP75+AP76+AP79+AP82</f>
        <v>138.86331538908</v>
      </c>
      <c r="AQ83" s="13" t="n">
        <f aca="false">AQ72+AQ74+AQ75+AQ76+AQ79+AQ82</f>
        <v>140.125974893002</v>
      </c>
      <c r="AR83" s="13" t="n">
        <f aca="false">AR72+AR74+AR75+AR76+AR79+AR82</f>
        <v>140.780781002861</v>
      </c>
      <c r="AS83" s="13" t="n">
        <f aca="false">AS72+AS74+AS75+AS76+AS79+AS82</f>
        <v>144.09326023777</v>
      </c>
      <c r="AT83" s="13" t="n">
        <f aca="false">AT72+AT74+AT75+AT76+AT79+AT82</f>
        <v>143.374546777801</v>
      </c>
      <c r="AU83" s="13" t="n">
        <f aca="false">AU72+AU74+AU75+AU76+AU79+AU82</f>
        <v>154.449215461421</v>
      </c>
      <c r="AV83" s="13" t="n">
        <f aca="false">AV72+AV74+AV75+AV76+AV79+AV82</f>
        <v>141.608872099406</v>
      </c>
      <c r="AW83" s="13" t="n">
        <f aca="false">AW72+AW74+AW75+AW76+AW79+AW82</f>
        <v>149.646450234669</v>
      </c>
      <c r="AX83" s="13" t="n">
        <f aca="false">AX72+AX74+AX75+AX76+AX79+AX82</f>
        <v>149.931669081919</v>
      </c>
      <c r="AY83" s="13" t="n">
        <f aca="false">AY72+AY74+AY75+AY76+AY79+AY82</f>
        <v>151.296755021524</v>
      </c>
      <c r="AZ83" s="13" t="n">
        <f aca="false">AZ72+AZ74+AZ75+AZ76+AZ79+AZ82</f>
        <v>152.001625211216</v>
      </c>
      <c r="BA83" s="13" t="n">
        <f aca="false">BA72+BA74+BA75+BA76+BA79+BA82</f>
        <v>155.582150047631</v>
      </c>
      <c r="BB83" s="13" t="n">
        <f aca="false">BB72+BB74+BB75+BB76+BB79+BB82</f>
        <v>155.251339264547</v>
      </c>
      <c r="BC83" s="13" t="n">
        <f aca="false">BC72+BC74+BC75+BC76+BC79+BC82</f>
        <v>157.514522676078</v>
      </c>
      <c r="BD83" s="13" t="n">
        <f aca="false">BD72+BD74+BD75+BD76+BD79+BD82</f>
        <v>155.177377531451</v>
      </c>
      <c r="BE83" s="13" t="n">
        <f aca="false">BE72+BE74+BE75+BE76+BE79+BE82</f>
        <v>161.581778749215</v>
      </c>
      <c r="BF83" s="13" t="n">
        <f aca="false">BF72+BF74+BF75+BF76+BF79+BF82</f>
        <v>161.886797468261</v>
      </c>
      <c r="BG83" s="13" t="n">
        <f aca="false">BG72+BG74+BG75+BG76+BG79+BG82</f>
        <v>163.362544978988</v>
      </c>
      <c r="BH83" s="13" t="n">
        <f aca="false">BH72+BH74+BH75+BH76+BH79+BH82</f>
        <v>164.121394058607</v>
      </c>
      <c r="BI83" s="13" t="n">
        <f aca="false">BI72+BI74+BI75+BI76+BI79+BI82</f>
        <v>167.991534169086</v>
      </c>
      <c r="BJ83" s="13" t="n">
        <f aca="false">BJ72+BJ74+BJ75+BJ76+BJ79+BJ82</f>
        <v>167.146977762854</v>
      </c>
      <c r="BK83" s="13" t="n">
        <f aca="false">BK72+BK74+BK75+BK76+BK79+BK82</f>
        <v>180.395723708783</v>
      </c>
      <c r="BL83" s="13" t="n">
        <f aca="false">BL72+BL74+BL75+BL76+BL79+BL82</f>
        <v>165.073064126903</v>
      </c>
      <c r="BM83" s="13" t="n">
        <f aca="false">BM72+BM74+BM75+BM76+BM79+BM82</f>
        <v>174.473447603486</v>
      </c>
      <c r="BN83" s="13" t="n">
        <f aca="false">BN72+BN74+BN75+BN76+BN79+BN82</f>
        <v>165.371126832526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2579.16830772294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0</v>
      </c>
      <c r="P84" s="13" t="n">
        <f aca="false">P56-P83+P58</f>
        <v>8.26170039027042</v>
      </c>
      <c r="Q84" s="13" t="n">
        <f aca="false">Q56-Q83+Q58</f>
        <v>49.7800637670382</v>
      </c>
      <c r="R84" s="13" t="n">
        <f aca="false">R56-R83+R58</f>
        <v>50.1620228207378</v>
      </c>
      <c r="S84" s="13" t="n">
        <f aca="false">S56-S83+S58</f>
        <v>50.337172493121</v>
      </c>
      <c r="T84" s="13" t="n">
        <f aca="false">T56-T83+T58</f>
        <v>50.4364215403163</v>
      </c>
      <c r="U84" s="13" t="n">
        <f aca="false">U56-U83+U58</f>
        <v>50.4999039711881</v>
      </c>
      <c r="V84" s="13" t="n">
        <f aca="false">V56-V83+V58</f>
        <v>50.6383601708334</v>
      </c>
      <c r="W84" s="13" t="n">
        <f aca="false">W56-W83+W58</f>
        <v>48.3400132899498</v>
      </c>
      <c r="X84" s="13" t="n">
        <f aca="false">X56-X83+X58</f>
        <v>50.9772556792738</v>
      </c>
      <c r="Y84" s="13" t="n">
        <f aca="false">Y56-Y83+Y58</f>
        <v>50.9336750184934</v>
      </c>
      <c r="Z84" s="13" t="n">
        <f aca="false">Z56-Z83+Z58</f>
        <v>51.056134194873</v>
      </c>
      <c r="AA84" s="13" t="n">
        <f aca="false">AA56-AA83+AA58</f>
        <v>51.2102315619235</v>
      </c>
      <c r="AB84" s="13" t="n">
        <f aca="false">AB56-AB83+AB58</f>
        <v>51.3181036224176</v>
      </c>
      <c r="AC84" s="13" t="n">
        <f aca="false">AC56-AC83+AC58</f>
        <v>51.3849619197133</v>
      </c>
      <c r="AD84" s="13" t="n">
        <f aca="false">AD56-AD83+AD58</f>
        <v>51.5558124475793</v>
      </c>
      <c r="AE84" s="13" t="n">
        <f aca="false">AE56-AE83+AE58</f>
        <v>38.8778920035188</v>
      </c>
      <c r="AF84" s="13" t="n">
        <f aca="false">AF56-AF83+AF58</f>
        <v>51.6882919469842</v>
      </c>
      <c r="AG84" s="13" t="n">
        <f aca="false">AG56-AG83+AG58</f>
        <v>51.8544818523072</v>
      </c>
      <c r="AH84" s="13" t="n">
        <f aca="false">AH56-AH83+AH58</f>
        <v>51.98799684366</v>
      </c>
      <c r="AI84" s="13" t="n">
        <f aca="false">AI56-AI83+AI58</f>
        <v>52.1553601069196</v>
      </c>
      <c r="AJ84" s="13" t="n">
        <f aca="false">AJ56-AJ83+AJ58</f>
        <v>52.2726036742404</v>
      </c>
      <c r="AK84" s="13" t="n">
        <f aca="false">AK56-AK83+AK58</f>
        <v>52.3429817436445</v>
      </c>
      <c r="AL84" s="13" t="n">
        <f aca="false">AL56-AL83+AL58</f>
        <v>52.5085339824827</v>
      </c>
      <c r="AM84" s="13" t="n">
        <f aca="false">AM56-AM83+AM58</f>
        <v>49.7763251739538</v>
      </c>
      <c r="AN84" s="13" t="n">
        <f aca="false">AN56-AN83+AN58</f>
        <v>52.9132219522353</v>
      </c>
      <c r="AO84" s="13" t="n">
        <f aca="false">AO56-AO83+AO58</f>
        <v>52.8512395195968</v>
      </c>
      <c r="AP84" s="13" t="n">
        <f aca="false">AP56-AP83+AP58</f>
        <v>52.9968024635773</v>
      </c>
      <c r="AQ84" s="13" t="n">
        <f aca="false">AQ56-AQ83+AQ58</f>
        <v>53.1785929966151</v>
      </c>
      <c r="AR84" s="13" t="n">
        <f aca="false">AR56-AR83+AR58</f>
        <v>53.306021439484</v>
      </c>
      <c r="AS84" s="13" t="n">
        <f aca="false">AS56-AS83+AS58</f>
        <v>53.3800654060586</v>
      </c>
      <c r="AT84" s="13" t="n">
        <f aca="false">AT56-AT83+AT58</f>
        <v>53.585040016226</v>
      </c>
      <c r="AU84" s="13" t="n">
        <f aca="false">AU56-AU83+AU58</f>
        <v>38.6134571109524</v>
      </c>
      <c r="AV84" s="13" t="n">
        <f aca="false">AV56-AV83+AV58</f>
        <v>53.7854707441555</v>
      </c>
      <c r="AW84" s="13" t="n">
        <f aca="false">AW56-AW83+AW58</f>
        <v>53.9303032856558</v>
      </c>
      <c r="AX84" s="13" t="n">
        <f aca="false">AX56-AX83+AX58</f>
        <v>54.0889948896611</v>
      </c>
      <c r="AY84" s="13" t="n">
        <f aca="false">AY56-AY83+AY58</f>
        <v>54.2864772338613</v>
      </c>
      <c r="AZ84" s="13" t="n">
        <f aca="false">AZ56-AZ83+AZ58</f>
        <v>54.4249744079337</v>
      </c>
      <c r="BA84" s="13" t="n">
        <f aca="false">BA56-BA83+BA58</f>
        <v>54.502832112005</v>
      </c>
      <c r="BB84" s="13" t="n">
        <f aca="false">BB56-BB83+BB58</f>
        <v>54.7007121002831</v>
      </c>
      <c r="BC84" s="13" t="n">
        <f aca="false">BC56-BC83+BC58</f>
        <v>51.4526451269165</v>
      </c>
      <c r="BD84" s="13" t="n">
        <f aca="false">BD56-BD83+BD58</f>
        <v>55.1839052910737</v>
      </c>
      <c r="BE84" s="13" t="n">
        <f aca="false">BE56-BE83+BE58</f>
        <v>55.0985673839808</v>
      </c>
      <c r="BF84" s="13" t="n">
        <f aca="false">BF56-BF83+BF58</f>
        <v>55.2715647956324</v>
      </c>
      <c r="BG84" s="13" t="n">
        <f aca="false">BG56-BG83+BG58</f>
        <v>55.4861159360117</v>
      </c>
      <c r="BH84" s="13" t="n">
        <f aca="false">BH56-BH83+BH58</f>
        <v>55.6366422797961</v>
      </c>
      <c r="BI84" s="13" t="n">
        <f aca="false">BI56-BI83+BI58</f>
        <v>55.7184626825582</v>
      </c>
      <c r="BJ84" s="13" t="n">
        <f aca="false">BJ56-BJ83+BJ58</f>
        <v>55.9642543615785</v>
      </c>
      <c r="BK84" s="13" t="n">
        <f aca="false">BK56-BK83+BK58</f>
        <v>38.2640047715558</v>
      </c>
      <c r="BL84" s="13" t="n">
        <f aca="false">BL56-BL83+BL58</f>
        <v>56.246273778929</v>
      </c>
      <c r="BM84" s="13" t="n">
        <f aca="false">BM56-BM83+BM58</f>
        <v>56.3635112729076</v>
      </c>
      <c r="BN84" s="13" t="n">
        <f aca="false">BN56-BN83+BN58</f>
        <v>27.5818541482557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0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0</v>
      </c>
      <c r="R87" s="10" t="n">
        <f aca="false">Inputs!$F$44*Time!R38</f>
        <v>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0</v>
      </c>
      <c r="P88" s="13" t="n">
        <f aca="false">(1-P86)*(P56/MAX(Time!P31,1)*Inputs!$F$168+P55/MAX(Time!P31,1)*P87)</f>
        <v>38.2208066658204</v>
      </c>
      <c r="Q88" s="13" t="n">
        <f aca="false">(1-Q86)*(Q56/MAX(Time!Q31,1)*Inputs!$F$168+Q55/MAX(Time!Q31,1)*Q87)</f>
        <v>39.7874933452264</v>
      </c>
      <c r="R88" s="13" t="n">
        <f aca="false">(1-R86)*(R56/MAX(Time!R31,1)*Inputs!$F$168+R55/MAX(Time!R31,1)*R87)</f>
        <v>39.2626274969274</v>
      </c>
      <c r="S88" s="13" t="n">
        <f aca="false">(1-S86)*(S56/MAX(Time!S31,1)*Inputs!$F$168+S55/MAX(Time!S31,1)*S87)</f>
        <v>40.1970208422601</v>
      </c>
      <c r="T88" s="13" t="n">
        <f aca="false">(1-T86)*(T56/MAX(Time!T31,1)*Inputs!$F$168+T55/MAX(Time!T31,1)*T87)</f>
        <v>39.6943827350204</v>
      </c>
      <c r="U88" s="13" t="n">
        <f aca="false">(1-U86)*(U56/MAX(Time!U31,1)*Inputs!$F$168+U55/MAX(Time!U31,1)*U87)</f>
        <v>40.7946675556857</v>
      </c>
      <c r="V88" s="13" t="n">
        <f aca="false">(1-V86)*(V56/MAX(Time!V31,1)*Inputs!$F$168+V55/MAX(Time!V31,1)*V87)</f>
        <v>40.327392423494</v>
      </c>
      <c r="W88" s="13" t="n">
        <f aca="false">(1-W86)*(W56/MAX(Time!W31,1)*Inputs!$F$168+W55/MAX(Time!W31,1)*W87)</f>
        <v>40.8137362951384</v>
      </c>
      <c r="X88" s="13" t="n">
        <f aca="false">(1-X86)*(X56/MAX(Time!X31,1)*Inputs!$F$168+X55/MAX(Time!X31,1)*X87)</f>
        <v>40.400072102876</v>
      </c>
      <c r="Y88" s="13" t="n">
        <f aca="false">(1-Y86)*(Y56/MAX(Time!Y31,1)*Inputs!$F$168+Y55/MAX(Time!Y31,1)*Y87)</f>
        <v>42.2226472909187</v>
      </c>
      <c r="Z88" s="13" t="n">
        <f aca="false">(1-Z86)*(Z56/MAX(Time!Z31,1)*Inputs!$F$168+Z55/MAX(Time!Z31,1)*Z87)</f>
        <v>41.6213016178504</v>
      </c>
      <c r="AA88" s="13" t="n">
        <f aca="false">(1-AA86)*(AA56/MAX(Time!AA31,1)*Inputs!$F$168+AA55/MAX(Time!AA31,1)*AA87)</f>
        <v>42.618008269732</v>
      </c>
      <c r="AB88" s="13" t="n">
        <f aca="false">(1-AB86)*(AB56/MAX(Time!AB31,1)*Inputs!$F$168+AB55/MAX(Time!AB31,1)*AB87)</f>
        <v>42.0877811485333</v>
      </c>
      <c r="AC88" s="13" t="n">
        <f aca="false">(1-AC86)*(AC56/MAX(Time!AC31,1)*Inputs!$F$168+AC55/MAX(Time!AC31,1)*AC87)</f>
        <v>43.2677331960686</v>
      </c>
      <c r="AD88" s="13" t="n">
        <f aca="false">(1-AD86)*(AD56/MAX(Time!AD31,1)*Inputs!$F$168+AD55/MAX(Time!AD31,1)*AD87)</f>
        <v>42.6897276299796</v>
      </c>
      <c r="AE88" s="13" t="n">
        <f aca="false">(1-AE86)*(AE56/MAX(Time!AE31,1)*Inputs!$F$168+AE55/MAX(Time!AE31,1)*AE87)</f>
        <v>42.5466678592242</v>
      </c>
      <c r="AF88" s="13" t="n">
        <f aca="false">(1-AF86)*(AF56/MAX(Time!AF31,1)*Inputs!$F$168+AF55/MAX(Time!AF31,1)*AF87)</f>
        <v>42.3546138172199</v>
      </c>
      <c r="AG88" s="13" t="n">
        <f aca="false">(1-AG86)*(AG56/MAX(Time!AG31,1)*Inputs!$F$168+AG55/MAX(Time!AG31,1)*AG87)</f>
        <v>44.8062951358927</v>
      </c>
      <c r="AH88" s="13" t="n">
        <f aca="false">(1-AH86)*(AH56/MAX(Time!AH31,1)*Inputs!$F$168+AH55/MAX(Time!AH31,1)*AH87)</f>
        <v>44.1694488241572</v>
      </c>
      <c r="AI88" s="13" t="n">
        <f aca="false">(1-AI86)*(AI56/MAX(Time!AI31,1)*Inputs!$F$168+AI55/MAX(Time!AI31,1)*AI87)</f>
        <v>45.2335007908229</v>
      </c>
      <c r="AJ88" s="13" t="n">
        <f aca="false">(1-AJ86)*(AJ56/MAX(Time!AJ31,1)*Inputs!$F$168+AJ55/MAX(Time!AJ31,1)*AJ87)</f>
        <v>44.6734574149459</v>
      </c>
      <c r="AK88" s="13" t="n">
        <f aca="false">(1-AK86)*(AK56/MAX(Time!AK31,1)*Inputs!$F$168+AK55/MAX(Time!AK31,1)*AK87)</f>
        <v>45.9394584246768</v>
      </c>
      <c r="AL88" s="13" t="n">
        <f aca="false">(1-AL86)*(AL56/MAX(Time!AL31,1)*Inputs!$F$168+AL55/MAX(Time!AL31,1)*AL87)</f>
        <v>45.4122229815391</v>
      </c>
      <c r="AM88" s="13" t="n">
        <f aca="false">(1-AM86)*(AM56/MAX(Time!AM31,1)*Inputs!$F$168+AM55/MAX(Time!AM31,1)*AM87)</f>
        <v>45.9537384850944</v>
      </c>
      <c r="AN88" s="13" t="n">
        <f aca="false">(1-AN86)*(AN56/MAX(Time!AN31,1)*Inputs!$F$168+AN55/MAX(Time!AN31,1)*AN87)</f>
        <v>45.4974524839515</v>
      </c>
      <c r="AO88" s="13" t="n">
        <f aca="false">(1-AO86)*(AO56/MAX(Time!AO31,1)*Inputs!$F$168+AO55/MAX(Time!AO31,1)*AO87)</f>
        <v>47.5975153387773</v>
      </c>
      <c r="AP88" s="13" t="n">
        <f aca="false">(1-AP86)*(AP56/MAX(Time!AP31,1)*Inputs!$F$168+AP55/MAX(Time!AP31,1)*AP87)</f>
        <v>46.9223114313564</v>
      </c>
      <c r="AQ88" s="13" t="n">
        <f aca="false">(1-AQ86)*(AQ56/MAX(Time!AQ31,1)*Inputs!$F$168+AQ55/MAX(Time!AQ31,1)*AQ87)</f>
        <v>48.0591467128882</v>
      </c>
      <c r="AR88" s="13" t="n">
        <f aca="false">(1-AR86)*(AR56/MAX(Time!AR31,1)*Inputs!$F$168+AR55/MAX(Time!AR31,1)*AR87)</f>
        <v>47.4668810320953</v>
      </c>
      <c r="AS88" s="13" t="n">
        <f aca="false">(1-AS86)*(AS56/MAX(Time!AS31,1)*Inputs!$F$168+AS55/MAX(Time!AS31,1)*AS87)</f>
        <v>48.8258222745729</v>
      </c>
      <c r="AT88" s="13" t="n">
        <f aca="false">(1-AT86)*(AT56/MAX(Time!AT31,1)*Inputs!$F$168+AT55/MAX(Time!AT31,1)*AT87)</f>
        <v>48.1694641615826</v>
      </c>
      <c r="AU88" s="13" t="n">
        <f aca="false">(1-AU86)*(AU56/MAX(Time!AU31,1)*Inputs!$F$168+AU55/MAX(Time!AU31,1)*AU87)</f>
        <v>47.9990069931315</v>
      </c>
      <c r="AV88" s="13" t="n">
        <f aca="false">(1-AV86)*(AV56/MAX(Time!AV31,1)*Inputs!$F$168+AV55/MAX(Time!AV31,1)*AV87)</f>
        <v>47.7866599345666</v>
      </c>
      <c r="AW88" s="13" t="n">
        <f aca="false">(1-AW86)*(AW56/MAX(Time!AW31,1)*Inputs!$F$168+AW55/MAX(Time!AW31,1)*AW87)</f>
        <v>50.6130050188653</v>
      </c>
      <c r="AX88" s="13" t="n">
        <f aca="false">(1-AX86)*(AX56/MAX(Time!AX31,1)*Inputs!$F$168+AX55/MAX(Time!AX31,1)*AX87)</f>
        <v>49.8963580365277</v>
      </c>
      <c r="AY88" s="13" t="n">
        <f aca="false">(1-AY86)*(AY56/MAX(Time!AY31,1)*Inputs!$F$168+AY55/MAX(Time!AY31,1)*AY87)</f>
        <v>51.1118533231621</v>
      </c>
      <c r="AZ88" s="13" t="n">
        <f aca="false">(1-AZ86)*(AZ56/MAX(Time!AZ31,1)*Inputs!$F$168+AZ55/MAX(Time!AZ31,1)*AZ87)</f>
        <v>50.4847662112051</v>
      </c>
      <c r="BA88" s="13" t="n">
        <f aca="false">(1-BA86)*(BA56/MAX(Time!BA31,1)*Inputs!$F$168+BA55/MAX(Time!BA31,1)*BA87)</f>
        <v>51.9440889955145</v>
      </c>
      <c r="BB88" s="13" t="n">
        <f aca="false">(1-BB86)*(BB56/MAX(Time!BB31,1)*Inputs!$F$168+BB55/MAX(Time!BB31,1)*BB87)</f>
        <v>51.3469690837901</v>
      </c>
      <c r="BC88" s="13" t="n">
        <f aca="false">(1-BC86)*(BC56/MAX(Time!BC31,1)*Inputs!$F$168+BC55/MAX(Time!BC31,1)*BC87)</f>
        <v>51.9531632659378</v>
      </c>
      <c r="BD88" s="13" t="n">
        <f aca="false">(1-BD86)*(BD56/MAX(Time!BD31,1)*Inputs!$F$168+BD55/MAX(Time!BD31,1)*BD87)</f>
        <v>51.4470528642043</v>
      </c>
      <c r="BE88" s="13" t="n">
        <f aca="false">(1-BE86)*(BE56/MAX(Time!BE31,1)*Inputs!$F$168+BE55/MAX(Time!BE31,1)*BE87)</f>
        <v>53.8708042872587</v>
      </c>
      <c r="BF88" s="13" t="n">
        <f aca="false">(1-BF86)*(BF56/MAX(Time!BF31,1)*Inputs!$F$168+BF55/MAX(Time!BF31,1)*BF87)</f>
        <v>53.1093820754087</v>
      </c>
      <c r="BG88" s="13" t="n">
        <f aca="false">(1-BG86)*(BG56/MAX(Time!BG31,1)*Inputs!$F$168+BG55/MAX(Time!BG31,1)*BG87)</f>
        <v>54.4098880727899</v>
      </c>
      <c r="BH88" s="13" t="n">
        <f aca="false">(1-BH86)*(BH56/MAX(Time!BH31,1)*Inputs!$F$168+BH55/MAX(Time!BH31,1)*BH87)</f>
        <v>53.7451719305878</v>
      </c>
      <c r="BI88" s="13" t="n">
        <f aca="false">(1-BI86)*(BI56/MAX(Time!BI31,1)*Inputs!$F$168+BI55/MAX(Time!BI31,1)*BI87)</f>
        <v>55.3129113094724</v>
      </c>
      <c r="BJ88" s="13" t="n">
        <f aca="false">(1-BJ86)*(BJ56/MAX(Time!BJ31,1)*Inputs!$F$168+BJ55/MAX(Time!BJ31,1)*BJ87)</f>
        <v>54.5652469869536</v>
      </c>
      <c r="BK88" s="13" t="n">
        <f aca="false">(1-BK86)*(BK56/MAX(Time!BK31,1)*Inputs!$F$168+BK55/MAX(Time!BK31,1)*BK87)</f>
        <v>54.3629159205261</v>
      </c>
      <c r="BL88" s="13" t="n">
        <f aca="false">(1-BL86)*(BL56/MAX(Time!BL31,1)*Inputs!$F$168+BL55/MAX(Time!BL31,1)*BL87)</f>
        <v>54.1270119878393</v>
      </c>
      <c r="BM88" s="13" t="n">
        <f aca="false">(1-BM86)*(BM56/MAX(Time!BM31,1)*Inputs!$F$168+BM55/MAX(Time!BM31,1)*BM87)</f>
        <v>57.3904041405399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0</v>
      </c>
      <c r="P90" s="13" t="n">
        <f aca="false">(1-P86)*(P73+P54)/MAX(Time!P31,1)*Inputs!$F$169</f>
        <v>18.5433842576107</v>
      </c>
      <c r="Q90" s="13" t="n">
        <f aca="false">(1-Q86)*(Q73+Q54)/MAX(Time!Q31,1)*Inputs!$F$169</f>
        <v>19.4350405272361</v>
      </c>
      <c r="R90" s="13" t="n">
        <f aca="false">(1-R86)*(R73+R54)/MAX(Time!R31,1)*Inputs!$F$169</f>
        <v>19.0847086384391</v>
      </c>
      <c r="S90" s="13" t="n">
        <f aca="false">(1-S86)*(S73+S54)/MAX(Time!S31,1)*Inputs!$F$169</f>
        <v>19.627585307181</v>
      </c>
      <c r="T90" s="13" t="n">
        <f aca="false">(1-T86)*(T73+T54)/MAX(Time!T31,1)*Inputs!$F$169</f>
        <v>19.3357879735665</v>
      </c>
      <c r="U90" s="13" t="n">
        <f aca="false">(1-U86)*(U73+U54)/MAX(Time!U31,1)*Inputs!$F$169</f>
        <v>20.096856330134</v>
      </c>
      <c r="V90" s="13" t="n">
        <f aca="false">(1-V86)*(V73+V54)/MAX(Time!V31,1)*Inputs!$F$169</f>
        <v>19.7623275532841</v>
      </c>
      <c r="W90" s="13" t="n">
        <f aca="false">(1-W86)*(W73+W54)/MAX(Time!W31,1)*Inputs!$F$169</f>
        <v>19.9026835214754</v>
      </c>
      <c r="X90" s="13" t="n">
        <f aca="false">(1-X86)*(X73+X54)/MAX(Time!X31,1)*Inputs!$F$169</f>
        <v>19.690349589926</v>
      </c>
      <c r="Y90" s="13" t="n">
        <f aca="false">(1-Y86)*(Y73+Y54)/MAX(Time!Y31,1)*Inputs!$F$169</f>
        <v>21.0111589145241</v>
      </c>
      <c r="Z90" s="13" t="n">
        <f aca="false">(1-Z86)*(Z73+Z54)/MAX(Time!Z31,1)*Inputs!$F$169</f>
        <v>20.632263627445</v>
      </c>
      <c r="AA90" s="13" t="n">
        <f aca="false">(1-AA86)*(AA73+AA54)/MAX(Time!AA31,1)*Inputs!$F$169</f>
        <v>21.2190044438191</v>
      </c>
      <c r="AB90" s="13" t="n">
        <f aca="false">(1-AB86)*(AB73+AB54)/MAX(Time!AB31,1)*Inputs!$F$169</f>
        <v>20.9033931926938</v>
      </c>
      <c r="AC90" s="13" t="n">
        <f aca="false">(1-AC86)*(AC73+AC54)/MAX(Time!AC31,1)*Inputs!$F$169</f>
        <v>21.7260025028441</v>
      </c>
      <c r="AD90" s="13" t="n">
        <f aca="false">(1-AD86)*(AD73+AD54)/MAX(Time!AD31,1)*Inputs!$F$169</f>
        <v>21.2916594274373</v>
      </c>
      <c r="AE90" s="13" t="n">
        <f aca="false">(1-AE86)*(AE73+AE54)/MAX(Time!AE31,1)*Inputs!$F$169</f>
        <v>21.0645564146955</v>
      </c>
      <c r="AF90" s="13" t="n">
        <f aca="false">(1-AF86)*(AF73+AF54)/MAX(Time!AF31,1)*Inputs!$F$169</f>
        <v>20.9162487682367</v>
      </c>
      <c r="AG90" s="13" t="n">
        <f aca="false">(1-AG86)*(AG73+AG54)/MAX(Time!AG31,1)*Inputs!$F$169</f>
        <v>22.7137489467109</v>
      </c>
      <c r="AH90" s="13" t="n">
        <f aca="false">(1-AH86)*(AH73+AH54)/MAX(Time!AH31,1)*Inputs!$F$169</f>
        <v>22.3039851534732</v>
      </c>
      <c r="AI90" s="13" t="n">
        <f aca="false">(1-AI86)*(AI73+AI54)/MAX(Time!AI31,1)*Inputs!$F$169</f>
        <v>22.9380960222226</v>
      </c>
      <c r="AJ90" s="13" t="n">
        <f aca="false">(1-AJ86)*(AJ73+AJ54)/MAX(Time!AJ31,1)*Inputs!$F$169</f>
        <v>22.5967470699418</v>
      </c>
      <c r="AK90" s="13" t="n">
        <f aca="false">(1-AK86)*(AK73+AK54)/MAX(Time!AK31,1)*Inputs!$F$169</f>
        <v>23.4858201351983</v>
      </c>
      <c r="AL90" s="13" t="n">
        <f aca="false">(1-AL86)*(AL73+AL54)/MAX(Time!AL31,1)*Inputs!$F$169</f>
        <v>23.0945362777545</v>
      </c>
      <c r="AM90" s="13" t="n">
        <f aca="false">(1-AM86)*(AM73+AM54)/MAX(Time!AM31,1)*Inputs!$F$169</f>
        <v>23.2582126769335</v>
      </c>
      <c r="AN90" s="13" t="n">
        <f aca="false">(1-AN86)*(AN73+AN54)/MAX(Time!AN31,1)*Inputs!$F$169</f>
        <v>23.009737869396</v>
      </c>
      <c r="AO90" s="13" t="n">
        <f aca="false">(1-AO86)*(AO73+AO54)/MAX(Time!AO31,1)*Inputs!$F$169</f>
        <v>24.5528433341208</v>
      </c>
      <c r="AP90" s="13" t="n">
        <f aca="false">(1-AP86)*(AP73+AP54)/MAX(Time!AP31,1)*Inputs!$F$169</f>
        <v>24.1097219199398</v>
      </c>
      <c r="AQ90" s="13" t="n">
        <f aca="false">(1-AQ86)*(AQ73+AQ54)/MAX(Time!AQ31,1)*Inputs!$F$169</f>
        <v>24.794985647386</v>
      </c>
      <c r="AR90" s="13" t="n">
        <f aca="false">(1-AR86)*(AR73+AR54)/MAX(Time!AR31,1)*Inputs!$F$169</f>
        <v>24.4258214715533</v>
      </c>
      <c r="AS90" s="13" t="n">
        <f aca="false">(1-AS86)*(AS73+AS54)/MAX(Time!AS31,1)*Inputs!$F$169</f>
        <v>25.3866702597291</v>
      </c>
      <c r="AT90" s="13" t="n">
        <f aca="false">(1-AT86)*(AT73+AT54)/MAX(Time!AT31,1)*Inputs!$F$169</f>
        <v>24.8787727124802</v>
      </c>
      <c r="AU90" s="13" t="n">
        <f aca="false">(1-AU86)*(AU73+AU54)/MAX(Time!AU31,1)*Inputs!$F$169</f>
        <v>24.6130413503984</v>
      </c>
      <c r="AV90" s="13" t="n">
        <f aca="false">(1-AV86)*(AV73+AV54)/MAX(Time!AV31,1)*Inputs!$F$169</f>
        <v>24.4393853978446</v>
      </c>
      <c r="AW90" s="13" t="n">
        <f aca="false">(1-AW86)*(AW73+AW54)/MAX(Time!AW31,1)*Inputs!$F$169</f>
        <v>26.5392605270446</v>
      </c>
      <c r="AX90" s="13" t="n">
        <f aca="false">(1-AX86)*(AX73+AX54)/MAX(Time!AX31,1)*Inputs!$F$169</f>
        <v>26.0600938567513</v>
      </c>
      <c r="AY90" s="13" t="n">
        <f aca="false">(1-AY86)*(AY73+AY54)/MAX(Time!AY31,1)*Inputs!$F$169</f>
        <v>26.8005917287631</v>
      </c>
      <c r="AZ90" s="13" t="n">
        <f aca="false">(1-AZ86)*(AZ73+AZ54)/MAX(Time!AZ31,1)*Inputs!$F$169</f>
        <v>26.4013689269337</v>
      </c>
      <c r="BA90" s="13" t="n">
        <f aca="false">(1-BA86)*(BA73+BA54)/MAX(Time!BA31,1)*Inputs!$F$169</f>
        <v>27.4397249304056</v>
      </c>
      <c r="BB90" s="13" t="n">
        <f aca="false">(1-BB86)*(BB73+BB54)/MAX(Time!BB31,1)*Inputs!$F$169</f>
        <v>26.9821633638113</v>
      </c>
      <c r="BC90" s="13" t="n">
        <f aca="false">(1-BC86)*(BC73+BC54)/MAX(Time!BC31,1)*Inputs!$F$169</f>
        <v>27.1729852615363</v>
      </c>
      <c r="BD90" s="13" t="n">
        <f aca="false">(1-BD86)*(BD73+BD54)/MAX(Time!BD31,1)*Inputs!$F$169</f>
        <v>26.8822848202277</v>
      </c>
      <c r="BE90" s="13" t="n">
        <f aca="false">(1-BE86)*(BE73+BE54)/MAX(Time!BE31,1)*Inputs!$F$169</f>
        <v>28.6846653485898</v>
      </c>
      <c r="BF90" s="13" t="n">
        <f aca="false">(1-BF86)*(BF73+BF54)/MAX(Time!BF31,1)*Inputs!$F$169</f>
        <v>28.1665516238751</v>
      </c>
      <c r="BG90" s="13" t="n">
        <f aca="false">(1-BG86)*(BG73+BG54)/MAX(Time!BG31,1)*Inputs!$F$169</f>
        <v>28.9666866390723</v>
      </c>
      <c r="BH90" s="13" t="n">
        <f aca="false">(1-BH86)*(BH73+BH54)/MAX(Time!BH31,1)*Inputs!$F$169</f>
        <v>28.5349828413762</v>
      </c>
      <c r="BI90" s="13" t="n">
        <f aca="false">(1-BI86)*(BI73+BI54)/MAX(Time!BI31,1)*Inputs!$F$169</f>
        <v>29.6570297670429</v>
      </c>
      <c r="BJ90" s="13" t="n">
        <f aca="false">(1-BJ86)*(BJ73+BJ54)/MAX(Time!BJ31,1)*Inputs!$F$169</f>
        <v>29.0632604357493</v>
      </c>
      <c r="BK90" s="13" t="n">
        <f aca="false">(1-BK86)*(BK73+BK54)/MAX(Time!BK31,1)*Inputs!$F$169</f>
        <v>28.7524018136516</v>
      </c>
      <c r="BL90" s="13" t="n">
        <f aca="false">(1-BL86)*(BL73+BL54)/MAX(Time!BL31,1)*Inputs!$F$169</f>
        <v>28.5491111072881</v>
      </c>
      <c r="BM90" s="13" t="n">
        <f aca="false">(1-BM86)*(BM73+BM54)/MAX(Time!BM31,1)*Inputs!$F$169</f>
        <v>31.0016342240072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0</v>
      </c>
      <c r="P91" s="13" t="n">
        <f aca="false">(1-P86)*(P52+P53)/MAX(Time!P31,1)*Inputs!$F$170</f>
        <v>2.27184649743665</v>
      </c>
      <c r="Q91" s="13" t="n">
        <f aca="false">(1-Q86)*(Q52+Q53)/MAX(Time!Q31,1)*Inputs!$F$170</f>
        <v>2.31696217645034</v>
      </c>
      <c r="R91" s="13" t="n">
        <f aca="false">(1-R86)*(R52+R53)/MAX(Time!R31,1)*Inputs!$F$170</f>
        <v>2.30953698119653</v>
      </c>
      <c r="S91" s="13" t="n">
        <f aca="false">(1-S86)*(S52+S53)/MAX(Time!S31,1)*Inputs!$F$170</f>
        <v>2.34757951172334</v>
      </c>
      <c r="T91" s="13" t="n">
        <f aca="false">(1-T86)*(T52+T53)/MAX(Time!T31,1)*Inputs!$F$170</f>
        <v>2.34142525799545</v>
      </c>
      <c r="U91" s="13" t="n">
        <f aca="false">(1-U86)*(U52+U53)/MAX(Time!U31,1)*Inputs!$F$170</f>
        <v>2.38440334824175</v>
      </c>
      <c r="V91" s="13" t="n">
        <f aca="false">(1-V86)*(V52+V53)/MAX(Time!V31,1)*Inputs!$F$170</f>
        <v>2.37738243782952</v>
      </c>
      <c r="W91" s="13" t="n">
        <f aca="false">(1-W86)*(W52+W53)/MAX(Time!W31,1)*Inputs!$F$170</f>
        <v>2.40771989072683</v>
      </c>
      <c r="X91" s="13" t="n">
        <f aca="false">(1-X86)*(X52+X53)/MAX(Time!X31,1)*Inputs!$F$170</f>
        <v>2.40328538499624</v>
      </c>
      <c r="Y91" s="13" t="n">
        <f aca="false">(1-Y86)*(Y52+Y53)/MAX(Time!Y31,1)*Inputs!$F$170</f>
        <v>2.45859982118354</v>
      </c>
      <c r="Z91" s="13" t="n">
        <f aca="false">(1-Z86)*(Z52+Z53)/MAX(Time!Z31,1)*Inputs!$F$170</f>
        <v>2.45072554046998</v>
      </c>
      <c r="AA91" s="13" t="n">
        <f aca="false">(1-AA86)*(AA52+AA53)/MAX(Time!AA31,1)*Inputs!$F$170</f>
        <v>2.49108677766796</v>
      </c>
      <c r="AB91" s="13" t="n">
        <f aca="false">(1-AB86)*(AB52+AB53)/MAX(Time!AB31,1)*Inputs!$F$170</f>
        <v>2.48455983140521</v>
      </c>
      <c r="AC91" s="13" t="n">
        <f aca="false">(1-AC86)*(AC52+AC53)/MAX(Time!AC31,1)*Inputs!$F$170</f>
        <v>2.53015327126623</v>
      </c>
      <c r="AD91" s="13" t="n">
        <f aca="false">(1-AD86)*(AD52+AD53)/MAX(Time!AD31,1)*Inputs!$F$170</f>
        <v>2.52121494233197</v>
      </c>
      <c r="AE91" s="13" t="n">
        <f aca="false">(1-AE86)*(AE52+AE53)/MAX(Time!AE31,1)*Inputs!$F$170</f>
        <v>2.54566228467152</v>
      </c>
      <c r="AF91" s="13" t="n">
        <f aca="false">(1-AF86)*(AF52+AF53)/MAX(Time!AF31,1)*Inputs!$F$170</f>
        <v>2.54262522836152</v>
      </c>
      <c r="AG91" s="13" t="n">
        <f aca="false">(1-AG86)*(AG52+AG53)/MAX(Time!AG31,1)*Inputs!$F$170</f>
        <v>2.60886902580531</v>
      </c>
      <c r="AH91" s="13" t="n">
        <f aca="false">(1-AH86)*(AH52+AH53)/MAX(Time!AH31,1)*Inputs!$F$170</f>
        <v>2.60051898201265</v>
      </c>
      <c r="AI91" s="13" t="n">
        <f aca="false">(1-AI86)*(AI52+AI53)/MAX(Time!AI31,1)*Inputs!$F$170</f>
        <v>2.64333962693093</v>
      </c>
      <c r="AJ91" s="13" t="n">
        <f aca="false">(1-AJ86)*(AJ52+AJ53)/MAX(Time!AJ31,1)*Inputs!$F$170</f>
        <v>2.63641781784843</v>
      </c>
      <c r="AK91" s="13" t="n">
        <f aca="false">(1-AK86)*(AK52+AK53)/MAX(Time!AK31,1)*Inputs!$F$170</f>
        <v>2.68478483680874</v>
      </c>
      <c r="AL91" s="13" t="n">
        <f aca="false">(1-AL86)*(AL52+AL53)/MAX(Time!AL31,1)*Inputs!$F$170</f>
        <v>2.67688935124146</v>
      </c>
      <c r="AM91" s="13" t="n">
        <f aca="false">(1-AM86)*(AM52+AM53)/MAX(Time!AM31,1)*Inputs!$F$170</f>
        <v>2.71105469847467</v>
      </c>
      <c r="AN91" s="13" t="n">
        <f aca="false">(1-AN86)*(AN52+AN53)/MAX(Time!AN31,1)*Inputs!$F$170</f>
        <v>2.70606544985241</v>
      </c>
      <c r="AO91" s="13" t="n">
        <f aca="false">(1-AO86)*(AO52+AO53)/MAX(Time!AO31,1)*Inputs!$F$170</f>
        <v>2.76829414188258</v>
      </c>
      <c r="AP91" s="13" t="n">
        <f aca="false">(1-AP86)*(AP52+AP53)/MAX(Time!AP31,1)*Inputs!$F$170</f>
        <v>2.75944010367333</v>
      </c>
      <c r="AQ91" s="13" t="n">
        <f aca="false">(1-AQ86)*(AQ52+AQ53)/MAX(Time!AQ31,1)*Inputs!$F$170</f>
        <v>2.80486935618309</v>
      </c>
      <c r="AR91" s="13" t="n">
        <f aca="false">(1-AR86)*(AR52+AR53)/MAX(Time!AR31,1)*Inputs!$F$170</f>
        <v>2.7975292207349</v>
      </c>
      <c r="AS91" s="13" t="n">
        <f aca="false">(1-AS86)*(AS52+AS53)/MAX(Time!AS31,1)*Inputs!$F$170</f>
        <v>2.8488375633362</v>
      </c>
      <c r="AT91" s="13" t="n">
        <f aca="false">(1-AT86)*(AT52+AT53)/MAX(Time!AT31,1)*Inputs!$F$170</f>
        <v>2.83878847855679</v>
      </c>
      <c r="AU91" s="13" t="n">
        <f aca="false">(1-AU86)*(AU52+AU53)/MAX(Time!AU31,1)*Inputs!$F$170</f>
        <v>2.86634181368979</v>
      </c>
      <c r="AV91" s="13" t="n">
        <f aca="false">(1-AV86)*(AV52+AV53)/MAX(Time!AV31,1)*Inputs!$F$170</f>
        <v>2.86292275984964</v>
      </c>
      <c r="AW91" s="13" t="n">
        <f aca="false">(1-AW86)*(AW52+AW53)/MAX(Time!AW31,1)*Inputs!$F$170</f>
        <v>2.93743127046438</v>
      </c>
      <c r="AX91" s="13" t="n">
        <f aca="false">(1-AX86)*(AX52+AX53)/MAX(Time!AX31,1)*Inputs!$F$170</f>
        <v>2.92804336435315</v>
      </c>
      <c r="AY91" s="13" t="n">
        <f aca="false">(1-AY86)*(AY52+AY53)/MAX(Time!AY31,1)*Inputs!$F$170</f>
        <v>2.97623943404671</v>
      </c>
      <c r="AZ91" s="13" t="n">
        <f aca="false">(1-AZ86)*(AZ52+AZ53)/MAX(Time!AZ31,1)*Inputs!$F$170</f>
        <v>2.9684561416785</v>
      </c>
      <c r="BA91" s="13" t="n">
        <f aca="false">(1-BA86)*(BA52+BA53)/MAX(Time!BA31,1)*Inputs!$F$170</f>
        <v>3.02288363603229</v>
      </c>
      <c r="BB91" s="13" t="n">
        <f aca="false">(1-BB86)*(BB52+BB53)/MAX(Time!BB31,1)*Inputs!$F$170</f>
        <v>3.01400669336692</v>
      </c>
      <c r="BC91" s="13" t="n">
        <f aca="false">(1-BC86)*(BC52+BC53)/MAX(Time!BC31,1)*Inputs!$F$170</f>
        <v>3.05248264308333</v>
      </c>
      <c r="BD91" s="13" t="n">
        <f aca="false">(1-BD86)*(BD52+BD53)/MAX(Time!BD31,1)*Inputs!$F$170</f>
        <v>3.04687054260273</v>
      </c>
      <c r="BE91" s="13" t="n">
        <f aca="false">(1-BE86)*(BE52+BE53)/MAX(Time!BE31,1)*Inputs!$F$170</f>
        <v>3.11687017798908</v>
      </c>
      <c r="BF91" s="13" t="n">
        <f aca="false">(1-BF86)*(BF52+BF53)/MAX(Time!BF31,1)*Inputs!$F$170</f>
        <v>3.10691679502109</v>
      </c>
      <c r="BG91" s="13" t="n">
        <f aca="false">(1-BG86)*(BG52+BG53)/MAX(Time!BG31,1)*Inputs!$F$170</f>
        <v>3.15804744266705</v>
      </c>
      <c r="BH91" s="13" t="n">
        <f aca="false">(1-BH86)*(BH52+BH53)/MAX(Time!BH31,1)*Inputs!$F$170</f>
        <v>3.14979471797919</v>
      </c>
      <c r="BI91" s="13" t="n">
        <f aca="false">(1-BI86)*(BI52+BI53)/MAX(Time!BI31,1)*Inputs!$F$170</f>
        <v>3.20752987801185</v>
      </c>
      <c r="BJ91" s="13" t="n">
        <f aca="false">(1-BJ86)*(BJ52+BJ53)/MAX(Time!BJ31,1)*Inputs!$F$170</f>
        <v>3.1962346469196</v>
      </c>
      <c r="BK91" s="13" t="n">
        <f aca="false">(1-BK86)*(BK52+BK53)/MAX(Time!BK31,1)*Inputs!$F$170</f>
        <v>3.22729054967274</v>
      </c>
      <c r="BL91" s="13" t="n">
        <f aca="false">(1-BL86)*(BL52+BL53)/MAX(Time!BL31,1)*Inputs!$F$170</f>
        <v>3.22344232203872</v>
      </c>
      <c r="BM91" s="13" t="n">
        <f aca="false">(1-BM86)*(BM52+BM53)/MAX(Time!BM31,1)*Inputs!$F$170</f>
        <v>3.30723632739425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0</v>
      </c>
      <c r="P92" s="13" t="n">
        <f aca="false">(1-P86)*(P60+P61+P62+P64)/MAX(Time!P31,1)*Inputs!$F$171</f>
        <v>1.67401642745813</v>
      </c>
      <c r="Q92" s="13" t="n">
        <f aca="false">(1-Q86)*(Q60+Q61+Q62+Q64)/MAX(Time!Q31,1)*Inputs!$F$171</f>
        <v>1.74989883339952</v>
      </c>
      <c r="R92" s="13" t="n">
        <f aca="false">(1-R86)*(R60+R61+R62+R64)/MAX(Time!R31,1)*Inputs!$F$171</f>
        <v>1.73748654560994</v>
      </c>
      <c r="S92" s="13" t="n">
        <f aca="false">(1-S86)*(S60+S61+S62+S64)/MAX(Time!S31,1)*Inputs!$F$171</f>
        <v>1.77166553606577</v>
      </c>
      <c r="T92" s="13" t="n">
        <f aca="false">(1-T86)*(T60+T61+T62+T64)/MAX(Time!T31,1)*Inputs!$F$171</f>
        <v>1.76461902385192</v>
      </c>
      <c r="U92" s="13" t="n">
        <f aca="false">(1-U86)*(U60+U61+U62+U64)/MAX(Time!U31,1)*Inputs!$F$171</f>
        <v>1.81769879830719</v>
      </c>
      <c r="V92" s="13" t="n">
        <f aca="false">(1-V86)*(V60+V61+V62+V64)/MAX(Time!V31,1)*Inputs!$F$171</f>
        <v>1.8075342899174</v>
      </c>
      <c r="W92" s="13" t="n">
        <f aca="false">(1-W86)*(W60+W61+W62+W64)/MAX(Time!W31,1)*Inputs!$F$171</f>
        <v>1.80581711208381</v>
      </c>
      <c r="X92" s="13" t="n">
        <f aca="false">(1-X86)*(X60+X61+X62+X64)/MAX(Time!X31,1)*Inputs!$F$171</f>
        <v>1.80610661378107</v>
      </c>
      <c r="Y92" s="13" t="n">
        <f aca="false">(1-Y86)*(Y60+Y61+Y62+Y64)/MAX(Time!Y31,1)*Inputs!$F$171</f>
        <v>1.90904657856628</v>
      </c>
      <c r="Z92" s="13" t="n">
        <f aca="false">(1-Z86)*(Z60+Z61+Z62+Z64)/MAX(Time!Z31,1)*Inputs!$F$171</f>
        <v>1.89550543259566</v>
      </c>
      <c r="AA92" s="13" t="n">
        <f aca="false">(1-AA86)*(AA60+AA61+AA62+AA64)/MAX(Time!AA31,1)*Inputs!$F$171</f>
        <v>1.93279289375809</v>
      </c>
      <c r="AB92" s="13" t="n">
        <f aca="false">(1-AB86)*(AB60+AB61+AB62+AB64)/MAX(Time!AB31,1)*Inputs!$F$171</f>
        <v>1.92510552362222</v>
      </c>
      <c r="AC92" s="13" t="n">
        <f aca="false">(1-AC86)*(AC60+AC61+AC62+AC64)/MAX(Time!AC31,1)*Inputs!$F$171</f>
        <v>1.98301273510257</v>
      </c>
      <c r="AD92" s="13" t="n">
        <f aca="false">(1-AD86)*(AD60+AD61+AD62+AD64)/MAX(Time!AD31,1)*Inputs!$F$171</f>
        <v>1.96539663662235</v>
      </c>
      <c r="AE92" s="13" t="n">
        <f aca="false">(1-AE86)*(AE60+AE61+AE62+AE64)/MAX(Time!AE31,1)*Inputs!$F$171</f>
        <v>1.93615771288405</v>
      </c>
      <c r="AF92" s="13" t="n">
        <f aca="false">(1-AF86)*(AF60+AF61+AF62+AF64)/MAX(Time!AF31,1)*Inputs!$F$171</f>
        <v>1.93701248899046</v>
      </c>
      <c r="AG92" s="13" t="n">
        <f aca="false">(1-AG86)*(AG60+AG61+AG62+AG64)/MAX(Time!AG31,1)*Inputs!$F$171</f>
        <v>2.08266830606176</v>
      </c>
      <c r="AH92" s="13" t="n">
        <f aca="false">(1-AH86)*(AH60+AH61+AH62+AH64)/MAX(Time!AH31,1)*Inputs!$F$171</f>
        <v>2.06789563584125</v>
      </c>
      <c r="AI92" s="13" t="n">
        <f aca="false">(1-AI86)*(AI60+AI61+AI62+AI64)/MAX(Time!AI31,1)*Inputs!$F$171</f>
        <v>2.10857427325553</v>
      </c>
      <c r="AJ92" s="13" t="n">
        <f aca="false">(1-AJ86)*(AJ60+AJ61+AJ62+AJ64)/MAX(Time!AJ31,1)*Inputs!$F$171</f>
        <v>2.10018776120355</v>
      </c>
      <c r="AK92" s="13" t="n">
        <f aca="false">(1-AK86)*(AK60+AK61+AK62+AK64)/MAX(Time!AK31,1)*Inputs!$F$171</f>
        <v>2.16336144978538</v>
      </c>
      <c r="AL92" s="13" t="n">
        <f aca="false">(1-AL86)*(AL60+AL61+AL62+AL64)/MAX(Time!AL31,1)*Inputs!$F$171</f>
        <v>2.15126400788413</v>
      </c>
      <c r="AM92" s="13" t="n">
        <f aca="false">(1-AM86)*(AM60+AM61+AM62+AM64)/MAX(Time!AM31,1)*Inputs!$F$171</f>
        <v>2.14922028296608</v>
      </c>
      <c r="AN92" s="13" t="n">
        <f aca="false">(1-AN86)*(AN60+AN61+AN62+AN64)/MAX(Time!AN31,1)*Inputs!$F$171</f>
        <v>2.14956483774715</v>
      </c>
      <c r="AO92" s="13" t="n">
        <f aca="false">(1-AO86)*(AO60+AO61+AO62+AO64)/MAX(Time!AO31,1)*Inputs!$F$171</f>
        <v>2.27208037864204</v>
      </c>
      <c r="AP92" s="13" t="n">
        <f aca="false">(1-AP86)*(AP60+AP61+AP62+AP64)/MAX(Time!AP31,1)*Inputs!$F$171</f>
        <v>2.25596418094964</v>
      </c>
      <c r="AQ92" s="13" t="n">
        <f aca="false">(1-AQ86)*(AQ60+AQ61+AQ62+AQ64)/MAX(Time!AQ31,1)*Inputs!$F$171</f>
        <v>2.30034241133317</v>
      </c>
      <c r="AR92" s="13" t="n">
        <f aca="false">(1-AR86)*(AR60+AR61+AR62+AR64)/MAX(Time!AR31,1)*Inputs!$F$171</f>
        <v>2.29119317262671</v>
      </c>
      <c r="AS92" s="13" t="n">
        <f aca="false">(1-AS86)*(AS60+AS61+AS62+AS64)/MAX(Time!AS31,1)*Inputs!$F$171</f>
        <v>2.36011230768793</v>
      </c>
      <c r="AT92" s="13" t="n">
        <f aca="false">(1-AT86)*(AT60+AT61+AT62+AT64)/MAX(Time!AT31,1)*Inputs!$F$171</f>
        <v>2.33914624423274</v>
      </c>
      <c r="AU92" s="13" t="n">
        <f aca="false">(1-AU86)*(AU60+AU61+AU62+AU64)/MAX(Time!AU31,1)*Inputs!$F$171</f>
        <v>2.30434710121326</v>
      </c>
      <c r="AV92" s="13" t="n">
        <f aca="false">(1-AV86)*(AV60+AV61+AV62+AV64)/MAX(Time!AV31,1)*Inputs!$F$171</f>
        <v>2.30536442579889</v>
      </c>
      <c r="AW92" s="13" t="n">
        <f aca="false">(1-AW86)*(AW60+AW61+AW62+AW64)/MAX(Time!AW31,1)*Inputs!$F$171</f>
        <v>2.47871887807806</v>
      </c>
      <c r="AX92" s="13" t="n">
        <f aca="false">(1-AX86)*(AX60+AX61+AX62+AX64)/MAX(Time!AX31,1)*Inputs!$F$171</f>
        <v>2.46113696335422</v>
      </c>
      <c r="AY92" s="13" t="n">
        <f aca="false">(1-AY86)*(AY60+AY61+AY62+AY64)/MAX(Time!AY31,1)*Inputs!$F$171</f>
        <v>2.509551252946</v>
      </c>
      <c r="AZ92" s="13" t="n">
        <f aca="false">(1-AZ86)*(AZ60+AZ61+AZ62+AZ64)/MAX(Time!AZ31,1)*Inputs!$F$171</f>
        <v>2.49956992001652</v>
      </c>
      <c r="BA92" s="13" t="n">
        <f aca="false">(1-BA86)*(BA60+BA61+BA62+BA64)/MAX(Time!BA31,1)*Inputs!$F$171</f>
        <v>2.57475703167987</v>
      </c>
      <c r="BB92" s="13" t="n">
        <f aca="false">(1-BB86)*(BB60+BB61+BB62+BB64)/MAX(Time!BB31,1)*Inputs!$F$171</f>
        <v>2.56035908000903</v>
      </c>
      <c r="BC92" s="13" t="n">
        <f aca="false">(1-BC86)*(BC60+BC61+BC62+BC64)/MAX(Time!BC31,1)*Inputs!$F$171</f>
        <v>2.55792671018747</v>
      </c>
      <c r="BD92" s="13" t="n">
        <f aca="false">(1-BD86)*(BD60+BD61+BD62+BD64)/MAX(Time!BD31,1)*Inputs!$F$171</f>
        <v>2.55833678722081</v>
      </c>
      <c r="BE92" s="13" t="n">
        <f aca="false">(1-BE86)*(BE60+BE61+BE62+BE64)/MAX(Time!BE31,1)*Inputs!$F$171</f>
        <v>2.70415049322009</v>
      </c>
      <c r="BF92" s="13" t="n">
        <f aca="false">(1-BF86)*(BF60+BF61+BF62+BF64)/MAX(Time!BF31,1)*Inputs!$F$171</f>
        <v>2.68496955915262</v>
      </c>
      <c r="BG92" s="13" t="n">
        <f aca="false">(1-BG86)*(BG60+BG61+BG62+BG64)/MAX(Time!BG31,1)*Inputs!$F$171</f>
        <v>2.7377869747282</v>
      </c>
      <c r="BH92" s="13" t="n">
        <f aca="false">(1-BH86)*(BH60+BH61+BH62+BH64)/MAX(Time!BH31,1)*Inputs!$F$171</f>
        <v>2.72689787124698</v>
      </c>
      <c r="BI92" s="13" t="n">
        <f aca="false">(1-BI86)*(BI60+BI61+BI62+BI64)/MAX(Time!BI31,1)*Inputs!$F$171</f>
        <v>2.80892301209148</v>
      </c>
      <c r="BJ92" s="13" t="n">
        <f aca="false">(1-BJ86)*(BJ60+BJ61+BJ62+BJ64)/MAX(Time!BJ31,1)*Inputs!$F$171</f>
        <v>2.78396993764649</v>
      </c>
      <c r="BK92" s="13" t="n">
        <f aca="false">(1-BK86)*(BK60+BK61+BK62+BK64)/MAX(Time!BK31,1)*Inputs!$F$171</f>
        <v>2.7425532163701</v>
      </c>
      <c r="BL92" s="13" t="n">
        <f aca="false">(1-BL86)*(BL60+BL61+BL62+BL64)/MAX(Time!BL31,1)*Inputs!$F$171</f>
        <v>2.7437640004629</v>
      </c>
      <c r="BM92" s="13" t="n">
        <f aca="false">(1-BM86)*(BM60+BM61+BM62+BM64)/MAX(Time!BM31,1)*Inputs!$F$171</f>
        <v>2.95008439829705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0</v>
      </c>
      <c r="P93" s="13" t="n">
        <f aca="false">(1-P86)*(P65+P66+P67+P68+P69+P70+P71)/MAX(Time!P31,1)*Inputs!$F$172</f>
        <v>1.17722475451023</v>
      </c>
      <c r="Q93" s="13" t="n">
        <f aca="false">(1-Q86)*(Q65+Q66+Q67+Q68+Q69+Q70+Q71)/MAX(Time!Q31,1)*Inputs!$F$172</f>
        <v>1.22932075804826</v>
      </c>
      <c r="R93" s="13" t="n">
        <f aca="false">(1-R86)*(R65+R66+R67+R68+R69+R70+R71)/MAX(Time!R31,1)*Inputs!$F$172</f>
        <v>1.22091026274077</v>
      </c>
      <c r="S93" s="13" t="n">
        <f aca="false">(1-S86)*(S65+S66+S67+S68+S69+S70+S71)/MAX(Time!S31,1)*Inputs!$F$172</f>
        <v>1.25053421430613</v>
      </c>
      <c r="T93" s="13" t="n">
        <f aca="false">(1-T86)*(T65+T66+T67+T68+T69+T70+T71)/MAX(Time!T31,1)*Inputs!$F$172</f>
        <v>1.24302262682394</v>
      </c>
      <c r="U93" s="13" t="n">
        <f aca="false">(1-U86)*(U65+U66+U67+U68+U69+U70+U71)/MAX(Time!U31,1)*Inputs!$F$172</f>
        <v>1.27227867523473</v>
      </c>
      <c r="V93" s="13" t="n">
        <f aca="false">(1-V86)*(V65+V66+V67+V68+V69+V70+V71)/MAX(Time!V31,1)*Inputs!$F$172</f>
        <v>1.26887214338028</v>
      </c>
      <c r="W93" s="13" t="n">
        <f aca="false">(1-W86)*(W65+W66+W67+W68+W69+W70+W71)/MAX(Time!W31,1)*Inputs!$F$172</f>
        <v>1.29171645940905</v>
      </c>
      <c r="X93" s="13" t="n">
        <f aca="false">(1-X86)*(X65+X66+X67+X68+X69+X70+X71)/MAX(Time!X31,1)*Inputs!$F$172</f>
        <v>1.28558059838024</v>
      </c>
      <c r="Y93" s="13" t="n">
        <f aca="false">(1-Y86)*(Y65+Y66+Y67+Y68+Y69+Y70+Y71)/MAX(Time!Y31,1)*Inputs!$F$172</f>
        <v>1.33130026800422</v>
      </c>
      <c r="Z93" s="13" t="n">
        <f aca="false">(1-Z86)*(Z65+Z66+Z67+Z68+Z69+Z70+Z71)/MAX(Time!Z31,1)*Inputs!$F$172</f>
        <v>1.32209131485217</v>
      </c>
      <c r="AA93" s="13" t="n">
        <f aca="false">(1-AA86)*(AA65+AA66+AA67+AA68+AA69+AA70+AA71)/MAX(Time!AA31,1)*Inputs!$F$172</f>
        <v>1.35423919488582</v>
      </c>
      <c r="AB93" s="13" t="n">
        <f aca="false">(1-AB86)*(AB65+AB66+AB67+AB68+AB69+AB70+AB71)/MAX(Time!AB31,1)*Inputs!$F$172</f>
        <v>1.3461778365149</v>
      </c>
      <c r="AC93" s="13" t="n">
        <f aca="false">(1-AC86)*(AC65+AC66+AC67+AC68+AC69+AC70+AC71)/MAX(Time!AC31,1)*Inputs!$F$172</f>
        <v>1.37793912102955</v>
      </c>
      <c r="AD93" s="13" t="n">
        <f aca="false">(1-AD86)*(AD65+AD66+AD67+AD68+AD69+AD70+AD71)/MAX(Time!AD31,1)*Inputs!$F$172</f>
        <v>1.37292823672216</v>
      </c>
      <c r="AE93" s="13" t="n">
        <f aca="false">(1-AE86)*(AE65+AE66+AE67+AE68+AE69+AE70+AE71)/MAX(Time!AE31,1)*Inputs!$F$172</f>
        <v>1.38971191488488</v>
      </c>
      <c r="AF93" s="13" t="n">
        <f aca="false">(1-AF86)*(AF65+AF66+AF67+AF68+AF69+AF70+AF71)/MAX(Time!AF31,1)*Inputs!$F$172</f>
        <v>1.38516674423719</v>
      </c>
      <c r="AG93" s="13" t="n">
        <f aca="false">(1-AG86)*(AG65+AG66+AG67+AG68+AG69+AG70+AG71)/MAX(Time!AG31,1)*Inputs!$F$172</f>
        <v>1.44216129387174</v>
      </c>
      <c r="AH93" s="13" t="n">
        <f aca="false">(1-AH86)*(AH65+AH66+AH67+AH68+AH69+AH70+AH71)/MAX(Time!AH31,1)*Inputs!$F$172</f>
        <v>1.43225732939668</v>
      </c>
      <c r="AI93" s="13" t="n">
        <f aca="false">(1-AI86)*(AI65+AI66+AI67+AI68+AI69+AI70+AI71)/MAX(Time!AI31,1)*Inputs!$F$172</f>
        <v>1.46715445452904</v>
      </c>
      <c r="AJ93" s="13" t="n">
        <f aca="false">(1-AJ86)*(AJ65+AJ66+AJ67+AJ68+AJ69+AJ70+AJ71)/MAX(Time!AJ31,1)*Inputs!$F$172</f>
        <v>1.45849419681733</v>
      </c>
      <c r="AK93" s="13" t="n">
        <f aca="false">(1-AK86)*(AK65+AK66+AK67+AK68+AK69+AK70+AK71)/MAX(Time!AK31,1)*Inputs!$F$172</f>
        <v>1.49298188271395</v>
      </c>
      <c r="AL93" s="13" t="n">
        <f aca="false">(1-AL86)*(AL65+AL66+AL67+AL68+AL69+AL70+AL71)/MAX(Time!AL31,1)*Inputs!$F$172</f>
        <v>1.48913042451445</v>
      </c>
      <c r="AM93" s="13" t="n">
        <f aca="false">(1-AM86)*(AM65+AM66+AM67+AM68+AM69+AM70+AM71)/MAX(Time!AM31,1)*Inputs!$F$172</f>
        <v>1.51606921085502</v>
      </c>
      <c r="AN93" s="13" t="n">
        <f aca="false">(1-AN86)*(AN65+AN66+AN67+AN68+AN69+AN70+AN71)/MAX(Time!AN31,1)*Inputs!$F$172</f>
        <v>1.50902370235555</v>
      </c>
      <c r="AO93" s="13" t="n">
        <f aca="false">(1-AO86)*(AO65+AO66+AO67+AO68+AO69+AO70+AO71)/MAX(Time!AO31,1)*Inputs!$F$172</f>
        <v>1.562866195722</v>
      </c>
      <c r="AP93" s="13" t="n">
        <f aca="false">(1-AP86)*(AP65+AP66+AP67+AP68+AP69+AP70+AP71)/MAX(Time!AP31,1)*Inputs!$F$172</f>
        <v>1.55220571262223</v>
      </c>
      <c r="AQ93" s="13" t="n">
        <f aca="false">(1-AQ86)*(AQ65+AQ66+AQ67+AQ68+AQ69+AQ70+AQ71)/MAX(Time!AQ31,1)*Inputs!$F$172</f>
        <v>1.59009750691547</v>
      </c>
      <c r="AR93" s="13" t="n">
        <f aca="false">(1-AR86)*(AR65+AR66+AR67+AR68+AR69+AR70+AR71)/MAX(Time!AR31,1)*Inputs!$F$172</f>
        <v>1.58078483259113</v>
      </c>
      <c r="AS93" s="13" t="n">
        <f aca="false">(1-AS86)*(AS65+AS66+AS67+AS68+AS69+AS70+AS71)/MAX(Time!AS31,1)*Inputs!$F$172</f>
        <v>1.61823959208551</v>
      </c>
      <c r="AT93" s="13" t="n">
        <f aca="false">(1-AT86)*(AT65+AT66+AT67+AT68+AT69+AT70+AT71)/MAX(Time!AT31,1)*Inputs!$F$172</f>
        <v>1.612501602952</v>
      </c>
      <c r="AU93" s="13" t="n">
        <f aca="false">(1-AU86)*(AU65+AU66+AU67+AU68+AU69+AU70+AU71)/MAX(Time!AU31,1)*Inputs!$F$172</f>
        <v>1.63243218712392</v>
      </c>
      <c r="AV93" s="13" t="n">
        <f aca="false">(1-AV86)*(AV65+AV66+AV67+AV68+AV69+AV70+AV71)/MAX(Time!AV31,1)*Inputs!$F$172</f>
        <v>1.62719227547412</v>
      </c>
      <c r="AW93" s="13" t="n">
        <f aca="false">(1-AW86)*(AW65+AW66+AW67+AW68+AW69+AW70+AW71)/MAX(Time!AW31,1)*Inputs!$F$172</f>
        <v>1.69428854451474</v>
      </c>
      <c r="AX93" s="13" t="n">
        <f aca="false">(1-AX86)*(AX65+AX66+AX67+AX68+AX69+AX70+AX71)/MAX(Time!AX31,1)*Inputs!$F$172</f>
        <v>1.68280459636549</v>
      </c>
      <c r="AY93" s="13" t="n">
        <f aca="false">(1-AY86)*(AY65+AY66+AY67+AY68+AY69+AY70+AY71)/MAX(Time!AY31,1)*Inputs!$F$172</f>
        <v>1.72395838506056</v>
      </c>
      <c r="AZ93" s="13" t="n">
        <f aca="false">(1-AZ86)*(AZ65+AZ66+AZ67+AZ68+AZ69+AZ70+AZ71)/MAX(Time!AZ31,1)*Inputs!$F$172</f>
        <v>1.71393499609092</v>
      </c>
      <c r="BA93" s="13" t="n">
        <f aca="false">(1-BA86)*(BA65+BA66+BA67+BA68+BA69+BA70+BA71)/MAX(Time!BA31,1)*Inputs!$F$172</f>
        <v>1.75461872719478</v>
      </c>
      <c r="BB93" s="13" t="n">
        <f aca="false">(1-BB86)*(BB65+BB66+BB67+BB68+BB69+BB70+BB71)/MAX(Time!BB31,1)*Inputs!$F$172</f>
        <v>1.7502436757666</v>
      </c>
      <c r="BC93" s="13" t="n">
        <f aca="false">(1-BC86)*(BC65+BC66+BC67+BC68+BC69+BC70+BC71)/MAX(Time!BC31,1)*Inputs!$F$172</f>
        <v>1.7820572963113</v>
      </c>
      <c r="BD93" s="13" t="n">
        <f aca="false">(1-BD86)*(BD65+BD66+BD67+BD68+BD69+BD70+BD71)/MAX(Time!BD31,1)*Inputs!$F$172</f>
        <v>1.77392883681916</v>
      </c>
      <c r="BE93" s="13" t="n">
        <f aca="false">(1-BE86)*(BE65+BE66+BE67+BE68+BE69+BE70+BE71)/MAX(Time!BE31,1)*Inputs!$F$172</f>
        <v>1.83737938632279</v>
      </c>
      <c r="BF93" s="13" t="n">
        <f aca="false">(1-BF86)*(BF65+BF66+BF67+BF68+BF69+BF70+BF71)/MAX(Time!BF31,1)*Inputs!$F$172</f>
        <v>1.8249991069811</v>
      </c>
      <c r="BG93" s="13" t="n">
        <f aca="false">(1-BG86)*(BG65+BG66+BG67+BG68+BG69+BG70+BG71)/MAX(Time!BG31,1)*Inputs!$F$172</f>
        <v>1.86970607020093</v>
      </c>
      <c r="BH93" s="13" t="n">
        <f aca="false">(1-BH86)*(BH65+BH66+BH67+BH68+BH69+BH70+BH71)/MAX(Time!BH31,1)*Inputs!$F$172</f>
        <v>1.85890846086119</v>
      </c>
      <c r="BI93" s="13" t="n">
        <f aca="false">(1-BI86)*(BI65+BI66+BI67+BI68+BI69+BI70+BI71)/MAX(Time!BI31,1)*Inputs!$F$172</f>
        <v>1.90310615754155</v>
      </c>
      <c r="BJ93" s="13" t="n">
        <f aca="false">(1-BJ86)*(BJ65+BJ66+BJ67+BJ68+BJ69+BJ70+BJ71)/MAX(Time!BJ31,1)*Inputs!$F$172</f>
        <v>1.89651309351569</v>
      </c>
      <c r="BK93" s="13" t="n">
        <f aca="false">(1-BK86)*(BK65+BK66+BK67+BK68+BK69+BK70+BK71)/MAX(Time!BK31,1)*Inputs!$F$172</f>
        <v>1.92021063061234</v>
      </c>
      <c r="BL93" s="13" t="n">
        <f aca="false">(1-BL86)*(BL65+BL66+BL67+BL68+BL69+BL70+BL71)/MAX(Time!BL31,1)*Inputs!$F$172</f>
        <v>1.9141394817361</v>
      </c>
      <c r="BM93" s="13" t="n">
        <f aca="false">(1-BM86)*(BM65+BM66+BM67+BM68+BM69+BM70+BM71)/MAX(Time!BM31,1)*Inputs!$F$172</f>
        <v>1.99317410897378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0</v>
      </c>
      <c r="P95" s="13" t="n">
        <f aca="false">P88+P89-P90-P91-P92-P93-P94</f>
        <v>14.5543347288047</v>
      </c>
      <c r="Q95" s="13" t="n">
        <f aca="false">Q88+Q89-Q90-Q91-Q92-Q93-Q94</f>
        <v>15.0562710500922</v>
      </c>
      <c r="R95" s="13" t="n">
        <f aca="false">R88+R89-R90-R91-R92-R93-R94</f>
        <v>14.9099850689411</v>
      </c>
      <c r="S95" s="13" t="n">
        <f aca="false">S88+S89-S90-S91-S92-S93-S94</f>
        <v>15.1996562729838</v>
      </c>
      <c r="T95" s="13" t="n">
        <f aca="false">T88+T89-T90-T91-T92-T93-T94</f>
        <v>15.0095278527826</v>
      </c>
      <c r="U95" s="13" t="n">
        <f aca="false">U88+U89-U90-U91-U92-U93-U94</f>
        <v>15.223430403768</v>
      </c>
      <c r="V95" s="13" t="n">
        <f aca="false">V88+V89-V90-V91-V92-V93-V94</f>
        <v>15.1112759990826</v>
      </c>
      <c r="W95" s="13" t="n">
        <f aca="false">W88+W89-W90-W91-W92-W93-W94</f>
        <v>15.4057993114433</v>
      </c>
      <c r="X95" s="13" t="n">
        <f aca="false">X88+X89-X90-X91-X92-X93-X94</f>
        <v>15.2147499157925</v>
      </c>
      <c r="Y95" s="13" t="n">
        <f aca="false">Y88+Y89-Y90-Y91-Y92-Y93-Y94</f>
        <v>15.5125417086406</v>
      </c>
      <c r="Z95" s="13" t="n">
        <f aca="false">Z88+Z89-Z90-Z91-Z92-Z93-Z94</f>
        <v>15.3207157024876</v>
      </c>
      <c r="AA95" s="13" t="n">
        <f aca="false">AA88+AA89-AA90-AA91-AA92-AA93-AA94</f>
        <v>15.620884959601</v>
      </c>
      <c r="AB95" s="13" t="n">
        <f aca="false">AB88+AB89-AB90-AB91-AB92-AB93-AB94</f>
        <v>15.4285447642972</v>
      </c>
      <c r="AC95" s="13" t="n">
        <f aca="false">AC88+AC89-AC90-AC91-AC92-AC93-AC94</f>
        <v>15.6506255658261</v>
      </c>
      <c r="AD95" s="13" t="n">
        <f aca="false">AD88+AD89-AD90-AD91-AD92-AD93-AD94</f>
        <v>15.5385283868658</v>
      </c>
      <c r="AE95" s="13" t="n">
        <f aca="false">AE88+AE89-AE90-AE91-AE92-AE93-AE94</f>
        <v>15.6105795320882</v>
      </c>
      <c r="AF95" s="13" t="n">
        <f aca="false">AF88+AF89-AF90-AF91-AF92-AF93-AF94</f>
        <v>15.573560587394</v>
      </c>
      <c r="AG95" s="13" t="n">
        <f aca="false">AG88+AG89-AG90-AG91-AG92-AG93-AG94</f>
        <v>15.958847563443</v>
      </c>
      <c r="AH95" s="13" t="n">
        <f aca="false">AH88+AH89-AH90-AH91-AH92-AH93-AH94</f>
        <v>15.7647917234334</v>
      </c>
      <c r="AI95" s="13" t="n">
        <f aca="false">AI88+AI89-AI90-AI91-AI92-AI93-AI94</f>
        <v>16.0763364138847</v>
      </c>
      <c r="AJ95" s="13" t="n">
        <f aca="false">AJ88+AJ89-AJ90-AJ91-AJ92-AJ93-AJ94</f>
        <v>15.8816105691348</v>
      </c>
      <c r="AK95" s="13" t="n">
        <f aca="false">AK88+AK89-AK90-AK91-AK92-AK93-AK94</f>
        <v>16.1125101201705</v>
      </c>
      <c r="AL95" s="13" t="n">
        <f aca="false">AL88+AL89-AL90-AL91-AL92-AL93-AL94</f>
        <v>16.0004029201446</v>
      </c>
      <c r="AM95" s="13" t="n">
        <f aca="false">AM88+AM89-AM90-AM91-AM92-AM93-AM94</f>
        <v>16.3191816158652</v>
      </c>
      <c r="AN95" s="13" t="n">
        <f aca="false">AN88+AN89-AN90-AN91-AN92-AN93-AN94</f>
        <v>16.1230606246003</v>
      </c>
      <c r="AO95" s="13" t="n">
        <f aca="false">AO88+AO89-AO90-AO91-AO92-AO93-AO94</f>
        <v>16.4414312884098</v>
      </c>
      <c r="AP95" s="13" t="n">
        <f aca="false">AP88+AP89-AP90-AP91-AP92-AP93-AP94</f>
        <v>16.2449795141714</v>
      </c>
      <c r="AQ95" s="13" t="n">
        <f aca="false">AQ88+AQ89-AQ90-AQ91-AQ92-AQ93-AQ94</f>
        <v>16.5688517910704</v>
      </c>
      <c r="AR95" s="13" t="n">
        <f aca="false">AR88+AR89-AR90-AR91-AR92-AR93-AR94</f>
        <v>16.3715523345893</v>
      </c>
      <c r="AS95" s="13" t="n">
        <f aca="false">AS88+AS89-AS90-AS91-AS92-AS93-AS94</f>
        <v>16.6119625517341</v>
      </c>
      <c r="AT95" s="13" t="n">
        <f aca="false">AT88+AT89-AT90-AT91-AT92-AT93-AT94</f>
        <v>16.5002551233608</v>
      </c>
      <c r="AU95" s="13" t="n">
        <f aca="false">AU88+AU89-AU90-AU91-AU92-AU93-AU94</f>
        <v>16.5828445407062</v>
      </c>
      <c r="AV95" s="13" t="n">
        <f aca="false">AV88+AV89-AV90-AV91-AV92-AV93-AV94</f>
        <v>16.5517950755994</v>
      </c>
      <c r="AW95" s="13" t="n">
        <f aca="false">AW88+AW89-AW90-AW91-AW92-AW93-AW94</f>
        <v>16.9633057987635</v>
      </c>
      <c r="AX95" s="13" t="n">
        <f aca="false">AX88+AX89-AX90-AX91-AX92-AX93-AX94</f>
        <v>16.7642792557036</v>
      </c>
      <c r="AY95" s="13" t="n">
        <f aca="false">AY88+AY89-AY90-AY91-AY92-AY93-AY94</f>
        <v>17.1015125223457</v>
      </c>
      <c r="AZ95" s="13" t="n">
        <f aca="false">AZ88+AZ89-AZ90-AZ91-AZ92-AZ93-AZ94</f>
        <v>16.9014362264854</v>
      </c>
      <c r="BA95" s="13" t="n">
        <f aca="false">BA88+BA89-BA90-BA91-BA92-BA93-BA94</f>
        <v>17.1521046702019</v>
      </c>
      <c r="BB95" s="13" t="n">
        <f aca="false">BB88+BB89-BB90-BB91-BB92-BB93-BB94</f>
        <v>17.0401962708362</v>
      </c>
      <c r="BC95" s="13" t="n">
        <f aca="false">BC88+BC89-BC90-BC91-BC92-BC93-BC94</f>
        <v>17.3877113548194</v>
      </c>
      <c r="BD95" s="13" t="n">
        <f aca="false">BD88+BD89-BD90-BD91-BD92-BD93-BD94</f>
        <v>17.1856318773339</v>
      </c>
      <c r="BE95" s="13" t="n">
        <f aca="false">BE88+BE89-BE90-BE91-BE92-BE93-BE94</f>
        <v>17.5277388811369</v>
      </c>
      <c r="BF95" s="13" t="n">
        <f aca="false">BF88+BF89-BF90-BF91-BF92-BF93-BF94</f>
        <v>17.3259449903788</v>
      </c>
      <c r="BG95" s="13" t="n">
        <f aca="false">BG88+BG89-BG90-BG91-BG92-BG93-BG94</f>
        <v>17.6776609461214</v>
      </c>
      <c r="BH95" s="13" t="n">
        <f aca="false">BH88+BH89-BH90-BH91-BH92-BH93-BH94</f>
        <v>17.4745880391243</v>
      </c>
      <c r="BI95" s="13" t="n">
        <f aca="false">BI88+BI89-BI90-BI91-BI92-BI93-BI94</f>
        <v>17.7363224947846</v>
      </c>
      <c r="BJ95" s="13" t="n">
        <f aca="false">BJ88+BJ89-BJ90-BJ91-BJ92-BJ93-BJ94</f>
        <v>17.6252688731226</v>
      </c>
      <c r="BK95" s="13" t="n">
        <f aca="false">BK88+BK89-BK90-BK91-BK92-BK93-BK94</f>
        <v>17.7204597102193</v>
      </c>
      <c r="BL95" s="13" t="n">
        <f aca="false">BL88+BL89-BL90-BL91-BL92-BL93-BL94</f>
        <v>17.6965550763135</v>
      </c>
      <c r="BM95" s="13" t="n">
        <f aca="false">BM88+BM89-BM90-BM91-BM92-BM93-BM94</f>
        <v>18.1382750818676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0</v>
      </c>
      <c r="P96" s="13" t="n">
        <f aca="false">P95-O95</f>
        <v>14.5543347288047</v>
      </c>
      <c r="Q96" s="13" t="n">
        <f aca="false">Q95-P95</f>
        <v>0.501936321287438</v>
      </c>
      <c r="R96" s="13" t="n">
        <f aca="false">R95-Q95</f>
        <v>-0.146285981151081</v>
      </c>
      <c r="S96" s="13" t="n">
        <f aca="false">S95-R95</f>
        <v>0.289671204042701</v>
      </c>
      <c r="T96" s="13" t="n">
        <f aca="false">T95-S95</f>
        <v>-0.190128420201219</v>
      </c>
      <c r="U96" s="13" t="n">
        <f aca="false">U95-T95</f>
        <v>0.213902550985431</v>
      </c>
      <c r="V96" s="13" t="n">
        <f aca="false">V95-U95</f>
        <v>-0.112154404685375</v>
      </c>
      <c r="W96" s="13" t="n">
        <f aca="false">W95-V95</f>
        <v>0.294523312360647</v>
      </c>
      <c r="X96" s="13" t="n">
        <f aca="false">X95-W95</f>
        <v>-0.191049395650806</v>
      </c>
      <c r="Y96" s="13" t="n">
        <f aca="false">Y95-X95</f>
        <v>0.297791792848098</v>
      </c>
      <c r="Z96" s="13" t="n">
        <f aca="false">Z95-Y95</f>
        <v>-0.191826006152938</v>
      </c>
      <c r="AA96" s="13" t="n">
        <f aca="false">AA95-Z95</f>
        <v>0.30016925711336</v>
      </c>
      <c r="AB96" s="13" t="n">
        <f aca="false">AB95-AA95</f>
        <v>-0.19234019530378</v>
      </c>
      <c r="AC96" s="13" t="n">
        <f aca="false">AC95-AB95</f>
        <v>0.222080801528886</v>
      </c>
      <c r="AD96" s="13" t="n">
        <f aca="false">AD95-AC95</f>
        <v>-0.112097178960303</v>
      </c>
      <c r="AE96" s="13" t="n">
        <f aca="false">AE95-AD95</f>
        <v>0.072051145222396</v>
      </c>
      <c r="AF96" s="13" t="n">
        <f aca="false">AF95-AE95</f>
        <v>-0.0370189446942</v>
      </c>
      <c r="AG96" s="13" t="n">
        <f aca="false">AG95-AF95</f>
        <v>0.385286976049027</v>
      </c>
      <c r="AH96" s="13" t="n">
        <f aca="false">AH95-AG95</f>
        <v>-0.194055840009577</v>
      </c>
      <c r="AI96" s="13" t="n">
        <f aca="false">AI95-AH95</f>
        <v>0.311544690451287</v>
      </c>
      <c r="AJ96" s="13" t="n">
        <f aca="false">AJ95-AI95</f>
        <v>-0.194725844749968</v>
      </c>
      <c r="AK96" s="13" t="n">
        <f aca="false">AK95-AJ95</f>
        <v>0.230899551035762</v>
      </c>
      <c r="AL96" s="13" t="n">
        <f aca="false">AL95-AK95</f>
        <v>-0.112107200025918</v>
      </c>
      <c r="AM96" s="13" t="n">
        <f aca="false">AM95-AL95</f>
        <v>0.318778695720603</v>
      </c>
      <c r="AN96" s="13" t="n">
        <f aca="false">AN95-AM95</f>
        <v>-0.196120991264891</v>
      </c>
      <c r="AO96" s="13" t="n">
        <f aca="false">AO95-AN95</f>
        <v>0.3183706638095</v>
      </c>
      <c r="AP96" s="13" t="n">
        <f aca="false">AP95-AO95</f>
        <v>-0.196451774238408</v>
      </c>
      <c r="AQ96" s="13" t="n">
        <f aca="false">AQ95-AP95</f>
        <v>0.323872276899039</v>
      </c>
      <c r="AR96" s="13" t="n">
        <f aca="false">AR95-AQ95</f>
        <v>-0.197299456481137</v>
      </c>
      <c r="AS96" s="13" t="n">
        <f aca="false">AS95-AR95</f>
        <v>0.240410217144831</v>
      </c>
      <c r="AT96" s="13" t="n">
        <f aca="false">AT95-AS95</f>
        <v>-0.111707428373322</v>
      </c>
      <c r="AU96" s="13" t="n">
        <f aca="false">AU95-AT95</f>
        <v>0.0825894173453641</v>
      </c>
      <c r="AV96" s="13" t="n">
        <f aca="false">AV95-AU95</f>
        <v>-0.0310494651068218</v>
      </c>
      <c r="AW96" s="13" t="n">
        <f aca="false">AW95-AV95</f>
        <v>0.411510723164096</v>
      </c>
      <c r="AX96" s="13" t="n">
        <f aca="false">AX95-AW95</f>
        <v>-0.199026543059905</v>
      </c>
      <c r="AY96" s="13" t="n">
        <f aca="false">AY95-AX95</f>
        <v>0.33723326664219</v>
      </c>
      <c r="AZ96" s="13" t="n">
        <f aca="false">AZ95-AY95</f>
        <v>-0.200076295860292</v>
      </c>
      <c r="BA96" s="13" t="n">
        <f aca="false">BA95-AZ95</f>
        <v>0.250668443716499</v>
      </c>
      <c r="BB96" s="13" t="n">
        <f aca="false">BB95-BA95</f>
        <v>-0.111908399365781</v>
      </c>
      <c r="BC96" s="13" t="n">
        <f aca="false">BC95-BB95</f>
        <v>0.347515083983275</v>
      </c>
      <c r="BD96" s="13" t="n">
        <f aca="false">BD95-BC95</f>
        <v>-0.202079477485508</v>
      </c>
      <c r="BE96" s="13" t="n">
        <f aca="false">BE95-BD95</f>
        <v>0.342107003802965</v>
      </c>
      <c r="BF96" s="13" t="n">
        <f aca="false">BF95-BE95</f>
        <v>-0.201793890758086</v>
      </c>
      <c r="BG96" s="13" t="n">
        <f aca="false">BG95-BF95</f>
        <v>0.351715955742623</v>
      </c>
      <c r="BH96" s="13" t="n">
        <f aca="false">BH95-BG95</f>
        <v>-0.203072906997186</v>
      </c>
      <c r="BI96" s="13" t="n">
        <f aca="false">BI95-BH95</f>
        <v>0.261734455660381</v>
      </c>
      <c r="BJ96" s="13" t="n">
        <f aca="false">BJ95-BI95</f>
        <v>-0.111053621662045</v>
      </c>
      <c r="BK96" s="13" t="n">
        <f aca="false">BK95-BJ95</f>
        <v>0.0951908370967445</v>
      </c>
      <c r="BL96" s="13" t="n">
        <f aca="false">BL95-BK95</f>
        <v>-0.0239046339058753</v>
      </c>
      <c r="BM96" s="13" t="n">
        <f aca="false">BM95-BL95</f>
        <v>0.441720005554121</v>
      </c>
      <c r="BN96" s="13" t="n">
        <f aca="false">BN95-BM95</f>
        <v>-18.1382750818676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0</v>
      </c>
      <c r="BN97" s="13" t="n">
        <f aca="false">Time!BN37*Inputs!$F$67*Inputs!$F$36</f>
        <v>5.35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0</v>
      </c>
      <c r="P7" s="10" t="n">
        <f aca="false">MAX(0,MIN(Time!P33,Inputs!$F$228*12)-MIN(Time!P32,Inputs!$F$228*12))</f>
        <v>1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6</v>
      </c>
      <c r="Z7" s="10" t="n">
        <f aca="false">MAX(0,MIN(Time!Z33,Inputs!$F$228*12)-MIN(Time!Z32,Inputs!$F$228*12))</f>
        <v>5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0</v>
      </c>
      <c r="Z8" s="10" t="n">
        <f aca="false">MAX(0,MIN(Time!Z33,Inputs!$F$229*12)-MIN(MAX(Time!Z32,Inputs!$F$228*12),Inputs!$F$229*12))</f>
        <v>1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6</v>
      </c>
      <c r="AF8" s="10" t="n">
        <f aca="false">MAX(0,MIN(Time!AF33,Inputs!$F$229*12)-MIN(MAX(Time!AF32,Inputs!$F$228*12),Inputs!$F$229*12))</f>
        <v>5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0</v>
      </c>
      <c r="AF9" s="10" t="n">
        <f aca="false">Time!AF30-AF7-AF8</f>
        <v>1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6</v>
      </c>
      <c r="BN9" s="10" t="n">
        <f aca="false">Time!BN30-BN7-BN8</f>
        <v>5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839.637073278006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0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3.77836682975103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22.6702009785062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22.6702009785062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22.6702009785062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22.6702009785062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22.6702009785062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22.6702009785062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22.6702009785062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22.6702009785062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22.6702009785062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22.2503824418671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20.1512897586721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20.1512897586721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20.1512897586721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20.1512897586721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20.1512897586721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20.1512897586721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20.1512897586721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20.1512897586721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20.1512897586721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20.1512897586721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20.1512897586721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20.1512897586721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20.1512897586721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20.1512897586721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20.1512897586721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20.1512897586721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20.1512897586721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20.1512897586721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20.1512897586721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20.1512897586721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20.1512897586721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20.1512897586721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20.1512897586721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20.1512897586721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20.1512897586721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20.1512897586721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20.1512897586721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20.1512897586721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20.1512897586721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16.9326809777731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0.839637073278006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0.839637073278006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0.839637073278006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0.839637073278006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0.839637073278006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0.839637073278006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0.839637073278006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0.839637073278006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0.839637073278006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0.699697561065005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226.702009785061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0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3.77836682975103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22.6702009785062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22.6702009785062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22.6702009785062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22.6702009785062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22.6702009785062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22.6702009785062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22.6702009785062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22.6702009785062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22.6702009785062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18.8918341487551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612.935063492944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0</v>
      </c>
      <c r="Z12" s="13" t="n">
        <f aca="false">Z10-Z11</f>
        <v>3.35854829311202</v>
      </c>
      <c r="AA12" s="13" t="n">
        <f aca="false">AA10-AA11</f>
        <v>20.1512897586721</v>
      </c>
      <c r="AB12" s="13" t="n">
        <f aca="false">AB10-AB11</f>
        <v>20.1512897586721</v>
      </c>
      <c r="AC12" s="13" t="n">
        <f aca="false">AC10-AC11</f>
        <v>20.1512897586721</v>
      </c>
      <c r="AD12" s="13" t="n">
        <f aca="false">AD10-AD11</f>
        <v>20.1512897586721</v>
      </c>
      <c r="AE12" s="13" t="n">
        <f aca="false">AE10-AE11</f>
        <v>20.1512897586721</v>
      </c>
      <c r="AF12" s="13" t="n">
        <f aca="false">AF10-AF11</f>
        <v>20.1512897586721</v>
      </c>
      <c r="AG12" s="13" t="n">
        <f aca="false">AG10-AG11</f>
        <v>20.1512897586721</v>
      </c>
      <c r="AH12" s="13" t="n">
        <f aca="false">AH10-AH11</f>
        <v>20.1512897586721</v>
      </c>
      <c r="AI12" s="13" t="n">
        <f aca="false">AI10-AI11</f>
        <v>20.1512897586721</v>
      </c>
      <c r="AJ12" s="13" t="n">
        <f aca="false">AJ10-AJ11</f>
        <v>20.1512897586721</v>
      </c>
      <c r="AK12" s="13" t="n">
        <f aca="false">AK10-AK11</f>
        <v>20.1512897586721</v>
      </c>
      <c r="AL12" s="13" t="n">
        <f aca="false">AL10-AL11</f>
        <v>20.1512897586721</v>
      </c>
      <c r="AM12" s="13" t="n">
        <f aca="false">AM10-AM11</f>
        <v>20.1512897586721</v>
      </c>
      <c r="AN12" s="13" t="n">
        <f aca="false">AN10-AN11</f>
        <v>20.1512897586721</v>
      </c>
      <c r="AO12" s="13" t="n">
        <f aca="false">AO10-AO11</f>
        <v>20.1512897586721</v>
      </c>
      <c r="AP12" s="13" t="n">
        <f aca="false">AP10-AP11</f>
        <v>20.1512897586721</v>
      </c>
      <c r="AQ12" s="13" t="n">
        <f aca="false">AQ10-AQ11</f>
        <v>20.1512897586721</v>
      </c>
      <c r="AR12" s="13" t="n">
        <f aca="false">AR10-AR11</f>
        <v>20.1512897586721</v>
      </c>
      <c r="AS12" s="13" t="n">
        <f aca="false">AS10-AS11</f>
        <v>20.1512897586721</v>
      </c>
      <c r="AT12" s="13" t="n">
        <f aca="false">AT10-AT11</f>
        <v>20.1512897586721</v>
      </c>
      <c r="AU12" s="13" t="n">
        <f aca="false">AU10-AU11</f>
        <v>20.1512897586721</v>
      </c>
      <c r="AV12" s="13" t="n">
        <f aca="false">AV10-AV11</f>
        <v>20.1512897586721</v>
      </c>
      <c r="AW12" s="13" t="n">
        <f aca="false">AW10-AW11</f>
        <v>20.1512897586721</v>
      </c>
      <c r="AX12" s="13" t="n">
        <f aca="false">AX10-AX11</f>
        <v>20.1512897586721</v>
      </c>
      <c r="AY12" s="13" t="n">
        <f aca="false">AY10-AY11</f>
        <v>20.1512897586721</v>
      </c>
      <c r="AZ12" s="13" t="n">
        <f aca="false">AZ10-AZ11</f>
        <v>20.1512897586721</v>
      </c>
      <c r="BA12" s="13" t="n">
        <f aca="false">BA10-BA11</f>
        <v>20.1512897586721</v>
      </c>
      <c r="BB12" s="13" t="n">
        <f aca="false">BB10-BB11</f>
        <v>20.1512897586721</v>
      </c>
      <c r="BC12" s="13" t="n">
        <f aca="false">BC10-BC11</f>
        <v>20.1512897586721</v>
      </c>
      <c r="BD12" s="13" t="n">
        <f aca="false">BD10-BD11</f>
        <v>16.9326809777731</v>
      </c>
      <c r="BE12" s="13" t="n">
        <f aca="false">BE10-BE11</f>
        <v>0.839637073278006</v>
      </c>
      <c r="BF12" s="13" t="n">
        <f aca="false">BF10-BF11</f>
        <v>0.839637073278006</v>
      </c>
      <c r="BG12" s="13" t="n">
        <f aca="false">BG10-BG11</f>
        <v>0.839637073278006</v>
      </c>
      <c r="BH12" s="13" t="n">
        <f aca="false">BH10-BH11</f>
        <v>0.839637073278006</v>
      </c>
      <c r="BI12" s="13" t="n">
        <f aca="false">BI10-BI11</f>
        <v>0.839637073278006</v>
      </c>
      <c r="BJ12" s="13" t="n">
        <f aca="false">BJ10-BJ11</f>
        <v>0.839637073278006</v>
      </c>
      <c r="BK12" s="13" t="n">
        <f aca="false">BK10-BK11</f>
        <v>0.839637073278006</v>
      </c>
      <c r="BL12" s="13" t="n">
        <f aca="false">BL10-BL11</f>
        <v>0.839637073278006</v>
      </c>
      <c r="BM12" s="13" t="n">
        <f aca="false">BM10-BM11</f>
        <v>0.839637073278006</v>
      </c>
      <c r="BN12" s="13" t="n">
        <f aca="false">BN10-BN11</f>
        <v>0.699697561065005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250.333036949758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0</v>
      </c>
      <c r="P13" s="13" t="n">
        <f aca="false">IF(Time!P20&gt;=Time!$F$12,Waterfall!P33*Inputs!$F$104/100*Time!P31/Inputs!$F$248,0)</f>
        <v>1.6979473955217</v>
      </c>
      <c r="Q13" s="13" t="n">
        <f aca="false">IF(Time!Q20&gt;=Time!$F$12,Waterfall!Q33*Inputs!$F$104/100*Time!Q31/Inputs!$F$248,0)</f>
        <v>9.99381149399795</v>
      </c>
      <c r="R13" s="13" t="n">
        <f aca="false">IF(Time!R20&gt;=Time!$F$12,Waterfall!R33*Inputs!$F$104/100*Time!R31/Inputs!$F$248,0)</f>
        <v>10.4560611684257</v>
      </c>
      <c r="S13" s="13" t="n">
        <f aca="false">IF(Time!S20&gt;=Time!$F$12,Waterfall!S33*Inputs!$F$104/100*Time!S31/Inputs!$F$248,0)</f>
        <v>10.1961467122068</v>
      </c>
      <c r="T13" s="13" t="n">
        <f aca="false">IF(Time!T20&gt;=Time!$F$12,Waterfall!T33*Inputs!$F$104/100*Time!T31/Inputs!$F$248,0)</f>
        <v>10.2951011347097</v>
      </c>
      <c r="U13" s="13" t="n">
        <f aca="false">IF(Time!U20&gt;=Time!$F$12,Waterfall!U33*Inputs!$F$104/100*Time!U31/Inputs!$F$248,0)</f>
        <v>10.0791009251376</v>
      </c>
      <c r="V13" s="13" t="n">
        <f aca="false">IF(Time!V20&gt;=Time!$F$12,Waterfall!V33*Inputs!$F$104/100*Time!V31/Inputs!$F$248,0)</f>
        <v>10.1073325312852</v>
      </c>
      <c r="W13" s="13" t="n">
        <f aca="false">IF(Time!W20&gt;=Time!$F$12,Waterfall!W33*Inputs!$F$104/100*Time!W31/Inputs!$F$248,0)</f>
        <v>9.85076021565752</v>
      </c>
      <c r="X13" s="13" t="n">
        <f aca="false">IF(Time!X20&gt;=Time!$F$12,Waterfall!X33*Inputs!$F$104/100*Time!X31/Inputs!$F$248,0)</f>
        <v>9.91579313656605</v>
      </c>
      <c r="Y13" s="13" t="n">
        <f aca="false">IF(Time!Y20&gt;=Time!$F$12,Waterfall!Y33*Inputs!$F$104/100*Time!Y31/Inputs!$F$248,0)</f>
        <v>9.5430385199602</v>
      </c>
      <c r="Z13" s="13" t="n">
        <f aca="false">IF(Time!Z20&gt;=Time!$F$12,Waterfall!Z33*Inputs!$F$104/100*Time!Z31/Inputs!$F$248,0)</f>
        <v>9.61079859185935</v>
      </c>
      <c r="AA13" s="13" t="n">
        <f aca="false">IF(Time!AA20&gt;=Time!$F$12,Waterfall!AA33*Inputs!$F$104/100*Time!AA31/Inputs!$F$248,0)</f>
        <v>9.31982063025754</v>
      </c>
      <c r="AB13" s="13" t="n">
        <f aca="false">IF(Time!AB20&gt;=Time!$F$12,Waterfall!AB33*Inputs!$F$104/100*Time!AB31/Inputs!$F$248,0)</f>
        <v>9.64824521624525</v>
      </c>
      <c r="AC13" s="13" t="n">
        <f aca="false">IF(Time!AC20&gt;=Time!$F$12,Waterfall!AC33*Inputs!$F$104/100*Time!AC31/Inputs!$F$248,0)</f>
        <v>9.68313250138345</v>
      </c>
      <c r="AD13" s="13" t="n">
        <f aca="false">IF(Time!AD20&gt;=Time!$F$12,Waterfall!AD33*Inputs!$F$104/100*Time!AD31/Inputs!$F$248,0)</f>
        <v>9.92956074273588</v>
      </c>
      <c r="AE13" s="13" t="n">
        <f aca="false">IF(Time!AE20&gt;=Time!$F$12,Waterfall!AE33*Inputs!$F$104/100*Time!AE31/Inputs!$F$248,0)</f>
        <v>9.907719691879</v>
      </c>
      <c r="AF13" s="13" t="n">
        <f aca="false">IF(Time!AF20&gt;=Time!$F$12,Waterfall!AF33*Inputs!$F$104/100*Time!AF31/Inputs!$F$248,0)</f>
        <v>10.1743891711104</v>
      </c>
      <c r="AG13" s="13" t="n">
        <f aca="false">IF(Time!AG20&gt;=Time!$F$12,Waterfall!AG33*Inputs!$F$104/100*Time!AG31/Inputs!$F$248,0)</f>
        <v>10.0612982671741</v>
      </c>
      <c r="AH13" s="13" t="n">
        <f aca="false">IF(Time!AH20&gt;=Time!$F$12,Waterfall!AH33*Inputs!$F$104/100*Time!AH31/Inputs!$F$248,0)</f>
        <v>10.268904983696</v>
      </c>
      <c r="AI13" s="13" t="n">
        <f aca="false">IF(Time!AI20&gt;=Time!$F$12,Waterfall!AI33*Inputs!$F$104/100*Time!AI31/Inputs!$F$248,0)</f>
        <v>10.0926909063633</v>
      </c>
      <c r="AJ13" s="13" t="n">
        <f aca="false">IF(Time!AJ20&gt;=Time!$F$12,Waterfall!AJ33*Inputs!$F$104/100*Time!AJ31/Inputs!$F$248,0)</f>
        <v>10.2080150880224</v>
      </c>
      <c r="AK13" s="13" t="n">
        <f aca="false">IF(Time!AK20&gt;=Time!$F$12,Waterfall!AK33*Inputs!$F$104/100*Time!AK31/Inputs!$F$248,0)</f>
        <v>9.97087607685912</v>
      </c>
      <c r="AL13" s="13" t="n">
        <f aca="false">IF(Time!AL20&gt;=Time!$F$12,Waterfall!AL33*Inputs!$F$104/100*Time!AL31/Inputs!$F$248,0)</f>
        <v>9.47176790961201</v>
      </c>
      <c r="AM13" s="13" t="n">
        <f aca="false">IF(Time!AM20&gt;=Time!$F$12,Waterfall!AM33*Inputs!$F$104/100*Time!AM31/Inputs!$F$248,0)</f>
        <v>8.37940058844179</v>
      </c>
      <c r="AN13" s="13" t="n">
        <f aca="false">IF(Time!AN20&gt;=Time!$F$12,Waterfall!AN33*Inputs!$F$104/100*Time!AN31/Inputs!$F$248,0)</f>
        <v>7.60133645812827</v>
      </c>
      <c r="AO13" s="13" t="n">
        <f aca="false">IF(Time!AO20&gt;=Time!$F$12,Waterfall!AO33*Inputs!$F$104/100*Time!AO31/Inputs!$F$248,0)</f>
        <v>6.4535295530153</v>
      </c>
      <c r="AP13" s="13" t="n">
        <f aca="false">IF(Time!AP20&gt;=Time!$F$12,Waterfall!AP33*Inputs!$F$104/100*Time!AP31/Inputs!$F$248,0)</f>
        <v>4.48701192163752</v>
      </c>
      <c r="AQ13" s="13" t="n">
        <f aca="false">IF(Time!AQ20&gt;=Time!$F$12,Waterfall!AQ33*Inputs!$F$104/100*Time!AQ31/Inputs!$F$248,0)</f>
        <v>2.37608104846675</v>
      </c>
      <c r="AR13" s="13" t="n">
        <f aca="false">IF(Time!AR20&gt;=Time!$F$12,Waterfall!AR33*Inputs!$F$104/100*Time!AR31/Inputs!$F$248,0)</f>
        <v>0.553364369402284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1</v>
      </c>
      <c r="P14" s="6" t="n">
        <f aca="false">IF(Waterfall!P33&gt;0,MIN(1,Inputs!$F$183*(Waterfall!$F$32+MAX(0,Waterfall!O43))/Waterfall!P33),1)</f>
        <v>0.643572107237769</v>
      </c>
      <c r="Q14" s="6" t="n">
        <f aca="false">IF(Waterfall!Q33&gt;0,MIN(1,Inputs!$F$183*(Waterfall!$F$32+MAX(0,Waterfall!P43))/Waterfall!Q33),1)</f>
        <v>0.70353755070596</v>
      </c>
      <c r="R14" s="6" t="n">
        <f aca="false">IF(Waterfall!R33&gt;0,MIN(1,Inputs!$F$183*(Waterfall!$F$32+MAX(0,Waterfall!Q43))/Waterfall!R33),1)</f>
        <v>0.766369626613008</v>
      </c>
      <c r="S14" s="6" t="n">
        <f aca="false">IF(Waterfall!S33&gt;0,MIN(1,Inputs!$F$183*(Waterfall!$F$32+MAX(0,Waterfall!R43))/Waterfall!S33),1)</f>
        <v>0.868855540963165</v>
      </c>
      <c r="T14" s="6" t="n">
        <f aca="false">IF(Waterfall!T33&gt;0,MIN(1,Inputs!$F$183*(Waterfall!$F$32+MAX(0,Waterfall!S43))/Waterfall!T33),1)</f>
        <v>0.988254466339661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242.864108227574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0</v>
      </c>
      <c r="P15" s="13" t="n">
        <f aca="false">P13*P14</f>
        <v>1.09275158331478</v>
      </c>
      <c r="Q15" s="13" t="n">
        <f aca="false">Q13*Q14</f>
        <v>7.03102166070439</v>
      </c>
      <c r="R15" s="13" t="n">
        <f aca="false">R13*R14</f>
        <v>8.01320769348919</v>
      </c>
      <c r="S15" s="13" t="n">
        <f aca="false">S13*S14</f>
        <v>8.85897856737426</v>
      </c>
      <c r="T15" s="13" t="n">
        <f aca="false">T13*T14</f>
        <v>10.1741796777954</v>
      </c>
      <c r="U15" s="13" t="n">
        <f aca="false">U13*U14</f>
        <v>10.0791009251376</v>
      </c>
      <c r="V15" s="13" t="n">
        <f aca="false">V13*V14</f>
        <v>10.1073325312852</v>
      </c>
      <c r="W15" s="13" t="n">
        <f aca="false">W13*W14</f>
        <v>9.85076021565752</v>
      </c>
      <c r="X15" s="13" t="n">
        <f aca="false">X13*X14</f>
        <v>9.91579313656605</v>
      </c>
      <c r="Y15" s="13" t="n">
        <f aca="false">Y13*Y14</f>
        <v>9.5430385199602</v>
      </c>
      <c r="Z15" s="13" t="n">
        <f aca="false">Z13*Z14</f>
        <v>9.61079859185935</v>
      </c>
      <c r="AA15" s="13" t="n">
        <f aca="false">AA13*AA14</f>
        <v>9.31982063025754</v>
      </c>
      <c r="AB15" s="13" t="n">
        <f aca="false">AB13*AB14</f>
        <v>9.64824521624525</v>
      </c>
      <c r="AC15" s="13" t="n">
        <f aca="false">AC13*AC14</f>
        <v>9.68313250138345</v>
      </c>
      <c r="AD15" s="13" t="n">
        <f aca="false">AD13*AD14</f>
        <v>9.92956074273588</v>
      </c>
      <c r="AE15" s="13" t="n">
        <f aca="false">AE13*AE14</f>
        <v>9.907719691879</v>
      </c>
      <c r="AF15" s="13" t="n">
        <f aca="false">AF13*AF14</f>
        <v>10.1743891711104</v>
      </c>
      <c r="AG15" s="13" t="n">
        <f aca="false">AG13*AG14</f>
        <v>10.0612982671741</v>
      </c>
      <c r="AH15" s="13" t="n">
        <f aca="false">AH13*AH14</f>
        <v>10.268904983696</v>
      </c>
      <c r="AI15" s="13" t="n">
        <f aca="false">AI13*AI14</f>
        <v>10.0926909063633</v>
      </c>
      <c r="AJ15" s="13" t="n">
        <f aca="false">AJ13*AJ14</f>
        <v>10.2080150880224</v>
      </c>
      <c r="AK15" s="13" t="n">
        <f aca="false">AK13*AK14</f>
        <v>9.97087607685912</v>
      </c>
      <c r="AL15" s="13" t="n">
        <f aca="false">AL13*AL14</f>
        <v>9.47176790961201</v>
      </c>
      <c r="AM15" s="13" t="n">
        <f aca="false">AM13*AM14</f>
        <v>8.37940058844179</v>
      </c>
      <c r="AN15" s="13" t="n">
        <f aca="false">AN13*AN14</f>
        <v>7.60133645812827</v>
      </c>
      <c r="AO15" s="13" t="n">
        <f aca="false">AO13*AO14</f>
        <v>6.4535295530153</v>
      </c>
      <c r="AP15" s="13" t="n">
        <f aca="false">AP13*AP14</f>
        <v>4.48701192163752</v>
      </c>
      <c r="AQ15" s="13" t="n">
        <f aca="false">AQ13*AQ14</f>
        <v>2.37608104846675</v>
      </c>
      <c r="AR15" s="13" t="n">
        <f aca="false">AR13*AR14</f>
        <v>0.553364369402284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302.630726454092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0</v>
      </c>
      <c r="Q16" s="13" t="n">
        <f aca="false">Debt!Q112+Debt!Q110+Debt!Q104-Debt!Q103</f>
        <v>22.0061203716644</v>
      </c>
      <c r="R16" s="13" t="n">
        <f aca="false">Debt!R112+Debt!R110+Debt!R104-Debt!R103</f>
        <v>21.0421802681244</v>
      </c>
      <c r="S16" s="13" t="n">
        <f aca="false">Debt!S112+Debt!S110+Debt!S104-Debt!S103</f>
        <v>20.2538788335356</v>
      </c>
      <c r="T16" s="13" t="n">
        <f aca="false">Debt!T112+Debt!T110+Debt!T104-Debt!T103</f>
        <v>19.8799968742446</v>
      </c>
      <c r="U16" s="13" t="n">
        <f aca="false">Debt!U112+Debt!U110+Debt!U104-Debt!U103</f>
        <v>19.1177901727144</v>
      </c>
      <c r="V16" s="13" t="n">
        <f aca="false">Debt!V112+Debt!V110+Debt!V104-Debt!V103</f>
        <v>18.6161046964792</v>
      </c>
      <c r="W16" s="13" t="n">
        <f aca="false">Debt!W112+Debt!W110+Debt!W104-Debt!W103</f>
        <v>17.7519033219577</v>
      </c>
      <c r="X16" s="13" t="n">
        <f aca="false">Debt!X112+Debt!X110+Debt!X104-Debt!X103</f>
        <v>17.2393002612855</v>
      </c>
      <c r="Y16" s="13" t="n">
        <f aca="false">Debt!Y112+Debt!Y110+Debt!Y104-Debt!Y103</f>
        <v>16.8324822804559</v>
      </c>
      <c r="Z16" s="13" t="n">
        <f aca="false">Debt!Z112+Debt!Z110+Debt!Z104-Debt!Z103</f>
        <v>16.3108066501473</v>
      </c>
      <c r="AA16" s="13" t="n">
        <f aca="false">Debt!AA112+Debt!AA110+Debt!AA104-Debt!AA103</f>
        <v>15.3968855285664</v>
      </c>
      <c r="AB16" s="13" t="n">
        <f aca="false">Debt!AB112+Debt!AB110+Debt!AB104-Debt!AB103</f>
        <v>14.5316022637291</v>
      </c>
      <c r="AC16" s="13" t="n">
        <f aca="false">Debt!AC112+Debt!AC110+Debt!AC104-Debt!AC103</f>
        <v>13.3266560187658</v>
      </c>
      <c r="AD16" s="13" t="n">
        <f aca="false">Debt!AD112+Debt!AD110+Debt!AD104-Debt!AD103</f>
        <v>12.3091596524046</v>
      </c>
      <c r="AE16" s="13" t="n">
        <f aca="false">Debt!AE112+Debt!AE110+Debt!AE104-Debt!AE103</f>
        <v>11.0529257330974</v>
      </c>
      <c r="AF16" s="13" t="n">
        <f aca="false">Debt!AF112+Debt!AF110+Debt!AF104-Debt!AF103</f>
        <v>9.9523072171201</v>
      </c>
      <c r="AG16" s="13" t="n">
        <f aca="false">Debt!AG112+Debt!AG110+Debt!AG104-Debt!AG103</f>
        <v>8.78389991585187</v>
      </c>
      <c r="AH16" s="13" t="n">
        <f aca="false">Debt!AH112+Debt!AH110+Debt!AH104-Debt!AH103</f>
        <v>7.56209737430668</v>
      </c>
      <c r="AI16" s="13" t="n">
        <f aca="false">Debt!AI112+Debt!AI110+Debt!AI104-Debt!AI103</f>
        <v>6.13610511532602</v>
      </c>
      <c r="AJ16" s="13" t="n">
        <f aca="false">Debt!AJ112+Debt!AJ110+Debt!AJ104-Debt!AJ103</f>
        <v>4.83138706144609</v>
      </c>
      <c r="AK16" s="13" t="n">
        <f aca="false">Debt!AK112+Debt!AK110+Debt!AK104-Debt!AK103</f>
        <v>3.41410137945353</v>
      </c>
      <c r="AL16" s="13" t="n">
        <f aca="false">Debt!AL112+Debt!AL110+Debt!AL104-Debt!AL103</f>
        <v>2.48319530438909</v>
      </c>
      <c r="AM16" s="13" t="n">
        <f aca="false">Debt!AM112+Debt!AM110+Debt!AM104-Debt!AM103</f>
        <v>1.88530038821737</v>
      </c>
      <c r="AN16" s="13" t="n">
        <f aca="false">Debt!AN112+Debt!AN110+Debt!AN104-Debt!AN103</f>
        <v>1.28486830457866</v>
      </c>
      <c r="AO16" s="13" t="n">
        <f aca="false">Debt!AO112+Debt!AO110+Debt!AO104-Debt!AO103</f>
        <v>0.629671466230584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</v>
      </c>
      <c r="Z17" s="13" t="n">
        <f aca="false">IF(Time!Z30&gt;0,(Time!Z30-Z7)/Time!Z30,0)</f>
        <v>0.166666666666667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1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1196.8323012048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</v>
      </c>
      <c r="Z18" s="13" t="n">
        <f aca="false">(Operations!Z84-Z16-Z15)*Z17-Z12</f>
        <v>0.83053986569903</v>
      </c>
      <c r="AA18" s="13" t="n">
        <f aca="false">(Operations!AA84-AA16-AA15)*AA17-AA12</f>
        <v>6.34223564442733</v>
      </c>
      <c r="AB18" s="13" t="n">
        <f aca="false">(Operations!AB84-AB16-AB15)*AB17-AB12</f>
        <v>6.98696638377117</v>
      </c>
      <c r="AC18" s="13" t="n">
        <f aca="false">(Operations!AC84-AC16-AC15)*AC17-AC12</f>
        <v>8.22388364089195</v>
      </c>
      <c r="AD18" s="13" t="n">
        <f aca="false">(Operations!AD84-AD16-AD15)*AD17-AD12</f>
        <v>9.16580229376669</v>
      </c>
      <c r="AE18" s="13" t="n">
        <f aca="false">(Operations!AE84-AE16-AE15)*AE17-AE12</f>
        <v>-2.23404318012976</v>
      </c>
      <c r="AF18" s="13" t="n">
        <f aca="false">(Operations!AF84-AF16-AF15)*AF17-AF12</f>
        <v>11.4103058000816</v>
      </c>
      <c r="AG18" s="13" t="n">
        <f aca="false">(Operations!AG84-AG16-AG15)*AG17-AG12</f>
        <v>12.8579939106091</v>
      </c>
      <c r="AH18" s="13" t="n">
        <f aca="false">(Operations!AH84-AH16-AH15)*AH17-AH12</f>
        <v>14.0057047269852</v>
      </c>
      <c r="AI18" s="13" t="n">
        <f aca="false">(Operations!AI84-AI16-AI15)*AI17-AI12</f>
        <v>15.7752743265582</v>
      </c>
      <c r="AJ18" s="13" t="n">
        <f aca="false">(Operations!AJ84-AJ16-AJ15)*AJ17-AJ12</f>
        <v>17.0819117660999</v>
      </c>
      <c r="AK18" s="13" t="n">
        <f aca="false">(Operations!AK84-AK16-AK15)*AK17-AK12</f>
        <v>18.8067145286597</v>
      </c>
      <c r="AL18" s="13" t="n">
        <f aca="false">(Operations!AL84-AL16-AL15)*AL17-AL12</f>
        <v>20.4022810098095</v>
      </c>
      <c r="AM18" s="13" t="n">
        <f aca="false">(Operations!AM84-AM16-AM15)*AM17-AM12</f>
        <v>19.3603344386225</v>
      </c>
      <c r="AN18" s="13" t="n">
        <f aca="false">(Operations!AN84-AN16-AN15)*AN17-AN12</f>
        <v>23.8757274308562</v>
      </c>
      <c r="AO18" s="13" t="n">
        <f aca="false">(Operations!AO84-AO16-AO15)*AO17-AO12</f>
        <v>25.6167487416788</v>
      </c>
      <c r="AP18" s="13" t="n">
        <f aca="false">(Operations!AP84-AP16-AP15)*AP17-AP12</f>
        <v>28.3585007832677</v>
      </c>
      <c r="AQ18" s="13" t="n">
        <f aca="false">(Operations!AQ84-AQ16-AQ15)*AQ17-AQ12</f>
        <v>30.6512221894762</v>
      </c>
      <c r="AR18" s="13" t="n">
        <f aca="false">(Operations!AR84-AR16-AR15)*AR17-AR12</f>
        <v>32.6013673114096</v>
      </c>
      <c r="AS18" s="13" t="n">
        <f aca="false">(Operations!AS84-AS16-AS15)*AS17-AS12</f>
        <v>33.2287756473864</v>
      </c>
      <c r="AT18" s="13" t="n">
        <f aca="false">(Operations!AT84-AT16-AT15)*AT17-AT12</f>
        <v>33.4337502575539</v>
      </c>
      <c r="AU18" s="13" t="n">
        <f aca="false">(Operations!AU84-AU16-AU15)*AU17-AU12</f>
        <v>18.4621673522802</v>
      </c>
      <c r="AV18" s="13" t="n">
        <f aca="false">(Operations!AV84-AV16-AV15)*AV17-AV12</f>
        <v>33.6341809854833</v>
      </c>
      <c r="AW18" s="13" t="n">
        <f aca="false">(Operations!AW84-AW16-AW15)*AW17-AW12</f>
        <v>33.7790135269836</v>
      </c>
      <c r="AX18" s="13" t="n">
        <f aca="false">(Operations!AX84-AX16-AX15)*AX17-AX12</f>
        <v>33.937705130989</v>
      </c>
      <c r="AY18" s="13" t="n">
        <f aca="false">(Operations!AY84-AY16-AY15)*AY17-AY12</f>
        <v>34.1351874751892</v>
      </c>
      <c r="AZ18" s="13" t="n">
        <f aca="false">(Operations!AZ84-AZ16-AZ15)*AZ17-AZ12</f>
        <v>34.2736846492616</v>
      </c>
      <c r="BA18" s="13" t="n">
        <f aca="false">(Operations!BA84-BA16-BA15)*BA17-BA12</f>
        <v>34.3515423533328</v>
      </c>
      <c r="BB18" s="13" t="n">
        <f aca="false">(Operations!BB84-BB16-BB15)*BB17-BB12</f>
        <v>34.549422341611</v>
      </c>
      <c r="BC18" s="13" t="n">
        <f aca="false">(Operations!BC84-BC16-BC15)*BC17-BC12</f>
        <v>31.3013553682444</v>
      </c>
      <c r="BD18" s="13" t="n">
        <f aca="false">(Operations!BD84-BD16-BD15)*BD17-BD12</f>
        <v>38.2512243133006</v>
      </c>
      <c r="BE18" s="13" t="n">
        <f aca="false">(Operations!BE84-BE16-BE15)*BE17-BE12</f>
        <v>54.2589303107028</v>
      </c>
      <c r="BF18" s="13" t="n">
        <f aca="false">(Operations!BF84-BF16-BF15)*BF17-BF12</f>
        <v>54.4319277223544</v>
      </c>
      <c r="BG18" s="13" t="n">
        <f aca="false">(Operations!BG84-BG16-BG15)*BG17-BG12</f>
        <v>54.6464788627337</v>
      </c>
      <c r="BH18" s="13" t="n">
        <f aca="false">(Operations!BH84-BH16-BH15)*BH17-BH12</f>
        <v>54.7970052065181</v>
      </c>
      <c r="BI18" s="13" t="n">
        <f aca="false">(Operations!BI84-BI16-BI15)*BI17-BI12</f>
        <v>54.8788256092802</v>
      </c>
      <c r="BJ18" s="13" t="n">
        <f aca="false">(Operations!BJ84-BJ16-BJ15)*BJ17-BJ12</f>
        <v>55.1246172883005</v>
      </c>
      <c r="BK18" s="13" t="n">
        <f aca="false">(Operations!BK84-BK16-BK15)*BK17-BK12</f>
        <v>37.4243676982778</v>
      </c>
      <c r="BL18" s="13" t="n">
        <f aca="false">(Operations!BL84-BL16-BL15)*BL17-BL12</f>
        <v>55.406636705651</v>
      </c>
      <c r="BM18" s="13" t="n">
        <f aca="false">(Operations!BM84-BM16-BM15)*BM17-BM12</f>
        <v>55.5238741996296</v>
      </c>
      <c r="BN18" s="13" t="n">
        <f aca="false">(Operations!BN84-BN16-BN15)*BN17-BN12</f>
        <v>26.8821565871907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2.23404318012976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2.23404318012976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226.702009785062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</v>
      </c>
      <c r="Z20" s="13" t="n">
        <f aca="false">MIN(Y21,MAX(0,Z18-Z19))</f>
        <v>0.83053986569903</v>
      </c>
      <c r="AA20" s="13" t="n">
        <f aca="false">MIN(Z21,MAX(0,AA18-AA19))</f>
        <v>6.34223564442733</v>
      </c>
      <c r="AB20" s="13" t="n">
        <f aca="false">MIN(AA21,MAX(0,AB18-AB19))</f>
        <v>6.98696638377117</v>
      </c>
      <c r="AC20" s="13" t="n">
        <f aca="false">MIN(AB21,MAX(0,AC18-AC19))</f>
        <v>8.22388364089195</v>
      </c>
      <c r="AD20" s="13" t="n">
        <f aca="false">MIN(AC21,MAX(0,AD18-AD19))</f>
        <v>9.16580229376669</v>
      </c>
      <c r="AE20" s="13" t="n">
        <f aca="false">MIN(AD21,MAX(0,AE18-AE19))</f>
        <v>0</v>
      </c>
      <c r="AF20" s="13" t="n">
        <f aca="false">MIN(AE21,MAX(0,AF18-AF19))</f>
        <v>9.17626261995183</v>
      </c>
      <c r="AG20" s="13" t="n">
        <f aca="false">MIN(AF21,MAX(0,AG18-AG19))</f>
        <v>12.8579939106091</v>
      </c>
      <c r="AH20" s="13" t="n">
        <f aca="false">MIN(AG21,MAX(0,AH18-AH19))</f>
        <v>14.0057047269852</v>
      </c>
      <c r="AI20" s="13" t="n">
        <f aca="false">MIN(AH21,MAX(0,AI18-AI19))</f>
        <v>15.7752743265582</v>
      </c>
      <c r="AJ20" s="13" t="n">
        <f aca="false">MIN(AI21,MAX(0,AJ18-AJ19))</f>
        <v>17.0819117660999</v>
      </c>
      <c r="AK20" s="13" t="n">
        <f aca="false">MIN(AJ21,MAX(0,AK18-AK19))</f>
        <v>18.8067145286597</v>
      </c>
      <c r="AL20" s="13" t="n">
        <f aca="false">MIN(AK21,MAX(0,AL18-AL19))</f>
        <v>20.4022810098095</v>
      </c>
      <c r="AM20" s="13" t="n">
        <f aca="false">MIN(AL21,MAX(0,AM18-AM19))</f>
        <v>19.3603344386225</v>
      </c>
      <c r="AN20" s="13" t="n">
        <f aca="false">MIN(AM21,MAX(0,AN18-AN19))</f>
        <v>23.8757274308562</v>
      </c>
      <c r="AO20" s="13" t="n">
        <f aca="false">MIN(AN21,MAX(0,AO18-AO19))</f>
        <v>25.6167487416788</v>
      </c>
      <c r="AP20" s="13" t="n">
        <f aca="false">MIN(AO21,MAX(0,AP18-AP19))</f>
        <v>18.1936284566745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0</v>
      </c>
      <c r="P21" s="13" t="n">
        <f aca="false">O21+P11-P20</f>
        <v>3.77836682975103</v>
      </c>
      <c r="Q21" s="13" t="n">
        <f aca="false">P21+Q11-Q20</f>
        <v>26.4485678082572</v>
      </c>
      <c r="R21" s="13" t="n">
        <f aca="false">Q21+R11-R20</f>
        <v>49.1187687867633</v>
      </c>
      <c r="S21" s="13" t="n">
        <f aca="false">R21+S11-S20</f>
        <v>71.7889697652695</v>
      </c>
      <c r="T21" s="13" t="n">
        <f aca="false">S21+T11-T20</f>
        <v>94.4591707437756</v>
      </c>
      <c r="U21" s="13" t="n">
        <f aca="false">T21+U11-U20</f>
        <v>117.129371722282</v>
      </c>
      <c r="V21" s="13" t="n">
        <f aca="false">U21+V11-V20</f>
        <v>139.799572700788</v>
      </c>
      <c r="W21" s="13" t="n">
        <f aca="false">V21+W11-W20</f>
        <v>162.469773679294</v>
      </c>
      <c r="X21" s="13" t="n">
        <f aca="false">W21+X11-X20</f>
        <v>185.1399746578</v>
      </c>
      <c r="Y21" s="13" t="n">
        <f aca="false">X21+Y11-Y20</f>
        <v>207.810175636306</v>
      </c>
      <c r="Z21" s="13" t="n">
        <f aca="false">Y21+Z11-Z20</f>
        <v>225.871469919362</v>
      </c>
      <c r="AA21" s="13" t="n">
        <f aca="false">Z21+AA11-AA20</f>
        <v>219.529234274935</v>
      </c>
      <c r="AB21" s="13" t="n">
        <f aca="false">AA21+AB11-AB20</f>
        <v>212.542267891164</v>
      </c>
      <c r="AC21" s="13" t="n">
        <f aca="false">AB21+AC11-AC20</f>
        <v>204.318384250272</v>
      </c>
      <c r="AD21" s="13" t="n">
        <f aca="false">AC21+AD11-AD20</f>
        <v>195.152581956505</v>
      </c>
      <c r="AE21" s="13" t="n">
        <f aca="false">AD21+AE11-AE20</f>
        <v>195.152581956505</v>
      </c>
      <c r="AF21" s="13" t="n">
        <f aca="false">AE21+AF11-AF20</f>
        <v>185.976319336554</v>
      </c>
      <c r="AG21" s="13" t="n">
        <f aca="false">AF21+AG11-AG20</f>
        <v>173.118325425944</v>
      </c>
      <c r="AH21" s="13" t="n">
        <f aca="false">AG21+AH11-AH20</f>
        <v>159.112620698959</v>
      </c>
      <c r="AI21" s="13" t="n">
        <f aca="false">AH21+AI11-AI20</f>
        <v>143.337346372401</v>
      </c>
      <c r="AJ21" s="13" t="n">
        <f aca="false">AI21+AJ11-AJ20</f>
        <v>126.255434606301</v>
      </c>
      <c r="AK21" s="13" t="n">
        <f aca="false">AJ21+AK11-AK20</f>
        <v>107.448720077642</v>
      </c>
      <c r="AL21" s="13" t="n">
        <f aca="false">AK21+AL11-AL20</f>
        <v>87.046439067832</v>
      </c>
      <c r="AM21" s="13" t="n">
        <f aca="false">AL21+AM11-AM20</f>
        <v>67.6861046292095</v>
      </c>
      <c r="AN21" s="13" t="n">
        <f aca="false">AM21+AN11-AN20</f>
        <v>43.8103771983533</v>
      </c>
      <c r="AO21" s="13" t="n">
        <f aca="false">AN21+AO11-AO20</f>
        <v>18.1936284566745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2.23404318012976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970.130291419734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10.1648723265932</v>
      </c>
      <c r="AQ23" s="13" t="n">
        <f aca="false">MAX(0,AQ18-AQ19-AQ20)</f>
        <v>30.6512221894762</v>
      </c>
      <c r="AR23" s="13" t="n">
        <f aca="false">MAX(0,AR18-AR19-AR20)</f>
        <v>32.6013673114096</v>
      </c>
      <c r="AS23" s="13" t="n">
        <f aca="false">MAX(0,AS18-AS19-AS20)</f>
        <v>33.2287756473864</v>
      </c>
      <c r="AT23" s="13" t="n">
        <f aca="false">MAX(0,AT18-AT19-AT20)</f>
        <v>33.4337502575539</v>
      </c>
      <c r="AU23" s="13" t="n">
        <f aca="false">MAX(0,AU18-AU19-AU20)</f>
        <v>18.4621673522802</v>
      </c>
      <c r="AV23" s="13" t="n">
        <f aca="false">MAX(0,AV18-AV19-AV20)</f>
        <v>33.6341809854833</v>
      </c>
      <c r="AW23" s="13" t="n">
        <f aca="false">MAX(0,AW18-AW19-AW20)</f>
        <v>33.7790135269836</v>
      </c>
      <c r="AX23" s="13" t="n">
        <f aca="false">MAX(0,AX18-AX19-AX20)</f>
        <v>33.937705130989</v>
      </c>
      <c r="AY23" s="13" t="n">
        <f aca="false">MAX(0,AY18-AY19-AY20)</f>
        <v>34.1351874751892</v>
      </c>
      <c r="AZ23" s="13" t="n">
        <f aca="false">MAX(0,AZ18-AZ19-AZ20)</f>
        <v>34.2736846492616</v>
      </c>
      <c r="BA23" s="13" t="n">
        <f aca="false">MAX(0,BA18-BA19-BA20)</f>
        <v>34.3515423533328</v>
      </c>
      <c r="BB23" s="13" t="n">
        <f aca="false">MAX(0,BB18-BB19-BB20)</f>
        <v>34.549422341611</v>
      </c>
      <c r="BC23" s="13" t="n">
        <f aca="false">MAX(0,BC18-BC19-BC20)</f>
        <v>31.3013553682444</v>
      </c>
      <c r="BD23" s="13" t="n">
        <f aca="false">MAX(0,BD18-BD19-BD20)</f>
        <v>38.2512243133006</v>
      </c>
      <c r="BE23" s="13" t="n">
        <f aca="false">MAX(0,BE18-BE19-BE20)</f>
        <v>54.2589303107028</v>
      </c>
      <c r="BF23" s="13" t="n">
        <f aca="false">MAX(0,BF18-BF19-BF20)</f>
        <v>54.4319277223544</v>
      </c>
      <c r="BG23" s="13" t="n">
        <f aca="false">MAX(0,BG18-BG19-BG20)</f>
        <v>54.6464788627337</v>
      </c>
      <c r="BH23" s="13" t="n">
        <f aca="false">MAX(0,BH18-BH19-BH20)</f>
        <v>54.7970052065181</v>
      </c>
      <c r="BI23" s="13" t="n">
        <f aca="false">MAX(0,BI18-BI19-BI20)</f>
        <v>54.8788256092802</v>
      </c>
      <c r="BJ23" s="13" t="n">
        <f aca="false">MAX(0,BJ18-BJ19-BJ20)</f>
        <v>55.1246172883005</v>
      </c>
      <c r="BK23" s="13" t="n">
        <f aca="false">MAX(0,BK18-BK19-BK20)</f>
        <v>37.4243676982778</v>
      </c>
      <c r="BL23" s="13" t="n">
        <f aca="false">MAX(0,BL18-BL19-BL20)</f>
        <v>55.406636705651</v>
      </c>
      <c r="BM23" s="13" t="n">
        <f aca="false">MAX(0,BM18-BM19-BM20)</f>
        <v>55.5238741996296</v>
      </c>
      <c r="BN23" s="13" t="n">
        <f aca="false">MAX(0,BN18-BN19-BN20)</f>
        <v>26.8821565871907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0.15</v>
      </c>
      <c r="AF24" s="6" t="n">
        <f aca="false">IF(AF8+AF9&gt;0,(AF8*Inputs!$F$175+AF9*Inputs!$F$174)/(AF8+AF9)/100,0)</f>
        <v>0.175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0.3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291.03908742592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3.04946169797795</v>
      </c>
      <c r="AQ25" s="13" t="n">
        <f aca="false">AQ23*AQ24</f>
        <v>9.19536665684285</v>
      </c>
      <c r="AR25" s="13" t="n">
        <f aca="false">AR23*AR24</f>
        <v>9.78041019342288</v>
      </c>
      <c r="AS25" s="13" t="n">
        <f aca="false">AS23*AS24</f>
        <v>9.96863269421592</v>
      </c>
      <c r="AT25" s="13" t="n">
        <f aca="false">AT23*AT24</f>
        <v>10.0301250772662</v>
      </c>
      <c r="AU25" s="13" t="n">
        <f aca="false">AU23*AU24</f>
        <v>5.53865020568407</v>
      </c>
      <c r="AV25" s="13" t="n">
        <f aca="false">AV23*AV24</f>
        <v>10.090254295645</v>
      </c>
      <c r="AW25" s="13" t="n">
        <f aca="false">AW23*AW24</f>
        <v>10.1337040580951</v>
      </c>
      <c r="AX25" s="13" t="n">
        <f aca="false">AX23*AX24</f>
        <v>10.1813115392967</v>
      </c>
      <c r="AY25" s="13" t="n">
        <f aca="false">AY23*AY24</f>
        <v>10.2405562425567</v>
      </c>
      <c r="AZ25" s="13" t="n">
        <f aca="false">AZ23*AZ24</f>
        <v>10.2821053947785</v>
      </c>
      <c r="BA25" s="13" t="n">
        <f aca="false">BA23*BA24</f>
        <v>10.3054627059999</v>
      </c>
      <c r="BB25" s="13" t="n">
        <f aca="false">BB23*BB24</f>
        <v>10.3648267024833</v>
      </c>
      <c r="BC25" s="13" t="n">
        <f aca="false">BC23*BC24</f>
        <v>9.39040661047331</v>
      </c>
      <c r="BD25" s="13" t="n">
        <f aca="false">BD23*BD24</f>
        <v>11.4753672939902</v>
      </c>
      <c r="BE25" s="13" t="n">
        <f aca="false">BE23*BE24</f>
        <v>16.2776790932108</v>
      </c>
      <c r="BF25" s="13" t="n">
        <f aca="false">BF23*BF24</f>
        <v>16.3295783167063</v>
      </c>
      <c r="BG25" s="13" t="n">
        <f aca="false">BG23*BG24</f>
        <v>16.3939436588201</v>
      </c>
      <c r="BH25" s="13" t="n">
        <f aca="false">BH23*BH24</f>
        <v>16.4391015619554</v>
      </c>
      <c r="BI25" s="13" t="n">
        <f aca="false">BI23*BI24</f>
        <v>16.4636476827841</v>
      </c>
      <c r="BJ25" s="13" t="n">
        <f aca="false">BJ23*BJ24</f>
        <v>16.5373851864901</v>
      </c>
      <c r="BK25" s="13" t="n">
        <f aca="false">BK23*BK24</f>
        <v>11.2273103094833</v>
      </c>
      <c r="BL25" s="13" t="n">
        <f aca="false">BL23*BL24</f>
        <v>16.6219910116953</v>
      </c>
      <c r="BM25" s="13" t="n">
        <f aca="false">BM23*BM24</f>
        <v>16.6571622598889</v>
      </c>
      <c r="BN25" s="13" t="n">
        <f aca="false">BN23*BN24</f>
        <v>8.06464697615721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15.7213797956936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</v>
      </c>
      <c r="Z26" s="13" t="n">
        <f aca="false">IF(Time!Z30&gt;0,Inputs!$F$176/100*Operations!Z55*(Z8+Z9)/Time!Z30,0)</f>
        <v>0.0592071318283963</v>
      </c>
      <c r="AA26" s="13" t="n">
        <f aca="false">IF(Time!AA30&gt;0,Inputs!$F$176/100*Operations!AA55*(AA8+AA9)/Time!AA30,0)</f>
        <v>0.356556226132034</v>
      </c>
      <c r="AB26" s="13" t="n">
        <f aca="false">IF(Time!AB30&gt;0,Inputs!$F$176/100*Operations!AB55*(AB8+AB9)/Time!AB30,0)</f>
        <v>0.358300179472634</v>
      </c>
      <c r="AC26" s="13" t="n">
        <f aca="false">IF(Time!AC30&gt;0,Inputs!$F$176/100*Operations!AC55*(AC8+AC9)/Time!AC30,0)</f>
        <v>0.360346202893414</v>
      </c>
      <c r="AD26" s="13" t="n">
        <f aca="false">IF(Time!AD30&gt;0,Inputs!$F$176/100*Operations!AD55*(AD8+AD9)/Time!AD30,0)</f>
        <v>0.361656058364629</v>
      </c>
      <c r="AE26" s="13" t="n">
        <f aca="false">IF(Time!AE30&gt;0,Inputs!$F$176/100*Operations!AE55*(AE8+AE9)/Time!AE30,0)</f>
        <v>0.356738008657328</v>
      </c>
      <c r="AF26" s="13" t="n">
        <f aca="false">IF(Time!AF30&gt;0,Inputs!$F$176/100*Operations!AF55*(AF8+AF9)/Time!AF30,0)</f>
        <v>0.361880707616477</v>
      </c>
      <c r="AG26" s="13" t="n">
        <f aca="false">IF(Time!AG30&gt;0,Inputs!$F$176/100*Operations!AG55*(AG8+AG9)/Time!AG30,0)</f>
        <v>0.367314946242538</v>
      </c>
      <c r="AH26" s="13" t="n">
        <f aca="false">IF(Time!AH30&gt;0,Inputs!$F$176/100*Operations!AH55*(AH8+AH9)/Time!AH30,0)</f>
        <v>0.369029748349802</v>
      </c>
      <c r="AI26" s="13" t="n">
        <f aca="false">IF(Time!AI30&gt;0,Inputs!$F$176/100*Operations!AI55*(AI8+AI9)/Time!AI30,0)</f>
        <v>0.370461833627923</v>
      </c>
      <c r="AJ26" s="13" t="n">
        <f aca="false">IF(Time!AJ30&gt;0,Inputs!$F$176/100*Operations!AJ55*(AJ8+AJ9)/Time!AJ30,0)</f>
        <v>0.372360835657105</v>
      </c>
      <c r="AK26" s="13" t="n">
        <f aca="false">IF(Time!AK30&gt;0,Inputs!$F$176/100*Operations!AK55*(AK8+AK9)/Time!AK30,0)</f>
        <v>0.374587467944409</v>
      </c>
      <c r="AL26" s="13" t="n">
        <f aca="false">IF(Time!AL30&gt;0,Inputs!$F$176/100*Operations!AL55*(AL8+AL9)/Time!AL30,0)</f>
        <v>0.376179357605884</v>
      </c>
      <c r="AM26" s="13" t="n">
        <f aca="false">IF(Time!AM30&gt;0,Inputs!$F$176/100*Operations!AM55*(AM8+AM9)/Time!AM30,0)</f>
        <v>0.376673496478862</v>
      </c>
      <c r="AN26" s="13" t="n">
        <f aca="false">IF(Time!AN30&gt;0,Inputs!$F$176/100*Operations!AN55*(AN8+AN9)/Time!AN30,0)</f>
        <v>0.378844798547881</v>
      </c>
      <c r="AO26" s="13" t="n">
        <f aca="false">IF(Time!AO30&gt;0,Inputs!$F$176/100*Operations!AO55*(AO8+AO9)/Time!AO30,0)</f>
        <v>0.382177004619203</v>
      </c>
      <c r="AP26" s="13" t="n">
        <f aca="false">IF(Time!AP30&gt;0,Inputs!$F$176/100*Operations!AP55*(AP8+AP9)/Time!AP30,0)</f>
        <v>0.384044918429892</v>
      </c>
      <c r="AQ26" s="13" t="n">
        <f aca="false">IF(Time!AQ30&gt;0,Inputs!$F$176/100*Operations!AQ55*(AQ8+AQ9)/Time!AQ30,0)</f>
        <v>0.385606371678174</v>
      </c>
      <c r="AR26" s="13" t="n">
        <f aca="false">IF(Time!AR30&gt;0,Inputs!$F$176/100*Operations!AR55*(AR8+AR9)/Time!AR30,0)</f>
        <v>0.387674199962996</v>
      </c>
      <c r="AS26" s="13" t="n">
        <f aca="false">IF(Time!AS30&gt;0,Inputs!$F$176/100*Operations!AS55*(AS8+AS9)/Time!AS30,0)</f>
        <v>0.39009736939814</v>
      </c>
      <c r="AT26" s="13" t="n">
        <f aca="false">IF(Time!AT30&gt;0,Inputs!$F$176/100*Operations!AT55*(AT8+AT9)/Time!AT30,0)</f>
        <v>0.391655179751443</v>
      </c>
      <c r="AU26" s="13" t="n">
        <f aca="false">IF(Time!AU30&gt;0,Inputs!$F$176/100*Operations!AU55*(AU8+AU9)/Time!AU30,0)</f>
        <v>0.386375278375588</v>
      </c>
      <c r="AV26" s="13" t="n">
        <f aca="false">IF(Time!AV30&gt;0,Inputs!$F$176/100*Operations!AV55*(AV8+AV9)/Time!AV30,0)</f>
        <v>0.392123053898715</v>
      </c>
      <c r="AW26" s="13" t="n">
        <f aca="false">IF(Time!AW30&gt;0,Inputs!$F$176/100*Operations!AW55*(AW8+AW9)/Time!AW30,0)</f>
        <v>0.398362977021547</v>
      </c>
      <c r="AX26" s="13" t="n">
        <f aca="false">IF(Time!AX30&gt;0,Inputs!$F$176/100*Operations!AX55*(AX8+AX9)/Time!AX30,0)</f>
        <v>0.400397668896746</v>
      </c>
      <c r="AY26" s="13" t="n">
        <f aca="false">IF(Time!AY30&gt;0,Inputs!$F$176/100*Operations!AY55*(AY8+AY9)/Time!AY30,0)</f>
        <v>0.402100176084741</v>
      </c>
      <c r="AZ26" s="13" t="n">
        <f aca="false">IF(Time!AZ30&gt;0,Inputs!$F$176/100*Operations!AZ55*(AZ8+AZ9)/Time!AZ30,0)</f>
        <v>0.404351831786131</v>
      </c>
      <c r="BA26" s="13" t="n">
        <f aca="false">IF(Time!BA30&gt;0,Inputs!$F$176/100*Operations!BA55*(BA8+BA9)/Time!BA30,0)</f>
        <v>0.406988870029028</v>
      </c>
      <c r="BB26" s="13" t="n">
        <f aca="false">IF(Time!BB30&gt;0,Inputs!$F$176/100*Operations!BB55*(BB8+BB9)/Time!BB30,0)</f>
        <v>0.408879871876253</v>
      </c>
      <c r="BC26" s="13" t="n">
        <f aca="false">IF(Time!BC30&gt;0,Inputs!$F$176/100*Operations!BC55*(BC8+BC9)/Time!BC30,0)</f>
        <v>0.409480532177664</v>
      </c>
      <c r="BD26" s="13" t="n">
        <f aca="false">IF(Time!BD30&gt;0,Inputs!$F$176/100*Operations!BD55*(BD8+BD9)/Time!BD30,0)</f>
        <v>0.412053148366705</v>
      </c>
      <c r="BE26" s="13" t="n">
        <f aca="false">IF(Time!BE30&gt;0,Inputs!$F$176/100*Operations!BE55*(BE8+BE9)/Time!BE30,0)</f>
        <v>0.415990746089248</v>
      </c>
      <c r="BF26" s="13" t="n">
        <f aca="false">IF(Time!BF30&gt;0,Inputs!$F$176/100*Operations!BF55*(BF8+BF9)/Time!BF30,0)</f>
        <v>0.418207101777684</v>
      </c>
      <c r="BG26" s="13" t="n">
        <f aca="false">IF(Time!BG30&gt;0,Inputs!$F$176/100*Operations!BG55*(BG8+BG9)/Time!BG30,0)</f>
        <v>0.420063404434078</v>
      </c>
      <c r="BH26" s="13" t="n">
        <f aca="false">IF(Time!BH30&gt;0,Inputs!$F$176/100*Operations!BH55*(BH8+BH9)/Time!BH30,0)</f>
        <v>0.422515220912054</v>
      </c>
      <c r="BI26" s="13" t="n">
        <f aca="false">IF(Time!BI30&gt;0,Inputs!$F$176/100*Operations!BI55*(BI8+BI9)/Time!BI30,0)</f>
        <v>0.425384986518876</v>
      </c>
      <c r="BJ26" s="13" t="n">
        <f aca="false">IF(Time!BJ30&gt;0,Inputs!$F$176/100*Operations!BJ55*(BJ8+BJ9)/Time!BJ30,0)</f>
        <v>0.42723768848851</v>
      </c>
      <c r="BK26" s="13" t="n">
        <f aca="false">IF(Time!BK30&gt;0,Inputs!$F$176/100*Operations!BK55*(BK8+BK9)/Time!BK30,0)</f>
        <v>0.421531407175436</v>
      </c>
      <c r="BL26" s="13" t="n">
        <f aca="false">IF(Time!BL30&gt;0,Inputs!$F$176/100*Operations!BL55*(BL8+BL9)/Time!BL30,0)</f>
        <v>0.427996907871267</v>
      </c>
      <c r="BM26" s="13" t="n">
        <f aca="false">IF(Time!BM30&gt;0,Inputs!$F$176/100*Operations!BM55*(BM8+BM9)/Time!BM30,0)</f>
        <v>0.435188686042431</v>
      </c>
      <c r="BN26" s="13" t="n">
        <f aca="false">IF(Time!BN30&gt;0,Inputs!$F$176/100*Operations!BN55*(BN8+BN9)/Time!BN30,0)</f>
        <v>0.364758194611745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296.621401429959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</v>
      </c>
      <c r="Z27" s="13" t="n">
        <f aca="false">MAX(Z25,Z26)</f>
        <v>0.0592071318283963</v>
      </c>
      <c r="AA27" s="13" t="n">
        <f aca="false">MAX(AA25,AA26)</f>
        <v>0.356556226132034</v>
      </c>
      <c r="AB27" s="13" t="n">
        <f aca="false">MAX(AB25,AB26)</f>
        <v>0.358300179472634</v>
      </c>
      <c r="AC27" s="13" t="n">
        <f aca="false">MAX(AC25,AC26)</f>
        <v>0.360346202893414</v>
      </c>
      <c r="AD27" s="13" t="n">
        <f aca="false">MAX(AD25,AD26)</f>
        <v>0.361656058364629</v>
      </c>
      <c r="AE27" s="13" t="n">
        <f aca="false">MAX(AE25,AE26)</f>
        <v>0.356738008657328</v>
      </c>
      <c r="AF27" s="13" t="n">
        <f aca="false">MAX(AF25,AF26)</f>
        <v>0.361880707616477</v>
      </c>
      <c r="AG27" s="13" t="n">
        <f aca="false">MAX(AG25,AG26)</f>
        <v>0.367314946242538</v>
      </c>
      <c r="AH27" s="13" t="n">
        <f aca="false">MAX(AH25,AH26)</f>
        <v>0.369029748349802</v>
      </c>
      <c r="AI27" s="13" t="n">
        <f aca="false">MAX(AI25,AI26)</f>
        <v>0.370461833627923</v>
      </c>
      <c r="AJ27" s="13" t="n">
        <f aca="false">MAX(AJ25,AJ26)</f>
        <v>0.372360835657105</v>
      </c>
      <c r="AK27" s="13" t="n">
        <f aca="false">MAX(AK25,AK26)</f>
        <v>0.374587467944409</v>
      </c>
      <c r="AL27" s="13" t="n">
        <f aca="false">MAX(AL25,AL26)</f>
        <v>0.376179357605884</v>
      </c>
      <c r="AM27" s="13" t="n">
        <f aca="false">MAX(AM25,AM26)</f>
        <v>0.376673496478862</v>
      </c>
      <c r="AN27" s="13" t="n">
        <f aca="false">MAX(AN25,AN26)</f>
        <v>0.378844798547881</v>
      </c>
      <c r="AO27" s="13" t="n">
        <f aca="false">MAX(AO25,AO26)</f>
        <v>0.382177004619203</v>
      </c>
      <c r="AP27" s="13" t="n">
        <f aca="false">MAX(AP25,AP26)</f>
        <v>3.04946169797795</v>
      </c>
      <c r="AQ27" s="13" t="n">
        <f aca="false">MAX(AQ25,AQ26)</f>
        <v>9.19536665684285</v>
      </c>
      <c r="AR27" s="13" t="n">
        <f aca="false">MAX(AR25,AR26)</f>
        <v>9.78041019342288</v>
      </c>
      <c r="AS27" s="13" t="n">
        <f aca="false">MAX(AS25,AS26)</f>
        <v>9.96863269421592</v>
      </c>
      <c r="AT27" s="13" t="n">
        <f aca="false">MAX(AT25,AT26)</f>
        <v>10.0301250772662</v>
      </c>
      <c r="AU27" s="13" t="n">
        <f aca="false">MAX(AU25,AU26)</f>
        <v>5.53865020568407</v>
      </c>
      <c r="AV27" s="13" t="n">
        <f aca="false">MAX(AV25,AV26)</f>
        <v>10.090254295645</v>
      </c>
      <c r="AW27" s="13" t="n">
        <f aca="false">MAX(AW25,AW26)</f>
        <v>10.1337040580951</v>
      </c>
      <c r="AX27" s="13" t="n">
        <f aca="false">MAX(AX25,AX26)</f>
        <v>10.1813115392967</v>
      </c>
      <c r="AY27" s="13" t="n">
        <f aca="false">MAX(AY25,AY26)</f>
        <v>10.2405562425567</v>
      </c>
      <c r="AZ27" s="13" t="n">
        <f aca="false">MAX(AZ25,AZ26)</f>
        <v>10.2821053947785</v>
      </c>
      <c r="BA27" s="13" t="n">
        <f aca="false">MAX(BA25,BA26)</f>
        <v>10.3054627059999</v>
      </c>
      <c r="BB27" s="13" t="n">
        <f aca="false">MAX(BB25,BB26)</f>
        <v>10.3648267024833</v>
      </c>
      <c r="BC27" s="13" t="n">
        <f aca="false">MAX(BC25,BC26)</f>
        <v>9.39040661047331</v>
      </c>
      <c r="BD27" s="13" t="n">
        <f aca="false">MAX(BD25,BD26)</f>
        <v>11.4753672939902</v>
      </c>
      <c r="BE27" s="13" t="n">
        <f aca="false">MAX(BE25,BE26)</f>
        <v>16.2776790932108</v>
      </c>
      <c r="BF27" s="13" t="n">
        <f aca="false">MAX(BF25,BF26)</f>
        <v>16.3295783167063</v>
      </c>
      <c r="BG27" s="13" t="n">
        <f aca="false">MAX(BG25,BG26)</f>
        <v>16.3939436588201</v>
      </c>
      <c r="BH27" s="13" t="n">
        <f aca="false">MAX(BH25,BH26)</f>
        <v>16.4391015619554</v>
      </c>
      <c r="BI27" s="13" t="n">
        <f aca="false">MAX(BI25,BI26)</f>
        <v>16.4636476827841</v>
      </c>
      <c r="BJ27" s="13" t="n">
        <f aca="false">MAX(BJ25,BJ26)</f>
        <v>16.5373851864901</v>
      </c>
      <c r="BK27" s="13" t="n">
        <f aca="false">MAX(BK25,BK26)</f>
        <v>11.2273103094833</v>
      </c>
      <c r="BL27" s="13" t="n">
        <f aca="false">MAX(BL25,BL26)</f>
        <v>16.6219910116953</v>
      </c>
      <c r="BM27" s="13" t="n">
        <f aca="false">MAX(BM25,BM26)</f>
        <v>16.6571622598889</v>
      </c>
      <c r="BN27" s="13" t="n">
        <f aca="false">MAX(BN25,BN26)</f>
        <v>8.06464697615721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7.46892872218391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0</v>
      </c>
      <c r="P28" s="13" t="n">
        <f aca="false">P13-P15</f>
        <v>0.605195812206918</v>
      </c>
      <c r="Q28" s="13" t="n">
        <f aca="false">Q13-Q15</f>
        <v>2.96278983329357</v>
      </c>
      <c r="R28" s="13" t="n">
        <f aca="false">R13-R15</f>
        <v>2.44285347493653</v>
      </c>
      <c r="S28" s="13" t="n">
        <f aca="false">S13-S15</f>
        <v>1.33716814483257</v>
      </c>
      <c r="T28" s="13" t="n">
        <f aca="false">T13-T15</f>
        <v>0.120921456914326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0.0249212166711209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0.0473451055600097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0.0589089944488986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0.0576520500044542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0.0703317688442986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0.0640239203748245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-0.445478114360217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0.00573345104853712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0.00517860094706579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0.00573345104853712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0.00554850101471334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0.00573345104853712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0.00554850101471334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0.00513214672754947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0.00513214672754947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0.00496659360730594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0.00513214672754947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0.00496659360730594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0.00513214672754947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0.00487188067816675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0.00455756579570438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0.00487188067816675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0.00471472323693557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0.00487188067816675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0.00471472323693557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0.00348977820903095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0.00348977820903095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0.00337720471841705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0.00348977820903095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0.00337720471841705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0.00348977820903095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0.00338208191273465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0.00305478366311517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0.00338208191273465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0.00327298249619483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0.00338208191273465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0.00327298249619483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0.00330130969051243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0.00330130969051243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0.00319481582952816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0.00330130969051243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0.00319481582952816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0.00330130969051243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108.058840868641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1.48638459913755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1.91963445312938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2.72994150771724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3.83588658774088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5.15818625625417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6.70538730314906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8.34660111406759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10.0880819392519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11.8461322125835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13.5879379543934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15.3510279123259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16.9729643482723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18.486211866643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19.8359380698697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21.0364033586855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22.0255701838041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24.0075802862517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23.470441775777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23.798341772823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24.273072992426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24.1455869296228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23.8143856253181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23.6976807500316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22.9273364222721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21.9522114204538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22.3520693796788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21.0194491126405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19.5389134553475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18.5188410895814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16.8437268471997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15.1144809755122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11.4694576067338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17.1172283678722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14.1234008721318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11.9409476147233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9.62027871825967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11.175177521271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8.43498429076128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62.9961226608126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-0.375581729029568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83.0721290007105</v>
      </c>
      <c r="K22" s="13" t="n">
        <f aca="false">J22+Construction!K14*$F$9/$F$10*(K21+(K19-K20)*J22)</f>
        <v>84.4960891031873</v>
      </c>
      <c r="L22" s="13" t="n">
        <f aca="false">K22+Construction!L14*$F$9/$F$10*(L21+(L19-L20)*K22)</f>
        <v>86.2674756255083</v>
      </c>
      <c r="M22" s="13" t="n">
        <f aca="false">L22+Construction!M14*$F$9/$F$10*(M21+(M19-M20)*L22)</f>
        <v>88.6582611095984</v>
      </c>
      <c r="N22" s="13" t="n">
        <f aca="false">M22+Construction!N14*$F$9/$F$10*(N21+(N19-N20)*M22)</f>
        <v>91.9173626225989</v>
      </c>
      <c r="O22" s="13" t="n">
        <f aca="false">N22+Construction!O14*$F$9/$F$10*(O21+(O19-O20)*N22)</f>
        <v>96.2266043777407</v>
      </c>
      <c r="P22" s="13" t="n">
        <f aca="false">O22+Construction!P14*$F$9/$F$10*(P21+(P19-P20)*O22)</f>
        <v>101.706571470362</v>
      </c>
      <c r="Q22" s="13" t="n">
        <f aca="false">P22+Construction!Q14*$F$9/$F$10*(Q21+(Q19-Q20)*P22)</f>
        <v>108.50357733304</v>
      </c>
      <c r="R22" s="13" t="n">
        <f aca="false">Q22+Construction!R14*$F$9/$F$10*(R21+(R19-R20)*Q22)</f>
        <v>116.651708376612</v>
      </c>
      <c r="S22" s="13" t="n">
        <f aca="false">R22+Construction!S14*$F$9/$F$10*(S21+(S19-S20)*R22)</f>
        <v>126.194938967975</v>
      </c>
      <c r="T22" s="13" t="n">
        <f aca="false">S22+Construction!T14*$F$9/$F$10*(T21+(T19-T20)*S22)</f>
        <v>137.097681612858</v>
      </c>
      <c r="U22" s="13" t="n">
        <f aca="false">T22+Construction!U14*$F$9/$F$10*(U21+(U19-U20)*T22)</f>
        <v>149.348460449812</v>
      </c>
      <c r="V22" s="13" t="n">
        <f aca="false">U22+Construction!V14*$F$9/$F$10*(V21+(V19-V20)*U22)</f>
        <v>162.886289483117</v>
      </c>
      <c r="W22" s="13" t="n">
        <f aca="false">V22+Construction!W14*$F$9/$F$10*(W21+(W19-W20)*V22)</f>
        <v>177.614607219733</v>
      </c>
      <c r="X22" s="13" t="n">
        <f aca="false">W22+Construction!X14*$F$9/$F$10*(X21+(X19-X20)*W22)</f>
        <v>193.446054086489</v>
      </c>
      <c r="Y22" s="13" t="n">
        <f aca="false">X22+Construction!Y14*$F$9/$F$10*(Y21+(Y19-Y20)*X22)</f>
        <v>210.231819869539</v>
      </c>
      <c r="Z22" s="13" t="n">
        <f aca="false">Y22+Construction!Z14*$F$9/$F$10*(Z21+(Z19-Z20)*Y22)</f>
        <v>227.853504216614</v>
      </c>
      <c r="AA22" s="13" t="n">
        <f aca="false">Z22+Construction!AA14*$F$9/$F$10*(AA21+(AA19-AA20)*Z22)</f>
        <v>247.011067701027</v>
      </c>
      <c r="AB22" s="13" t="n">
        <f aca="false">AA22+Construction!AB14*$F$9/$F$10*(AB21+(AB19-AB20)*AA22)</f>
        <v>265.765611644465</v>
      </c>
      <c r="AC22" s="13" t="n">
        <f aca="false">AB22+Construction!AC14*$F$9/$F$10*(AC21+(AC19-AC20)*AB22)</f>
        <v>284.879009827198</v>
      </c>
      <c r="AD22" s="13" t="n">
        <f aca="false">AC22+Construction!AD14*$F$9/$F$10*(AD21+(AD19-AD20)*AC22)</f>
        <v>304.387910488351</v>
      </c>
      <c r="AE22" s="13" t="n">
        <f aca="false">AD22+Construction!AE14*$F$9/$F$10*(AE21+(AE19-AE20)*AD22)</f>
        <v>323.887135863368</v>
      </c>
      <c r="AF22" s="13" t="n">
        <f aca="false">AE22+Construction!AF14*$F$9/$F$10*(AF21+(AF19-AF20)*AE22)</f>
        <v>343.15960347053</v>
      </c>
      <c r="AG22" s="13" t="n">
        <f aca="false">AF22+Construction!AG14*$F$9/$F$10*(AG21+(AG19-AG20)*AF22)</f>
        <v>362.06921692467</v>
      </c>
      <c r="AH22" s="13" t="n">
        <f aca="false">AG22+Construction!AH14*$F$9/$F$10*(AH21+(AH19-AH20)*AG22)</f>
        <v>380.424725207372</v>
      </c>
      <c r="AI22" s="13" t="n">
        <f aca="false">AH22+Construction!AI14*$F$9/$F$10*(AI21+(AI19-AI20)*AH22)</f>
        <v>398.042850253151</v>
      </c>
      <c r="AJ22" s="13" t="n">
        <f aca="false">AI22+Construction!AJ14*$F$9/$F$10*(AJ21+(AJ19-AJ20)*AI22)</f>
        <v>416.028613369408</v>
      </c>
      <c r="AK22" s="13" t="n">
        <f aca="false">AJ22+Construction!AK14*$F$9/$F$10*(AK21+(AK19-AK20)*AJ22)</f>
        <v>432.999102589014</v>
      </c>
      <c r="AL22" s="13" t="n">
        <f aca="false">AK22+Construction!AL14*$F$9/$F$10*(AL21+(AL19-AL20)*AK22)</f>
        <v>448.892653778664</v>
      </c>
      <c r="AM22" s="13" t="n">
        <f aca="false">AL22+Construction!AM14*$F$9/$F$10*(AM21+(AM19-AM20)*AL22)</f>
        <v>463.996873042889</v>
      </c>
      <c r="AN22" s="13" t="n">
        <f aca="false">AM22+Construction!AN14*$F$9/$F$10*(AN21+(AN19-AN20)*AM22)</f>
        <v>477.755729518308</v>
      </c>
      <c r="AO22" s="13" t="n">
        <f aca="false">AN22+Construction!AO14*$F$9/$F$10*(AO21+(AO19-AO20)*AN22)</f>
        <v>490.29856837206</v>
      </c>
      <c r="AP22" s="13" t="n">
        <f aca="false">AO22+Construction!AP14*$F$9/$F$10*(AP21+(AP19-AP20)*AO22)</f>
        <v>500.032905675273</v>
      </c>
      <c r="AQ22" s="13" t="n">
        <f aca="false">AP22+Construction!AQ14*$F$9/$F$10*(AQ21+(AQ19-AQ20)*AP22)</f>
        <v>514.158444851685</v>
      </c>
      <c r="AR22" s="13" t="n">
        <f aca="false">AQ22+Construction!AR14*$F$9/$F$10*(AR21+(AR19-AR20)*AQ22)</f>
        <v>525.977671990962</v>
      </c>
      <c r="AS22" s="13" t="n">
        <f aca="false">AR22+Construction!AS14*$F$9/$F$10*(AS21+(AS19-AS20)*AR22)</f>
        <v>536.141335113897</v>
      </c>
      <c r="AT22" s="13" t="n">
        <f aca="false">AS22+Construction!AT14*$F$9/$F$10*(AT21+(AT19-AT20)*AS22)</f>
        <v>544.539954629592</v>
      </c>
      <c r="AU22" s="13" t="n">
        <f aca="false">AT22+Construction!AU14*$F$9/$F$10*(AU21+(AU19-AU20)*AT22)</f>
        <v>554.116782491971</v>
      </c>
      <c r="AV22" s="13" t="n">
        <f aca="false">AU22+Construction!AV14*$F$9/$F$10*(AV21+(AV19-AV20)*AU22)</f>
        <v>561.637809511114</v>
      </c>
      <c r="AW22" s="13" t="n">
        <f aca="false">AV22+Construction!AW14*$F$9/$F$10*(AW21+(AW19-AW20)*AV22)</f>
        <v>611.083847917825</v>
      </c>
      <c r="AX22" s="13" t="n">
        <f aca="false">AW22+Construction!AX14*$F$9/$F$10*(AX21+(AX19-AX20)*AW22)</f>
        <v>611.93815566388</v>
      </c>
      <c r="AY22" s="13" t="n">
        <f aca="false">AX22+Construction!AY14*$F$9/$F$10*(AY21+(AY19-AY20)*AX22)</f>
        <v>611.93815566388</v>
      </c>
      <c r="AZ22" s="13" t="n">
        <f aca="false">AY22+Construction!AZ14*$F$9/$F$10*(AZ21+(AZ19-AZ20)*AY22)</f>
        <v>611.93815566388</v>
      </c>
      <c r="BA22" s="13" t="n">
        <f aca="false">AZ22+Construction!BA14*$F$9/$F$10*(BA21+(BA19-BA20)*AZ22)</f>
        <v>611.93815566388</v>
      </c>
      <c r="BB22" s="13" t="n">
        <f aca="false">BA22+Construction!BB14*$F$9/$F$10*(BB21+(BB19-BB20)*BA22)</f>
        <v>611.93815566388</v>
      </c>
      <c r="BC22" s="13" t="n">
        <f aca="false">BB22+Construction!BC14*$F$9/$F$10*(BC21+(BC19-BC20)*BB22)</f>
        <v>611.93815566388</v>
      </c>
      <c r="BD22" s="13" t="n">
        <f aca="false">BC22+Construction!BD14*$F$9/$F$10*(BD21+(BD19-BD20)*BC22)</f>
        <v>611.93815566388</v>
      </c>
      <c r="BE22" s="13" t="n">
        <f aca="false">BD22+Construction!BE14*$F$9/$F$10*(BE21+(BE19-BE20)*BD22)</f>
        <v>611.93815566388</v>
      </c>
      <c r="BF22" s="13" t="n">
        <f aca="false">BE22+Construction!BF14*$F$9/$F$10*(BF21+(BF19-BF20)*BE22)</f>
        <v>611.93815566388</v>
      </c>
      <c r="BG22" s="13" t="n">
        <f aca="false">BF22+Construction!BG14*$F$9/$F$10*(BG21+(BG19-BG20)*BF22)</f>
        <v>611.93815566388</v>
      </c>
      <c r="BH22" s="13" t="n">
        <f aca="false">BG22+Construction!BH14*$F$9/$F$10*(BH21+(BH19-BH20)*BG22)</f>
        <v>611.93815566388</v>
      </c>
      <c r="BI22" s="13" t="n">
        <f aca="false">BH22+Construction!BI14*$F$9/$F$10*(BI21+(BI19-BI20)*BH22)</f>
        <v>611.93815566388</v>
      </c>
      <c r="BJ22" s="13" t="n">
        <f aca="false">BI22+Construction!BJ14*$F$9/$F$10*(BJ21+(BJ19-BJ20)*BI22)</f>
        <v>611.93815566388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0.0122211224563974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0.0127145341610811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0.0132626568977709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0.0137950822489194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0.0143472465255011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0.0148835976731039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0.0154329531494392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0.0159841094158718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0.0165192348605775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0.0170739519640867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0.0176125346760688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0.018170835622037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0.0187273309862905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0.019249525766261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0.0198093412536596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0.0203527656620087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0.0209159768347504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0.0214626975047072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0.0220065205110532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0.02255143954132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0.0230798433443398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0.0236269255554327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0.0241574269783035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0.024706680957464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0.0252549963556312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0.0257512061045631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0.0263015401647335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0.0268351507864771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0.027387579691323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0.0279232215000323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0.0284760193293918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0.029029851176544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0.0295668200143757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0.0301226922228618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0.0306616392973366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0.0656150575115741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0.0656150575115741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0.0656150575115741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0.0656150575115741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0.0656150575115741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0.0656150575115741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0.0656150575115741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0.0656150575115741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0.0656150575115741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0.0656150575115741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0.0656150575115741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0.0656150575115741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0.0656150575115741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894.143219222315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26.9921009455809</v>
      </c>
      <c r="L28" s="13" t="n">
        <f aca="false">K61</f>
        <v>27.5418308944265</v>
      </c>
      <c r="M28" s="13" t="n">
        <f aca="false">L61</f>
        <v>28.1991376354118</v>
      </c>
      <c r="N28" s="13" t="n">
        <f aca="false">M61</f>
        <v>29.0360095944531</v>
      </c>
      <c r="O28" s="13" t="n">
        <f aca="false">N61</f>
        <v>30.1347300834608</v>
      </c>
      <c r="P28" s="13" t="n">
        <f aca="false">O61</f>
        <v>31.5454627415991</v>
      </c>
      <c r="Q28" s="13" t="n">
        <f aca="false">P61</f>
        <v>33.2902556016619</v>
      </c>
      <c r="R28" s="13" t="n">
        <f aca="false">Q61</f>
        <v>35.4385121285491</v>
      </c>
      <c r="S28" s="13" t="n">
        <f aca="false">R61</f>
        <v>37.9829069238437</v>
      </c>
      <c r="T28" s="13" t="n">
        <f aca="false">S61</f>
        <v>40.9451911407762</v>
      </c>
      <c r="U28" s="13" t="n">
        <f aca="false">T61</f>
        <v>44.3060372176439</v>
      </c>
      <c r="V28" s="13" t="n">
        <f aca="false">U61</f>
        <v>48.0693730590627</v>
      </c>
      <c r="W28" s="13" t="n">
        <f aca="false">V61</f>
        <v>52.2141357033549</v>
      </c>
      <c r="X28" s="13" t="n">
        <f aca="false">W61</f>
        <v>56.7073276964352</v>
      </c>
      <c r="Y28" s="13" t="n">
        <f aca="false">X61</f>
        <v>61.5318244536215</v>
      </c>
      <c r="Z28" s="13" t="n">
        <f aca="false">Y61</f>
        <v>66.6347695607226</v>
      </c>
      <c r="AA28" s="13" t="n">
        <f aca="false">Z61</f>
        <v>71.9898802238079</v>
      </c>
      <c r="AB28" s="13" t="n">
        <f aca="false">AA61</f>
        <v>77.7993240695943</v>
      </c>
      <c r="AC28" s="13" t="n">
        <f aca="false">AB61</f>
        <v>83.4808088524267</v>
      </c>
      <c r="AD28" s="13" t="n">
        <f aca="false">AC61</f>
        <v>89.2775301472409</v>
      </c>
      <c r="AE28" s="13" t="n">
        <f aca="false">AD61</f>
        <v>95.1871531550242</v>
      </c>
      <c r="AF28" s="13" t="n">
        <f aca="false">AE61</f>
        <v>101.098495263058</v>
      </c>
      <c r="AG28" s="13" t="n">
        <f aca="false">AF61</f>
        <v>106.938450465807</v>
      </c>
      <c r="AH28" s="13" t="n">
        <f aca="false">AG61</f>
        <v>112.671365862638</v>
      </c>
      <c r="AI28" s="13" t="n">
        <f aca="false">AH61</f>
        <v>118.240310274343</v>
      </c>
      <c r="AJ28" s="13" t="n">
        <f aca="false">AI61</f>
        <v>123.586711569923</v>
      </c>
      <c r="AK28" s="13" t="n">
        <f aca="false">AJ61</f>
        <v>129.046406387509</v>
      </c>
      <c r="AL28" s="13" t="n">
        <f aca="false">AK61</f>
        <v>134.201260010851</v>
      </c>
      <c r="AM28" s="13" t="n">
        <f aca="false">AL61</f>
        <v>139.041629837665</v>
      </c>
      <c r="AN28" s="13" t="n">
        <f aca="false">AM61</f>
        <v>143.648036557453</v>
      </c>
      <c r="AO28" s="13" t="n">
        <f aca="false">AN61</f>
        <v>147.843242674709</v>
      </c>
      <c r="AP28" s="13" t="n">
        <f aca="false">AO61</f>
        <v>151.691405003511</v>
      </c>
      <c r="AQ28" s="13" t="n">
        <f aca="false">AP61</f>
        <v>154.703711378961</v>
      </c>
      <c r="AR28" s="13" t="n">
        <f aca="false">AQ61</f>
        <v>159.020906305857</v>
      </c>
      <c r="AS28" s="13" t="n">
        <f aca="false">AR61</f>
        <v>162.650940027188</v>
      </c>
      <c r="AT28" s="13" t="n">
        <f aca="false">AS61</f>
        <v>165.794896093503</v>
      </c>
      <c r="AU28" s="13" t="n">
        <f aca="false">AT61</f>
        <v>168.416334590757</v>
      </c>
      <c r="AV28" s="13" t="n">
        <f aca="false">AU61</f>
        <v>171.382532379665</v>
      </c>
      <c r="AW28" s="13" t="n">
        <f aca="false">AV61</f>
        <v>173.744444320267</v>
      </c>
      <c r="AX28" s="13" t="n">
        <f aca="false">AW61</f>
        <v>188.517700408599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19.7942073600927</v>
      </c>
      <c r="L29" s="13" t="n">
        <f aca="false">K62</f>
        <v>20.1973426559128</v>
      </c>
      <c r="M29" s="13" t="n">
        <f aca="false">L62</f>
        <v>20.679367599302</v>
      </c>
      <c r="N29" s="13" t="n">
        <f aca="false">M62</f>
        <v>21.2930737025989</v>
      </c>
      <c r="O29" s="13" t="n">
        <f aca="false">N62</f>
        <v>22.0988020612046</v>
      </c>
      <c r="P29" s="13" t="n">
        <f aca="false">O62</f>
        <v>23.1333393438393</v>
      </c>
      <c r="Q29" s="13" t="n">
        <f aca="false">P62</f>
        <v>24.4128541078854</v>
      </c>
      <c r="R29" s="13" t="n">
        <f aca="false">Q62</f>
        <v>25.9882422276026</v>
      </c>
      <c r="S29" s="13" t="n">
        <f aca="false">R62</f>
        <v>27.854131744152</v>
      </c>
      <c r="T29" s="13" t="n">
        <f aca="false">S62</f>
        <v>30.0264735032359</v>
      </c>
      <c r="U29" s="13" t="n">
        <f aca="false">T62</f>
        <v>32.4910939596055</v>
      </c>
      <c r="V29" s="13" t="n">
        <f aca="false">U62</f>
        <v>35.250873576646</v>
      </c>
      <c r="W29" s="13" t="n">
        <f aca="false">V62</f>
        <v>38.2903661824603</v>
      </c>
      <c r="X29" s="13" t="n">
        <f aca="false">W62</f>
        <v>41.5853736440525</v>
      </c>
      <c r="Y29" s="13" t="n">
        <f aca="false">X62</f>
        <v>45.1233379326558</v>
      </c>
      <c r="Z29" s="13" t="n">
        <f aca="false">Y62</f>
        <v>48.8654976778633</v>
      </c>
      <c r="AA29" s="13" t="n">
        <f aca="false">Z62</f>
        <v>52.7925788307925</v>
      </c>
      <c r="AB29" s="13" t="n">
        <f aca="false">AA62</f>
        <v>57.0528376510358</v>
      </c>
      <c r="AC29" s="13" t="n">
        <f aca="false">AB62</f>
        <v>61.219259825113</v>
      </c>
      <c r="AD29" s="13" t="n">
        <f aca="false">AC62</f>
        <v>65.4701887746433</v>
      </c>
      <c r="AE29" s="13" t="n">
        <f aca="false">AD62</f>
        <v>69.8039123136844</v>
      </c>
      <c r="AF29" s="13" t="n">
        <f aca="false">AE62</f>
        <v>74.1388965262424</v>
      </c>
      <c r="AG29" s="13" t="n">
        <f aca="false">AF62</f>
        <v>78.421530341592</v>
      </c>
      <c r="AH29" s="13" t="n">
        <f aca="false">AG62</f>
        <v>82.625668299268</v>
      </c>
      <c r="AI29" s="13" t="n">
        <f aca="false">AH62</f>
        <v>86.7095608678512</v>
      </c>
      <c r="AJ29" s="13" t="n">
        <f aca="false">AI62</f>
        <v>90.6302551512767</v>
      </c>
      <c r="AK29" s="13" t="n">
        <f aca="false">AJ62</f>
        <v>94.6340313508397</v>
      </c>
      <c r="AL29" s="13" t="n">
        <f aca="false">AK62</f>
        <v>98.4142573412907</v>
      </c>
      <c r="AM29" s="13" t="n">
        <f aca="false">AL62</f>
        <v>101.963861880954</v>
      </c>
      <c r="AN29" s="13" t="n">
        <f aca="false">AM62</f>
        <v>105.341893475466</v>
      </c>
      <c r="AO29" s="13" t="n">
        <f aca="false">AN62</f>
        <v>108.418377961453</v>
      </c>
      <c r="AP29" s="13" t="n">
        <f aca="false">AO62</f>
        <v>111.240363669242</v>
      </c>
      <c r="AQ29" s="13" t="n">
        <f aca="false">AP62</f>
        <v>113.449388344571</v>
      </c>
      <c r="AR29" s="13" t="n">
        <f aca="false">AQ62</f>
        <v>116.615331290962</v>
      </c>
      <c r="AS29" s="13" t="n">
        <f aca="false">AR62</f>
        <v>119.277356019938</v>
      </c>
      <c r="AT29" s="13" t="n">
        <f aca="false">AS62</f>
        <v>121.582923801902</v>
      </c>
      <c r="AU29" s="13" t="n">
        <f aca="false">AT62</f>
        <v>123.505312033222</v>
      </c>
      <c r="AV29" s="13" t="n">
        <f aca="false">AU62</f>
        <v>125.680523745088</v>
      </c>
      <c r="AW29" s="13" t="n">
        <f aca="false">AV62</f>
        <v>127.412592501529</v>
      </c>
      <c r="AX29" s="13" t="n">
        <f aca="false">AW62</f>
        <v>138.246313632972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8.99736698186031</v>
      </c>
      <c r="L30" s="13" t="n">
        <f aca="false">K63</f>
        <v>9.18061029814216</v>
      </c>
      <c r="M30" s="13" t="n">
        <f aca="false">L63</f>
        <v>9.39971254513727</v>
      </c>
      <c r="N30" s="13" t="n">
        <f aca="false">M63</f>
        <v>9.67866986481769</v>
      </c>
      <c r="O30" s="13" t="n">
        <f aca="false">N63</f>
        <v>10.0449100278203</v>
      </c>
      <c r="P30" s="13" t="n">
        <f aca="false">O63</f>
        <v>10.5151542471997</v>
      </c>
      <c r="Q30" s="13" t="n">
        <f aca="false">P63</f>
        <v>11.0967518672206</v>
      </c>
      <c r="R30" s="13" t="n">
        <f aca="false">Q63</f>
        <v>11.812837376183</v>
      </c>
      <c r="S30" s="13" t="n">
        <f aca="false">R63</f>
        <v>12.6609689746146</v>
      </c>
      <c r="T30" s="13" t="n">
        <f aca="false">S63</f>
        <v>13.6483970469254</v>
      </c>
      <c r="U30" s="13" t="n">
        <f aca="false">T63</f>
        <v>14.768679072548</v>
      </c>
      <c r="V30" s="13" t="n">
        <f aca="false">U63</f>
        <v>16.0231243530209</v>
      </c>
      <c r="W30" s="13" t="n">
        <f aca="false">V63</f>
        <v>17.4047119011183</v>
      </c>
      <c r="X30" s="13" t="n">
        <f aca="false">W63</f>
        <v>18.9024425654784</v>
      </c>
      <c r="Y30" s="13" t="n">
        <f aca="false">X63</f>
        <v>20.5106081512072</v>
      </c>
      <c r="Z30" s="13" t="n">
        <f aca="false">Y63</f>
        <v>22.2115898535742</v>
      </c>
      <c r="AA30" s="13" t="n">
        <f aca="false">Z63</f>
        <v>23.9966267412693</v>
      </c>
      <c r="AB30" s="13" t="n">
        <f aca="false">AA63</f>
        <v>25.9331080231981</v>
      </c>
      <c r="AC30" s="13" t="n">
        <f aca="false">AB63</f>
        <v>27.8269362841422</v>
      </c>
      <c r="AD30" s="13" t="n">
        <f aca="false">AC63</f>
        <v>29.759176715747</v>
      </c>
      <c r="AE30" s="13" t="n">
        <f aca="false">AD63</f>
        <v>31.7290510516747</v>
      </c>
      <c r="AF30" s="13" t="n">
        <f aca="false">AE63</f>
        <v>33.6994984210193</v>
      </c>
      <c r="AG30" s="13" t="n">
        <f aca="false">AF63</f>
        <v>35.6461501552691</v>
      </c>
      <c r="AH30" s="13" t="n">
        <f aca="false">AG63</f>
        <v>37.5571219542127</v>
      </c>
      <c r="AI30" s="13" t="n">
        <f aca="false">AH63</f>
        <v>39.4134367581142</v>
      </c>
      <c r="AJ30" s="13" t="n">
        <f aca="false">AI63</f>
        <v>41.1955705233076</v>
      </c>
      <c r="AK30" s="13" t="n">
        <f aca="false">AJ63</f>
        <v>43.0154687958362</v>
      </c>
      <c r="AL30" s="13" t="n">
        <f aca="false">AK63</f>
        <v>44.7337533369503</v>
      </c>
      <c r="AM30" s="13" t="n">
        <f aca="false">AL63</f>
        <v>46.3472099458884</v>
      </c>
      <c r="AN30" s="13" t="n">
        <f aca="false">AM63</f>
        <v>47.8826788524845</v>
      </c>
      <c r="AO30" s="13" t="n">
        <f aca="false">AN63</f>
        <v>49.2810808915698</v>
      </c>
      <c r="AP30" s="13" t="n">
        <f aca="false">AO63</f>
        <v>50.5638016678371</v>
      </c>
      <c r="AQ30" s="13" t="n">
        <f aca="false">AP63</f>
        <v>51.567903792987</v>
      </c>
      <c r="AR30" s="13" t="n">
        <f aca="false">AQ63</f>
        <v>53.0069687686191</v>
      </c>
      <c r="AS30" s="13" t="n">
        <f aca="false">AR63</f>
        <v>54.2169800090627</v>
      </c>
      <c r="AT30" s="13" t="n">
        <f aca="false">AS63</f>
        <v>55.2649653645011</v>
      </c>
      <c r="AU30" s="13" t="n">
        <f aca="false">AT63</f>
        <v>56.138778196919</v>
      </c>
      <c r="AV30" s="13" t="n">
        <f aca="false">AU63</f>
        <v>57.1275107932216</v>
      </c>
      <c r="AW30" s="13" t="n">
        <f aca="false">AV63</f>
        <v>57.9148147734224</v>
      </c>
      <c r="AX30" s="13" t="n">
        <f aca="false">AW63</f>
        <v>62.8392334695329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34.1899945310692</v>
      </c>
      <c r="L31" s="13" t="n">
        <f aca="false">K64</f>
        <v>34.8863191329402</v>
      </c>
      <c r="M31" s="13" t="n">
        <f aca="false">L64</f>
        <v>35.7189076715216</v>
      </c>
      <c r="N31" s="13" t="n">
        <f aca="false">M64</f>
        <v>36.7789454863072</v>
      </c>
      <c r="O31" s="13" t="n">
        <f aca="false">N64</f>
        <v>38.170658105717</v>
      </c>
      <c r="P31" s="13" t="n">
        <f aca="false">O64</f>
        <v>39.9575861393589</v>
      </c>
      <c r="Q31" s="13" t="n">
        <f aca="false">P64</f>
        <v>42.1676570954384</v>
      </c>
      <c r="R31" s="13" t="n">
        <f aca="false">Q64</f>
        <v>44.8887820294955</v>
      </c>
      <c r="S31" s="13" t="n">
        <f aca="false">R64</f>
        <v>48.1116821035353</v>
      </c>
      <c r="T31" s="13" t="n">
        <f aca="false">S64</f>
        <v>51.8639087783165</v>
      </c>
      <c r="U31" s="13" t="n">
        <f aca="false">T64</f>
        <v>56.1209804756823</v>
      </c>
      <c r="V31" s="13" t="n">
        <f aca="false">U64</f>
        <v>60.8878725414794</v>
      </c>
      <c r="W31" s="13" t="n">
        <f aca="false">V64</f>
        <v>66.1379052242495</v>
      </c>
      <c r="X31" s="13" t="n">
        <f aca="false">W64</f>
        <v>71.8292817488179</v>
      </c>
      <c r="Y31" s="13" t="n">
        <f aca="false">X64</f>
        <v>77.9403109745872</v>
      </c>
      <c r="Z31" s="13" t="n">
        <f aca="false">Y64</f>
        <v>84.404041443582</v>
      </c>
      <c r="AA31" s="13" t="n">
        <f aca="false">Z64</f>
        <v>91.1871816168234</v>
      </c>
      <c r="AB31" s="13" t="n">
        <f aca="false">AA64</f>
        <v>98.5458104881528</v>
      </c>
      <c r="AC31" s="13" t="n">
        <f aca="false">AB64</f>
        <v>105.742357879741</v>
      </c>
      <c r="AD31" s="13" t="n">
        <f aca="false">AC64</f>
        <v>113.084871519838</v>
      </c>
      <c r="AE31" s="13" t="n">
        <f aca="false">AD64</f>
        <v>120.570393996364</v>
      </c>
      <c r="AF31" s="13" t="n">
        <f aca="false">AE64</f>
        <v>128.058093999873</v>
      </c>
      <c r="AG31" s="13" t="n">
        <f aca="false">AF64</f>
        <v>135.455370590023</v>
      </c>
      <c r="AH31" s="13" t="n">
        <f aca="false">AG64</f>
        <v>142.717063426008</v>
      </c>
      <c r="AI31" s="13" t="n">
        <f aca="false">AH64</f>
        <v>149.771059680834</v>
      </c>
      <c r="AJ31" s="13" t="n">
        <f aca="false">AI64</f>
        <v>156.543167988569</v>
      </c>
      <c r="AK31" s="13" t="n">
        <f aca="false">AJ64</f>
        <v>163.458781424178</v>
      </c>
      <c r="AL31" s="13" t="n">
        <f aca="false">AK64</f>
        <v>169.988262680411</v>
      </c>
      <c r="AM31" s="13" t="n">
        <f aca="false">AL64</f>
        <v>176.119397794376</v>
      </c>
      <c r="AN31" s="13" t="n">
        <f aca="false">AM64</f>
        <v>181.954179639441</v>
      </c>
      <c r="AO31" s="13" t="n">
        <f aca="false">AN64</f>
        <v>187.268107387965</v>
      </c>
      <c r="AP31" s="13" t="n">
        <f aca="false">AO64</f>
        <v>192.142446337781</v>
      </c>
      <c r="AQ31" s="13" t="n">
        <f aca="false">AP64</f>
        <v>195.958034413351</v>
      </c>
      <c r="AR31" s="13" t="n">
        <f aca="false">AQ64</f>
        <v>201.426481320753</v>
      </c>
      <c r="AS31" s="13" t="n">
        <f aca="false">AR64</f>
        <v>206.024524034438</v>
      </c>
      <c r="AT31" s="13" t="n">
        <f aca="false">AS64</f>
        <v>210.006868385104</v>
      </c>
      <c r="AU31" s="13" t="n">
        <f aca="false">AT64</f>
        <v>213.327357148292</v>
      </c>
      <c r="AV31" s="13" t="n">
        <f aca="false">AU64</f>
        <v>217.084541014242</v>
      </c>
      <c r="AW31" s="13" t="n">
        <f aca="false">AV64</f>
        <v>220.076296139005</v>
      </c>
      <c r="AX31" s="13" t="n">
        <f aca="false">AW64</f>
        <v>238.789087184225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</v>
      </c>
      <c r="AT32" s="13" t="n">
        <f aca="false">AS65</f>
        <v>0</v>
      </c>
      <c r="AU32" s="13" t="n">
        <f aca="false">AT65</f>
        <v>0</v>
      </c>
      <c r="AV32" s="13" t="n">
        <f aca="false">AU65</f>
        <v>0</v>
      </c>
      <c r="AW32" s="13" t="n">
        <f aca="false">AV65</f>
        <v>0</v>
      </c>
      <c r="AX32" s="13" t="n">
        <f aca="false">AW65</f>
        <v>0</v>
      </c>
      <c r="AY32" s="13" t="n">
        <f aca="false">AX65</f>
        <v>11.6707310507236</v>
      </c>
      <c r="AZ32" s="13" t="n">
        <f aca="false">AY65</f>
        <v>11.6707310507236</v>
      </c>
      <c r="BA32" s="13" t="n">
        <f aca="false">AZ65</f>
        <v>11.6707310507236</v>
      </c>
      <c r="BB32" s="13" t="n">
        <f aca="false">BA65</f>
        <v>11.6707310507236</v>
      </c>
      <c r="BC32" s="13" t="n">
        <f aca="false">BB65</f>
        <v>11.6707310507236</v>
      </c>
      <c r="BD32" s="13" t="n">
        <f aca="false">BC65</f>
        <v>11.6707310507236</v>
      </c>
      <c r="BE32" s="13" t="n">
        <f aca="false">BD65</f>
        <v>11.6707310507236</v>
      </c>
      <c r="BF32" s="13" t="n">
        <f aca="false">BE65</f>
        <v>11.6707310507236</v>
      </c>
      <c r="BG32" s="13" t="n">
        <f aca="false">BF65</f>
        <v>11.6707310507236</v>
      </c>
      <c r="BH32" s="13" t="n">
        <f aca="false">BG65</f>
        <v>11.6707310507236</v>
      </c>
      <c r="BI32" s="13" t="n">
        <f aca="false">BH65</f>
        <v>11.6707310507236</v>
      </c>
      <c r="BJ32" s="13" t="n">
        <f aca="false">BI65</f>
        <v>11.6707310507236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7.11685558521203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0.0870495255494985</v>
      </c>
      <c r="L33" s="13" t="n">
        <f aca="false">Construction!L14*L28*(Construction!L17+Inputs!$F$79)/100*Construction!L11/Inputs!$F$247*1</f>
        <v>0.0917831514556763</v>
      </c>
      <c r="M33" s="13" t="n">
        <f aca="false">Construction!M14*M28*(Construction!M17+Inputs!$F$79)/100*Construction!M11/Inputs!$F$247*1</f>
        <v>0.0909422188742031</v>
      </c>
      <c r="N33" s="13" t="n">
        <f aca="false">Construction!N14*N28*(Construction!N17+Inputs!$F$79)/100*Construction!N11/Inputs!$F$247*1</f>
        <v>0.0967625019735149</v>
      </c>
      <c r="O33" s="13" t="n">
        <f aca="false">Construction!O14*O28*(Construction!O17+Inputs!$F$79)/100*Construction!O11/Inputs!$F$247*1</f>
        <v>0.109506260819954</v>
      </c>
      <c r="P33" s="13" t="n">
        <f aca="false">Construction!P14*P28*(Construction!P17+Inputs!$F$79)/100*Construction!P11/Inputs!$F$247*1</f>
        <v>0.10353921882076</v>
      </c>
      <c r="Q33" s="13" t="n">
        <f aca="false">Construction!Q14*Q28*(Construction!Q17+Inputs!$F$79)/100*Construction!Q11/Inputs!$F$247*1</f>
        <v>0.12097308993915</v>
      </c>
      <c r="R33" s="13" t="n">
        <f aca="false">Construction!R14*R28*(Construction!R17+Inputs!$F$79)/100*Construction!R11/Inputs!$F$247*1</f>
        <v>0.124625434318731</v>
      </c>
      <c r="S33" s="13" t="n">
        <f aca="false">Construction!S14*S28*(Construction!S17+Inputs!$F$79)/100*Construction!S11/Inputs!$F$247*1</f>
        <v>0.138025663438256</v>
      </c>
      <c r="T33" s="13" t="n">
        <f aca="false">Construction!T14*T28*(Construction!T17+Inputs!$F$79)/100*Construction!T11/Inputs!$F$247*1</f>
        <v>0.143990588845063</v>
      </c>
      <c r="U33" s="13" t="n">
        <f aca="false">Construction!U14*U28*(Construction!U17+Inputs!$F$79)/100*Construction!U11/Inputs!$F$247*1</f>
        <v>0.135441094327825</v>
      </c>
      <c r="V33" s="13" t="n">
        <f aca="false">Construction!V14*V28*(Construction!V17+Inputs!$F$79)/100*Construction!V11/Inputs!$F$247*1</f>
        <v>0.146945402920829</v>
      </c>
      <c r="W33" s="13" t="n">
        <f aca="false">Construction!W14*W28*(Construction!W17+Inputs!$F$79)/100*Construction!W11/Inputs!$F$247*1</f>
        <v>0.154466818122425</v>
      </c>
      <c r="X33" s="13" t="n">
        <f aca="false">Construction!X14*X28*(Construction!X17+Inputs!$F$79)/100*Construction!X11/Inputs!$F$247*1</f>
        <v>0.173351150360908</v>
      </c>
      <c r="Y33" s="13" t="n">
        <f aca="false">Construction!Y14*Y28*(Construction!Y17+Inputs!$F$79)/100*Construction!Y11/Inputs!$F$247*1</f>
        <v>0.182031647341964</v>
      </c>
      <c r="Z33" s="13" t="n">
        <f aca="false">Construction!Z14*Z28*(Construction!Z17+Inputs!$F$79)/100*Construction!Z11/Inputs!$F$247*1</f>
        <v>0.203698788615487</v>
      </c>
      <c r="AA33" s="13" t="n">
        <f aca="false">Construction!AA14*AA28*(Construction!AA17+Inputs!$F$79)/100*Construction!AA11/Inputs!$F$247*1</f>
        <v>0.20209159153939</v>
      </c>
      <c r="AB33" s="13" t="n">
        <f aca="false">Construction!AB14*AB28*(Construction!AB17+Inputs!$F$79)/100*Construction!AB11/Inputs!$F$247*1</f>
        <v>0.204309669376096</v>
      </c>
      <c r="AC33" s="13" t="n">
        <f aca="false">Construction!AC14*AC28*(Construction!AC17+Inputs!$F$79)/100*Construction!AC11/Inputs!$F$247*1</f>
        <v>0.234349181739618</v>
      </c>
      <c r="AD33" s="13" t="n">
        <f aca="false">Construction!AD14*AD28*(Construction!AD17+Inputs!$F$79)/100*Construction!AD11/Inputs!$F$247*1</f>
        <v>0.242537290233338</v>
      </c>
      <c r="AE33" s="13" t="n">
        <f aca="false">Construction!AE14*AE28*(Construction!AE17+Inputs!$F$79)/100*Construction!AE11/Inputs!$F$247*1</f>
        <v>0.267211491606854</v>
      </c>
      <c r="AF33" s="13" t="n">
        <f aca="false">Construction!AF14*AF28*(Construction!AF17+Inputs!$F$79)/100*Construction!AF11/Inputs!$F$247*1</f>
        <v>0.274650912131307</v>
      </c>
      <c r="AG33" s="13" t="n">
        <f aca="false">Construction!AG14*AG28*(Construction!AG17+Inputs!$F$79)/100*Construction!AG11/Inputs!$F$247*1</f>
        <v>0.158387727189912</v>
      </c>
      <c r="AH33" s="13" t="n">
        <f aca="false">Construction!AH14*AH28*(Construction!AH17+Inputs!$F$79)/100*Construction!AH11/Inputs!$F$247*1</f>
        <v>0.166878811883218</v>
      </c>
      <c r="AI33" s="13" t="n">
        <f aca="false">Construction!AI14*AI28*(Construction!AI17+Inputs!$F$79)/100*Construction!AI11/Inputs!$F$247*1</f>
        <v>0.169477778059891</v>
      </c>
      <c r="AJ33" s="13" t="n">
        <f aca="false">Construction!AJ14*AJ28*(Construction!AJ17+Inputs!$F$79)/100*Construction!AJ11/Inputs!$F$247*1</f>
        <v>0.183045651691897</v>
      </c>
      <c r="AK33" s="13" t="n">
        <f aca="false">Construction!AK14*AK28*(Construction!AK17+Inputs!$F$79)/100*Construction!AK11/Inputs!$F$247*1</f>
        <v>0.184966515822096</v>
      </c>
      <c r="AL33" s="13" t="n">
        <f aca="false">Construction!AL14*AL28*(Construction!AL17+Inputs!$F$79)/100*Construction!AL11/Inputs!$F$247*1</f>
        <v>0.198766977327183</v>
      </c>
      <c r="AM33" s="13" t="n">
        <f aca="false">Construction!AM14*AM28*(Construction!AM17+Inputs!$F$79)/100*Construction!AM11/Inputs!$F$247*1</f>
        <v>0.191568467776339</v>
      </c>
      <c r="AN33" s="13" t="n">
        <f aca="false">Construction!AN14*AN28*(Construction!AN17+Inputs!$F$79)/100*Construction!AN11/Inputs!$F$247*1</f>
        <v>0.178762001049275</v>
      </c>
      <c r="AO33" s="13" t="n">
        <f aca="false">Construction!AO14*AO28*(Construction!AO17+Inputs!$F$79)/100*Construction!AO11/Inputs!$F$247*1</f>
        <v>0.203695134351822</v>
      </c>
      <c r="AP33" s="13" t="n">
        <f aca="false">Construction!AP14*AP28*(Construction!AP17+Inputs!$F$79)/100*Construction!AP11/Inputs!$F$247*1</f>
        <v>0.202255206671348</v>
      </c>
      <c r="AQ33" s="13" t="n">
        <f aca="false">Construction!AQ14*AQ28*(Construction!AQ17+Inputs!$F$79)/100*Construction!AQ11/Inputs!$F$247*1</f>
        <v>0.21314733567768</v>
      </c>
      <c r="AR33" s="13" t="n">
        <f aca="false">Construction!AR14*AR28*(Construction!AR17+Inputs!$F$79)/100*Construction!AR11/Inputs!$F$247*1</f>
        <v>0.212027875074476</v>
      </c>
      <c r="AS33" s="13" t="n">
        <f aca="false">Construction!AS14*AS28*(Construction!AS17+Inputs!$F$79)/100*Construction!AS11/Inputs!$F$247*1</f>
        <v>0.211491402852019</v>
      </c>
      <c r="AT33" s="13" t="n">
        <f aca="false">Construction!AT14*AT28*(Construction!AT17+Inputs!$F$79)/100*Construction!AT11/Inputs!$F$247*1</f>
        <v>0.215579419059358</v>
      </c>
      <c r="AU33" s="13" t="n">
        <f aca="false">Construction!AU14*AU28*(Construction!AU17+Inputs!$F$79)/100*Construction!AU11/Inputs!$F$247*1</f>
        <v>0.211923887693369</v>
      </c>
      <c r="AV33" s="13" t="n">
        <f aca="false">Construction!AV14*AV28*(Construction!AV17+Inputs!$F$79)/100*Construction!AV11/Inputs!$F$247*1</f>
        <v>0.222844898352559</v>
      </c>
      <c r="AW33" s="13" t="n">
        <f aca="false">Construction!AW14*AW28*(Construction!AW17+Inputs!$F$79)/100*Construction!AW11/Inputs!$F$247*1</f>
        <v>0.218628425769669</v>
      </c>
      <c r="AX33" s="13" t="n">
        <f aca="false">Construction!AX14*AX28*(Construction!AX17+Inputs!$F$79)/100*Construction!AX11/Inputs!$F$247*1</f>
        <v>0.245125376559069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10.6735106344236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0.101775216176477</v>
      </c>
      <c r="L34" s="13" t="n">
        <f aca="false">Construction!L14*L29*(Construction!L17+Inputs!$F$80)/100*Construction!L11/Inputs!$F$247*1</f>
        <v>0.107309603605456</v>
      </c>
      <c r="M34" s="13" t="n">
        <f aca="false">Construction!M14*M29*(Construction!M17+Inputs!$F$80)/100*Construction!M11/Inputs!$F$247*1</f>
        <v>0.106326415073078</v>
      </c>
      <c r="N34" s="13" t="n">
        <f aca="false">Construction!N14*N29*(Construction!N17+Inputs!$F$80)/100*Construction!N11/Inputs!$F$247*1</f>
        <v>0.113131283530447</v>
      </c>
      <c r="O34" s="13" t="n">
        <f aca="false">Construction!O14*O29*(Construction!O17+Inputs!$F$80)/100*Construction!O11/Inputs!$F$247*1</f>
        <v>0.124072496461407</v>
      </c>
      <c r="P34" s="13" t="n">
        <f aca="false">Construction!P14*P29*(Construction!P17+Inputs!$F$80)/100*Construction!P11/Inputs!$F$247*1</f>
        <v>0.117311734183648</v>
      </c>
      <c r="Q34" s="13" t="n">
        <f aca="false">Construction!Q14*Q29*(Construction!Q17+Inputs!$F$80)/100*Construction!Q11/Inputs!$F$247*1</f>
        <v>0.13706461311905</v>
      </c>
      <c r="R34" s="13" t="n">
        <f aca="false">Construction!R14*R29*(Construction!R17+Inputs!$F$80)/100*Construction!R11/Inputs!$F$247*1</f>
        <v>0.141202782769974</v>
      </c>
      <c r="S34" s="13" t="n">
        <f aca="false">Construction!S14*S29*(Construction!S17+Inputs!$F$80)/100*Construction!S11/Inputs!$F$247*1</f>
        <v>0.156385475225778</v>
      </c>
      <c r="T34" s="13" t="n">
        <f aca="false">Construction!T14*T29*(Construction!T17+Inputs!$F$80)/100*Construction!T11/Inputs!$F$247*1</f>
        <v>0.163143839367581</v>
      </c>
      <c r="U34" s="13" t="n">
        <f aca="false">Construction!U14*U29*(Construction!U17+Inputs!$F$80)/100*Construction!U11/Inputs!$F$247*1</f>
        <v>0.163673885821513</v>
      </c>
      <c r="V34" s="13" t="n">
        <f aca="false">Construction!V14*V29*(Construction!V17+Inputs!$F$80)/100*Construction!V11/Inputs!$F$247*1</f>
        <v>0.177576275642354</v>
      </c>
      <c r="W34" s="13" t="n">
        <f aca="false">Construction!W14*W29*(Construction!W17+Inputs!$F$80)/100*Construction!W11/Inputs!$F$247*1</f>
        <v>0.186665535139494</v>
      </c>
      <c r="X34" s="13" t="n">
        <f aca="false">Construction!X14*X29*(Construction!X17+Inputs!$F$80)/100*Construction!X11/Inputs!$F$247*1</f>
        <v>0.209486319731914</v>
      </c>
      <c r="Y34" s="13" t="n">
        <f aca="false">Construction!Y14*Y29*(Construction!Y17+Inputs!$F$80)/100*Construction!Y11/Inputs!$F$247*1</f>
        <v>0.219976272421697</v>
      </c>
      <c r="Z34" s="13" t="n">
        <f aca="false">Construction!Z14*Z29*(Construction!Z17+Inputs!$F$80)/100*Construction!Z11/Inputs!$F$247*1</f>
        <v>0.246159944552236</v>
      </c>
      <c r="AA34" s="13" t="n">
        <f aca="false">Construction!AA14*AA29*(Construction!AA17+Inputs!$F$80)/100*Construction!AA11/Inputs!$F$247*1</f>
        <v>0.25275913575765</v>
      </c>
      <c r="AB34" s="13" t="n">
        <f aca="false">Construction!AB14*AB29*(Construction!AB17+Inputs!$F$80)/100*Construction!AB11/Inputs!$F$247*1</f>
        <v>0.255533320634806</v>
      </c>
      <c r="AC34" s="13" t="n">
        <f aca="false">Construction!AC14*AC29*(Construction!AC17+Inputs!$F$80)/100*Construction!AC11/Inputs!$F$247*1</f>
        <v>0.29310421176268</v>
      </c>
      <c r="AD34" s="13" t="n">
        <f aca="false">Construction!AD14*AD29*(Construction!AD17+Inputs!$F$80)/100*Construction!AD11/Inputs!$F$247*1</f>
        <v>0.303345207989181</v>
      </c>
      <c r="AE34" s="13" t="n">
        <f aca="false">Construction!AE14*AE29*(Construction!AE17+Inputs!$F$80)/100*Construction!AE11/Inputs!$F$247*1</f>
        <v>0.334205620177407</v>
      </c>
      <c r="AF34" s="13" t="n">
        <f aca="false">Construction!AF14*AF29*(Construction!AF17+Inputs!$F$80)/100*Construction!AF11/Inputs!$F$247*1</f>
        <v>0.34351022057159</v>
      </c>
      <c r="AG34" s="13" t="n">
        <f aca="false">Construction!AG14*AG29*(Construction!AG17+Inputs!$F$80)/100*Construction!AG11/Inputs!$F$247*1</f>
        <v>0.271469197532478</v>
      </c>
      <c r="AH34" s="13" t="n">
        <f aca="false">Construction!AH14*AH29*(Construction!AH17+Inputs!$F$80)/100*Construction!AH11/Inputs!$F$247*1</f>
        <v>0.286022521762633</v>
      </c>
      <c r="AI34" s="13" t="n">
        <f aca="false">Construction!AI14*AI29*(Construction!AI17+Inputs!$F$80)/100*Construction!AI11/Inputs!$F$247*1</f>
        <v>0.290477028907302</v>
      </c>
      <c r="AJ34" s="13" t="n">
        <f aca="false">Construction!AJ14*AJ29*(Construction!AJ17+Inputs!$F$80)/100*Construction!AJ11/Inputs!$F$247*1</f>
        <v>0.31373173324867</v>
      </c>
      <c r="AK34" s="13" t="n">
        <f aca="false">Construction!AK14*AK29*(Construction!AK17+Inputs!$F$80)/100*Construction!AK11/Inputs!$F$247*1</f>
        <v>0.317024005025313</v>
      </c>
      <c r="AL34" s="13" t="n">
        <f aca="false">Construction!AL14*AL29*(Construction!AL17+Inputs!$F$80)/100*Construction!AL11/Inputs!$F$247*1</f>
        <v>0.340677354163101</v>
      </c>
      <c r="AM34" s="13" t="n">
        <f aca="false">Construction!AM14*AM29*(Construction!AM17+Inputs!$F$80)/100*Construction!AM11/Inputs!$F$247*1</f>
        <v>0.342428636150205</v>
      </c>
      <c r="AN34" s="13" t="n">
        <f aca="false">Construction!AN14*AN29*(Construction!AN17+Inputs!$F$80)/100*Construction!AN11/Inputs!$F$247*1</f>
        <v>0.31953707687558</v>
      </c>
      <c r="AO34" s="13" t="n">
        <f aca="false">Construction!AO14*AO29*(Construction!AO17+Inputs!$F$80)/100*Construction!AO11/Inputs!$F$247*1</f>
        <v>0.364105052653881</v>
      </c>
      <c r="AP34" s="13" t="n">
        <f aca="false">Construction!AP14*AP29*(Construction!AP17+Inputs!$F$80)/100*Construction!AP11/Inputs!$F$247*1</f>
        <v>0.361531181925035</v>
      </c>
      <c r="AQ34" s="13" t="n">
        <f aca="false">Construction!AQ14*AQ29*(Construction!AQ17+Inputs!$F$80)/100*Construction!AQ11/Inputs!$F$247*1</f>
        <v>0.381000862523852</v>
      </c>
      <c r="AR34" s="13" t="n">
        <f aca="false">Construction!AR14*AR29*(Construction!AR17+Inputs!$F$80)/100*Construction!AR11/Inputs!$F$247*1</f>
        <v>0.378999826695627</v>
      </c>
      <c r="AS34" s="13" t="n">
        <f aca="false">Construction!AS14*AS29*(Construction!AS17+Inputs!$F$80)/100*Construction!AS11/Inputs!$F$247*1</f>
        <v>0.39132912554208</v>
      </c>
      <c r="AT34" s="13" t="n">
        <f aca="false">Construction!AT14*AT29*(Construction!AT17+Inputs!$F$80)/100*Construction!AT11/Inputs!$F$247*1</f>
        <v>0.398893309173408</v>
      </c>
      <c r="AU34" s="13" t="n">
        <f aca="false">Construction!AU14*AU29*(Construction!AU17+Inputs!$F$80)/100*Construction!AU11/Inputs!$F$247*1</f>
        <v>0.392129365705479</v>
      </c>
      <c r="AV34" s="13" t="n">
        <f aca="false">Construction!AV14*AV29*(Construction!AV17+Inputs!$F$80)/100*Construction!AV11/Inputs!$F$247*1</f>
        <v>0.412336851653675</v>
      </c>
      <c r="AW34" s="13" t="n">
        <f aca="false">Construction!AW14*AW29*(Construction!AW17+Inputs!$F$80)/100*Construction!AW11/Inputs!$F$247*1</f>
        <v>0.404534981192356</v>
      </c>
      <c r="AX34" s="13" t="n">
        <f aca="false">Construction!AX14*AX29*(Construction!AX17+Inputs!$F$80)/100*Construction!AX11/Inputs!$F$247*1</f>
        <v>0.45356311397751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4.58210546597969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0.0443870104438442</v>
      </c>
      <c r="L35" s="13" t="n">
        <f aca="false">Construction!L14*L30*(Construction!L17+Inputs!$F$81)/100*Construction!L11/Inputs!$F$247*1</f>
        <v>0.0468007111643069</v>
      </c>
      <c r="M35" s="13" t="n">
        <f aca="false">Construction!M14*M30*(Construction!M17+Inputs!$F$81)/100*Construction!M11/Inputs!$F$247*1</f>
        <v>0.0463719152226772</v>
      </c>
      <c r="N35" s="13" t="n">
        <f aca="false">Construction!N14*N30*(Construction!N17+Inputs!$F$81)/100*Construction!N11/Inputs!$F$247*1</f>
        <v>0.0493397081553151</v>
      </c>
      <c r="O35" s="13" t="n">
        <f aca="false">Construction!O14*O30*(Construction!O17+Inputs!$F$81)/100*Construction!O11/Inputs!$F$247*1</f>
        <v>0.0542341433918729</v>
      </c>
      <c r="P35" s="13" t="n">
        <f aca="false">Construction!P14*P30*(Construction!P17+Inputs!$F$81)/100*Construction!P11/Inputs!$F$247*1</f>
        <v>0.0512789022121772</v>
      </c>
      <c r="Q35" s="13" t="n">
        <f aca="false">Construction!Q14*Q30*(Construction!Q17+Inputs!$F$81)/100*Construction!Q11/Inputs!$F$247*1</f>
        <v>0.0599132127897687</v>
      </c>
      <c r="R35" s="13" t="n">
        <f aca="false">Construction!R14*R30*(Construction!R17+Inputs!$F$81)/100*Construction!R11/Inputs!$F$247*1</f>
        <v>0.0617220752905563</v>
      </c>
      <c r="S35" s="13" t="n">
        <f aca="false">Construction!S14*S30*(Construction!S17+Inputs!$F$81)/100*Construction!S11/Inputs!$F$247*1</f>
        <v>0.0683586816554397</v>
      </c>
      <c r="T35" s="13" t="n">
        <f aca="false">Construction!T14*T30*(Construction!T17+Inputs!$F$81)/100*Construction!T11/Inputs!$F$247*1</f>
        <v>0.0713128745701852</v>
      </c>
      <c r="U35" s="13" t="n">
        <f aca="false">Construction!U14*U30*(Construction!U17+Inputs!$F$81)/100*Construction!U11/Inputs!$F$247*1</f>
        <v>0.0712178524165091</v>
      </c>
      <c r="V35" s="13" t="n">
        <f aca="false">Construction!V14*V30*(Construction!V17+Inputs!$F$81)/100*Construction!V11/Inputs!$F$247*1</f>
        <v>0.0772670663245674</v>
      </c>
      <c r="W35" s="13" t="n">
        <f aca="false">Construction!W14*W30*(Construction!W17+Inputs!$F$81)/100*Construction!W11/Inputs!$F$247*1</f>
        <v>0.0812219888718854</v>
      </c>
      <c r="X35" s="13" t="n">
        <f aca="false">Construction!X14*X30*(Construction!X17+Inputs!$F$81)/100*Construction!X11/Inputs!$F$247*1</f>
        <v>0.0911517785935291</v>
      </c>
      <c r="Y35" s="13" t="n">
        <f aca="false">Construction!Y14*Y30*(Construction!Y17+Inputs!$F$81)/100*Construction!Y11/Inputs!$F$247*1</f>
        <v>0.0957161713723001</v>
      </c>
      <c r="Z35" s="13" t="n">
        <f aca="false">Construction!Z14*Z30*(Construction!Z17+Inputs!$F$81)/100*Construction!Z11/Inputs!$F$247*1</f>
        <v>0.107109222182791</v>
      </c>
      <c r="AA35" s="13" t="n">
        <f aca="false">Construction!AA14*AA30*(Construction!AA17+Inputs!$F$81)/100*Construction!AA11/Inputs!$F$247*1</f>
        <v>0.109724575774454</v>
      </c>
      <c r="AB35" s="13" t="n">
        <f aca="false">Construction!AB14*AB30*(Construction!AB17+Inputs!$F$81)/100*Construction!AB11/Inputs!$F$247*1</f>
        <v>0.11092886956923</v>
      </c>
      <c r="AC35" s="13" t="n">
        <f aca="false">Construction!AC14*AC30*(Construction!AC17+Inputs!$F$81)/100*Construction!AC11/Inputs!$F$247*1</f>
        <v>0.12723866615924</v>
      </c>
      <c r="AD35" s="13" t="n">
        <f aca="false">Construction!AD14*AD30*(Construction!AD17+Inputs!$F$81)/100*Construction!AD11/Inputs!$F$247*1</f>
        <v>0.13168435696718</v>
      </c>
      <c r="AE35" s="13" t="n">
        <f aca="false">Construction!AE14*AE30*(Construction!AE17+Inputs!$F$81)/100*Construction!AE11/Inputs!$F$247*1</f>
        <v>0.145081085933783</v>
      </c>
      <c r="AF35" s="13" t="n">
        <f aca="false">Construction!AF14*AF30*(Construction!AF17+Inputs!$F$81)/100*Construction!AF11/Inputs!$F$247*1</f>
        <v>0.14912028051301</v>
      </c>
      <c r="AG35" s="13" t="n">
        <f aca="false">Construction!AG14*AG30*(Construction!AG17+Inputs!$F$81)/100*Construction!AG11/Inputs!$F$247*1</f>
        <v>0.115721265795731</v>
      </c>
      <c r="AH35" s="13" t="n">
        <f aca="false">Construction!AH14*AH30*(Construction!AH17+Inputs!$F$81)/100*Construction!AH11/Inputs!$F$247*1</f>
        <v>0.121925023410801</v>
      </c>
      <c r="AI35" s="13" t="n">
        <f aca="false">Construction!AI14*AI30*(Construction!AI17+Inputs!$F$81)/100*Construction!AI11/Inputs!$F$247*1</f>
        <v>0.123823880481742</v>
      </c>
      <c r="AJ35" s="13" t="n">
        <f aca="false">Construction!AJ14*AJ30*(Construction!AJ17+Inputs!$F$81)/100*Construction!AJ11/Inputs!$F$247*1</f>
        <v>0.133736842418304</v>
      </c>
      <c r="AK35" s="13" t="n">
        <f aca="false">Construction!AK14*AK30*(Construction!AK17+Inputs!$F$81)/100*Construction!AK11/Inputs!$F$247*1</f>
        <v>0.135140264466919</v>
      </c>
      <c r="AL35" s="13" t="n">
        <f aca="false">Construction!AL14*AL30*(Construction!AL17+Inputs!$F$81)/100*Construction!AL11/Inputs!$F$247*1</f>
        <v>0.145223159791372</v>
      </c>
      <c r="AM35" s="13" t="n">
        <f aca="false">Construction!AM14*AM30*(Construction!AM17+Inputs!$F$81)/100*Construction!AM11/Inputs!$F$247*1</f>
        <v>0.145671855704924</v>
      </c>
      <c r="AN35" s="13" t="n">
        <f aca="false">Construction!AN14*AN30*(Construction!AN17+Inputs!$F$81)/100*Construction!AN11/Inputs!$F$247*1</f>
        <v>0.135933604964553</v>
      </c>
      <c r="AO35" s="13" t="n">
        <f aca="false">Construction!AO14*AO30*(Construction!AO17+Inputs!$F$81)/100*Construction!AO11/Inputs!$F$247*1</f>
        <v>0.154893175080031</v>
      </c>
      <c r="AP35" s="13" t="n">
        <f aca="false">Construction!AP14*AP30*(Construction!AP17+Inputs!$F$81)/100*Construction!AP11/Inputs!$F$247*1</f>
        <v>0.153798230073004</v>
      </c>
      <c r="AQ35" s="13" t="n">
        <f aca="false">Construction!AQ14*AQ30*(Construction!AQ17+Inputs!$F$81)/100*Construction!AQ11/Inputs!$F$247*1</f>
        <v>0.162080786504902</v>
      </c>
      <c r="AR35" s="13" t="n">
        <f aca="false">Construction!AR14*AR30*(Construction!AR17+Inputs!$F$81)/100*Construction!AR11/Inputs!$F$247*1</f>
        <v>0.16122953000455</v>
      </c>
      <c r="AS35" s="13" t="n">
        <f aca="false">Construction!AS14*AS30*(Construction!AS17+Inputs!$F$81)/100*Construction!AS11/Inputs!$F$247*1</f>
        <v>0.166205164272227</v>
      </c>
      <c r="AT35" s="13" t="n">
        <f aca="false">Construction!AT14*AT30*(Construction!AT17+Inputs!$F$81)/100*Construction!AT11/Inputs!$F$247*1</f>
        <v>0.169417821600732</v>
      </c>
      <c r="AU35" s="13" t="n">
        <f aca="false">Construction!AU14*AU30*(Construction!AU17+Inputs!$F$81)/100*Construction!AU11/Inputs!$F$247*1</f>
        <v>0.166545041984193</v>
      </c>
      <c r="AV35" s="13" t="n">
        <f aca="false">Construction!AV14*AV30*(Construction!AV17+Inputs!$F$81)/100*Construction!AV11/Inputs!$F$247*1</f>
        <v>0.175127558087221</v>
      </c>
      <c r="AW35" s="13" t="n">
        <f aca="false">Construction!AW14*AW30*(Construction!AW17+Inputs!$F$81)/100*Construction!AW11/Inputs!$F$247*1</f>
        <v>0.171813950494486</v>
      </c>
      <c r="AX35" s="13" t="n">
        <f aca="false">Construction!AX14*AX30*(Construction!AX17+Inputs!$F$81)/100*Construction!AX11/Inputs!$F$247*1</f>
        <v>0.192637161269379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22.5326414637397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0.209572003514517</v>
      </c>
      <c r="L36" s="13" t="n">
        <f aca="false">Construction!L14*L31*(Construction!L17+Inputs!$F$82)/100*Construction!L11/Inputs!$F$247*(1/(1-Inputs!$F$93/100))</f>
        <v>0.220968222606852</v>
      </c>
      <c r="M36" s="13" t="n">
        <f aca="false">Construction!M14*M31*(Construction!M17+Inputs!$F$82)/100*Construction!M11/Inputs!$F$247*(1/(1-Inputs!$F$93/100))</f>
        <v>0.218943674801364</v>
      </c>
      <c r="N36" s="13" t="n">
        <f aca="false">Construction!N14*N31*(Construction!N17+Inputs!$F$82)/100*Construction!N11/Inputs!$F$247*(1/(1-Inputs!$F$93/100))</f>
        <v>0.232956024466049</v>
      </c>
      <c r="O36" s="13" t="n">
        <f aca="false">Construction!O14*O31*(Construction!O17+Inputs!$F$82)/100*Construction!O11/Inputs!$F$247*(1/(1-Inputs!$F$93/100))</f>
        <v>0.254553521509329</v>
      </c>
      <c r="P36" s="13" t="n">
        <f aca="false">Construction!P14*P31*(Construction!P17+Inputs!$F$82)/100*Construction!P11/Inputs!$F$247*(1/(1-Inputs!$F$93/100))</f>
        <v>0.240682793548064</v>
      </c>
      <c r="Q36" s="13" t="n">
        <f aca="false">Construction!Q14*Q31*(Construction!Q17+Inputs!$F$82)/100*Construction!Q11/Inputs!$F$247*(1/(1-Inputs!$F$93/100))</f>
        <v>0.28120881693245</v>
      </c>
      <c r="R36" s="13" t="n">
        <f aca="false">Construction!R14*R31*(Construction!R17+Inputs!$F$82)/100*Construction!R11/Inputs!$F$247*(1/(1-Inputs!$F$93/100))</f>
        <v>0.289698898838503</v>
      </c>
      <c r="S36" s="13" t="n">
        <f aca="false">Construction!S14*S31*(Construction!S17+Inputs!$F$82)/100*Construction!S11/Inputs!$F$247*(1/(1-Inputs!$F$93/100))</f>
        <v>0.320848492349101</v>
      </c>
      <c r="T36" s="13" t="n">
        <f aca="false">Construction!T14*T31*(Construction!T17+Inputs!$F$82)/100*Construction!T11/Inputs!$F$247*(1/(1-Inputs!$F$93/100))</f>
        <v>0.334714300171172</v>
      </c>
      <c r="U36" s="13" t="n">
        <f aca="false">Construction!U14*U31*(Construction!U17+Inputs!$F$82)/100*Construction!U11/Inputs!$F$247*(1/(1-Inputs!$F$93/100))</f>
        <v>0.338284798978418</v>
      </c>
      <c r="V36" s="13" t="n">
        <f aca="false">Construction!V14*V31*(Construction!V17+Inputs!$F$82)/100*Construction!V11/Inputs!$F$247*(1/(1-Inputs!$F$93/100))</f>
        <v>0.367018565041696</v>
      </c>
      <c r="W36" s="13" t="n">
        <f aca="false">Construction!W14*W31*(Construction!W17+Inputs!$F$82)/100*Construction!W11/Inputs!$F$247*(1/(1-Inputs!$F$93/100))</f>
        <v>0.385804447141456</v>
      </c>
      <c r="X36" s="13" t="n">
        <f aca="false">Construction!X14*X31*(Construction!X17+Inputs!$F$82)/100*Construction!X11/Inputs!$F$247*(1/(1-Inputs!$F$93/100))</f>
        <v>0.432970948319263</v>
      </c>
      <c r="Y36" s="13" t="n">
        <f aca="false">Construction!Y14*Y31*(Construction!Y17+Inputs!$F$82)/100*Construction!Y11/Inputs!$F$247*(1/(1-Inputs!$F$93/100))</f>
        <v>0.454651814018426</v>
      </c>
      <c r="Z36" s="13" t="n">
        <f aca="false">Construction!Z14*Z31*(Construction!Z17+Inputs!$F$82)/100*Construction!Z11/Inputs!$F$247*(1/(1-Inputs!$F$93/100))</f>
        <v>0.508768805368258</v>
      </c>
      <c r="AA36" s="13" t="n">
        <f aca="false">Construction!AA14*AA31*(Construction!AA17+Inputs!$F$82)/100*Construction!AA11/Inputs!$F$247*(1/(1-Inputs!$F$93/100))</f>
        <v>0.524354438488591</v>
      </c>
      <c r="AB36" s="13" t="n">
        <f aca="false">Construction!AB14*AB31*(Construction!AB17+Inputs!$F$82)/100*Construction!AB11/Inputs!$F$247*(1/(1-Inputs!$F$93/100))</f>
        <v>0.530109546604326</v>
      </c>
      <c r="AC36" s="13" t="n">
        <f aca="false">Construction!AC14*AC31*(Construction!AC17+Inputs!$F$82)/100*Construction!AC11/Inputs!$F$247*(1/(1-Inputs!$F$93/100))</f>
        <v>0.608051194338718</v>
      </c>
      <c r="AD36" s="13" t="n">
        <f aca="false">Construction!AD14*AD31*(Construction!AD17+Inputs!$F$82)/100*Construction!AD11/Inputs!$F$247*(1/(1-Inputs!$F$93/100))</f>
        <v>0.629296368365027</v>
      </c>
      <c r="AE36" s="13" t="n">
        <f aca="false">Construction!AE14*AE31*(Construction!AE17+Inputs!$F$82)/100*Construction!AE11/Inputs!$F$247*(1/(1-Inputs!$F$93/100))</f>
        <v>0.69331697856366</v>
      </c>
      <c r="AF36" s="13" t="n">
        <f aca="false">Construction!AF14*AF31*(Construction!AF17+Inputs!$F$82)/100*Construction!AF11/Inputs!$F$247*(1/(1-Inputs!$F$93/100))</f>
        <v>0.712619578647443</v>
      </c>
      <c r="AG36" s="13" t="n">
        <f aca="false">Construction!AG14*AG31*(Construction!AG17+Inputs!$F$82)/100*Construction!AG11/Inputs!$F$247*(1/(1-Inputs!$F$93/100))</f>
        <v>0.579322552551217</v>
      </c>
      <c r="AH36" s="13" t="n">
        <f aca="false">Construction!AH14*AH31*(Construction!AH17+Inputs!$F$82)/100*Construction!AH11/Inputs!$F$247*(1/(1-Inputs!$F$93/100))</f>
        <v>0.610379737004382</v>
      </c>
      <c r="AI36" s="13" t="n">
        <f aca="false">Construction!AI14*AI31*(Construction!AI17+Inputs!$F$82)/100*Construction!AI11/Inputs!$F$247*(1/(1-Inputs!$F$93/100))</f>
        <v>0.619885774790118</v>
      </c>
      <c r="AJ36" s="13" t="n">
        <f aca="false">Construction!AJ14*AJ31*(Construction!AJ17+Inputs!$F$82)/100*Construction!AJ11/Inputs!$F$247*(1/(1-Inputs!$F$93/100))</f>
        <v>0.669511937906666</v>
      </c>
      <c r="AK36" s="13" t="n">
        <f aca="false">Construction!AK14*AK31*(Construction!AK17+Inputs!$F$82)/100*Construction!AK11/Inputs!$F$247*(1/(1-Inputs!$F$93/100))</f>
        <v>0.676537734227846</v>
      </c>
      <c r="AL36" s="13" t="n">
        <f aca="false">Construction!AL14*AL31*(Construction!AL17+Inputs!$F$82)/100*Construction!AL11/Inputs!$F$247*(1/(1-Inputs!$F$93/100))</f>
        <v>0.727014616037796</v>
      </c>
      <c r="AM36" s="13" t="n">
        <f aca="false">Construction!AM14*AM31*(Construction!AM17+Inputs!$F$82)/100*Construction!AM11/Inputs!$F$247*(1/(1-Inputs!$F$93/100))</f>
        <v>0.733015456560851</v>
      </c>
      <c r="AN36" s="13" t="n">
        <f aca="false">Construction!AN14*AN31*(Construction!AN17+Inputs!$F$82)/100*Construction!AN11/Inputs!$F$247*(1/(1-Inputs!$F$93/100))</f>
        <v>0.684012934570491</v>
      </c>
      <c r="AO36" s="13" t="n">
        <f aca="false">Construction!AO14*AO31*(Construction!AO17+Inputs!$F$82)/100*Construction!AO11/Inputs!$F$247*(1/(1-Inputs!$F$93/100))</f>
        <v>0.77941679880454</v>
      </c>
      <c r="AP36" s="13" t="n">
        <f aca="false">Construction!AP14*AP31*(Construction!AP17+Inputs!$F$82)/100*Construction!AP11/Inputs!$F$247*(1/(1-Inputs!$F$93/100))</f>
        <v>0.773907075527173</v>
      </c>
      <c r="AQ36" s="13" t="n">
        <f aca="false">Construction!AQ14*AQ31*(Construction!AQ17+Inputs!$F$82)/100*Construction!AQ11/Inputs!$F$247*(1/(1-Inputs!$F$93/100))</f>
        <v>0.815584596933343</v>
      </c>
      <c r="AR36" s="13" t="n">
        <f aca="false">Construction!AR14*AR31*(Construction!AR17+Inputs!$F$82)/100*Construction!AR11/Inputs!$F$247*(1/(1-Inputs!$F$93/100))</f>
        <v>0.811301105319698</v>
      </c>
      <c r="AS36" s="13" t="n">
        <f aca="false">Construction!AS14*AS31*(Construction!AS17+Inputs!$F$82)/100*Construction!AS11/Inputs!$F$247*(1/(1-Inputs!$F$93/100))</f>
        <v>0.839740698888516</v>
      </c>
      <c r="AT36" s="13" t="n">
        <f aca="false">Construction!AT14*AT31*(Construction!AT17+Inputs!$F$82)/100*Construction!AT11/Inputs!$F$247*(1/(1-Inputs!$F$93/100))</f>
        <v>0.85597243947336</v>
      </c>
      <c r="AU36" s="13" t="n">
        <f aca="false">Construction!AU14*AU31*(Construction!AU17+Inputs!$F$82)/100*Construction!AU11/Inputs!$F$247*(1/(1-Inputs!$F$93/100))</f>
        <v>0.841457908751597</v>
      </c>
      <c r="AV36" s="13" t="n">
        <f aca="false">Construction!AV14*AV31*(Construction!AV17+Inputs!$F$82)/100*Construction!AV11/Inputs!$F$247*(1/(1-Inputs!$F$93/100))</f>
        <v>0.88482050883768</v>
      </c>
      <c r="AW36" s="13" t="n">
        <f aca="false">Construction!AW14*AW31*(Construction!AW17+Inputs!$F$82)/100*Construction!AW11/Inputs!$F$247*(1/(1-Inputs!$F$93/100))</f>
        <v>0.868078723659409</v>
      </c>
      <c r="AX36" s="13" t="n">
        <f aca="false">Construction!AX14*AX31*(Construction!AX17+Inputs!$F$82)/100*Construction!AX11/Inputs!$F$247*(1/(1-Inputs!$F$93/100))</f>
        <v>0.973286631282369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4.18154403631762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0.0290849131558821</v>
      </c>
      <c r="L38" s="13" t="n">
        <f aca="false">Construction!L14*(Inputs!$F$95/100*Inputs!$F$96/100)*L31*Construction!L11/Inputs!$F$248</f>
        <v>0.0306665082022024</v>
      </c>
      <c r="M38" s="13" t="n">
        <f aca="false">Construction!M14*(Inputs!$F$95/100*Inputs!$F$96/100)*M31*Construction!M11/Inputs!$F$248</f>
        <v>0.0303855365260479</v>
      </c>
      <c r="N38" s="13" t="n">
        <f aca="false">Construction!N14*(Inputs!$F$95/100*Inputs!$F$96/100)*N31*Construction!N11/Inputs!$F$248</f>
        <v>0.0323302045459772</v>
      </c>
      <c r="O38" s="13" t="n">
        <f aca="false">Construction!O14*(Inputs!$F$95/100*Inputs!$F$96/100)*O31*Construction!O11/Inputs!$F$248</f>
        <v>0.0335535771321076</v>
      </c>
      <c r="P38" s="13" t="n">
        <f aca="false">Construction!P14*(Inputs!$F$95/100*Inputs!$F$96/100)*P31*Construction!P11/Inputs!$F$248</f>
        <v>0.0317252286662636</v>
      </c>
      <c r="Q38" s="13" t="n">
        <f aca="false">Construction!Q14*(Inputs!$F$95/100*Inputs!$F$96/100)*Q31*Construction!Q11/Inputs!$F$248</f>
        <v>0.0370671035043052</v>
      </c>
      <c r="R38" s="13" t="n">
        <f aca="false">Construction!R14*(Inputs!$F$95/100*Inputs!$F$96/100)*R31*Construction!R11/Inputs!$F$248</f>
        <v>0.0381862104661873</v>
      </c>
      <c r="S38" s="13" t="n">
        <f aca="false">Construction!S14*(Inputs!$F$95/100*Inputs!$F$96/100)*S31*Construction!S11/Inputs!$F$248</f>
        <v>0.0422921457614228</v>
      </c>
      <c r="T38" s="13" t="n">
        <f aca="false">Construction!T14*(Inputs!$F$95/100*Inputs!$F$96/100)*T31*Construction!T11/Inputs!$F$248</f>
        <v>0.0441198456867596</v>
      </c>
      <c r="U38" s="13" t="n">
        <f aca="false">Construction!U14*(Inputs!$F$95/100*Inputs!$F$96/100)*U31*Construction!U11/Inputs!$F$248</f>
        <v>0.0493326481797881</v>
      </c>
      <c r="V38" s="13" t="n">
        <f aca="false">Construction!V14*(Inputs!$F$95/100*Inputs!$F$96/100)*V31*Construction!V11/Inputs!$F$248</f>
        <v>0.0535229422052978</v>
      </c>
      <c r="W38" s="13" t="n">
        <f aca="false">Construction!W14*(Inputs!$F$95/100*Inputs!$F$96/100)*W31*Construction!W11/Inputs!$F$248</f>
        <v>0.0562625193756972</v>
      </c>
      <c r="X38" s="13" t="n">
        <f aca="false">Construction!X14*(Inputs!$F$95/100*Inputs!$F$96/100)*X31*Construction!X11/Inputs!$F$248</f>
        <v>0.063140890545502</v>
      </c>
      <c r="Y38" s="13" t="n">
        <f aca="false">Construction!Y14*(Inputs!$F$95/100*Inputs!$F$96/100)*Y31*Construction!Y11/Inputs!$F$248</f>
        <v>0.0663026481030393</v>
      </c>
      <c r="Z38" s="13" t="n">
        <f aca="false">Construction!Z14*(Inputs!$F$95/100*Inputs!$F$96/100)*Z31*Construction!Z11/Inputs!$F$248</f>
        <v>0.074194621088146</v>
      </c>
      <c r="AA38" s="13" t="n">
        <f aca="false">Construction!AA14*(Inputs!$F$95/100*Inputs!$F$96/100)*AA31*Construction!AA11/Inputs!$F$248</f>
        <v>0.0801572800596103</v>
      </c>
      <c r="AB38" s="13" t="n">
        <f aca="false">Construction!AB14*(Inputs!$F$95/100*Inputs!$F$96/100)*AB31*Construction!AB11/Inputs!$F$248</f>
        <v>0.0810370548438878</v>
      </c>
      <c r="AC38" s="13" t="n">
        <f aca="false">Construction!AC14*(Inputs!$F$95/100*Inputs!$F$96/100)*AC31*Construction!AC11/Inputs!$F$248</f>
        <v>0.0929518781526432</v>
      </c>
      <c r="AD38" s="13" t="n">
        <f aca="false">Construction!AD14*(Inputs!$F$95/100*Inputs!$F$96/100)*AD31*Construction!AD11/Inputs!$F$248</f>
        <v>0.0961995961833146</v>
      </c>
      <c r="AE38" s="13" t="n">
        <f aca="false">Construction!AE14*(Inputs!$F$95/100*Inputs!$F$96/100)*AE31*Construction!AE11/Inputs!$F$248</f>
        <v>0.105986331270502</v>
      </c>
      <c r="AF38" s="13" t="n">
        <f aca="false">Construction!AF14*(Inputs!$F$95/100*Inputs!$F$96/100)*AF31*Construction!AF11/Inputs!$F$248</f>
        <v>0.10893709092318</v>
      </c>
      <c r="AG38" s="13" t="n">
        <f aca="false">Construction!AG14*(Inputs!$F$95/100*Inputs!$F$96/100)*AG31*Construction!AG11/Inputs!$F$248</f>
        <v>0.119070837407695</v>
      </c>
      <c r="AH38" s="13" t="n">
        <f aca="false">Construction!AH14*(Inputs!$F$95/100*Inputs!$F$96/100)*AH31*Construction!AH11/Inputs!$F$248</f>
        <v>0.12545416383626</v>
      </c>
      <c r="AI38" s="13" t="n">
        <f aca="false">Construction!AI14*(Inputs!$F$95/100*Inputs!$F$96/100)*AI31*Construction!AI11/Inputs!$F$248</f>
        <v>0.127407983646298</v>
      </c>
      <c r="AJ38" s="13" t="n">
        <f aca="false">Construction!AJ14*(Inputs!$F$95/100*Inputs!$F$96/100)*AJ31*Construction!AJ11/Inputs!$F$248</f>
        <v>0.137607877942828</v>
      </c>
      <c r="AK38" s="13" t="n">
        <f aca="false">Construction!AK14*(Inputs!$F$95/100*Inputs!$F$96/100)*AK31*Construction!AK11/Inputs!$F$248</f>
        <v>0.13905192228002</v>
      </c>
      <c r="AL38" s="13" t="n">
        <f aca="false">Construction!AL14*(Inputs!$F$95/100*Inputs!$F$96/100)*AL31*Construction!AL11/Inputs!$F$248</f>
        <v>0.149426668715096</v>
      </c>
      <c r="AM38" s="13" t="n">
        <f aca="false">Construction!AM14*(Inputs!$F$95/100*Inputs!$F$96/100)*AM31*Construction!AM11/Inputs!$F$248</f>
        <v>0.154816188444727</v>
      </c>
      <c r="AN38" s="13" t="n">
        <f aca="false">Construction!AN14*(Inputs!$F$95/100*Inputs!$F$96/100)*AN31*Construction!AN11/Inputs!$F$248</f>
        <v>0.144466633587699</v>
      </c>
      <c r="AO38" s="13" t="n">
        <f aca="false">Construction!AO14*(Inputs!$F$95/100*Inputs!$F$96/100)*AO31*Construction!AO11/Inputs!$F$248</f>
        <v>0.16461636234364</v>
      </c>
      <c r="AP38" s="13" t="n">
        <f aca="false">Construction!AP14*(Inputs!$F$95/100*Inputs!$F$96/100)*AP31*Construction!AP11/Inputs!$F$248</f>
        <v>0.163452683802414</v>
      </c>
      <c r="AQ38" s="13" t="n">
        <f aca="false">Construction!AQ14*(Inputs!$F$95/100*Inputs!$F$96/100)*AQ31*Construction!AQ11/Inputs!$F$248</f>
        <v>0.172255165319243</v>
      </c>
      <c r="AR38" s="13" t="n">
        <f aca="false">Construction!AR14*(Inputs!$F$95/100*Inputs!$F$96/100)*AR31*Construction!AR11/Inputs!$F$248</f>
        <v>0.17135047246601</v>
      </c>
      <c r="AS38" s="13" t="n">
        <f aca="false">Construction!AS14*(Inputs!$F$95/100*Inputs!$F$96/100)*AS31*Construction!AS11/Inputs!$F$248</f>
        <v>0.181104023387533</v>
      </c>
      <c r="AT38" s="13" t="n">
        <f aca="false">Construction!AT14*(Inputs!$F$95/100*Inputs!$F$96/100)*AT31*Construction!AT11/Inputs!$F$248</f>
        <v>0.184604667729755</v>
      </c>
      <c r="AU38" s="13" t="n">
        <f aca="false">Construction!AU14*(Inputs!$F$95/100*Inputs!$F$96/100)*AU31*Construction!AU11/Inputs!$F$248</f>
        <v>0.181474368204232</v>
      </c>
      <c r="AV38" s="13" t="n">
        <f aca="false">Construction!AV14*(Inputs!$F$95/100*Inputs!$F$96/100)*AV31*Construction!AV11/Inputs!$F$248</f>
        <v>0.190826232834026</v>
      </c>
      <c r="AW38" s="13" t="n">
        <f aca="false">Construction!AW14*(Inputs!$F$95/100*Inputs!$F$96/100)*AW31*Construction!AW11/Inputs!$F$248</f>
        <v>0.187215588907291</v>
      </c>
      <c r="AX38" s="13" t="n">
        <f aca="false">Construction!AX14*(Inputs!$F$95/100*Inputs!$F$96/100)*AX31*Construction!AX11/Inputs!$F$248</f>
        <v>0.209905420885092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13.6621394586511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-0.00127424878125192</v>
      </c>
      <c r="P39" s="13" t="n">
        <f aca="false">Construction!P14*Inputs!P309*(Inputs!$F$97/100/12-Construction!P17/100*Construction!P11/Inputs!$F$247)</f>
        <v>0.0195011255994295</v>
      </c>
      <c r="Q39" s="13" t="n">
        <f aca="false">Construction!Q14*Inputs!Q309*(Inputs!$F$97/100/12-Construction!Q17/100*Construction!Q11/Inputs!$F$247)</f>
        <v>-0.00146402957605366</v>
      </c>
      <c r="R39" s="13" t="n">
        <f aca="false">Construction!R14*Inputs!R309*(Inputs!$F$97/100/12-Construction!R17/100*Construction!R11/Inputs!$F$247)</f>
        <v>0.00660161691874227</v>
      </c>
      <c r="S39" s="13" t="n">
        <f aca="false">Construction!S14*Inputs!S309*(Inputs!$F$97/100/12-Construction!S17/100*Construction!S11/Inputs!$F$247)</f>
        <v>-0.00176559042074211</v>
      </c>
      <c r="T39" s="13" t="n">
        <f aca="false">Construction!T14*Inputs!T309*(Inputs!$F$97/100/12-Construction!T17/100*Construction!T11/Inputs!$F$247)</f>
        <v>0.00808562367175125</v>
      </c>
      <c r="U39" s="13" t="n">
        <f aca="false">Construction!U14*Inputs!U309*(Inputs!$F$97/100/12-Construction!U17/100*Construction!U11/Inputs!$F$247)</f>
        <v>0.0787536645623332</v>
      </c>
      <c r="V39" s="13" t="n">
        <f aca="false">Construction!V14*Inputs!V309*(Inputs!$F$97/100/12-Construction!V17/100*Construction!V11/Inputs!$F$247)</f>
        <v>0.0877176560257361</v>
      </c>
      <c r="W39" s="13" t="n">
        <f aca="false">Construction!W14*Inputs!W309*(Inputs!$F$97/100/12-Construction!W17/100*Construction!W11/Inputs!$F$247)</f>
        <v>0.108133044779402</v>
      </c>
      <c r="X39" s="13" t="n">
        <f aca="false">Construction!X14*Inputs!X309*(Inputs!$F$97/100/12-Construction!X17/100*Construction!X11/Inputs!$F$247)</f>
        <v>0.10801265991364</v>
      </c>
      <c r="Y39" s="13" t="n">
        <f aca="false">Construction!Y14*Inputs!Y309*(Inputs!$F$97/100/12-Construction!Y17/100*Construction!Y11/Inputs!$F$247)</f>
        <v>0.1320462538797</v>
      </c>
      <c r="Z39" s="13" t="n">
        <f aca="false">Construction!Z14*Inputs!Z309*(Inputs!$F$97/100/12-Construction!Z17/100*Construction!Z11/Inputs!$F$247)</f>
        <v>0.13053695071482</v>
      </c>
      <c r="AA39" s="13" t="n">
        <f aca="false">Construction!AA14*Inputs!AA309*(Inputs!$F$97/100/12-Construction!AA17/100*Construction!AA11/Inputs!$F$247)</f>
        <v>0.205499100233985</v>
      </c>
      <c r="AB39" s="13" t="n">
        <f aca="false">Construction!AB14*Inputs!AB309*(Inputs!$F$97/100/12-Construction!AB17/100*Construction!AB11/Inputs!$F$247)</f>
        <v>0.252201725563194</v>
      </c>
      <c r="AC39" s="13" t="n">
        <f aca="false">Construction!AC14*Inputs!AC309*(Inputs!$F$97/100/12-Construction!AC17/100*Construction!AC11/Inputs!$F$247)</f>
        <v>0.239742826686514</v>
      </c>
      <c r="AD39" s="13" t="n">
        <f aca="false">Construction!AD14*Inputs!AD309*(Inputs!$F$97/100/12-Construction!AD17/100*Construction!AD11/Inputs!$F$247)</f>
        <v>0.272812481101214</v>
      </c>
      <c r="AE39" s="13" t="n">
        <f aca="false">Construction!AE14*Inputs!AE309*(Inputs!$F$97/100/12-Construction!AE17/100*Construction!AE11/Inputs!$F$247)</f>
        <v>0.271664285124737</v>
      </c>
      <c r="AF39" s="13" t="n">
        <f aca="false">Construction!AF14*Inputs!AF309*(Inputs!$F$97/100/12-Construction!AF17/100*Construction!AF11/Inputs!$F$247)</f>
        <v>0.305116692599217</v>
      </c>
      <c r="AG39" s="13" t="n">
        <f aca="false">Construction!AG14*Inputs!AG309*(Inputs!$F$97/100/12-Construction!AG17/100*Construction!AG11/Inputs!$F$247)</f>
        <v>0.79040266567777</v>
      </c>
      <c r="AH39" s="13" t="n">
        <f aca="false">Construction!AH14*Inputs!AH309*(Inputs!$F$97/100/12-Construction!AH17/100*Construction!AH11/Inputs!$F$247)</f>
        <v>0.822971319748561</v>
      </c>
      <c r="AI39" s="13" t="n">
        <f aca="false">Construction!AI14*Inputs!AI309*(Inputs!$F$97/100/12-Construction!AI17/100*Construction!AI11/Inputs!$F$247)</f>
        <v>0.856015097948777</v>
      </c>
      <c r="AJ39" s="13" t="n">
        <f aca="false">Construction!AJ14*Inputs!AJ309*(Inputs!$F$97/100/12-Construction!AJ17/100*Construction!AJ11/Inputs!$F$247)</f>
        <v>0.876975346933529</v>
      </c>
      <c r="AK39" s="13" t="n">
        <f aca="false">Construction!AK14*Inputs!AK309*(Inputs!$F$97/100/12-Construction!AK17/100*Construction!AK11/Inputs!$F$247)</f>
        <v>0.902597653687788</v>
      </c>
      <c r="AL39" s="13" t="n">
        <f aca="false">Construction!AL14*Inputs!AL309*(Inputs!$F$97/100/12-Construction!AL17/100*Construction!AL11/Inputs!$F$247)</f>
        <v>0.915757999516353</v>
      </c>
      <c r="AM39" s="13" t="n">
        <f aca="false">Construction!AM14*Inputs!AM309*(Inputs!$F$97/100/12-Construction!AM17/100*Construction!AM11/Inputs!$F$247)</f>
        <v>0.974828197447532</v>
      </c>
      <c r="AN39" s="13" t="n">
        <f aca="false">Construction!AN14*Inputs!AN309*(Inputs!$F$97/100/12-Construction!AN17/100*Construction!AN11/Inputs!$F$247)</f>
        <v>0.995631491875265</v>
      </c>
      <c r="AO39" s="13" t="n">
        <f aca="false">Construction!AO14*Inputs!AO309*(Inputs!$F$97/100/12-Construction!AO17/100*Construction!AO11/Inputs!$F$247)</f>
        <v>0.995260836606642</v>
      </c>
      <c r="AP39" s="13" t="n">
        <f aca="false">Construction!AP14*Inputs!AP309*(Inputs!$F$97/100/12-Construction!AP17/100*Construction!AP11/Inputs!$F$247)</f>
        <v>1.00571497479109</v>
      </c>
      <c r="AQ39" s="13" t="n">
        <f aca="false">Construction!AQ14*Inputs!AQ309*(Inputs!$F$97/100/12-Construction!AQ17/100*Construction!AQ11/Inputs!$F$247)</f>
        <v>1.07462644034028</v>
      </c>
      <c r="AR39" s="13" t="n">
        <f aca="false">Construction!AR14*Inputs!AR309*(Inputs!$F$97/100/12-Construction!AR17/100*Construction!AR11/Inputs!$F$247)</f>
        <v>1.13363958062779</v>
      </c>
      <c r="AS39" s="13" t="n">
        <f aca="false">Construction!AS14*Inputs!AS309*(Inputs!$F$97/100/12-Construction!AS17/100*Construction!AS11/Inputs!$F$247)</f>
        <v>0</v>
      </c>
      <c r="AT39" s="13" t="n">
        <f aca="false">Construction!AT14*Inputs!AT309*(Inputs!$F$97/100/12-Construction!AT17/100*Construction!AT11/Inputs!$F$247)</f>
        <v>0</v>
      </c>
      <c r="AU39" s="13" t="n">
        <f aca="false">Construction!AU14*Inputs!AU309*(Inputs!$F$97/100/12-Construction!AU17/100*Construction!AU11/Inputs!$F$247)</f>
        <v>0</v>
      </c>
      <c r="AV39" s="13" t="n">
        <f aca="false">Construction!AV14*Inputs!AV309*(Inputs!$F$97/100/12-Construction!AV17/100*Construction!AV11/Inputs!$F$247)</f>
        <v>0</v>
      </c>
      <c r="AW39" s="13" t="n">
        <f aca="false">Construction!AW14*Inputs!AW309*(Inputs!$F$97/100/12-Construction!AW17/100*Construction!AW11/Inputs!$F$247)</f>
        <v>0</v>
      </c>
      <c r="AX39" s="13" t="n">
        <f aca="false">Construction!AX14*Inputs!AX309*(Inputs!$F$97/100/12-Construction!AX17/100*Construction!AX11/Inputs!$F$247)</f>
        <v>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11.2826181810931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0.456447683859258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0.470071739083528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0.453067310551792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0.465747724275531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0.462568128913722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0.414116025105967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0.453436330242336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0.43279304009629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0.439856231820694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0.417371279595936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0.421557678225463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0.41066693275742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0.385811974295959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0.385669491847479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0.359717269301462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0.356940394299811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0.341443199884422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0.30368725844772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0.308189516408072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0.282013879078387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0.274312439917124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0.248908609551257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0.240305273582802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0.223714747249873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0.200902004289098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0.192126747453149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0.170638931785503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0.161409227093662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0.147401644997254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0.121096504940037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0.121930592410999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0.10722035510591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0.102077031209479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0.0866936795141728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0.0790784873560136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0.0699801696071408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0.0603812606340732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0.0538100675687195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0.0454595933304836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0.0042224778826175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0.957566666666667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0.0237666666666667</v>
      </c>
      <c r="AT41" s="13" t="n">
        <f aca="false">Construction!AT14*(Inputs!$F$99-AT32)*Inputs!$F$100/100*Construction!AT11/Inputs!$F$247</f>
        <v>0.0237666666666667</v>
      </c>
      <c r="AU41" s="13" t="n">
        <f aca="false">Construction!AU14*(Inputs!$F$99-AU32)*Inputs!$F$100/100*Construction!AU11/Inputs!$F$247</f>
        <v>0.023</v>
      </c>
      <c r="AV41" s="13" t="n">
        <f aca="false">Construction!AV14*(Inputs!$F$99-AV32)*Inputs!$F$100/100*Construction!AV11/Inputs!$F$247</f>
        <v>0.0237666666666667</v>
      </c>
      <c r="AW41" s="13" t="n">
        <f aca="false">Construction!AW14*(Inputs!$F$99-AW32)*Inputs!$F$100/100*Construction!AW11/Inputs!$F$247</f>
        <v>0.023</v>
      </c>
      <c r="AX41" s="13" t="n">
        <f aca="false">Construction!AX14*(Inputs!$F$99-AX32)*Inputs!$F$100/100*Construction!AX11/Inputs!$F$247</f>
        <v>0.0237666666666667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0.87125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0.02125</v>
      </c>
      <c r="AT43" s="13" t="n">
        <f aca="false">Construction!AT14*Inputs!$F$107/12</f>
        <v>0.02125</v>
      </c>
      <c r="AU43" s="13" t="n">
        <f aca="false">Construction!AU14*Inputs!$F$107/12</f>
        <v>0.02125</v>
      </c>
      <c r="AV43" s="13" t="n">
        <f aca="false">Construction!AV14*Inputs!$F$107/12</f>
        <v>0.02125</v>
      </c>
      <c r="AW43" s="13" t="n">
        <f aca="false">Construction!AW14*Inputs!$F$107/12</f>
        <v>0.02125</v>
      </c>
      <c r="AX43" s="13" t="n">
        <f aca="false">Construction!AX14*Inputs!$F$107/12</f>
        <v>0.02125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37.0411331464097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-0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0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37.0411331464097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118.563400051696</v>
      </c>
      <c r="K45" s="13" t="n">
        <f aca="false">Construction!K14*(Construction!K32+Construction!K38)+K33+K34+K35+K36+K37+K38+K39+K40+K41+K42+K43+K44</f>
        <v>2.41470095183702</v>
      </c>
      <c r="L45" s="13" t="n">
        <f aca="false">Construction!L14*(Construction!L32+Construction!L38)+L33+L34+L35+L36+L37+L38+L39+L40+L41+L42+L43+L44</f>
        <v>2.88723438924741</v>
      </c>
      <c r="M45" s="13" t="n">
        <f aca="false">Construction!M14*(Construction!M32+Construction!M38)+M33+M34+M35+M36+M37+M38+M39+M40+M41+M42+M43+M44</f>
        <v>3.6759785787664</v>
      </c>
      <c r="N45" s="13" t="n">
        <f aca="false">Construction!N14*(Construction!N32+Construction!N38)+N33+N34+N35+N36+N37+N38+N39+N40+N41+N42+N43+N44</f>
        <v>4.82615403468772</v>
      </c>
      <c r="O45" s="13" t="n">
        <f aca="false">Construction!O14*(Construction!O32+Construction!O38)+O33+O34+O35+O36+O37+O38+O39+O40+O41+O42+O43+O44</f>
        <v>6.19667438448256</v>
      </c>
      <c r="P45" s="13" t="n">
        <f aca="false">Construction!P14*(Construction!P32+Construction!P38)+P33+P34+P35+P36+P37+P38+P39+P40+P41+P42+P43+P44</f>
        <v>7.66404120568593</v>
      </c>
      <c r="Q45" s="13" t="n">
        <f aca="false">Construction!Q14*(Construction!Q32+Construction!Q38)+Q33+Q34+Q35+Q36+Q37+Q38+Q39+Q40+Q41+Q42+Q43+Q44</f>
        <v>9.43626428059465</v>
      </c>
      <c r="R45" s="13" t="n">
        <f aca="false">Construction!R14*(Construction!R32+Construction!R38)+R33+R34+R35+R36+R37+R38+R39+R40+R41+R42+R43+R44</f>
        <v>11.1763103810322</v>
      </c>
      <c r="S45" s="13" t="n">
        <f aca="false">Construction!S14*(Construction!S32+Construction!S38)+S33+S34+S35+S36+S37+S38+S39+S40+S41+S42+S43+S44</f>
        <v>13.0118989028342</v>
      </c>
      <c r="T45" s="13" t="n">
        <f aca="false">Construction!T14*(Construction!T32+Construction!T38)+T33+T34+T35+T36+T37+T38+T39+T40+T41+T42+T43+T44</f>
        <v>14.7625906826301</v>
      </c>
      <c r="U45" s="13" t="n">
        <f aca="false">Construction!U14*(Construction!U32+Construction!U38)+U33+U34+U35+U36+U37+U38+U39+U40+U41+U42+U43+U44</f>
        <v>16.5305358702754</v>
      </c>
      <c r="V45" s="13" t="n">
        <f aca="false">Construction!V14*(Construction!V32+Construction!V38)+V33+V34+V35+V36+V37+V38+V39+V40+V41+V42+V43+V44</f>
        <v>18.2059615331645</v>
      </c>
      <c r="W45" s="13" t="n">
        <f aca="false">Construction!W14*(Construction!W32+Construction!W38)+W33+W34+W35+W36+W37+W38+W39+W40+W41+W42+W43+W44</f>
        <v>19.7364451495899</v>
      </c>
      <c r="X45" s="13" t="n">
        <f aca="false">Construction!X14*(Construction!X32+Construction!X38)+X33+X34+X35+X36+X37+X38+X39+X40+X41+X42+X43+X44</f>
        <v>21.1917086492683</v>
      </c>
      <c r="Y45" s="13" t="n">
        <f aca="false">Construction!Y14*(Construction!Y32+Construction!Y38)+Y33+Y34+Y35+Y36+Y37+Y38+Y39+Y40+Y41+Y42+Y43+Y44</f>
        <v>22.4147991812444</v>
      </c>
      <c r="Z45" s="13" t="n">
        <f aca="false">Construction!Z14*(Construction!Z32+Construction!Z38)+Z33+Z34+Z35+Z36+Z37+Z38+Z39+Z40+Z41+Z42+Z43+Z44</f>
        <v>23.5224419599108</v>
      </c>
      <c r="AA45" s="13" t="n">
        <f aca="false">Construction!AA14*(Construction!AA32+Construction!AA38)+AA33+AA34+AA35+AA36+AA37+AA38+AA39+AA40+AA41+AA42+AA43+AA44</f>
        <v>25.5181105077559</v>
      </c>
      <c r="AB45" s="13" t="n">
        <f aca="false">Construction!AB14*(Construction!AB32+Construction!AB38)+AB33+AB34+AB35+AB36+AB37+AB38+AB39+AB40+AB41+AB42+AB43+AB44</f>
        <v>24.9560474952531</v>
      </c>
      <c r="AC45" s="13" t="n">
        <f aca="false">Construction!AC14*(Construction!AC32+Construction!AC38)+AC33+AC34+AC35+AC36+AC37+AC38+AC39+AC40+AC41+AC42+AC43+AC44</f>
        <v>25.4622264213839</v>
      </c>
      <c r="AD45" s="13" t="n">
        <f aca="false">Construction!AD14*(Construction!AD32+Construction!AD38)+AD33+AD34+AD35+AD36+AD37+AD38+AD39+AD40+AD41+AD42+AD43+AD44</f>
        <v>25.9581496912424</v>
      </c>
      <c r="AE45" s="13" t="n">
        <f aca="false">Construction!AE14*(Construction!AE32+Construction!AE38)+AE33+AE34+AE35+AE36+AE37+AE38+AE39+AE40+AE41+AE42+AE43+AE44</f>
        <v>25.9657008770921</v>
      </c>
      <c r="AF45" s="13" t="n">
        <f aca="false">Construction!AF14*(Construction!AF32+Construction!AF38)+AF33+AF34+AF35+AF36+AF37+AF38+AF39+AF40+AF41+AF42+AF43+AF44</f>
        <v>25.6521323176559</v>
      </c>
      <c r="AG45" s="13" t="n">
        <f aca="false">Construction!AG14*(Construction!AG32+Construction!AG38)+AG33+AG34+AG35+AG36+AG37+AG38+AG39+AG40+AG41+AG42+AG43+AG44</f>
        <v>25.1819576040915</v>
      </c>
      <c r="AH45" s="13" t="n">
        <f aca="false">Construction!AH14*(Construction!AH32+Construction!AH38)+AH33+AH34+AH35+AH36+AH37+AH38+AH39+AH40+AH41+AH42+AH43+AH44</f>
        <v>24.4617114274193</v>
      </c>
      <c r="AI45" s="13" t="n">
        <f aca="false">Construction!AI14*(Construction!AI32+Construction!AI38)+AI33+AI34+AI35+AI36+AI37+AI38+AI39+AI40+AI41+AI42+AI43+AI44</f>
        <v>23.4841858706282</v>
      </c>
      <c r="AJ45" s="13" t="n">
        <f aca="false">Construction!AJ14*(Construction!AJ32+Construction!AJ38)+AJ33+AJ34+AJ35+AJ36+AJ37+AJ38+AJ39+AJ40+AJ41+AJ42+AJ43+AJ44</f>
        <v>23.9818301703403</v>
      </c>
      <c r="AK45" s="13" t="n">
        <f aca="false">Construction!AK14*(Construction!AK32+Construction!AK38)+AK33+AK34+AK35+AK36+AK37+AK38+AK39+AK40+AK41+AK42+AK43+AK44</f>
        <v>22.6428084862482</v>
      </c>
      <c r="AL45" s="13" t="n">
        <f aca="false">Construction!AL14*(Construction!AL32+Construction!AL38)+AL33+AL34+AL35+AL36+AL37+AL38+AL39+AL40+AL41+AL42+AL43+AL44</f>
        <v>21.2614314584757</v>
      </c>
      <c r="AM45" s="13" t="n">
        <f aca="false">Construction!AM14*(Construction!AM32+Construction!AM38)+AM33+AM34+AM35+AM36+AM37+AM38+AM39+AM40+AM41+AM42+AM43+AM44</f>
        <v>20.2337433392157</v>
      </c>
      <c r="AN45" s="13" t="n">
        <f aca="false">Construction!AN14*(Construction!AN32+Construction!AN38)+AN33+AN34+AN35+AN36+AN37+AN38+AN39+AN40+AN41+AN42+AN43+AN44</f>
        <v>18.4275356031873</v>
      </c>
      <c r="AO45" s="13" t="n">
        <f aca="false">Construction!AO14*(Construction!AO32+Construction!AO38)+AO33+AO34+AO35+AO36+AO37+AO38+AO39+AO40+AO41+AO42+AO43+AO44</f>
        <v>16.9031380911571</v>
      </c>
      <c r="AP45" s="13" t="n">
        <f aca="false">Construction!AP14*(Construction!AP32+Construction!AP38)+AP33+AP34+AP35+AP36+AP37+AP38+AP39+AP40+AP41+AP42+AP43+AP44</f>
        <v>13.2316223398387</v>
      </c>
      <c r="AQ45" s="13" t="n">
        <f aca="false">Construction!AQ14*(Construction!AQ32+Construction!AQ38)+AQ33+AQ34+AQ35+AQ36+AQ37+AQ38+AQ39+AQ40+AQ41+AQ42+AQ43+AQ44</f>
        <v>18.9633741460407</v>
      </c>
      <c r="AR45" s="13" t="n">
        <f aca="false">Construction!AR14*(Construction!AR32+Construction!AR38)+AR33+AR34+AR35+AR36+AR37+AR38+AR39+AR40+AR41+AR42+AR43+AR44</f>
        <v>15.9450033612063</v>
      </c>
      <c r="AS45" s="13" t="n">
        <f aca="false">Construction!AS14*(Construction!AS32+Construction!AS38)+AS33+AS34+AS35+AS36+AS37+AS38+AS39+AS40+AS41+AS42+AS43+AS44</f>
        <v>13.8098965170217</v>
      </c>
      <c r="AT45" s="13" t="n">
        <f aca="false">Construction!AT14*(Construction!AT32+Construction!AT38)+AT33+AT34+AT35+AT36+AT37+AT38+AT39+AT40+AT41+AT42+AT43+AT44</f>
        <v>11.5147265449034</v>
      </c>
      <c r="AU45" s="13" t="n">
        <f aca="false">Construction!AU14*(Construction!AU32+Construction!AU38)+AU33+AU34+AU35+AU36+AU37+AU38+AU39+AU40+AU41+AU42+AU43+AU44</f>
        <v>13.029089354244</v>
      </c>
      <c r="AV45" s="13" t="n">
        <f aca="false">Construction!AV14*(Construction!AV32+Construction!AV38)+AV33+AV34+AV35+AV36+AV37+AV38+AV39+AV40+AV41+AV42+AV43+AV44</f>
        <v>10.3747504080952</v>
      </c>
      <c r="AW45" s="13" t="n">
        <f aca="false">Construction!AW14*(Construction!AW32+Construction!AW38)+AW33+AW34+AW35+AW36+AW37+AW38+AW39+AW40+AW41+AW42+AW43+AW44</f>
        <v>64.8918539241663</v>
      </c>
      <c r="AX45" s="13" t="n">
        <f aca="false">Construction!AX14*(Construction!AX32+Construction!AX38)+AX33+AX34+AX35+AX36+AX37+AX38+AX39+AX40+AX41+AX42+AX43+AX44</f>
        <v>39.1897697135964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543.282305724171</v>
      </c>
      <c r="L46" s="13" t="n">
        <f aca="false">$F$25-L28-L29-L30-L31</f>
        <v>541.449872561353</v>
      </c>
      <c r="M46" s="13" t="n">
        <f aca="false">$F$25-M28-M29-M30-M31</f>
        <v>539.258850091402</v>
      </c>
      <c r="N46" s="13" t="n">
        <f aca="false">$F$25-N28-N29-N30-N31</f>
        <v>536.469276894597</v>
      </c>
      <c r="O46" s="13" t="n">
        <f aca="false">$F$25-O28-O29-O30-O31</f>
        <v>532.806875264572</v>
      </c>
      <c r="P46" s="13" t="n">
        <f aca="false">$F$25-P28-P29-P30-P31</f>
        <v>528.104433070777</v>
      </c>
      <c r="Q46" s="13" t="n">
        <f aca="false">$F$25-Q28-Q29-Q30-Q31</f>
        <v>522.288456870568</v>
      </c>
      <c r="R46" s="13" t="n">
        <f aca="false">$F$25-R28-R29-R30-R31</f>
        <v>515.127601780944</v>
      </c>
      <c r="S46" s="13" t="n">
        <f aca="false">$F$25-S28-S29-S30-S31</f>
        <v>506.646285796629</v>
      </c>
      <c r="T46" s="13" t="n">
        <f aca="false">$F$25-T28-T29-T30-T31</f>
        <v>496.77200507352</v>
      </c>
      <c r="U46" s="13" t="n">
        <f aca="false">$F$25-U28-U29-U30-U31</f>
        <v>485.569184817294</v>
      </c>
      <c r="V46" s="13" t="n">
        <f aca="false">$F$25-V28-V29-V30-V31</f>
        <v>473.024732012565</v>
      </c>
      <c r="W46" s="13" t="n">
        <f aca="false">$F$25-W28-W29-W30-W31</f>
        <v>459.208856531591</v>
      </c>
      <c r="X46" s="13" t="n">
        <f aca="false">$F$25-X28-X29-X30-X31</f>
        <v>444.23154988799</v>
      </c>
      <c r="Y46" s="13" t="n">
        <f aca="false">$F$25-Y28-Y29-Y30-Y31</f>
        <v>428.149894030702</v>
      </c>
      <c r="Z46" s="13" t="n">
        <f aca="false">$F$25-Z28-Z29-Z30-Z31</f>
        <v>411.140077007032</v>
      </c>
      <c r="AA46" s="13" t="n">
        <f aca="false">$F$25-AA28-AA29-AA30-AA31</f>
        <v>393.289708130081</v>
      </c>
      <c r="AB46" s="13" t="n">
        <f aca="false">$F$25-AB28-AB29-AB30-AB31</f>
        <v>373.924895310793</v>
      </c>
      <c r="AC46" s="13" t="n">
        <f aca="false">$F$25-AC28-AC29-AC30-AC31</f>
        <v>354.986612701352</v>
      </c>
      <c r="AD46" s="13" t="n">
        <f aca="false">$F$25-AD28-AD29-AD30-AD31</f>
        <v>335.664208385305</v>
      </c>
      <c r="AE46" s="13" t="n">
        <f aca="false">$F$25-AE28-AE29-AE30-AE31</f>
        <v>315.965465026027</v>
      </c>
      <c r="AF46" s="13" t="n">
        <f aca="false">$F$25-AF28-AF29-AF30-AF31</f>
        <v>296.260991332581</v>
      </c>
      <c r="AG46" s="13" t="n">
        <f aca="false">$F$25-AG28-AG29-AG30-AG31</f>
        <v>276.794473990083</v>
      </c>
      <c r="AH46" s="13" t="n">
        <f aca="false">$F$25-AH28-AH29-AH30-AH31</f>
        <v>257.684756000647</v>
      </c>
      <c r="AI46" s="13" t="n">
        <f aca="false">$F$25-AI28-AI29-AI30-AI31</f>
        <v>239.121607961632</v>
      </c>
      <c r="AJ46" s="13" t="n">
        <f aca="false">$F$25-AJ28-AJ29-AJ30-AJ31</f>
        <v>221.300270309698</v>
      </c>
      <c r="AK46" s="13" t="n">
        <f aca="false">$F$25-AK28-AK29-AK30-AK31</f>
        <v>203.101287584412</v>
      </c>
      <c r="AL46" s="13" t="n">
        <f aca="false">$F$25-AL28-AL29-AL30-AL31</f>
        <v>185.918442173271</v>
      </c>
      <c r="AM46" s="13" t="n">
        <f aca="false">$F$25-AM28-AM29-AM30-AM31</f>
        <v>169.78387608389</v>
      </c>
      <c r="AN46" s="13" t="n">
        <f aca="false">$F$25-AN28-AN29-AN30-AN31</f>
        <v>154.429187017929</v>
      </c>
      <c r="AO46" s="13" t="n">
        <f aca="false">$F$25-AO28-AO29-AO30-AO31</f>
        <v>140.445166627077</v>
      </c>
      <c r="AP46" s="13" t="n">
        <f aca="false">$F$25-AP28-AP29-AP30-AP31</f>
        <v>127.617958864404</v>
      </c>
      <c r="AQ46" s="13" t="n">
        <f aca="false">$F$25-AQ28-AQ29-AQ30-AQ31</f>
        <v>117.576937612904</v>
      </c>
      <c r="AR46" s="13" t="n">
        <f aca="false">$F$25-AR28-AR29-AR30-AR31</f>
        <v>103.186287856583</v>
      </c>
      <c r="AS46" s="13" t="n">
        <f aca="false">$F$25-AS28-AS29-AS30-AS31</f>
        <v>91.0861754521469</v>
      </c>
      <c r="AT46" s="13" t="n">
        <f aca="false">$F$25-AT28-AT29-AT30-AT31</f>
        <v>80.6063218977632</v>
      </c>
      <c r="AU46" s="13" t="n">
        <f aca="false">$F$25-AU28-AU29-AU30-AU31</f>
        <v>71.8681935735846</v>
      </c>
      <c r="AV46" s="13" t="n">
        <f aca="false">$F$25-AV28-AV29-AV30-AV31</f>
        <v>61.980867610558</v>
      </c>
      <c r="AW46" s="13" t="n">
        <f aca="false">$F$25-AW28-AW29-AW30-AW31</f>
        <v>54.1078278085503</v>
      </c>
      <c r="AX46" s="13" t="n">
        <f aca="false">$F$25-AX28-AX29-AX30-AX31</f>
        <v>4.86364084744548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89.9736698186031</v>
      </c>
      <c r="K47" s="13" t="n">
        <f aca="false">MIN($F$26*K45/(1-Inputs!$F$94/100*Inputs!$F$75*$F$26),K46)</f>
        <v>1.83243316281856</v>
      </c>
      <c r="L47" s="13" t="n">
        <f aca="false">MIN($F$26*L45/(1-Inputs!$F$94/100*Inputs!$F$75*$F$26),L46)</f>
        <v>2.19102246995106</v>
      </c>
      <c r="M47" s="13" t="n">
        <f aca="false">MIN($F$26*M45/(1-Inputs!$F$94/100*Inputs!$F$75*$F$26),M46)</f>
        <v>2.78957319680422</v>
      </c>
      <c r="N47" s="13" t="n">
        <f aca="false">MIN($F$26*N45/(1-Inputs!$F$94/100*Inputs!$F$75*$F$26),N46)</f>
        <v>3.66240163002563</v>
      </c>
      <c r="O47" s="13" t="n">
        <f aca="false">MIN($F$26*O45/(1-Inputs!$F$94/100*Inputs!$F$75*$F$26),O46)</f>
        <v>4.70244219379449</v>
      </c>
      <c r="P47" s="13" t="n">
        <f aca="false">MIN($F$26*P45/(1-Inputs!$F$94/100*Inputs!$F$75*$F$26),P46)</f>
        <v>5.81597620020929</v>
      </c>
      <c r="Q47" s="13" t="n">
        <f aca="false">MIN($F$26*Q45/(1-Inputs!$F$94/100*Inputs!$F$75*$F$26),Q46)</f>
        <v>7.16085508962391</v>
      </c>
      <c r="R47" s="13" t="n">
        <f aca="false">MIN($F$26*R45/(1-Inputs!$F$94/100*Inputs!$F$75*$F$26),R46)</f>
        <v>8.4813159843153</v>
      </c>
      <c r="S47" s="13" t="n">
        <f aca="false">MIN($F$26*S45/(1-Inputs!$F$94/100*Inputs!$F$75*$F$26),S46)</f>
        <v>9.87428072310837</v>
      </c>
      <c r="T47" s="13" t="n">
        <f aca="false">MIN($F$26*T45/(1-Inputs!$F$94/100*Inputs!$F$75*$F$26),T46)</f>
        <v>11.2028202562258</v>
      </c>
      <c r="U47" s="13" t="n">
        <f aca="false">MIN($F$26*U45/(1-Inputs!$F$94/100*Inputs!$F$75*$F$26),U46)</f>
        <v>12.5444528047293</v>
      </c>
      <c r="V47" s="13" t="n">
        <f aca="false">MIN($F$26*V45/(1-Inputs!$F$94/100*Inputs!$F$75*$F$26),V46)</f>
        <v>13.815875480974</v>
      </c>
      <c r="W47" s="13" t="n">
        <f aca="false">MIN($F$26*W45/(1-Inputs!$F$94/100*Inputs!$F$75*$F$26),W46)</f>
        <v>14.9773066436009</v>
      </c>
      <c r="X47" s="13" t="n">
        <f aca="false">MIN($F$26*X45/(1-Inputs!$F$94/100*Inputs!$F$75*$F$26),X46)</f>
        <v>16.0816558572877</v>
      </c>
      <c r="Y47" s="13" t="n">
        <f aca="false">MIN($F$26*Y45/(1-Inputs!$F$94/100*Inputs!$F$75*$F$26),Y46)</f>
        <v>17.0098170236704</v>
      </c>
      <c r="Z47" s="13" t="n">
        <f aca="false">MIN($F$26*Z45/(1-Inputs!$F$94/100*Inputs!$F$75*$F$26),Z46)</f>
        <v>17.8503688769509</v>
      </c>
      <c r="AA47" s="13" t="n">
        <f aca="false">MIN($F$26*AA45/(1-Inputs!$F$94/100*Inputs!$F$75*$F$26),AA46)</f>
        <v>19.364812819288</v>
      </c>
      <c r="AB47" s="13" t="n">
        <f aca="false">MIN($F$26*AB45/(1-Inputs!$F$94/100*Inputs!$F$75*$F$26),AB46)</f>
        <v>18.9382826094414</v>
      </c>
      <c r="AC47" s="13" t="n">
        <f aca="false">MIN($F$26*AC45/(1-Inputs!$F$94/100*Inputs!$F$75*$F$26),AC46)</f>
        <v>19.3224043160471</v>
      </c>
      <c r="AD47" s="13" t="n">
        <f aca="false">MIN($F$26*AD45/(1-Inputs!$F$94/100*Inputs!$F$75*$F$26),AD46)</f>
        <v>19.6987433592777</v>
      </c>
      <c r="AE47" s="13" t="n">
        <f aca="false">MIN($F$26*AE45/(1-Inputs!$F$94/100*Inputs!$F$75*$F$26),AE46)</f>
        <v>19.7044736934456</v>
      </c>
      <c r="AF47" s="13" t="n">
        <f aca="false">MIN($F$26*AF45/(1-Inputs!$F$94/100*Inputs!$F$75*$F$26),AF46)</f>
        <v>19.4665173424982</v>
      </c>
      <c r="AG47" s="13" t="n">
        <f aca="false">MIN($F$26*AG45/(1-Inputs!$F$94/100*Inputs!$F$75*$F$26),AG46)</f>
        <v>19.109717989436</v>
      </c>
      <c r="AH47" s="13" t="n">
        <f aca="false">MIN($F$26*AH45/(1-Inputs!$F$94/100*Inputs!$F$75*$F$26),AH46)</f>
        <v>18.5631480390149</v>
      </c>
      <c r="AI47" s="13" t="n">
        <f aca="false">MIN($F$26*AI45/(1-Inputs!$F$94/100*Inputs!$F$75*$F$26),AI46)</f>
        <v>17.8213376519341</v>
      </c>
      <c r="AJ47" s="13" t="n">
        <f aca="false">MIN($F$26*AJ45/(1-Inputs!$F$94/100*Inputs!$F$75*$F$26),AJ46)</f>
        <v>18.1989827252862</v>
      </c>
      <c r="AK47" s="13" t="n">
        <f aca="false">MIN($F$26*AK45/(1-Inputs!$F$94/100*Inputs!$F$75*$F$26),AK46)</f>
        <v>17.182845411141</v>
      </c>
      <c r="AL47" s="13" t="n">
        <f aca="false">MIN($F$26*AL45/(1-Inputs!$F$94/100*Inputs!$F$75*$F$26),AL46)</f>
        <v>16.1345660893806</v>
      </c>
      <c r="AM47" s="13" t="n">
        <f aca="false">MIN($F$26*AM45/(1-Inputs!$F$94/100*Inputs!$F$75*$F$26),AM46)</f>
        <v>15.3546890659612</v>
      </c>
      <c r="AN47" s="13" t="n">
        <f aca="false">MIN($F$26*AN45/(1-Inputs!$F$94/100*Inputs!$F$75*$F$26),AN46)</f>
        <v>13.9840203908526</v>
      </c>
      <c r="AO47" s="13" t="n">
        <f aca="false">MIN($F$26*AO45/(1-Inputs!$F$94/100*Inputs!$F$75*$F$26),AO46)</f>
        <v>12.8272077626731</v>
      </c>
      <c r="AP47" s="13" t="n">
        <f aca="false">MIN($F$26*AP45/(1-Inputs!$F$94/100*Inputs!$F$75*$F$26),AP46)</f>
        <v>10.0410212514994</v>
      </c>
      <c r="AQ47" s="13" t="n">
        <f aca="false">MIN($F$26*AQ45/(1-Inputs!$F$94/100*Inputs!$F$75*$F$26),AQ46)</f>
        <v>14.3906497563208</v>
      </c>
      <c r="AR47" s="13" t="n">
        <f aca="false">MIN($F$26*AR45/(1-Inputs!$F$94/100*Inputs!$F$75*$F$26),AR46)</f>
        <v>12.1001124044365</v>
      </c>
      <c r="AS47" s="13" t="n">
        <f aca="false">MIN($F$26*AS45/(1-Inputs!$F$94/100*Inputs!$F$75*$F$26),AS46)</f>
        <v>10.4798535543838</v>
      </c>
      <c r="AT47" s="13" t="n">
        <f aca="false">MIN($F$26*AT45/(1-Inputs!$F$94/100*Inputs!$F$75*$F$26),AT46)</f>
        <v>8.73812832417863</v>
      </c>
      <c r="AU47" s="13" t="n">
        <f aca="false">MIN($F$26*AU45/(1-Inputs!$F$94/100*Inputs!$F$75*$F$26),AU46)</f>
        <v>9.88732596302646</v>
      </c>
      <c r="AV47" s="13" t="n">
        <f aca="false">MIN($F$26*AV45/(1-Inputs!$F$94/100*Inputs!$F$75*$F$26),AV46)</f>
        <v>7.87303980200778</v>
      </c>
      <c r="AW47" s="13" t="n">
        <f aca="false">MIN($F$26*AW45/(1-Inputs!$F$94/100*Inputs!$F$75*$F$26),AW46)</f>
        <v>49.2441869611048</v>
      </c>
      <c r="AX47" s="13" t="n">
        <f aca="false">MIN($F$26*AX45/(1-Inputs!$F$94/100*Inputs!$F$75*$F$26),AX46)</f>
        <v>4.86364084744548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2.92864295259553</v>
      </c>
      <c r="K48" s="13" t="n">
        <f aca="false">Inputs!$F$94/100*Inputs!$F$75*K47</f>
        <v>0.0596456994497441</v>
      </c>
      <c r="L48" s="13" t="n">
        <f aca="false">Inputs!$F$94/100*Inputs!$F$75*L47</f>
        <v>0.0713177813969071</v>
      </c>
      <c r="M48" s="13" t="n">
        <f aca="false">Inputs!$F$94/100*Inputs!$F$75*M47</f>
        <v>0.0908006075559773</v>
      </c>
      <c r="N48" s="13" t="n">
        <f aca="false">Inputs!$F$94/100*Inputs!$F$75*N47</f>
        <v>0.119211173057334</v>
      </c>
      <c r="O48" s="13" t="n">
        <f aca="false">Inputs!$F$94/100*Inputs!$F$75*O47</f>
        <v>0.153064493408011</v>
      </c>
      <c r="P48" s="13" t="n">
        <f aca="false">Inputs!$F$94/100*Inputs!$F$75*P47</f>
        <v>0.189310025316812</v>
      </c>
      <c r="Q48" s="13" t="n">
        <f aca="false">Inputs!$F$94/100*Inputs!$F$75*Q47</f>
        <v>0.233085833167258</v>
      </c>
      <c r="R48" s="13" t="n">
        <f aca="false">Inputs!$F$94/100*Inputs!$F$75*R47</f>
        <v>0.276066835289463</v>
      </c>
      <c r="S48" s="13" t="n">
        <f aca="false">Inputs!$F$94/100*Inputs!$F$75*S47</f>
        <v>0.321407837537177</v>
      </c>
      <c r="T48" s="13" t="n">
        <f aca="false">Inputs!$F$94/100*Inputs!$F$75*T47</f>
        <v>0.364651799340151</v>
      </c>
      <c r="U48" s="13" t="n">
        <f aca="false">Inputs!$F$94/100*Inputs!$F$75*U47</f>
        <v>0.408321938793938</v>
      </c>
      <c r="V48" s="13" t="n">
        <f aca="false">Inputs!$F$94/100*Inputs!$F$75*V47</f>
        <v>0.449706746905702</v>
      </c>
      <c r="W48" s="13" t="n">
        <f aca="false">Inputs!$F$94/100*Inputs!$F$75*W47</f>
        <v>0.48751133124921</v>
      </c>
      <c r="X48" s="13" t="n">
        <f aca="false">Inputs!$F$94/100*Inputs!$F$75*X47</f>
        <v>0.523457898154716</v>
      </c>
      <c r="Y48" s="13" t="n">
        <f aca="false">Inputs!$F$94/100*Inputs!$F$75*Y47</f>
        <v>0.553669544120472</v>
      </c>
      <c r="Z48" s="13" t="n">
        <f aca="false">Inputs!$F$94/100*Inputs!$F$75*Z47</f>
        <v>0.581029506944752</v>
      </c>
      <c r="AA48" s="13" t="n">
        <f aca="false">Inputs!$F$94/100*Inputs!$F$75*AA47</f>
        <v>0.630324657267825</v>
      </c>
      <c r="AB48" s="13" t="n">
        <f aca="false">Inputs!$F$94/100*Inputs!$F$75*AB47</f>
        <v>0.616441098937319</v>
      </c>
      <c r="AC48" s="13" t="n">
        <f aca="false">Inputs!$F$94/100*Inputs!$F$75*AC47</f>
        <v>0.628944260487335</v>
      </c>
      <c r="AD48" s="13" t="n">
        <f aca="false">Inputs!$F$94/100*Inputs!$F$75*AD47</f>
        <v>0.641194096344488</v>
      </c>
      <c r="AE48" s="13" t="n">
        <f aca="false">Inputs!$F$94/100*Inputs!$F$75*AE47</f>
        <v>0.641380618721653</v>
      </c>
      <c r="AF48" s="13" t="n">
        <f aca="false">Inputs!$F$94/100*Inputs!$F$75*AF47</f>
        <v>0.633635139498316</v>
      </c>
      <c r="AG48" s="13" t="n">
        <f aca="false">Inputs!$F$94/100*Inputs!$F$75*AG47</f>
        <v>0.622021320556142</v>
      </c>
      <c r="AH48" s="13" t="n">
        <f aca="false">Inputs!$F$94/100*Inputs!$F$75*AH47</f>
        <v>0.604230468669935</v>
      </c>
      <c r="AI48" s="13" t="n">
        <f aca="false">Inputs!$F$94/100*Inputs!$F$75*AI47</f>
        <v>0.580084540570454</v>
      </c>
      <c r="AJ48" s="13" t="n">
        <f aca="false">Inputs!$F$94/100*Inputs!$F$75*AJ47</f>
        <v>0.592376887708066</v>
      </c>
      <c r="AK48" s="13" t="n">
        <f aca="false">Inputs!$F$94/100*Inputs!$F$75*AK47</f>
        <v>0.55930161813264</v>
      </c>
      <c r="AL48" s="13" t="n">
        <f aca="false">Inputs!$F$94/100*Inputs!$F$75*AL47</f>
        <v>0.525180126209338</v>
      </c>
      <c r="AM48" s="13" t="n">
        <f aca="false">Inputs!$F$94/100*Inputs!$F$75*AM47</f>
        <v>0.499795129097037</v>
      </c>
      <c r="AN48" s="13" t="n">
        <f aca="false">Inputs!$F$94/100*Inputs!$F$75*AN47</f>
        <v>0.455179863722252</v>
      </c>
      <c r="AO48" s="13" t="n">
        <f aca="false">Inputs!$F$94/100*Inputs!$F$75*AO47</f>
        <v>0.417525612675008</v>
      </c>
      <c r="AP48" s="13" t="n">
        <f aca="false">Inputs!$F$94/100*Inputs!$F$75*AP47</f>
        <v>0.326835241736304</v>
      </c>
      <c r="AQ48" s="13" t="n">
        <f aca="false">Inputs!$F$94/100*Inputs!$F$75*AQ47</f>
        <v>0.468415649568243</v>
      </c>
      <c r="AR48" s="13" t="n">
        <f aca="false">Inputs!$F$94/100*Inputs!$F$75*AR47</f>
        <v>0.393858658764409</v>
      </c>
      <c r="AS48" s="13" t="n">
        <f aca="false">Inputs!$F$94/100*Inputs!$F$75*AS47</f>
        <v>0.341119233195192</v>
      </c>
      <c r="AT48" s="13" t="n">
        <f aca="false">Inputs!$F$94/100*Inputs!$F$75*AT47</f>
        <v>0.284426076952014</v>
      </c>
      <c r="AU48" s="13" t="n">
        <f aca="false">Inputs!$F$94/100*Inputs!$F$75*AU47</f>
        <v>0.321832460096511</v>
      </c>
      <c r="AV48" s="13" t="n">
        <f aca="false">Inputs!$F$94/100*Inputs!$F$75*AV47</f>
        <v>0.256267445555353</v>
      </c>
      <c r="AW48" s="13" t="n">
        <f aca="false">Inputs!$F$94/100*Inputs!$F$75*AW47</f>
        <v>1.60289828558396</v>
      </c>
      <c r="AX48" s="13" t="n">
        <f aca="false">Inputs!$F$94/100*Inputs!$F$75*AX47</f>
        <v>0.15831150958435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887.870417861124</v>
      </c>
      <c r="J49" s="13" t="n">
        <f aca="false">J45+J48</f>
        <v>121.492043004291</v>
      </c>
      <c r="K49" s="13" t="n">
        <f aca="false">K45+K48</f>
        <v>2.47434665128677</v>
      </c>
      <c r="L49" s="13" t="n">
        <f aca="false">L45+L48</f>
        <v>2.95855217064431</v>
      </c>
      <c r="M49" s="13" t="n">
        <f aca="false">M45+M48</f>
        <v>3.76677918632238</v>
      </c>
      <c r="N49" s="13" t="n">
        <f aca="false">N45+N48</f>
        <v>4.94536520774505</v>
      </c>
      <c r="O49" s="13" t="n">
        <f aca="false">O45+O48</f>
        <v>6.34973887789057</v>
      </c>
      <c r="P49" s="13" t="n">
        <f aca="false">P45+P48</f>
        <v>7.85335123100275</v>
      </c>
      <c r="Q49" s="13" t="n">
        <f aca="false">Q45+Q48</f>
        <v>9.66935011376191</v>
      </c>
      <c r="R49" s="13" t="n">
        <f aca="false">R45+R48</f>
        <v>11.4523772163216</v>
      </c>
      <c r="S49" s="13" t="n">
        <f aca="false">S45+S48</f>
        <v>13.3333067403713</v>
      </c>
      <c r="T49" s="13" t="n">
        <f aca="false">T45+T48</f>
        <v>15.1272424819702</v>
      </c>
      <c r="U49" s="13" t="n">
        <f aca="false">U45+U48</f>
        <v>16.9388578090693</v>
      </c>
      <c r="V49" s="13" t="n">
        <f aca="false">V45+V48</f>
        <v>18.6556682800702</v>
      </c>
      <c r="W49" s="13" t="n">
        <f aca="false">W45+W48</f>
        <v>20.2239564808392</v>
      </c>
      <c r="X49" s="13" t="n">
        <f aca="false">X45+X48</f>
        <v>21.715166547423</v>
      </c>
      <c r="Y49" s="13" t="n">
        <f aca="false">Y45+Y48</f>
        <v>22.9684687253649</v>
      </c>
      <c r="Z49" s="13" t="n">
        <f aca="false">Z45+Z48</f>
        <v>24.1034714668556</v>
      </c>
      <c r="AA49" s="13" t="n">
        <f aca="false">AA45+AA48</f>
        <v>26.1484351650237</v>
      </c>
      <c r="AB49" s="13" t="n">
        <f aca="false">AB45+AB48</f>
        <v>25.5724885941904</v>
      </c>
      <c r="AC49" s="13" t="n">
        <f aca="false">AC45+AC48</f>
        <v>26.0911706818713</v>
      </c>
      <c r="AD49" s="13" t="n">
        <f aca="false">AD45+AD48</f>
        <v>26.5993437875869</v>
      </c>
      <c r="AE49" s="13" t="n">
        <f aca="false">AE45+AE48</f>
        <v>26.6070814958138</v>
      </c>
      <c r="AF49" s="13" t="n">
        <f aca="false">AF45+AF48</f>
        <v>26.2857674571542</v>
      </c>
      <c r="AG49" s="13" t="n">
        <f aca="false">AG45+AG48</f>
        <v>25.8039789246476</v>
      </c>
      <c r="AH49" s="13" t="n">
        <f aca="false">AH45+AH48</f>
        <v>25.0659418960892</v>
      </c>
      <c r="AI49" s="13" t="n">
        <f aca="false">AI45+AI48</f>
        <v>24.0642704111987</v>
      </c>
      <c r="AJ49" s="13" t="n">
        <f aca="false">AJ45+AJ48</f>
        <v>24.5742070580483</v>
      </c>
      <c r="AK49" s="13" t="n">
        <f aca="false">AK45+AK48</f>
        <v>23.2021101043808</v>
      </c>
      <c r="AL49" s="13" t="n">
        <f aca="false">AL45+AL48</f>
        <v>21.786611584685</v>
      </c>
      <c r="AM49" s="13" t="n">
        <f aca="false">AM45+AM48</f>
        <v>20.7335384683128</v>
      </c>
      <c r="AN49" s="13" t="n">
        <f aca="false">AN45+AN48</f>
        <v>18.8827154669095</v>
      </c>
      <c r="AO49" s="13" t="n">
        <f aca="false">AO45+AO48</f>
        <v>17.3206637038321</v>
      </c>
      <c r="AP49" s="13" t="n">
        <f aca="false">AP45+AP48</f>
        <v>13.558457581575</v>
      </c>
      <c r="AQ49" s="13" t="n">
        <f aca="false">AQ45+AQ48</f>
        <v>19.431789795609</v>
      </c>
      <c r="AR49" s="13" t="n">
        <f aca="false">AR45+AR48</f>
        <v>16.3388620199707</v>
      </c>
      <c r="AS49" s="13" t="n">
        <f aca="false">AS45+AS48</f>
        <v>14.1510157502169</v>
      </c>
      <c r="AT49" s="13" t="n">
        <f aca="false">AT45+AT48</f>
        <v>11.7991526218554</v>
      </c>
      <c r="AU49" s="13" t="n">
        <f aca="false">AU45+AU48</f>
        <v>13.3509218143405</v>
      </c>
      <c r="AV49" s="13" t="n">
        <f aca="false">AV45+AV48</f>
        <v>10.6310178536505</v>
      </c>
      <c r="AW49" s="13" t="n">
        <f aca="false">AW45+AW48</f>
        <v>66.4947522097503</v>
      </c>
      <c r="AX49" s="13" t="n">
        <f aca="false">AX45+AX48</f>
        <v>39.3480812231807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121.492043004291</v>
      </c>
      <c r="K50" s="13" t="n">
        <f aca="false">K47/$F$26</f>
        <v>2.47434665128677</v>
      </c>
      <c r="L50" s="13" t="n">
        <f aca="false">L47/$F$26</f>
        <v>2.95855217064431</v>
      </c>
      <c r="M50" s="13" t="n">
        <f aca="false">M47/$F$26</f>
        <v>3.76677918632238</v>
      </c>
      <c r="N50" s="13" t="n">
        <f aca="false">N47/$F$26</f>
        <v>4.94536520774505</v>
      </c>
      <c r="O50" s="13" t="n">
        <f aca="false">O47/$F$26</f>
        <v>6.34973887789057</v>
      </c>
      <c r="P50" s="13" t="n">
        <f aca="false">P47/$F$26</f>
        <v>7.85335123100275</v>
      </c>
      <c r="Q50" s="13" t="n">
        <f aca="false">Q47/$F$26</f>
        <v>9.6693501137619</v>
      </c>
      <c r="R50" s="13" t="n">
        <f aca="false">R47/$F$26</f>
        <v>11.4523772163216</v>
      </c>
      <c r="S50" s="13" t="n">
        <f aca="false">S47/$F$26</f>
        <v>13.3333067403713</v>
      </c>
      <c r="T50" s="13" t="n">
        <f aca="false">T47/$F$26</f>
        <v>15.1272424819702</v>
      </c>
      <c r="U50" s="13" t="n">
        <f aca="false">U47/$F$26</f>
        <v>16.9388578090693</v>
      </c>
      <c r="V50" s="13" t="n">
        <f aca="false">V47/$F$26</f>
        <v>18.6556682800702</v>
      </c>
      <c r="W50" s="13" t="n">
        <f aca="false">W47/$F$26</f>
        <v>20.2239564808392</v>
      </c>
      <c r="X50" s="13" t="n">
        <f aca="false">X47/$F$26</f>
        <v>21.715166547423</v>
      </c>
      <c r="Y50" s="13" t="n">
        <f aca="false">Y47/$F$26</f>
        <v>22.9684687253649</v>
      </c>
      <c r="Z50" s="13" t="n">
        <f aca="false">Z47/$F$26</f>
        <v>24.1034714668556</v>
      </c>
      <c r="AA50" s="13" t="n">
        <f aca="false">AA47/$F$26</f>
        <v>26.1484351650237</v>
      </c>
      <c r="AB50" s="13" t="n">
        <f aca="false">AB47/$F$26</f>
        <v>25.5724885941904</v>
      </c>
      <c r="AC50" s="13" t="n">
        <f aca="false">AC47/$F$26</f>
        <v>26.0911706818713</v>
      </c>
      <c r="AD50" s="13" t="n">
        <f aca="false">AD47/$F$26</f>
        <v>26.5993437875869</v>
      </c>
      <c r="AE50" s="13" t="n">
        <f aca="false">AE47/$F$26</f>
        <v>26.6070814958138</v>
      </c>
      <c r="AF50" s="13" t="n">
        <f aca="false">AF47/$F$26</f>
        <v>26.2857674571542</v>
      </c>
      <c r="AG50" s="13" t="n">
        <f aca="false">AG47/$F$26</f>
        <v>25.8039789246476</v>
      </c>
      <c r="AH50" s="13" t="n">
        <f aca="false">AH47/$F$26</f>
        <v>25.0659418960892</v>
      </c>
      <c r="AI50" s="13" t="n">
        <f aca="false">AI47/$F$26</f>
        <v>24.0642704111987</v>
      </c>
      <c r="AJ50" s="13" t="n">
        <f aca="false">AJ47/$F$26</f>
        <v>24.5742070580483</v>
      </c>
      <c r="AK50" s="13" t="n">
        <f aca="false">AK47/$F$26</f>
        <v>23.2021101043808</v>
      </c>
      <c r="AL50" s="13" t="n">
        <f aca="false">AL47/$F$26</f>
        <v>21.786611584685</v>
      </c>
      <c r="AM50" s="13" t="n">
        <f aca="false">AM47/$F$26</f>
        <v>20.7335384683128</v>
      </c>
      <c r="AN50" s="13" t="n">
        <f aca="false">AN47/$F$26</f>
        <v>18.8827154669095</v>
      </c>
      <c r="AO50" s="13" t="n">
        <f aca="false">AO47/$F$26</f>
        <v>17.3206637038321</v>
      </c>
      <c r="AP50" s="13" t="n">
        <f aca="false">AP47/$F$26</f>
        <v>13.558457581575</v>
      </c>
      <c r="AQ50" s="13" t="n">
        <f aca="false">AQ47/$F$26</f>
        <v>19.431789795609</v>
      </c>
      <c r="AR50" s="13" t="n">
        <f aca="false">AR47/$F$26</f>
        <v>16.3388620199707</v>
      </c>
      <c r="AS50" s="13" t="n">
        <f aca="false">AS47/$F$26</f>
        <v>14.1510157502169</v>
      </c>
      <c r="AT50" s="13" t="n">
        <f aca="false">AT47/$F$26</f>
        <v>11.7991526218554</v>
      </c>
      <c r="AU50" s="13" t="n">
        <f aca="false">AU47/$F$26</f>
        <v>13.3509218143405</v>
      </c>
      <c r="AV50" s="13" t="n">
        <f aca="false">AV47/$F$26</f>
        <v>10.6310178536505</v>
      </c>
      <c r="AW50" s="13" t="n">
        <f aca="false">AW47/$F$26</f>
        <v>66.4947522097503</v>
      </c>
      <c r="AX50" s="13" t="n">
        <f aca="false">AX47/$F$26</f>
        <v>6.56740648888259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32.7806747342981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17.2197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17.2197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17.2197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17.2197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17.2197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11.6707310507236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11.6707310507236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3.89024368357453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3.89024368357453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26.9921009455809</v>
      </c>
      <c r="K57" s="13" t="n">
        <f aca="false">Inputs!$F$75*K47</f>
        <v>0.549729948845568</v>
      </c>
      <c r="L57" s="13" t="n">
        <f aca="false">Inputs!$F$75*L47</f>
        <v>0.657306740985319</v>
      </c>
      <c r="M57" s="13" t="n">
        <f aca="false">Inputs!$F$75*M47</f>
        <v>0.836871959041265</v>
      </c>
      <c r="N57" s="13" t="n">
        <f aca="false">Inputs!$F$75*N47</f>
        <v>1.09872048900769</v>
      </c>
      <c r="O57" s="13" t="n">
        <f aca="false">Inputs!$F$75*O47</f>
        <v>1.41073265813835</v>
      </c>
      <c r="P57" s="13" t="n">
        <f aca="false">Inputs!$F$75*P47</f>
        <v>1.74479286006279</v>
      </c>
      <c r="Q57" s="13" t="n">
        <f aca="false">Inputs!$F$75*Q47</f>
        <v>2.14825652688717</v>
      </c>
      <c r="R57" s="13" t="n">
        <f aca="false">Inputs!$F$75*R47</f>
        <v>2.54439479529459</v>
      </c>
      <c r="S57" s="13" t="n">
        <f aca="false">Inputs!$F$75*S47</f>
        <v>2.96228421693251</v>
      </c>
      <c r="T57" s="13" t="n">
        <f aca="false">Inputs!$F$75*T47</f>
        <v>3.36084607686775</v>
      </c>
      <c r="U57" s="13" t="n">
        <f aca="false">Inputs!$F$75*U47</f>
        <v>3.76333584141878</v>
      </c>
      <c r="V57" s="13" t="n">
        <f aca="false">Inputs!$F$75*V47</f>
        <v>4.14476264429219</v>
      </c>
      <c r="W57" s="13" t="n">
        <f aca="false">Inputs!$F$75*W47</f>
        <v>4.49319199308028</v>
      </c>
      <c r="X57" s="13" t="n">
        <f aca="false">Inputs!$F$75*X47</f>
        <v>4.82449675718632</v>
      </c>
      <c r="Y57" s="13" t="n">
        <f aca="false">Inputs!$F$75*Y47</f>
        <v>5.10294510710113</v>
      </c>
      <c r="Z57" s="13" t="n">
        <f aca="false">Inputs!$F$75*Z47</f>
        <v>5.35511066308527</v>
      </c>
      <c r="AA57" s="13" t="n">
        <f aca="false">Inputs!$F$75*AA47</f>
        <v>5.80944384578641</v>
      </c>
      <c r="AB57" s="13" t="n">
        <f aca="false">Inputs!$F$75*AB47</f>
        <v>5.68148478283243</v>
      </c>
      <c r="AC57" s="13" t="n">
        <f aca="false">Inputs!$F$75*AC47</f>
        <v>5.79672129481414</v>
      </c>
      <c r="AD57" s="13" t="n">
        <f aca="false">Inputs!$F$75*AD47</f>
        <v>5.9096230077833</v>
      </c>
      <c r="AE57" s="13" t="n">
        <f aca="false">Inputs!$F$75*AE47</f>
        <v>5.91134210803367</v>
      </c>
      <c r="AF57" s="13" t="n">
        <f aca="false">Inputs!$F$75*AF47</f>
        <v>5.83995520274945</v>
      </c>
      <c r="AG57" s="13" t="n">
        <f aca="false">Inputs!$F$75*AG47</f>
        <v>5.7329153968308</v>
      </c>
      <c r="AH57" s="13" t="n">
        <f aca="false">Inputs!$F$75*AH47</f>
        <v>5.56894441170447</v>
      </c>
      <c r="AI57" s="13" t="n">
        <f aca="false">Inputs!$F$75*AI47</f>
        <v>5.34640129558022</v>
      </c>
      <c r="AJ57" s="13" t="n">
        <f aca="false">Inputs!$F$75*AJ47</f>
        <v>5.45969481758586</v>
      </c>
      <c r="AK57" s="13" t="n">
        <f aca="false">Inputs!$F$75*AK47</f>
        <v>5.1548536233423</v>
      </c>
      <c r="AL57" s="13" t="n">
        <f aca="false">Inputs!$F$75*AL47</f>
        <v>4.84036982681417</v>
      </c>
      <c r="AM57" s="13" t="n">
        <f aca="false">Inputs!$F$75*AM47</f>
        <v>4.60640671978836</v>
      </c>
      <c r="AN57" s="13" t="n">
        <f aca="false">Inputs!$F$75*AN47</f>
        <v>4.19520611725578</v>
      </c>
      <c r="AO57" s="13" t="n">
        <f aca="false">Inputs!$F$75*AO47</f>
        <v>3.84816232880192</v>
      </c>
      <c r="AP57" s="13" t="n">
        <f aca="false">Inputs!$F$75*AP47</f>
        <v>3.01230637544981</v>
      </c>
      <c r="AQ57" s="13" t="n">
        <f aca="false">Inputs!$F$75*AQ47</f>
        <v>4.31719492689625</v>
      </c>
      <c r="AR57" s="13" t="n">
        <f aca="false">Inputs!$F$75*AR47</f>
        <v>3.63003372133096</v>
      </c>
      <c r="AS57" s="13" t="n">
        <f aca="false">Inputs!$F$75*AS47</f>
        <v>3.14395606631514</v>
      </c>
      <c r="AT57" s="13" t="n">
        <f aca="false">Inputs!$F$75*AT47</f>
        <v>2.62143849725359</v>
      </c>
      <c r="AU57" s="13" t="n">
        <f aca="false">Inputs!$F$75*AU47</f>
        <v>2.96619778890794</v>
      </c>
      <c r="AV57" s="13" t="n">
        <f aca="false">Inputs!$F$75*AV47</f>
        <v>2.36191194060233</v>
      </c>
      <c r="AW57" s="13" t="n">
        <f aca="false">Inputs!$F$75*AW47</f>
        <v>14.7732560883314</v>
      </c>
      <c r="AX57" s="13" t="n">
        <f aca="false">Inputs!$F$75*AX47</f>
        <v>1.45909225423364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19.7942073600927</v>
      </c>
      <c r="K58" s="13" t="n">
        <f aca="false">Inputs!$F$76*K47</f>
        <v>0.403135295820083</v>
      </c>
      <c r="L58" s="13" t="n">
        <f aca="false">Inputs!$F$76*L47</f>
        <v>0.482024943389234</v>
      </c>
      <c r="M58" s="13" t="n">
        <f aca="false">Inputs!$F$76*M47</f>
        <v>0.613706103296928</v>
      </c>
      <c r="N58" s="13" t="n">
        <f aca="false">Inputs!$F$76*N47</f>
        <v>0.805728358605639</v>
      </c>
      <c r="O58" s="13" t="n">
        <f aca="false">Inputs!$F$76*O47</f>
        <v>1.03453728263479</v>
      </c>
      <c r="P58" s="13" t="n">
        <f aca="false">Inputs!$F$76*P47</f>
        <v>1.27951476404604</v>
      </c>
      <c r="Q58" s="13" t="n">
        <f aca="false">Inputs!$F$76*Q47</f>
        <v>1.57538811971726</v>
      </c>
      <c r="R58" s="13" t="n">
        <f aca="false">Inputs!$F$76*R47</f>
        <v>1.86588951654937</v>
      </c>
      <c r="S58" s="13" t="n">
        <f aca="false">Inputs!$F$76*S47</f>
        <v>2.17234175908384</v>
      </c>
      <c r="T58" s="13" t="n">
        <f aca="false">Inputs!$F$76*T47</f>
        <v>2.46462045636969</v>
      </c>
      <c r="U58" s="13" t="n">
        <f aca="false">Inputs!$F$76*U47</f>
        <v>2.75977961704044</v>
      </c>
      <c r="V58" s="13" t="n">
        <f aca="false">Inputs!$F$76*V47</f>
        <v>3.03949260581427</v>
      </c>
      <c r="W58" s="13" t="n">
        <f aca="false">Inputs!$F$76*W47</f>
        <v>3.2950074615922</v>
      </c>
      <c r="X58" s="13" t="n">
        <f aca="false">Inputs!$F$76*X47</f>
        <v>3.5379642886033</v>
      </c>
      <c r="Y58" s="13" t="n">
        <f aca="false">Inputs!$F$76*Y47</f>
        <v>3.74215974520749</v>
      </c>
      <c r="Z58" s="13" t="n">
        <f aca="false">Inputs!$F$76*Z47</f>
        <v>3.9270811529292</v>
      </c>
      <c r="AA58" s="13" t="n">
        <f aca="false">Inputs!$F$76*AA47</f>
        <v>4.26025882024337</v>
      </c>
      <c r="AB58" s="13" t="n">
        <f aca="false">Inputs!$F$76*AB47</f>
        <v>4.16642217407712</v>
      </c>
      <c r="AC58" s="13" t="n">
        <f aca="false">Inputs!$F$76*AC47</f>
        <v>4.25092894953037</v>
      </c>
      <c r="AD58" s="13" t="n">
        <f aca="false">Inputs!$F$76*AD47</f>
        <v>4.33372353904109</v>
      </c>
      <c r="AE58" s="13" t="n">
        <f aca="false">Inputs!$F$76*AE47</f>
        <v>4.33498421255802</v>
      </c>
      <c r="AF58" s="13" t="n">
        <f aca="false">Inputs!$F$76*AF47</f>
        <v>4.2826338153496</v>
      </c>
      <c r="AG58" s="13" t="n">
        <f aca="false">Inputs!$F$76*AG47</f>
        <v>4.20413795767592</v>
      </c>
      <c r="AH58" s="13" t="n">
        <f aca="false">Inputs!$F$76*AH47</f>
        <v>4.08389256858328</v>
      </c>
      <c r="AI58" s="13" t="n">
        <f aca="false">Inputs!$F$76*AI47</f>
        <v>3.9206942834255</v>
      </c>
      <c r="AJ58" s="13" t="n">
        <f aca="false">Inputs!$F$76*AJ47</f>
        <v>4.00377619956297</v>
      </c>
      <c r="AK58" s="13" t="n">
        <f aca="false">Inputs!$F$76*AK47</f>
        <v>3.78022599045102</v>
      </c>
      <c r="AL58" s="13" t="n">
        <f aca="false">Inputs!$F$76*AL47</f>
        <v>3.54960453966373</v>
      </c>
      <c r="AM58" s="13" t="n">
        <f aca="false">Inputs!$F$76*AM47</f>
        <v>3.37803159451147</v>
      </c>
      <c r="AN58" s="13" t="n">
        <f aca="false">Inputs!$F$76*AN47</f>
        <v>3.07648448598757</v>
      </c>
      <c r="AO58" s="13" t="n">
        <f aca="false">Inputs!$F$76*AO47</f>
        <v>2.82198570778807</v>
      </c>
      <c r="AP58" s="13" t="n">
        <f aca="false">Inputs!$F$76*AP47</f>
        <v>2.20902467532986</v>
      </c>
      <c r="AQ58" s="13" t="n">
        <f aca="false">Inputs!$F$76*AQ47</f>
        <v>3.16594294639058</v>
      </c>
      <c r="AR58" s="13" t="n">
        <f aca="false">Inputs!$F$76*AR47</f>
        <v>2.66202472897604</v>
      </c>
      <c r="AS58" s="13" t="n">
        <f aca="false">Inputs!$F$76*AS47</f>
        <v>2.30556778196443</v>
      </c>
      <c r="AT58" s="13" t="n">
        <f aca="false">Inputs!$F$76*AT47</f>
        <v>1.9223882313193</v>
      </c>
      <c r="AU58" s="13" t="n">
        <f aca="false">Inputs!$F$76*AU47</f>
        <v>2.17521171186582</v>
      </c>
      <c r="AV58" s="13" t="n">
        <f aca="false">Inputs!$F$76*AV47</f>
        <v>1.73206875644171</v>
      </c>
      <c r="AW58" s="13" t="n">
        <f aca="false">Inputs!$F$76*AW47</f>
        <v>10.8337211314431</v>
      </c>
      <c r="AX58" s="13" t="n">
        <f aca="false">Inputs!$F$76*AX47</f>
        <v>1.07000098643801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8.99736698186031</v>
      </c>
      <c r="K59" s="13" t="n">
        <f aca="false">Inputs!$F$77*K47</f>
        <v>0.183243316281856</v>
      </c>
      <c r="L59" s="13" t="n">
        <f aca="false">Inputs!$F$77*L47</f>
        <v>0.219102246995106</v>
      </c>
      <c r="M59" s="13" t="n">
        <f aca="false">Inputs!$F$77*M47</f>
        <v>0.278957319680422</v>
      </c>
      <c r="N59" s="13" t="n">
        <f aca="false">Inputs!$F$77*N47</f>
        <v>0.366240163002563</v>
      </c>
      <c r="O59" s="13" t="n">
        <f aca="false">Inputs!$F$77*O47</f>
        <v>0.470244219379449</v>
      </c>
      <c r="P59" s="13" t="n">
        <f aca="false">Inputs!$F$77*P47</f>
        <v>0.581597620020929</v>
      </c>
      <c r="Q59" s="13" t="n">
        <f aca="false">Inputs!$F$77*Q47</f>
        <v>0.716085508962391</v>
      </c>
      <c r="R59" s="13" t="n">
        <f aca="false">Inputs!$F$77*R47</f>
        <v>0.84813159843153</v>
      </c>
      <c r="S59" s="13" t="n">
        <f aca="false">Inputs!$F$77*S47</f>
        <v>0.987428072310837</v>
      </c>
      <c r="T59" s="13" t="n">
        <f aca="false">Inputs!$F$77*T47</f>
        <v>1.12028202562258</v>
      </c>
      <c r="U59" s="13" t="n">
        <f aca="false">Inputs!$F$77*U47</f>
        <v>1.25444528047293</v>
      </c>
      <c r="V59" s="13" t="n">
        <f aca="false">Inputs!$F$77*V47</f>
        <v>1.3815875480974</v>
      </c>
      <c r="W59" s="13" t="n">
        <f aca="false">Inputs!$F$77*W47</f>
        <v>1.49773066436009</v>
      </c>
      <c r="X59" s="13" t="n">
        <f aca="false">Inputs!$F$77*X47</f>
        <v>1.60816558572877</v>
      </c>
      <c r="Y59" s="13" t="n">
        <f aca="false">Inputs!$F$77*Y47</f>
        <v>1.70098170236704</v>
      </c>
      <c r="Z59" s="13" t="n">
        <f aca="false">Inputs!$F$77*Z47</f>
        <v>1.78503688769509</v>
      </c>
      <c r="AA59" s="13" t="n">
        <f aca="false">Inputs!$F$77*AA47</f>
        <v>1.9364812819288</v>
      </c>
      <c r="AB59" s="13" t="n">
        <f aca="false">Inputs!$F$77*AB47</f>
        <v>1.89382826094414</v>
      </c>
      <c r="AC59" s="13" t="n">
        <f aca="false">Inputs!$F$77*AC47</f>
        <v>1.93224043160471</v>
      </c>
      <c r="AD59" s="13" t="n">
        <f aca="false">Inputs!$F$77*AD47</f>
        <v>1.96987433592777</v>
      </c>
      <c r="AE59" s="13" t="n">
        <f aca="false">Inputs!$F$77*AE47</f>
        <v>1.97044736934456</v>
      </c>
      <c r="AF59" s="13" t="n">
        <f aca="false">Inputs!$F$77*AF47</f>
        <v>1.94665173424982</v>
      </c>
      <c r="AG59" s="13" t="n">
        <f aca="false">Inputs!$F$77*AG47</f>
        <v>1.9109717989436</v>
      </c>
      <c r="AH59" s="13" t="n">
        <f aca="false">Inputs!$F$77*AH47</f>
        <v>1.85631480390149</v>
      </c>
      <c r="AI59" s="13" t="n">
        <f aca="false">Inputs!$F$77*AI47</f>
        <v>1.78213376519341</v>
      </c>
      <c r="AJ59" s="13" t="n">
        <f aca="false">Inputs!$F$77*AJ47</f>
        <v>1.81989827252862</v>
      </c>
      <c r="AK59" s="13" t="n">
        <f aca="false">Inputs!$F$77*AK47</f>
        <v>1.7182845411141</v>
      </c>
      <c r="AL59" s="13" t="n">
        <f aca="false">Inputs!$F$77*AL47</f>
        <v>1.61345660893806</v>
      </c>
      <c r="AM59" s="13" t="n">
        <f aca="false">Inputs!$F$77*AM47</f>
        <v>1.53546890659612</v>
      </c>
      <c r="AN59" s="13" t="n">
        <f aca="false">Inputs!$F$77*AN47</f>
        <v>1.39840203908526</v>
      </c>
      <c r="AO59" s="13" t="n">
        <f aca="false">Inputs!$F$77*AO47</f>
        <v>1.28272077626731</v>
      </c>
      <c r="AP59" s="13" t="n">
        <f aca="false">Inputs!$F$77*AP47</f>
        <v>1.00410212514994</v>
      </c>
      <c r="AQ59" s="13" t="n">
        <f aca="false">Inputs!$F$77*AQ47</f>
        <v>1.43906497563208</v>
      </c>
      <c r="AR59" s="13" t="n">
        <f aca="false">Inputs!$F$77*AR47</f>
        <v>1.21001124044365</v>
      </c>
      <c r="AS59" s="13" t="n">
        <f aca="false">Inputs!$F$77*AS47</f>
        <v>1.04798535543838</v>
      </c>
      <c r="AT59" s="13" t="n">
        <f aca="false">Inputs!$F$77*AT47</f>
        <v>0.873812832417863</v>
      </c>
      <c r="AU59" s="13" t="n">
        <f aca="false">Inputs!$F$77*AU47</f>
        <v>0.988732596302646</v>
      </c>
      <c r="AV59" s="13" t="n">
        <f aca="false">Inputs!$F$77*AV47</f>
        <v>0.787303980200778</v>
      </c>
      <c r="AW59" s="13" t="n">
        <f aca="false">Inputs!$F$77*AW47</f>
        <v>4.92441869611048</v>
      </c>
      <c r="AX59" s="13" t="n">
        <f aca="false">Inputs!$F$77*AX47</f>
        <v>0.486364084744548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34.1899945310692</v>
      </c>
      <c r="K60" s="13" t="n">
        <f aca="false">Inputs!$F$78*K47</f>
        <v>0.696324601871052</v>
      </c>
      <c r="L60" s="13" t="n">
        <f aca="false">Inputs!$F$78*L47</f>
        <v>0.832588538581404</v>
      </c>
      <c r="M60" s="13" t="n">
        <f aca="false">Inputs!$F$78*M47</f>
        <v>1.0600378147856</v>
      </c>
      <c r="N60" s="13" t="n">
        <f aca="false">Inputs!$F$78*N47</f>
        <v>1.39171261940974</v>
      </c>
      <c r="O60" s="13" t="n">
        <f aca="false">Inputs!$F$78*O47</f>
        <v>1.78692803364191</v>
      </c>
      <c r="P60" s="13" t="n">
        <f aca="false">Inputs!$F$78*P47</f>
        <v>2.21007095607953</v>
      </c>
      <c r="Q60" s="13" t="n">
        <f aca="false">Inputs!$F$78*Q47</f>
        <v>2.72112493405709</v>
      </c>
      <c r="R60" s="13" t="n">
        <f aca="false">Inputs!$F$78*R47</f>
        <v>3.22290007403981</v>
      </c>
      <c r="S60" s="13" t="n">
        <f aca="false">Inputs!$F$78*S47</f>
        <v>3.75222667478118</v>
      </c>
      <c r="T60" s="13" t="n">
        <f aca="false">Inputs!$F$78*T47</f>
        <v>4.25707169736582</v>
      </c>
      <c r="U60" s="13" t="n">
        <f aca="false">Inputs!$F$78*U47</f>
        <v>4.76689206579712</v>
      </c>
      <c r="V60" s="13" t="n">
        <f aca="false">Inputs!$F$78*V47</f>
        <v>5.2500326827701</v>
      </c>
      <c r="W60" s="13" t="n">
        <f aca="false">Inputs!$F$78*W47</f>
        <v>5.69137652456835</v>
      </c>
      <c r="X60" s="13" t="n">
        <f aca="false">Inputs!$F$78*X47</f>
        <v>6.11102922576934</v>
      </c>
      <c r="Y60" s="13" t="n">
        <f aca="false">Inputs!$F$78*Y47</f>
        <v>6.46373046899476</v>
      </c>
      <c r="Z60" s="13" t="n">
        <f aca="false">Inputs!$F$78*Z47</f>
        <v>6.78314017324135</v>
      </c>
      <c r="AA60" s="13" t="n">
        <f aca="false">Inputs!$F$78*AA47</f>
        <v>7.35862887132945</v>
      </c>
      <c r="AB60" s="13" t="n">
        <f aca="false">Inputs!$F$78*AB47</f>
        <v>7.19654739158775</v>
      </c>
      <c r="AC60" s="13" t="n">
        <f aca="false">Inputs!$F$78*AC47</f>
        <v>7.34251364009792</v>
      </c>
      <c r="AD60" s="13" t="n">
        <f aca="false">Inputs!$F$78*AD47</f>
        <v>7.48552247652551</v>
      </c>
      <c r="AE60" s="13" t="n">
        <f aca="false">Inputs!$F$78*AE47</f>
        <v>7.48770000350931</v>
      </c>
      <c r="AF60" s="13" t="n">
        <f aca="false">Inputs!$F$78*AF47</f>
        <v>7.39727659014931</v>
      </c>
      <c r="AG60" s="13" t="n">
        <f aca="false">Inputs!$F$78*AG47</f>
        <v>7.26169283598568</v>
      </c>
      <c r="AH60" s="13" t="n">
        <f aca="false">Inputs!$F$78*AH47</f>
        <v>7.05399625482566</v>
      </c>
      <c r="AI60" s="13" t="n">
        <f aca="false">Inputs!$F$78*AI47</f>
        <v>6.77210830773495</v>
      </c>
      <c r="AJ60" s="13" t="n">
        <f aca="false">Inputs!$F$78*AJ47</f>
        <v>6.91561343560876</v>
      </c>
      <c r="AK60" s="13" t="n">
        <f aca="false">Inputs!$F$78*AK47</f>
        <v>6.52948125623358</v>
      </c>
      <c r="AL60" s="13" t="n">
        <f aca="false">Inputs!$F$78*AL47</f>
        <v>6.13113511396462</v>
      </c>
      <c r="AM60" s="13" t="n">
        <f aca="false">Inputs!$F$78*AM47</f>
        <v>5.83478184506526</v>
      </c>
      <c r="AN60" s="13" t="n">
        <f aca="false">Inputs!$F$78*AN47</f>
        <v>5.31392774852398</v>
      </c>
      <c r="AO60" s="13" t="n">
        <f aca="false">Inputs!$F$78*AO47</f>
        <v>4.87433894981576</v>
      </c>
      <c r="AP60" s="13" t="n">
        <f aca="false">Inputs!$F$78*AP47</f>
        <v>3.81558807556976</v>
      </c>
      <c r="AQ60" s="13" t="n">
        <f aca="false">Inputs!$F$78*AQ47</f>
        <v>5.46844690740191</v>
      </c>
      <c r="AR60" s="13" t="n">
        <f aca="false">Inputs!$F$78*AR47</f>
        <v>4.59804271368588</v>
      </c>
      <c r="AS60" s="13" t="n">
        <f aca="false">Inputs!$F$78*AS47</f>
        <v>3.98234435066584</v>
      </c>
      <c r="AT60" s="13" t="n">
        <f aca="false">Inputs!$F$78*AT47</f>
        <v>3.32048876318788</v>
      </c>
      <c r="AU60" s="13" t="n">
        <f aca="false">Inputs!$F$78*AU47</f>
        <v>3.75718386595006</v>
      </c>
      <c r="AV60" s="13" t="n">
        <f aca="false">Inputs!$F$78*AV47</f>
        <v>2.99175512476296</v>
      </c>
      <c r="AW60" s="13" t="n">
        <f aca="false">Inputs!$F$78*AW47</f>
        <v>18.7127910452198</v>
      </c>
      <c r="AX60" s="13" t="n">
        <f aca="false">Inputs!$F$78*AX47</f>
        <v>1.84818352202928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26.9921009455809</v>
      </c>
      <c r="K61" s="13" t="n">
        <f aca="false">K28+K57</f>
        <v>27.5418308944265</v>
      </c>
      <c r="L61" s="13" t="n">
        <f aca="false">L28+L57</f>
        <v>28.1991376354118</v>
      </c>
      <c r="M61" s="13" t="n">
        <f aca="false">M28+M57</f>
        <v>29.0360095944531</v>
      </c>
      <c r="N61" s="13" t="n">
        <f aca="false">N28+N57</f>
        <v>30.1347300834608</v>
      </c>
      <c r="O61" s="13" t="n">
        <f aca="false">O28+O57</f>
        <v>31.5454627415991</v>
      </c>
      <c r="P61" s="13" t="n">
        <f aca="false">P28+P57</f>
        <v>33.2902556016619</v>
      </c>
      <c r="Q61" s="13" t="n">
        <f aca="false">Q28+Q57</f>
        <v>35.4385121285491</v>
      </c>
      <c r="R61" s="13" t="n">
        <f aca="false">R28+R57</f>
        <v>37.9829069238437</v>
      </c>
      <c r="S61" s="13" t="n">
        <f aca="false">S28+S57</f>
        <v>40.9451911407762</v>
      </c>
      <c r="T61" s="13" t="n">
        <f aca="false">T28+T57</f>
        <v>44.3060372176439</v>
      </c>
      <c r="U61" s="13" t="n">
        <f aca="false">U28+U57</f>
        <v>48.0693730590627</v>
      </c>
      <c r="V61" s="13" t="n">
        <f aca="false">V28+V57</f>
        <v>52.2141357033549</v>
      </c>
      <c r="W61" s="13" t="n">
        <f aca="false">W28+W57</f>
        <v>56.7073276964352</v>
      </c>
      <c r="X61" s="13" t="n">
        <f aca="false">X28+X57</f>
        <v>61.5318244536215</v>
      </c>
      <c r="Y61" s="13" t="n">
        <f aca="false">Y28+Y57</f>
        <v>66.6347695607226</v>
      </c>
      <c r="Z61" s="13" t="n">
        <f aca="false">Z28+Z57</f>
        <v>71.9898802238079</v>
      </c>
      <c r="AA61" s="13" t="n">
        <f aca="false">AA28+AA57</f>
        <v>77.7993240695943</v>
      </c>
      <c r="AB61" s="13" t="n">
        <f aca="false">AB28+AB57</f>
        <v>83.4808088524267</v>
      </c>
      <c r="AC61" s="13" t="n">
        <f aca="false">AC28+AC57</f>
        <v>89.2775301472409</v>
      </c>
      <c r="AD61" s="13" t="n">
        <f aca="false">AD28+AD57</f>
        <v>95.1871531550242</v>
      </c>
      <c r="AE61" s="13" t="n">
        <f aca="false">AE28+AE57</f>
        <v>101.098495263058</v>
      </c>
      <c r="AF61" s="13" t="n">
        <f aca="false">AF28+AF57</f>
        <v>106.938450465807</v>
      </c>
      <c r="AG61" s="13" t="n">
        <f aca="false">AG28+AG57</f>
        <v>112.671365862638</v>
      </c>
      <c r="AH61" s="13" t="n">
        <f aca="false">AH28+AH57</f>
        <v>118.240310274343</v>
      </c>
      <c r="AI61" s="13" t="n">
        <f aca="false">AI28+AI57</f>
        <v>123.586711569923</v>
      </c>
      <c r="AJ61" s="13" t="n">
        <f aca="false">AJ28+AJ57</f>
        <v>129.046406387509</v>
      </c>
      <c r="AK61" s="13" t="n">
        <f aca="false">AK28+AK57</f>
        <v>134.201260010851</v>
      </c>
      <c r="AL61" s="13" t="n">
        <f aca="false">AL28+AL57</f>
        <v>139.041629837665</v>
      </c>
      <c r="AM61" s="13" t="n">
        <f aca="false">AM28+AM57</f>
        <v>143.648036557453</v>
      </c>
      <c r="AN61" s="13" t="n">
        <f aca="false">AN28+AN57</f>
        <v>147.843242674709</v>
      </c>
      <c r="AO61" s="13" t="n">
        <f aca="false">AO28+AO57</f>
        <v>151.691405003511</v>
      </c>
      <c r="AP61" s="13" t="n">
        <f aca="false">AP28+AP57</f>
        <v>154.703711378961</v>
      </c>
      <c r="AQ61" s="13" t="n">
        <f aca="false">AQ28+AQ57</f>
        <v>159.020906305857</v>
      </c>
      <c r="AR61" s="13" t="n">
        <f aca="false">AR28+AR57</f>
        <v>162.650940027188</v>
      </c>
      <c r="AS61" s="13" t="n">
        <f aca="false">AS28+AS57</f>
        <v>165.794896093503</v>
      </c>
      <c r="AT61" s="13" t="n">
        <f aca="false">AT28+AT57</f>
        <v>168.416334590757</v>
      </c>
      <c r="AU61" s="13" t="n">
        <f aca="false">AU28+AU57</f>
        <v>171.382532379665</v>
      </c>
      <c r="AV61" s="13" t="n">
        <f aca="false">AV28+AV57</f>
        <v>173.744444320267</v>
      </c>
      <c r="AW61" s="13" t="n">
        <f aca="false">AW28+AW57</f>
        <v>188.517700408599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19.7942073600927</v>
      </c>
      <c r="K62" s="13" t="n">
        <f aca="false">K29+K58</f>
        <v>20.1973426559128</v>
      </c>
      <c r="L62" s="13" t="n">
        <f aca="false">L29+L58</f>
        <v>20.679367599302</v>
      </c>
      <c r="M62" s="13" t="n">
        <f aca="false">M29+M58</f>
        <v>21.2930737025989</v>
      </c>
      <c r="N62" s="13" t="n">
        <f aca="false">N29+N58</f>
        <v>22.0988020612046</v>
      </c>
      <c r="O62" s="13" t="n">
        <f aca="false">O29+O58</f>
        <v>23.1333393438393</v>
      </c>
      <c r="P62" s="13" t="n">
        <f aca="false">P29+P58</f>
        <v>24.4128541078854</v>
      </c>
      <c r="Q62" s="13" t="n">
        <f aca="false">Q29+Q58</f>
        <v>25.9882422276026</v>
      </c>
      <c r="R62" s="13" t="n">
        <f aca="false">R29+R58</f>
        <v>27.854131744152</v>
      </c>
      <c r="S62" s="13" t="n">
        <f aca="false">S29+S58</f>
        <v>30.0264735032359</v>
      </c>
      <c r="T62" s="13" t="n">
        <f aca="false">T29+T58</f>
        <v>32.4910939596055</v>
      </c>
      <c r="U62" s="13" t="n">
        <f aca="false">U29+U58</f>
        <v>35.250873576646</v>
      </c>
      <c r="V62" s="13" t="n">
        <f aca="false">V29+V58</f>
        <v>38.2903661824603</v>
      </c>
      <c r="W62" s="13" t="n">
        <f aca="false">W29+W58</f>
        <v>41.5853736440525</v>
      </c>
      <c r="X62" s="13" t="n">
        <f aca="false">X29+X58</f>
        <v>45.1233379326558</v>
      </c>
      <c r="Y62" s="13" t="n">
        <f aca="false">Y29+Y58</f>
        <v>48.8654976778633</v>
      </c>
      <c r="Z62" s="13" t="n">
        <f aca="false">Z29+Z58</f>
        <v>52.7925788307925</v>
      </c>
      <c r="AA62" s="13" t="n">
        <f aca="false">AA29+AA58</f>
        <v>57.0528376510358</v>
      </c>
      <c r="AB62" s="13" t="n">
        <f aca="false">AB29+AB58</f>
        <v>61.219259825113</v>
      </c>
      <c r="AC62" s="13" t="n">
        <f aca="false">AC29+AC58</f>
        <v>65.4701887746433</v>
      </c>
      <c r="AD62" s="13" t="n">
        <f aca="false">AD29+AD58</f>
        <v>69.8039123136844</v>
      </c>
      <c r="AE62" s="13" t="n">
        <f aca="false">AE29+AE58</f>
        <v>74.1388965262424</v>
      </c>
      <c r="AF62" s="13" t="n">
        <f aca="false">AF29+AF58</f>
        <v>78.421530341592</v>
      </c>
      <c r="AG62" s="13" t="n">
        <f aca="false">AG29+AG58</f>
        <v>82.625668299268</v>
      </c>
      <c r="AH62" s="13" t="n">
        <f aca="false">AH29+AH58</f>
        <v>86.7095608678512</v>
      </c>
      <c r="AI62" s="13" t="n">
        <f aca="false">AI29+AI58</f>
        <v>90.6302551512767</v>
      </c>
      <c r="AJ62" s="13" t="n">
        <f aca="false">AJ29+AJ58</f>
        <v>94.6340313508397</v>
      </c>
      <c r="AK62" s="13" t="n">
        <f aca="false">AK29+AK58</f>
        <v>98.4142573412907</v>
      </c>
      <c r="AL62" s="13" t="n">
        <f aca="false">AL29+AL58</f>
        <v>101.963861880954</v>
      </c>
      <c r="AM62" s="13" t="n">
        <f aca="false">AM29+AM58</f>
        <v>105.341893475466</v>
      </c>
      <c r="AN62" s="13" t="n">
        <f aca="false">AN29+AN58</f>
        <v>108.418377961453</v>
      </c>
      <c r="AO62" s="13" t="n">
        <f aca="false">AO29+AO58</f>
        <v>111.240363669242</v>
      </c>
      <c r="AP62" s="13" t="n">
        <f aca="false">AP29+AP58</f>
        <v>113.449388344571</v>
      </c>
      <c r="AQ62" s="13" t="n">
        <f aca="false">AQ29+AQ58</f>
        <v>116.615331290962</v>
      </c>
      <c r="AR62" s="13" t="n">
        <f aca="false">AR29+AR58</f>
        <v>119.277356019938</v>
      </c>
      <c r="AS62" s="13" t="n">
        <f aca="false">AS29+AS58</f>
        <v>121.582923801902</v>
      </c>
      <c r="AT62" s="13" t="n">
        <f aca="false">AT29+AT58</f>
        <v>123.505312033222</v>
      </c>
      <c r="AU62" s="13" t="n">
        <f aca="false">AU29+AU58</f>
        <v>125.680523745088</v>
      </c>
      <c r="AV62" s="13" t="n">
        <f aca="false">AV29+AV58</f>
        <v>127.412592501529</v>
      </c>
      <c r="AW62" s="13" t="n">
        <f aca="false">AW29+AW58</f>
        <v>138.246313632972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8.99736698186031</v>
      </c>
      <c r="K63" s="13" t="n">
        <f aca="false">K30+K59</f>
        <v>9.18061029814216</v>
      </c>
      <c r="L63" s="13" t="n">
        <f aca="false">L30+L59</f>
        <v>9.39971254513727</v>
      </c>
      <c r="M63" s="13" t="n">
        <f aca="false">M30+M59</f>
        <v>9.67866986481769</v>
      </c>
      <c r="N63" s="13" t="n">
        <f aca="false">N30+N59</f>
        <v>10.0449100278203</v>
      </c>
      <c r="O63" s="13" t="n">
        <f aca="false">O30+O59</f>
        <v>10.5151542471997</v>
      </c>
      <c r="P63" s="13" t="n">
        <f aca="false">P30+P59</f>
        <v>11.0967518672206</v>
      </c>
      <c r="Q63" s="13" t="n">
        <f aca="false">Q30+Q59</f>
        <v>11.812837376183</v>
      </c>
      <c r="R63" s="13" t="n">
        <f aca="false">R30+R59</f>
        <v>12.6609689746146</v>
      </c>
      <c r="S63" s="13" t="n">
        <f aca="false">S30+S59</f>
        <v>13.6483970469254</v>
      </c>
      <c r="T63" s="13" t="n">
        <f aca="false">T30+T59</f>
        <v>14.768679072548</v>
      </c>
      <c r="U63" s="13" t="n">
        <f aca="false">U30+U59</f>
        <v>16.0231243530209</v>
      </c>
      <c r="V63" s="13" t="n">
        <f aca="false">V30+V59</f>
        <v>17.4047119011183</v>
      </c>
      <c r="W63" s="13" t="n">
        <f aca="false">W30+W59</f>
        <v>18.9024425654784</v>
      </c>
      <c r="X63" s="13" t="n">
        <f aca="false">X30+X59</f>
        <v>20.5106081512072</v>
      </c>
      <c r="Y63" s="13" t="n">
        <f aca="false">Y30+Y59</f>
        <v>22.2115898535742</v>
      </c>
      <c r="Z63" s="13" t="n">
        <f aca="false">Z30+Z59</f>
        <v>23.9966267412693</v>
      </c>
      <c r="AA63" s="13" t="n">
        <f aca="false">AA30+AA59</f>
        <v>25.9331080231981</v>
      </c>
      <c r="AB63" s="13" t="n">
        <f aca="false">AB30+AB59</f>
        <v>27.8269362841422</v>
      </c>
      <c r="AC63" s="13" t="n">
        <f aca="false">AC30+AC59</f>
        <v>29.759176715747</v>
      </c>
      <c r="AD63" s="13" t="n">
        <f aca="false">AD30+AD59</f>
        <v>31.7290510516747</v>
      </c>
      <c r="AE63" s="13" t="n">
        <f aca="false">AE30+AE59</f>
        <v>33.6994984210193</v>
      </c>
      <c r="AF63" s="13" t="n">
        <f aca="false">AF30+AF59</f>
        <v>35.6461501552691</v>
      </c>
      <c r="AG63" s="13" t="n">
        <f aca="false">AG30+AG59</f>
        <v>37.5571219542127</v>
      </c>
      <c r="AH63" s="13" t="n">
        <f aca="false">AH30+AH59</f>
        <v>39.4134367581142</v>
      </c>
      <c r="AI63" s="13" t="n">
        <f aca="false">AI30+AI59</f>
        <v>41.1955705233076</v>
      </c>
      <c r="AJ63" s="13" t="n">
        <f aca="false">AJ30+AJ59</f>
        <v>43.0154687958362</v>
      </c>
      <c r="AK63" s="13" t="n">
        <f aca="false">AK30+AK59</f>
        <v>44.7337533369503</v>
      </c>
      <c r="AL63" s="13" t="n">
        <f aca="false">AL30+AL59</f>
        <v>46.3472099458884</v>
      </c>
      <c r="AM63" s="13" t="n">
        <f aca="false">AM30+AM59</f>
        <v>47.8826788524845</v>
      </c>
      <c r="AN63" s="13" t="n">
        <f aca="false">AN30+AN59</f>
        <v>49.2810808915698</v>
      </c>
      <c r="AO63" s="13" t="n">
        <f aca="false">AO30+AO59</f>
        <v>50.5638016678371</v>
      </c>
      <c r="AP63" s="13" t="n">
        <f aca="false">AP30+AP59</f>
        <v>51.567903792987</v>
      </c>
      <c r="AQ63" s="13" t="n">
        <f aca="false">AQ30+AQ59</f>
        <v>53.0069687686191</v>
      </c>
      <c r="AR63" s="13" t="n">
        <f aca="false">AR30+AR59</f>
        <v>54.2169800090627</v>
      </c>
      <c r="AS63" s="13" t="n">
        <f aca="false">AS30+AS59</f>
        <v>55.2649653645011</v>
      </c>
      <c r="AT63" s="13" t="n">
        <f aca="false">AT30+AT59</f>
        <v>56.138778196919</v>
      </c>
      <c r="AU63" s="13" t="n">
        <f aca="false">AU30+AU59</f>
        <v>57.1275107932216</v>
      </c>
      <c r="AV63" s="13" t="n">
        <f aca="false">AV30+AV59</f>
        <v>57.9148147734224</v>
      </c>
      <c r="AW63" s="13" t="n">
        <f aca="false">AW30+AW59</f>
        <v>62.8392334695329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34.1899945310692</v>
      </c>
      <c r="K64" s="13" t="n">
        <f aca="false">K31+K60</f>
        <v>34.8863191329402</v>
      </c>
      <c r="L64" s="13" t="n">
        <f aca="false">L31+L60</f>
        <v>35.7189076715216</v>
      </c>
      <c r="M64" s="13" t="n">
        <f aca="false">M31+M60</f>
        <v>36.7789454863072</v>
      </c>
      <c r="N64" s="13" t="n">
        <f aca="false">N31+N60</f>
        <v>38.170658105717</v>
      </c>
      <c r="O64" s="13" t="n">
        <f aca="false">O31+O60</f>
        <v>39.9575861393589</v>
      </c>
      <c r="P64" s="13" t="n">
        <f aca="false">P31+P60</f>
        <v>42.1676570954384</v>
      </c>
      <c r="Q64" s="13" t="n">
        <f aca="false">Q31+Q60</f>
        <v>44.8887820294955</v>
      </c>
      <c r="R64" s="13" t="n">
        <f aca="false">R31+R60</f>
        <v>48.1116821035353</v>
      </c>
      <c r="S64" s="13" t="n">
        <f aca="false">S31+S60</f>
        <v>51.8639087783165</v>
      </c>
      <c r="T64" s="13" t="n">
        <f aca="false">T31+T60</f>
        <v>56.1209804756823</v>
      </c>
      <c r="U64" s="13" t="n">
        <f aca="false">U31+U60</f>
        <v>60.8878725414794</v>
      </c>
      <c r="V64" s="13" t="n">
        <f aca="false">V31+V60</f>
        <v>66.1379052242495</v>
      </c>
      <c r="W64" s="13" t="n">
        <f aca="false">W31+W60</f>
        <v>71.8292817488179</v>
      </c>
      <c r="X64" s="13" t="n">
        <f aca="false">X31+X60</f>
        <v>77.9403109745872</v>
      </c>
      <c r="Y64" s="13" t="n">
        <f aca="false">Y31+Y60</f>
        <v>84.404041443582</v>
      </c>
      <c r="Z64" s="13" t="n">
        <f aca="false">Z31+Z60</f>
        <v>91.1871816168234</v>
      </c>
      <c r="AA64" s="13" t="n">
        <f aca="false">AA31+AA60</f>
        <v>98.5458104881528</v>
      </c>
      <c r="AB64" s="13" t="n">
        <f aca="false">AB31+AB60</f>
        <v>105.742357879741</v>
      </c>
      <c r="AC64" s="13" t="n">
        <f aca="false">AC31+AC60</f>
        <v>113.084871519838</v>
      </c>
      <c r="AD64" s="13" t="n">
        <f aca="false">AD31+AD60</f>
        <v>120.570393996364</v>
      </c>
      <c r="AE64" s="13" t="n">
        <f aca="false">AE31+AE60</f>
        <v>128.058093999873</v>
      </c>
      <c r="AF64" s="13" t="n">
        <f aca="false">AF31+AF60</f>
        <v>135.455370590023</v>
      </c>
      <c r="AG64" s="13" t="n">
        <f aca="false">AG31+AG60</f>
        <v>142.717063426008</v>
      </c>
      <c r="AH64" s="13" t="n">
        <f aca="false">AH31+AH60</f>
        <v>149.771059680834</v>
      </c>
      <c r="AI64" s="13" t="n">
        <f aca="false">AI31+AI60</f>
        <v>156.543167988569</v>
      </c>
      <c r="AJ64" s="13" t="n">
        <f aca="false">AJ31+AJ60</f>
        <v>163.458781424178</v>
      </c>
      <c r="AK64" s="13" t="n">
        <f aca="false">AK31+AK60</f>
        <v>169.988262680411</v>
      </c>
      <c r="AL64" s="13" t="n">
        <f aca="false">AL31+AL60</f>
        <v>176.119397794376</v>
      </c>
      <c r="AM64" s="13" t="n">
        <f aca="false">AM31+AM60</f>
        <v>181.954179639441</v>
      </c>
      <c r="AN64" s="13" t="n">
        <f aca="false">AN31+AN60</f>
        <v>187.268107387965</v>
      </c>
      <c r="AO64" s="13" t="n">
        <f aca="false">AO31+AO60</f>
        <v>192.142446337781</v>
      </c>
      <c r="AP64" s="13" t="n">
        <f aca="false">AP31+AP60</f>
        <v>195.958034413351</v>
      </c>
      <c r="AQ64" s="13" t="n">
        <f aca="false">AQ31+AQ60</f>
        <v>201.426481320753</v>
      </c>
      <c r="AR64" s="13" t="n">
        <f aca="false">AR31+AR60</f>
        <v>206.024524034438</v>
      </c>
      <c r="AS64" s="13" t="n">
        <f aca="false">AS31+AS60</f>
        <v>210.006868385104</v>
      </c>
      <c r="AT64" s="13" t="n">
        <f aca="false">AT31+AT60</f>
        <v>213.327357148292</v>
      </c>
      <c r="AU64" s="13" t="n">
        <f aca="false">AU31+AU60</f>
        <v>217.084541014242</v>
      </c>
      <c r="AV64" s="13" t="n">
        <f aca="false">AV31+AV60</f>
        <v>220.076296139005</v>
      </c>
      <c r="AW64" s="13" t="n">
        <f aca="false">AW31+AW60</f>
        <v>238.789087184225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</v>
      </c>
      <c r="AS65" s="13" t="n">
        <f aca="false">AS32+AS55</f>
        <v>0</v>
      </c>
      <c r="AT65" s="13" t="n">
        <f aca="false">AT32+AT55</f>
        <v>0</v>
      </c>
      <c r="AU65" s="13" t="n">
        <f aca="false">AU32+AU55</f>
        <v>0</v>
      </c>
      <c r="AV65" s="13" t="n">
        <f aca="false">AV32+AV55</f>
        <v>0</v>
      </c>
      <c r="AW65" s="13" t="n">
        <f aca="false">AW32+AW55</f>
        <v>0</v>
      </c>
      <c r="AX65" s="13" t="n">
        <f aca="false">AX32+AX55</f>
        <v>11.6707310507236</v>
      </c>
      <c r="AY65" s="13" t="n">
        <f aca="false">AY32+AY55</f>
        <v>11.6707310507236</v>
      </c>
      <c r="AZ65" s="13" t="n">
        <f aca="false">AZ32+AZ55</f>
        <v>11.6707310507236</v>
      </c>
      <c r="BA65" s="13" t="n">
        <f aca="false">BA32+BA55</f>
        <v>11.6707310507236</v>
      </c>
      <c r="BB65" s="13" t="n">
        <f aca="false">BB32+BB55</f>
        <v>11.6707310507236</v>
      </c>
      <c r="BC65" s="13" t="n">
        <f aca="false">BC32+BC55</f>
        <v>11.6707310507236</v>
      </c>
      <c r="BD65" s="13" t="n">
        <f aca="false">BD32+BD55</f>
        <v>11.6707310507236</v>
      </c>
      <c r="BE65" s="13" t="n">
        <f aca="false">BE32+BE55</f>
        <v>11.6707310507236</v>
      </c>
      <c r="BF65" s="13" t="n">
        <f aca="false">BF32+BF55</f>
        <v>11.6707310507236</v>
      </c>
      <c r="BG65" s="13" t="n">
        <f aca="false">BG32+BG55</f>
        <v>11.6707310507236</v>
      </c>
      <c r="BH65" s="13" t="n">
        <f aca="false">BH32+BH55</f>
        <v>11.6707310507236</v>
      </c>
      <c r="BI65" s="13" t="n">
        <f aca="false">BI32+BI55</f>
        <v>11.6707310507236</v>
      </c>
      <c r="BJ65" s="13" t="n">
        <f aca="false">BJ32+BJ55</f>
        <v>11.6707310507236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225.724011267626</v>
      </c>
      <c r="J67" s="13" t="n">
        <f aca="false">J50-J47+J56</f>
        <v>31.5183731856882</v>
      </c>
      <c r="K67" s="13" t="n">
        <f aca="false">K50-K47+K56</f>
        <v>0.641913488468208</v>
      </c>
      <c r="L67" s="13" t="n">
        <f aca="false">L50-L47+L56</f>
        <v>0.767529700693251</v>
      </c>
      <c r="M67" s="13" t="n">
        <f aca="false">M50-M47+M56</f>
        <v>0.977205989518163</v>
      </c>
      <c r="N67" s="13" t="n">
        <f aca="false">N50-N47+N56</f>
        <v>1.28296357771942</v>
      </c>
      <c r="O67" s="13" t="n">
        <f aca="false">O50-O47+O56</f>
        <v>1.64729668409608</v>
      </c>
      <c r="P67" s="13" t="n">
        <f aca="false">P50-P47+P56</f>
        <v>2.03737503079346</v>
      </c>
      <c r="Q67" s="13" t="n">
        <f aca="false">Q50-Q47+Q56</f>
        <v>2.508495024138</v>
      </c>
      <c r="R67" s="13" t="n">
        <f aca="false">R50-R47+R56</f>
        <v>2.97106123200635</v>
      </c>
      <c r="S67" s="13" t="n">
        <f aca="false">S50-S47+S56</f>
        <v>3.45902601726297</v>
      </c>
      <c r="T67" s="13" t="n">
        <f aca="false">T50-T47+T56</f>
        <v>3.92442222574439</v>
      </c>
      <c r="U67" s="13" t="n">
        <f aca="false">U50-U47+U56</f>
        <v>4.39440500434006</v>
      </c>
      <c r="V67" s="13" t="n">
        <f aca="false">V50-V47+V56</f>
        <v>4.83979279909622</v>
      </c>
      <c r="W67" s="13" t="n">
        <f aca="false">W50-W47+W56</f>
        <v>5.24664983723823</v>
      </c>
      <c r="X67" s="13" t="n">
        <f aca="false">X50-X47+X56</f>
        <v>5.63351069013529</v>
      </c>
      <c r="Y67" s="13" t="n">
        <f aca="false">Y50-Y47+Y56</f>
        <v>5.95865170169448</v>
      </c>
      <c r="Z67" s="13" t="n">
        <f aca="false">Z50-Z47+Z56</f>
        <v>6.25310258990464</v>
      </c>
      <c r="AA67" s="13" t="n">
        <f aca="false">AA50-AA47+AA56</f>
        <v>6.78362234573566</v>
      </c>
      <c r="AB67" s="13" t="n">
        <f aca="false">AB50-AB47+AB56</f>
        <v>6.63420598474896</v>
      </c>
      <c r="AC67" s="13" t="n">
        <f aca="false">AC50-AC47+AC56</f>
        <v>6.76876636582412</v>
      </c>
      <c r="AD67" s="13" t="n">
        <f aca="false">AD50-AD47+AD56</f>
        <v>6.90060042830928</v>
      </c>
      <c r="AE67" s="13" t="n">
        <f aca="false">AE50-AE47+AE56</f>
        <v>6.90260780236822</v>
      </c>
      <c r="AF67" s="13" t="n">
        <f aca="false">AF50-AF47+AF56</f>
        <v>6.81925011465598</v>
      </c>
      <c r="AG67" s="13" t="n">
        <f aca="false">AG50-AG47+AG56</f>
        <v>6.69426093521161</v>
      </c>
      <c r="AH67" s="13" t="n">
        <f aca="false">AH50-AH47+AH56</f>
        <v>6.50279385707434</v>
      </c>
      <c r="AI67" s="13" t="n">
        <f aca="false">AI50-AI47+AI56</f>
        <v>6.24293275926461</v>
      </c>
      <c r="AJ67" s="13" t="n">
        <f aca="false">AJ50-AJ47+AJ56</f>
        <v>6.37522433276212</v>
      </c>
      <c r="AK67" s="13" t="n">
        <f aca="false">AK50-AK47+AK56</f>
        <v>6.01926469323979</v>
      </c>
      <c r="AL67" s="13" t="n">
        <f aca="false">AL50-AL47+AL56</f>
        <v>5.65204549530446</v>
      </c>
      <c r="AM67" s="13" t="n">
        <f aca="false">AM50-AM47+AM56</f>
        <v>5.37884940235157</v>
      </c>
      <c r="AN67" s="13" t="n">
        <f aca="false">AN50-AN47+AN56</f>
        <v>4.89869507605695</v>
      </c>
      <c r="AO67" s="13" t="n">
        <f aca="false">AO50-AO47+AO56</f>
        <v>4.49345594115906</v>
      </c>
      <c r="AP67" s="13" t="n">
        <f aca="false">AP50-AP47+AP56</f>
        <v>3.51743633007562</v>
      </c>
      <c r="AQ67" s="13" t="n">
        <f aca="false">AQ50-AQ47+AQ56</f>
        <v>5.04114003928815</v>
      </c>
      <c r="AR67" s="13" t="n">
        <f aca="false">AR50-AR47+AR56</f>
        <v>4.2387496155342</v>
      </c>
      <c r="AS67" s="13" t="n">
        <f aca="false">AS50-AS47+AS56</f>
        <v>3.67116219583314</v>
      </c>
      <c r="AT67" s="13" t="n">
        <f aca="false">AT50-AT47+AT56</f>
        <v>3.0610242976768</v>
      </c>
      <c r="AU67" s="13" t="n">
        <f aca="false">AU50-AU47+AU56</f>
        <v>3.46359585131403</v>
      </c>
      <c r="AV67" s="13" t="n">
        <f aca="false">AV50-AV47+AV56</f>
        <v>2.75797805164274</v>
      </c>
      <c r="AW67" s="13" t="n">
        <f aca="false">AW50-AW47+AW56</f>
        <v>17.2505652486455</v>
      </c>
      <c r="AX67" s="13" t="n">
        <f aca="false">AX50-AX47+AX56</f>
        <v>5.59400932501164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211.524011267626</v>
      </c>
      <c r="J68" s="13" t="n">
        <f aca="false">J67-IF(Construction!J8=1,Inputs!$F$68,0)</f>
        <v>17.3183731856882</v>
      </c>
      <c r="K68" s="13" t="n">
        <f aca="false">K67-IF(Construction!K8=1,Inputs!$F$68,0)</f>
        <v>0.641913488468208</v>
      </c>
      <c r="L68" s="13" t="n">
        <f aca="false">L67-IF(Construction!L8=1,Inputs!$F$68,0)</f>
        <v>0.767529700693251</v>
      </c>
      <c r="M68" s="13" t="n">
        <f aca="false">M67-IF(Construction!M8=1,Inputs!$F$68,0)</f>
        <v>0.977205989518163</v>
      </c>
      <c r="N68" s="13" t="n">
        <f aca="false">N67-IF(Construction!N8=1,Inputs!$F$68,0)</f>
        <v>1.28296357771942</v>
      </c>
      <c r="O68" s="13" t="n">
        <f aca="false">O67-IF(Construction!O8=1,Inputs!$F$68,0)</f>
        <v>1.64729668409608</v>
      </c>
      <c r="P68" s="13" t="n">
        <f aca="false">P67-IF(Construction!P8=1,Inputs!$F$68,0)</f>
        <v>2.03737503079346</v>
      </c>
      <c r="Q68" s="13" t="n">
        <f aca="false">Q67-IF(Construction!Q8=1,Inputs!$F$68,0)</f>
        <v>2.508495024138</v>
      </c>
      <c r="R68" s="13" t="n">
        <f aca="false">R67-IF(Construction!R8=1,Inputs!$F$68,0)</f>
        <v>2.97106123200635</v>
      </c>
      <c r="S68" s="13" t="n">
        <f aca="false">S67-IF(Construction!S8=1,Inputs!$F$68,0)</f>
        <v>3.45902601726297</v>
      </c>
      <c r="T68" s="13" t="n">
        <f aca="false">T67-IF(Construction!T8=1,Inputs!$F$68,0)</f>
        <v>3.92442222574439</v>
      </c>
      <c r="U68" s="13" t="n">
        <f aca="false">U67-IF(Construction!U8=1,Inputs!$F$68,0)</f>
        <v>4.39440500434006</v>
      </c>
      <c r="V68" s="13" t="n">
        <f aca="false">V67-IF(Construction!V8=1,Inputs!$F$68,0)</f>
        <v>4.83979279909622</v>
      </c>
      <c r="W68" s="13" t="n">
        <f aca="false">W67-IF(Construction!W8=1,Inputs!$F$68,0)</f>
        <v>5.24664983723823</v>
      </c>
      <c r="X68" s="13" t="n">
        <f aca="false">X67-IF(Construction!X8=1,Inputs!$F$68,0)</f>
        <v>5.63351069013529</v>
      </c>
      <c r="Y68" s="13" t="n">
        <f aca="false">Y67-IF(Construction!Y8=1,Inputs!$F$68,0)</f>
        <v>5.95865170169448</v>
      </c>
      <c r="Z68" s="13" t="n">
        <f aca="false">Z67-IF(Construction!Z8=1,Inputs!$F$68,0)</f>
        <v>6.25310258990464</v>
      </c>
      <c r="AA68" s="13" t="n">
        <f aca="false">AA67-IF(Construction!AA8=1,Inputs!$F$68,0)</f>
        <v>6.78362234573566</v>
      </c>
      <c r="AB68" s="13" t="n">
        <f aca="false">AB67-IF(Construction!AB8=1,Inputs!$F$68,0)</f>
        <v>6.63420598474896</v>
      </c>
      <c r="AC68" s="13" t="n">
        <f aca="false">AC67-IF(Construction!AC8=1,Inputs!$F$68,0)</f>
        <v>6.76876636582412</v>
      </c>
      <c r="AD68" s="13" t="n">
        <f aca="false">AD67-IF(Construction!AD8=1,Inputs!$F$68,0)</f>
        <v>6.90060042830928</v>
      </c>
      <c r="AE68" s="13" t="n">
        <f aca="false">AE67-IF(Construction!AE8=1,Inputs!$F$68,0)</f>
        <v>6.90260780236822</v>
      </c>
      <c r="AF68" s="13" t="n">
        <f aca="false">AF67-IF(Construction!AF8=1,Inputs!$F$68,0)</f>
        <v>6.81925011465598</v>
      </c>
      <c r="AG68" s="13" t="n">
        <f aca="false">AG67-IF(Construction!AG8=1,Inputs!$F$68,0)</f>
        <v>6.69426093521161</v>
      </c>
      <c r="AH68" s="13" t="n">
        <f aca="false">AH67-IF(Construction!AH8=1,Inputs!$F$68,0)</f>
        <v>6.50279385707434</v>
      </c>
      <c r="AI68" s="13" t="n">
        <f aca="false">AI67-IF(Construction!AI8=1,Inputs!$F$68,0)</f>
        <v>6.24293275926461</v>
      </c>
      <c r="AJ68" s="13" t="n">
        <f aca="false">AJ67-IF(Construction!AJ8=1,Inputs!$F$68,0)</f>
        <v>6.37522433276212</v>
      </c>
      <c r="AK68" s="13" t="n">
        <f aca="false">AK67-IF(Construction!AK8=1,Inputs!$F$68,0)</f>
        <v>6.01926469323979</v>
      </c>
      <c r="AL68" s="13" t="n">
        <f aca="false">AL67-IF(Construction!AL8=1,Inputs!$F$68,0)</f>
        <v>5.65204549530446</v>
      </c>
      <c r="AM68" s="13" t="n">
        <f aca="false">AM67-IF(Construction!AM8=1,Inputs!$F$68,0)</f>
        <v>5.37884940235157</v>
      </c>
      <c r="AN68" s="13" t="n">
        <f aca="false">AN67-IF(Construction!AN8=1,Inputs!$F$68,0)</f>
        <v>4.89869507605695</v>
      </c>
      <c r="AO68" s="13" t="n">
        <f aca="false">AO67-IF(Construction!AO8=1,Inputs!$F$68,0)</f>
        <v>4.49345594115906</v>
      </c>
      <c r="AP68" s="13" t="n">
        <f aca="false">AP67-IF(Construction!AP8=1,Inputs!$F$68,0)</f>
        <v>3.51743633007562</v>
      </c>
      <c r="AQ68" s="13" t="n">
        <f aca="false">AQ67-IF(Construction!AQ8=1,Inputs!$F$68,0)</f>
        <v>5.04114003928815</v>
      </c>
      <c r="AR68" s="13" t="n">
        <f aca="false">AR67-IF(Construction!AR8=1,Inputs!$F$68,0)</f>
        <v>4.2387496155342</v>
      </c>
      <c r="AS68" s="13" t="n">
        <f aca="false">AS67-IF(Construction!AS8=1,Inputs!$F$68,0)</f>
        <v>3.67116219583314</v>
      </c>
      <c r="AT68" s="13" t="n">
        <f aca="false">AT67-IF(Construction!AT8=1,Inputs!$F$68,0)</f>
        <v>3.0610242976768</v>
      </c>
      <c r="AU68" s="13" t="n">
        <f aca="false">AU67-IF(Construction!AU8=1,Inputs!$F$68,0)</f>
        <v>3.46359585131403</v>
      </c>
      <c r="AV68" s="13" t="n">
        <f aca="false">AV67-IF(Construction!AV8=1,Inputs!$F$68,0)</f>
        <v>2.75797805164274</v>
      </c>
      <c r="AW68" s="13" t="n">
        <f aca="false">AW67-IF(Construction!AW8=1,Inputs!$F$68,0)</f>
        <v>17.2505652486455</v>
      </c>
      <c r="AX68" s="13" t="n">
        <f aca="false">AX67-IF(Construction!AX8=1,Inputs!$F$68,0)</f>
        <v>5.59400932501164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45.1448022535252</v>
      </c>
      <c r="J69" s="13" t="n">
        <f aca="false">(1-Inputs!$F$53)*J67</f>
        <v>6.30367463713763</v>
      </c>
      <c r="K69" s="13" t="n">
        <f aca="false">(1-Inputs!$F$53)*K67</f>
        <v>0.128382697693642</v>
      </c>
      <c r="L69" s="13" t="n">
        <f aca="false">(1-Inputs!$F$53)*L67</f>
        <v>0.15350594013865</v>
      </c>
      <c r="M69" s="13" t="n">
        <f aca="false">(1-Inputs!$F$53)*M67</f>
        <v>0.195441197903632</v>
      </c>
      <c r="N69" s="13" t="n">
        <f aca="false">(1-Inputs!$F$53)*N67</f>
        <v>0.256592715543883</v>
      </c>
      <c r="O69" s="13" t="n">
        <f aca="false">(1-Inputs!$F$53)*O67</f>
        <v>0.329459336819217</v>
      </c>
      <c r="P69" s="13" t="n">
        <f aca="false">(1-Inputs!$F$53)*P67</f>
        <v>0.407475006158692</v>
      </c>
      <c r="Q69" s="13" t="n">
        <f aca="false">(1-Inputs!$F$53)*Q67</f>
        <v>0.501699004827599</v>
      </c>
      <c r="R69" s="13" t="n">
        <f aca="false">(1-Inputs!$F$53)*R67</f>
        <v>0.59421224640127</v>
      </c>
      <c r="S69" s="13" t="n">
        <f aca="false">(1-Inputs!$F$53)*S67</f>
        <v>0.691805203452594</v>
      </c>
      <c r="T69" s="13" t="n">
        <f aca="false">(1-Inputs!$F$53)*T67</f>
        <v>0.784884445148877</v>
      </c>
      <c r="U69" s="13" t="n">
        <f aca="false">(1-Inputs!$F$53)*U67</f>
        <v>0.878881000868012</v>
      </c>
      <c r="V69" s="13" t="n">
        <f aca="false">(1-Inputs!$F$53)*V67</f>
        <v>0.967958559819244</v>
      </c>
      <c r="W69" s="13" t="n">
        <f aca="false">(1-Inputs!$F$53)*W67</f>
        <v>1.04932996744765</v>
      </c>
      <c r="X69" s="13" t="n">
        <f aca="false">(1-Inputs!$F$53)*X67</f>
        <v>1.12670213802706</v>
      </c>
      <c r="Y69" s="13" t="n">
        <f aca="false">(1-Inputs!$F$53)*Y67</f>
        <v>1.19173034033889</v>
      </c>
      <c r="Z69" s="13" t="n">
        <f aca="false">(1-Inputs!$F$53)*Z67</f>
        <v>1.25062051798093</v>
      </c>
      <c r="AA69" s="13" t="n">
        <f aca="false">(1-Inputs!$F$53)*AA67</f>
        <v>1.35672446914713</v>
      </c>
      <c r="AB69" s="13" t="n">
        <f aca="false">(1-Inputs!$F$53)*AB67</f>
        <v>1.32684119694979</v>
      </c>
      <c r="AC69" s="13" t="n">
        <f aca="false">(1-Inputs!$F$53)*AC67</f>
        <v>1.35375327316482</v>
      </c>
      <c r="AD69" s="13" t="n">
        <f aca="false">(1-Inputs!$F$53)*AD67</f>
        <v>1.38012008566185</v>
      </c>
      <c r="AE69" s="13" t="n">
        <f aca="false">(1-Inputs!$F$53)*AE67</f>
        <v>1.38052156047364</v>
      </c>
      <c r="AF69" s="13" t="n">
        <f aca="false">(1-Inputs!$F$53)*AF67</f>
        <v>1.3638500229312</v>
      </c>
      <c r="AG69" s="13" t="n">
        <f aca="false">(1-Inputs!$F$53)*AG67</f>
        <v>1.33885218704232</v>
      </c>
      <c r="AH69" s="13" t="n">
        <f aca="false">(1-Inputs!$F$53)*AH67</f>
        <v>1.30055877141487</v>
      </c>
      <c r="AI69" s="13" t="n">
        <f aca="false">(1-Inputs!$F$53)*AI67</f>
        <v>1.24858655185292</v>
      </c>
      <c r="AJ69" s="13" t="n">
        <f aca="false">(1-Inputs!$F$53)*AJ67</f>
        <v>1.27504486655242</v>
      </c>
      <c r="AK69" s="13" t="n">
        <f aca="false">(1-Inputs!$F$53)*AK67</f>
        <v>1.20385293864796</v>
      </c>
      <c r="AL69" s="13" t="n">
        <f aca="false">(1-Inputs!$F$53)*AL67</f>
        <v>1.13040909906089</v>
      </c>
      <c r="AM69" s="13" t="n">
        <f aca="false">(1-Inputs!$F$53)*AM67</f>
        <v>1.07576988047031</v>
      </c>
      <c r="AN69" s="13" t="n">
        <f aca="false">(1-Inputs!$F$53)*AN67</f>
        <v>0.97973901521139</v>
      </c>
      <c r="AO69" s="13" t="n">
        <f aca="false">(1-Inputs!$F$53)*AO67</f>
        <v>0.898691188231812</v>
      </c>
      <c r="AP69" s="13" t="n">
        <f aca="false">(1-Inputs!$F$53)*AP67</f>
        <v>0.703487266015123</v>
      </c>
      <c r="AQ69" s="13" t="n">
        <f aca="false">(1-Inputs!$F$53)*AQ67</f>
        <v>1.00822800785763</v>
      </c>
      <c r="AR69" s="13" t="n">
        <f aca="false">(1-Inputs!$F$53)*AR67</f>
        <v>0.84774992310684</v>
      </c>
      <c r="AS69" s="13" t="n">
        <f aca="false">(1-Inputs!$F$53)*AS67</f>
        <v>0.734232439166628</v>
      </c>
      <c r="AT69" s="13" t="n">
        <f aca="false">(1-Inputs!$F$53)*AT67</f>
        <v>0.61220485953536</v>
      </c>
      <c r="AU69" s="13" t="n">
        <f aca="false">(1-Inputs!$F$53)*AU67</f>
        <v>0.692719170262805</v>
      </c>
      <c r="AV69" s="13" t="n">
        <f aca="false">(1-Inputs!$F$53)*AV67</f>
        <v>0.551595610328547</v>
      </c>
      <c r="AW69" s="13" t="n">
        <f aca="false">(1-Inputs!$F$53)*AW67</f>
        <v>3.4501130497291</v>
      </c>
      <c r="AX69" s="13" t="n">
        <f aca="false">(1-Inputs!$F$53)*AX67</f>
        <v>1.11880186500233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180.579209014101</v>
      </c>
      <c r="J70" s="13" t="n">
        <f aca="false">Inputs!$F$53*J67</f>
        <v>25.2146985485505</v>
      </c>
      <c r="K70" s="13" t="n">
        <f aca="false">Inputs!$F$53*K67</f>
        <v>0.513530790774566</v>
      </c>
      <c r="L70" s="13" t="n">
        <f aca="false">Inputs!$F$53*L67</f>
        <v>0.614023760554601</v>
      </c>
      <c r="M70" s="13" t="n">
        <f aca="false">Inputs!$F$53*M67</f>
        <v>0.78176479161453</v>
      </c>
      <c r="N70" s="13" t="n">
        <f aca="false">Inputs!$F$53*N67</f>
        <v>1.02637086217553</v>
      </c>
      <c r="O70" s="13" t="n">
        <f aca="false">Inputs!$F$53*O67</f>
        <v>1.31783734727687</v>
      </c>
      <c r="P70" s="13" t="n">
        <f aca="false">Inputs!$F$53*P67</f>
        <v>1.62990002463477</v>
      </c>
      <c r="Q70" s="13" t="n">
        <f aca="false">Inputs!$F$53*Q67</f>
        <v>2.0067960193104</v>
      </c>
      <c r="R70" s="13" t="n">
        <f aca="false">Inputs!$F$53*R67</f>
        <v>2.37684898560508</v>
      </c>
      <c r="S70" s="13" t="n">
        <f aca="false">Inputs!$F$53*S67</f>
        <v>2.76722081381038</v>
      </c>
      <c r="T70" s="13" t="n">
        <f aca="false">Inputs!$F$53*T67</f>
        <v>3.13953778059551</v>
      </c>
      <c r="U70" s="13" t="n">
        <f aca="false">Inputs!$F$53*U67</f>
        <v>3.51552400347205</v>
      </c>
      <c r="V70" s="13" t="n">
        <f aca="false">Inputs!$F$53*V67</f>
        <v>3.87183423927698</v>
      </c>
      <c r="W70" s="13" t="n">
        <f aca="false">Inputs!$F$53*W67</f>
        <v>4.19731986979059</v>
      </c>
      <c r="X70" s="13" t="n">
        <f aca="false">Inputs!$F$53*X67</f>
        <v>4.50680855210823</v>
      </c>
      <c r="Y70" s="13" t="n">
        <f aca="false">Inputs!$F$53*Y67</f>
        <v>4.76692136135558</v>
      </c>
      <c r="Z70" s="13" t="n">
        <f aca="false">Inputs!$F$53*Z67</f>
        <v>5.00248207192372</v>
      </c>
      <c r="AA70" s="13" t="n">
        <f aca="false">Inputs!$F$53*AA67</f>
        <v>5.42689787658853</v>
      </c>
      <c r="AB70" s="13" t="n">
        <f aca="false">Inputs!$F$53*AB67</f>
        <v>5.30736478779917</v>
      </c>
      <c r="AC70" s="13" t="n">
        <f aca="false">Inputs!$F$53*AC67</f>
        <v>5.4150130926593</v>
      </c>
      <c r="AD70" s="13" t="n">
        <f aca="false">Inputs!$F$53*AD67</f>
        <v>5.52048034264742</v>
      </c>
      <c r="AE70" s="13" t="n">
        <f aca="false">Inputs!$F$53*AE67</f>
        <v>5.52208624189458</v>
      </c>
      <c r="AF70" s="13" t="n">
        <f aca="false">Inputs!$F$53*AF67</f>
        <v>5.45540009172478</v>
      </c>
      <c r="AG70" s="13" t="n">
        <f aca="false">Inputs!$F$53*AG67</f>
        <v>5.35540874816929</v>
      </c>
      <c r="AH70" s="13" t="n">
        <f aca="false">Inputs!$F$53*AH67</f>
        <v>5.20223508565947</v>
      </c>
      <c r="AI70" s="13" t="n">
        <f aca="false">Inputs!$F$53*AI67</f>
        <v>4.99434620741168</v>
      </c>
      <c r="AJ70" s="13" t="n">
        <f aca="false">Inputs!$F$53*AJ67</f>
        <v>5.1001794662097</v>
      </c>
      <c r="AK70" s="13" t="n">
        <f aca="false">Inputs!$F$53*AK67</f>
        <v>4.81541175459183</v>
      </c>
      <c r="AL70" s="13" t="n">
        <f aca="false">Inputs!$F$53*AL67</f>
        <v>4.52163639624357</v>
      </c>
      <c r="AM70" s="13" t="n">
        <f aca="false">Inputs!$F$53*AM67</f>
        <v>4.30307952188126</v>
      </c>
      <c r="AN70" s="13" t="n">
        <f aca="false">Inputs!$F$53*AN67</f>
        <v>3.91895606084556</v>
      </c>
      <c r="AO70" s="13" t="n">
        <f aca="false">Inputs!$F$53*AO67</f>
        <v>3.59476475292725</v>
      </c>
      <c r="AP70" s="13" t="n">
        <f aca="false">Inputs!$F$53*AP67</f>
        <v>2.81394906406049</v>
      </c>
      <c r="AQ70" s="13" t="n">
        <f aca="false">Inputs!$F$53*AQ67</f>
        <v>4.03291203143052</v>
      </c>
      <c r="AR70" s="13" t="n">
        <f aca="false">Inputs!$F$53*AR67</f>
        <v>3.39099969242736</v>
      </c>
      <c r="AS70" s="13" t="n">
        <f aca="false">Inputs!$F$53*AS67</f>
        <v>2.93692975666651</v>
      </c>
      <c r="AT70" s="13" t="n">
        <f aca="false">Inputs!$F$53*AT67</f>
        <v>2.44881943814144</v>
      </c>
      <c r="AU70" s="13" t="n">
        <f aca="false">Inputs!$F$53*AU67</f>
        <v>2.77087668105122</v>
      </c>
      <c r="AV70" s="13" t="n">
        <f aca="false">Inputs!$F$53*AV67</f>
        <v>2.20638244131419</v>
      </c>
      <c r="AW70" s="13" t="n">
        <f aca="false">Inputs!$F$53*AW67</f>
        <v>13.8004521989164</v>
      </c>
      <c r="AX70" s="13" t="n">
        <f aca="false">Inputs!$F$53*AX67</f>
        <v>4.47520746000932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29.8624885632915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0.196881892776353</v>
      </c>
      <c r="L71" s="13" t="n">
        <f aca="false">IF(Construction!L8&lt;=Time!$F$11,K72*Inputs!$F$104/100*Construction!L11/Inputs!$F$248,0)</f>
        <v>0.209176582406956</v>
      </c>
      <c r="M71" s="13" t="n">
        <f aca="false">IF(Construction!M8&lt;=Time!$F$11,L72*Inputs!$F$104/100*Construction!M11/Inputs!$F$248,0)</f>
        <v>0.208856679421725</v>
      </c>
      <c r="N71" s="13" t="n">
        <f aca="false">IF(Construction!N8&lt;=Time!$F$11,M72*Inputs!$F$104/100*Construction!N11/Inputs!$F$248,0)</f>
        <v>0.22381139128976</v>
      </c>
      <c r="O71" s="13" t="n">
        <f aca="false">IF(Construction!O8&lt;=Time!$F$11,N72*Inputs!$F$104/100*Construction!O11/Inputs!$F$248,0)</f>
        <v>0.233898478238952</v>
      </c>
      <c r="P71" s="13" t="n">
        <f aca="false">IF(Construction!P8&lt;=Time!$F$11,O72*Inputs!$F$104/100*Construction!P11/Inputs!$F$248,0)</f>
        <v>0.222571682171819</v>
      </c>
      <c r="Q71" s="13" t="n">
        <f aca="false">IF(Construction!Q8&lt;=Time!$F$11,P72*Inputs!$F$104/100*Construction!Q11/Inputs!$F$248,0)</f>
        <v>0.261365303397006</v>
      </c>
      <c r="R71" s="13" t="n">
        <f aca="false">IF(Construction!R8&lt;=Time!$F$11,Q72*Inputs!$F$104/100*Construction!R11/Inputs!$F$248,0)</f>
        <v>0.270644465316696</v>
      </c>
      <c r="S71" s="13" t="n">
        <f aca="false">IF(Construction!S8&lt;=Time!$F$11,R72*Inputs!$F$104/100*Construction!S11/Inputs!$F$248,0)</f>
        <v>0.301027230269164</v>
      </c>
      <c r="T71" s="13" t="n">
        <f aca="false">IF(Construction!T8&lt;=Time!$F$11,S72*Inputs!$F$104/100*Construction!T11/Inputs!$F$248,0)</f>
        <v>0.315274227674925</v>
      </c>
      <c r="U71" s="13" t="n">
        <f aca="false">IF(Construction!U8&lt;=Time!$F$11,T72*Inputs!$F$104/100*Construction!U11/Inputs!$F$248,0)</f>
        <v>0.353658495623057</v>
      </c>
      <c r="V71" s="13" t="n">
        <f aca="false">IF(Construction!V8&lt;=Time!$F$11,U72*Inputs!$F$104/100*Construction!V11/Inputs!$F$248,0)</f>
        <v>0.384876968115756</v>
      </c>
      <c r="W71" s="13" t="n">
        <f aca="false">IF(Construction!W8&lt;=Time!$F$11,V72*Inputs!$F$104/100*Construction!W11/Inputs!$F$248,0)</f>
        <v>0.405698916132627</v>
      </c>
      <c r="X71" s="13" t="n">
        <f aca="false">IF(Construction!X8&lt;=Time!$F$11,W72*Inputs!$F$104/100*Construction!X11/Inputs!$F$248,0)</f>
        <v>0.456361638883743</v>
      </c>
      <c r="Y71" s="13" t="n">
        <f aca="false">IF(Construction!Y8&lt;=Time!$F$11,X72*Inputs!$F$104/100*Construction!Y11/Inputs!$F$248,0)</f>
        <v>0.480393816363334</v>
      </c>
      <c r="Z71" s="13" t="n">
        <f aca="false">IF(Construction!Z8&lt;=Time!$F$11,Y72*Inputs!$F$104/100*Construction!Z11/Inputs!$F$248,0)</f>
        <v>0.538744870146356</v>
      </c>
      <c r="AA71" s="13" t="n">
        <f aca="false">IF(Construction!AA8&lt;=Time!$F$11,Z72*Inputs!$F$104/100*Construction!AA11/Inputs!$F$248,0)</f>
        <v>0.583454221774839</v>
      </c>
      <c r="AB71" s="13" t="n">
        <f aca="false">IF(Construction!AB8&lt;=Time!$F$11,AA72*Inputs!$F$104/100*Construction!AB11/Inputs!$F$248,0)</f>
        <v>0.591177822222483</v>
      </c>
      <c r="AC71" s="13" t="n">
        <f aca="false">IF(Construction!AC8&lt;=Time!$F$11,AB72*Inputs!$F$104/100*Construction!AC11/Inputs!$F$248,0)</f>
        <v>0.679541057161671</v>
      </c>
      <c r="AD71" s="13" t="n">
        <f aca="false">IF(Construction!AD8&lt;=Time!$F$11,AC72*Inputs!$F$104/100*Construction!AD11/Inputs!$F$248,0)</f>
        <v>0.705207992492884</v>
      </c>
      <c r="AE71" s="13" t="n">
        <f aca="false">IF(Construction!AE8&lt;=Time!$F$11,AD72*Inputs!$F$104/100*Construction!AE11/Inputs!$F$248,0)</f>
        <v>0.778946849266359</v>
      </c>
      <c r="AF71" s="13" t="n">
        <f aca="false">IF(Construction!AF8&lt;=Time!$F$11,AE72*Inputs!$F$104/100*Construction!AF11/Inputs!$F$248,0)</f>
        <v>0.803019378972223</v>
      </c>
      <c r="AG71" s="13" t="n">
        <f aca="false">IF(Construction!AG8&lt;=Time!$F$11,AF72*Inputs!$F$104/100*Construction!AG11/Inputs!$F$248,0)</f>
        <v>0.880282706238062</v>
      </c>
      <c r="AH71" s="13" t="n">
        <f aca="false">IF(Construction!AH8&lt;=Time!$F$11,AG72*Inputs!$F$104/100*Construction!AH11/Inputs!$F$248,0)</f>
        <v>0.930595340027732</v>
      </c>
      <c r="AI71" s="13" t="n">
        <f aca="false">IF(Construction!AI8&lt;=Time!$F$11,AH72*Inputs!$F$104/100*Construction!AI11/Inputs!$F$248,0)</f>
        <v>0.948462619656485</v>
      </c>
      <c r="AJ71" s="13" t="n">
        <f aca="false">IF(Construction!AJ8&lt;=Time!$F$11,AI72*Inputs!$F$104/100*Construction!AJ11/Inputs!$F$248,0)</f>
        <v>1.02802755262873</v>
      </c>
      <c r="AK71" s="13" t="n">
        <f aca="false">IF(Construction!AK8&lt;=Time!$F$11,AJ72*Inputs!$F$104/100*Construction!AK11/Inputs!$F$248,0)</f>
        <v>1.04271575708343</v>
      </c>
      <c r="AL71" s="13" t="n">
        <f aca="false">IF(Construction!AL8&lt;=Time!$F$11,AK72*Inputs!$F$104/100*Construction!AL11/Inputs!$F$248,0)</f>
        <v>1.12473921069</v>
      </c>
      <c r="AM71" s="13" t="n">
        <f aca="false">IF(Construction!AM8&lt;=Time!$F$11,AL72*Inputs!$F$104/100*Construction!AM11/Inputs!$F$248,0)</f>
        <v>1.17029695360074</v>
      </c>
      <c r="AN71" s="13" t="n">
        <f aca="false">IF(Construction!AN8&lt;=Time!$F$11,AM72*Inputs!$F$104/100*Construction!AN11/Inputs!$F$248,0)</f>
        <v>1.09693057799097</v>
      </c>
      <c r="AO71" s="13" t="n">
        <f aca="false">IF(Construction!AO8&lt;=Time!$F$11,AN72*Inputs!$F$104/100*Construction!AO11/Inputs!$F$248,0)</f>
        <v>1.25492950119435</v>
      </c>
      <c r="AP71" s="13" t="n">
        <f aca="false">IF(Construction!AP8&lt;=Time!$F$11,AO72*Inputs!$F$104/100*Construction!AP11/Inputs!$F$248,0)</f>
        <v>1.25231538006449</v>
      </c>
      <c r="AQ71" s="13" t="n">
        <f aca="false">IF(Construction!AQ8&lt;=Time!$F$11,AP72*Inputs!$F$104/100*Construction!AQ11/Inputs!$F$248,0)</f>
        <v>1.32686785288294</v>
      </c>
      <c r="AR71" s="13" t="n">
        <f aca="false">IF(Construction!AR8&lt;=Time!$F$11,AQ72*Inputs!$F$104/100*Construction!AR11/Inputs!$F$248,0)</f>
        <v>1.32591600016326</v>
      </c>
      <c r="AS71" s="13" t="n">
        <f aca="false">IF(Construction!AS8&lt;=Time!$F$11,AR72*Inputs!$F$104/100*Construction!AS11/Inputs!$F$248,0)</f>
        <v>1.40817160212673</v>
      </c>
      <c r="AT71" s="13" t="n">
        <f aca="false">IF(Construction!AT8&lt;=Time!$F$11,AS72*Inputs!$F$104/100*Construction!AT11/Inputs!$F$248,0)</f>
        <v>1.44323002267918</v>
      </c>
      <c r="AU71" s="13" t="n">
        <f aca="false">IF(Construction!AU8&lt;=Time!$F$11,AT72*Inputs!$F$104/100*Construction!AU11/Inputs!$F$248,0)</f>
        <v>1.42706419073801</v>
      </c>
      <c r="AV71" s="13" t="n">
        <f aca="false">IF(Construction!AV8&lt;=Time!$F$11,AU72*Inputs!$F$104/100*Construction!AV11/Inputs!$F$248,0)</f>
        <v>1.50850405426695</v>
      </c>
      <c r="AW71" s="13" t="n">
        <f aca="false">IF(Construction!AW8&lt;=Time!$F$11,AV72*Inputs!$F$104/100*Construction!AW11/Inputs!$F$248,0)</f>
        <v>1.48884928114076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25.2146985485505</v>
      </c>
      <c r="K72" s="13" t="n">
        <f aca="false">J72+K71+K70</f>
        <v>25.9251112321015</v>
      </c>
      <c r="L72" s="13" t="n">
        <f aca="false">K72+L71+L70</f>
        <v>26.748311575063</v>
      </c>
      <c r="M72" s="13" t="n">
        <f aca="false">L72+M71+M70</f>
        <v>27.7389330460993</v>
      </c>
      <c r="N72" s="13" t="n">
        <f aca="false">M72+N71+N70</f>
        <v>28.9891152995646</v>
      </c>
      <c r="O72" s="13" t="n">
        <f aca="false">N72+O71+O70</f>
        <v>30.5408511250804</v>
      </c>
      <c r="P72" s="13" t="n">
        <f aca="false">O72+P71+P70</f>
        <v>32.393322831887</v>
      </c>
      <c r="Q72" s="13" t="n">
        <f aca="false">P72+Q71+Q70</f>
        <v>34.6614841545944</v>
      </c>
      <c r="R72" s="13" t="n">
        <f aca="false">Q72+R71+R70</f>
        <v>37.3089776055161</v>
      </c>
      <c r="S72" s="13" t="n">
        <f aca="false">R72+S71+S70</f>
        <v>40.3772256495957</v>
      </c>
      <c r="T72" s="13" t="n">
        <f aca="false">S72+T71+T70</f>
        <v>43.8320376578661</v>
      </c>
      <c r="U72" s="13" t="n">
        <f aca="false">T72+U71+U70</f>
        <v>47.7012201569612</v>
      </c>
      <c r="V72" s="13" t="n">
        <f aca="false">U72+V71+V70</f>
        <v>51.9579313643539</v>
      </c>
      <c r="W72" s="13" t="n">
        <f aca="false">V72+W71+W70</f>
        <v>56.5609501502772</v>
      </c>
      <c r="X72" s="13" t="n">
        <f aca="false">W72+X71+X70</f>
        <v>61.5241203412691</v>
      </c>
      <c r="Y72" s="13" t="n">
        <f aca="false">X72+Y71+Y70</f>
        <v>66.771435518988</v>
      </c>
      <c r="Z72" s="13" t="n">
        <f aca="false">Y72+Z71+Z70</f>
        <v>72.3126624610581</v>
      </c>
      <c r="AA72" s="13" t="n">
        <f aca="false">Z72+AA71+AA70</f>
        <v>78.3230145594215</v>
      </c>
      <c r="AB72" s="13" t="n">
        <f aca="false">AA72+AB71+AB70</f>
        <v>84.2215571694431</v>
      </c>
      <c r="AC72" s="13" t="n">
        <f aca="false">AB72+AC71+AC70</f>
        <v>90.3161113192641</v>
      </c>
      <c r="AD72" s="13" t="n">
        <f aca="false">AC72+AD71+AD70</f>
        <v>96.5417996544044</v>
      </c>
      <c r="AE72" s="13" t="n">
        <f aca="false">AD72+AE71+AE70</f>
        <v>102.842832745565</v>
      </c>
      <c r="AF72" s="13" t="n">
        <f aca="false">AE72+AF71+AF70</f>
        <v>109.101252216262</v>
      </c>
      <c r="AG72" s="13" t="n">
        <f aca="false">AF72+AG71+AG70</f>
        <v>115.33694367067</v>
      </c>
      <c r="AH72" s="13" t="n">
        <f aca="false">AG72+AH71+AH70</f>
        <v>121.469774096357</v>
      </c>
      <c r="AI72" s="13" t="n">
        <f aca="false">AH72+AI71+AI70</f>
        <v>127.412582923425</v>
      </c>
      <c r="AJ72" s="13" t="n">
        <f aca="false">AI72+AJ71+AJ70</f>
        <v>133.540789942263</v>
      </c>
      <c r="AK72" s="13" t="n">
        <f aca="false">AJ72+AK71+AK70</f>
        <v>139.398917453939</v>
      </c>
      <c r="AL72" s="13" t="n">
        <f aca="false">AK72+AL71+AL70</f>
        <v>145.045293060872</v>
      </c>
      <c r="AM72" s="13" t="n">
        <f aca="false">AL72+AM71+AM70</f>
        <v>150.518669536354</v>
      </c>
      <c r="AN72" s="13" t="n">
        <f aca="false">AM72+AN71+AN70</f>
        <v>155.534556175191</v>
      </c>
      <c r="AO72" s="13" t="n">
        <f aca="false">AN72+AO71+AO70</f>
        <v>160.384250429312</v>
      </c>
      <c r="AP72" s="13" t="n">
        <f aca="false">AO72+AP71+AP70</f>
        <v>164.450514873437</v>
      </c>
      <c r="AQ72" s="13" t="n">
        <f aca="false">AP72+AQ71+AQ70</f>
        <v>169.810294757751</v>
      </c>
      <c r="AR72" s="13" t="n">
        <f aca="false">AQ72+AR71+AR70</f>
        <v>174.527210450341</v>
      </c>
      <c r="AS72" s="13" t="n">
        <f aca="false">AR72+AS71+AS70</f>
        <v>178.872311809135</v>
      </c>
      <c r="AT72" s="13" t="n">
        <f aca="false">AS72+AT71+AT70</f>
        <v>182.764361269955</v>
      </c>
      <c r="AU72" s="13" t="n">
        <f aca="false">AT72+AU71+AU70</f>
        <v>186.962302141745</v>
      </c>
      <c r="AV72" s="13" t="n">
        <f aca="false">AU72+AV71+AV70</f>
        <v>190.677188637326</v>
      </c>
      <c r="AW72" s="13" t="n">
        <f aca="false">AV72+AW71+AW70</f>
        <v>205.966490117383</v>
      </c>
      <c r="AX72" s="13" t="n">
        <f aca="false">AW72+AX71+AX70</f>
        <v>210.441697577392</v>
      </c>
      <c r="AY72" s="13" t="n">
        <f aca="false">AX72+AY71+AY70</f>
        <v>210.441697577392</v>
      </c>
      <c r="AZ72" s="13" t="n">
        <f aca="false">AY72+AZ71+AZ70</f>
        <v>210.441697577392</v>
      </c>
      <c r="BA72" s="13" t="n">
        <f aca="false">AZ72+BA71+BA70</f>
        <v>210.441697577392</v>
      </c>
      <c r="BB72" s="13" t="n">
        <f aca="false">BA72+BB71+BB70</f>
        <v>210.441697577392</v>
      </c>
      <c r="BC72" s="13" t="n">
        <f aca="false">BB72+BC71+BC70</f>
        <v>210.441697577392</v>
      </c>
      <c r="BD72" s="13" t="n">
        <f aca="false">BC72+BD71+BD70</f>
        <v>210.441697577392</v>
      </c>
      <c r="BE72" s="13" t="n">
        <f aca="false">BD72+BE71+BE70</f>
        <v>210.441697577392</v>
      </c>
      <c r="BF72" s="13" t="n">
        <f aca="false">BE72+BF71+BF70</f>
        <v>210.441697577392</v>
      </c>
      <c r="BG72" s="13" t="n">
        <f aca="false">BF72+BG71+BG70</f>
        <v>210.441697577392</v>
      </c>
      <c r="BH72" s="13" t="n">
        <f aca="false">BG72+BH71+BH70</f>
        <v>210.441697577392</v>
      </c>
      <c r="BI72" s="13" t="n">
        <f aca="false">BH72+BI71+BI70</f>
        <v>210.441697577392</v>
      </c>
      <c r="BJ72" s="13" t="n">
        <f aca="false">BI72+BJ71+BJ70</f>
        <v>210.441697577392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644.926706593498</v>
      </c>
      <c r="J73" s="13" t="n">
        <f aca="false">J47+J55</f>
        <v>89.9736698186031</v>
      </c>
      <c r="K73" s="13" t="n">
        <f aca="false">K47+K55</f>
        <v>1.83243316281856</v>
      </c>
      <c r="L73" s="13" t="n">
        <f aca="false">L47+L55</f>
        <v>2.19102246995106</v>
      </c>
      <c r="M73" s="13" t="n">
        <f aca="false">M47+M55</f>
        <v>2.78957319680422</v>
      </c>
      <c r="N73" s="13" t="n">
        <f aca="false">N47+N55</f>
        <v>3.66240163002563</v>
      </c>
      <c r="O73" s="13" t="n">
        <f aca="false">O47+O55</f>
        <v>4.70244219379449</v>
      </c>
      <c r="P73" s="13" t="n">
        <f aca="false">P47+P55</f>
        <v>5.81597620020929</v>
      </c>
      <c r="Q73" s="13" t="n">
        <f aca="false">Q47+Q55</f>
        <v>7.16085508962391</v>
      </c>
      <c r="R73" s="13" t="n">
        <f aca="false">R47+R55</f>
        <v>8.4813159843153</v>
      </c>
      <c r="S73" s="13" t="n">
        <f aca="false">S47+S55</f>
        <v>9.87428072310837</v>
      </c>
      <c r="T73" s="13" t="n">
        <f aca="false">T47+T55</f>
        <v>11.2028202562258</v>
      </c>
      <c r="U73" s="13" t="n">
        <f aca="false">U47+U55</f>
        <v>12.5444528047293</v>
      </c>
      <c r="V73" s="13" t="n">
        <f aca="false">V47+V55</f>
        <v>13.815875480974</v>
      </c>
      <c r="W73" s="13" t="n">
        <f aca="false">W47+W55</f>
        <v>14.9773066436009</v>
      </c>
      <c r="X73" s="13" t="n">
        <f aca="false">X47+X55</f>
        <v>16.0816558572877</v>
      </c>
      <c r="Y73" s="13" t="n">
        <f aca="false">Y47+Y55</f>
        <v>17.0098170236704</v>
      </c>
      <c r="Z73" s="13" t="n">
        <f aca="false">Z47+Z55</f>
        <v>17.8503688769509</v>
      </c>
      <c r="AA73" s="13" t="n">
        <f aca="false">AA47+AA55</f>
        <v>19.364812819288</v>
      </c>
      <c r="AB73" s="13" t="n">
        <f aca="false">AB47+AB55</f>
        <v>18.9382826094414</v>
      </c>
      <c r="AC73" s="13" t="n">
        <f aca="false">AC47+AC55</f>
        <v>19.3224043160471</v>
      </c>
      <c r="AD73" s="13" t="n">
        <f aca="false">AD47+AD55</f>
        <v>19.6987433592777</v>
      </c>
      <c r="AE73" s="13" t="n">
        <f aca="false">AE47+AE55</f>
        <v>19.7044736934456</v>
      </c>
      <c r="AF73" s="13" t="n">
        <f aca="false">AF47+AF55</f>
        <v>19.4665173424982</v>
      </c>
      <c r="AG73" s="13" t="n">
        <f aca="false">AG47+AG55</f>
        <v>19.109717989436</v>
      </c>
      <c r="AH73" s="13" t="n">
        <f aca="false">AH47+AH55</f>
        <v>18.5631480390149</v>
      </c>
      <c r="AI73" s="13" t="n">
        <f aca="false">AI47+AI55</f>
        <v>17.8213376519341</v>
      </c>
      <c r="AJ73" s="13" t="n">
        <f aca="false">AJ47+AJ55</f>
        <v>18.1989827252862</v>
      </c>
      <c r="AK73" s="13" t="n">
        <f aca="false">AK47+AK55</f>
        <v>17.182845411141</v>
      </c>
      <c r="AL73" s="13" t="n">
        <f aca="false">AL47+AL55</f>
        <v>16.1345660893806</v>
      </c>
      <c r="AM73" s="13" t="n">
        <f aca="false">AM47+AM55</f>
        <v>15.3546890659612</v>
      </c>
      <c r="AN73" s="13" t="n">
        <f aca="false">AN47+AN55</f>
        <v>13.9840203908526</v>
      </c>
      <c r="AO73" s="13" t="n">
        <f aca="false">AO47+AO55</f>
        <v>12.8272077626731</v>
      </c>
      <c r="AP73" s="13" t="n">
        <f aca="false">AP47+AP55</f>
        <v>10.0410212514994</v>
      </c>
      <c r="AQ73" s="13" t="n">
        <f aca="false">AQ47+AQ55</f>
        <v>14.3906497563208</v>
      </c>
      <c r="AR73" s="13" t="n">
        <f aca="false">AR47+AR55</f>
        <v>12.1001124044365</v>
      </c>
      <c r="AS73" s="13" t="n">
        <f aca="false">AS47+AS55</f>
        <v>10.4798535543838</v>
      </c>
      <c r="AT73" s="13" t="n">
        <f aca="false">AT47+AT55</f>
        <v>8.73812832417863</v>
      </c>
      <c r="AU73" s="13" t="n">
        <f aca="false">AU47+AU55</f>
        <v>9.88732596302646</v>
      </c>
      <c r="AV73" s="13" t="n">
        <f aca="false">AV47+AV55</f>
        <v>7.87303980200778</v>
      </c>
      <c r="AW73" s="13" t="n">
        <f aca="false">AW47+AW55</f>
        <v>49.2441869611048</v>
      </c>
      <c r="AX73" s="13" t="n">
        <f aca="false">AX47+AX55</f>
        <v>16.5343718981691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107.91508955543</v>
      </c>
      <c r="J74" s="13" t="n">
        <f aca="false">J33+J34+J35+J36+J37+J38+J39+J40+J41+J42+J43+J48+Construction!J14*Construction!J38</f>
        <v>13.4782188023171</v>
      </c>
      <c r="K74" s="13" t="n">
        <f aca="false">K33+K34+K35+K36+K37+K38+K39+K40+K41+K42+K43+K48+Construction!K14*Construction!K38</f>
        <v>1.07722071275828</v>
      </c>
      <c r="L74" s="13" t="n">
        <f aca="false">L33+L34+L35+L36+L37+L38+L39+L40+L41+L42+L43+L48+Construction!L14*Construction!L38</f>
        <v>1.12498981846334</v>
      </c>
      <c r="M74" s="13" t="n">
        <f aca="false">M33+M34+M35+M36+M37+M38+M39+M40+M41+M42+M43+M48+Construction!M14*Construction!M38</f>
        <v>1.12748268129374</v>
      </c>
      <c r="N74" s="13" t="n">
        <f aca="false">N33+N34+N35+N36+N37+N38+N39+N40+N41+N42+N43+N48+Construction!N14*Construction!N38</f>
        <v>1.1974838473095</v>
      </c>
      <c r="O74" s="13" t="n">
        <f aca="false">O33+O34+O35+O36+O37+O38+O39+O40+O41+O42+O43+O48+Construction!O14*Construction!O38</f>
        <v>1.25623644812774</v>
      </c>
      <c r="P74" s="13" t="n">
        <f aca="false">P33+P34+P35+P36+P37+P38+P39+P40+P41+P42+P43+P48+Construction!P14*Construction!P38</f>
        <v>1.23026005328866</v>
      </c>
      <c r="Q74" s="13" t="n">
        <f aca="false">Q33+Q34+Q35+Q36+Q37+Q38+Q39+Q40+Q41+Q42+Q43+Q48+Construction!Q14*Construction!Q38</f>
        <v>1.39034561339362</v>
      </c>
      <c r="R74" s="13" t="n">
        <f aca="false">R33+R34+R35+R36+R37+R38+R39+R40+R41+R42+R43+R48+Construction!R14*Construction!R38</f>
        <v>1.44072335410795</v>
      </c>
      <c r="S74" s="13" t="n">
        <f aca="false">S33+S34+S35+S36+S37+S38+S39+S40+S41+S42+S43+S48+Construction!S14*Construction!S38</f>
        <v>1.55983755905255</v>
      </c>
      <c r="T74" s="13" t="n">
        <f aca="false">T33+T34+T35+T36+T37+T38+T39+T40+T41+T42+T43+T48+Construction!T14*Construction!T38</f>
        <v>1.6047255189296</v>
      </c>
      <c r="U74" s="13" t="n">
        <f aca="false">U33+U34+U35+U36+U37+U38+U39+U40+U41+U42+U43+U48+Construction!U14*Construction!U38</f>
        <v>1.72890770635926</v>
      </c>
      <c r="V74" s="13" t="n">
        <f aca="false">V33+V34+V35+V36+V37+V38+V39+V40+V41+V42+V43+V48+Construction!V14*Construction!V38</f>
        <v>1.83726030479835</v>
      </c>
      <c r="W74" s="13" t="n">
        <f aca="false">W33+W34+W35+W36+W37+W38+W39+W40+W41+W42+W43+W48+Construction!W14*Construction!W38</f>
        <v>1.91588296647115</v>
      </c>
      <c r="X74" s="13" t="n">
        <f aca="false">X33+X34+X35+X36+X37+X38+X39+X40+X41+X42+X43+X48+Construction!X14*Construction!X38</f>
        <v>2.063799224645</v>
      </c>
      <c r="Y74" s="13" t="n">
        <f aca="false">Y33+Y34+Y35+Y36+Y37+Y38+Y39+Y40+Y41+Y42+Y43+Y48+Construction!Y14*Construction!Y38</f>
        <v>2.14366012346893</v>
      </c>
      <c r="Z74" s="13" t="n">
        <f aca="false">Z33+Z34+Z35+Z36+Z37+Z38+Z39+Z40+Z41+Z42+Z43+Z48+Construction!Z14*Construction!Z38</f>
        <v>2.29475112645075</v>
      </c>
      <c r="AA74" s="13" t="n">
        <f aca="false">AA33+AA34+AA35+AA36+AA37+AA38+AA39+AA40+AA41+AA42+AA43+AA48+Construction!AA14*Construction!AA38</f>
        <v>2.43607646082185</v>
      </c>
      <c r="AB74" s="13" t="n">
        <f aca="false">AB33+AB34+AB35+AB36+AB37+AB38+AB39+AB40+AB41+AB42+AB43+AB48+Construction!AB14*Construction!AB38</f>
        <v>2.44345875782911</v>
      </c>
      <c r="AC74" s="13" t="n">
        <f aca="false">AC33+AC34+AC35+AC36+AC37+AC38+AC39+AC40+AC41+AC42+AC43+AC48+Construction!AC14*Construction!AC38</f>
        <v>2.63025363332373</v>
      </c>
      <c r="AD74" s="13" t="n">
        <f aca="false">AD33+AD34+AD35+AD36+AD37+AD38+AD39+AD40+AD41+AD42+AD43+AD48+Construction!AD14*Construction!AD38</f>
        <v>2.69751587962944</v>
      </c>
      <c r="AE74" s="13" t="n">
        <f aca="false">AE33+AE34+AE35+AE36+AE37+AE38+AE39+AE40+AE41+AE42+AE43+AE48+Construction!AE14*Construction!AE38</f>
        <v>2.83696530343771</v>
      </c>
      <c r="AF74" s="13" t="n">
        <f aca="false">AF33+AF34+AF35+AF36+AF37+AF38+AF39+AF40+AF41+AF42+AF43+AF48+Construction!AF14*Construction!AF38</f>
        <v>2.87980021914099</v>
      </c>
      <c r="AG74" s="13" t="n">
        <f aca="false">AG33+AG34+AG35+AG36+AG37+AG38+AG39+AG40+AG41+AG42+AG43+AG48+Construction!AG14*Construction!AG38</f>
        <v>3.00286719695726</v>
      </c>
      <c r="AH74" s="13" t="n">
        <f aca="false">AH33+AH34+AH35+AH36+AH37+AH38+AH39+AH40+AH41+AH42+AH43+AH48+Construction!AH14*Construction!AH38</f>
        <v>3.06870305225571</v>
      </c>
      <c r="AI74" s="13" t="n">
        <f aca="false">AI33+AI34+AI35+AI36+AI37+AI38+AI39+AI40+AI41+AI42+AI43+AI48+Construction!AI14*Construction!AI38</f>
        <v>3.07274166121796</v>
      </c>
      <c r="AJ74" s="13" t="n">
        <f aca="false">AJ33+AJ34+AJ35+AJ36+AJ37+AJ38+AJ39+AJ40+AJ41+AJ42+AJ43+AJ48+Construction!AJ14*Construction!AJ38</f>
        <v>3.20623928399315</v>
      </c>
      <c r="AK74" s="13" t="n">
        <f aca="false">AK33+AK34+AK35+AK36+AK37+AK38+AK39+AK40+AK41+AK42+AK43+AK48+Construction!AK14*Construction!AK38</f>
        <v>3.18868576477991</v>
      </c>
      <c r="AL74" s="13" t="n">
        <f aca="false">AL33+AL34+AL35+AL36+AL37+AL38+AL39+AL40+AL41+AL42+AL43+AL48+Construction!AL14*Construction!AL38</f>
        <v>3.26804052205303</v>
      </c>
      <c r="AM74" s="13" t="n">
        <f aca="false">AM33+AM34+AM35+AM36+AM37+AM38+AM39+AM40+AM41+AM42+AM43+AM48+Construction!AM14*Construction!AM38</f>
        <v>3.29024197262075</v>
      </c>
      <c r="AN74" s="13" t="n">
        <f aca="false">AN33+AN34+AN35+AN36+AN37+AN38+AN39+AN40+AN41+AN42+AN43+AN48+Construction!AN14*Construction!AN38</f>
        <v>3.12524917073955</v>
      </c>
      <c r="AO74" s="13" t="n">
        <f aca="false">AO33+AO34+AO35+AO36+AO37+AO38+AO39+AO40+AO41+AO42+AO43+AO48+Construction!AO14*Construction!AO38</f>
        <v>3.29635732014694</v>
      </c>
      <c r="AP74" s="13" t="n">
        <f aca="false">AP33+AP34+AP35+AP36+AP37+AP38+AP39+AP40+AP41+AP42+AP43+AP48+Construction!AP14*Construction!AP38</f>
        <v>3.18378228632208</v>
      </c>
      <c r="AQ74" s="13" t="n">
        <f aca="false">AQ33+AQ34+AQ35+AQ36+AQ37+AQ38+AQ39+AQ40+AQ41+AQ42+AQ43+AQ48+Construction!AQ14*Construction!AQ38</f>
        <v>3.47656056315761</v>
      </c>
      <c r="AR74" s="13" t="n">
        <f aca="false">AR33+AR34+AR35+AR36+AR37+AR38+AR39+AR40+AR41+AR42+AR43+AR48+Construction!AR14*Construction!AR38</f>
        <v>3.43023088020535</v>
      </c>
      <c r="AS74" s="13" t="n">
        <f aca="false">AS33+AS34+AS35+AS36+AS37+AS38+AS39+AS40+AS41+AS42+AS43+AS48+Construction!AS14*Construction!AS38</f>
        <v>2.2880715696734</v>
      </c>
      <c r="AT74" s="13" t="n">
        <f aca="false">AT33+AT34+AT35+AT36+AT37+AT38+AT39+AT40+AT41+AT42+AT43+AT48+Construction!AT14*Construction!AT38</f>
        <v>2.25241548024919</v>
      </c>
      <c r="AU74" s="13" t="n">
        <f aca="false">AU33+AU34+AU35+AU36+AU37+AU38+AU39+AU40+AU41+AU42+AU43+AU48+Construction!AU14*Construction!AU38</f>
        <v>2.24328645353917</v>
      </c>
      <c r="AV74" s="13" t="n">
        <f aca="false">AV33+AV34+AV35+AV36+AV37+AV38+AV39+AV40+AV41+AV42+AV43+AV48+Construction!AV14*Construction!AV38</f>
        <v>2.26078529572198</v>
      </c>
      <c r="AW74" s="13" t="n">
        <f aca="false">AW33+AW34+AW35+AW36+AW37+AW38+AW39+AW40+AW41+AW42+AW43+AW48+Construction!AW14*Construction!AW38</f>
        <v>3.55802688960734</v>
      </c>
      <c r="AX74" s="13" t="n">
        <f aca="false">AX33+AX34+AX35+AX36+AX37+AX38+AX39+AX40+AX41+AX42+AX43+AX48+Construction!AX14*Construction!AX38</f>
        <v>2.30694807677104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887.870417861124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839.637073278006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0.0212172222222222</v>
      </c>
      <c r="L10" s="16" t="n">
        <f aca="false">(Operations!L9+Inputs!$F$79+L9)/100*Time!L25/Inputs!$F$247</f>
        <v>0.0181444444444444</v>
      </c>
      <c r="M10" s="16" t="n">
        <f aca="false">(Operations!M9+Inputs!$F$79+M9)/100*Time!M25/Inputs!$F$247</f>
        <v>0.0164811111111111</v>
      </c>
      <c r="N10" s="16" t="n">
        <f aca="false">(Operations!N9+Inputs!$F$79+N9)/100*Time!N25/Inputs!$F$247</f>
        <v>0.00879111111111111</v>
      </c>
      <c r="O10" s="16" t="n">
        <f aca="false">(Operations!O9+Inputs!$F$79+O9)/100*Time!O25/Inputs!$F$247</f>
        <v>0.00804444444444444</v>
      </c>
      <c r="P10" s="16" t="n">
        <f aca="false">(Operations!P9+Inputs!$F$79+P9)/100*Time!P25/Inputs!$F$247</f>
        <v>0.00771777777777778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0.0327811111111111</v>
      </c>
      <c r="L11" s="16" t="n">
        <f aca="false">(Operations!L9+Inputs!$F$80+L9)/100*Time!L25/Inputs!$F$247</f>
        <v>0.0299</v>
      </c>
      <c r="M11" s="16" t="n">
        <f aca="false">(Operations!M9+Inputs!$F$80+M9)/100*Time!M25/Inputs!$F$247</f>
        <v>0.0281088888888889</v>
      </c>
      <c r="N11" s="16" t="n">
        <f aca="false">(Operations!N9+Inputs!$F$80+N9)/100*Time!N25/Inputs!$F$247</f>
        <v>0.0205466666666667</v>
      </c>
      <c r="O11" s="16" t="n">
        <f aca="false">(Operations!O9+Inputs!$F$80+O9)/100*Time!O25/Inputs!$F$247</f>
        <v>0.0196083333333333</v>
      </c>
      <c r="P11" s="16" t="n">
        <f aca="false">(Operations!P9+Inputs!$F$80+P9)/100*Time!P25/Inputs!$F$247</f>
        <v>0.0194733333333333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0.0315241666666667</v>
      </c>
      <c r="L12" s="16" t="n">
        <f aca="false">(Operations!L9+Inputs!$F$81+L9)/100*Time!L25/Inputs!$F$247</f>
        <v>0.0286222222222222</v>
      </c>
      <c r="M12" s="16" t="n">
        <f aca="false">(Operations!M9+Inputs!$F$81+M9)/100*Time!M25/Inputs!$F$247</f>
        <v>0.026845</v>
      </c>
      <c r="N12" s="16" t="n">
        <f aca="false">(Operations!N9+Inputs!$F$81+N9)/100*Time!N25/Inputs!$F$247</f>
        <v>0.0192688888888889</v>
      </c>
      <c r="O12" s="16" t="n">
        <f aca="false">(Operations!O9+Inputs!$F$81+O9)/100*Time!O25/Inputs!$F$247</f>
        <v>0.0183513888888889</v>
      </c>
      <c r="P12" s="16" t="n">
        <f aca="false">(Operations!P9+Inputs!$F$81+P9)/100*Time!P25/Inputs!$F$247</f>
        <v>0.0181955555555556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0.0389373456790123</v>
      </c>
      <c r="L13" s="16" t="n">
        <f aca="false">(Operations!L9+L8+L9)/100*Time!L25/Inputs!$F$247/(1-Inputs!$F$93/100)</f>
        <v>0.0357777777777778</v>
      </c>
      <c r="M13" s="16" t="n">
        <f aca="false">(Operations!M9+M8+M9)/100*Time!M25/Inputs!$F$247/(1-Inputs!$F$93/100)</f>
        <v>0.0337598765432099</v>
      </c>
      <c r="N13" s="16" t="n">
        <f aca="false">(Operations!N9+N8+N9)/100*Time!N25/Inputs!$F$247/(1-Inputs!$F$93/100)</f>
        <v>0.0253851851851852</v>
      </c>
      <c r="O13" s="16" t="n">
        <f aca="false">(Operations!O9+O8+O9)/100*Time!O25/Inputs!$F$247/(1-Inputs!$F$93/100)</f>
        <v>0.0243009259259259</v>
      </c>
      <c r="P13" s="16" t="n">
        <f aca="false">(Operations!P9+P8+P9)/100*Time!P25/Inputs!$F$247/(1-Inputs!$F$93/100)</f>
        <v>0.0241925925925926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0.0378155925925926</v>
      </c>
      <c r="L14" s="16" t="n">
        <f aca="false">(Inputs!$F$102*(Operations!L9+L8+Inputs!$F$101+L9)/(1-Inputs!$F$93/100)+(1-Inputs!$F$102)*(Operations!L9+Inputs!$F$80+Inputs!$F$101+L9))/100*Time!L25/Inputs!$F$247</f>
        <v>0.0347896296296296</v>
      </c>
      <c r="M14" s="16" t="n">
        <f aca="false">(Inputs!$F$102*(Operations!M9+M8+Inputs!$F$101+M9)/(1-Inputs!$F$93/100)+(1-Inputs!$F$102)*(Operations!M9+Inputs!$F$80+Inputs!$F$101+M9))/100*Time!M25/Inputs!$F$247</f>
        <v>0.0328476296296296</v>
      </c>
      <c r="N14" s="16" t="n">
        <f aca="false">(Inputs!$F$102*(Operations!N9+N8+Inputs!$F$101+N9)/(1-Inputs!$F$93/100)+(1-Inputs!$F$102)*(Operations!N9+Inputs!$F$80+Inputs!$F$101+N9))/100*Time!N25/Inputs!$F$247</f>
        <v>0.0248127407407407</v>
      </c>
      <c r="O14" s="16" t="n">
        <f aca="false">(Inputs!$F$102*(Operations!O9+O8+Inputs!$F$101+O9)/(1-Inputs!$F$93/100)+(1-Inputs!$F$102)*(Operations!O9+Inputs!$F$80+Inputs!$F$101+O9))/100*Time!O25/Inputs!$F$247</f>
        <v>0.0237646296296296</v>
      </c>
      <c r="P14" s="16" t="n">
        <f aca="false">(Inputs!$F$102*(Operations!P9+P8+Inputs!$F$101+P9)/(1-Inputs!$F$93/100)+(1-Inputs!$F$102)*(Operations!P9+Inputs!$F$80+Inputs!$F$101+P9))/100*Time!P25/Inputs!$F$247</f>
        <v>0.0236678518518519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</v>
      </c>
      <c r="Q17" s="11" t="n">
        <f aca="false">IF(Inputs!$F$47=1,Inputs!Q298,Inputs!Q299)</f>
        <v>0.0249212166711209</v>
      </c>
      <c r="R17" s="11" t="n">
        <f aca="false">IF(Inputs!$F$47=1,Inputs!R298,Inputs!R299)</f>
        <v>0.0266466004704004</v>
      </c>
      <c r="S17" s="11" t="n">
        <f aca="false">IF(Inputs!$F$47=1,Inputs!S298,Inputs!S299)</f>
        <v>0.0275960445846777</v>
      </c>
      <c r="T17" s="11" t="n">
        <f aca="false">IF(Inputs!$F$47=1,Inputs!T298,Inputs!T299)</f>
        <v>0.0288882506495965</v>
      </c>
      <c r="U17" s="11" t="n">
        <f aca="false">IF(Inputs!$F$47=1,Inputs!U298,Inputs!U299)</f>
        <v>0.0296987112931962</v>
      </c>
      <c r="V17" s="11" t="n">
        <f aca="false">IF(Inputs!$F$47=1,Inputs!V298,Inputs!V299)</f>
        <v>0.0310588576856184</v>
      </c>
      <c r="W17" s="11" t="n">
        <f aca="false">IF(Inputs!$F$47=1,Inputs!W298,Inputs!W299)</f>
        <v>0.0327770673001025</v>
      </c>
      <c r="X17" s="11" t="n">
        <f aca="false">IF(Inputs!$F$47=1,Inputs!X298,Inputs!X299)</f>
        <v>0.034279561122008</v>
      </c>
      <c r="Y17" s="11" t="n">
        <f aca="false">IF(Inputs!$F$47=1,Inputs!Y298,Inputs!Y299)</f>
        <v>0.0318535235124711</v>
      </c>
      <c r="Z17" s="11" t="n">
        <f aca="false">IF(Inputs!$F$47=1,Inputs!Z298,Inputs!Z299)</f>
        <v>0.0333514411257053</v>
      </c>
      <c r="AA17" s="11" t="n">
        <f aca="false">IF(Inputs!$F$47=1,Inputs!AA298,Inputs!AA299)</f>
        <v>0.0340488277867749</v>
      </c>
      <c r="AB17" s="11" t="n">
        <f aca="false">IF(Inputs!$F$47=1,Inputs!AB298,Inputs!AB299)</f>
        <v>0.0357056960010596</v>
      </c>
      <c r="AC17" s="11" t="n">
        <f aca="false">IF(Inputs!$F$47=1,Inputs!AC298,Inputs!AC299)</f>
        <v>0.0367209101989231</v>
      </c>
      <c r="AD17" s="11" t="n">
        <f aca="false">IF(Inputs!$F$47=1,Inputs!AD298,Inputs!AD299)</f>
        <v>0.0384689461355592</v>
      </c>
      <c r="AE17" s="11" t="n">
        <f aca="false">IF(Inputs!$F$47=1,Inputs!AE298,Inputs!AE299)</f>
        <v>0.0415843849261383</v>
      </c>
      <c r="AF17" s="11" t="n">
        <f aca="false">IF(Inputs!$F$47=1,Inputs!AF298,Inputs!AF299)</f>
        <v>0.0438224099131048</v>
      </c>
      <c r="AG17" s="11" t="n">
        <f aca="false">IF(Inputs!$F$47=1,Inputs!AG298,Inputs!AG299)</f>
        <v>0.0441394906135041</v>
      </c>
      <c r="AH17" s="11" t="n">
        <f aca="false">IF(Inputs!$F$47=1,Inputs!AH298,Inputs!AH299)</f>
        <v>0.0464208722331683</v>
      </c>
      <c r="AI17" s="11" t="n">
        <f aca="false">IF(Inputs!$F$47=1,Inputs!AI298,Inputs!AI299)</f>
        <v>0.0478723213739675</v>
      </c>
      <c r="AJ17" s="11" t="n">
        <f aca="false">IF(Inputs!$F$47=1,Inputs!AJ298,Inputs!AJ299)</f>
        <v>0.0502195640539474</v>
      </c>
      <c r="AK17" s="11" t="n">
        <f aca="false">IF(Inputs!$F$47=1,Inputs!AK298,Inputs!AK299)</f>
        <v>0.0517089180255774</v>
      </c>
      <c r="AL17" s="11" t="n">
        <f aca="false">IF(Inputs!$F$47=1,Inputs!AL298,Inputs!AL299)</f>
        <v>0.0541382044749565</v>
      </c>
      <c r="AM17" s="11" t="n">
        <f aca="false">IF(Inputs!$F$47=1,Inputs!AM298,Inputs!AM299)</f>
        <v>0.0566614938231395</v>
      </c>
      <c r="AN17" s="11" t="n">
        <f aca="false">IF(Inputs!$F$47=1,Inputs!AN298,Inputs!AN299)</f>
        <v>0.0594010445608311</v>
      </c>
      <c r="AO17" s="11" t="n">
        <f aca="false">IF(Inputs!$F$47=1,Inputs!AO298,Inputs!AO299)</f>
        <v>0.0580156414644526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1</v>
      </c>
      <c r="R18" s="11" t="n">
        <f aca="false">SUM(R17:BN17)</f>
        <v>0.97507878332888</v>
      </c>
      <c r="S18" s="11" t="n">
        <f aca="false">SUM(S17:BN17)</f>
        <v>0.94843218285848</v>
      </c>
      <c r="T18" s="11" t="n">
        <f aca="false">SUM(T17:BN17)</f>
        <v>0.920836138273802</v>
      </c>
      <c r="U18" s="11" t="n">
        <f aca="false">SUM(U17:BN17)</f>
        <v>0.891947887624206</v>
      </c>
      <c r="V18" s="11" t="n">
        <f aca="false">SUM(V17:BN17)</f>
        <v>0.86224917633101</v>
      </c>
      <c r="W18" s="11" t="n">
        <f aca="false">SUM(W17:BN17)</f>
        <v>0.831190318645391</v>
      </c>
      <c r="X18" s="11" t="n">
        <f aca="false">SUM(X17:BN17)</f>
        <v>0.798413251345289</v>
      </c>
      <c r="Y18" s="11" t="n">
        <f aca="false">SUM(Y17:BN17)</f>
        <v>0.764133690223281</v>
      </c>
      <c r="Z18" s="11" t="n">
        <f aca="false">SUM(Z17:BN17)</f>
        <v>0.73228016671081</v>
      </c>
      <c r="AA18" s="11" t="n">
        <f aca="false">SUM(AA17:BN17)</f>
        <v>0.698928725585104</v>
      </c>
      <c r="AB18" s="11" t="n">
        <f aca="false">SUM(AB17:BN17)</f>
        <v>0.66487989779833</v>
      </c>
      <c r="AC18" s="11" t="n">
        <f aca="false">SUM(AC17:BN17)</f>
        <v>0.62917420179727</v>
      </c>
      <c r="AD18" s="11" t="n">
        <f aca="false">SUM(AD17:BN17)</f>
        <v>0.592453291598347</v>
      </c>
      <c r="AE18" s="11" t="n">
        <f aca="false">SUM(AE17:BN17)</f>
        <v>0.553984345462788</v>
      </c>
      <c r="AF18" s="11" t="n">
        <f aca="false">SUM(AF17:BN17)</f>
        <v>0.512399960536649</v>
      </c>
      <c r="AG18" s="11" t="n">
        <f aca="false">SUM(AG17:BN17)</f>
        <v>0.468577550623544</v>
      </c>
      <c r="AH18" s="11" t="n">
        <f aca="false">SUM(AH17:BN17)</f>
        <v>0.42443806001004</v>
      </c>
      <c r="AI18" s="11" t="n">
        <f aca="false">SUM(AI17:BN17)</f>
        <v>0.378017187776872</v>
      </c>
      <c r="AJ18" s="11" t="n">
        <f aca="false">SUM(AJ17:BN17)</f>
        <v>0.330144866402904</v>
      </c>
      <c r="AK18" s="11" t="n">
        <f aca="false">SUM(AK17:BN17)</f>
        <v>0.279925302348957</v>
      </c>
      <c r="AL18" s="11" t="n">
        <f aca="false">SUM(AL17:BN17)</f>
        <v>0.22821638432338</v>
      </c>
      <c r="AM18" s="11" t="n">
        <f aca="false">SUM(AM17:BN17)</f>
        <v>0.174078179848423</v>
      </c>
      <c r="AN18" s="11" t="n">
        <f aca="false">SUM(AN17:BN17)</f>
        <v>0.117416686025284</v>
      </c>
      <c r="AO18" s="11" t="n">
        <f aca="false">SUM(AO17:BN17)</f>
        <v>0.0580156414644526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</v>
      </c>
      <c r="Q19" s="11" t="n">
        <f aca="false">IF(Q18&gt;Inputs!$F$253,Q17/Q18,0)</f>
        <v>0.0249212166711209</v>
      </c>
      <c r="R19" s="11" t="n">
        <f aca="false">IF(R18&gt;Inputs!$F$253,R17/R18,0)</f>
        <v>0.0273276384698168</v>
      </c>
      <c r="S19" s="11" t="n">
        <f aca="false">IF(S18&gt;Inputs!$F$253,S17/S18,0)</f>
        <v>0.02909648690063</v>
      </c>
      <c r="T19" s="11" t="n">
        <f aca="false">IF(T18&gt;Inputs!$F$253,T17/T18,0)</f>
        <v>0.0313717603478838</v>
      </c>
      <c r="U19" s="11" t="n">
        <f aca="false">IF(U18&gt;Inputs!$F$253,U17/U18,0)</f>
        <v>0.0332964646312485</v>
      </c>
      <c r="V19" s="11" t="n">
        <f aca="false">IF(V18&gt;Inputs!$F$253,V17/V18,0)</f>
        <v>0.0360207449751105</v>
      </c>
      <c r="W19" s="11" t="n">
        <f aca="false">IF(W18&gt;Inputs!$F$253,W17/W18,0)</f>
        <v>0.0394338896457793</v>
      </c>
      <c r="X19" s="11" t="n">
        <f aca="false">IF(X18&gt;Inputs!$F$253,X17/X18,0)</f>
        <v>0.0429346094447312</v>
      </c>
      <c r="Y19" s="11" t="n">
        <f aca="false">IF(Y18&gt;Inputs!$F$253,Y17/Y18,0)</f>
        <v>0.0416857991213074</v>
      </c>
      <c r="Z19" s="11" t="n">
        <f aca="false">IF(Z18&gt;Inputs!$F$253,Z17/Z18,0)</f>
        <v>0.0455446462185509</v>
      </c>
      <c r="AA19" s="11" t="n">
        <f aca="false">IF(AA18&gt;Inputs!$F$253,AA17/AA18,0)</f>
        <v>0.0487157367273339</v>
      </c>
      <c r="AB19" s="11" t="n">
        <f aca="false">IF(AB18&gt;Inputs!$F$253,AB17/AB18,0)</f>
        <v>0.0537024748669569</v>
      </c>
      <c r="AC19" s="11" t="n">
        <f aca="false">IF(AC18&gt;Inputs!$F$253,AC17/AC18,0)</f>
        <v>0.0583636615964671</v>
      </c>
      <c r="AD19" s="11" t="n">
        <f aca="false">IF(AD18&gt;Inputs!$F$253,AD17/AD18,0)</f>
        <v>0.0649316101051207</v>
      </c>
      <c r="AE19" s="11" t="n">
        <f aca="false">IF(AE18&gt;Inputs!$F$253,AE17/AE18,0)</f>
        <v>0.0750641877640053</v>
      </c>
      <c r="AF19" s="11" t="n">
        <f aca="false">IF(AF18&gt;Inputs!$F$253,AF17/AF18,0)</f>
        <v>0.0855238354569905</v>
      </c>
      <c r="AG19" s="11" t="n">
        <f aca="false">IF(AG18&gt;Inputs!$F$253,AG17/AG18,0)</f>
        <v>0.0941989016647659</v>
      </c>
      <c r="AH19" s="11" t="n">
        <f aca="false">IF(AH18&gt;Inputs!$F$253,AH17/AH18,0)</f>
        <v>0.109370192277456</v>
      </c>
      <c r="AI19" s="11" t="n">
        <f aca="false">IF(AI18&gt;Inputs!$F$253,AI17/AI18,0)</f>
        <v>0.126640594454199</v>
      </c>
      <c r="AJ19" s="11" t="n">
        <f aca="false">IF(AJ18&gt;Inputs!$F$253,AJ17/AJ18,0)</f>
        <v>0.152113720867797</v>
      </c>
      <c r="AK19" s="11" t="n">
        <f aca="false">IF(AK18&gt;Inputs!$F$253,AK17/AK18,0)</f>
        <v>0.184723987405457</v>
      </c>
      <c r="AL19" s="11" t="n">
        <f aca="false">IF(AL18&gt;Inputs!$F$253,AL17/AL18,0)</f>
        <v>0.237223127670989</v>
      </c>
      <c r="AM19" s="11" t="n">
        <f aca="false">IF(AM18&gt;Inputs!$F$253,AM17/AM18,0)</f>
        <v>0.325494521326435</v>
      </c>
      <c r="AN19" s="11" t="n">
        <f aca="false">IF(AN18&gt;Inputs!$F$253,AN17/AN18,0)</f>
        <v>0.505899515406525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0</v>
      </c>
      <c r="Q21" s="13" t="n">
        <f aca="false">Time!Q35*P33</f>
        <v>189.976792662832</v>
      </c>
      <c r="R21" s="13" t="n">
        <f aca="false">Time!R35*Q33</f>
        <v>179.797192399587</v>
      </c>
      <c r="S21" s="13" t="n">
        <f aca="false">Time!S35*R33</f>
        <v>174.883759727803</v>
      </c>
      <c r="T21" s="13" t="n">
        <f aca="false">Time!T35*S33</f>
        <v>169.79525670375</v>
      </c>
      <c r="U21" s="13" t="n">
        <f aca="false">Time!U35*T33</f>
        <v>164.468480602233</v>
      </c>
      <c r="V21" s="13" t="n">
        <f aca="false">Time!V35*U33</f>
        <v>158.992261654905</v>
      </c>
      <c r="W21" s="13" t="n">
        <f aca="false">Time!W35*V33</f>
        <v>153.265241944818</v>
      </c>
      <c r="X21" s="13" t="n">
        <f aca="false">Time!X35*W33</f>
        <v>147.221397307432</v>
      </c>
      <c r="Y21" s="13" t="n">
        <f aca="false">Time!Y35*X33</f>
        <v>140.90050411213</v>
      </c>
      <c r="Z21" s="13" t="n">
        <f aca="false">Time!Z35*Y33</f>
        <v>135.026954001621</v>
      </c>
      <c r="AA21" s="13" t="n">
        <f aca="false">Time!AA35*Z33</f>
        <v>128.877199151649</v>
      </c>
      <c r="AB21" s="13" t="n">
        <f aca="false">Time!AB35*AA33</f>
        <v>122.598851447621</v>
      </c>
      <c r="AC21" s="13" t="n">
        <f aca="false">Time!AC35*AB33</f>
        <v>116.014989709037</v>
      </c>
      <c r="AD21" s="13" t="n">
        <f aca="false">Time!AD35*AC33</f>
        <v>109.243930109541</v>
      </c>
      <c r="AE21" s="13" t="n">
        <f aca="false">Time!AE35*AD33</f>
        <v>102.150545833317</v>
      </c>
      <c r="AF21" s="13" t="n">
        <f aca="false">Time!AF35*AE33</f>
        <v>94.4826980806897</v>
      </c>
      <c r="AG21" s="13" t="n">
        <f aca="false">Time!AG35*AF33</f>
        <v>86.4021753565042</v>
      </c>
      <c r="AH21" s="13" t="n">
        <f aca="false">Time!AH35*AG33</f>
        <v>78.263185336475</v>
      </c>
      <c r="AI21" s="13" t="n">
        <f aca="false">Time!AI35*AH33</f>
        <v>69.7035257079786</v>
      </c>
      <c r="AJ21" s="13" t="n">
        <f aca="false">Time!AJ35*AI33</f>
        <v>60.8762297767667</v>
      </c>
      <c r="AK21" s="13" t="n">
        <f aca="false">Time!AK35*AJ33</f>
        <v>51.6161199530198</v>
      </c>
      <c r="AL21" s="13" t="n">
        <f aca="false">Time!AL35*AK33</f>
        <v>42.0813844608996</v>
      </c>
      <c r="AM21" s="13" t="n">
        <f aca="false">Time!AM35*AL33</f>
        <v>32.0987068223596</v>
      </c>
      <c r="AN21" s="13" t="n">
        <f aca="false">Time!AN35*AM33</f>
        <v>21.6507536100181</v>
      </c>
      <c r="AO21" s="13" t="n">
        <f aca="false">Time!AO35*AN33</f>
        <v>10.6976478505239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62.1178244287455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0</v>
      </c>
      <c r="Q23" s="13" t="n">
        <f aca="false">Q21*Q10</f>
        <v>4.26001849013883</v>
      </c>
      <c r="R23" s="13" t="n">
        <f aca="false">R21*R10</f>
        <v>4.0985768880777</v>
      </c>
      <c r="S23" s="13" t="n">
        <f aca="false">S21*S10</f>
        <v>3.93036676341594</v>
      </c>
      <c r="T23" s="13" t="n">
        <f aca="false">T21*T10</f>
        <v>3.87925563149168</v>
      </c>
      <c r="U23" s="13" t="n">
        <f aca="false">U21*U10</f>
        <v>3.71671354747612</v>
      </c>
      <c r="V23" s="13" t="n">
        <f aca="false">V21*V10</f>
        <v>3.63244320460907</v>
      </c>
      <c r="W23" s="13" t="n">
        <f aca="false">W21*W10</f>
        <v>3.44450859167483</v>
      </c>
      <c r="X23" s="13" t="n">
        <f aca="false">X21*X10</f>
        <v>3.3635181904838</v>
      </c>
      <c r="Y23" s="13" t="n">
        <f aca="false">Y21*Y10</f>
        <v>3.16662141283336</v>
      </c>
      <c r="Z23" s="13" t="n">
        <f aca="false">Z21*Z10</f>
        <v>3.08491580909037</v>
      </c>
      <c r="AA23" s="13" t="n">
        <f aca="false">AA21*AA10</f>
        <v>2.89640765326734</v>
      </c>
      <c r="AB23" s="13" t="n">
        <f aca="false">AB21*AB10</f>
        <v>2.80097509273997</v>
      </c>
      <c r="AC23" s="13" t="n">
        <f aca="false">AC21*AC10</f>
        <v>2.62174540910806</v>
      </c>
      <c r="AD23" s="13" t="n">
        <f aca="false">AD21*AD10</f>
        <v>2.49585965656932</v>
      </c>
      <c r="AE23" s="13" t="n">
        <f aca="false">AE21*AE10</f>
        <v>2.29574839214895</v>
      </c>
      <c r="AF23" s="13" t="n">
        <f aca="false">AF21*AF10</f>
        <v>2.15861470881682</v>
      </c>
      <c r="AG23" s="13" t="n">
        <f aca="false">AG21*AG10</f>
        <v>1.94181688932464</v>
      </c>
      <c r="AH23" s="13" t="n">
        <f aca="false">AH21*AH10</f>
        <v>1.788052907654</v>
      </c>
      <c r="AI23" s="13" t="n">
        <f aca="false">AI21*AI10</f>
        <v>1.5665286540154</v>
      </c>
      <c r="AJ23" s="13" t="n">
        <f aca="false">AJ21*AJ10</f>
        <v>1.3908189296332</v>
      </c>
      <c r="AK23" s="13" t="n">
        <f aca="false">AK21*AK10</f>
        <v>1.16643828407166</v>
      </c>
      <c r="AL23" s="13" t="n">
        <f aca="false">AL21*AL10</f>
        <v>0.961419363650019</v>
      </c>
      <c r="AM23" s="13" t="n">
        <f aca="false">AM21*AM10</f>
        <v>0.721391686910181</v>
      </c>
      <c r="AN23" s="13" t="n">
        <f aca="false">AN21*AN10</f>
        <v>0.494647550810214</v>
      </c>
      <c r="AO23" s="13" t="n">
        <f aca="false">AO21*AO10</f>
        <v>0.240420720733982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184.531645212022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0</v>
      </c>
      <c r="Q24" s="13" t="n">
        <f aca="false">Time!Q35*(Q21-Q22)*Q19</f>
        <v>4.73445281243504</v>
      </c>
      <c r="R24" s="13" t="n">
        <f aca="false">Time!R35*(R21-R22)*R19</f>
        <v>4.913432671784</v>
      </c>
      <c r="S24" s="13" t="n">
        <f aca="false">Time!S35*(S21-S22)*S19</f>
        <v>5.08850302405294</v>
      </c>
      <c r="T24" s="13" t="n">
        <f aca="false">Time!T35*(T21-T22)*T19</f>
        <v>5.32677610151746</v>
      </c>
      <c r="U24" s="13" t="n">
        <f aca="false">Time!U35*(U21-U22)*U19</f>
        <v>5.47621894732743</v>
      </c>
      <c r="V24" s="13" t="n">
        <f aca="false">Time!V35*(V21-V22)*V19</f>
        <v>5.72701971008739</v>
      </c>
      <c r="W24" s="13" t="n">
        <f aca="false">Time!W35*(W21-W22)*W19</f>
        <v>6.04384463738561</v>
      </c>
      <c r="X24" s="13" t="n">
        <f aca="false">Time!X35*(X21-X22)*X19</f>
        <v>6.32089319530221</v>
      </c>
      <c r="Y24" s="13" t="n">
        <f aca="false">Time!Y35*(Y21-Y22)*Y19</f>
        <v>5.87355011050921</v>
      </c>
      <c r="Z24" s="13" t="n">
        <f aca="false">Time!Z35*(Z21-Z22)*Z19</f>
        <v>6.14975484997238</v>
      </c>
      <c r="AA24" s="13" t="n">
        <f aca="false">Time!AA35*(AA21-AA22)*AA19</f>
        <v>6.27834770402789</v>
      </c>
      <c r="AB24" s="13" t="n">
        <f aca="false">Time!AB35*(AB21-AB22)*AB19</f>
        <v>6.58386173858363</v>
      </c>
      <c r="AC24" s="13" t="n">
        <f aca="false">Time!AC35*(AC21-AC22)*AC19</f>
        <v>6.77105959949585</v>
      </c>
      <c r="AD24" s="13" t="n">
        <f aca="false">Time!AD35*(AD21-AD22)*AD19</f>
        <v>7.09338427622378</v>
      </c>
      <c r="AE24" s="13" t="n">
        <f aca="false">Time!AE35*(AE21-AE22)*AE19</f>
        <v>7.66784775262777</v>
      </c>
      <c r="AF24" s="13" t="n">
        <f aca="false">Time!AF35*(AF21-AF22)*AF19</f>
        <v>8.08052272418542</v>
      </c>
      <c r="AG24" s="13" t="n">
        <f aca="false">Time!AG35*(AG21-AG22)*AG19</f>
        <v>8.13899002002921</v>
      </c>
      <c r="AH24" s="13" t="n">
        <f aca="false">Time!AH35*(AH21-AH22)*AH19</f>
        <v>8.55965962849642</v>
      </c>
      <c r="AI24" s="13" t="n">
        <f aca="false">Time!AI35*(AI21-AI22)*AI19</f>
        <v>8.82729593121192</v>
      </c>
      <c r="AJ24" s="13" t="n">
        <f aca="false">Time!AJ35*(AJ21-AJ22)*AJ19</f>
        <v>9.26010982374694</v>
      </c>
      <c r="AK24" s="13" t="n">
        <f aca="false">Time!AK35*(AK21-AK22)*AK19</f>
        <v>9.53473549212017</v>
      </c>
      <c r="AL24" s="13" t="n">
        <f aca="false">Time!AL35*(AL21-AL22)*AL19</f>
        <v>9.98267763853994</v>
      </c>
      <c r="AM24" s="13" t="n">
        <f aca="false">Time!AM35*(AM21-AM22)*AM19</f>
        <v>10.4479532123415</v>
      </c>
      <c r="AN24" s="13" t="n">
        <f aca="false">Time!AN35*(AN21-AN22)*AN19</f>
        <v>10.9531057594942</v>
      </c>
      <c r="AO24" s="13" t="n">
        <f aca="false">Time!AO35*(AO21-AO22)*AO19</f>
        <v>10.6976478505239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184.531645212022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0</v>
      </c>
      <c r="Q27" s="13" t="n">
        <f aca="false">Q24-Q25+Q26</f>
        <v>4.73445281243504</v>
      </c>
      <c r="R27" s="13" t="n">
        <f aca="false">R24-R25+R26</f>
        <v>4.913432671784</v>
      </c>
      <c r="S27" s="13" t="n">
        <f aca="false">S24-S25+S26</f>
        <v>5.08850302405294</v>
      </c>
      <c r="T27" s="13" t="n">
        <f aca="false">T24-T25+T26</f>
        <v>5.32677610151746</v>
      </c>
      <c r="U27" s="13" t="n">
        <f aca="false">U24-U25+U26</f>
        <v>5.47621894732743</v>
      </c>
      <c r="V27" s="13" t="n">
        <f aca="false">V24-V25+V26</f>
        <v>5.72701971008739</v>
      </c>
      <c r="W27" s="13" t="n">
        <f aca="false">W24-W25+W26</f>
        <v>6.04384463738561</v>
      </c>
      <c r="X27" s="13" t="n">
        <f aca="false">X24-X25+X26</f>
        <v>6.32089319530221</v>
      </c>
      <c r="Y27" s="13" t="n">
        <f aca="false">Y24-Y25+Y26</f>
        <v>5.87355011050921</v>
      </c>
      <c r="Z27" s="13" t="n">
        <f aca="false">Z24-Z25+Z26</f>
        <v>6.14975484997238</v>
      </c>
      <c r="AA27" s="13" t="n">
        <f aca="false">AA24-AA25+AA26</f>
        <v>6.27834770402789</v>
      </c>
      <c r="AB27" s="13" t="n">
        <f aca="false">AB24-AB25+AB26</f>
        <v>6.58386173858363</v>
      </c>
      <c r="AC27" s="13" t="n">
        <f aca="false">AC24-AC25+AC26</f>
        <v>6.77105959949585</v>
      </c>
      <c r="AD27" s="13" t="n">
        <f aca="false">AD24-AD25+AD26</f>
        <v>7.09338427622378</v>
      </c>
      <c r="AE27" s="13" t="n">
        <f aca="false">AE24-AE25+AE26</f>
        <v>7.66784775262777</v>
      </c>
      <c r="AF27" s="13" t="n">
        <f aca="false">AF24-AF25+AF26</f>
        <v>8.08052272418542</v>
      </c>
      <c r="AG27" s="13" t="n">
        <f aca="false">AG24-AG25+AG26</f>
        <v>8.13899002002921</v>
      </c>
      <c r="AH27" s="13" t="n">
        <f aca="false">AH24-AH25+AH26</f>
        <v>8.55965962849642</v>
      </c>
      <c r="AI27" s="13" t="n">
        <f aca="false">AI24-AI25+AI26</f>
        <v>8.82729593121192</v>
      </c>
      <c r="AJ27" s="13" t="n">
        <f aca="false">AJ24-AJ25+AJ26</f>
        <v>9.26010982374694</v>
      </c>
      <c r="AK27" s="13" t="n">
        <f aca="false">AK24-AK25+AK26</f>
        <v>9.53473549212017</v>
      </c>
      <c r="AL27" s="13" t="n">
        <f aca="false">AL24-AL25+AL26</f>
        <v>9.98267763853994</v>
      </c>
      <c r="AM27" s="13" t="n">
        <f aca="false">AM24-AM25+AM26</f>
        <v>10.4479532123415</v>
      </c>
      <c r="AN27" s="13" t="n">
        <f aca="false">AN24-AN25+AN26</f>
        <v>10.9531057594942</v>
      </c>
      <c r="AO27" s="13" t="n">
        <f aca="false">AO24-AO25+AO26</f>
        <v>10.6976478505239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5.44514745080999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5.44514745080999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0</v>
      </c>
      <c r="Q31" s="13" t="n">
        <f aca="false">Q21-Q27-Q28-Q29</f>
        <v>179.797192399587</v>
      </c>
      <c r="R31" s="13" t="n">
        <f aca="false">R21-R27-R28-R29</f>
        <v>174.883759727803</v>
      </c>
      <c r="S31" s="13" t="n">
        <f aca="false">S21-S27-S28-S29</f>
        <v>169.79525670375</v>
      </c>
      <c r="T31" s="13" t="n">
        <f aca="false">T21-T27-T28-T29</f>
        <v>164.468480602233</v>
      </c>
      <c r="U31" s="13" t="n">
        <f aca="false">U21-U27-U28-U29</f>
        <v>158.992261654905</v>
      </c>
      <c r="V31" s="13" t="n">
        <f aca="false">V21-V27-V28-V29</f>
        <v>153.265241944818</v>
      </c>
      <c r="W31" s="13" t="n">
        <f aca="false">W21-W27-W28-W29</f>
        <v>147.221397307432</v>
      </c>
      <c r="X31" s="13" t="n">
        <f aca="false">X21-X27-X28-X29</f>
        <v>140.90050411213</v>
      </c>
      <c r="Y31" s="13" t="n">
        <f aca="false">Y21-Y27-Y28-Y29</f>
        <v>135.026954001621</v>
      </c>
      <c r="Z31" s="13" t="n">
        <f aca="false">Z21-Z27-Z28-Z29</f>
        <v>128.877199151649</v>
      </c>
      <c r="AA31" s="13" t="n">
        <f aca="false">AA21-AA27-AA28-AA29</f>
        <v>122.598851447621</v>
      </c>
      <c r="AB31" s="13" t="n">
        <f aca="false">AB21-AB27-AB28-AB29</f>
        <v>116.014989709037</v>
      </c>
      <c r="AC31" s="13" t="n">
        <f aca="false">AC21-AC27-AC28-AC29</f>
        <v>109.243930109541</v>
      </c>
      <c r="AD31" s="13" t="n">
        <f aca="false">AD21-AD27-AD28-AD29</f>
        <v>102.150545833317</v>
      </c>
      <c r="AE31" s="13" t="n">
        <f aca="false">AE21-AE27-AE28-AE29</f>
        <v>94.4826980806897</v>
      </c>
      <c r="AF31" s="13" t="n">
        <f aca="false">AF21-AF27-AF28-AF29</f>
        <v>86.4021753565042</v>
      </c>
      <c r="AG31" s="13" t="n">
        <f aca="false">AG21-AG27-AG28-AG29</f>
        <v>78.263185336475</v>
      </c>
      <c r="AH31" s="13" t="n">
        <f aca="false">AH21-AH27-AH28-AH29</f>
        <v>69.7035257079786</v>
      </c>
      <c r="AI31" s="13" t="n">
        <f aca="false">AI21-AI27-AI28-AI29</f>
        <v>60.8762297767667</v>
      </c>
      <c r="AJ31" s="13" t="n">
        <f aca="false">AJ21-AJ27-AJ28-AJ29</f>
        <v>51.6161199530198</v>
      </c>
      <c r="AK31" s="13" t="n">
        <f aca="false">AK21-AK27-AK28-AK29</f>
        <v>42.0813844608996</v>
      </c>
      <c r="AL31" s="13" t="n">
        <f aca="false">AL21-AL27-AL28-AL29</f>
        <v>32.0987068223596</v>
      </c>
      <c r="AM31" s="13" t="n">
        <f aca="false">AM21-AM27-AM28-AM29</f>
        <v>21.6507536100181</v>
      </c>
      <c r="AN31" s="13" t="n">
        <f aca="false">AN21-AN27-AN28-AN29</f>
        <v>10.6976478505239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0</v>
      </c>
      <c r="P33" s="13" t="n">
        <f aca="false">IF(Time!P34=1,INDEX(Funding!$J$61:$BJ$61,1,Time!$F$14),Time!P35*(P31-P32))</f>
        <v>189.976792662832</v>
      </c>
      <c r="Q33" s="13" t="n">
        <f aca="false">IF(Time!Q34=1,INDEX(Funding!$J$61:$BJ$61,1,Time!$F$14),Time!Q35*(Q31-Q32))</f>
        <v>179.797192399587</v>
      </c>
      <c r="R33" s="13" t="n">
        <f aca="false">IF(Time!R34=1,INDEX(Funding!$J$61:$BJ$61,1,Time!$F$14),Time!R35*(R31-R32))</f>
        <v>174.883759727803</v>
      </c>
      <c r="S33" s="13" t="n">
        <f aca="false">IF(Time!S34=1,INDEX(Funding!$J$61:$BJ$61,1,Time!$F$14),Time!S35*(S31-S32))</f>
        <v>169.79525670375</v>
      </c>
      <c r="T33" s="13" t="n">
        <f aca="false">IF(Time!T34=1,INDEX(Funding!$J$61:$BJ$61,1,Time!$F$14),Time!T35*(T31-T32))</f>
        <v>164.468480602233</v>
      </c>
      <c r="U33" s="13" t="n">
        <f aca="false">IF(Time!U34=1,INDEX(Funding!$J$61:$BJ$61,1,Time!$F$14),Time!U35*(U31-U32))</f>
        <v>158.992261654905</v>
      </c>
      <c r="V33" s="13" t="n">
        <f aca="false">IF(Time!V34=1,INDEX(Funding!$J$61:$BJ$61,1,Time!$F$14),Time!V35*(V31-V32))</f>
        <v>153.265241944818</v>
      </c>
      <c r="W33" s="13" t="n">
        <f aca="false">IF(Time!W34=1,INDEX(Funding!$J$61:$BJ$61,1,Time!$F$14),Time!W35*(W31-W32))</f>
        <v>147.221397307432</v>
      </c>
      <c r="X33" s="13" t="n">
        <f aca="false">IF(Time!X34=1,INDEX(Funding!$J$61:$BJ$61,1,Time!$F$14),Time!X35*(X31-X32))</f>
        <v>140.90050411213</v>
      </c>
      <c r="Y33" s="13" t="n">
        <f aca="false">IF(Time!Y34=1,INDEX(Funding!$J$61:$BJ$61,1,Time!$F$14),Time!Y35*(Y31-Y32))</f>
        <v>135.026954001621</v>
      </c>
      <c r="Z33" s="13" t="n">
        <f aca="false">IF(Time!Z34=1,INDEX(Funding!$J$61:$BJ$61,1,Time!$F$14),Time!Z35*(Z31-Z32))</f>
        <v>128.877199151649</v>
      </c>
      <c r="AA33" s="13" t="n">
        <f aca="false">IF(Time!AA34=1,INDEX(Funding!$J$61:$BJ$61,1,Time!$F$14),Time!AA35*(AA31-AA32))</f>
        <v>122.598851447621</v>
      </c>
      <c r="AB33" s="13" t="n">
        <f aca="false">IF(Time!AB34=1,INDEX(Funding!$J$61:$BJ$61,1,Time!$F$14),Time!AB35*(AB31-AB32))</f>
        <v>116.014989709037</v>
      </c>
      <c r="AC33" s="13" t="n">
        <f aca="false">IF(Time!AC34=1,INDEX(Funding!$J$61:$BJ$61,1,Time!$F$14),Time!AC35*(AC31-AC32))</f>
        <v>109.243930109541</v>
      </c>
      <c r="AD33" s="13" t="n">
        <f aca="false">IF(Time!AD34=1,INDEX(Funding!$J$61:$BJ$61,1,Time!$F$14),Time!AD35*(AD31-AD32))</f>
        <v>102.150545833317</v>
      </c>
      <c r="AE33" s="13" t="n">
        <f aca="false">IF(Time!AE34=1,INDEX(Funding!$J$61:$BJ$61,1,Time!$F$14),Time!AE35*(AE31-AE32))</f>
        <v>94.4826980806897</v>
      </c>
      <c r="AF33" s="13" t="n">
        <f aca="false">IF(Time!AF34=1,INDEX(Funding!$J$61:$BJ$61,1,Time!$F$14),Time!AF35*(AF31-AF32))</f>
        <v>86.4021753565042</v>
      </c>
      <c r="AG33" s="13" t="n">
        <f aca="false">IF(Time!AG34=1,INDEX(Funding!$J$61:$BJ$61,1,Time!$F$14),Time!AG35*(AG31-AG32))</f>
        <v>78.263185336475</v>
      </c>
      <c r="AH33" s="13" t="n">
        <f aca="false">IF(Time!AH34=1,INDEX(Funding!$J$61:$BJ$61,1,Time!$F$14),Time!AH35*(AH31-AH32))</f>
        <v>69.7035257079786</v>
      </c>
      <c r="AI33" s="13" t="n">
        <f aca="false">IF(Time!AI34=1,INDEX(Funding!$J$61:$BJ$61,1,Time!$F$14),Time!AI35*(AI31-AI32))</f>
        <v>60.8762297767667</v>
      </c>
      <c r="AJ33" s="13" t="n">
        <f aca="false">IF(Time!AJ34=1,INDEX(Funding!$J$61:$BJ$61,1,Time!$F$14),Time!AJ35*(AJ31-AJ32))</f>
        <v>51.6161199530198</v>
      </c>
      <c r="AK33" s="13" t="n">
        <f aca="false">IF(Time!AK34=1,INDEX(Funding!$J$61:$BJ$61,1,Time!$F$14),Time!AK35*(AK31-AK32))</f>
        <v>42.0813844608996</v>
      </c>
      <c r="AL33" s="13" t="n">
        <f aca="false">IF(Time!AL34=1,INDEX(Funding!$J$61:$BJ$61,1,Time!$F$14),Time!AL35*(AL31-AL32))</f>
        <v>32.0987068223596</v>
      </c>
      <c r="AM33" s="13" t="n">
        <f aca="false">IF(Time!AM34=1,INDEX(Funding!$J$61:$BJ$61,1,Time!$F$14),Time!AM35*(AM31-AM32))</f>
        <v>21.6507536100181</v>
      </c>
      <c r="AN33" s="13" t="n">
        <f aca="false">IF(Time!AN34=1,INDEX(Funding!$J$61:$BJ$61,1,Time!$F$14),Time!AN35*(AN31-AN32))</f>
        <v>10.6976478505239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0</v>
      </c>
      <c r="Q35" s="13" t="n">
        <f aca="false">Time!Q35*P47</f>
        <v>139.31631461941</v>
      </c>
      <c r="R35" s="13" t="n">
        <f aca="false">Time!R35*Q47</f>
        <v>131.851274426364</v>
      </c>
      <c r="S35" s="13" t="n">
        <f aca="false">Time!S35*R47</f>
        <v>128.248090467056</v>
      </c>
      <c r="T35" s="13" t="n">
        <f aca="false">Time!T35*S47</f>
        <v>124.51652158275</v>
      </c>
      <c r="U35" s="13" t="n">
        <f aca="false">Time!U35*T47</f>
        <v>120.610219108304</v>
      </c>
      <c r="V35" s="13" t="n">
        <f aca="false">Time!V35*U47</f>
        <v>116.594325213597</v>
      </c>
      <c r="W35" s="13" t="n">
        <f aca="false">Time!W35*V47</f>
        <v>112.394510759533</v>
      </c>
      <c r="X35" s="13" t="n">
        <f aca="false">Time!X35*W47</f>
        <v>107.96235802545</v>
      </c>
      <c r="Y35" s="13" t="n">
        <f aca="false">Time!Y35*X47</f>
        <v>103.327036348895</v>
      </c>
      <c r="Z35" s="13" t="n">
        <f aca="false">Time!Z35*Y47</f>
        <v>99.0197662678554</v>
      </c>
      <c r="AA35" s="13" t="n">
        <f aca="false">Time!AA35*Z47</f>
        <v>94.5099460445423</v>
      </c>
      <c r="AB35" s="13" t="n">
        <f aca="false">Time!AB35*AA47</f>
        <v>89.9058243949219</v>
      </c>
      <c r="AC35" s="13" t="n">
        <f aca="false">Time!AC35*AB47</f>
        <v>85.0776591199605</v>
      </c>
      <c r="AD35" s="13" t="n">
        <f aca="false">Time!AD35*AC47</f>
        <v>80.1122154136636</v>
      </c>
      <c r="AE35" s="13" t="n">
        <f aca="false">Time!AE35*AD47</f>
        <v>74.9104002777661</v>
      </c>
      <c r="AF35" s="13" t="n">
        <f aca="false">Time!AF35*AE47</f>
        <v>69.2873119258391</v>
      </c>
      <c r="AG35" s="13" t="n">
        <f aca="false">Time!AG35*AF47</f>
        <v>63.3615952614365</v>
      </c>
      <c r="AH35" s="13" t="n">
        <f aca="false">Time!AH35*AG47</f>
        <v>57.3930025800817</v>
      </c>
      <c r="AI35" s="13" t="n">
        <f aca="false">Time!AI35*AH47</f>
        <v>51.1159188525177</v>
      </c>
      <c r="AJ35" s="13" t="n">
        <f aca="false">Time!AJ35*AI47</f>
        <v>44.6425685029623</v>
      </c>
      <c r="AK35" s="13" t="n">
        <f aca="false">Time!AK35*AJ47</f>
        <v>37.8518212988812</v>
      </c>
      <c r="AL35" s="13" t="n">
        <f aca="false">Time!AL35*AK47</f>
        <v>30.8596819379931</v>
      </c>
      <c r="AM35" s="13" t="n">
        <f aca="false">Time!AM35*AL47</f>
        <v>23.5390516697304</v>
      </c>
      <c r="AN35" s="13" t="n">
        <f aca="false">Time!AN35*AM47</f>
        <v>15.8772193140133</v>
      </c>
      <c r="AO35" s="13" t="n">
        <f aca="false">Time!AO35*AN47</f>
        <v>7.84494175705086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68.999083351429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0</v>
      </c>
      <c r="Q37" s="13" t="n">
        <f aca="false">Q35*Q11</f>
        <v>4.73505194210349</v>
      </c>
      <c r="R37" s="13" t="n">
        <f aca="false">R35*R11</f>
        <v>4.5556080328469</v>
      </c>
      <c r="S37" s="13" t="n">
        <f aca="false">S35*S11</f>
        <v>4.36531562821156</v>
      </c>
      <c r="T37" s="13" t="n">
        <f aca="false">T35*T11</f>
        <v>4.30854835014445</v>
      </c>
      <c r="U37" s="13" t="n">
        <f aca="false">U35*U11</f>
        <v>4.12801876033627</v>
      </c>
      <c r="V37" s="13" t="n">
        <f aca="false">V35*V11</f>
        <v>4.03442275089094</v>
      </c>
      <c r="W37" s="13" t="n">
        <f aca="false">W35*W11</f>
        <v>3.82569060137248</v>
      </c>
      <c r="X37" s="13" t="n">
        <f aca="false">X35*X11</f>
        <v>3.73573750403175</v>
      </c>
      <c r="Y37" s="13" t="n">
        <f aca="false">Y35*Y11</f>
        <v>3.51705140363461</v>
      </c>
      <c r="Z37" s="13" t="n">
        <f aca="false">Z35*Z11</f>
        <v>3.42630395679284</v>
      </c>
      <c r="AA37" s="13" t="n">
        <f aca="false">AA35*AA11</f>
        <v>3.21693479401669</v>
      </c>
      <c r="AB37" s="13" t="n">
        <f aca="false">AB35*AB11</f>
        <v>3.11094131478517</v>
      </c>
      <c r="AC37" s="13" t="n">
        <f aca="false">AC35*AC11</f>
        <v>2.91187741411301</v>
      </c>
      <c r="AD37" s="13" t="n">
        <f aca="false">AD35*AD11</f>
        <v>2.77206068045812</v>
      </c>
      <c r="AE37" s="13" t="n">
        <f aca="false">AE35*AE11</f>
        <v>2.54980436634351</v>
      </c>
      <c r="AF37" s="13" t="n">
        <f aca="false">AF35*AF11</f>
        <v>2.39749496443831</v>
      </c>
      <c r="AG37" s="13" t="n">
        <f aca="false">AG35*AG11</f>
        <v>2.1567054995974</v>
      </c>
      <c r="AH37" s="13" t="n">
        <f aca="false">AH35*AH11</f>
        <v>1.98592542927656</v>
      </c>
      <c r="AI37" s="13" t="n">
        <f aca="false">AI35*AI11</f>
        <v>1.73988648567527</v>
      </c>
      <c r="AJ37" s="13" t="n">
        <f aca="false">AJ35*AJ11</f>
        <v>1.54473207591028</v>
      </c>
      <c r="AK37" s="13" t="n">
        <f aca="false">AK35*AK11</f>
        <v>1.29552064153343</v>
      </c>
      <c r="AL37" s="13" t="n">
        <f aca="false">AL35*AL11</f>
        <v>1.06781357212553</v>
      </c>
      <c r="AM37" s="13" t="n">
        <f aca="false">AM35*AM11</f>
        <v>0.801223548459377</v>
      </c>
      <c r="AN37" s="13" t="n">
        <f aca="false">AN35*AN11</f>
        <v>0.549387070974447</v>
      </c>
      <c r="AO37" s="13" t="n">
        <f aca="false">AO35*AO11</f>
        <v>0.267026563356595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135.323206488816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0</v>
      </c>
      <c r="Q38" s="13" t="n">
        <f aca="false">Time!Q35*(Q35-Q36)*Q19</f>
        <v>3.47193206245237</v>
      </c>
      <c r="R38" s="13" t="n">
        <f aca="false">Time!R35*(R35-R36)*R19</f>
        <v>3.60318395930827</v>
      </c>
      <c r="S38" s="13" t="n">
        <f aca="false">Time!S35*(S35-S36)*S19</f>
        <v>3.73156888430549</v>
      </c>
      <c r="T38" s="13" t="n">
        <f aca="false">Time!T35*(T35-T36)*T19</f>
        <v>3.90630247444614</v>
      </c>
      <c r="U38" s="13" t="n">
        <f aca="false">Time!U35*(U35-U36)*U19</f>
        <v>4.01589389470678</v>
      </c>
      <c r="V38" s="13" t="n">
        <f aca="false">Time!V35*(V35-V36)*V19</f>
        <v>4.19981445406409</v>
      </c>
      <c r="W38" s="13" t="n">
        <f aca="false">Time!W35*(W35-W36)*W19</f>
        <v>4.43215273408278</v>
      </c>
      <c r="X38" s="13" t="n">
        <f aca="false">Time!X35*(X35-X36)*X19</f>
        <v>4.63532167655495</v>
      </c>
      <c r="Y38" s="13" t="n">
        <f aca="false">Time!Y35*(Y35-Y36)*Y19</f>
        <v>4.30727008104009</v>
      </c>
      <c r="Z38" s="13" t="n">
        <f aca="false">Time!Z35*(Z35-Z36)*Z19</f>
        <v>4.50982022331308</v>
      </c>
      <c r="AA38" s="13" t="n">
        <f aca="false">Time!AA35*(AA35-AA36)*AA19</f>
        <v>4.60412164962045</v>
      </c>
      <c r="AB38" s="13" t="n">
        <f aca="false">Time!AB35*(AB35-AB36)*AB19</f>
        <v>4.82816527496133</v>
      </c>
      <c r="AC38" s="13" t="n">
        <f aca="false">Time!AC35*(AC35-AC36)*AC19</f>
        <v>4.96544370629696</v>
      </c>
      <c r="AD38" s="13" t="n">
        <f aca="false">Time!AD35*(AD35-AD36)*AD19</f>
        <v>5.20181513589744</v>
      </c>
      <c r="AE38" s="13" t="n">
        <f aca="false">Time!AE35*(AE35-AE36)*AE19</f>
        <v>5.62308835192703</v>
      </c>
      <c r="AF38" s="13" t="n">
        <f aca="false">Time!AF35*(AF35-AF36)*AF19</f>
        <v>5.92571666440264</v>
      </c>
      <c r="AG38" s="13" t="n">
        <f aca="false">Time!AG35*(AG35-AG36)*AG19</f>
        <v>5.96859268135475</v>
      </c>
      <c r="AH38" s="13" t="n">
        <f aca="false">Time!AH35*(AH35-AH36)*AH19</f>
        <v>6.27708372756404</v>
      </c>
      <c r="AI38" s="13" t="n">
        <f aca="false">Time!AI35*(AI35-AI36)*AI19</f>
        <v>6.47335034955541</v>
      </c>
      <c r="AJ38" s="13" t="n">
        <f aca="false">Time!AJ35*(AJ35-AJ36)*AJ19</f>
        <v>6.79074720408109</v>
      </c>
      <c r="AK38" s="13" t="n">
        <f aca="false">Time!AK35*(AK35-AK36)*AK19</f>
        <v>6.99213936088813</v>
      </c>
      <c r="AL38" s="13" t="n">
        <f aca="false">Time!AL35*(AL35-AL36)*AL19</f>
        <v>7.32063026826263</v>
      </c>
      <c r="AM38" s="13" t="n">
        <f aca="false">Time!AM35*(AM35-AM36)*AM19</f>
        <v>7.66183235571712</v>
      </c>
      <c r="AN38" s="13" t="n">
        <f aca="false">Time!AN35*(AN35-AN36)*AN19</f>
        <v>8.03227755696245</v>
      </c>
      <c r="AO38" s="13" t="n">
        <f aca="false">Time!AO35*(AO35-AO36)*AO19</f>
        <v>7.84494175705086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135.323206488816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0</v>
      </c>
      <c r="Q41" s="13" t="n">
        <f aca="false">Q38-Q39+Q40</f>
        <v>3.47193206245237</v>
      </c>
      <c r="R41" s="13" t="n">
        <f aca="false">R38-R39+R40</f>
        <v>3.60318395930827</v>
      </c>
      <c r="S41" s="13" t="n">
        <f aca="false">S38-S39+S40</f>
        <v>3.73156888430549</v>
      </c>
      <c r="T41" s="13" t="n">
        <f aca="false">T38-T39+T40</f>
        <v>3.90630247444614</v>
      </c>
      <c r="U41" s="13" t="n">
        <f aca="false">U38-U39+U40</f>
        <v>4.01589389470678</v>
      </c>
      <c r="V41" s="13" t="n">
        <f aca="false">V38-V39+V40</f>
        <v>4.19981445406409</v>
      </c>
      <c r="W41" s="13" t="n">
        <f aca="false">W38-W39+W40</f>
        <v>4.43215273408278</v>
      </c>
      <c r="X41" s="13" t="n">
        <f aca="false">X38-X39+X40</f>
        <v>4.63532167655495</v>
      </c>
      <c r="Y41" s="13" t="n">
        <f aca="false">Y38-Y39+Y40</f>
        <v>4.30727008104009</v>
      </c>
      <c r="Z41" s="13" t="n">
        <f aca="false">Z38-Z39+Z40</f>
        <v>4.50982022331308</v>
      </c>
      <c r="AA41" s="13" t="n">
        <f aca="false">AA38-AA39+AA40</f>
        <v>4.60412164962045</v>
      </c>
      <c r="AB41" s="13" t="n">
        <f aca="false">AB38-AB39+AB40</f>
        <v>4.82816527496133</v>
      </c>
      <c r="AC41" s="13" t="n">
        <f aca="false">AC38-AC39+AC40</f>
        <v>4.96544370629696</v>
      </c>
      <c r="AD41" s="13" t="n">
        <f aca="false">AD38-AD39+AD40</f>
        <v>5.20181513589744</v>
      </c>
      <c r="AE41" s="13" t="n">
        <f aca="false">AE38-AE39+AE40</f>
        <v>5.62308835192703</v>
      </c>
      <c r="AF41" s="13" t="n">
        <f aca="false">AF38-AF39+AF40</f>
        <v>5.92571666440264</v>
      </c>
      <c r="AG41" s="13" t="n">
        <f aca="false">AG38-AG39+AG40</f>
        <v>5.96859268135475</v>
      </c>
      <c r="AH41" s="13" t="n">
        <f aca="false">AH38-AH39+AH40</f>
        <v>6.27708372756404</v>
      </c>
      <c r="AI41" s="13" t="n">
        <f aca="false">AI38-AI39+AI40</f>
        <v>6.47335034955541</v>
      </c>
      <c r="AJ41" s="13" t="n">
        <f aca="false">AJ38-AJ39+AJ40</f>
        <v>6.79074720408109</v>
      </c>
      <c r="AK41" s="13" t="n">
        <f aca="false">AK38-AK39+AK40</f>
        <v>6.99213936088813</v>
      </c>
      <c r="AL41" s="13" t="n">
        <f aca="false">AL38-AL39+AL40</f>
        <v>7.32063026826263</v>
      </c>
      <c r="AM41" s="13" t="n">
        <f aca="false">AM38-AM39+AM40</f>
        <v>7.66183235571712</v>
      </c>
      <c r="AN41" s="13" t="n">
        <f aca="false">AN38-AN39+AN40</f>
        <v>8.03227755696245</v>
      </c>
      <c r="AO41" s="13" t="n">
        <f aca="false">AO38-AO39+AO40</f>
        <v>7.84494175705086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3.993108130594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3.993108130594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0</v>
      </c>
      <c r="Q45" s="13" t="n">
        <f aca="false">Q35-Q41-Q42-Q43</f>
        <v>131.851274426364</v>
      </c>
      <c r="R45" s="13" t="n">
        <f aca="false">R35-R41-R42-R43</f>
        <v>128.248090467056</v>
      </c>
      <c r="S45" s="13" t="n">
        <f aca="false">S35-S41-S42-S43</f>
        <v>124.51652158275</v>
      </c>
      <c r="T45" s="13" t="n">
        <f aca="false">T35-T41-T42-T43</f>
        <v>120.610219108304</v>
      </c>
      <c r="U45" s="13" t="n">
        <f aca="false">U35-U41-U42-U43</f>
        <v>116.594325213597</v>
      </c>
      <c r="V45" s="13" t="n">
        <f aca="false">V35-V41-V42-V43</f>
        <v>112.394510759533</v>
      </c>
      <c r="W45" s="13" t="n">
        <f aca="false">W35-W41-W42-W43</f>
        <v>107.96235802545</v>
      </c>
      <c r="X45" s="13" t="n">
        <f aca="false">X35-X41-X42-X43</f>
        <v>103.327036348895</v>
      </c>
      <c r="Y45" s="13" t="n">
        <f aca="false">Y35-Y41-Y42-Y43</f>
        <v>99.0197662678554</v>
      </c>
      <c r="Z45" s="13" t="n">
        <f aca="false">Z35-Z41-Z42-Z43</f>
        <v>94.5099460445423</v>
      </c>
      <c r="AA45" s="13" t="n">
        <f aca="false">AA35-AA41-AA42-AA43</f>
        <v>89.9058243949219</v>
      </c>
      <c r="AB45" s="13" t="n">
        <f aca="false">AB35-AB41-AB42-AB43</f>
        <v>85.0776591199605</v>
      </c>
      <c r="AC45" s="13" t="n">
        <f aca="false">AC35-AC41-AC42-AC43</f>
        <v>80.1122154136636</v>
      </c>
      <c r="AD45" s="13" t="n">
        <f aca="false">AD35-AD41-AD42-AD43</f>
        <v>74.9104002777661</v>
      </c>
      <c r="AE45" s="13" t="n">
        <f aca="false">AE35-AE41-AE42-AE43</f>
        <v>69.2873119258391</v>
      </c>
      <c r="AF45" s="13" t="n">
        <f aca="false">AF35-AF41-AF42-AF43</f>
        <v>63.3615952614365</v>
      </c>
      <c r="AG45" s="13" t="n">
        <f aca="false">AG35-AG41-AG42-AG43</f>
        <v>57.3930025800817</v>
      </c>
      <c r="AH45" s="13" t="n">
        <f aca="false">AH35-AH41-AH42-AH43</f>
        <v>51.1159188525177</v>
      </c>
      <c r="AI45" s="13" t="n">
        <f aca="false">AI35-AI41-AI42-AI43</f>
        <v>44.6425685029623</v>
      </c>
      <c r="AJ45" s="13" t="n">
        <f aca="false">AJ35-AJ41-AJ42-AJ43</f>
        <v>37.8518212988812</v>
      </c>
      <c r="AK45" s="13" t="n">
        <f aca="false">AK35-AK41-AK42-AK43</f>
        <v>30.8596819379931</v>
      </c>
      <c r="AL45" s="13" t="n">
        <f aca="false">AL35-AL41-AL42-AL43</f>
        <v>23.5390516697304</v>
      </c>
      <c r="AM45" s="13" t="n">
        <f aca="false">AM35-AM41-AM42-AM43</f>
        <v>15.8772193140133</v>
      </c>
      <c r="AN45" s="13" t="n">
        <f aca="false">AN35-AN41-AN42-AN43</f>
        <v>7.84494175705086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0</v>
      </c>
      <c r="P47" s="13" t="n">
        <f aca="false">IF(Time!P34=1,INDEX(Funding!$J$62:$BJ$62,1,Time!$F$14),Time!P35*(P45-P46))</f>
        <v>139.31631461941</v>
      </c>
      <c r="Q47" s="13" t="n">
        <f aca="false">IF(Time!Q34=1,INDEX(Funding!$J$62:$BJ$62,1,Time!$F$14),Time!Q35*(Q45-Q46))</f>
        <v>131.851274426364</v>
      </c>
      <c r="R47" s="13" t="n">
        <f aca="false">IF(Time!R34=1,INDEX(Funding!$J$62:$BJ$62,1,Time!$F$14),Time!R35*(R45-R46))</f>
        <v>128.248090467056</v>
      </c>
      <c r="S47" s="13" t="n">
        <f aca="false">IF(Time!S34=1,INDEX(Funding!$J$62:$BJ$62,1,Time!$F$14),Time!S35*(S45-S46))</f>
        <v>124.51652158275</v>
      </c>
      <c r="T47" s="13" t="n">
        <f aca="false">IF(Time!T34=1,INDEX(Funding!$J$62:$BJ$62,1,Time!$F$14),Time!T35*(T45-T46))</f>
        <v>120.610219108304</v>
      </c>
      <c r="U47" s="13" t="n">
        <f aca="false">IF(Time!U34=1,INDEX(Funding!$J$62:$BJ$62,1,Time!$F$14),Time!U35*(U45-U46))</f>
        <v>116.594325213597</v>
      </c>
      <c r="V47" s="13" t="n">
        <f aca="false">IF(Time!V34=1,INDEX(Funding!$J$62:$BJ$62,1,Time!$F$14),Time!V35*(V45-V46))</f>
        <v>112.394510759533</v>
      </c>
      <c r="W47" s="13" t="n">
        <f aca="false">IF(Time!W34=1,INDEX(Funding!$J$62:$BJ$62,1,Time!$F$14),Time!W35*(W45-W46))</f>
        <v>107.96235802545</v>
      </c>
      <c r="X47" s="13" t="n">
        <f aca="false">IF(Time!X34=1,INDEX(Funding!$J$62:$BJ$62,1,Time!$F$14),Time!X35*(X45-X46))</f>
        <v>103.327036348895</v>
      </c>
      <c r="Y47" s="13" t="n">
        <f aca="false">IF(Time!Y34=1,INDEX(Funding!$J$62:$BJ$62,1,Time!$F$14),Time!Y35*(Y45-Y46))</f>
        <v>99.0197662678554</v>
      </c>
      <c r="Z47" s="13" t="n">
        <f aca="false">IF(Time!Z34=1,INDEX(Funding!$J$62:$BJ$62,1,Time!$F$14),Time!Z35*(Z45-Z46))</f>
        <v>94.5099460445423</v>
      </c>
      <c r="AA47" s="13" t="n">
        <f aca="false">IF(Time!AA34=1,INDEX(Funding!$J$62:$BJ$62,1,Time!$F$14),Time!AA35*(AA45-AA46))</f>
        <v>89.9058243949219</v>
      </c>
      <c r="AB47" s="13" t="n">
        <f aca="false">IF(Time!AB34=1,INDEX(Funding!$J$62:$BJ$62,1,Time!$F$14),Time!AB35*(AB45-AB46))</f>
        <v>85.0776591199605</v>
      </c>
      <c r="AC47" s="13" t="n">
        <f aca="false">IF(Time!AC34=1,INDEX(Funding!$J$62:$BJ$62,1,Time!$F$14),Time!AC35*(AC45-AC46))</f>
        <v>80.1122154136636</v>
      </c>
      <c r="AD47" s="13" t="n">
        <f aca="false">IF(Time!AD34=1,INDEX(Funding!$J$62:$BJ$62,1,Time!$F$14),Time!AD35*(AD45-AD46))</f>
        <v>74.9104002777661</v>
      </c>
      <c r="AE47" s="13" t="n">
        <f aca="false">IF(Time!AE34=1,INDEX(Funding!$J$62:$BJ$62,1,Time!$F$14),Time!AE35*(AE45-AE46))</f>
        <v>69.2873119258391</v>
      </c>
      <c r="AF47" s="13" t="n">
        <f aca="false">IF(Time!AF34=1,INDEX(Funding!$J$62:$BJ$62,1,Time!$F$14),Time!AF35*(AF45-AF46))</f>
        <v>63.3615952614365</v>
      </c>
      <c r="AG47" s="13" t="n">
        <f aca="false">IF(Time!AG34=1,INDEX(Funding!$J$62:$BJ$62,1,Time!$F$14),Time!AG35*(AG45-AG46))</f>
        <v>57.3930025800817</v>
      </c>
      <c r="AH47" s="13" t="n">
        <f aca="false">IF(Time!AH34=1,INDEX(Funding!$J$62:$BJ$62,1,Time!$F$14),Time!AH35*(AH45-AH46))</f>
        <v>51.1159188525177</v>
      </c>
      <c r="AI47" s="13" t="n">
        <f aca="false">IF(Time!AI34=1,INDEX(Funding!$J$62:$BJ$62,1,Time!$F$14),Time!AI35*(AI45-AI46))</f>
        <v>44.6425685029623</v>
      </c>
      <c r="AJ47" s="13" t="n">
        <f aca="false">IF(Time!AJ34=1,INDEX(Funding!$J$62:$BJ$62,1,Time!$F$14),Time!AJ35*(AJ45-AJ46))</f>
        <v>37.8518212988812</v>
      </c>
      <c r="AK47" s="13" t="n">
        <f aca="false">IF(Time!AK34=1,INDEX(Funding!$J$62:$BJ$62,1,Time!$F$14),Time!AK35*(AK45-AK46))</f>
        <v>30.8596819379931</v>
      </c>
      <c r="AL47" s="13" t="n">
        <f aca="false">IF(Time!AL34=1,INDEX(Funding!$J$62:$BJ$62,1,Time!$F$14),Time!AL35*(AL45-AL46))</f>
        <v>23.5390516697304</v>
      </c>
      <c r="AM47" s="13" t="n">
        <f aca="false">IF(Time!AM34=1,INDEX(Funding!$J$62:$BJ$62,1,Time!$F$14),Time!AM35*(AM45-AM46))</f>
        <v>15.8772193140133</v>
      </c>
      <c r="AN47" s="13" t="n">
        <f aca="false">IF(Time!AN34=1,INDEX(Funding!$J$62:$BJ$62,1,Time!$F$14),Time!AN35*(AN45-AN46))</f>
        <v>7.84494175705086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0</v>
      </c>
      <c r="Q49" s="13" t="n">
        <f aca="false">Time!Q35*P61</f>
        <v>63.3255975542774</v>
      </c>
      <c r="R49" s="13" t="n">
        <f aca="false">Time!R35*Q61</f>
        <v>59.9323974665291</v>
      </c>
      <c r="S49" s="13" t="n">
        <f aca="false">Time!S35*R61</f>
        <v>58.2945865759344</v>
      </c>
      <c r="T49" s="13" t="n">
        <f aca="false">Time!T35*S61</f>
        <v>56.5984189012501</v>
      </c>
      <c r="U49" s="13" t="n">
        <f aca="false">Time!U35*T61</f>
        <v>54.8228268674109</v>
      </c>
      <c r="V49" s="13" t="n">
        <f aca="false">Time!V35*U61</f>
        <v>52.9974205516351</v>
      </c>
      <c r="W49" s="13" t="n">
        <f aca="false">Time!W35*V61</f>
        <v>51.088413981606</v>
      </c>
      <c r="X49" s="13" t="n">
        <f aca="false">Time!X35*W61</f>
        <v>49.0737991024775</v>
      </c>
      <c r="Y49" s="13" t="n">
        <f aca="false">Time!Y35*X61</f>
        <v>46.9668347040434</v>
      </c>
      <c r="Z49" s="13" t="n">
        <f aca="false">Time!Z35*Y61</f>
        <v>45.008984667207</v>
      </c>
      <c r="AA49" s="13" t="n">
        <f aca="false">Time!AA35*Z61</f>
        <v>42.9590663838829</v>
      </c>
      <c r="AB49" s="13" t="n">
        <f aca="false">Time!AB35*AA61</f>
        <v>40.8662838158736</v>
      </c>
      <c r="AC49" s="13" t="n">
        <f aca="false">Time!AC35*AB61</f>
        <v>38.6716632363457</v>
      </c>
      <c r="AD49" s="13" t="n">
        <f aca="false">Time!AD35*AC61</f>
        <v>36.4146433698471</v>
      </c>
      <c r="AE49" s="13" t="n">
        <f aca="false">Time!AE35*AD61</f>
        <v>34.0501819444391</v>
      </c>
      <c r="AF49" s="13" t="n">
        <f aca="false">Time!AF35*AE61</f>
        <v>31.4942326935632</v>
      </c>
      <c r="AG49" s="13" t="n">
        <f aca="false">Time!AG35*AF61</f>
        <v>28.8007251188348</v>
      </c>
      <c r="AH49" s="13" t="n">
        <f aca="false">Time!AH35*AG61</f>
        <v>26.0877284454917</v>
      </c>
      <c r="AI49" s="13" t="n">
        <f aca="false">Time!AI35*AH61</f>
        <v>23.2345085693262</v>
      </c>
      <c r="AJ49" s="13" t="n">
        <f aca="false">Time!AJ35*AI61</f>
        <v>20.2920765922556</v>
      </c>
      <c r="AK49" s="13" t="n">
        <f aca="false">Time!AK35*AJ61</f>
        <v>17.2053733176733</v>
      </c>
      <c r="AL49" s="13" t="n">
        <f aca="false">Time!AL35*AK61</f>
        <v>14.0271281536332</v>
      </c>
      <c r="AM49" s="13" t="n">
        <f aca="false">Time!AM35*AL61</f>
        <v>10.6995689407866</v>
      </c>
      <c r="AN49" s="13" t="n">
        <f aca="false">Time!AN35*AM61</f>
        <v>7.21691787000605</v>
      </c>
      <c r="AO49" s="13" t="n">
        <f aca="false">Time!AO35*AN61</f>
        <v>3.5658826168413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30.2048198977008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0</v>
      </c>
      <c r="Q51" s="13" t="n">
        <f aca="false">Q49*Q12</f>
        <v>2.0726995792828</v>
      </c>
      <c r="R51" s="13" t="n">
        <f aca="false">R49*R12</f>
        <v>1.99415063836964</v>
      </c>
      <c r="S51" s="13" t="n">
        <f aca="false">S49*S12</f>
        <v>1.91096131972199</v>
      </c>
      <c r="T51" s="13" t="n">
        <f aca="false">T49*T12</f>
        <v>1.8861108663181</v>
      </c>
      <c r="U51" s="13" t="n">
        <f aca="false">U49*U12</f>
        <v>1.80708220205401</v>
      </c>
      <c r="V51" s="13" t="n">
        <f aca="false">V49*V12</f>
        <v>1.76610959687182</v>
      </c>
      <c r="W51" s="13" t="n">
        <f aca="false">W49*W12</f>
        <v>1.67473497522147</v>
      </c>
      <c r="X51" s="13" t="n">
        <f aca="false">X49*X12</f>
        <v>1.63535709186834</v>
      </c>
      <c r="Y51" s="13" t="n">
        <f aca="false">Y49*Y12</f>
        <v>1.53962502697044</v>
      </c>
      <c r="Z51" s="13" t="n">
        <f aca="false">Z49*Z12</f>
        <v>1.49989940904319</v>
      </c>
      <c r="AA51" s="13" t="n">
        <f aca="false">AA49*AA12</f>
        <v>1.40824592835966</v>
      </c>
      <c r="AB51" s="13" t="n">
        <f aca="false">AB49*AB12</f>
        <v>1.36184620467298</v>
      </c>
      <c r="AC51" s="13" t="n">
        <f aca="false">AC49*AC12</f>
        <v>1.27470395729937</v>
      </c>
      <c r="AD51" s="13" t="n">
        <f aca="false">AD49*AD12</f>
        <v>1.21349775994273</v>
      </c>
      <c r="AE51" s="13" t="n">
        <f aca="false">AE49*AE12</f>
        <v>1.11620279767421</v>
      </c>
      <c r="AF51" s="13" t="n">
        <f aca="false">AF49*AF12</f>
        <v>1.04952780771705</v>
      </c>
      <c r="AG51" s="13" t="n">
        <f aca="false">AG49*AG12</f>
        <v>0.944119770201091</v>
      </c>
      <c r="AH51" s="13" t="n">
        <f aca="false">AH49*AH12</f>
        <v>0.869359057263541</v>
      </c>
      <c r="AI51" s="13" t="n">
        <f aca="false">AI49*AI12</f>
        <v>0.761653007023146</v>
      </c>
      <c r="AJ51" s="13" t="n">
        <f aca="false">AJ49*AJ12</f>
        <v>0.676222179061032</v>
      </c>
      <c r="AK51" s="13" t="n">
        <f aca="false">AK49*AK12</f>
        <v>0.567127338713439</v>
      </c>
      <c r="AL51" s="13" t="n">
        <f aca="false">AL49*AL12</f>
        <v>0.467446252870852</v>
      </c>
      <c r="AM51" s="13" t="n">
        <f aca="false">AM49*AM12</f>
        <v>0.350743758288917</v>
      </c>
      <c r="AN51" s="13" t="n">
        <f aca="false">AN49*AN12</f>
        <v>0.240499778619135</v>
      </c>
      <c r="AO51" s="13" t="n">
        <f aca="false">AO49*AO12</f>
        <v>0.116893594271854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61.5105484040074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0</v>
      </c>
      <c r="Q52" s="13" t="n">
        <f aca="false">Time!Q35*(Q49-Q50)*Q19</f>
        <v>1.57815093747835</v>
      </c>
      <c r="R52" s="13" t="n">
        <f aca="false">Time!R35*(R49-R50)*R19</f>
        <v>1.63781089059467</v>
      </c>
      <c r="S52" s="13" t="n">
        <f aca="false">Time!S35*(S49-S50)*S19</f>
        <v>1.69616767468431</v>
      </c>
      <c r="T52" s="13" t="n">
        <f aca="false">Time!T35*(T49-T50)*T19</f>
        <v>1.77559203383915</v>
      </c>
      <c r="U52" s="13" t="n">
        <f aca="false">Time!U35*(U49-U50)*U19</f>
        <v>1.82540631577581</v>
      </c>
      <c r="V52" s="13" t="n">
        <f aca="false">Time!V35*(V49-V50)*V19</f>
        <v>1.90900657002913</v>
      </c>
      <c r="W52" s="13" t="n">
        <f aca="false">Time!W35*(W49-W50)*W19</f>
        <v>2.01461487912854</v>
      </c>
      <c r="X52" s="13" t="n">
        <f aca="false">Time!X35*(X49-X50)*X19</f>
        <v>2.10696439843407</v>
      </c>
      <c r="Y52" s="13" t="n">
        <f aca="false">Time!Y35*(Y49-Y50)*Y19</f>
        <v>1.9578500368364</v>
      </c>
      <c r="Z52" s="13" t="n">
        <f aca="false">Time!Z35*(Z49-Z50)*Z19</f>
        <v>2.04991828332413</v>
      </c>
      <c r="AA52" s="13" t="n">
        <f aca="false">Time!AA35*(AA49-AA50)*AA19</f>
        <v>2.0927825680093</v>
      </c>
      <c r="AB52" s="13" t="n">
        <f aca="false">Time!AB35*(AB49-AB50)*AB19</f>
        <v>2.19462057952788</v>
      </c>
      <c r="AC52" s="13" t="n">
        <f aca="false">Time!AC35*(AC49-AC50)*AC19</f>
        <v>2.25701986649862</v>
      </c>
      <c r="AD52" s="13" t="n">
        <f aca="false">Time!AD35*(AD49-AD50)*AD19</f>
        <v>2.36446142540793</v>
      </c>
      <c r="AE52" s="13" t="n">
        <f aca="false">Time!AE35*(AE49-AE50)*AE19</f>
        <v>2.55594925087592</v>
      </c>
      <c r="AF52" s="13" t="n">
        <f aca="false">Time!AF35*(AF49-AF50)*AF19</f>
        <v>2.69350757472847</v>
      </c>
      <c r="AG52" s="13" t="n">
        <f aca="false">Time!AG35*(AG49-AG50)*AG19</f>
        <v>2.71299667334307</v>
      </c>
      <c r="AH52" s="13" t="n">
        <f aca="false">Time!AH35*(AH49-AH50)*AH19</f>
        <v>2.85321987616547</v>
      </c>
      <c r="AI52" s="13" t="n">
        <f aca="false">Time!AI35*(AI49-AI50)*AI19</f>
        <v>2.94243197707064</v>
      </c>
      <c r="AJ52" s="13" t="n">
        <f aca="false">Time!AJ35*(AJ49-AJ50)*AJ19</f>
        <v>3.08670327458231</v>
      </c>
      <c r="AK52" s="13" t="n">
        <f aca="false">Time!AK35*(AK49-AK50)*AK19</f>
        <v>3.17824516404006</v>
      </c>
      <c r="AL52" s="13" t="n">
        <f aca="false">Time!AL35*(AL49-AL50)*AL19</f>
        <v>3.32755921284665</v>
      </c>
      <c r="AM52" s="13" t="n">
        <f aca="false">Time!AM35*(AM49-AM50)*AM19</f>
        <v>3.48265107078051</v>
      </c>
      <c r="AN52" s="13" t="n">
        <f aca="false">Time!AN35*(AN49-AN50)*AN19</f>
        <v>3.65103525316475</v>
      </c>
      <c r="AO52" s="13" t="n">
        <f aca="false">Time!AO35*(AO49-AO50)*AO19</f>
        <v>3.5658826168413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61.5105484040074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0</v>
      </c>
      <c r="Q55" s="13" t="n">
        <f aca="false">Q52-Q53+Q54</f>
        <v>1.57815093747835</v>
      </c>
      <c r="R55" s="13" t="n">
        <f aca="false">R52-R53+R54</f>
        <v>1.63781089059467</v>
      </c>
      <c r="S55" s="13" t="n">
        <f aca="false">S52-S53+S54</f>
        <v>1.69616767468431</v>
      </c>
      <c r="T55" s="13" t="n">
        <f aca="false">T52-T53+T54</f>
        <v>1.77559203383915</v>
      </c>
      <c r="U55" s="13" t="n">
        <f aca="false">U52-U53+U54</f>
        <v>1.82540631577581</v>
      </c>
      <c r="V55" s="13" t="n">
        <f aca="false">V52-V53+V54</f>
        <v>1.90900657002913</v>
      </c>
      <c r="W55" s="13" t="n">
        <f aca="false">W52-W53+W54</f>
        <v>2.01461487912854</v>
      </c>
      <c r="X55" s="13" t="n">
        <f aca="false">X52-X53+X54</f>
        <v>2.10696439843407</v>
      </c>
      <c r="Y55" s="13" t="n">
        <f aca="false">Y52-Y53+Y54</f>
        <v>1.9578500368364</v>
      </c>
      <c r="Z55" s="13" t="n">
        <f aca="false">Z52-Z53+Z54</f>
        <v>2.04991828332413</v>
      </c>
      <c r="AA55" s="13" t="n">
        <f aca="false">AA52-AA53+AA54</f>
        <v>2.0927825680093</v>
      </c>
      <c r="AB55" s="13" t="n">
        <f aca="false">AB52-AB53+AB54</f>
        <v>2.19462057952788</v>
      </c>
      <c r="AC55" s="13" t="n">
        <f aca="false">AC52-AC53+AC54</f>
        <v>2.25701986649862</v>
      </c>
      <c r="AD55" s="13" t="n">
        <f aca="false">AD52-AD53+AD54</f>
        <v>2.36446142540793</v>
      </c>
      <c r="AE55" s="13" t="n">
        <f aca="false">AE52-AE53+AE54</f>
        <v>2.55594925087592</v>
      </c>
      <c r="AF55" s="13" t="n">
        <f aca="false">AF52-AF53+AF54</f>
        <v>2.69350757472847</v>
      </c>
      <c r="AG55" s="13" t="n">
        <f aca="false">AG52-AG53+AG54</f>
        <v>2.71299667334307</v>
      </c>
      <c r="AH55" s="13" t="n">
        <f aca="false">AH52-AH53+AH54</f>
        <v>2.85321987616547</v>
      </c>
      <c r="AI55" s="13" t="n">
        <f aca="false">AI52-AI53+AI54</f>
        <v>2.94243197707064</v>
      </c>
      <c r="AJ55" s="13" t="n">
        <f aca="false">AJ52-AJ53+AJ54</f>
        <v>3.08670327458231</v>
      </c>
      <c r="AK55" s="13" t="n">
        <f aca="false">AK52-AK53+AK54</f>
        <v>3.17824516404006</v>
      </c>
      <c r="AL55" s="13" t="n">
        <f aca="false">AL52-AL53+AL54</f>
        <v>3.32755921284665</v>
      </c>
      <c r="AM55" s="13" t="n">
        <f aca="false">AM52-AM53+AM54</f>
        <v>3.48265107078051</v>
      </c>
      <c r="AN55" s="13" t="n">
        <f aca="false">AN52-AN53+AN54</f>
        <v>3.65103525316475</v>
      </c>
      <c r="AO55" s="13" t="n">
        <f aca="false">AO52-AO53+AO54</f>
        <v>3.5658826168413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1.81504915027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1.81504915027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0</v>
      </c>
      <c r="Q59" s="13" t="n">
        <f aca="false">Q49-Q55-Q56-Q57</f>
        <v>59.9323974665291</v>
      </c>
      <c r="R59" s="13" t="n">
        <f aca="false">R49-R55-R56-R57</f>
        <v>58.2945865759344</v>
      </c>
      <c r="S59" s="13" t="n">
        <f aca="false">S49-S55-S56-S57</f>
        <v>56.5984189012501</v>
      </c>
      <c r="T59" s="13" t="n">
        <f aca="false">T49-T55-T56-T57</f>
        <v>54.8228268674109</v>
      </c>
      <c r="U59" s="13" t="n">
        <f aca="false">U49-U55-U56-U57</f>
        <v>52.9974205516351</v>
      </c>
      <c r="V59" s="13" t="n">
        <f aca="false">V49-V55-V56-V57</f>
        <v>51.088413981606</v>
      </c>
      <c r="W59" s="13" t="n">
        <f aca="false">W49-W55-W56-W57</f>
        <v>49.0737991024775</v>
      </c>
      <c r="X59" s="13" t="n">
        <f aca="false">X49-X55-X56-X57</f>
        <v>46.9668347040434</v>
      </c>
      <c r="Y59" s="13" t="n">
        <f aca="false">Y49-Y55-Y56-Y57</f>
        <v>45.008984667207</v>
      </c>
      <c r="Z59" s="13" t="n">
        <f aca="false">Z49-Z55-Z56-Z57</f>
        <v>42.9590663838829</v>
      </c>
      <c r="AA59" s="13" t="n">
        <f aca="false">AA49-AA55-AA56-AA57</f>
        <v>40.8662838158736</v>
      </c>
      <c r="AB59" s="13" t="n">
        <f aca="false">AB49-AB55-AB56-AB57</f>
        <v>38.6716632363457</v>
      </c>
      <c r="AC59" s="13" t="n">
        <f aca="false">AC49-AC55-AC56-AC57</f>
        <v>36.4146433698471</v>
      </c>
      <c r="AD59" s="13" t="n">
        <f aca="false">AD49-AD55-AD56-AD57</f>
        <v>34.0501819444391</v>
      </c>
      <c r="AE59" s="13" t="n">
        <f aca="false">AE49-AE55-AE56-AE57</f>
        <v>31.4942326935632</v>
      </c>
      <c r="AF59" s="13" t="n">
        <f aca="false">AF49-AF55-AF56-AF57</f>
        <v>28.8007251188348</v>
      </c>
      <c r="AG59" s="13" t="n">
        <f aca="false">AG49-AG55-AG56-AG57</f>
        <v>26.0877284454917</v>
      </c>
      <c r="AH59" s="13" t="n">
        <f aca="false">AH49-AH55-AH56-AH57</f>
        <v>23.2345085693262</v>
      </c>
      <c r="AI59" s="13" t="n">
        <f aca="false">AI49-AI55-AI56-AI57</f>
        <v>20.2920765922556</v>
      </c>
      <c r="AJ59" s="13" t="n">
        <f aca="false">AJ49-AJ55-AJ56-AJ57</f>
        <v>17.2053733176733</v>
      </c>
      <c r="AK59" s="13" t="n">
        <f aca="false">AK49-AK55-AK56-AK57</f>
        <v>14.0271281536332</v>
      </c>
      <c r="AL59" s="13" t="n">
        <f aca="false">AL49-AL55-AL56-AL57</f>
        <v>10.6995689407866</v>
      </c>
      <c r="AM59" s="13" t="n">
        <f aca="false">AM49-AM55-AM56-AM57</f>
        <v>7.21691787000605</v>
      </c>
      <c r="AN59" s="13" t="n">
        <f aca="false">AN49-AN55-AN56-AN57</f>
        <v>3.5658826168413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0</v>
      </c>
      <c r="P61" s="13" t="n">
        <f aca="false">IF(Time!P34=1,INDEX(Funding!$J$63:$BJ$63,1,Time!$F$14),Time!P35*(P59-P60))</f>
        <v>63.3255975542774</v>
      </c>
      <c r="Q61" s="13" t="n">
        <f aca="false">IF(Time!Q34=1,INDEX(Funding!$J$63:$BJ$63,1,Time!$F$14),Time!Q35*(Q59-Q60))</f>
        <v>59.9323974665291</v>
      </c>
      <c r="R61" s="13" t="n">
        <f aca="false">IF(Time!R34=1,INDEX(Funding!$J$63:$BJ$63,1,Time!$F$14),Time!R35*(R59-R60))</f>
        <v>58.2945865759344</v>
      </c>
      <c r="S61" s="13" t="n">
        <f aca="false">IF(Time!S34=1,INDEX(Funding!$J$63:$BJ$63,1,Time!$F$14),Time!S35*(S59-S60))</f>
        <v>56.5984189012501</v>
      </c>
      <c r="T61" s="13" t="n">
        <f aca="false">IF(Time!T34=1,INDEX(Funding!$J$63:$BJ$63,1,Time!$F$14),Time!T35*(T59-T60))</f>
        <v>54.8228268674109</v>
      </c>
      <c r="U61" s="13" t="n">
        <f aca="false">IF(Time!U34=1,INDEX(Funding!$J$63:$BJ$63,1,Time!$F$14),Time!U35*(U59-U60))</f>
        <v>52.9974205516351</v>
      </c>
      <c r="V61" s="13" t="n">
        <f aca="false">IF(Time!V34=1,INDEX(Funding!$J$63:$BJ$63,1,Time!$F$14),Time!V35*(V59-V60))</f>
        <v>51.088413981606</v>
      </c>
      <c r="W61" s="13" t="n">
        <f aca="false">IF(Time!W34=1,INDEX(Funding!$J$63:$BJ$63,1,Time!$F$14),Time!W35*(W59-W60))</f>
        <v>49.0737991024775</v>
      </c>
      <c r="X61" s="13" t="n">
        <f aca="false">IF(Time!X34=1,INDEX(Funding!$J$63:$BJ$63,1,Time!$F$14),Time!X35*(X59-X60))</f>
        <v>46.9668347040434</v>
      </c>
      <c r="Y61" s="13" t="n">
        <f aca="false">IF(Time!Y34=1,INDEX(Funding!$J$63:$BJ$63,1,Time!$F$14),Time!Y35*(Y59-Y60))</f>
        <v>45.008984667207</v>
      </c>
      <c r="Z61" s="13" t="n">
        <f aca="false">IF(Time!Z34=1,INDEX(Funding!$J$63:$BJ$63,1,Time!$F$14),Time!Z35*(Z59-Z60))</f>
        <v>42.9590663838829</v>
      </c>
      <c r="AA61" s="13" t="n">
        <f aca="false">IF(Time!AA34=1,INDEX(Funding!$J$63:$BJ$63,1,Time!$F$14),Time!AA35*(AA59-AA60))</f>
        <v>40.8662838158736</v>
      </c>
      <c r="AB61" s="13" t="n">
        <f aca="false">IF(Time!AB34=1,INDEX(Funding!$J$63:$BJ$63,1,Time!$F$14),Time!AB35*(AB59-AB60))</f>
        <v>38.6716632363457</v>
      </c>
      <c r="AC61" s="13" t="n">
        <f aca="false">IF(Time!AC34=1,INDEX(Funding!$J$63:$BJ$63,1,Time!$F$14),Time!AC35*(AC59-AC60))</f>
        <v>36.4146433698471</v>
      </c>
      <c r="AD61" s="13" t="n">
        <f aca="false">IF(Time!AD34=1,INDEX(Funding!$J$63:$BJ$63,1,Time!$F$14),Time!AD35*(AD59-AD60))</f>
        <v>34.0501819444391</v>
      </c>
      <c r="AE61" s="13" t="n">
        <f aca="false">IF(Time!AE34=1,INDEX(Funding!$J$63:$BJ$63,1,Time!$F$14),Time!AE35*(AE59-AE60))</f>
        <v>31.4942326935632</v>
      </c>
      <c r="AF61" s="13" t="n">
        <f aca="false">IF(Time!AF34=1,INDEX(Funding!$J$63:$BJ$63,1,Time!$F$14),Time!AF35*(AF59-AF60))</f>
        <v>28.8007251188348</v>
      </c>
      <c r="AG61" s="13" t="n">
        <f aca="false">IF(Time!AG34=1,INDEX(Funding!$J$63:$BJ$63,1,Time!$F$14),Time!AG35*(AG59-AG60))</f>
        <v>26.0877284454917</v>
      </c>
      <c r="AH61" s="13" t="n">
        <f aca="false">IF(Time!AH34=1,INDEX(Funding!$J$63:$BJ$63,1,Time!$F$14),Time!AH35*(AH59-AH60))</f>
        <v>23.2345085693262</v>
      </c>
      <c r="AI61" s="13" t="n">
        <f aca="false">IF(Time!AI34=1,INDEX(Funding!$J$63:$BJ$63,1,Time!$F$14),Time!AI35*(AI59-AI60))</f>
        <v>20.2920765922556</v>
      </c>
      <c r="AJ61" s="13" t="n">
        <f aca="false">IF(Time!AJ34=1,INDEX(Funding!$J$63:$BJ$63,1,Time!$F$14),Time!AJ35*(AJ59-AJ60))</f>
        <v>17.2053733176733</v>
      </c>
      <c r="AK61" s="13" t="n">
        <f aca="false">IF(Time!AK34=1,INDEX(Funding!$J$63:$BJ$63,1,Time!$F$14),Time!AK35*(AK59-AK60))</f>
        <v>14.0271281536332</v>
      </c>
      <c r="AL61" s="13" t="n">
        <f aca="false">IF(Time!AL34=1,INDEX(Funding!$J$63:$BJ$63,1,Time!$F$14),Time!AL35*(AL59-AL60))</f>
        <v>10.6995689407866</v>
      </c>
      <c r="AM61" s="13" t="n">
        <f aca="false">IF(Time!AM34=1,INDEX(Funding!$J$63:$BJ$63,1,Time!$F$14),Time!AM35*(AM59-AM60))</f>
        <v>7.21691787000605</v>
      </c>
      <c r="AN61" s="13" t="n">
        <f aca="false">IF(Time!AN34=1,INDEX(Funding!$J$63:$BJ$63,1,Time!$F$14),Time!AN35*(AN59-AN60))</f>
        <v>3.5658826168413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0</v>
      </c>
      <c r="Q63" s="13" t="n">
        <f aca="false">Time!Q35*P75</f>
        <v>240.637270706254</v>
      </c>
      <c r="R63" s="13" t="n">
        <f aca="false">Time!R35*Q75</f>
        <v>227.74311037281</v>
      </c>
      <c r="S63" s="13" t="n">
        <f aca="false">Time!S35*R75</f>
        <v>221.519428988551</v>
      </c>
      <c r="T63" s="13" t="n">
        <f aca="false">Time!T35*S75</f>
        <v>215.07399182475</v>
      </c>
      <c r="U63" s="13" t="n">
        <f aca="false">Time!U35*T75</f>
        <v>208.326742096162</v>
      </c>
      <c r="V63" s="13" t="n">
        <f aca="false">Time!V35*U75</f>
        <v>201.390198096213</v>
      </c>
      <c r="W63" s="13" t="n">
        <f aca="false">Time!W35*V75</f>
        <v>194.135973130103</v>
      </c>
      <c r="X63" s="13" t="n">
        <f aca="false">Time!X35*W75</f>
        <v>186.480436589414</v>
      </c>
      <c r="Y63" s="13" t="n">
        <f aca="false">Time!Y35*X75</f>
        <v>178.473971875365</v>
      </c>
      <c r="Z63" s="13" t="n">
        <f aca="false">Time!Z35*Y75</f>
        <v>171.034141735387</v>
      </c>
      <c r="AA63" s="13" t="n">
        <f aca="false">Time!AA35*Z75</f>
        <v>163.244452258755</v>
      </c>
      <c r="AB63" s="13" t="n">
        <f aca="false">Time!AB35*AA75</f>
        <v>149.604359563915</v>
      </c>
      <c r="AC63" s="13" t="n">
        <f aca="false">Time!AC35*AB75</f>
        <v>134.872378840057</v>
      </c>
      <c r="AD63" s="13" t="n">
        <f aca="false">Time!AD35*AC75</f>
        <v>120.241363049365</v>
      </c>
      <c r="AE63" s="13" t="n">
        <f aca="false">Time!AE35*AD75</f>
        <v>105.47727656976</v>
      </c>
      <c r="AF63" s="13" t="n">
        <f aca="false">Time!AF35*AE75</f>
        <v>89.7913153110848</v>
      </c>
      <c r="AG63" s="13" t="n">
        <f aca="false">Time!AG35*AF75</f>
        <v>73.0583318514564</v>
      </c>
      <c r="AH63" s="13" t="n">
        <f aca="false">Time!AH35*AG75</f>
        <v>56.9679009102516</v>
      </c>
      <c r="AI63" s="13" t="n">
        <f aca="false">Time!AI35*AH75</f>
        <v>40.2818984261525</v>
      </c>
      <c r="AJ63" s="13" t="n">
        <f aca="false">Time!AJ35*AI75</f>
        <v>24.0029488519927</v>
      </c>
      <c r="AK63" s="13" t="n">
        <f aca="false">Time!AK35*AJ75</f>
        <v>7.47998789884091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126.684410528052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0</v>
      </c>
      <c r="Q65" s="13" t="n">
        <f aca="false">Q63*Q13</f>
        <v>9.69240878532002</v>
      </c>
      <c r="R65" s="13" t="n">
        <f aca="false">R63*R13</f>
        <v>9.32509629459831</v>
      </c>
      <c r="S65" s="13" t="n">
        <f aca="false">S63*S13</f>
        <v>8.93475370959314</v>
      </c>
      <c r="T65" s="13" t="n">
        <f aca="false">T63*T13</f>
        <v>8.81856471170816</v>
      </c>
      <c r="U65" s="13" t="n">
        <f aca="false">U63*U13</f>
        <v>8.44906395629753</v>
      </c>
      <c r="V65" s="13" t="n">
        <f aca="false">V63*V13</f>
        <v>8.25749538169314</v>
      </c>
      <c r="W65" s="13" t="n">
        <f aca="false">W63*W13</f>
        <v>7.83027075326793</v>
      </c>
      <c r="X65" s="13" t="n">
        <f aca="false">X63*X13</f>
        <v>7.64615834568843</v>
      </c>
      <c r="Y65" s="13" t="n">
        <f aca="false">Y63*Y13</f>
        <v>7.69707562903966</v>
      </c>
      <c r="Z65" s="13" t="n">
        <f aca="false">Z63*Z13</f>
        <v>7.49847461889759</v>
      </c>
      <c r="AA65" s="13" t="n">
        <f aca="false">AA63*AA13</f>
        <v>7.04026969229023</v>
      </c>
      <c r="AB65" s="13" t="n">
        <f aca="false">AB63*AB13</f>
        <v>6.55895063806634</v>
      </c>
      <c r="AC65" s="13" t="n">
        <f aca="false">AC63*AC13</f>
        <v>5.84879898658746</v>
      </c>
      <c r="AD65" s="13" t="n">
        <f aca="false">AD63*AD13</f>
        <v>5.2716188698877</v>
      </c>
      <c r="AE65" s="13" t="n">
        <f aca="false">AE63*AE13</f>
        <v>4.54893543507582</v>
      </c>
      <c r="AF65" s="13" t="n">
        <f aca="false">AF63*AF13</f>
        <v>3.93662862879906</v>
      </c>
      <c r="AG65" s="13" t="n">
        <f aca="false">AG63*AG13</f>
        <v>3.35486565726031</v>
      </c>
      <c r="AH65" s="13" t="n">
        <f aca="false">AH63*AH13</f>
        <v>2.65934601138078</v>
      </c>
      <c r="AI65" s="13" t="n">
        <f aca="false">AI63*AI13</f>
        <v>1.84975969495056</v>
      </c>
      <c r="AJ65" s="13" t="n">
        <f aca="false">AJ63*AJ13</f>
        <v>1.12049321233524</v>
      </c>
      <c r="AK65" s="13" t="n">
        <f aca="false">AK63*AK13</f>
        <v>0.345381515314258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141.005144253729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0</v>
      </c>
      <c r="Q66" s="13" t="n">
        <f aca="false">Time!Q35*(Q63-Q64)*Q19</f>
        <v>5.99697356241772</v>
      </c>
      <c r="R66" s="13" t="n">
        <f aca="false">Time!R35*(R63-R64)*R19</f>
        <v>6.22368138425974</v>
      </c>
      <c r="S66" s="13" t="n">
        <f aca="false">Time!S35*(S63-S64)*S19</f>
        <v>6.4454371638004</v>
      </c>
      <c r="T66" s="13" t="n">
        <f aca="false">Time!T35*(T63-T64)*T19</f>
        <v>6.74724972858878</v>
      </c>
      <c r="U66" s="13" t="n">
        <f aca="false">Time!U35*(U63-U64)*U19</f>
        <v>6.93654399994808</v>
      </c>
      <c r="V66" s="13" t="n">
        <f aca="false">Time!V35*(V63-V64)*V19</f>
        <v>7.2542249661107</v>
      </c>
      <c r="W66" s="13" t="n">
        <f aca="false">Time!W35*(W63-W64)*W19</f>
        <v>7.65553654068844</v>
      </c>
      <c r="X66" s="13" t="n">
        <f aca="false">Time!X35*(X63-X64)*X19</f>
        <v>8.00646471404946</v>
      </c>
      <c r="Y66" s="13" t="n">
        <f aca="false">Time!Y35*(Y63-Y64)*Y19</f>
        <v>7.43983013997834</v>
      </c>
      <c r="Z66" s="13" t="n">
        <f aca="false">Time!Z35*(Z63-Z64)*Z19</f>
        <v>7.78968947663168</v>
      </c>
      <c r="AA66" s="13" t="n">
        <f aca="false">Time!AA35*(AA63-AA64)*AA19</f>
        <v>7.95257375843533</v>
      </c>
      <c r="AB66" s="13" t="n">
        <f aca="false">Time!AB35*(AB63-AB64)*AB19</f>
        <v>8.0341243594683</v>
      </c>
      <c r="AC66" s="13" t="n">
        <f aca="false">Time!AC35*(AC63-AC64)*AC19</f>
        <v>7.87164587733159</v>
      </c>
      <c r="AD66" s="13" t="n">
        <f aca="false">Time!AD35*(AD63-AD64)*AD19</f>
        <v>7.80746530402961</v>
      </c>
      <c r="AE66" s="13" t="n">
        <f aca="false">Time!AE35*(AE63-AE64)*AE19</f>
        <v>7.91756609326836</v>
      </c>
      <c r="AF66" s="13" t="n">
        <f aca="false">Time!AF35*(AF63-AF64)*AF19</f>
        <v>7.67929767613197</v>
      </c>
      <c r="AG66" s="13" t="n">
        <f aca="false">Time!AG35*(AG63-AG64)*AG19</f>
        <v>6.88201461786718</v>
      </c>
      <c r="AH66" s="13" t="n">
        <f aca="false">Time!AH35*(AH63-AH64)*AH19</f>
        <v>6.23059027619725</v>
      </c>
      <c r="AI66" s="13" t="n">
        <f aca="false">Time!AI35*(AI63-AI64)*AI19</f>
        <v>5.10132356243159</v>
      </c>
      <c r="AJ66" s="13" t="n">
        <f aca="false">Time!AJ35*(AJ63-AJ64)*AJ19</f>
        <v>3.65117786167601</v>
      </c>
      <c r="AK66" s="13" t="n">
        <f aca="false">Time!AK35*(AK63-AK64)*AK19</f>
        <v>1.38173319041846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141.005144253729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0</v>
      </c>
      <c r="Q69" s="13" t="n">
        <f aca="false">Q66-Q67+Q68</f>
        <v>5.99697356241772</v>
      </c>
      <c r="R69" s="13" t="n">
        <f aca="false">R66-R67+R68</f>
        <v>6.22368138425974</v>
      </c>
      <c r="S69" s="13" t="n">
        <f aca="false">S66-S67+S68</f>
        <v>6.4454371638004</v>
      </c>
      <c r="T69" s="13" t="n">
        <f aca="false">T66-T67+T68</f>
        <v>6.74724972858878</v>
      </c>
      <c r="U69" s="13" t="n">
        <f aca="false">U66-U67+U68</f>
        <v>6.93654399994808</v>
      </c>
      <c r="V69" s="13" t="n">
        <f aca="false">V66-V67+V68</f>
        <v>7.2542249661107</v>
      </c>
      <c r="W69" s="13" t="n">
        <f aca="false">W66-W67+W68</f>
        <v>7.65553654068844</v>
      </c>
      <c r="X69" s="13" t="n">
        <f aca="false">X66-X67+X68</f>
        <v>8.00646471404946</v>
      </c>
      <c r="Y69" s="13" t="n">
        <f aca="false">Y66-Y67+Y68</f>
        <v>7.43983013997834</v>
      </c>
      <c r="Z69" s="13" t="n">
        <f aca="false">Z66-Z67+Z68</f>
        <v>7.78968947663168</v>
      </c>
      <c r="AA69" s="13" t="n">
        <f aca="false">AA66-AA67+AA68</f>
        <v>7.95257375843533</v>
      </c>
      <c r="AB69" s="13" t="n">
        <f aca="false">AB66-AB67+AB68</f>
        <v>8.0341243594683</v>
      </c>
      <c r="AC69" s="13" t="n">
        <f aca="false">AC66-AC67+AC68</f>
        <v>7.87164587733159</v>
      </c>
      <c r="AD69" s="13" t="n">
        <f aca="false">AD66-AD67+AD68</f>
        <v>7.80746530402961</v>
      </c>
      <c r="AE69" s="13" t="n">
        <f aca="false">AE66-AE67+AE68</f>
        <v>7.91756609326836</v>
      </c>
      <c r="AF69" s="13" t="n">
        <f aca="false">AF66-AF67+AF68</f>
        <v>7.67929767613197</v>
      </c>
      <c r="AG69" s="13" t="n">
        <f aca="false">AG66-AG67+AG68</f>
        <v>6.88201461786718</v>
      </c>
      <c r="AH69" s="13" t="n">
        <f aca="false">AH66-AH67+AH68</f>
        <v>6.23059027619725</v>
      </c>
      <c r="AI69" s="13" t="n">
        <f aca="false">AI66-AI67+AI68</f>
        <v>5.10132356243159</v>
      </c>
      <c r="AJ69" s="13" t="n">
        <f aca="false">AJ66-AJ67+AJ68</f>
        <v>3.65117786167601</v>
      </c>
      <c r="AK69" s="13" t="n">
        <f aca="false">AK66-AK67+AK68</f>
        <v>1.38173319041846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6.89718677102599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6.89718677102599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0</v>
      </c>
      <c r="Q73" s="13" t="n">
        <f aca="false">Q63-Q69-Q70-Q71</f>
        <v>227.74311037281</v>
      </c>
      <c r="R73" s="13" t="n">
        <f aca="false">R63-R69-R70-R71</f>
        <v>221.519428988551</v>
      </c>
      <c r="S73" s="13" t="n">
        <f aca="false">S63-S69-S70-S71</f>
        <v>215.07399182475</v>
      </c>
      <c r="T73" s="13" t="n">
        <f aca="false">T63-T69-T70-T71</f>
        <v>208.326742096162</v>
      </c>
      <c r="U73" s="13" t="n">
        <f aca="false">U63-U69-U70-U71</f>
        <v>201.390198096213</v>
      </c>
      <c r="V73" s="13" t="n">
        <f aca="false">V63-V69-V70-V71</f>
        <v>194.135973130103</v>
      </c>
      <c r="W73" s="13" t="n">
        <f aca="false">W63-W69-W70-W71</f>
        <v>186.480436589414</v>
      </c>
      <c r="X73" s="13" t="n">
        <f aca="false">X63-X69-X70-X71</f>
        <v>178.473971875365</v>
      </c>
      <c r="Y73" s="13" t="n">
        <f aca="false">Y63-Y69-Y70-Y71</f>
        <v>171.034141735387</v>
      </c>
      <c r="Z73" s="13" t="n">
        <f aca="false">Z63-Z69-Z70-Z71</f>
        <v>163.244452258755</v>
      </c>
      <c r="AA73" s="13" t="n">
        <f aca="false">AA63-AA69-AA70-AA71</f>
        <v>155.29187850032</v>
      </c>
      <c r="AB73" s="13" t="n">
        <f aca="false">AB63-AB69-AB70-AB71</f>
        <v>141.570235204446</v>
      </c>
      <c r="AC73" s="13" t="n">
        <f aca="false">AC63-AC69-AC70-AC71</f>
        <v>127.000732962725</v>
      </c>
      <c r="AD73" s="13" t="n">
        <f aca="false">AD63-AD69-AD70-AD71</f>
        <v>112.433897745335</v>
      </c>
      <c r="AE73" s="13" t="n">
        <f aca="false">AE63-AE69-AE70-AE71</f>
        <v>97.5597104764913</v>
      </c>
      <c r="AF73" s="13" t="n">
        <f aca="false">AF63-AF69-AF70-AF71</f>
        <v>82.1120176349528</v>
      </c>
      <c r="AG73" s="13" t="n">
        <f aca="false">AG63-AG69-AG70-AG71</f>
        <v>66.1763172335893</v>
      </c>
      <c r="AH73" s="13" t="n">
        <f aca="false">AH63-AH69-AH70-AH71</f>
        <v>50.7373106340543</v>
      </c>
      <c r="AI73" s="13" t="n">
        <f aca="false">AI63-AI69-AI70-AI71</f>
        <v>35.1805748637209</v>
      </c>
      <c r="AJ73" s="13" t="n">
        <f aca="false">AJ63-AJ69-AJ70-AJ71</f>
        <v>20.3517709903167</v>
      </c>
      <c r="AK73" s="13" t="n">
        <f aca="false">AK63-AK69-AK70-AK71</f>
        <v>6.09825470842245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92.7349396814992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5.68751893640502</v>
      </c>
      <c r="AB74" s="13" t="n">
        <f aca="false">Waterfall!AB28*AB73/(AB31+AB45+AB59+AB73+AB87+Inputs!$F$253)+Waterfall!AB29</f>
        <v>6.69785636438926</v>
      </c>
      <c r="AC74" s="13" t="n">
        <f aca="false">Waterfall!AC28*AC73/(AC31+AC45+AC59+AC73+AC87+Inputs!$F$253)+Waterfall!AC29</f>
        <v>6.75936991336065</v>
      </c>
      <c r="AD74" s="13" t="n">
        <f aca="false">Waterfall!AD28*AD73/(AD31+AD45+AD59+AD73+AD87+Inputs!$F$253)+Waterfall!AD29</f>
        <v>6.95662117557544</v>
      </c>
      <c r="AE74" s="13" t="n">
        <f aca="false">Waterfall!AE28*AE73/(AE31+AE45+AE59+AE73+AE87+Inputs!$F$253)+Waterfall!AE29</f>
        <v>7.76839516540654</v>
      </c>
      <c r="AF74" s="13" t="n">
        <f aca="false">Waterfall!AF28*AF73/(AF31+AF45+AF59+AF73+AF87+Inputs!$F$253)+Waterfall!AF29</f>
        <v>9.05368578349636</v>
      </c>
      <c r="AG74" s="13" t="n">
        <f aca="false">Waterfall!AG28*AG73/(AG31+AG45+AG59+AG73+AG87+Inputs!$F$253)+Waterfall!AG29</f>
        <v>9.20841632333767</v>
      </c>
      <c r="AH74" s="13" t="n">
        <f aca="false">Waterfall!AH28*AH73/(AH31+AH45+AH59+AH73+AH87+Inputs!$F$253)+Waterfall!AH29</f>
        <v>10.4554122079019</v>
      </c>
      <c r="AI74" s="13" t="n">
        <f aca="false">Waterfall!AI28*AI73/(AI31+AI45+AI59+AI73+AI87+Inputs!$F$253)+Waterfall!AI29</f>
        <v>11.1776260117282</v>
      </c>
      <c r="AJ74" s="13" t="n">
        <f aca="false">Waterfall!AJ28*AJ73/(AJ31+AJ45+AJ59+AJ73+AJ87+Inputs!$F$253)+Waterfall!AJ29</f>
        <v>12.8717830914757</v>
      </c>
      <c r="AK74" s="13" t="n">
        <f aca="false">Waterfall!AK28*AK73/(AK31+AK45+AK59+AK73+AK87+Inputs!$F$253)+Waterfall!AK29</f>
        <v>6.09825470842245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0</v>
      </c>
      <c r="P75" s="13" t="n">
        <f aca="false">IF(Time!P34=1,INDEX(Funding!$J$64:$BJ$64,1,Time!$F$14),Time!P35*(P73-P74))</f>
        <v>240.637270706254</v>
      </c>
      <c r="Q75" s="13" t="n">
        <f aca="false">IF(Time!Q34=1,INDEX(Funding!$J$64:$BJ$64,1,Time!$F$14),Time!Q35*(Q73-Q74))</f>
        <v>227.74311037281</v>
      </c>
      <c r="R75" s="13" t="n">
        <f aca="false">IF(Time!R34=1,INDEX(Funding!$J$64:$BJ$64,1,Time!$F$14),Time!R35*(R73-R74))</f>
        <v>221.519428988551</v>
      </c>
      <c r="S75" s="13" t="n">
        <f aca="false">IF(Time!S34=1,INDEX(Funding!$J$64:$BJ$64,1,Time!$F$14),Time!S35*(S73-S74))</f>
        <v>215.07399182475</v>
      </c>
      <c r="T75" s="13" t="n">
        <f aca="false">IF(Time!T34=1,INDEX(Funding!$J$64:$BJ$64,1,Time!$F$14),Time!T35*(T73-T74))</f>
        <v>208.326742096162</v>
      </c>
      <c r="U75" s="13" t="n">
        <f aca="false">IF(Time!U34=1,INDEX(Funding!$J$64:$BJ$64,1,Time!$F$14),Time!U35*(U73-U74))</f>
        <v>201.390198096213</v>
      </c>
      <c r="V75" s="13" t="n">
        <f aca="false">IF(Time!V34=1,INDEX(Funding!$J$64:$BJ$64,1,Time!$F$14),Time!V35*(V73-V74))</f>
        <v>194.135973130103</v>
      </c>
      <c r="W75" s="13" t="n">
        <f aca="false">IF(Time!W34=1,INDEX(Funding!$J$64:$BJ$64,1,Time!$F$14),Time!W35*(W73-W74))</f>
        <v>186.480436589414</v>
      </c>
      <c r="X75" s="13" t="n">
        <f aca="false">IF(Time!X34=1,INDEX(Funding!$J$64:$BJ$64,1,Time!$F$14),Time!X35*(X73-X74))</f>
        <v>178.473971875365</v>
      </c>
      <c r="Y75" s="13" t="n">
        <f aca="false">IF(Time!Y34=1,INDEX(Funding!$J$64:$BJ$64,1,Time!$F$14),Time!Y35*(Y73-Y74))</f>
        <v>171.034141735387</v>
      </c>
      <c r="Z75" s="13" t="n">
        <f aca="false">IF(Time!Z34=1,INDEX(Funding!$J$64:$BJ$64,1,Time!$F$14),Time!Z35*(Z73-Z74))</f>
        <v>163.244452258755</v>
      </c>
      <c r="AA75" s="13" t="n">
        <f aca="false">IF(Time!AA34=1,INDEX(Funding!$J$64:$BJ$64,1,Time!$F$14),Time!AA35*(AA73-AA74))</f>
        <v>149.604359563915</v>
      </c>
      <c r="AB75" s="13" t="n">
        <f aca="false">IF(Time!AB34=1,INDEX(Funding!$J$64:$BJ$64,1,Time!$F$14),Time!AB35*(AB73-AB74))</f>
        <v>134.872378840057</v>
      </c>
      <c r="AC75" s="13" t="n">
        <f aca="false">IF(Time!AC34=1,INDEX(Funding!$J$64:$BJ$64,1,Time!$F$14),Time!AC35*(AC73-AC74))</f>
        <v>120.241363049365</v>
      </c>
      <c r="AD75" s="13" t="n">
        <f aca="false">IF(Time!AD34=1,INDEX(Funding!$J$64:$BJ$64,1,Time!$F$14),Time!AD35*(AD73-AD74))</f>
        <v>105.47727656976</v>
      </c>
      <c r="AE75" s="13" t="n">
        <f aca="false">IF(Time!AE34=1,INDEX(Funding!$J$64:$BJ$64,1,Time!$F$14),Time!AE35*(AE73-AE74))</f>
        <v>89.7913153110848</v>
      </c>
      <c r="AF75" s="13" t="n">
        <f aca="false">IF(Time!AF34=1,INDEX(Funding!$J$64:$BJ$64,1,Time!$F$14),Time!AF35*(AF73-AF74))</f>
        <v>73.0583318514564</v>
      </c>
      <c r="AG75" s="13" t="n">
        <f aca="false">IF(Time!AG34=1,INDEX(Funding!$J$64:$BJ$64,1,Time!$F$14),Time!AG35*(AG73-AG74))</f>
        <v>56.9679009102516</v>
      </c>
      <c r="AH75" s="13" t="n">
        <f aca="false">IF(Time!AH34=1,INDEX(Funding!$J$64:$BJ$64,1,Time!$F$14),Time!AH35*(AH73-AH74))</f>
        <v>40.2818984261525</v>
      </c>
      <c r="AI75" s="13" t="n">
        <f aca="false">IF(Time!AI34=1,INDEX(Funding!$J$64:$BJ$64,1,Time!$F$14),Time!AI35*(AI73-AI74))</f>
        <v>24.0029488519927</v>
      </c>
      <c r="AJ75" s="13" t="n">
        <f aca="false">IF(Time!AJ34=1,INDEX(Funding!$J$64:$BJ$64,1,Time!$F$14),Time!AJ35*(AJ73-AJ74))</f>
        <v>7.47998789884091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</v>
      </c>
      <c r="Q77" s="13" t="n">
        <f aca="false">Time!Q35*P89</f>
        <v>11.6707310507236</v>
      </c>
      <c r="R77" s="13" t="n">
        <f aca="false">Time!R35*Q89</f>
        <v>11.0453737362275</v>
      </c>
      <c r="S77" s="13" t="n">
        <f aca="false">Time!S35*R89</f>
        <v>10.7435297559999</v>
      </c>
      <c r="T77" s="13" t="n">
        <f aca="false">Time!T35*S89</f>
        <v>10.4309307831879</v>
      </c>
      <c r="U77" s="13" t="n">
        <f aca="false">Time!U35*T89</f>
        <v>10.1036941224524</v>
      </c>
      <c r="V77" s="13" t="n">
        <f aca="false">Time!V35*U89</f>
        <v>9.76727682845917</v>
      </c>
      <c r="W77" s="13" t="n">
        <f aca="false">Time!W35*V89</f>
        <v>9.41545224071994</v>
      </c>
      <c r="X77" s="13" t="n">
        <f aca="false">Time!X35*W89</f>
        <v>9.04416433609429</v>
      </c>
      <c r="Y77" s="13" t="n">
        <f aca="false">Time!Y35*X89</f>
        <v>8.65585667257011</v>
      </c>
      <c r="Z77" s="13" t="n">
        <f aca="false">Time!Z35*Y89</f>
        <v>8.29503037009452</v>
      </c>
      <c r="AA77" s="13" t="n">
        <f aca="false">Time!AA35*Z89</f>
        <v>7.91723614651643</v>
      </c>
      <c r="AB77" s="13" t="n">
        <f aca="false">Time!AB35*AA89</f>
        <v>7.53154215479461</v>
      </c>
      <c r="AC77" s="13" t="n">
        <f aca="false">Time!AC35*AB89</f>
        <v>7.12707970151732</v>
      </c>
      <c r="AD77" s="13" t="n">
        <f aca="false">Time!AD35*AC89</f>
        <v>6.71111723364692</v>
      </c>
      <c r="AE77" s="13" t="n">
        <f aca="false">Time!AE35*AD89</f>
        <v>6.275353586062</v>
      </c>
      <c r="AF77" s="13" t="n">
        <f aca="false">Time!AF35*AE89</f>
        <v>5.80429926619232</v>
      </c>
      <c r="AG77" s="13" t="n">
        <f aca="false">Time!AG35*AF89</f>
        <v>5.30789333080735</v>
      </c>
      <c r="AH77" s="13" t="n">
        <f aca="false">Time!AH35*AG89</f>
        <v>4.80789560889157</v>
      </c>
      <c r="AI77" s="13" t="n">
        <f aca="false">Time!AI35*AH89</f>
        <v>4.28205514169716</v>
      </c>
      <c r="AJ77" s="13" t="n">
        <f aca="false">Time!AJ35*AI89</f>
        <v>3.73977313306698</v>
      </c>
      <c r="AK77" s="13" t="n">
        <f aca="false">Time!AK35*AJ89</f>
        <v>3.17090232659474</v>
      </c>
      <c r="AL77" s="13" t="n">
        <f aca="false">Time!AL35*AK89</f>
        <v>2.58516060515292</v>
      </c>
      <c r="AM77" s="13" t="n">
        <f aca="false">Time!AM35*AL89</f>
        <v>1.97190072086672</v>
      </c>
      <c r="AN77" s="13" t="n">
        <f aca="false">Time!AN35*AM89</f>
        <v>1.33005783962495</v>
      </c>
      <c r="AO77" s="13" t="n">
        <f aca="false">Time!AO35*AN89</f>
        <v>0.65718222309604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6.84210660721901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</v>
      </c>
      <c r="Q79" s="13" t="n">
        <f aca="false">Q77*Q14</f>
        <v>0.456357138282059</v>
      </c>
      <c r="R79" s="13" t="n">
        <f aca="false">R77*R14</f>
        <v>0.439062605949199</v>
      </c>
      <c r="S79" s="13" t="n">
        <f aca="false">S77*S14</f>
        <v>0.420677232302516</v>
      </c>
      <c r="T79" s="13" t="n">
        <f aca="false">T77*T14</f>
        <v>0.415206676801722</v>
      </c>
      <c r="U79" s="13" t="n">
        <f aca="false">U77*U14</f>
        <v>0.397809380785276</v>
      </c>
      <c r="V79" s="13" t="n">
        <f aca="false">V77*V14</f>
        <v>0.38878970991576</v>
      </c>
      <c r="W79" s="13" t="n">
        <f aca="false">W77*W14</f>
        <v>0.36867458642171</v>
      </c>
      <c r="X79" s="13" t="n">
        <f aca="false">X77*X14</f>
        <v>0.360005976119678</v>
      </c>
      <c r="Y79" s="13" t="n">
        <f aca="false">Y77*Y14</f>
        <v>0.353438183765372</v>
      </c>
      <c r="Z79" s="13" t="n">
        <f aca="false">Z77*Z14</f>
        <v>0.344318722855601</v>
      </c>
      <c r="AA79" s="13" t="n">
        <f aca="false">AA77*AA14</f>
        <v>0.323278638951338</v>
      </c>
      <c r="AB79" s="13" t="n">
        <f aca="false">AB77*AB14</f>
        <v>0.312627062249375</v>
      </c>
      <c r="AC79" s="13" t="n">
        <f aca="false">AC77*AC14</f>
        <v>0.292622582521239</v>
      </c>
      <c r="AD79" s="13" t="n">
        <f aca="false">AD77*AD14</f>
        <v>0.278572013811347</v>
      </c>
      <c r="AE79" s="13" t="n">
        <f aca="false">AE77*AE14</f>
        <v>0.256236864569606</v>
      </c>
      <c r="AF79" s="13" t="n">
        <f aca="false">AF77*AF14</f>
        <v>0.240930873214424</v>
      </c>
      <c r="AG79" s="13" t="n">
        <f aca="false">AG77*AG14</f>
        <v>0.225628912649168</v>
      </c>
      <c r="AH79" s="13" t="n">
        <f aca="false">AH77*AH14</f>
        <v>0.207762346455577</v>
      </c>
      <c r="AI79" s="13" t="n">
        <f aca="false">AI77*AI14</f>
        <v>0.182022392936437</v>
      </c>
      <c r="AJ79" s="13" t="n">
        <f aca="false">AJ77*AJ14</f>
        <v>0.161605846828411</v>
      </c>
      <c r="AK79" s="13" t="n">
        <f aca="false">AK77*AK14</f>
        <v>0.135533995586466</v>
      </c>
      <c r="AL79" s="13" t="n">
        <f aca="false">AL77*AL14</f>
        <v>0.11171187500365</v>
      </c>
      <c r="AM79" s="13" t="n">
        <f aca="false">AM77*AM14</f>
        <v>0.0838219210094026</v>
      </c>
      <c r="AN79" s="13" t="n">
        <f aca="false">AN77*AN14</f>
        <v>0.0574754445939029</v>
      </c>
      <c r="AO79" s="13" t="n">
        <f aca="false">AO77*AO14</f>
        <v>0.0279356236397782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11.336222553453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</v>
      </c>
      <c r="Q80" s="13" t="n">
        <f aca="false">Time!Q35*(Q77-Q78)*Q19</f>
        <v>0.290848817225461</v>
      </c>
      <c r="R80" s="13" t="n">
        <f aca="false">Time!R35*(R77-R78)*R19</f>
        <v>0.301843980227634</v>
      </c>
      <c r="S80" s="13" t="n">
        <f aca="false">Time!S35*(S77-S78)*S19</f>
        <v>0.312598972811979</v>
      </c>
      <c r="T80" s="13" t="n">
        <f aca="false">Time!T35*(T77-T78)*T19</f>
        <v>0.327236660735534</v>
      </c>
      <c r="U80" s="13" t="n">
        <f aca="false">Time!U35*(U77-U78)*U19</f>
        <v>0.336417293993189</v>
      </c>
      <c r="V80" s="13" t="n">
        <f aca="false">Time!V35*(V77-V78)*V19</f>
        <v>0.351824587739234</v>
      </c>
      <c r="W80" s="13" t="n">
        <f aca="false">Time!W35*(W77-W78)*W19</f>
        <v>0.371287904625655</v>
      </c>
      <c r="X80" s="13" t="n">
        <f aca="false">Time!X35*(X77-X78)*X19</f>
        <v>0.388307663524175</v>
      </c>
      <c r="Y80" s="13" t="n">
        <f aca="false">Time!Y35*(Y77-Y78)*Y19</f>
        <v>0.360826302475586</v>
      </c>
      <c r="Z80" s="13" t="n">
        <f aca="false">Time!Z35*(Z77-Z78)*Z19</f>
        <v>0.377794223578091</v>
      </c>
      <c r="AA80" s="13" t="n">
        <f aca="false">Time!AA35*(AA77-AA78)*AA19</f>
        <v>0.385693991721826</v>
      </c>
      <c r="AB80" s="13" t="n">
        <f aca="false">Time!AB35*(AB77-AB78)*AB19</f>
        <v>0.404462453277284</v>
      </c>
      <c r="AC80" s="13" t="n">
        <f aca="false">Time!AC35*(AC77-AC78)*AC19</f>
        <v>0.415962467870406</v>
      </c>
      <c r="AD80" s="13" t="n">
        <f aca="false">Time!AD35*(AD77-AD78)*AD19</f>
        <v>0.435763647584917</v>
      </c>
      <c r="AE80" s="13" t="n">
        <f aca="false">Time!AE35*(AE77-AE78)*AE19</f>
        <v>0.471054319869682</v>
      </c>
      <c r="AF80" s="13" t="n">
        <f aca="false">Time!AF35*(AF77-AF78)*AF19</f>
        <v>0.496405935384963</v>
      </c>
      <c r="AG80" s="13" t="n">
        <f aca="false">Time!AG35*(AG77-AG78)*AG19</f>
        <v>0.499997721915789</v>
      </c>
      <c r="AH80" s="13" t="n">
        <f aca="false">Time!AH35*(AH77-AH78)*AH19</f>
        <v>0.525840467194405</v>
      </c>
      <c r="AI80" s="13" t="n">
        <f aca="false">Time!AI35*(AI77-AI78)*AI19</f>
        <v>0.542282008630186</v>
      </c>
      <c r="AJ80" s="13" t="n">
        <f aca="false">Time!AJ35*(AJ77-AJ78)*AJ19</f>
        <v>0.568870806472235</v>
      </c>
      <c r="AK80" s="13" t="n">
        <f aca="false">Time!AK35*(AK77-AK78)*AK19</f>
        <v>0.58574172144182</v>
      </c>
      <c r="AL80" s="13" t="n">
        <f aca="false">Time!AL35*(AL77-AL78)*AL19</f>
        <v>0.613259884286201</v>
      </c>
      <c r="AM80" s="13" t="n">
        <f aca="false">Time!AM35*(AM77-AM78)*AM19</f>
        <v>0.641842881241764</v>
      </c>
      <c r="AN80" s="13" t="n">
        <f aca="false">Time!AN35*(AN77-AN78)*AN19</f>
        <v>0.672875616528914</v>
      </c>
      <c r="AO80" s="13" t="n">
        <f aca="false">Time!AO35*(AO77-AO78)*AO19</f>
        <v>0.65718222309604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11.336222553453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</v>
      </c>
      <c r="Q83" s="13" t="n">
        <f aca="false">Q80-Q81+Q82</f>
        <v>0.290848817225461</v>
      </c>
      <c r="R83" s="13" t="n">
        <f aca="false">R80-R81+R82</f>
        <v>0.301843980227634</v>
      </c>
      <c r="S83" s="13" t="n">
        <f aca="false">S80-S81+S82</f>
        <v>0.312598972811979</v>
      </c>
      <c r="T83" s="13" t="n">
        <f aca="false">T80-T81+T82</f>
        <v>0.327236660735534</v>
      </c>
      <c r="U83" s="13" t="n">
        <f aca="false">U80-U81+U82</f>
        <v>0.336417293993189</v>
      </c>
      <c r="V83" s="13" t="n">
        <f aca="false">V80-V81+V82</f>
        <v>0.351824587739234</v>
      </c>
      <c r="W83" s="13" t="n">
        <f aca="false">W80-W81+W82</f>
        <v>0.371287904625655</v>
      </c>
      <c r="X83" s="13" t="n">
        <f aca="false">X80-X81+X82</f>
        <v>0.388307663524175</v>
      </c>
      <c r="Y83" s="13" t="n">
        <f aca="false">Y80-Y81+Y82</f>
        <v>0.360826302475586</v>
      </c>
      <c r="Z83" s="13" t="n">
        <f aca="false">Z80-Z81+Z82</f>
        <v>0.377794223578091</v>
      </c>
      <c r="AA83" s="13" t="n">
        <f aca="false">AA80-AA81+AA82</f>
        <v>0.385693991721826</v>
      </c>
      <c r="AB83" s="13" t="n">
        <f aca="false">AB80-AB81+AB82</f>
        <v>0.404462453277284</v>
      </c>
      <c r="AC83" s="13" t="n">
        <f aca="false">AC80-AC81+AC82</f>
        <v>0.415962467870406</v>
      </c>
      <c r="AD83" s="13" t="n">
        <f aca="false">AD80-AD81+AD82</f>
        <v>0.435763647584917</v>
      </c>
      <c r="AE83" s="13" t="n">
        <f aca="false">AE80-AE81+AE82</f>
        <v>0.471054319869682</v>
      </c>
      <c r="AF83" s="13" t="n">
        <f aca="false">AF80-AF81+AF82</f>
        <v>0.496405935384963</v>
      </c>
      <c r="AG83" s="13" t="n">
        <f aca="false">AG80-AG81+AG82</f>
        <v>0.499997721915789</v>
      </c>
      <c r="AH83" s="13" t="n">
        <f aca="false">AH80-AH81+AH82</f>
        <v>0.525840467194405</v>
      </c>
      <c r="AI83" s="13" t="n">
        <f aca="false">AI80-AI81+AI82</f>
        <v>0.542282008630186</v>
      </c>
      <c r="AJ83" s="13" t="n">
        <f aca="false">AJ80-AJ81+AJ82</f>
        <v>0.568870806472235</v>
      </c>
      <c r="AK83" s="13" t="n">
        <f aca="false">AK80-AK81+AK82</f>
        <v>0.58574172144182</v>
      </c>
      <c r="AL83" s="13" t="n">
        <f aca="false">AL80-AL81+AL82</f>
        <v>0.613259884286201</v>
      </c>
      <c r="AM83" s="13" t="n">
        <f aca="false">AM80-AM81+AM82</f>
        <v>0.641842881241764</v>
      </c>
      <c r="AN83" s="13" t="n">
        <f aca="false">AN80-AN81+AN82</f>
        <v>0.672875616528914</v>
      </c>
      <c r="AO83" s="13" t="n">
        <f aca="false">AO80-AO81+AO82</f>
        <v>0.65718222309604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0.334508497270622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0.334508497270622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</v>
      </c>
      <c r="Q87" s="13" t="n">
        <f aca="false">Q77-Q83-Q84-Q85</f>
        <v>11.0453737362275</v>
      </c>
      <c r="R87" s="13" t="n">
        <f aca="false">R77-R83-R84-R85</f>
        <v>10.7435297559999</v>
      </c>
      <c r="S87" s="13" t="n">
        <f aca="false">S77-S83-S84-S85</f>
        <v>10.4309307831879</v>
      </c>
      <c r="T87" s="13" t="n">
        <f aca="false">T77-T83-T84-T85</f>
        <v>10.1036941224524</v>
      </c>
      <c r="U87" s="13" t="n">
        <f aca="false">U77-U83-U84-U85</f>
        <v>9.76727682845917</v>
      </c>
      <c r="V87" s="13" t="n">
        <f aca="false">V77-V83-V84-V85</f>
        <v>9.41545224071994</v>
      </c>
      <c r="W87" s="13" t="n">
        <f aca="false">W77-W83-W84-W85</f>
        <v>9.04416433609429</v>
      </c>
      <c r="X87" s="13" t="n">
        <f aca="false">X77-X83-X84-X85</f>
        <v>8.65585667257011</v>
      </c>
      <c r="Y87" s="13" t="n">
        <f aca="false">Y77-Y83-Y84-Y85</f>
        <v>8.29503037009452</v>
      </c>
      <c r="Z87" s="13" t="n">
        <f aca="false">Z77-Z83-Z84-Z85</f>
        <v>7.91723614651643</v>
      </c>
      <c r="AA87" s="13" t="n">
        <f aca="false">AA77-AA83-AA84-AA85</f>
        <v>7.53154215479461</v>
      </c>
      <c r="AB87" s="13" t="n">
        <f aca="false">AB77-AB83-AB84-AB85</f>
        <v>7.12707970151732</v>
      </c>
      <c r="AC87" s="13" t="n">
        <f aca="false">AC77-AC83-AC84-AC85</f>
        <v>6.71111723364692</v>
      </c>
      <c r="AD87" s="13" t="n">
        <f aca="false">AD77-AD83-AD84-AD85</f>
        <v>6.275353586062</v>
      </c>
      <c r="AE87" s="13" t="n">
        <f aca="false">AE77-AE83-AE84-AE85</f>
        <v>5.80429926619232</v>
      </c>
      <c r="AF87" s="13" t="n">
        <f aca="false">AF77-AF83-AF84-AF85</f>
        <v>5.30789333080735</v>
      </c>
      <c r="AG87" s="13" t="n">
        <f aca="false">AG77-AG83-AG84-AG85</f>
        <v>4.80789560889157</v>
      </c>
      <c r="AH87" s="13" t="n">
        <f aca="false">AH77-AH83-AH84-AH85</f>
        <v>4.28205514169716</v>
      </c>
      <c r="AI87" s="13" t="n">
        <f aca="false">AI77-AI83-AI84-AI85</f>
        <v>3.73977313306698</v>
      </c>
      <c r="AJ87" s="13" t="n">
        <f aca="false">AJ77-AJ83-AJ84-AJ85</f>
        <v>3.17090232659474</v>
      </c>
      <c r="AK87" s="13" t="n">
        <f aca="false">AK77-AK83-AK84-AK85</f>
        <v>2.58516060515292</v>
      </c>
      <c r="AL87" s="13" t="n">
        <f aca="false">AL77-AL83-AL84-AL85</f>
        <v>1.97190072086672</v>
      </c>
      <c r="AM87" s="13" t="n">
        <f aca="false">AM77-AM83-AM84-AM85</f>
        <v>1.33005783962495</v>
      </c>
      <c r="AN87" s="13" t="n">
        <f aca="false">AN77-AN83-AN84-AN85</f>
        <v>0.65718222309604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</v>
      </c>
      <c r="P89" s="13" t="n">
        <f aca="false">IF(Time!P34=1,INDEX(Funding!$J$65:$BJ$65,1,Time!$F$14),Time!P35*(P87-P88))</f>
        <v>11.6707310507236</v>
      </c>
      <c r="Q89" s="13" t="n">
        <f aca="false">IF(Time!Q34=1,INDEX(Funding!$J$65:$BJ$65,1,Time!$F$14),Time!Q35*(Q87-Q88))</f>
        <v>11.0453737362275</v>
      </c>
      <c r="R89" s="13" t="n">
        <f aca="false">IF(Time!R34=1,INDEX(Funding!$J$65:$BJ$65,1,Time!$F$14),Time!R35*(R87-R88))</f>
        <v>10.7435297559999</v>
      </c>
      <c r="S89" s="13" t="n">
        <f aca="false">IF(Time!S34=1,INDEX(Funding!$J$65:$BJ$65,1,Time!$F$14),Time!S35*(S87-S88))</f>
        <v>10.4309307831879</v>
      </c>
      <c r="T89" s="13" t="n">
        <f aca="false">IF(Time!T34=1,INDEX(Funding!$J$65:$BJ$65,1,Time!$F$14),Time!T35*(T87-T88))</f>
        <v>10.1036941224524</v>
      </c>
      <c r="U89" s="13" t="n">
        <f aca="false">IF(Time!U34=1,INDEX(Funding!$J$65:$BJ$65,1,Time!$F$14),Time!U35*(U87-U88))</f>
        <v>9.76727682845917</v>
      </c>
      <c r="V89" s="13" t="n">
        <f aca="false">IF(Time!V34=1,INDEX(Funding!$J$65:$BJ$65,1,Time!$F$14),Time!V35*(V87-V88))</f>
        <v>9.41545224071994</v>
      </c>
      <c r="W89" s="13" t="n">
        <f aca="false">IF(Time!W34=1,INDEX(Funding!$J$65:$BJ$65,1,Time!$F$14),Time!W35*(W87-W88))</f>
        <v>9.04416433609429</v>
      </c>
      <c r="X89" s="13" t="n">
        <f aca="false">IF(Time!X34=1,INDEX(Funding!$J$65:$BJ$65,1,Time!$F$14),Time!X35*(X87-X88))</f>
        <v>8.65585667257011</v>
      </c>
      <c r="Y89" s="13" t="n">
        <f aca="false">IF(Time!Y34=1,INDEX(Funding!$J$65:$BJ$65,1,Time!$F$14),Time!Y35*(Y87-Y88))</f>
        <v>8.29503037009452</v>
      </c>
      <c r="Z89" s="13" t="n">
        <f aca="false">IF(Time!Z34=1,INDEX(Funding!$J$65:$BJ$65,1,Time!$F$14),Time!Z35*(Z87-Z88))</f>
        <v>7.91723614651643</v>
      </c>
      <c r="AA89" s="13" t="n">
        <f aca="false">IF(Time!AA34=1,INDEX(Funding!$J$65:$BJ$65,1,Time!$F$14),Time!AA35*(AA87-AA88))</f>
        <v>7.53154215479461</v>
      </c>
      <c r="AB89" s="13" t="n">
        <f aca="false">IF(Time!AB34=1,INDEX(Funding!$J$65:$BJ$65,1,Time!$F$14),Time!AB35*(AB87-AB88))</f>
        <v>7.12707970151732</v>
      </c>
      <c r="AC89" s="13" t="n">
        <f aca="false">IF(Time!AC34=1,INDEX(Funding!$J$65:$BJ$65,1,Time!$F$14),Time!AC35*(AC87-AC88))</f>
        <v>6.71111723364692</v>
      </c>
      <c r="AD89" s="13" t="n">
        <f aca="false">IF(Time!AD34=1,INDEX(Funding!$J$65:$BJ$65,1,Time!$F$14),Time!AD35*(AD87-AD88))</f>
        <v>6.275353586062</v>
      </c>
      <c r="AE89" s="13" t="n">
        <f aca="false">IF(Time!AE34=1,INDEX(Funding!$J$65:$BJ$65,1,Time!$F$14),Time!AE35*(AE87-AE88))</f>
        <v>5.80429926619232</v>
      </c>
      <c r="AF89" s="13" t="n">
        <f aca="false">IF(Time!AF34=1,INDEX(Funding!$J$65:$BJ$65,1,Time!$F$14),Time!AF35*(AF87-AF88))</f>
        <v>5.30789333080735</v>
      </c>
      <c r="AG89" s="13" t="n">
        <f aca="false">IF(Time!AG34=1,INDEX(Funding!$J$65:$BJ$65,1,Time!$F$14),Time!AG35*(AG87-AG88))</f>
        <v>4.80789560889157</v>
      </c>
      <c r="AH89" s="13" t="n">
        <f aca="false">IF(Time!AH34=1,INDEX(Funding!$J$65:$BJ$65,1,Time!$F$14),Time!AH35*(AH87-AH88))</f>
        <v>4.28205514169716</v>
      </c>
      <c r="AI89" s="13" t="n">
        <f aca="false">IF(Time!AI34=1,INDEX(Funding!$J$65:$BJ$65,1,Time!$F$14),Time!AI35*(AI87-AI88))</f>
        <v>3.73977313306698</v>
      </c>
      <c r="AJ89" s="13" t="n">
        <f aca="false">IF(Time!AJ34=1,INDEX(Funding!$J$65:$BJ$65,1,Time!$F$14),Time!AJ35*(AJ87-AJ88))</f>
        <v>3.17090232659474</v>
      </c>
      <c r="AK89" s="13" t="n">
        <f aca="false">IF(Time!AK34=1,INDEX(Funding!$J$65:$BJ$65,1,Time!$F$14),Time!AK35*(AK87-AK88))</f>
        <v>2.58516060515292</v>
      </c>
      <c r="AL89" s="13" t="n">
        <f aca="false">IF(Time!AL34=1,INDEX(Funding!$J$65:$BJ$65,1,Time!$F$14),Time!AL35*(AL87-AL88))</f>
        <v>1.97190072086672</v>
      </c>
      <c r="AM89" s="13" t="n">
        <f aca="false">IF(Time!AM34=1,INDEX(Funding!$J$65:$BJ$65,1,Time!$F$14),Time!AM35*(AM87-AM88))</f>
        <v>1.33005783962495</v>
      </c>
      <c r="AN89" s="13" t="n">
        <f aca="false">IF(Time!AN34=1,INDEX(Funding!$J$65:$BJ$65,1,Time!$F$14),Time!AN35*(AN87-AN88))</f>
        <v>0.65718222309604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-7.79804687742323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0</v>
      </c>
      <c r="M107" s="13" t="n">
        <f aca="false">Time!M35*Inputs!M301*M106*(Inputs!$F$97/100*Time!M24-Operations!M9/100*Time!M25/Inputs!$F$247)</f>
        <v>0</v>
      </c>
      <c r="N107" s="13" t="n">
        <f aca="false">Time!N35*Inputs!N301*N106*(Inputs!$F$97/100*Time!N24-Operations!N9/100*Time!N25/Inputs!$F$247)</f>
        <v>0</v>
      </c>
      <c r="O107" s="13" t="n">
        <f aca="false">Time!O35*Inputs!O301*O106*(Inputs!$F$97/100*Time!O24-Operations!O9/100*Time!O25/Inputs!$F$247)</f>
        <v>0</v>
      </c>
      <c r="P107" s="13" t="n">
        <f aca="false">Time!P35*Inputs!P301*P106*(Inputs!$F$97/100*Time!P24-Operations!P9/100*Time!P25/Inputs!$F$247)</f>
        <v>0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15.5805285183696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0</v>
      </c>
      <c r="Q108" s="13" t="n">
        <f aca="false">(Inputs!$F$95/100*Inputs!$F$96/100)*Q63*Time!Q25/Inputs!$F$248</f>
        <v>1.23506255089743</v>
      </c>
      <c r="R108" s="13" t="n">
        <f aca="false">(Inputs!$F$95/100*Inputs!$F$96/100)*R63*Time!R25/Inputs!$F$248</f>
        <v>1.18825747779173</v>
      </c>
      <c r="S108" s="13" t="n">
        <f aca="false">(Inputs!$F$95/100*Inputs!$F$96/100)*S63*Time!S25/Inputs!$F$248</f>
        <v>1.13694088300192</v>
      </c>
      <c r="T108" s="13" t="n">
        <f aca="false">(Inputs!$F$95/100*Inputs!$F$96/100)*T63*Time!T25/Inputs!$F$248</f>
        <v>1.1221559178933</v>
      </c>
      <c r="U108" s="13" t="n">
        <f aca="false">(Inputs!$F$95/100*Inputs!$F$96/100)*U63*Time!U25/Inputs!$F$248</f>
        <v>1.07513721667545</v>
      </c>
      <c r="V108" s="13" t="n">
        <f aca="false">(Inputs!$F$95/100*Inputs!$F$96/100)*V63*Time!V25/Inputs!$F$248</f>
        <v>1.05076025549159</v>
      </c>
      <c r="W108" s="13" t="n">
        <f aca="false">(Inputs!$F$95/100*Inputs!$F$96/100)*W63*Time!W25/Inputs!$F$248</f>
        <v>0.996396233598022</v>
      </c>
      <c r="X108" s="13" t="n">
        <f aca="false">(Inputs!$F$95/100*Inputs!$F$96/100)*X63*Time!X25/Inputs!$F$248</f>
        <v>0.972968064221591</v>
      </c>
      <c r="Y108" s="13" t="n">
        <f aca="false">(Inputs!$F$95/100*Inputs!$F$96/100)*Y63*Time!Y25/Inputs!$F$248</f>
        <v>0.916011548527986</v>
      </c>
      <c r="Z108" s="13" t="n">
        <f aca="false">(Inputs!$F$95/100*Inputs!$F$96/100)*Z63*Time!Z25/Inputs!$F$248</f>
        <v>0.892376491838001</v>
      </c>
      <c r="AA108" s="13" t="n">
        <f aca="false">(Inputs!$F$95/100*Inputs!$F$96/100)*AA63*Time!AA25/Inputs!$F$248</f>
        <v>0.837846560654626</v>
      </c>
      <c r="AB108" s="13" t="n">
        <f aca="false">(Inputs!$F$95/100*Inputs!$F$96/100)*AB63*Time!AB25/Inputs!$F$248</f>
        <v>0.780565869461695</v>
      </c>
      <c r="AC108" s="13" t="n">
        <f aca="false">(Inputs!$F$95/100*Inputs!$F$96/100)*AC63*Time!AC25/Inputs!$F$248</f>
        <v>0.6960523288247</v>
      </c>
      <c r="AD108" s="13" t="n">
        <f aca="false">(Inputs!$F$95/100*Inputs!$F$96/100)*AD63*Time!AD25/Inputs!$F$248</f>
        <v>0.62736342956496</v>
      </c>
      <c r="AE108" s="13" t="n">
        <f aca="false">(Inputs!$F$95/100*Inputs!$F$96/100)*AE63*Time!AE25/Inputs!$F$248</f>
        <v>0.541358509758793</v>
      </c>
      <c r="AF108" s="13" t="n">
        <f aca="false">(Inputs!$F$95/100*Inputs!$F$96/100)*AF63*Time!AF25/Inputs!$F$248</f>
        <v>0.46848926268063</v>
      </c>
      <c r="AG108" s="13" t="n">
        <f aca="false">(Inputs!$F$95/100*Inputs!$F$96/100)*AG63*Time!AG25/Inputs!$F$248</f>
        <v>0.374969386229934</v>
      </c>
      <c r="AH108" s="13" t="n">
        <f aca="false">(Inputs!$F$95/100*Inputs!$F$96/100)*AH63*Time!AH25/Inputs!$F$248</f>
        <v>0.297231973954748</v>
      </c>
      <c r="AI108" s="13" t="n">
        <f aca="false">(Inputs!$F$95/100*Inputs!$F$96/100)*AI63*Time!AI25/Inputs!$F$248</f>
        <v>0.206745464155158</v>
      </c>
      <c r="AJ108" s="13" t="n">
        <f aca="false">(Inputs!$F$95/100*Inputs!$F$96/100)*AJ63*Time!AJ25/Inputs!$F$248</f>
        <v>0.125236207654068</v>
      </c>
      <c r="AK108" s="13" t="n">
        <f aca="false">(Inputs!$F$95/100*Inputs!$F$96/100)*AK63*Time!AK25/Inputs!$F$248</f>
        <v>0.0386028854932784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294.848244813146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0</v>
      </c>
      <c r="Q111" s="13" t="n">
        <f aca="false">Q23+Q37+Q51+Q65+Q79+Q92</f>
        <v>21.2165359351272</v>
      </c>
      <c r="R111" s="13" t="n">
        <f aca="false">R23+R37+R51+R65+R79+R92</f>
        <v>20.4124944598418</v>
      </c>
      <c r="S111" s="13" t="n">
        <f aca="false">S23+S37+S51+S65+S79+S92</f>
        <v>19.5620746532451</v>
      </c>
      <c r="T111" s="13" t="n">
        <f aca="false">T23+T37+T51+T65+T79+T92</f>
        <v>19.3076862364641</v>
      </c>
      <c r="U111" s="13" t="n">
        <f aca="false">U23+U37+U51+U65+U79+U92</f>
        <v>18.4986878469492</v>
      </c>
      <c r="V111" s="13" t="n">
        <f aca="false">V23+V37+V51+V65+V79+V92</f>
        <v>18.0792606439807</v>
      </c>
      <c r="W111" s="13" t="n">
        <f aca="false">W23+W37+W51+W65+W79+W92</f>
        <v>17.1438795079584</v>
      </c>
      <c r="X111" s="13" t="n">
        <f aca="false">X23+X37+X51+X65+X79+X92</f>
        <v>16.740777108192</v>
      </c>
      <c r="Y111" s="13" t="n">
        <f aca="false">Y23+Y37+Y51+Y65+Y79+Y92</f>
        <v>16.2738116562434</v>
      </c>
      <c r="Z111" s="13" t="n">
        <f aca="false">Z23+Z37+Z51+Z65+Z79+Z92</f>
        <v>15.8539125166796</v>
      </c>
      <c r="AA111" s="13" t="n">
        <f aca="false">AA23+AA37+AA51+AA65+AA79+AA92</f>
        <v>14.8851367068853</v>
      </c>
      <c r="AB111" s="13" t="n">
        <f aca="false">AB23+AB37+AB51+AB65+AB79+AB92</f>
        <v>14.1453403125138</v>
      </c>
      <c r="AC111" s="13" t="n">
        <f aca="false">AC23+AC37+AC51+AC65+AC79+AC92</f>
        <v>12.9497483496291</v>
      </c>
      <c r="AD111" s="13" t="n">
        <f aca="false">AD23+AD37+AD51+AD65+AD79+AD92</f>
        <v>12.0316089806692</v>
      </c>
      <c r="AE111" s="13" t="n">
        <f aca="false">AE23+AE37+AE51+AE65+AE79+AE92</f>
        <v>10.7669278558121</v>
      </c>
      <c r="AF111" s="13" t="n">
        <f aca="false">AF23+AF37+AF51+AF65+AF79+AF92</f>
        <v>9.78319698298568</v>
      </c>
      <c r="AG111" s="13" t="n">
        <f aca="false">AG23+AG37+AG51+AG65+AG79+AG92</f>
        <v>8.6231367290326</v>
      </c>
      <c r="AH111" s="13" t="n">
        <f aca="false">AH23+AH37+AH51+AH65+AH79+AH92</f>
        <v>7.51044575203046</v>
      </c>
      <c r="AI111" s="13" t="n">
        <f aca="false">AI23+AI37+AI51+AI65+AI79+AI92</f>
        <v>6.0998502346008</v>
      </c>
      <c r="AJ111" s="13" t="n">
        <f aca="false">AJ23+AJ37+AJ51+AJ65+AJ79+AJ92</f>
        <v>4.89387224376816</v>
      </c>
      <c r="AK111" s="13" t="n">
        <f aca="false">AK23+AK37+AK51+AK65+AK79+AK92</f>
        <v>3.51000177521925</v>
      </c>
      <c r="AL111" s="13" t="n">
        <f aca="false">AL23+AL37+AL51+AL65+AL79+AL92</f>
        <v>2.60839106365005</v>
      </c>
      <c r="AM111" s="13" t="n">
        <f aca="false">AM23+AM37+AM51+AM65+AM79+AM92</f>
        <v>1.95718091466788</v>
      </c>
      <c r="AN111" s="13" t="n">
        <f aca="false">AN23+AN37+AN51+AN65+AN79+AN92</f>
        <v>1.3420098449977</v>
      </c>
      <c r="AO111" s="13" t="n">
        <f aca="false">AO23+AO37+AO51+AO65+AO79+AO92</f>
        <v>0.652276502002209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302.630726454092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0</v>
      </c>
      <c r="Q112" s="13" t="n">
        <f aca="false">Q111+Q107+Q108+Q109</f>
        <v>22.0061203716644</v>
      </c>
      <c r="R112" s="13" t="n">
        <f aca="false">R111+R107+R108+R109</f>
        <v>21.0421802681244</v>
      </c>
      <c r="S112" s="13" t="n">
        <f aca="false">S111+S107+S108+S109</f>
        <v>20.2538788335356</v>
      </c>
      <c r="T112" s="13" t="n">
        <f aca="false">T111+T107+T108+T109</f>
        <v>19.8799968742446</v>
      </c>
      <c r="U112" s="13" t="n">
        <f aca="false">U111+U107+U108+U109</f>
        <v>19.1177901727144</v>
      </c>
      <c r="V112" s="13" t="n">
        <f aca="false">V111+V107+V108+V109</f>
        <v>18.6161046964792</v>
      </c>
      <c r="W112" s="13" t="n">
        <f aca="false">W111+W107+W108+W109</f>
        <v>17.7519033219577</v>
      </c>
      <c r="X112" s="13" t="n">
        <f aca="false">X111+X107+X108+X109</f>
        <v>17.2393002612855</v>
      </c>
      <c r="Y112" s="13" t="n">
        <f aca="false">Y111+Y107+Y108+Y109</f>
        <v>16.8324822804559</v>
      </c>
      <c r="Z112" s="13" t="n">
        <f aca="false">Z111+Z107+Z108+Z109</f>
        <v>16.3108066501473</v>
      </c>
      <c r="AA112" s="13" t="n">
        <f aca="false">AA111+AA107+AA108+AA109</f>
        <v>15.3968855285664</v>
      </c>
      <c r="AB112" s="13" t="n">
        <f aca="false">AB111+AB107+AB108+AB109</f>
        <v>14.5316022637291</v>
      </c>
      <c r="AC112" s="13" t="n">
        <f aca="false">AC111+AC107+AC108+AC109</f>
        <v>13.3266560187658</v>
      </c>
      <c r="AD112" s="13" t="n">
        <f aca="false">AD111+AD107+AD108+AD109</f>
        <v>12.3091596524046</v>
      </c>
      <c r="AE112" s="13" t="n">
        <f aca="false">AE111+AE107+AE108+AE109</f>
        <v>11.0529257330974</v>
      </c>
      <c r="AF112" s="13" t="n">
        <f aca="false">AF111+AF107+AF108+AF109</f>
        <v>9.9523072171201</v>
      </c>
      <c r="AG112" s="13" t="n">
        <f aca="false">AG111+AG107+AG108+AG109</f>
        <v>8.78389991585187</v>
      </c>
      <c r="AH112" s="13" t="n">
        <f aca="false">AH111+AH107+AH108+AH109</f>
        <v>7.56209737430668</v>
      </c>
      <c r="AI112" s="13" t="n">
        <f aca="false">AI111+AI107+AI108+AI109</f>
        <v>6.13610511532602</v>
      </c>
      <c r="AJ112" s="13" t="n">
        <f aca="false">AJ111+AJ107+AJ108+AJ109</f>
        <v>4.83138706144609</v>
      </c>
      <c r="AK112" s="13" t="n">
        <f aca="false">AK111+AK107+AK108+AK109</f>
        <v>3.41410137945353</v>
      </c>
      <c r="AL112" s="13" t="n">
        <f aca="false">AL111+AL107+AL108+AL109</f>
        <v>2.48319530438909</v>
      </c>
      <c r="AM112" s="13" t="n">
        <f aca="false">AM111+AM107+AM108+AM109</f>
        <v>1.88530038821737</v>
      </c>
      <c r="AN112" s="13" t="n">
        <f aca="false">AN111+AN107+AN108+AN109</f>
        <v>1.28486830457866</v>
      </c>
      <c r="AO112" s="13" t="n">
        <f aca="false">AO111+AO107+AO108+AO109</f>
        <v>0.629671466230584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533.706766912028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0</v>
      </c>
      <c r="Q113" s="13" t="n">
        <f aca="false">Q27+Q41+Q55+Q69+Q83+Q93</f>
        <v>16.0723581920089</v>
      </c>
      <c r="R113" s="13" t="n">
        <f aca="false">R27+R41+R55+R69+R83+R93</f>
        <v>16.6799528861743</v>
      </c>
      <c r="S113" s="13" t="n">
        <f aca="false">S27+S41+S55+S69+S83+S93</f>
        <v>17.2742757196551</v>
      </c>
      <c r="T113" s="13" t="n">
        <f aca="false">T27+T41+T55+T69+T83+T93</f>
        <v>18.0831569991271</v>
      </c>
      <c r="U113" s="13" t="n">
        <f aca="false">U27+U41+U55+U69+U83+U93</f>
        <v>18.5904804517513</v>
      </c>
      <c r="V113" s="13" t="n">
        <f aca="false">V27+V41+V55+V69+V83+V93</f>
        <v>19.4418902880305</v>
      </c>
      <c r="W113" s="13" t="n">
        <f aca="false">W27+W41+W55+W69+W83+W93</f>
        <v>20.517436695911</v>
      </c>
      <c r="X113" s="13" t="n">
        <f aca="false">X27+X41+X55+X69+X83+X93</f>
        <v>21.4579516478649</v>
      </c>
      <c r="Y113" s="13" t="n">
        <f aca="false">Y27+Y41+Y55+Y69+Y83+Y93</f>
        <v>19.9393266708396</v>
      </c>
      <c r="Z113" s="13" t="n">
        <f aca="false">Z27+Z41+Z55+Z69+Z83+Z93</f>
        <v>20.8769770568193</v>
      </c>
      <c r="AA113" s="13" t="n">
        <f aca="false">AA27+AA41+AA55+AA69+AA83+AA93</f>
        <v>21.3135196718148</v>
      </c>
      <c r="AB113" s="13" t="n">
        <f aca="false">AB27+AB41+AB55+AB69+AB83+AB93</f>
        <v>22.0452344058184</v>
      </c>
      <c r="AC113" s="13" t="n">
        <f aca="false">AC27+AC41+AC55+AC69+AC83+AC93</f>
        <v>22.2811315174934</v>
      </c>
      <c r="AD113" s="13" t="n">
        <f aca="false">AD27+AD41+AD55+AD69+AD83+AD93</f>
        <v>22.9028897891437</v>
      </c>
      <c r="AE113" s="13" t="n">
        <f aca="false">AE27+AE41+AE55+AE69+AE83+AE93</f>
        <v>24.2355057685688</v>
      </c>
      <c r="AF113" s="13" t="n">
        <f aca="false">AF27+AF41+AF55+AF69+AF83+AF93</f>
        <v>24.8754505748335</v>
      </c>
      <c r="AG113" s="13" t="n">
        <f aca="false">AG27+AG41+AG55+AG69+AG83+AG93</f>
        <v>24.20259171451</v>
      </c>
      <c r="AH113" s="13" t="n">
        <f aca="false">AH27+AH41+AH55+AH69+AH83+AH93</f>
        <v>24.4463939756176</v>
      </c>
      <c r="AI113" s="13" t="n">
        <f aca="false">AI27+AI41+AI55+AI69+AI83+AI93</f>
        <v>23.8866838288998</v>
      </c>
      <c r="AJ113" s="13" t="n">
        <f aca="false">AJ27+AJ41+AJ55+AJ69+AJ83+AJ93</f>
        <v>23.3576089705586</v>
      </c>
      <c r="AK113" s="13" t="n">
        <f aca="false">AK27+AK41+AK55+AK69+AK83+AK93</f>
        <v>21.6725949289086</v>
      </c>
      <c r="AL113" s="13" t="n">
        <f aca="false">AL27+AL41+AL55+AL69+AL83+AL93</f>
        <v>21.2441270039354</v>
      </c>
      <c r="AM113" s="13" t="n">
        <f aca="false">AM27+AM41+AM55+AM69+AM83+AM93</f>
        <v>22.2342795200809</v>
      </c>
      <c r="AN113" s="13" t="n">
        <f aca="false">AN27+AN41+AN55+AN69+AN83+AN93</f>
        <v>23.3092941861504</v>
      </c>
      <c r="AO113" s="13" t="n">
        <f aca="false">AO27+AO41+AO55+AO69+AO83+AO93</f>
        <v>22.7656544475121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836.33749336612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0</v>
      </c>
      <c r="Q114" s="13" t="n">
        <f aca="false">Q112+Q113</f>
        <v>38.0784785636734</v>
      </c>
      <c r="R114" s="13" t="n">
        <f aca="false">R112+R113</f>
        <v>37.7221331542987</v>
      </c>
      <c r="S114" s="13" t="n">
        <f aca="false">S112+S113</f>
        <v>37.5281545531907</v>
      </c>
      <c r="T114" s="13" t="n">
        <f aca="false">T112+T113</f>
        <v>37.9631538733717</v>
      </c>
      <c r="U114" s="13" t="n">
        <f aca="false">U112+U113</f>
        <v>37.7082706244657</v>
      </c>
      <c r="V114" s="13" t="n">
        <f aca="false">V112+V113</f>
        <v>38.0579949845098</v>
      </c>
      <c r="W114" s="13" t="n">
        <f aca="false">W112+W113</f>
        <v>38.2693400178687</v>
      </c>
      <c r="X114" s="13" t="n">
        <f aca="false">X112+X113</f>
        <v>38.6972519091503</v>
      </c>
      <c r="Y114" s="13" t="n">
        <f aca="false">Y112+Y113</f>
        <v>36.7718089512955</v>
      </c>
      <c r="Z114" s="13" t="n">
        <f aca="false">Z112+Z113</f>
        <v>37.1877837069667</v>
      </c>
      <c r="AA114" s="13" t="n">
        <f aca="false">AA112+AA113</f>
        <v>36.7104052003812</v>
      </c>
      <c r="AB114" s="13" t="n">
        <f aca="false">AB112+AB113</f>
        <v>36.5768366695475</v>
      </c>
      <c r="AC114" s="13" t="n">
        <f aca="false">AC112+AC113</f>
        <v>35.6077875362592</v>
      </c>
      <c r="AD114" s="13" t="n">
        <f aca="false">AD112+AD113</f>
        <v>35.2120494415483</v>
      </c>
      <c r="AE114" s="13" t="n">
        <f aca="false">AE112+AE113</f>
        <v>35.2884315016662</v>
      </c>
      <c r="AF114" s="13" t="n">
        <f aca="false">AF112+AF113</f>
        <v>34.8277577919536</v>
      </c>
      <c r="AG114" s="13" t="n">
        <f aca="false">AG112+AG113</f>
        <v>32.9864916303619</v>
      </c>
      <c r="AH114" s="13" t="n">
        <f aca="false">AH112+AH113</f>
        <v>32.0084913499243</v>
      </c>
      <c r="AI114" s="13" t="n">
        <f aca="false">AI112+AI113</f>
        <v>30.0227889442258</v>
      </c>
      <c r="AJ114" s="13" t="n">
        <f aca="false">AJ112+AJ113</f>
        <v>28.1889960320047</v>
      </c>
      <c r="AK114" s="13" t="n">
        <f aca="false">AK112+AK113</f>
        <v>25.0866963083622</v>
      </c>
      <c r="AL114" s="13" t="n">
        <f aca="false">AL112+AL113</f>
        <v>23.7273223083245</v>
      </c>
      <c r="AM114" s="13" t="n">
        <f aca="false">AM112+AM113</f>
        <v>24.1195799082983</v>
      </c>
      <c r="AN114" s="13" t="n">
        <f aca="false">AN112+AN113</f>
        <v>24.594162490729</v>
      </c>
      <c r="AO114" s="13" t="n">
        <f aca="false">AO112+AO113</f>
        <v>23.3953259137427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0</v>
      </c>
      <c r="Q115" s="13" t="n">
        <f aca="false">Q21+Q35+Q49+Q63+Q77+Q91</f>
        <v>644.926706593498</v>
      </c>
      <c r="R115" s="13" t="n">
        <f aca="false">R21+R35+R49+R63+R77+R91</f>
        <v>610.369348401518</v>
      </c>
      <c r="S115" s="13" t="n">
        <f aca="false">S21+S35+S49+S63+S77+S91</f>
        <v>593.689395515344</v>
      </c>
      <c r="T115" s="13" t="n">
        <f aca="false">T21+T35+T49+T63+T77+T91</f>
        <v>576.415119795689</v>
      </c>
      <c r="U115" s="13" t="n">
        <f aca="false">U21+U35+U49+U63+U77+U91</f>
        <v>558.331962796562</v>
      </c>
      <c r="V115" s="13" t="n">
        <f aca="false">V21+V35+V49+V63+V77+V91</f>
        <v>539.741482344811</v>
      </c>
      <c r="W115" s="13" t="n">
        <f aca="false">W21+W35+W49+W63+W77+W91</f>
        <v>520.29959205678</v>
      </c>
      <c r="X115" s="13" t="n">
        <f aca="false">X21+X35+X49+X63+X77+X91</f>
        <v>499.782155360869</v>
      </c>
      <c r="Y115" s="13" t="n">
        <f aca="false">Y21+Y35+Y49+Y63+Y77+Y91</f>
        <v>478.324203713004</v>
      </c>
      <c r="Z115" s="13" t="n">
        <f aca="false">Z21+Z35+Z49+Z63+Z77+Z91</f>
        <v>458.384877042165</v>
      </c>
      <c r="AA115" s="13" t="n">
        <f aca="false">AA21+AA35+AA49+AA63+AA77+AA91</f>
        <v>437.507899985345</v>
      </c>
      <c r="AB115" s="13" t="n">
        <f aca="false">AB21+AB35+AB49+AB63+AB77+AB91</f>
        <v>410.506861377125</v>
      </c>
      <c r="AC115" s="13" t="n">
        <f aca="false">AC21+AC35+AC49+AC63+AC77+AC91</f>
        <v>381.763770606918</v>
      </c>
      <c r="AD115" s="13" t="n">
        <f aca="false">AD21+AD35+AD49+AD63+AD77+AD91</f>
        <v>352.723269176064</v>
      </c>
      <c r="AE115" s="13" t="n">
        <f aca="false">AE21+AE35+AE49+AE63+AE77+AE91</f>
        <v>322.863758211344</v>
      </c>
      <c r="AF115" s="13" t="n">
        <f aca="false">AF21+AF35+AF49+AF63+AF77+AF91</f>
        <v>290.859857277369</v>
      </c>
      <c r="AG115" s="13" t="n">
        <f aca="false">AG21+AG35+AG49+AG63+AG77+AG91</f>
        <v>256.930720919039</v>
      </c>
      <c r="AH115" s="13" t="n">
        <f aca="false">AH21+AH35+AH49+AH63+AH77+AH91</f>
        <v>223.519712881192</v>
      </c>
      <c r="AI115" s="13" t="n">
        <f aca="false">AI21+AI35+AI49+AI63+AI77+AI91</f>
        <v>188.617906697672</v>
      </c>
      <c r="AJ115" s="13" t="n">
        <f aca="false">AJ21+AJ35+AJ49+AJ63+AJ77+AJ91</f>
        <v>153.553596857044</v>
      </c>
      <c r="AK115" s="13" t="n">
        <f aca="false">AK21+AK35+AK49+AK63+AK77+AK91</f>
        <v>117.32420479501</v>
      </c>
      <c r="AL115" s="13" t="n">
        <f aca="false">AL21+AL35+AL49+AL63+AL77+AL91</f>
        <v>89.5533551576788</v>
      </c>
      <c r="AM115" s="13" t="n">
        <f aca="false">AM21+AM35+AM49+AM63+AM77+AM91</f>
        <v>68.3092281537433</v>
      </c>
      <c r="AN115" s="13" t="n">
        <f aca="false">AN21+AN35+AN49+AN63+AN77+AN91</f>
        <v>46.0749486336624</v>
      </c>
      <c r="AO115" s="13" t="n">
        <f aca="false">AO21+AO35+AO49+AO63+AO77+AO91</f>
        <v>22.7656544475121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0</v>
      </c>
      <c r="P116" s="13" t="n">
        <f aca="false">P33+P47+P61+P75+P89+P95</f>
        <v>644.926706593498</v>
      </c>
      <c r="Q116" s="13" t="n">
        <f aca="false">Q33+Q47+Q61+Q75+Q89+Q95</f>
        <v>610.369348401518</v>
      </c>
      <c r="R116" s="13" t="n">
        <f aca="false">R33+R47+R61+R75+R89+R95</f>
        <v>593.689395515344</v>
      </c>
      <c r="S116" s="13" t="n">
        <f aca="false">S33+S47+S61+S75+S89+S95</f>
        <v>576.415119795689</v>
      </c>
      <c r="T116" s="13" t="n">
        <f aca="false">T33+T47+T61+T75+T89+T95</f>
        <v>558.331962796562</v>
      </c>
      <c r="U116" s="13" t="n">
        <f aca="false">U33+U47+U61+U75+U89+U95</f>
        <v>539.741482344811</v>
      </c>
      <c r="V116" s="13" t="n">
        <f aca="false">V33+V47+V61+V75+V89+V95</f>
        <v>520.29959205678</v>
      </c>
      <c r="W116" s="13" t="n">
        <f aca="false">W33+W47+W61+W75+W89+W95</f>
        <v>499.782155360869</v>
      </c>
      <c r="X116" s="13" t="n">
        <f aca="false">X33+X47+X61+X75+X89+X95</f>
        <v>478.324203713004</v>
      </c>
      <c r="Y116" s="13" t="n">
        <f aca="false">Y33+Y47+Y61+Y75+Y89+Y95</f>
        <v>458.384877042165</v>
      </c>
      <c r="Z116" s="13" t="n">
        <f aca="false">Z33+Z47+Z61+Z75+Z89+Z95</f>
        <v>437.507899985345</v>
      </c>
      <c r="AA116" s="13" t="n">
        <f aca="false">AA33+AA47+AA61+AA75+AA89+AA95</f>
        <v>410.506861377125</v>
      </c>
      <c r="AB116" s="13" t="n">
        <f aca="false">AB33+AB47+AB61+AB75+AB89+AB95</f>
        <v>381.763770606918</v>
      </c>
      <c r="AC116" s="13" t="n">
        <f aca="false">AC33+AC47+AC61+AC75+AC89+AC95</f>
        <v>352.723269176064</v>
      </c>
      <c r="AD116" s="13" t="n">
        <f aca="false">AD33+AD47+AD61+AD75+AD89+AD95</f>
        <v>322.863758211344</v>
      </c>
      <c r="AE116" s="13" t="n">
        <f aca="false">AE33+AE47+AE61+AE75+AE89+AE95</f>
        <v>290.859857277369</v>
      </c>
      <c r="AF116" s="13" t="n">
        <f aca="false">AF33+AF47+AF61+AF75+AF89+AF95</f>
        <v>256.930720919039</v>
      </c>
      <c r="AG116" s="13" t="n">
        <f aca="false">AG33+AG47+AG61+AG75+AG89+AG95</f>
        <v>223.519712881192</v>
      </c>
      <c r="AH116" s="13" t="n">
        <f aca="false">AH33+AH47+AH61+AH75+AH89+AH95</f>
        <v>188.617906697672</v>
      </c>
      <c r="AI116" s="13" t="n">
        <f aca="false">AI33+AI47+AI61+AI75+AI89+AI95</f>
        <v>153.553596857044</v>
      </c>
      <c r="AJ116" s="13" t="n">
        <f aca="false">AJ33+AJ47+AJ61+AJ75+AJ89+AJ95</f>
        <v>117.32420479501</v>
      </c>
      <c r="AK116" s="13" t="n">
        <f aca="false">AK33+AK47+AK61+AK75+AK89+AK95</f>
        <v>89.5533551576788</v>
      </c>
      <c r="AL116" s="13" t="n">
        <f aca="false">AL33+AL47+AL61+AL75+AL89+AL95</f>
        <v>68.3092281537433</v>
      </c>
      <c r="AM116" s="13" t="n">
        <f aca="false">AM33+AM47+AM61+AM75+AM89+AM95</f>
        <v>46.0749486336624</v>
      </c>
      <c r="AN116" s="13" t="n">
        <f aca="false">AN33+AN47+AN61+AN75+AN89+AN95</f>
        <v>22.7656544475121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0</v>
      </c>
      <c r="P118" s="13" t="n">
        <f aca="false">IF(Time!P34=1,P75,P73)</f>
        <v>240.637270706254</v>
      </c>
      <c r="Q118" s="13" t="n">
        <f aca="false">IF(Time!Q34=1,Q75,Q73)</f>
        <v>227.74311037281</v>
      </c>
      <c r="R118" s="13" t="n">
        <f aca="false">IF(Time!R34=1,R75,R73)</f>
        <v>221.519428988551</v>
      </c>
      <c r="S118" s="13" t="n">
        <f aca="false">IF(Time!S34=1,S75,S73)</f>
        <v>215.07399182475</v>
      </c>
      <c r="T118" s="13" t="n">
        <f aca="false">IF(Time!T34=1,T75,T73)</f>
        <v>208.326742096162</v>
      </c>
      <c r="U118" s="13" t="n">
        <f aca="false">IF(Time!U34=1,U75,U73)</f>
        <v>201.390198096213</v>
      </c>
      <c r="V118" s="13" t="n">
        <f aca="false">IF(Time!V34=1,V75,V73)</f>
        <v>194.135973130103</v>
      </c>
      <c r="W118" s="13" t="n">
        <f aca="false">IF(Time!W34=1,W75,W73)</f>
        <v>186.480436589414</v>
      </c>
      <c r="X118" s="13" t="n">
        <f aca="false">IF(Time!X34=1,X75,X73)</f>
        <v>178.473971875365</v>
      </c>
      <c r="Y118" s="13" t="n">
        <f aca="false">IF(Time!Y34=1,Y75,Y73)</f>
        <v>171.034141735387</v>
      </c>
      <c r="Z118" s="13" t="n">
        <f aca="false">IF(Time!Z34=1,Z75,Z73)</f>
        <v>163.244452258755</v>
      </c>
      <c r="AA118" s="13" t="n">
        <f aca="false">IF(Time!AA34=1,AA75,AA73)</f>
        <v>155.29187850032</v>
      </c>
      <c r="AB118" s="13" t="n">
        <f aca="false">IF(Time!AB34=1,AB75,AB73)</f>
        <v>141.570235204446</v>
      </c>
      <c r="AC118" s="13" t="n">
        <f aca="false">IF(Time!AC34=1,AC75,AC73)</f>
        <v>127.000732962725</v>
      </c>
      <c r="AD118" s="13" t="n">
        <f aca="false">IF(Time!AD34=1,AD75,AD73)</f>
        <v>112.433897745335</v>
      </c>
      <c r="AE118" s="13" t="n">
        <f aca="false">IF(Time!AE34=1,AE75,AE73)</f>
        <v>97.5597104764913</v>
      </c>
      <c r="AF118" s="13" t="n">
        <f aca="false">IF(Time!AF34=1,AF75,AF73)</f>
        <v>82.1120176349528</v>
      </c>
      <c r="AG118" s="13" t="n">
        <f aca="false">IF(Time!AG34=1,AG75,AG73)</f>
        <v>66.1763172335893</v>
      </c>
      <c r="AH118" s="13" t="n">
        <f aca="false">IF(Time!AH34=1,AH75,AH73)</f>
        <v>50.7373106340543</v>
      </c>
      <c r="AI118" s="13" t="n">
        <f aca="false">IF(Time!AI34=1,AI75,AI73)</f>
        <v>35.1805748637209</v>
      </c>
      <c r="AJ118" s="13" t="n">
        <f aca="false">IF(Time!AJ34=1,AJ75,AJ73)</f>
        <v>20.3517709903167</v>
      </c>
      <c r="AK118" s="13" t="n">
        <f aca="false">IF(Time!AK34=1,AK75,AK73)</f>
        <v>6.09825470842245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0</v>
      </c>
      <c r="P119" s="13" t="n">
        <f aca="false">IF(AND(Time!P20&gt;=Time!$F$12,Time!Q20&gt;0),(IF(Time!P34=1,P33,P31)-P30)*Q19+IF(Time!Q46&gt;0,Time!Q45*P30/Time!Q46,0)+IF(Time!P34=1,P33,P31)*Q10,0)</f>
        <v>8.99447130257387</v>
      </c>
      <c r="Q119" s="13" t="n">
        <f aca="false">IF(AND(Time!Q20&gt;=Time!$F$12,Time!R20&gt;0),(IF(Time!Q34=1,Q33,Q31)-Q30)*R19+IF(Time!R46&gt;0,Time!R45*Q30/Time!R46,0)+IF(Time!Q34=1,Q33,Q31)*R10,0)</f>
        <v>9.0120095598617</v>
      </c>
      <c r="R119" s="13" t="n">
        <f aca="false">IF(AND(Time!R20&gt;=Time!$F$12,Time!S20&gt;0),(IF(Time!R34=1,R33,R31)-R30)*S19+IF(Time!S46&gt;0,Time!S45*R30/Time!S46,0)+IF(Time!R34=1,R33,R31)*S10,0)</f>
        <v>9.01886978746888</v>
      </c>
      <c r="S119" s="13" t="n">
        <f aca="false">IF(AND(Time!S20&gt;=Time!$F$12,Time!T20&gt;0),(IF(Time!S34=1,S33,S31)-S30)*T19+IF(Time!T46&gt;0,Time!T45*S30/Time!T46,0)+IF(Time!S34=1,S33,S31)*T10,0)</f>
        <v>9.20603173300914</v>
      </c>
      <c r="T119" s="13" t="n">
        <f aca="false">IF(AND(Time!T20&gt;=Time!$F$12,Time!U20&gt;0),(IF(Time!T34=1,T33,T31)-T30)*U19+IF(Time!U46&gt;0,Time!U45*T30/Time!U46,0)+IF(Time!T34=1,T33,T31)*U10,0)</f>
        <v>9.19293249480355</v>
      </c>
      <c r="U119" s="13" t="n">
        <f aca="false">IF(AND(Time!U20&gt;=Time!$F$12,Time!V20&gt;0),(IF(Time!U34=1,U33,U31)-U30)*V19+IF(Time!V46&gt;0,Time!V45*U30/Time!V46,0)+IF(Time!U34=1,U33,U31)*V10,0)</f>
        <v>9.35946291469646</v>
      </c>
      <c r="V119" s="13" t="n">
        <f aca="false">IF(AND(Time!V20&gt;=Time!$F$12,Time!W20&gt;0),(IF(Time!V34=1,V33,V31)-V30)*W19+IF(Time!W46&gt;0,Time!W45*V30/Time!W46,0)+IF(Time!V34=1,V33,V31)*W10,0)</f>
        <v>9.48835322906044</v>
      </c>
      <c r="W119" s="13" t="n">
        <f aca="false">IF(AND(Time!W20&gt;=Time!$F$12,Time!X20&gt;0),(IF(Time!W34=1,W33,W31)-W30)*X19+IF(Time!X46&gt;0,Time!X45*W30/Time!X46,0)+IF(Time!W34=1,W33,W31)*X10,0)</f>
        <v>9.68441138578601</v>
      </c>
      <c r="X119" s="13" t="n">
        <f aca="false">IF(AND(Time!X20&gt;=Time!$F$12,Time!Y20&gt;0),(IF(Time!X34=1,X33,X31)-X30)*Y19+IF(Time!Y46&gt;0,Time!Y45*X30/Time!Y46,0)+IF(Time!X34=1,X33,X31)*Y10,0)</f>
        <v>9.04017152334258</v>
      </c>
      <c r="Y119" s="13" t="n">
        <f aca="false">IF(AND(Time!Y20&gt;=Time!$F$12,Time!Z20&gt;0),(IF(Time!Y34=1,Y33,Y31)-Y30)*Z19+IF(Time!Z46&gt;0,Time!Z45*Y30/Time!Z46,0)+IF(Time!Y34=1,Y33,Y31)*Z10,0)</f>
        <v>9.23467065906274</v>
      </c>
      <c r="Z119" s="13" t="n">
        <f aca="false">IF(AND(Time!Z20&gt;=Time!$F$12,Time!AA20&gt;0),(IF(Time!Z34=1,Z33,Z31)-Z30)*AA19+IF(Time!AA46&gt;0,Time!AA45*Z30/Time!AA46,0)+IF(Time!Z34=1,Z33,Z31)*AA10,0)</f>
        <v>9.17475535729523</v>
      </c>
      <c r="AA119" s="13" t="n">
        <f aca="false">IF(AND(Time!AA20&gt;=Time!$F$12,Time!AB20&gt;0),(IF(Time!AA34=1,AA33,AA31)-AA30)*AB19+IF(Time!AB46&gt;0,Time!AB45*AA30/Time!AB46,0)+IF(Time!AA34=1,AA33,AA31)*AB10,0)</f>
        <v>9.3848368313236</v>
      </c>
      <c r="AB119" s="13" t="n">
        <f aca="false">IF(AND(Time!AB20&gt;=Time!$F$12,Time!AC20&gt;0),(IF(Time!AB34=1,AB33,AB31)-AB30)*AC19+IF(Time!AC46&gt;0,Time!AC45*AB30/Time!AC46,0)+IF(Time!AB34=1,AB33,AB31)*AC10,0)</f>
        <v>9.3928050086039</v>
      </c>
      <c r="AC119" s="13" t="n">
        <f aca="false">IF(AND(Time!AC20&gt;=Time!$F$12,Time!AD20&gt;0),(IF(Time!AC34=1,AC33,AC31)-AC30)*AD19+IF(Time!AD46&gt;0,Time!AD45*AC30/Time!AD46,0)+IF(Time!AC34=1,AC33,AC31)*AD10,0)</f>
        <v>9.5892439327931</v>
      </c>
      <c r="AD119" s="13" t="n">
        <f aca="false">IF(AND(Time!AD20&gt;=Time!$F$12,Time!AE20&gt;0),(IF(Time!AD34=1,AD33,AD31)-AD30)*AE19+IF(Time!AE46&gt;0,Time!AE45*AD30/Time!AE46,0)+IF(Time!AD34=1,AD33,AD31)*AE10,0)</f>
        <v>9.96359614477672</v>
      </c>
      <c r="AE119" s="13" t="n">
        <f aca="false">IF(AND(Time!AE20&gt;=Time!$F$12,Time!AF20&gt;0),(IF(Time!AE34=1,AE33,AE31)-AE30)*AF19+IF(Time!AF46&gt;0,Time!AF45*AE30/Time!AF46,0)+IF(Time!AE34=1,AE33,AE31)*AF10,0)</f>
        <v>10.2391374330022</v>
      </c>
      <c r="AF119" s="13" t="n">
        <f aca="false">IF(AND(Time!AF20&gt;=Time!$F$12,Time!AG20&gt;0),(IF(Time!AF34=1,AF33,AF31)-AF30)*AG19+IF(Time!AG46&gt;0,Time!AG45*AF30/Time!AG46,0)+IF(Time!AF34=1,AF33,AF31)*AG10,0)</f>
        <v>10.0808069093538</v>
      </c>
      <c r="AG119" s="13" t="n">
        <f aca="false">IF(AND(Time!AG20&gt;=Time!$F$12,Time!AH20&gt;0),(IF(Time!AG34=1,AG33,AG31)-AG30)*AH19+IF(Time!AH46&gt;0,Time!AH45*AG30/Time!AH46,0)+IF(Time!AG34=1,AG33,AG31)*AH10,0)</f>
        <v>10.3477125361504</v>
      </c>
      <c r="AH119" s="13" t="n">
        <f aca="false">IF(AND(Time!AH20&gt;=Time!$F$12,Time!AI20&gt;0),(IF(Time!AH34=1,AH33,AH31)-AH30)*AI19+IF(Time!AI46&gt;0,Time!AI45*AH30/Time!AI46,0)+IF(Time!AH34=1,AH33,AH31)*AI10,0)</f>
        <v>10.3938245852273</v>
      </c>
      <c r="AI119" s="13" t="n">
        <f aca="false">IF(AND(Time!AI20&gt;=Time!$F$12,Time!AJ20&gt;0),(IF(Time!AI34=1,AI33,AI31)-AI30)*AJ19+IF(Time!AJ46&gt;0,Time!AJ45*AI30/Time!AJ46,0)+IF(Time!AI34=1,AI33,AI31)*AJ10,0)</f>
        <v>10.6509287533801</v>
      </c>
      <c r="AJ119" s="13" t="n">
        <f aca="false">IF(AND(Time!AJ20&gt;=Time!$F$12,Time!AK20&gt;0),(IF(Time!AJ34=1,AJ33,AJ31)-AJ30)*AK19+IF(Time!AK46&gt;0,Time!AK45*AJ30/Time!AK46,0)+IF(Time!AJ34=1,AJ33,AJ31)*AK10,0)</f>
        <v>10.7011737761918</v>
      </c>
      <c r="AK119" s="13" t="n">
        <f aca="false">IF(AND(Time!AK20&gt;=Time!$F$12,Time!AL20&gt;0),(IF(Time!AK34=1,AK33,AK31)-AK30)*AL19+IF(Time!AL46&gt;0,Time!AL45*AK30/Time!AL46,0)+IF(Time!AK34=1,AK33,AK31)*AL10,0)</f>
        <v>10.94409700219</v>
      </c>
      <c r="AL119" s="13" t="n">
        <f aca="false">IF(AND(Time!AL20&gt;=Time!$F$12,Time!AM20&gt;0),(IF(Time!AL34=1,AL33,AL31)-AL30)*AM19+IF(Time!AM46&gt;0,Time!AM45*AL30/Time!AM46,0)+IF(Time!AL34=1,AL33,AL31)*AM10,0)</f>
        <v>11.1693448992517</v>
      </c>
      <c r="AM119" s="13" t="n">
        <f aca="false">IF(AND(Time!AM20&gt;=Time!$F$12,Time!AN20&gt;0),(IF(Time!AM34=1,AM33,AM31)-AM30)*AN19+IF(Time!AN46&gt;0,Time!AN45*AM30/Time!AN46,0)+IF(Time!AM34=1,AM33,AM31)*AN10,0)</f>
        <v>11.4477533103045</v>
      </c>
      <c r="AN119" s="13" t="n">
        <f aca="false">IF(AND(Time!AN20&gt;=Time!$F$12,Time!AO20&gt;0),(IF(Time!AN34=1,AN33,AN31)-AN30)*AO19+IF(Time!AO46&gt;0,Time!AO45*AN30/Time!AO46,0)+IF(Time!AN34=1,AN33,AN31)*AO10,0)</f>
        <v>10.9380685712579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0</v>
      </c>
      <c r="P120" s="13" t="n">
        <f aca="false">IF(AND(Time!P20&gt;=Time!$F$12,Time!Q20&gt;0),(IF(Time!P34=1,P47,P45)-P44)*Q19+IF(Time!Q46&gt;0,Time!Q45*P44/Time!Q46,0)+IF(Time!P34=1,P47,P45)*Q11,0)</f>
        <v>8.20698400455586</v>
      </c>
      <c r="Q120" s="13" t="n">
        <f aca="false">IF(AND(Time!Q20&gt;=Time!$F$12,Time!R20&gt;0),(IF(Time!Q34=1,Q47,Q45)-Q44)*R19+IF(Time!R46&gt;0,Time!R45*Q44/Time!R46,0)+IF(Time!Q34=1,Q47,Q45)*R11,0)</f>
        <v>8.15879199215517</v>
      </c>
      <c r="R120" s="13" t="n">
        <f aca="false">IF(AND(Time!R20&gt;=Time!$F$12,Time!S20&gt;0),(IF(Time!R34=1,R47,R45)-R44)*S19+IF(Time!S46&gt;0,Time!S45*R44/Time!S46,0)+IF(Time!R34=1,R47,R45)*S11,0)</f>
        <v>8.09688451251705</v>
      </c>
      <c r="S120" s="13" t="n">
        <f aca="false">IF(AND(Time!S20&gt;=Time!$F$12,Time!T20&gt;0),(IF(Time!S34=1,S47,S45)-S44)*T19+IF(Time!T46&gt;0,Time!T45*S44/Time!T46,0)+IF(Time!S34=1,S47,S45)*T11,0)</f>
        <v>8.21485082459059</v>
      </c>
      <c r="T120" s="13" t="n">
        <f aca="false">IF(AND(Time!T20&gt;=Time!$F$12,Time!U20&gt;0),(IF(Time!T34=1,T47,T45)-T44)*U19+IF(Time!U46&gt;0,Time!U45*T44/Time!U46,0)+IF(Time!T34=1,T47,T45)*U11,0)</f>
        <v>8.14391265504305</v>
      </c>
      <c r="U120" s="13" t="n">
        <f aca="false">IF(AND(Time!U20&gt;=Time!$F$12,Time!V20&gt;0),(IF(Time!U34=1,U47,U45)-U44)*V19+IF(Time!V46&gt;0,Time!V45*U44/Time!V46,0)+IF(Time!U34=1,U47,U45)*V11,0)</f>
        <v>8.23423720495503</v>
      </c>
      <c r="V120" s="13" t="n">
        <f aca="false">IF(AND(Time!V20&gt;=Time!$F$12,Time!W20&gt;0),(IF(Time!V34=1,V47,V45)-V44)*W19+IF(Time!W46&gt;0,Time!W45*V44/Time!W46,0)+IF(Time!V34=1,V47,V45)*W11,0)</f>
        <v>8.25784333545526</v>
      </c>
      <c r="W120" s="13" t="n">
        <f aca="false">IF(AND(Time!W20&gt;=Time!$F$12,Time!X20&gt;0),(IF(Time!W34=1,W47,W45)-W44)*X19+IF(Time!X46&gt;0,Time!X45*W44/Time!X46,0)+IF(Time!W34=1,W47,W45)*X11,0)</f>
        <v>8.37105918058671</v>
      </c>
      <c r="X120" s="13" t="n">
        <f aca="false">IF(AND(Time!X20&gt;=Time!$F$12,Time!Y20&gt;0),(IF(Time!X34=1,X47,X45)-X44)*Y19+IF(Time!Y46&gt;0,Time!Y45*X44/Time!Y46,0)+IF(Time!X34=1,X47,X45)*Y11,0)</f>
        <v>7.8243214846747</v>
      </c>
      <c r="Y120" s="13" t="n">
        <f aca="false">IF(AND(Time!Y20&gt;=Time!$F$12,Time!Z20&gt;0),(IF(Time!Y34=1,Y47,Y45)-Y44)*Z19+IF(Time!Z46&gt;0,Time!Z45*Y44/Time!Z46,0)+IF(Time!Y34=1,Y47,Y45)*Z11,0)</f>
        <v>7.93612418010591</v>
      </c>
      <c r="Z120" s="13" t="n">
        <f aca="false">IF(AND(Time!Z20&gt;=Time!$F$12,Time!AA20&gt;0),(IF(Time!Z34=1,Z47,Z45)-Z44)*AA19+IF(Time!AA46&gt;0,Time!AA45*Z44/Time!AA46,0)+IF(Time!Z34=1,Z47,Z45)*AA11,0)</f>
        <v>7.82105644363714</v>
      </c>
      <c r="AA120" s="13" t="n">
        <f aca="false">IF(AND(Time!AA20&gt;=Time!$F$12,Time!AB20&gt;0),(IF(Time!AA34=1,AA47,AA45)-AA44)*AB19+IF(Time!AB46&gt;0,Time!AB45*AA44/Time!AB46,0)+IF(Time!AA34=1,AA47,AA45)*AB11,0)</f>
        <v>7.9391065897465</v>
      </c>
      <c r="AB120" s="13" t="n">
        <f aca="false">IF(AND(Time!AB20&gt;=Time!$F$12,Time!AC20&gt;0),(IF(Time!AB34=1,AB47,AB45)-AB44)*AC19+IF(Time!AC46&gt;0,Time!AC45*AB44/Time!AC46,0)+IF(Time!AB34=1,AB47,AB45)*AC11,0)</f>
        <v>7.87732112040996</v>
      </c>
      <c r="AC120" s="13" t="n">
        <f aca="false">IF(AND(Time!AC20&gt;=Time!$F$12,Time!AD20&gt;0),(IF(Time!AC34=1,AC47,AC45)-AC44)*AD19+IF(Time!AD46&gt;0,Time!AD45*AC44/Time!AD46,0)+IF(Time!AC34=1,AC47,AC45)*AD11,0)</f>
        <v>7.97387581635556</v>
      </c>
      <c r="AD120" s="13" t="n">
        <f aca="false">IF(AND(Time!AD20&gt;=Time!$F$12,Time!AE20&gt;0),(IF(Time!AD34=1,AD47,AD45)-AD44)*AE19+IF(Time!AE46&gt;0,Time!AE45*AD44/Time!AE46,0)+IF(Time!AD34=1,AD47,AD45)*AE11,0)</f>
        <v>8.17289271827054</v>
      </c>
      <c r="AE120" s="13" t="n">
        <f aca="false">IF(AND(Time!AE20&gt;=Time!$F$12,Time!AF20&gt;0),(IF(Time!AE34=1,AE47,AE45)-AE44)*AF19+IF(Time!AF46&gt;0,Time!AF45*AE44/Time!AF46,0)+IF(Time!AE34=1,AE47,AE45)*AF11,0)</f>
        <v>8.32321162884096</v>
      </c>
      <c r="AF120" s="13" t="n">
        <f aca="false">IF(AND(Time!AF20&gt;=Time!$F$12,Time!AG20&gt;0),(IF(Time!AF34=1,AF47,AF45)-AF44)*AG19+IF(Time!AG46&gt;0,Time!AG45*AF44/Time!AG46,0)+IF(Time!AF34=1,AF47,AF45)*AG11,0)</f>
        <v>8.12529818095215</v>
      </c>
      <c r="AG120" s="13" t="n">
        <f aca="false">IF(AND(Time!AG20&gt;=Time!$F$12,Time!AH20&gt;0),(IF(Time!AG34=1,AG47,AG45)-AG44)*AH19+IF(Time!AH46&gt;0,Time!AH45*AG44/Time!AH46,0)+IF(Time!AG34=1,AG47,AG45)*AH11,0)</f>
        <v>8.2630091568406</v>
      </c>
      <c r="AH120" s="13" t="n">
        <f aca="false">IF(AND(Time!AH20&gt;=Time!$F$12,Time!AI20&gt;0),(IF(Time!AH34=1,AH47,AH45)-AH44)*AI19+IF(Time!AI46&gt;0,Time!AI45*AH44/Time!AI46,0)+IF(Time!AH34=1,AH47,AH45)*AI11,0)</f>
        <v>8.21323683523068</v>
      </c>
      <c r="AI120" s="13" t="n">
        <f aca="false">IF(AND(Time!AI20&gt;=Time!$F$12,Time!AJ20&gt;0),(IF(Time!AI34=1,AI47,AI45)-AI44)*AJ19+IF(Time!AJ46&gt;0,Time!AJ45*AI44/Time!AJ46,0)+IF(Time!AI34=1,AI47,AI45)*AJ11,0)</f>
        <v>8.33547927999137</v>
      </c>
      <c r="AJ120" s="13" t="n">
        <f aca="false">IF(AND(Time!AJ20&gt;=Time!$F$12,Time!AK20&gt;0),(IF(Time!AJ34=1,AJ47,AJ45)-AJ44)*AK19+IF(Time!AK46&gt;0,Time!AK45*AJ44/Time!AK46,0)+IF(Time!AJ34=1,AJ47,AJ45)*AK11,0)</f>
        <v>8.28766000242156</v>
      </c>
      <c r="AK120" s="13" t="n">
        <f aca="false">IF(AND(Time!AK20&gt;=Time!$F$12,Time!AL20&gt;0),(IF(Time!AK34=1,AK47,AK45)-AK44)*AL19+IF(Time!AL46&gt;0,Time!AL45*AK44/Time!AL46,0)+IF(Time!AK34=1,AK47,AK45)*AL11,0)</f>
        <v>8.38844384038816</v>
      </c>
      <c r="AL120" s="13" t="n">
        <f aca="false">IF(AND(Time!AL20&gt;=Time!$F$12,Time!AM20&gt;0),(IF(Time!AL34=1,AL47,AL45)-AL44)*AM19+IF(Time!AM46&gt;0,Time!AM45*AL44/Time!AM46,0)+IF(Time!AL34=1,AL47,AL45)*AM11,0)</f>
        <v>8.4630559041765</v>
      </c>
      <c r="AM120" s="13" t="n">
        <f aca="false">IF(AND(Time!AM20&gt;=Time!$F$12,Time!AN20&gt;0),(IF(Time!AM34=1,AM47,AM45)-AM44)*AN19+IF(Time!AN46&gt;0,Time!AN45*AM44/Time!AN46,0)+IF(Time!AM34=1,AM47,AM45)*AN11,0)</f>
        <v>8.5816646279369</v>
      </c>
      <c r="AN120" s="13" t="n">
        <f aca="false">IF(AND(Time!AN20&gt;=Time!$F$12,Time!AO20&gt;0),(IF(Time!AN34=1,AN47,AN45)-AN44)*AO19+IF(Time!AO46&gt;0,Time!AO45*AN44/Time!AO46,0)+IF(Time!AN34=1,AN47,AN45)*AO11,0)</f>
        <v>8.11196832040745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0</v>
      </c>
      <c r="P121" s="13" t="n">
        <f aca="false">IF(AND(Time!P20&gt;=Time!$F$12,Time!Q20&gt;0),(IF(Time!P34=1,P61,P59)-P58)*Q19+IF(Time!Q46&gt;0,Time!Q45*P58/Time!Q46,0)+IF(Time!P34=1,P61,P59)*Q12,0)</f>
        <v>3.65085051676114</v>
      </c>
      <c r="Q121" s="13" t="n">
        <f aca="false">IF(AND(Time!Q20&gt;=Time!$F$12,Time!R20&gt;0),(IF(Time!Q34=1,Q61,Q59)-Q58)*R19+IF(Time!R46&gt;0,Time!R45*Q58/Time!R46,0)+IF(Time!Q34=1,Q61,Q59)*R12,0)</f>
        <v>3.63196152896431</v>
      </c>
      <c r="R121" s="13" t="n">
        <f aca="false">IF(AND(Time!R20&gt;=Time!$F$12,Time!S20&gt;0),(IF(Time!R34=1,R61,R59)-R58)*S19+IF(Time!S46&gt;0,Time!S45*R58/Time!S46,0)+IF(Time!R34=1,R61,R59)*S12,0)</f>
        <v>3.60712899440631</v>
      </c>
      <c r="S121" s="13" t="n">
        <f aca="false">IF(AND(Time!S20&gt;=Time!$F$12,Time!T20&gt;0),(IF(Time!S34=1,S61,S59)-S58)*T19+IF(Time!T46&gt;0,Time!T45*S58/Time!T46,0)+IF(Time!S34=1,S61,S59)*T12,0)</f>
        <v>3.66170290015725</v>
      </c>
      <c r="T121" s="13" t="n">
        <f aca="false">IF(AND(Time!T20&gt;=Time!$F$12,Time!U20&gt;0),(IF(Time!T34=1,T61,T59)-T58)*U19+IF(Time!U46&gt;0,Time!U45*T58/Time!U46,0)+IF(Time!T34=1,T61,T59)*U12,0)</f>
        <v>3.63248851782982</v>
      </c>
      <c r="U121" s="13" t="n">
        <f aca="false">IF(AND(Time!U20&gt;=Time!$F$12,Time!V20&gt;0),(IF(Time!U34=1,U61,U59)-U58)*V19+IF(Time!V46&gt;0,Time!V45*U58/Time!V46,0)+IF(Time!U34=1,U61,U59)*V12,0)</f>
        <v>3.67511616690095</v>
      </c>
      <c r="V121" s="13" t="n">
        <f aca="false">IF(AND(Time!V20&gt;=Time!$F$12,Time!W20&gt;0),(IF(Time!V34=1,V61,V59)-V58)*W19+IF(Time!W46&gt;0,Time!W45*V58/Time!W46,0)+IF(Time!V34=1,V61,V59)*W12,0)</f>
        <v>3.68934985435001</v>
      </c>
      <c r="W121" s="13" t="n">
        <f aca="false">IF(AND(Time!W20&gt;=Time!$F$12,Time!X20&gt;0),(IF(Time!W34=1,W61,W59)-W58)*X19+IF(Time!X46&gt;0,Time!X45*W58/Time!X46,0)+IF(Time!W34=1,W61,W59)*X12,0)</f>
        <v>3.74232149030241</v>
      </c>
      <c r="X121" s="13" t="n">
        <f aca="false">IF(AND(Time!X20&gt;=Time!$F$12,Time!Y20&gt;0),(IF(Time!X34=1,X61,X59)-X58)*Y19+IF(Time!Y46&gt;0,Time!Y45*X58/Time!Y46,0)+IF(Time!X34=1,X61,X59)*Y12,0)</f>
        <v>3.49747506380684</v>
      </c>
      <c r="Y121" s="13" t="n">
        <f aca="false">IF(AND(Time!Y20&gt;=Time!$F$12,Time!Z20&gt;0),(IF(Time!Y34=1,Y61,Y59)-Y58)*Z19+IF(Time!Z46&gt;0,Time!Z45*Y58/Time!Z46,0)+IF(Time!Y34=1,Y61,Y59)*Z12,0)</f>
        <v>3.54981769236732</v>
      </c>
      <c r="Z121" s="13" t="n">
        <f aca="false">IF(AND(Time!Z20&gt;=Time!$F$12,Time!AA20&gt;0),(IF(Time!Z34=1,Z61,Z59)-Z58)*AA19+IF(Time!AA46&gt;0,Time!AA45*Z58/Time!AA46,0)+IF(Time!Z34=1,Z61,Z59)*AA12,0)</f>
        <v>3.50102849636896</v>
      </c>
      <c r="AA121" s="13" t="n">
        <f aca="false">IF(AND(Time!AA20&gt;=Time!$F$12,Time!AB20&gt;0),(IF(Time!AA34=1,AA61,AA59)-AA58)*AB19+IF(Time!AB46&gt;0,Time!AB45*AA58/Time!AB46,0)+IF(Time!AA34=1,AA61,AA59)*AB12,0)</f>
        <v>3.55646678420085</v>
      </c>
      <c r="AB121" s="13" t="n">
        <f aca="false">IF(AND(Time!AB20&gt;=Time!$F$12,Time!AC20&gt;0),(IF(Time!AB34=1,AB61,AB59)-AB58)*AC19+IF(Time!AC46&gt;0,Time!AC45*AB58/Time!AC46,0)+IF(Time!AB34=1,AB61,AB59)*AC12,0)</f>
        <v>3.53172382379798</v>
      </c>
      <c r="AC121" s="13" t="n">
        <f aca="false">IF(AND(Time!AC20&gt;=Time!$F$12,Time!AD20&gt;0),(IF(Time!AC34=1,AC61,AC59)-AC58)*AD19+IF(Time!AD46&gt;0,Time!AD45*AC58/Time!AD46,0)+IF(Time!AC34=1,AC61,AC59)*AD12,0)</f>
        <v>3.57795918535065</v>
      </c>
      <c r="AD121" s="13" t="n">
        <f aca="false">IF(AND(Time!AD20&gt;=Time!$F$12,Time!AE20&gt;0),(IF(Time!AD34=1,AD61,AD59)-AD58)*AE19+IF(Time!AE46&gt;0,Time!AE45*AD58/Time!AE46,0)+IF(Time!AD34=1,AD61,AD59)*AE12,0)</f>
        <v>3.67215204855013</v>
      </c>
      <c r="AE121" s="13" t="n">
        <f aca="false">IF(AND(Time!AE20&gt;=Time!$F$12,Time!AF20&gt;0),(IF(Time!AE34=1,AE61,AE59)-AE58)*AF19+IF(Time!AF46&gt;0,Time!AF45*AE58/Time!AF46,0)+IF(Time!AE34=1,AE61,AE59)*AF12,0)</f>
        <v>3.74303538244553</v>
      </c>
      <c r="AF121" s="13" t="n">
        <f aca="false">IF(AND(Time!AF20&gt;=Time!$F$12,Time!AG20&gt;0),(IF(Time!AF34=1,AF61,AF59)-AF58)*AG19+IF(Time!AG46&gt;0,Time!AG45*AF58/Time!AG46,0)+IF(Time!AF34=1,AF61,AF59)*AG12,0)</f>
        <v>3.65711644354416</v>
      </c>
      <c r="AG121" s="13" t="n">
        <f aca="false">IF(AND(Time!AG20&gt;=Time!$F$12,Time!AH20&gt;0),(IF(Time!AG34=1,AG61,AG59)-AG58)*AH19+IF(Time!AH46&gt;0,Time!AH45*AG58/Time!AH46,0)+IF(Time!AG34=1,AG61,AG59)*AH12,0)</f>
        <v>3.72257893342901</v>
      </c>
      <c r="AH121" s="13" t="n">
        <f aca="false">IF(AND(Time!AH20&gt;=Time!$F$12,Time!AI20&gt;0),(IF(Time!AH34=1,AH61,AH59)-AH58)*AI19+IF(Time!AI46&gt;0,Time!AI45*AH58/Time!AI46,0)+IF(Time!AH34=1,AH61,AH59)*AI12,0)</f>
        <v>3.70408498409379</v>
      </c>
      <c r="AI121" s="13" t="n">
        <f aca="false">IF(AND(Time!AI20&gt;=Time!$F$12,Time!AJ20&gt;0),(IF(Time!AI34=1,AI61,AI59)-AI58)*AJ19+IF(Time!AJ46&gt;0,Time!AJ45*AI58/Time!AJ46,0)+IF(Time!AI34=1,AI61,AI59)*AJ12,0)</f>
        <v>3.76292545364335</v>
      </c>
      <c r="AJ121" s="13" t="n">
        <f aca="false">IF(AND(Time!AJ20&gt;=Time!$F$12,Time!AK20&gt;0),(IF(Time!AJ34=1,AJ61,AJ59)-AJ58)*AK19+IF(Time!AK46&gt;0,Time!AK45*AJ58/Time!AK46,0)+IF(Time!AJ34=1,AJ61,AJ59)*AK12,0)</f>
        <v>3.7453725027535</v>
      </c>
      <c r="AK121" s="13" t="n">
        <f aca="false">IF(AND(Time!AK20&gt;=Time!$F$12,Time!AL20&gt;0),(IF(Time!AK34=1,AK61,AK59)-AK58)*AL19+IF(Time!AL46&gt;0,Time!AL45*AK58/Time!AL46,0)+IF(Time!AK34=1,AK61,AK59)*AL12,0)</f>
        <v>3.7950054657175</v>
      </c>
      <c r="AL121" s="13" t="n">
        <f aca="false">IF(AND(Time!AL20&gt;=Time!$F$12,Time!AM20&gt;0),(IF(Time!AL34=1,AL61,AL59)-AL58)*AM19+IF(Time!AM46&gt;0,Time!AM45*AL58/Time!AM46,0)+IF(Time!AL34=1,AL61,AL59)*AM12,0)</f>
        <v>3.83339482906943</v>
      </c>
      <c r="AM121" s="13" t="n">
        <f aca="false">IF(AND(Time!AM20&gt;=Time!$F$12,Time!AN20&gt;0),(IF(Time!AM34=1,AM61,AM59)-AM58)*AN19+IF(Time!AN46&gt;0,Time!AN45*AM58/Time!AN46,0)+IF(Time!AM34=1,AM61,AM59)*AN12,0)</f>
        <v>3.89153503178388</v>
      </c>
      <c r="AN121" s="13" t="n">
        <f aca="false">IF(AND(Time!AN20&gt;=Time!$F$12,Time!AO20&gt;0),(IF(Time!AN34=1,AN61,AN59)-AN58)*AO19+IF(Time!AO46&gt;0,Time!AO45*AN58/Time!AO46,0)+IF(Time!AN34=1,AN61,AN59)*AO12,0)</f>
        <v>3.68277621111315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0</v>
      </c>
      <c r="P122" s="13" t="n">
        <f aca="false">IF(AND(Time!P20&gt;=Time!$F$12,Time!Q20&gt;0),(IF(Time!P34=1,P75,P73)-P72)*Q19+IF(Time!Q46&gt;0,Time!Q45*P72/Time!Q46,0)+IF(Time!P34=1,P75,P73)*Q13,0)</f>
        <v>15.6893823477377</v>
      </c>
      <c r="Q122" s="13" t="n">
        <f aca="false">IF(AND(Time!Q20&gt;=Time!$F$12,Time!R20&gt;0),(IF(Time!Q34=1,Q75,Q73)-Q72)*R19+IF(Time!R46&gt;0,Time!R45*Q72/Time!R46,0)+IF(Time!Q34=1,Q75,Q73)*R13,0)</f>
        <v>15.548777678858</v>
      </c>
      <c r="R122" s="13" t="n">
        <f aca="false">IF(AND(Time!R20&gt;=Time!$F$12,Time!S20&gt;0),(IF(Time!R34=1,R75,R73)-R72)*S19+IF(Time!S46&gt;0,Time!S45*R72/Time!S46,0)+IF(Time!R34=1,R75,R73)*S13,0)</f>
        <v>15.3801908733935</v>
      </c>
      <c r="S122" s="13" t="n">
        <f aca="false">IF(AND(Time!S20&gt;=Time!$F$12,Time!T20&gt;0),(IF(Time!S34=1,S75,S73)-S72)*T19+IF(Time!T46&gt;0,Time!T45*S72/Time!T46,0)+IF(Time!S34=1,S75,S73)*T13,0)</f>
        <v>15.5658144402969</v>
      </c>
      <c r="T122" s="13" t="n">
        <f aca="false">IF(AND(Time!T20&gt;=Time!$F$12,Time!U20&gt;0),(IF(Time!T34=1,T75,T73)-T72)*U19+IF(Time!U46&gt;0,Time!U45*T72/Time!U46,0)+IF(Time!T34=1,T75,T73)*U13,0)</f>
        <v>15.3856079562456</v>
      </c>
      <c r="U122" s="13" t="n">
        <f aca="false">IF(AND(Time!U20&gt;=Time!$F$12,Time!V20&gt;0),(IF(Time!U34=1,U75,U73)-U72)*V19+IF(Time!V46&gt;0,Time!V45*U72/Time!V46,0)+IF(Time!U34=1,U75,U73)*V13,0)</f>
        <v>15.5117203478038</v>
      </c>
      <c r="V122" s="13" t="n">
        <f aca="false">IF(AND(Time!V20&gt;=Time!$F$12,Time!W20&gt;0),(IF(Time!V34=1,V75,V73)-V72)*W19+IF(Time!W46&gt;0,Time!W45*V72/Time!W46,0)+IF(Time!V34=1,V75,V73)*W13,0)</f>
        <v>15.4858072939564</v>
      </c>
      <c r="W122" s="13" t="n">
        <f aca="false">IF(AND(Time!W20&gt;=Time!$F$12,Time!X20&gt;0),(IF(Time!W34=1,W75,W73)-W72)*X19+IF(Time!X46&gt;0,Time!X45*W72/Time!X46,0)+IF(Time!W34=1,W75,W73)*X13,0)</f>
        <v>15.6526230597379</v>
      </c>
      <c r="X122" s="13" t="n">
        <f aca="false">IF(AND(Time!X20&gt;=Time!$F$12,Time!Y20&gt;0),(IF(Time!X34=1,X75,X73)-X72)*Y19+IF(Time!Y46&gt;0,Time!Y45*X72/Time!Y46,0)+IF(Time!X34=1,X75,X73)*Y13,0)</f>
        <v>15.136905769018</v>
      </c>
      <c r="Y122" s="13" t="n">
        <f aca="false">IF(AND(Time!Y20&gt;=Time!$F$12,Time!Z20&gt;0),(IF(Time!Y34=1,Y75,Y73)-Y72)*Z19+IF(Time!Z46&gt;0,Time!Z45*Y72/Time!Z46,0)+IF(Time!Y34=1,Y75,Y73)*Z13,0)</f>
        <v>15.2881640955293</v>
      </c>
      <c r="Z122" s="13" t="n">
        <f aca="false">IF(AND(Time!Z20&gt;=Time!$F$12,Time!AA20&gt;0),(IF(Time!Z34=1,Z75,Z73)-Z72)*AA19+IF(Time!AA46&gt;0,Time!AA45*Z72/Time!AA46,0)+IF(Time!Z34=1,Z75,Z73)*AA13,0)</f>
        <v>14.9928434507256</v>
      </c>
      <c r="AA122" s="13" t="n">
        <f aca="false">IF(AND(Time!AA20&gt;=Time!$F$12,Time!AB20&gt;0),(IF(Time!AA34=1,AA75,AA73)-AA72)*AB19+IF(Time!AB46&gt;0,Time!AB45*AA72/Time!AB46,0)+IF(Time!AA34=1,AA75,AA73)*AB13,0)</f>
        <v>15.1478609050496</v>
      </c>
      <c r="AB122" s="13" t="n">
        <f aca="false">IF(AND(Time!AB20&gt;=Time!$F$12,Time!AC20&gt;0),(IF(Time!AB34=1,AB75,AB73)-AB72)*AC19+IF(Time!AC46&gt;0,Time!AC45*AB72/Time!AC46,0)+IF(Time!AB34=1,AB75,AB73)*AC13,0)</f>
        <v>14.4018117215692</v>
      </c>
      <c r="AC122" s="13" t="n">
        <f aca="false">IF(AND(Time!AC20&gt;=Time!$F$12,Time!AD20&gt;0),(IF(Time!AC34=1,AC75,AC73)-AC72)*AD19+IF(Time!AD46&gt;0,Time!AD45*AC72/Time!AD46,0)+IF(Time!AC34=1,AC75,AC73)*AD13,0)</f>
        <v>13.8143250745315</v>
      </c>
      <c r="AD122" s="13" t="n">
        <f aca="false">IF(AND(Time!AD20&gt;=Time!$F$12,Time!AE20&gt;0),(IF(Time!AD34=1,AD75,AD73)-AD72)*AE19+IF(Time!AE46&gt;0,Time!AE45*AD72/Time!AE46,0)+IF(Time!AD34=1,AD75,AD73)*AE13,0)</f>
        <v>13.2887139644044</v>
      </c>
      <c r="AE122" s="13" t="n">
        <f aca="false">IF(AND(Time!AE20&gt;=Time!$F$12,Time!AF20&gt;0),(IF(Time!AE34=1,AE75,AE73)-AE72)*AF19+IF(Time!AF46&gt;0,Time!AF45*AE72/Time!AF46,0)+IF(Time!AE34=1,AE75,AE73)*AF13,0)</f>
        <v>12.6208910438517</v>
      </c>
      <c r="AF122" s="13" t="n">
        <f aca="false">IF(AND(Time!AF20&gt;=Time!$F$12,Time!AG20&gt;0),(IF(Time!AF34=1,AF75,AF73)-AF72)*AG19+IF(Time!AG46&gt;0,Time!AG45*AF72/Time!AG46,0)+IF(Time!AF34=1,AF75,AF73)*AG13,0)</f>
        <v>11.5054761363459</v>
      </c>
      <c r="AG122" s="13" t="n">
        <f aca="false">IF(AND(Time!AG20&gt;=Time!$F$12,Time!AH20&gt;0),(IF(Time!AG34=1,AG75,AG73)-AG72)*AH19+IF(Time!AH46&gt;0,Time!AH45*AG72/Time!AH46,0)+IF(Time!AG34=1,AG75,AG73)*AH13,0)</f>
        <v>10.326925067504</v>
      </c>
      <c r="AH122" s="13" t="n">
        <f aca="false">IF(AND(Time!AH20&gt;=Time!$F$12,Time!AI20&gt;0),(IF(Time!AH34=1,AH75,AH73)-AH72)*AI19+IF(Time!AI46&gt;0,Time!AI45*AH72/Time!AI46,0)+IF(Time!AH34=1,AH75,AH73)*AI13,0)</f>
        <v>8.75527927561628</v>
      </c>
      <c r="AI122" s="13" t="n">
        <f aca="false">IF(AND(Time!AI20&gt;=Time!$F$12,Time!AJ20&gt;0),(IF(Time!AI34=1,AI75,AI73)-AI72)*AJ19+IF(Time!AJ46&gt;0,Time!AJ45*AI72/Time!AJ46,0)+IF(Time!AI34=1,AI75,AI73)*AJ13,0)</f>
        <v>6.99372949879732</v>
      </c>
      <c r="AJ122" s="13" t="n">
        <f aca="false">IF(AND(Time!AJ20&gt;=Time!$F$12,Time!AK20&gt;0),(IF(Time!AJ34=1,AJ75,AJ73)-AJ72)*AK19+IF(Time!AK46&gt;0,Time!AK45*AJ72/Time!AK46,0)+IF(Time!AJ34=1,AJ75,AJ73)*AK13,0)</f>
        <v>4.69918446933947</v>
      </c>
      <c r="AK122" s="13" t="n">
        <f aca="false">IF(AND(Time!AK20&gt;=Time!$F$12,Time!AL20&gt;0),(IF(Time!AK34=1,AK75,AK73)-AK72)*AL19+IF(Time!AL46&gt;0,Time!AL45*AK72/Time!AL46,0)+IF(Time!AK34=1,AK75,AK73)*AL13,0)</f>
        <v>1.73132261950689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</v>
      </c>
      <c r="P123" s="13" t="n">
        <f aca="false">IF(AND(Time!P20&gt;=Time!$F$12,Time!Q20&gt;0),(IF(Time!P34=1,P89,P87)-P86)*Q19+IF(Time!Q46&gt;0,Time!Q45*P86/Time!Q46,0)+IF(Time!P34=1,P89,P87)*Q14,0)</f>
        <v>0.74720595550752</v>
      </c>
      <c r="Q123" s="13" t="n">
        <f aca="false">IF(AND(Time!Q20&gt;=Time!$F$12,Time!R20&gt;0),(IF(Time!Q34=1,Q89,Q87)-Q86)*R19+IF(Time!R46&gt;0,Time!R45*Q86/Time!R46,0)+IF(Time!Q34=1,Q89,Q87)*R14,0)</f>
        <v>0.740906586176833</v>
      </c>
      <c r="R123" s="13" t="n">
        <f aca="false">IF(AND(Time!R20&gt;=Time!$F$12,Time!S20&gt;0),(IF(Time!R34=1,R89,R87)-R86)*S19+IF(Time!S46&gt;0,Time!S45*R86/Time!S46,0)+IF(Time!R34=1,R89,R87)*S14,0)</f>
        <v>0.733276205114495</v>
      </c>
      <c r="S123" s="13" t="n">
        <f aca="false">IF(AND(Time!S20&gt;=Time!$F$12,Time!T20&gt;0),(IF(Time!S34=1,S89,S87)-S86)*T19+IF(Time!T46&gt;0,Time!T45*S86/Time!T46,0)+IF(Time!S34=1,S89,S87)*T14,0)</f>
        <v>0.742443337537256</v>
      </c>
      <c r="T123" s="13" t="n">
        <f aca="false">IF(AND(Time!T20&gt;=Time!$F$12,Time!U20&gt;0),(IF(Time!T34=1,T89,T87)-T86)*U19+IF(Time!U46&gt;0,Time!U45*T86/Time!U46,0)+IF(Time!T34=1,T89,T87)*U14,0)</f>
        <v>0.734226674778465</v>
      </c>
      <c r="U123" s="13" t="n">
        <f aca="false">IF(AND(Time!U20&gt;=Time!$F$12,Time!V20&gt;0),(IF(Time!U34=1,U89,U87)-U86)*V19+IF(Time!V46&gt;0,Time!V45*U86/Time!V46,0)+IF(Time!U34=1,U89,U87)*V14,0)</f>
        <v>0.740614297654995</v>
      </c>
      <c r="V123" s="13" t="n">
        <f aca="false">IF(AND(Time!V20&gt;=Time!$F$12,Time!W20&gt;0),(IF(Time!V34=1,V89,V87)-V86)*W19+IF(Time!W46&gt;0,Time!W45*V86/Time!W46,0)+IF(Time!V34=1,V89,V87)*W14,0)</f>
        <v>0.739962491047365</v>
      </c>
      <c r="W123" s="13" t="n">
        <f aca="false">IF(AND(Time!W20&gt;=Time!$F$12,Time!X20&gt;0),(IF(Time!W34=1,W89,W87)-W86)*X19+IF(Time!X46&gt;0,Time!X45*W86/Time!X46,0)+IF(Time!W34=1,W89,W87)*X14,0)</f>
        <v>0.748313639643853</v>
      </c>
      <c r="X123" s="13" t="n">
        <f aca="false">IF(AND(Time!X20&gt;=Time!$F$12,Time!Y20&gt;0),(IF(Time!X34=1,X89,X87)-X86)*Y19+IF(Time!Y46&gt;0,Time!Y45*X86/Time!Y46,0)+IF(Time!X34=1,X89,X87)*Y14,0)</f>
        <v>0.714264486240958</v>
      </c>
      <c r="Y123" s="13" t="n">
        <f aca="false">IF(AND(Time!Y20&gt;=Time!$F$12,Time!Z20&gt;0),(IF(Time!Y34=1,Y89,Y87)-Y86)*Z19+IF(Time!Z46&gt;0,Time!Z45*Y86/Time!Z46,0)+IF(Time!Y34=1,Y89,Y87)*Z14,0)</f>
        <v>0.722112946433691</v>
      </c>
      <c r="Z123" s="13" t="n">
        <f aca="false">IF(AND(Time!Z20&gt;=Time!$F$12,Time!AA20&gt;0),(IF(Time!Z34=1,Z89,Z87)-Z86)*AA19+IF(Time!AA46&gt;0,Time!AA45*Z86/Time!AA46,0)+IF(Time!Z34=1,Z89,Z87)*AA14,0)</f>
        <v>0.708972630673163</v>
      </c>
      <c r="AA123" s="13" t="n">
        <f aca="false">IF(AND(Time!AA20&gt;=Time!$F$12,Time!AB20&gt;0),(IF(Time!AA34=1,AA89,AA87)-AA86)*AB19+IF(Time!AB46&gt;0,Time!AB45*AA86/Time!AB46,0)+IF(Time!AA34=1,AA89,AA87)*AB14,0)</f>
        <v>0.717089515526658</v>
      </c>
      <c r="AB123" s="13" t="n">
        <f aca="false">IF(AND(Time!AB20&gt;=Time!$F$12,Time!AC20&gt;0),(IF(Time!AB34=1,AB89,AB87)-AB86)*AC19+IF(Time!AC46&gt;0,Time!AC45*AB86/Time!AC46,0)+IF(Time!AB34=1,AB89,AB87)*AC14,0)</f>
        <v>0.708585050391645</v>
      </c>
      <c r="AC123" s="13" t="n">
        <f aca="false">IF(AND(Time!AC20&gt;=Time!$F$12,Time!AD20&gt;0),(IF(Time!AC34=1,AC89,AC87)-AC86)*AD19+IF(Time!AD46&gt;0,Time!AD45*AC86/Time!AD46,0)+IF(Time!AC34=1,AC89,AC87)*AD14,0)</f>
        <v>0.714335661396265</v>
      </c>
      <c r="AD123" s="13" t="n">
        <f aca="false">IF(AND(Time!AD20&gt;=Time!$F$12,Time!AE20&gt;0),(IF(Time!AD34=1,AD89,AD87)-AD86)*AE19+IF(Time!AE46&gt;0,Time!AE45*AD86/Time!AE46,0)+IF(Time!AD34=1,AD89,AD87)*AE14,0)</f>
        <v>0.727291184439288</v>
      </c>
      <c r="AE123" s="13" t="n">
        <f aca="false">IF(AND(Time!AE20&gt;=Time!$F$12,Time!AF20&gt;0),(IF(Time!AE34=1,AE89,AE87)-AE86)*AF19+IF(Time!AF46&gt;0,Time!AF45*AE86/Time!AF46,0)+IF(Time!AE34=1,AE89,AE87)*AF14,0)</f>
        <v>0.737336808599386</v>
      </c>
      <c r="AF123" s="13" t="n">
        <f aca="false">IF(AND(Time!AF20&gt;=Time!$F$12,Time!AG20&gt;0),(IF(Time!AF34=1,AF89,AF87)-AF86)*AG19+IF(Time!AG46&gt;0,Time!AG45*AF86/Time!AG46,0)+IF(Time!AF34=1,AF89,AF87)*AG14,0)</f>
        <v>0.725626634564957</v>
      </c>
      <c r="AG123" s="13" t="n">
        <f aca="false">IF(AND(Time!AG20&gt;=Time!$F$12,Time!AH20&gt;0),(IF(Time!AG34=1,AG89,AG87)-AG86)*AH19+IF(Time!AH46&gt;0,Time!AH45*AG86/Time!AH46,0)+IF(Time!AG34=1,AG89,AG87)*AH14,0)</f>
        <v>0.733602813649982</v>
      </c>
      <c r="AH123" s="13" t="n">
        <f aca="false">IF(AND(Time!AH20&gt;=Time!$F$12,Time!AI20&gt;0),(IF(Time!AH34=1,AH89,AH87)-AH86)*AI19+IF(Time!AI46&gt;0,Time!AI45*AH86/Time!AI46,0)+IF(Time!AH34=1,AH89,AH87)*AI14,0)</f>
        <v>0.724304401566623</v>
      </c>
      <c r="AI123" s="13" t="n">
        <f aca="false">IF(AND(Time!AI20&gt;=Time!$F$12,Time!AJ20&gt;0),(IF(Time!AI34=1,AI89,AI87)-AI86)*AJ19+IF(Time!AJ46&gt;0,Time!AJ45*AI86/Time!AJ46,0)+IF(Time!AI34=1,AI89,AI87)*AJ14,0)</f>
        <v>0.730476653300646</v>
      </c>
      <c r="AJ123" s="13" t="n">
        <f aca="false">IF(AND(Time!AJ20&gt;=Time!$F$12,Time!AK20&gt;0),(IF(Time!AJ34=1,AJ89,AJ87)-AJ86)*AK19+IF(Time!AK46&gt;0,Time!AK45*AJ86/Time!AK46,0)+IF(Time!AJ34=1,AJ89,AJ87)*AK14,0)</f>
        <v>0.721275717028286</v>
      </c>
      <c r="AK123" s="13" t="n">
        <f aca="false">IF(AND(Time!AK20&gt;=Time!$F$12,Time!AL20&gt;0),(IF(Time!AK34=1,AK89,AK87)-AK86)*AL19+IF(Time!AL46&gt;0,Time!AL45*AK86/Time!AL46,0)+IF(Time!AK34=1,AK89,AK87)*AL14,0)</f>
        <v>0.724971759289851</v>
      </c>
      <c r="AL123" s="13" t="n">
        <f aca="false">IF(AND(Time!AL20&gt;=Time!$F$12,Time!AM20&gt;0),(IF(Time!AL34=1,AL89,AL87)-AL86)*AM19+IF(Time!AM46&gt;0,Time!AM45*AL86/Time!AM46,0)+IF(Time!AL34=1,AL89,AL87)*AM14,0)</f>
        <v>0.725664802251167</v>
      </c>
      <c r="AM123" s="13" t="n">
        <f aca="false">IF(AND(Time!AM20&gt;=Time!$F$12,Time!AN20&gt;0),(IF(Time!AM34=1,AM89,AM87)-AM86)*AN19+IF(Time!AN46&gt;0,Time!AN45*AM86/Time!AN46,0)+IF(Time!AM34=1,AM89,AM87)*AN14,0)</f>
        <v>0.730351061122817</v>
      </c>
      <c r="AN123" s="13" t="n">
        <f aca="false">IF(AND(Time!AN20&gt;=Time!$F$12,Time!AO20&gt;0),(IF(Time!AN34=1,AN89,AN87)-AN86)*AO19+IF(Time!AO46&gt;0,Time!AO45*AN86/Time!AO46,0)+IF(Time!AN34=1,AN89,AN87)*AO14,0)</f>
        <v>0.685117846735819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0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38.0784785636733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37.7221331542987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37.5281545531907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37.9631538733717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37.7082706244657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38.0579949845098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38.2693400178687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38.6972519091503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36.7718089512955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37.1877837069667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36.7104052003812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37.1612974018912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36.323720837837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35.9825575861707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36.1463485576696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35.8732543986906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34.3015552238063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33.493525357374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31.8806470075549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30.4693741033023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28.1251950522687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25.4904627806169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24.1195799082983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24.594162490729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23.3953259137427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0.0340300985157095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0.0344046585717576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0.034044818631477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0.034419605928705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0.0341707768134305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0.0344213382870775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0.0340481206597595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0.034424154582161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0.0351089191733648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0.0355024422993928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0.0351106150861421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0.0355050452135657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0.0352444342252069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0.0355091470368549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0.0351194821948828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0.0355189054525776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0.0361869206689197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0.0366068669372685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0.0361965986230273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0.0366226552896609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0.0363539549157408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0.0366542689108334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0.036256750976446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0.0367520611559467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0.0362935197190185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0</v>
      </c>
      <c r="Q128" s="13" t="n">
        <f aca="false">IF(Time!Q53=1,(Waterfall!Q7+R128)/(1+Q127),0)</f>
        <v>828.315110914047</v>
      </c>
      <c r="R128" s="13" t="n">
        <f aca="false">IF(Time!R53=1,(Waterfall!R7+S128)/(1+R127),0)</f>
        <v>807.650271402132</v>
      </c>
      <c r="S128" s="13" t="n">
        <f aca="false">IF(Time!S53=1,(Waterfall!S7+T128)/(1+S127),0)</f>
        <v>785.554537540601</v>
      </c>
      <c r="T128" s="13" t="n">
        <f aca="false">IF(Time!T53=1,(Waterfall!T7+U128)/(1+T127),0)</f>
        <v>762.676741114606</v>
      </c>
      <c r="U128" s="13" t="n">
        <f aca="false">IF(Time!U53=1,(Waterfall!U7+V128)/(1+U127),0)</f>
        <v>738.726867141622</v>
      </c>
      <c r="V128" s="13" t="n">
        <f aca="false">IF(Time!V53=1,(Waterfall!V7+W128)/(1+V127),0)</f>
        <v>714.109379731981</v>
      </c>
      <c r="W128" s="13" t="n">
        <f aca="false">IF(Time!W53=1,(Waterfall!W7+X128)/(1+W127),0)</f>
        <v>688.365108797572</v>
      </c>
      <c r="X128" s="13" t="n">
        <f aca="false">IF(Time!X53=1,(Waterfall!X7+Y128)/(1+X127),0)</f>
        <v>661.203298458011</v>
      </c>
      <c r="Y128" s="13" t="n">
        <f aca="false">IF(Time!Y53=1,(Waterfall!Y7+Z128)/(1+Y127),0)</f>
        <v>632.796357939439</v>
      </c>
      <c r="Z128" s="13" t="n">
        <f aca="false">IF(Time!Z53=1,(Waterfall!Z7+AA128)/(1+Z127),0)</f>
        <v>606.394441701866</v>
      </c>
      <c r="AA128" s="13" t="n">
        <f aca="false">IF(Time!AA53=1,(Waterfall!AA7+AB128)/(1+AA127),0)</f>
        <v>578.751343113839</v>
      </c>
      <c r="AB128" s="13" t="n">
        <f aca="false">IF(Time!AB53=1,(Waterfall!AB7+AC128)/(1+AB127),0)</f>
        <v>550.535323477795</v>
      </c>
      <c r="AC128" s="13" t="n">
        <f aca="false">IF(Time!AC53=1,(Waterfall!AC7+AD128)/(1+AC127),0)</f>
        <v>520.947132195267</v>
      </c>
      <c r="AD128" s="13" t="n">
        <f aca="false">IF(Time!AD53=1,(Waterfall!AD7+AE128)/(1+AD127),0)</f>
        <v>490.522255019419</v>
      </c>
      <c r="AE128" s="13" t="n">
        <f aca="false">IF(Time!AE53=1,(Waterfall!AE7+AF128)/(1+AE127),0)</f>
        <v>458.651199133555</v>
      </c>
      <c r="AF128" s="13" t="n">
        <f aca="false">IF(Time!AF53=1,(Waterfall!AF7+AG128)/(1+AF127),0)</f>
        <v>424.206664081688</v>
      </c>
      <c r="AG128" s="13" t="n">
        <f aca="false">IF(Time!AG53=1,(Waterfall!AG7+AH128)/(1+AG127),0)</f>
        <v>387.910590291497</v>
      </c>
      <c r="AH128" s="13" t="n">
        <f aca="false">IF(Time!AH53=1,(Waterfall!AH7+AI128)/(1+AH127),0)</f>
        <v>351.352585638404</v>
      </c>
      <c r="AI128" s="13" t="n">
        <f aca="false">IF(Time!AI53=1,(Waterfall!AI7+AJ128)/(1+AI127),0)</f>
        <v>312.908065573025</v>
      </c>
      <c r="AJ128" s="13" t="n">
        <f aca="false">IF(Time!AJ53=1,(Waterfall!AJ7+AK128)/(1+AJ127),0)</f>
        <v>273.26750516505</v>
      </c>
      <c r="AK128" s="13" t="n">
        <f aca="false">IF(Time!AK53=1,(Waterfall!AK7+AL128)/(1+AK127),0)</f>
        <v>231.686903644653</v>
      </c>
      <c r="AL128" s="13" t="n">
        <f aca="false">IF(Time!AL53=1,(Waterfall!AL7+AM128)/(1+AL127),0)</f>
        <v>188.878729689065</v>
      </c>
      <c r="AM128" s="13" t="n">
        <f aca="false">IF(Time!AM53=1,(Waterfall!AM7+AN128)/(1+AM127),0)</f>
        <v>144.064065133133</v>
      </c>
      <c r="AN128" s="13" t="n">
        <f aca="false">IF(Time!AN53=1,(Waterfall!AN7+AO128)/(1+AN127),0)</f>
        <v>97.1669739690999</v>
      </c>
      <c r="AO128" s="13" t="n">
        <f aca="false">IF(Time!AO53=1,(Waterfall!AO7+AP128)/(1+AO127),0)</f>
        <v>48.0075623937982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1.30802573193894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613.56674882522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670.607414416736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0</v>
      </c>
      <c r="Q132" s="13" t="n">
        <f aca="false">IF(Time!Q53=1,(Waterfall!Q7)/$F$129,0)</f>
        <v>37.3482594000307</v>
      </c>
      <c r="R132" s="13" t="n">
        <f aca="false">IF(Time!R53=1,(Waterfall!R7)/$F$129,0)</f>
        <v>38.1358443312622</v>
      </c>
      <c r="S132" s="13" t="n">
        <f aca="false">IF(Time!S53=1,(Waterfall!S7)/$F$129,0)</f>
        <v>37.9364541308692</v>
      </c>
      <c r="T132" s="13" t="n">
        <f aca="false">IF(Time!T53=1,(Waterfall!T7)/$F$129,0)</f>
        <v>38.3791431830033</v>
      </c>
      <c r="U132" s="13" t="n">
        <f aca="false">IF(Time!U53=1,(Waterfall!U7)/$F$129,0)</f>
        <v>38.1187900936111</v>
      </c>
      <c r="V132" s="13" t="n">
        <f aca="false">IF(Time!V53=1,(Waterfall!V7)/$F$129,0)</f>
        <v>38.473915489063</v>
      </c>
      <c r="W132" s="13" t="n">
        <f aca="false">IF(Time!W53=1,(Waterfall!W7)/$F$129,0)</f>
        <v>38.6837562796748</v>
      </c>
      <c r="X132" s="13" t="n">
        <f aca="false">IF(Time!X53=1,(Waterfall!X7)/$F$129,0)</f>
        <v>39.1187297203057</v>
      </c>
      <c r="Y132" s="13" t="n">
        <f aca="false">IF(Time!Y53=1,(Waterfall!Y7)/$F$129,0)</f>
        <v>37.1695382090066</v>
      </c>
      <c r="Z132" s="13" t="n">
        <f aca="false">IF(Time!Z53=1,(Waterfall!Z7)/$F$129,0)</f>
        <v>37.592213260462</v>
      </c>
      <c r="AA132" s="13" t="n">
        <f aca="false">IF(Time!AA53=1,(Waterfall!AA7)/$F$129,0)</f>
        <v>37.1065599778023</v>
      </c>
      <c r="AB132" s="13" t="n">
        <f aca="false">IF(Time!AB53=1,(Waterfall!AB7)/$F$129,0)</f>
        <v>37.564224949487</v>
      </c>
      <c r="AC132" s="13" t="n">
        <f aca="false">IF(Time!AC53=1,(Waterfall!AC7)/$F$129,0)</f>
        <v>37.2969452512203</v>
      </c>
      <c r="AD132" s="13" t="n">
        <f aca="false">IF(Time!AD53=1,(Waterfall!AD7)/$F$129,0)</f>
        <v>37.6820436790145</v>
      </c>
      <c r="AE132" s="13" t="n">
        <f aca="false">IF(Time!AE53=1,(Waterfall!AE7)/$F$129,0)</f>
        <v>38.6476553473949</v>
      </c>
      <c r="AF132" s="13" t="n">
        <f aca="false">IF(Time!AF53=1,(Waterfall!AF7)/$F$129,0)</f>
        <v>39.2679050036147</v>
      </c>
      <c r="AG132" s="13" t="n">
        <f aca="false">IF(Time!AG53=1,(Waterfall!AG7)/$F$129,0)</f>
        <v>38.6806567907539</v>
      </c>
      <c r="AH132" s="13" t="n">
        <f aca="false">IF(Time!AH53=1,(Waterfall!AH7)/$F$129,0)</f>
        <v>39.2243334080708</v>
      </c>
      <c r="AI132" s="13" t="n">
        <f aca="false">IF(Time!AI53=1,(Waterfall!AI7)/$F$129,0)</f>
        <v>38.9646524674093</v>
      </c>
      <c r="AJ132" s="13" t="n">
        <f aca="false">IF(Time!AJ53=1,(Waterfall!AJ7)/$F$129,0)</f>
        <v>39.4398840208218</v>
      </c>
      <c r="AK132" s="13" t="n">
        <f aca="false">IF(Time!AK53=1,(Waterfall!AK7)/$F$129,0)</f>
        <v>39.1665912636991</v>
      </c>
      <c r="AL132" s="13" t="n">
        <f aca="false">IF(Time!AL53=1,(Waterfall!AL7)/$F$129,0)</f>
        <v>39.5541731650788</v>
      </c>
      <c r="AM132" s="13" t="n">
        <f aca="false">IF(Time!AM53=1,(Waterfall!AM7)/$F$129,0)</f>
        <v>39.846606091578</v>
      </c>
      <c r="AN132" s="13" t="n">
        <f aca="false">IF(Time!AN53=1,(Waterfall!AN7)/$F$129,0)</f>
        <v>40.3130434343884</v>
      </c>
      <c r="AO132" s="13" t="n">
        <f aca="false">IF(Time!AO53=1,(Waterfall!AO7)/$F$129,0)</f>
        <v>38.0343632326354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0</v>
      </c>
      <c r="Q133" s="13" t="n">
        <f aca="false">IF(Time!Q53=1,IF(Time!Q20=Time!$F$13,Funding!$F$25,P133-P134),0)</f>
        <v>633.255975542774</v>
      </c>
      <c r="R133" s="13" t="n">
        <f aca="false">IF(Time!R53=1,IF(Time!R20=Time!$F$13,Funding!$F$25,Q133-Q134),0)</f>
        <v>617.457479376126</v>
      </c>
      <c r="S133" s="13" t="n">
        <f aca="false">IF(Time!S53=1,IF(Time!S20=Time!$F$13,Funding!$F$25,R133-R134),0)</f>
        <v>600.565048805377</v>
      </c>
      <c r="T133" s="13" t="n">
        <f aca="false">IF(Time!T53=1,IF(Time!T20=Time!$F$13,Funding!$F$25,S133-S134),0)</f>
        <v>583.074722837491</v>
      </c>
      <c r="U133" s="13" t="n">
        <f aca="false">IF(Time!U53=1,IF(Time!U20=Time!$F$13,Funding!$F$25,T133-T134),0)</f>
        <v>564.764781841543</v>
      </c>
      <c r="V133" s="13" t="n">
        <f aca="false">IF(Time!V53=1,IF(Time!V20=Time!$F$13,Funding!$F$25,U133-U134),0)</f>
        <v>545.944443060325</v>
      </c>
      <c r="W133" s="13" t="n">
        <f aca="false">IF(Time!W53=1,IF(Time!W20=Time!$F$13,Funding!$F$25,V133-V134),0)</f>
        <v>526.262665931792</v>
      </c>
      <c r="X133" s="13" t="n">
        <f aca="false">IF(Time!X53=1,IF(Time!X20=Time!$F$13,Funding!$F$25,W133-W134),0)</f>
        <v>505.497164400489</v>
      </c>
      <c r="Y133" s="13" t="n">
        <f aca="false">IF(Time!Y53=1,IF(Time!Y20=Time!$F$13,Funding!$F$25,X133-X134),0)</f>
        <v>483.77974720835</v>
      </c>
      <c r="Z133" s="13" t="n">
        <f aca="false">IF(Time!Z53=1,IF(Time!Z20=Time!$F$13,Funding!$F$25,Y133-Y134),0)</f>
        <v>463.595193041792</v>
      </c>
      <c r="AA133" s="13" t="n">
        <f aca="false">IF(Time!AA53=1,IF(Time!AA20=Time!$F$13,Funding!$F$25,Z133-Z134),0)</f>
        <v>442.461741372572</v>
      </c>
      <c r="AB133" s="13" t="n">
        <f aca="false">IF(Time!AB53=1,IF(Time!AB20=Time!$F$13,Funding!$F$25,AA133-AA134),0)</f>
        <v>420.890285286447</v>
      </c>
      <c r="AC133" s="13" t="n">
        <f aca="false">IF(Time!AC53=1,IF(Time!AC20=Time!$F$13,Funding!$F$25,AB133-AB134),0)</f>
        <v>398.269788946005</v>
      </c>
      <c r="AD133" s="13" t="n">
        <f aca="false">IF(Time!AD53=1,IF(Time!AD20=Time!$F$13,Funding!$F$25,AC133-AC134),0)</f>
        <v>375.00963707518</v>
      </c>
      <c r="AE133" s="13" t="n">
        <f aca="false">IF(Time!AE53=1,IF(Time!AE20=Time!$F$13,Funding!$F$25,AD133-AD134),0)</f>
        <v>350.643865739305</v>
      </c>
      <c r="AF133" s="13" t="n">
        <f aca="false">IF(Time!AF53=1,IF(Time!AF20=Time!$F$13,Funding!$F$25,AE133-AE134),0)</f>
        <v>324.310641391487</v>
      </c>
      <c r="AG133" s="13" t="n">
        <f aca="false">IF(Time!AG53=1,IF(Time!AG20=Time!$F$13,Funding!$F$25,AF133-AF134),0)</f>
        <v>296.561895396721</v>
      </c>
      <c r="AH133" s="13" t="n">
        <f aca="false">IF(Time!AH53=1,IF(Time!AH20=Time!$F$13,Funding!$F$25,AG133-AG134),0)</f>
        <v>268.612900388113</v>
      </c>
      <c r="AI133" s="13" t="n">
        <f aca="false">IF(Time!AI53=1,IF(Time!AI20=Time!$F$13,Funding!$F$25,AH133-AH134),0)</f>
        <v>239.221643682183</v>
      </c>
      <c r="AJ133" s="13" t="n">
        <f aca="false">IF(Time!AJ53=1,IF(Time!AJ20=Time!$F$13,Funding!$F$25,AI133-AI134),0)</f>
        <v>208.916001033079</v>
      </c>
      <c r="AK133" s="13" t="n">
        <f aca="false">IF(Time!AK53=1,IF(Time!AK20=Time!$F$13,Funding!$F$25,AJ133-AJ134),0)</f>
        <v>177.127175702586</v>
      </c>
      <c r="AL133" s="13" t="n">
        <f aca="false">IF(Time!AL53=1,IF(Time!AL20=Time!$F$13,Funding!$F$25,AK133-AK134),0)</f>
        <v>144.399857798731</v>
      </c>
      <c r="AM133" s="13" t="n">
        <f aca="false">IF(Time!AM53=1,IF(Time!AM20=Time!$F$13,Funding!$F$25,AL133-AL134),0)</f>
        <v>110.138555852093</v>
      </c>
      <c r="AN133" s="13" t="n">
        <f aca="false">IF(Time!AN53=1,IF(Time!AN20=Time!$F$13,Funding!$F$25,AM133-AM134),0)</f>
        <v>74.2852159529499</v>
      </c>
      <c r="AO133" s="13" t="n">
        <f aca="false">IF(Time!AO53=1,IF(Time!AO20=Time!$F$13,Funding!$F$25,AN133-AN134),0)</f>
        <v>36.702307318247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0</v>
      </c>
      <c r="Q134" s="13" t="n">
        <f aca="false">Q132-Q133*Q127</f>
        <v>15.7984961666484</v>
      </c>
      <c r="R134" s="13" t="n">
        <f aca="false">R132-R133*R127</f>
        <v>16.8924305707485</v>
      </c>
      <c r="S134" s="13" t="n">
        <f aca="false">S132-S133*S127</f>
        <v>17.490325967886</v>
      </c>
      <c r="T134" s="13" t="n">
        <f aca="false">T132-T133*T127</f>
        <v>18.309940995948</v>
      </c>
      <c r="U134" s="13" t="n">
        <f aca="false">U132-U133*U127</f>
        <v>18.820338781218</v>
      </c>
      <c r="V134" s="13" t="n">
        <f aca="false">V132-V133*V127</f>
        <v>19.6817771285334</v>
      </c>
      <c r="W134" s="13" t="n">
        <f aca="false">W132-W133*W127</f>
        <v>20.7655015313025</v>
      </c>
      <c r="X134" s="13" t="n">
        <f aca="false">X132-X133*X127</f>
        <v>21.7174171921392</v>
      </c>
      <c r="Y134" s="13" t="n">
        <f aca="false">Y132-Y133*Y127</f>
        <v>20.1845541665578</v>
      </c>
      <c r="Z134" s="13" t="n">
        <f aca="false">Z132-Z133*Z127</f>
        <v>21.1334516692199</v>
      </c>
      <c r="AA134" s="13" t="n">
        <f aca="false">AA132-AA133*AA127</f>
        <v>21.5714560861258</v>
      </c>
      <c r="AB134" s="13" t="n">
        <f aca="false">AB132-AB133*AB127</f>
        <v>22.6204963404412</v>
      </c>
      <c r="AC134" s="13" t="n">
        <f aca="false">AC132-AC133*AC127</f>
        <v>23.2601518708258</v>
      </c>
      <c r="AD134" s="13" t="n">
        <f aca="false">AD132-AD133*AD127</f>
        <v>24.3657713358743</v>
      </c>
      <c r="AE134" s="13" t="n">
        <f aca="false">AE132-AE133*AE127</f>
        <v>26.3332243478185</v>
      </c>
      <c r="AF134" s="13" t="n">
        <f aca="false">AF132-AF133*AF127</f>
        <v>27.7487459947656</v>
      </c>
      <c r="AG134" s="13" t="n">
        <f aca="false">AG132-AG133*AG127</f>
        <v>27.9489950086083</v>
      </c>
      <c r="AH134" s="13" t="n">
        <f aca="false">AH132-AH133*AH127</f>
        <v>29.3912567059294</v>
      </c>
      <c r="AI134" s="13" t="n">
        <f aca="false">AI132-AI133*AI127</f>
        <v>30.3056426491045</v>
      </c>
      <c r="AJ134" s="13" t="n">
        <f aca="false">AJ132-AJ133*AJ127</f>
        <v>31.7888253304929</v>
      </c>
      <c r="AK134" s="13" t="n">
        <f aca="false">AK132-AK133*AK127</f>
        <v>32.7273179038548</v>
      </c>
      <c r="AL134" s="13" t="n">
        <f aca="false">AL132-AL133*AL127</f>
        <v>34.2613019466381</v>
      </c>
      <c r="AM134" s="13" t="n">
        <f aca="false">AM132-AM133*AM127</f>
        <v>35.8533398991433</v>
      </c>
      <c r="AN134" s="13" t="n">
        <f aca="false">AN132-AN133*AN127</f>
        <v>37.5829086347029</v>
      </c>
      <c r="AO134" s="13" t="n">
        <f aca="false">AO132-AO133*AO127</f>
        <v>36.7023073182471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52.8623609134466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</v>
      </c>
      <c r="Q7" s="13" t="n">
        <f aca="false">SUM(Operations!R79:W79)/Inputs!$F$225</f>
        <v>0.425643107380042</v>
      </c>
      <c r="R7" s="13" t="n">
        <f aca="false">SUM(Operations!S79:X79)/Inputs!$F$225</f>
        <v>0.425643107380042</v>
      </c>
      <c r="S7" s="13" t="n">
        <f aca="false">SUM(Operations!T79:Y79)/Inputs!$F$225</f>
        <v>0.425643107380042</v>
      </c>
      <c r="T7" s="13" t="n">
        <f aca="false">SUM(Operations!U79:Z79)/Inputs!$F$225</f>
        <v>0.425643107380042</v>
      </c>
      <c r="U7" s="13" t="n">
        <f aca="false">SUM(Operations!V79:AA79)/Inputs!$F$225</f>
        <v>0.425643107380042</v>
      </c>
      <c r="V7" s="13" t="n">
        <f aca="false">SUM(Operations!W79:AB79)/Inputs!$F$225</f>
        <v>0.425643107380042</v>
      </c>
      <c r="W7" s="13" t="n">
        <f aca="false">SUM(Operations!X79:AC79)/Inputs!$F$225</f>
        <v>0</v>
      </c>
      <c r="X7" s="13" t="n">
        <f aca="false">SUM(Operations!Y79:AD79)/Inputs!$F$225</f>
        <v>0</v>
      </c>
      <c r="Y7" s="13" t="n">
        <f aca="false">SUM(Operations!Z79:AE79)/Inputs!$F$225</f>
        <v>2.01717080397687</v>
      </c>
      <c r="Z7" s="13" t="n">
        <f aca="false">SUM(Operations!AA79:AF79)/Inputs!$F$225</f>
        <v>2.01717080397687</v>
      </c>
      <c r="AA7" s="13" t="n">
        <f aca="false">SUM(Operations!AB79:AG79)/Inputs!$F$225</f>
        <v>2.01717080397687</v>
      </c>
      <c r="AB7" s="13" t="n">
        <f aca="false">SUM(Operations!AC79:AH79)/Inputs!$F$225</f>
        <v>2.01717080397687</v>
      </c>
      <c r="AC7" s="13" t="n">
        <f aca="false">SUM(Operations!AD79:AI79)/Inputs!$F$225</f>
        <v>2.01717080397687</v>
      </c>
      <c r="AD7" s="13" t="n">
        <f aca="false">SUM(Operations!AE79:AJ79)/Inputs!$F$225</f>
        <v>2.01717080397687</v>
      </c>
      <c r="AE7" s="13" t="n">
        <f aca="false">SUM(Operations!AF79:AK79)/Inputs!$F$225</f>
        <v>0</v>
      </c>
      <c r="AF7" s="13" t="n">
        <f aca="false">SUM(Operations!AG79:AL79)/Inputs!$F$225</f>
        <v>0</v>
      </c>
      <c r="AG7" s="13" t="n">
        <f aca="false">SUM(Operations!AH79:AM79)/Inputs!$F$225</f>
        <v>0.506585519410805</v>
      </c>
      <c r="AH7" s="13" t="n">
        <f aca="false">SUM(Operations!AI79:AN79)/Inputs!$F$225</f>
        <v>0.506585519410805</v>
      </c>
      <c r="AI7" s="13" t="n">
        <f aca="false">SUM(Operations!AJ79:AO79)/Inputs!$F$225</f>
        <v>0.506585519410805</v>
      </c>
      <c r="AJ7" s="13" t="n">
        <f aca="false">SUM(Operations!AK79:AP79)/Inputs!$F$225</f>
        <v>0.506585519410805</v>
      </c>
      <c r="AK7" s="13" t="n">
        <f aca="false">SUM(Operations!AL79:AQ79)/Inputs!$F$225</f>
        <v>0.506585519410805</v>
      </c>
      <c r="AL7" s="13" t="n">
        <f aca="false">SUM(Operations!AM79:AR79)/Inputs!$F$225</f>
        <v>0.506585519410805</v>
      </c>
      <c r="AM7" s="13" t="n">
        <f aca="false">SUM(Operations!AN79:AS79)/Inputs!$F$225</f>
        <v>0</v>
      </c>
      <c r="AN7" s="13" t="n">
        <f aca="false">SUM(Operations!AO79:AT79)/Inputs!$F$225</f>
        <v>0</v>
      </c>
      <c r="AO7" s="13" t="n">
        <f aca="false">SUM(Operations!AP79:AU79)/Inputs!$F$225</f>
        <v>2.4007660449686</v>
      </c>
      <c r="AP7" s="13" t="n">
        <f aca="false">SUM(Operations!AQ79:AV79)/Inputs!$F$225</f>
        <v>2.4007660449686</v>
      </c>
      <c r="AQ7" s="13" t="n">
        <f aca="false">SUM(Operations!AR79:AW79)/Inputs!$F$225</f>
        <v>2.4007660449686</v>
      </c>
      <c r="AR7" s="13" t="n">
        <f aca="false">SUM(Operations!AS79:AX79)/Inputs!$F$225</f>
        <v>2.4007660449686</v>
      </c>
      <c r="AS7" s="13" t="n">
        <f aca="false">SUM(Operations!AT79:AY79)/Inputs!$F$225</f>
        <v>2.4007660449686</v>
      </c>
      <c r="AT7" s="13" t="n">
        <f aca="false">SUM(Operations!AU79:AZ79)/Inputs!$F$225</f>
        <v>2.4007660449686</v>
      </c>
      <c r="AU7" s="13" t="n">
        <f aca="false">SUM(Operations!AV79:BA79)/Inputs!$F$225</f>
        <v>0</v>
      </c>
      <c r="AV7" s="13" t="n">
        <f aca="false">SUM(Operations!AW79:BB79)/Inputs!$F$225</f>
        <v>0</v>
      </c>
      <c r="AW7" s="13" t="n">
        <f aca="false">SUM(Operations!AX79:BC79)/Inputs!$F$225</f>
        <v>0.60292034342184</v>
      </c>
      <c r="AX7" s="13" t="n">
        <f aca="false">SUM(Operations!AY79:BD79)/Inputs!$F$225</f>
        <v>0.60292034342184</v>
      </c>
      <c r="AY7" s="13" t="n">
        <f aca="false">SUM(Operations!AZ79:BE79)/Inputs!$F$225</f>
        <v>0.60292034342184</v>
      </c>
      <c r="AZ7" s="13" t="n">
        <f aca="false">SUM(Operations!BA79:BF79)/Inputs!$F$225</f>
        <v>0.60292034342184</v>
      </c>
      <c r="BA7" s="13" t="n">
        <f aca="false">SUM(Operations!BB79:BG79)/Inputs!$F$225</f>
        <v>0.60292034342184</v>
      </c>
      <c r="BB7" s="13" t="n">
        <f aca="false">SUM(Operations!BC79:BH79)/Inputs!$F$225</f>
        <v>0.60292034342184</v>
      </c>
      <c r="BC7" s="13" t="n">
        <f aca="false">SUM(Operations!BD79:BI79)/Inputs!$F$225</f>
        <v>0</v>
      </c>
      <c r="BD7" s="13" t="n">
        <f aca="false">SUM(Operations!BE79:BJ79)/Inputs!$F$225</f>
        <v>0</v>
      </c>
      <c r="BE7" s="13" t="n">
        <f aca="false">SUM(Operations!BF79:BK79)/Inputs!$F$225</f>
        <v>2.85730766641628</v>
      </c>
      <c r="BF7" s="13" t="n">
        <f aca="false">SUM(Operations!BG79:BL79)/Inputs!$F$225</f>
        <v>2.85730766641628</v>
      </c>
      <c r="BG7" s="13" t="n">
        <f aca="false">SUM(Operations!BH79:BM79)/Inputs!$F$225</f>
        <v>2.85730766641628</v>
      </c>
      <c r="BH7" s="13" t="n">
        <f aca="false">SUM(Operations!BI79:BN79)/Inputs!$F$225</f>
        <v>2.85730766641628</v>
      </c>
      <c r="BI7" s="13" t="n">
        <f aca="false">SUM(Operations!BJ79:BO79)/Inputs!$F$225</f>
        <v>2.85730766641628</v>
      </c>
      <c r="BJ7" s="13" t="n">
        <f aca="false">SUM(Operations!BK79:BP79)/Inputs!$F$225</f>
        <v>2.85730766641628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</v>
      </c>
      <c r="Q8" s="13" t="n">
        <f aca="false">P8+Q7-Operations!Q79</f>
        <v>0.425643107380042</v>
      </c>
      <c r="R8" s="13" t="n">
        <f aca="false">Q8+R7-Operations!R79</f>
        <v>0.851286214760085</v>
      </c>
      <c r="S8" s="13" t="n">
        <f aca="false">R8+S7-Operations!S79</f>
        <v>1.27692932214013</v>
      </c>
      <c r="T8" s="13" t="n">
        <f aca="false">S8+T7-Operations!T79</f>
        <v>1.70257242952017</v>
      </c>
      <c r="U8" s="13" t="n">
        <f aca="false">T8+U7-Operations!U79</f>
        <v>2.12821553690021</v>
      </c>
      <c r="V8" s="13" t="n">
        <f aca="false">U8+V7-Operations!V79</f>
        <v>2.55385864428026</v>
      </c>
      <c r="W8" s="13" t="n">
        <f aca="false">V8+W7-Operations!W79</f>
        <v>0</v>
      </c>
      <c r="X8" s="13" t="n">
        <f aca="false">W8+X7-Operations!X79</f>
        <v>0</v>
      </c>
      <c r="Y8" s="13" t="n">
        <f aca="false">X8+Y7-Operations!Y79</f>
        <v>2.01717080397687</v>
      </c>
      <c r="Z8" s="13" t="n">
        <f aca="false">Y8+Z7-Operations!Z79</f>
        <v>4.03434160795373</v>
      </c>
      <c r="AA8" s="13" t="n">
        <f aca="false">Z8+AA7-Operations!AA79</f>
        <v>6.0515124119306</v>
      </c>
      <c r="AB8" s="13" t="n">
        <f aca="false">AA8+AB7-Operations!AB79</f>
        <v>8.06868321590747</v>
      </c>
      <c r="AC8" s="13" t="n">
        <f aca="false">AB8+AC7-Operations!AC79</f>
        <v>10.0858540198843</v>
      </c>
      <c r="AD8" s="13" t="n">
        <f aca="false">AC8+AD7-Operations!AD79</f>
        <v>12.1030248238612</v>
      </c>
      <c r="AE8" s="13" t="n">
        <f aca="false">AD8+AE7-Operations!AE79</f>
        <v>0</v>
      </c>
      <c r="AF8" s="13" t="n">
        <f aca="false">AE8+AF7-Operations!AF79</f>
        <v>0</v>
      </c>
      <c r="AG8" s="13" t="n">
        <f aca="false">AF8+AG7-Operations!AG79</f>
        <v>0.506585519410805</v>
      </c>
      <c r="AH8" s="13" t="n">
        <f aca="false">AG8+AH7-Operations!AH79</f>
        <v>1.01317103882161</v>
      </c>
      <c r="AI8" s="13" t="n">
        <f aca="false">AH8+AI7-Operations!AI79</f>
        <v>1.51975655823241</v>
      </c>
      <c r="AJ8" s="13" t="n">
        <f aca="false">AI8+AJ7-Operations!AJ79</f>
        <v>2.02634207764322</v>
      </c>
      <c r="AK8" s="13" t="n">
        <f aca="false">AJ8+AK7-Operations!AK79</f>
        <v>2.53292759705402</v>
      </c>
      <c r="AL8" s="13" t="n">
        <f aca="false">AK8+AL7-Operations!AL79</f>
        <v>3.03951311646483</v>
      </c>
      <c r="AM8" s="13" t="n">
        <f aca="false">AL8+AM7-Operations!AM79</f>
        <v>0</v>
      </c>
      <c r="AN8" s="13" t="n">
        <f aca="false">AM8+AN7-Operations!AN79</f>
        <v>0</v>
      </c>
      <c r="AO8" s="13" t="n">
        <f aca="false">AN8+AO7-Operations!AO79</f>
        <v>2.4007660449686</v>
      </c>
      <c r="AP8" s="13" t="n">
        <f aca="false">AO8+AP7-Operations!AP79</f>
        <v>4.80153208993721</v>
      </c>
      <c r="AQ8" s="13" t="n">
        <f aca="false">AP8+AQ7-Operations!AQ79</f>
        <v>7.20229813490581</v>
      </c>
      <c r="AR8" s="13" t="n">
        <f aca="false">AQ8+AR7-Operations!AR79</f>
        <v>9.60306417987441</v>
      </c>
      <c r="AS8" s="13" t="n">
        <f aca="false">AR8+AS7-Operations!AS79</f>
        <v>12.003830224843</v>
      </c>
      <c r="AT8" s="13" t="n">
        <f aca="false">AS8+AT7-Operations!AT79</f>
        <v>14.4045962698116</v>
      </c>
      <c r="AU8" s="13" t="n">
        <f aca="false">AT8+AU7-Operations!AU79</f>
        <v>0</v>
      </c>
      <c r="AV8" s="13" t="n">
        <f aca="false">AU8+AV7-Operations!AV79</f>
        <v>0</v>
      </c>
      <c r="AW8" s="13" t="n">
        <f aca="false">AV8+AW7-Operations!AW79</f>
        <v>0.60292034342184</v>
      </c>
      <c r="AX8" s="13" t="n">
        <f aca="false">AW8+AX7-Operations!AX79</f>
        <v>1.20584068684368</v>
      </c>
      <c r="AY8" s="13" t="n">
        <f aca="false">AX8+AY7-Operations!AY79</f>
        <v>1.80876103026552</v>
      </c>
      <c r="AZ8" s="13" t="n">
        <f aca="false">AY8+AZ7-Operations!AZ79</f>
        <v>2.41168137368736</v>
      </c>
      <c r="BA8" s="13" t="n">
        <f aca="false">AZ8+BA7-Operations!BA79</f>
        <v>3.0146017171092</v>
      </c>
      <c r="BB8" s="13" t="n">
        <f aca="false">BA8+BB7-Operations!BB79</f>
        <v>3.61752206053104</v>
      </c>
      <c r="BC8" s="13" t="n">
        <f aca="false">BB8+BC7-Operations!BC79</f>
        <v>0</v>
      </c>
      <c r="BD8" s="13" t="n">
        <f aca="false">BC8+BD7-Operations!BD79</f>
        <v>0</v>
      </c>
      <c r="BE8" s="13" t="n">
        <f aca="false">BD8+BE7-Operations!BE79</f>
        <v>2.85730766641628</v>
      </c>
      <c r="BF8" s="13" t="n">
        <f aca="false">BE8+BF7-Operations!BF79</f>
        <v>5.71461533283255</v>
      </c>
      <c r="BG8" s="13" t="n">
        <f aca="false">BF8+BG7-Operations!BG79</f>
        <v>8.57192299924883</v>
      </c>
      <c r="BH8" s="13" t="n">
        <f aca="false">BG8+BH7-Operations!BH79</f>
        <v>11.4292306656651</v>
      </c>
      <c r="BI8" s="13" t="n">
        <f aca="false">BH8+BI7-Operations!BI79</f>
        <v>14.2865383320814</v>
      </c>
      <c r="BJ8" s="13" t="n">
        <f aca="false">BI8+BJ7-Operations!BJ79</f>
        <v>17.1438459984977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0</v>
      </c>
      <c r="P9" s="13" t="n">
        <f aca="false">IF(Time!P34=1,SUM(Funding!$J$44:$BJ$44),O13)</f>
        <v>37.0411331464097</v>
      </c>
      <c r="Q9" s="13" t="n">
        <f aca="false">IF(Time!Q34=1,SUM(Funding!$J$44:$BJ$44),P13)</f>
        <v>30.7484988078754</v>
      </c>
      <c r="R9" s="13" t="n">
        <f aca="false">IF(Time!R34=1,SUM(Funding!$J$44:$BJ$44),Q13)</f>
        <v>37.7221331542987</v>
      </c>
      <c r="S9" s="13" t="n">
        <f aca="false">IF(Time!S34=1,SUM(Funding!$J$44:$BJ$44),R13)</f>
        <v>37.5281545531907</v>
      </c>
      <c r="T9" s="13" t="n">
        <f aca="false">IF(Time!T34=1,SUM(Funding!$J$44:$BJ$44),S13)</f>
        <v>37.9631538733717</v>
      </c>
      <c r="U9" s="13" t="n">
        <f aca="false">IF(Time!U34=1,SUM(Funding!$J$44:$BJ$44),T13)</f>
        <v>37.7082706244657</v>
      </c>
      <c r="V9" s="13" t="n">
        <f aca="false">IF(Time!V34=1,SUM(Funding!$J$44:$BJ$44),U13)</f>
        <v>38.0579949845098</v>
      </c>
      <c r="W9" s="13" t="n">
        <f aca="false">IF(Time!W34=1,SUM(Funding!$J$44:$BJ$44),V13)</f>
        <v>38.2693400178687</v>
      </c>
      <c r="X9" s="13" t="n">
        <f aca="false">IF(Time!X34=1,SUM(Funding!$J$44:$BJ$44),W13)</f>
        <v>38.6972519091503</v>
      </c>
      <c r="Y9" s="13" t="n">
        <f aca="false">IF(Time!Y34=1,SUM(Funding!$J$44:$BJ$44),X13)</f>
        <v>36.7718089512955</v>
      </c>
      <c r="Z9" s="13" t="n">
        <f aca="false">IF(Time!Z34=1,SUM(Funding!$J$44:$BJ$44),Y13)</f>
        <v>37.1877837069667</v>
      </c>
      <c r="AA9" s="13" t="n">
        <f aca="false">IF(Time!AA34=1,SUM(Funding!$J$44:$BJ$44),Z13)</f>
        <v>36.7104052003812</v>
      </c>
      <c r="AB9" s="13" t="n">
        <f aca="false">IF(Time!AB34=1,SUM(Funding!$J$44:$BJ$44),AA13)</f>
        <v>37.1612974018912</v>
      </c>
      <c r="AC9" s="13" t="n">
        <f aca="false">IF(Time!AC34=1,SUM(Funding!$J$44:$BJ$44),AB13)</f>
        <v>36.323720837837</v>
      </c>
      <c r="AD9" s="13" t="n">
        <f aca="false">IF(Time!AD34=1,SUM(Funding!$J$44:$BJ$44),AC13)</f>
        <v>35.9825575861707</v>
      </c>
      <c r="AE9" s="13" t="n">
        <f aca="false">IF(Time!AE34=1,SUM(Funding!$J$44:$BJ$44),AD13)</f>
        <v>36.1463485576696</v>
      </c>
      <c r="AF9" s="13" t="n">
        <f aca="false">IF(Time!AF34=1,SUM(Funding!$J$44:$BJ$44),AE13)</f>
        <v>35.8732543986906</v>
      </c>
      <c r="AG9" s="13" t="n">
        <f aca="false">IF(Time!AG34=1,SUM(Funding!$J$44:$BJ$44),AF13)</f>
        <v>34.3015552238063</v>
      </c>
      <c r="AH9" s="13" t="n">
        <f aca="false">IF(Time!AH34=1,SUM(Funding!$J$44:$BJ$44),AG13)</f>
        <v>33.493525357374</v>
      </c>
      <c r="AI9" s="13" t="n">
        <f aca="false">IF(Time!AI34=1,SUM(Funding!$J$44:$BJ$44),AH13)</f>
        <v>31.8806470075549</v>
      </c>
      <c r="AJ9" s="13" t="n">
        <f aca="false">IF(Time!AJ34=1,SUM(Funding!$J$44:$BJ$44),AI13)</f>
        <v>30.4693741033023</v>
      </c>
      <c r="AK9" s="13" t="n">
        <f aca="false">IF(Time!AK34=1,SUM(Funding!$J$44:$BJ$44),AJ13)</f>
        <v>28.1251950522687</v>
      </c>
      <c r="AL9" s="13" t="n">
        <f aca="false">IF(Time!AL34=1,SUM(Funding!$J$44:$BJ$44),AK13)</f>
        <v>25.4904627806169</v>
      </c>
      <c r="AM9" s="13" t="n">
        <f aca="false">IF(Time!AM34=1,SUM(Funding!$J$44:$BJ$44),AL13)</f>
        <v>24.1195799082983</v>
      </c>
      <c r="AN9" s="13" t="n">
        <f aca="false">IF(Time!AN34=1,SUM(Funding!$J$44:$BJ$44),AM13)</f>
        <v>24.594162490729</v>
      </c>
      <c r="AO9" s="13" t="n">
        <f aca="false">IF(Time!AO34=1,SUM(Funding!$J$44:$BJ$44),AN13)</f>
        <v>23.3953259137427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6.29263433853431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6.29263433853431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9.90285546239972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6.97363434642336</v>
      </c>
      <c r="R11" s="13" t="n">
        <f aca="false">MIN(Waterfall!R13,MAX(0,Debt!R125-(R9-R10)))</f>
        <v>0</v>
      </c>
      <c r="S11" s="13" t="n">
        <f aca="false">MIN(Waterfall!S13,MAX(0,Debt!S125-(S9-S10)))</f>
        <v>0.434999320180985</v>
      </c>
      <c r="T11" s="13" t="n">
        <f aca="false">MIN(Waterfall!T13,MAX(0,Debt!T125-(T9-T10)))</f>
        <v>0</v>
      </c>
      <c r="U11" s="13" t="n">
        <f aca="false">MIN(Waterfall!U13,MAX(0,Debt!U125-(U9-U10)))</f>
        <v>0.3497243600441</v>
      </c>
      <c r="V11" s="13" t="n">
        <f aca="false">MIN(Waterfall!V13,MAX(0,Debt!V125-(V9-V10)))</f>
        <v>0.21134503335891</v>
      </c>
      <c r="W11" s="13" t="n">
        <f aca="false">MIN(Waterfall!W13,MAX(0,Debt!W125-(W9-W10)))</f>
        <v>0.427911891281639</v>
      </c>
      <c r="X11" s="13" t="n">
        <f aca="false">MIN(Waterfall!X13,MAX(0,Debt!X125-(X9-X10)))</f>
        <v>0</v>
      </c>
      <c r="Y11" s="13" t="n">
        <f aca="false">MIN(Waterfall!Y13,MAX(0,Debt!Y125-(Y9-Y10)))</f>
        <v>0.415974755671144</v>
      </c>
      <c r="Z11" s="13" t="n">
        <f aca="false">MIN(Waterfall!Z13,MAX(0,Debt!Z125-(Z9-Z10)))</f>
        <v>0</v>
      </c>
      <c r="AA11" s="13" t="n">
        <f aca="false">MIN(Waterfall!AA13,MAX(0,Debt!AA125-(AA9-AA10)))</f>
        <v>0.450892201509909</v>
      </c>
      <c r="AB11" s="13" t="n">
        <f aca="false">MIN(Waterfall!AB13,MAX(0,Debt!AB125-(AB9-AB10)))</f>
        <v>0</v>
      </c>
      <c r="AC11" s="13" t="n">
        <f aca="false">MIN(Waterfall!AC13,MAX(0,Debt!AC125-(AC9-AC10)))</f>
        <v>0</v>
      </c>
      <c r="AD11" s="13" t="n">
        <f aca="false">MIN(Waterfall!AD13,MAX(0,Debt!AD125-(AD9-AD10)))</f>
        <v>0.163790971498948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0.474582582430731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40.6513542702751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</v>
      </c>
      <c r="Q12" s="13" t="n">
        <f aca="false">MAX(0,Q9-Q10-Debt!Q125)</f>
        <v>0</v>
      </c>
      <c r="R12" s="13" t="n">
        <f aca="false">MAX(0,R9-R10-Debt!R125)</f>
        <v>0.193978601108057</v>
      </c>
      <c r="S12" s="13" t="n">
        <f aca="false">MAX(0,S9-S10-Debt!S125)</f>
        <v>0</v>
      </c>
      <c r="T12" s="13" t="n">
        <f aca="false">MAX(0,T9-T10-Debt!T125)</f>
        <v>0.254883248905976</v>
      </c>
      <c r="U12" s="13" t="n">
        <f aca="false">MAX(0,U9-U10-Debt!U125)</f>
        <v>0</v>
      </c>
      <c r="V12" s="13" t="n">
        <f aca="false">MAX(0,V9-V10-Debt!V125)</f>
        <v>0</v>
      </c>
      <c r="W12" s="13" t="n">
        <f aca="false">MAX(0,W9-W10-Debt!W125)</f>
        <v>0</v>
      </c>
      <c r="X12" s="13" t="n">
        <f aca="false">MAX(0,X9-X10-Debt!X125)</f>
        <v>1.92544295785481</v>
      </c>
      <c r="Y12" s="13" t="n">
        <f aca="false">MAX(0,Y9-Y10-Debt!Y125)</f>
        <v>0</v>
      </c>
      <c r="Z12" s="13" t="n">
        <f aca="false">MAX(0,Z9-Z10-Debt!Z125)</f>
        <v>0.477378506585424</v>
      </c>
      <c r="AA12" s="13" t="n">
        <f aca="false">MAX(0,AA9-AA10-Debt!AA125)</f>
        <v>0</v>
      </c>
      <c r="AB12" s="13" t="n">
        <f aca="false">MAX(0,AB9-AB10-Debt!AB125)</f>
        <v>0.83757656405411</v>
      </c>
      <c r="AC12" s="13" t="n">
        <f aca="false">MAX(0,AC9-AC10-Debt!AC125)</f>
        <v>0.341163251666352</v>
      </c>
      <c r="AD12" s="13" t="n">
        <f aca="false">MAX(0,AD9-AD10-Debt!AD125)</f>
        <v>0</v>
      </c>
      <c r="AE12" s="13" t="n">
        <f aca="false">MAX(0,AE9-AE10-Debt!AE125)</f>
        <v>0.273094158979006</v>
      </c>
      <c r="AF12" s="13" t="n">
        <f aca="false">MAX(0,AF9-AF10-Debt!AF125)</f>
        <v>1.57169917488433</v>
      </c>
      <c r="AG12" s="13" t="n">
        <f aca="false">MAX(0,AG9-AG10-Debt!AG125)</f>
        <v>0.808029866432342</v>
      </c>
      <c r="AH12" s="13" t="n">
        <f aca="false">MAX(0,AH9-AH10-Debt!AH125)</f>
        <v>1.61287834981906</v>
      </c>
      <c r="AI12" s="13" t="n">
        <f aca="false">MAX(0,AI9-AI10-Debt!AI125)</f>
        <v>1.41127290425257</v>
      </c>
      <c r="AJ12" s="13" t="n">
        <f aca="false">MAX(0,AJ9-AJ10-Debt!AJ125)</f>
        <v>2.34417905103367</v>
      </c>
      <c r="AK12" s="13" t="n">
        <f aca="false">MAX(0,AK9-AK10-Debt!AK125)</f>
        <v>2.63473227165174</v>
      </c>
      <c r="AL12" s="13" t="n">
        <f aca="false">MAX(0,AL9-AL10-Debt!AL125)</f>
        <v>1.37088287231865</v>
      </c>
      <c r="AM12" s="13" t="n">
        <f aca="false">MAX(0,AM9-AM10-Debt!AM125)</f>
        <v>0</v>
      </c>
      <c r="AN12" s="13" t="n">
        <f aca="false">MAX(0,AN9-AN10-Debt!AN125)</f>
        <v>1.19883657698635</v>
      </c>
      <c r="AO12" s="13" t="n">
        <f aca="false">MAX(0,AO9-AO10-Debt!AO125)</f>
        <v>23.3953259137427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0</v>
      </c>
      <c r="P13" s="13" t="n">
        <f aca="false">(1-Time!P37)*(P9-P10+P11-P12)</f>
        <v>30.7484988078754</v>
      </c>
      <c r="Q13" s="13" t="n">
        <f aca="false">(1-Time!Q37)*(Q9-Q10+Q11-Q12)</f>
        <v>37.7221331542987</v>
      </c>
      <c r="R13" s="13" t="n">
        <f aca="false">(1-Time!R37)*(R9-R10+R11-R12)</f>
        <v>37.5281545531907</v>
      </c>
      <c r="S13" s="13" t="n">
        <f aca="false">(1-Time!S37)*(S9-S10+S11-S12)</f>
        <v>37.9631538733717</v>
      </c>
      <c r="T13" s="13" t="n">
        <f aca="false">(1-Time!T37)*(T9-T10+T11-T12)</f>
        <v>37.7082706244657</v>
      </c>
      <c r="U13" s="13" t="n">
        <f aca="false">(1-Time!U37)*(U9-U10+U11-U12)</f>
        <v>38.0579949845098</v>
      </c>
      <c r="V13" s="13" t="n">
        <f aca="false">(1-Time!V37)*(V9-V10+V11-V12)</f>
        <v>38.2693400178687</v>
      </c>
      <c r="W13" s="13" t="n">
        <f aca="false">(1-Time!W37)*(W9-W10+W11-W12)</f>
        <v>38.6972519091503</v>
      </c>
      <c r="X13" s="13" t="n">
        <f aca="false">(1-Time!X37)*(X9-X10+X11-X12)</f>
        <v>36.7718089512955</v>
      </c>
      <c r="Y13" s="13" t="n">
        <f aca="false">(1-Time!Y37)*(Y9-Y10+Y11-Y12)</f>
        <v>37.1877837069667</v>
      </c>
      <c r="Z13" s="13" t="n">
        <f aca="false">(1-Time!Z37)*(Z9-Z10+Z11-Z12)</f>
        <v>36.7104052003812</v>
      </c>
      <c r="AA13" s="13" t="n">
        <f aca="false">(1-Time!AA37)*(AA9-AA10+AA11-AA12)</f>
        <v>37.1612974018912</v>
      </c>
      <c r="AB13" s="13" t="n">
        <f aca="false">(1-Time!AB37)*(AB9-AB10+AB11-AB12)</f>
        <v>36.323720837837</v>
      </c>
      <c r="AC13" s="13" t="n">
        <f aca="false">(1-Time!AC37)*(AC9-AC10+AC11-AC12)</f>
        <v>35.9825575861707</v>
      </c>
      <c r="AD13" s="13" t="n">
        <f aca="false">(1-Time!AD37)*(AD9-AD10+AD11-AD12)</f>
        <v>36.1463485576696</v>
      </c>
      <c r="AE13" s="13" t="n">
        <f aca="false">(1-Time!AE37)*(AE9-AE10+AE11-AE12)</f>
        <v>35.8732543986906</v>
      </c>
      <c r="AF13" s="13" t="n">
        <f aca="false">(1-Time!AF37)*(AF9-AF10+AF11-AF12)</f>
        <v>34.3015552238063</v>
      </c>
      <c r="AG13" s="13" t="n">
        <f aca="false">(1-Time!AG37)*(AG9-AG10+AG11-AG12)</f>
        <v>33.493525357374</v>
      </c>
      <c r="AH13" s="13" t="n">
        <f aca="false">(1-Time!AH37)*(AH9-AH10+AH11-AH12)</f>
        <v>31.8806470075549</v>
      </c>
      <c r="AI13" s="13" t="n">
        <f aca="false">(1-Time!AI37)*(AI9-AI10+AI11-AI12)</f>
        <v>30.4693741033023</v>
      </c>
      <c r="AJ13" s="13" t="n">
        <f aca="false">(1-Time!AJ37)*(AJ9-AJ10+AJ11-AJ12)</f>
        <v>28.1251950522687</v>
      </c>
      <c r="AK13" s="13" t="n">
        <f aca="false">(1-Time!AK37)*(AK9-AK10+AK11-AK12)</f>
        <v>25.4904627806169</v>
      </c>
      <c r="AL13" s="13" t="n">
        <f aca="false">(1-Time!AL37)*(AL9-AL10+AL11-AL12)</f>
        <v>24.1195799082983</v>
      </c>
      <c r="AM13" s="13" t="n">
        <f aca="false">(1-Time!AM37)*(AM9-AM10+AM11-AM12)</f>
        <v>24.594162490729</v>
      </c>
      <c r="AN13" s="13" t="n">
        <f aca="false">(1-Time!AN37)*(AN9-AN10+AN11-AN12)</f>
        <v>23.3953259137427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19.5339439119651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</v>
      </c>
      <c r="BB14" s="13" t="n">
        <f aca="false">MIN(Waterfall!BB14,Operations!BB81)</f>
        <v>0.253057800568246</v>
      </c>
      <c r="BC14" s="13" t="n">
        <f aca="false">MIN(Waterfall!BC14,Operations!BC81)</f>
        <v>1.53495775504184</v>
      </c>
      <c r="BD14" s="13" t="n">
        <f aca="false">MIN(Waterfall!BD14,Operations!BD81)</f>
        <v>1.55175043308448</v>
      </c>
      <c r="BE14" s="13" t="n">
        <f aca="false">MIN(Waterfall!BE14,Operations!BE81)</f>
        <v>1.56872682565276</v>
      </c>
      <c r="BF14" s="13" t="n">
        <f aca="false">MIN(Waterfall!BF14,Operations!BF81)</f>
        <v>1.58588894261234</v>
      </c>
      <c r="BG14" s="13" t="n">
        <f aca="false">MIN(Waterfall!BG14,Operations!BG81)</f>
        <v>1.60323881581712</v>
      </c>
      <c r="BH14" s="13" t="n">
        <f aca="false">MIN(Waterfall!BH14,Operations!BH81)</f>
        <v>1.62077849934981</v>
      </c>
      <c r="BI14" s="13" t="n">
        <f aca="false">MIN(Waterfall!BI14,Operations!BI81)</f>
        <v>1.6385100697651</v>
      </c>
      <c r="BJ14" s="13" t="n">
        <f aca="false">MIN(Waterfall!BJ14,Operations!BJ81)</f>
        <v>1.65643562633551</v>
      </c>
      <c r="BK14" s="13" t="n">
        <f aca="false">MIN(Waterfall!BK14,Operations!BK81)</f>
        <v>1.67455729129993</v>
      </c>
      <c r="BL14" s="13" t="n">
        <f aca="false">MIN(Waterfall!BL14,Operations!BL81)</f>
        <v>1.69287721011489</v>
      </c>
      <c r="BM14" s="13" t="n">
        <f aca="false">MIN(Waterfall!BM14,Operations!BM81)</f>
        <v>1.71139755170853</v>
      </c>
      <c r="BN14" s="13" t="n">
        <f aca="false">MIN(Waterfall!BN14,Operations!BN81)</f>
        <v>1.44176709061451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19.5339439119651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0</v>
      </c>
      <c r="BN15" s="13" t="n">
        <f aca="false">Time!BN37*(BM16+BN14)</f>
        <v>19.5339439119651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</v>
      </c>
      <c r="BB16" s="13" t="n">
        <f aca="false">BA16+BB14-BB15</f>
        <v>0.253057800568246</v>
      </c>
      <c r="BC16" s="13" t="n">
        <f aca="false">BB16+BC14-BC15</f>
        <v>1.78801555561009</v>
      </c>
      <c r="BD16" s="13" t="n">
        <f aca="false">BC16+BD14-BD15</f>
        <v>3.33976598869457</v>
      </c>
      <c r="BE16" s="13" t="n">
        <f aca="false">BD16+BE14-BE15</f>
        <v>4.90849281434733</v>
      </c>
      <c r="BF16" s="13" t="n">
        <f aca="false">BE16+BF14-BF15</f>
        <v>6.49438175695967</v>
      </c>
      <c r="BG16" s="13" t="n">
        <f aca="false">BF16+BG14-BG15</f>
        <v>8.09762057277679</v>
      </c>
      <c r="BH16" s="13" t="n">
        <f aca="false">BG16+BH14-BH15</f>
        <v>9.7183990721266</v>
      </c>
      <c r="BI16" s="13" t="n">
        <f aca="false">BH16+BI14-BI15</f>
        <v>11.3569091418917</v>
      </c>
      <c r="BJ16" s="13" t="n">
        <f aca="false">BI16+BJ14-BJ15</f>
        <v>13.0133447682272</v>
      </c>
      <c r="BK16" s="13" t="n">
        <f aca="false">BJ16+BK14-BK15</f>
        <v>14.6879020595271</v>
      </c>
      <c r="BL16" s="13" t="n">
        <f aca="false">BK16+BL14-BL15</f>
        <v>16.380779269642</v>
      </c>
      <c r="BM16" s="13" t="n">
        <f aca="false">BL16+BM14-BM15</f>
        <v>18.0921768213506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18.485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2287.89690629298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0</v>
      </c>
      <c r="P7" s="13" t="n">
        <f aca="false">Operations!P84-Tax!P27-Operations!P96-Reserves!P7+Operations!P79+Operations!P97</f>
        <v>-6.29263433853431</v>
      </c>
      <c r="Q7" s="13" t="n">
        <f aca="false">Operations!Q84-Tax!Q27-Operations!Q96-Reserves!Q7+Operations!Q79+Operations!Q97</f>
        <v>48.8524843383707</v>
      </c>
      <c r="R7" s="13" t="n">
        <f aca="false">Operations!R84-Tax!R27-Operations!R96-Reserves!R7+Operations!R79+Operations!R97</f>
        <v>49.8826656945088</v>
      </c>
      <c r="S7" s="13" t="n">
        <f aca="false">Operations!S84-Tax!S27-Operations!S96-Reserves!S7+Operations!S79+Operations!S97</f>
        <v>49.6218581816983</v>
      </c>
      <c r="T7" s="13" t="n">
        <f aca="false">Operations!T84-Tax!T27-Operations!T96-Reserves!T7+Operations!T79+Operations!T97</f>
        <v>50.2009068531375</v>
      </c>
      <c r="U7" s="13" t="n">
        <f aca="false">Operations!U84-Tax!U27-Operations!U96-Reserves!U7+Operations!U79+Operations!U97</f>
        <v>49.8603583128226</v>
      </c>
      <c r="V7" s="13" t="n">
        <f aca="false">Operations!V84-Tax!V27-Operations!V96-Reserves!V7+Operations!V79+Operations!V97</f>
        <v>50.3248714681387</v>
      </c>
      <c r="W7" s="13" t="n">
        <f aca="false">Operations!W84-Tax!W27-Operations!W96-Reserves!W7+Operations!W79+Operations!W97</f>
        <v>50.5993486218694</v>
      </c>
      <c r="X7" s="13" t="n">
        <f aca="false">Operations!X84-Tax!X27-Operations!X96-Reserves!X7+Operations!X79+Operations!X97</f>
        <v>51.1683050749246</v>
      </c>
      <c r="Y7" s="13" t="n">
        <f aca="false">Operations!Y84-Tax!Y27-Operations!Y96-Reserves!Y7+Operations!Y79+Operations!Y97</f>
        <v>48.6187124216684</v>
      </c>
      <c r="Z7" s="13" t="n">
        <f aca="false">Operations!Z84-Tax!Z27-Operations!Z96-Reserves!Z7+Operations!Z79+Operations!Z97</f>
        <v>49.1715822652207</v>
      </c>
      <c r="AA7" s="13" t="n">
        <f aca="false">Operations!AA84-Tax!AA27-Operations!AA96-Reserves!AA7+Operations!AA79+Operations!AA97</f>
        <v>48.5363352747012</v>
      </c>
      <c r="AB7" s="13" t="n">
        <f aca="false">Operations!AB84-Tax!AB27-Operations!AB96-Reserves!AB7+Operations!AB79+Operations!AB97</f>
        <v>49.1349728342719</v>
      </c>
      <c r="AC7" s="13" t="n">
        <f aca="false">Operations!AC84-Tax!AC27-Operations!AC96-Reserves!AC7+Operations!AC79+Operations!AC97</f>
        <v>48.7853641113142</v>
      </c>
      <c r="AD7" s="13" t="n">
        <f aca="false">Operations!AD84-Tax!AD27-Operations!AD96-Reserves!AD7+Operations!AD79+Operations!AD97</f>
        <v>49.2890827641981</v>
      </c>
      <c r="AE7" s="13" t="n">
        <f aca="false">Operations!AE84-Tax!AE27-Operations!AE96-Reserves!AE7+Operations!AE79+Operations!AE97</f>
        <v>50.5521276735003</v>
      </c>
      <c r="AF7" s="13" t="n">
        <f aca="false">Operations!AF84-Tax!AF27-Operations!AF96-Reserves!AF7+Operations!AF79+Operations!AF97</f>
        <v>51.3634301840619</v>
      </c>
      <c r="AG7" s="13" t="n">
        <f aca="false">Operations!AG84-Tax!AG27-Operations!AG96-Reserves!AG7+Operations!AG79+Operations!AG97</f>
        <v>50.5952944106049</v>
      </c>
      <c r="AH7" s="13" t="n">
        <f aca="false">Operations!AH84-Tax!AH27-Operations!AH96-Reserves!AH7+Operations!AH79+Operations!AH97</f>
        <v>51.306437415909</v>
      </c>
      <c r="AI7" s="13" t="n">
        <f aca="false">Operations!AI84-Tax!AI27-Operations!AI96-Reserves!AI7+Operations!AI79+Operations!AI97</f>
        <v>50.9667680634296</v>
      </c>
      <c r="AJ7" s="13" t="n">
        <f aca="false">Operations!AJ84-Tax!AJ27-Operations!AJ96-Reserves!AJ7+Operations!AJ79+Operations!AJ97</f>
        <v>51.5883831639225</v>
      </c>
      <c r="AK7" s="13" t="n">
        <f aca="false">Operations!AK84-Tax!AK27-Operations!AK96-Reserves!AK7+Operations!AK79+Operations!AK97</f>
        <v>51.2309092052535</v>
      </c>
      <c r="AL7" s="13" t="n">
        <f aca="false">Operations!AL84-Tax!AL27-Operations!AL96-Reserves!AL7+Operations!AL79+Operations!AL97</f>
        <v>51.737876305492</v>
      </c>
      <c r="AM7" s="13" t="n">
        <f aca="false">Operations!AM84-Tax!AM27-Operations!AM96-Reserves!AM7+Operations!AM79+Operations!AM97</f>
        <v>52.1203860982191</v>
      </c>
      <c r="AN7" s="13" t="n">
        <f aca="false">Operations!AN84-Tax!AN27-Operations!AN96-Reserves!AN7+Operations!AN79+Operations!AN97</f>
        <v>52.7304981449523</v>
      </c>
      <c r="AO7" s="13" t="n">
        <f aca="false">Operations!AO84-Tax!AO27-Operations!AO96-Reserves!AO7+Operations!AO79+Operations!AO97</f>
        <v>49.7499258061995</v>
      </c>
      <c r="AP7" s="13" t="n">
        <f aca="false">Operations!AP84-Tax!AP27-Operations!AP96-Reserves!AP7+Operations!AP79+Operations!AP97</f>
        <v>47.7430264948692</v>
      </c>
      <c r="AQ7" s="13" t="n">
        <f aca="false">Operations!AQ84-Tax!AQ27-Operations!AQ96-Reserves!AQ7+Operations!AQ79+Operations!AQ97</f>
        <v>41.2585880179046</v>
      </c>
      <c r="AR7" s="13" t="n">
        <f aca="false">Operations!AR84-Tax!AR27-Operations!AR96-Reserves!AR7+Operations!AR79+Operations!AR97</f>
        <v>41.3221446575737</v>
      </c>
      <c r="AS7" s="13" t="n">
        <f aca="false">Operations!AS84-Tax!AS27-Operations!AS96-Reserves!AS7+Operations!AS79+Operations!AS97</f>
        <v>40.7702564497292</v>
      </c>
      <c r="AT7" s="13" t="n">
        <f aca="false">Operations!AT84-Tax!AT27-Operations!AT96-Reserves!AT7+Operations!AT79+Operations!AT97</f>
        <v>41.2658563223646</v>
      </c>
      <c r="AU7" s="13" t="n">
        <f aca="false">Operations!AU84-Tax!AU27-Operations!AU96-Reserves!AU7+Operations!AU79+Operations!AU97</f>
        <v>47.3968137577346</v>
      </c>
      <c r="AV7" s="13" t="n">
        <f aca="false">Operations!AV84-Tax!AV27-Operations!AV96-Reserves!AV7+Operations!AV79+Operations!AV97</f>
        <v>43.7262659136173</v>
      </c>
      <c r="AW7" s="13" t="n">
        <f aca="false">Operations!AW84-Tax!AW27-Operations!AW96-Reserves!AW7+Operations!AW79+Operations!AW97</f>
        <v>42.7821681609747</v>
      </c>
      <c r="AX7" s="13" t="n">
        <f aca="false">Operations!AX84-Tax!AX27-Operations!AX96-Reserves!AX7+Operations!AX79+Operations!AX97</f>
        <v>43.5037895500025</v>
      </c>
      <c r="AY7" s="13" t="n">
        <f aca="false">Operations!AY84-Tax!AY27-Operations!AY96-Reserves!AY7+Operations!AY79+Operations!AY97</f>
        <v>43.1057673812405</v>
      </c>
      <c r="AZ7" s="13" t="n">
        <f aca="false">Operations!AZ84-Tax!AZ27-Operations!AZ96-Reserves!AZ7+Operations!AZ79+Operations!AZ97</f>
        <v>43.7400249655937</v>
      </c>
      <c r="BA7" s="13" t="n">
        <f aca="false">Operations!BA84-Tax!BA27-Operations!BA96-Reserves!BA7+Operations!BA79+Operations!BA97</f>
        <v>43.3437806188668</v>
      </c>
      <c r="BB7" s="13" t="n">
        <f aca="false">Operations!BB84-Tax!BB27-Operations!BB96-Reserves!BB7+Operations!BB79+Operations!BB97</f>
        <v>43.8448734537438</v>
      </c>
      <c r="BC7" s="13" t="n">
        <f aca="false">Operations!BC84-Tax!BC27-Operations!BC96-Reserves!BC7+Operations!BC79+Operations!BC97</f>
        <v>45.332245492991</v>
      </c>
      <c r="BD7" s="13" t="n">
        <f aca="false">Operations!BD84-Tax!BD27-Operations!BD96-Reserves!BD7+Operations!BD79+Operations!BD97</f>
        <v>43.910617474569</v>
      </c>
      <c r="BE7" s="13" t="n">
        <f aca="false">Operations!BE84-Tax!BE27-Operations!BE96-Reserves!BE7+Operations!BE79+Operations!BE97</f>
        <v>35.6214736205507</v>
      </c>
      <c r="BF7" s="13" t="n">
        <f aca="false">Operations!BF84-Tax!BF27-Operations!BF96-Reserves!BF7+Operations!BF79+Operations!BF97</f>
        <v>36.2864727032679</v>
      </c>
      <c r="BG7" s="13" t="n">
        <f aca="false">Operations!BG84-Tax!BG27-Operations!BG96-Reserves!BG7+Operations!BG79+Operations!BG97</f>
        <v>35.8831486550327</v>
      </c>
      <c r="BH7" s="13" t="n">
        <f aca="false">Operations!BH84-Tax!BH27-Operations!BH96-Reserves!BH7+Operations!BH79+Operations!BH97</f>
        <v>36.5433059584216</v>
      </c>
      <c r="BI7" s="13" t="n">
        <f aca="false">Operations!BI84-Tax!BI27-Operations!BI96-Reserves!BI7+Operations!BI79+Operations!BI97</f>
        <v>36.1357728776975</v>
      </c>
      <c r="BJ7" s="13" t="n">
        <f aca="false">Operations!BJ84-Tax!BJ27-Operations!BJ96-Reserves!BJ7+Operations!BJ79+Operations!BJ97</f>
        <v>36.6806151303341</v>
      </c>
      <c r="BK7" s="13" t="n">
        <f aca="false">Operations!BK84-Tax!BK27-Operations!BK96-Reserves!BK7+Operations!BK79+Operations!BK97</f>
        <v>44.0853496234734</v>
      </c>
      <c r="BL7" s="13" t="n">
        <f aca="false">Operations!BL84-Tax!BL27-Operations!BL96-Reserves!BL7+Operations!BL79+Operations!BL97</f>
        <v>39.6481874011396</v>
      </c>
      <c r="BM7" s="13" t="n">
        <f aca="false">Operations!BM84-Tax!BM27-Operations!BM96-Reserves!BM7+Operations!BM79+Operations!BM97</f>
        <v>39.2646290074646</v>
      </c>
      <c r="BN7" s="13" t="n">
        <f aca="false">Operations!BN84-Tax!BN27-Operations!BN96-Reserves!BN7+Operations!BN79+Operations!BN97</f>
        <v>43.0054822539661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0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0</v>
      </c>
      <c r="P9" s="13" t="n">
        <f aca="false">P7+P8</f>
        <v>-6.29263433853431</v>
      </c>
      <c r="Q9" s="13" t="n">
        <f aca="false">Q7+Q8</f>
        <v>48.8524843383707</v>
      </c>
      <c r="R9" s="13" t="n">
        <f aca="false">R7+R8</f>
        <v>49.8826656945088</v>
      </c>
      <c r="S9" s="13" t="n">
        <f aca="false">S7+S8</f>
        <v>49.6218581816983</v>
      </c>
      <c r="T9" s="13" t="n">
        <f aca="false">T7+T8</f>
        <v>50.2009068531375</v>
      </c>
      <c r="U9" s="13" t="n">
        <f aca="false">U7+U8</f>
        <v>49.8603583128226</v>
      </c>
      <c r="V9" s="13" t="n">
        <f aca="false">V7+V8</f>
        <v>50.3248714681387</v>
      </c>
      <c r="W9" s="13" t="n">
        <f aca="false">W7+W8</f>
        <v>50.5993486218694</v>
      </c>
      <c r="X9" s="13" t="n">
        <f aca="false">X7+X8</f>
        <v>51.1683050749246</v>
      </c>
      <c r="Y9" s="13" t="n">
        <f aca="false">Y7+Y8</f>
        <v>48.6187124216684</v>
      </c>
      <c r="Z9" s="13" t="n">
        <f aca="false">Z7+Z8</f>
        <v>49.1715822652207</v>
      </c>
      <c r="AA9" s="13" t="n">
        <f aca="false">AA7+AA8</f>
        <v>48.5363352747012</v>
      </c>
      <c r="AB9" s="13" t="n">
        <f aca="false">AB7+AB8</f>
        <v>49.1349728342719</v>
      </c>
      <c r="AC9" s="13" t="n">
        <f aca="false">AC7+AC8</f>
        <v>48.7853641113142</v>
      </c>
      <c r="AD9" s="13" t="n">
        <f aca="false">AD7+AD8</f>
        <v>49.2890827641981</v>
      </c>
      <c r="AE9" s="13" t="n">
        <f aca="false">AE7+AE8</f>
        <v>50.5521276735003</v>
      </c>
      <c r="AF9" s="13" t="n">
        <f aca="false">AF7+AF8</f>
        <v>51.3634301840619</v>
      </c>
      <c r="AG9" s="13" t="n">
        <f aca="false">AG7+AG8</f>
        <v>50.5952944106049</v>
      </c>
      <c r="AH9" s="13" t="n">
        <f aca="false">AH7+AH8</f>
        <v>51.306437415909</v>
      </c>
      <c r="AI9" s="13" t="n">
        <f aca="false">AI7+AI8</f>
        <v>50.9667680634296</v>
      </c>
      <c r="AJ9" s="13" t="n">
        <f aca="false">AJ7+AJ8</f>
        <v>51.5883831639225</v>
      </c>
      <c r="AK9" s="13" t="n">
        <f aca="false">AK7+AK8</f>
        <v>51.2309092052535</v>
      </c>
      <c r="AL9" s="13" t="n">
        <f aca="false">AL7+AL8</f>
        <v>51.737876305492</v>
      </c>
      <c r="AM9" s="13" t="n">
        <f aca="false">AM7+AM8</f>
        <v>52.1203860982191</v>
      </c>
      <c r="AN9" s="13" t="n">
        <f aca="false">AN7+AN8</f>
        <v>52.7304981449523</v>
      </c>
      <c r="AO9" s="13" t="n">
        <f aca="false">AO7+AO8</f>
        <v>49.7499258061995</v>
      </c>
      <c r="AP9" s="13" t="n">
        <f aca="false">AP7+AP8</f>
        <v>47.7430264948692</v>
      </c>
      <c r="AQ9" s="13" t="n">
        <f aca="false">AQ7+AQ8</f>
        <v>41.2585880179046</v>
      </c>
      <c r="AR9" s="13" t="n">
        <f aca="false">AR7+AR8</f>
        <v>41.3221446575737</v>
      </c>
      <c r="AS9" s="13" t="n">
        <f aca="false">AS7+AS8</f>
        <v>40.7702564497292</v>
      </c>
      <c r="AT9" s="13" t="n">
        <f aca="false">AT7+AT8</f>
        <v>41.2658563223646</v>
      </c>
      <c r="AU9" s="13" t="n">
        <f aca="false">AU7+AU8</f>
        <v>47.3968137577346</v>
      </c>
      <c r="AV9" s="13" t="n">
        <f aca="false">AV7+AV8</f>
        <v>43.7262659136173</v>
      </c>
      <c r="AW9" s="13" t="n">
        <f aca="false">AW7+AW8</f>
        <v>42.7821681609747</v>
      </c>
      <c r="AX9" s="13" t="n">
        <f aca="false">AX7+AX8</f>
        <v>43.5037895500025</v>
      </c>
      <c r="AY9" s="13" t="n">
        <f aca="false">AY7+AY8</f>
        <v>43.1057673812405</v>
      </c>
      <c r="AZ9" s="13" t="n">
        <f aca="false">AZ7+AZ8</f>
        <v>43.7400249655937</v>
      </c>
      <c r="BA9" s="13" t="n">
        <f aca="false">BA7+BA8</f>
        <v>43.3437806188668</v>
      </c>
      <c r="BB9" s="13" t="n">
        <f aca="false">BB7+BB8</f>
        <v>43.8448734537438</v>
      </c>
      <c r="BC9" s="13" t="n">
        <f aca="false">BC7+BC8</f>
        <v>45.332245492991</v>
      </c>
      <c r="BD9" s="13" t="n">
        <f aca="false">BD7+BD8</f>
        <v>43.910617474569</v>
      </c>
      <c r="BE9" s="13" t="n">
        <f aca="false">BE7+BE8</f>
        <v>35.6214736205507</v>
      </c>
      <c r="BF9" s="13" t="n">
        <f aca="false">BF7+BF8</f>
        <v>36.2864727032679</v>
      </c>
      <c r="BG9" s="13" t="n">
        <f aca="false">BG7+BG8</f>
        <v>35.8831486550327</v>
      </c>
      <c r="BH9" s="13" t="n">
        <f aca="false">BH7+BH8</f>
        <v>36.5433059584216</v>
      </c>
      <c r="BI9" s="13" t="n">
        <f aca="false">BI7+BI8</f>
        <v>36.1357728776975</v>
      </c>
      <c r="BJ9" s="13" t="n">
        <f aca="false">BJ7+BJ8</f>
        <v>36.6806151303341</v>
      </c>
      <c r="BK9" s="13" t="n">
        <f aca="false">BK7+BK8</f>
        <v>44.0853496234734</v>
      </c>
      <c r="BL9" s="13" t="n">
        <f aca="false">BL7+BL8</f>
        <v>39.6481874011396</v>
      </c>
      <c r="BM9" s="13" t="n">
        <f aca="false">BM7+BM8</f>
        <v>39.2646290074646</v>
      </c>
      <c r="BN9" s="13" t="n">
        <f aca="false">BN7+BN8</f>
        <v>43.0054822539661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836.33749336612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0</v>
      </c>
      <c r="Q10" s="13" t="n">
        <f aca="false">Debt!Q114+Debt!Q110</f>
        <v>38.0784785636734</v>
      </c>
      <c r="R10" s="13" t="n">
        <f aca="false">Debt!R114+Debt!R110</f>
        <v>37.7221331542987</v>
      </c>
      <c r="S10" s="13" t="n">
        <f aca="false">Debt!S114+Debt!S110</f>
        <v>37.5281545531907</v>
      </c>
      <c r="T10" s="13" t="n">
        <f aca="false">Debt!T114+Debt!T110</f>
        <v>37.9631538733717</v>
      </c>
      <c r="U10" s="13" t="n">
        <f aca="false">Debt!U114+Debt!U110</f>
        <v>37.7082706244657</v>
      </c>
      <c r="V10" s="13" t="n">
        <f aca="false">Debt!V114+Debt!V110</f>
        <v>38.0579949845098</v>
      </c>
      <c r="W10" s="13" t="n">
        <f aca="false">Debt!W114+Debt!W110</f>
        <v>38.2693400178687</v>
      </c>
      <c r="X10" s="13" t="n">
        <f aca="false">Debt!X114+Debt!X110</f>
        <v>38.6972519091503</v>
      </c>
      <c r="Y10" s="13" t="n">
        <f aca="false">Debt!Y114+Debt!Y110</f>
        <v>36.7718089512955</v>
      </c>
      <c r="Z10" s="13" t="n">
        <f aca="false">Debt!Z114+Debt!Z110</f>
        <v>37.1877837069667</v>
      </c>
      <c r="AA10" s="13" t="n">
        <f aca="false">Debt!AA114+Debt!AA110</f>
        <v>36.7104052003812</v>
      </c>
      <c r="AB10" s="13" t="n">
        <f aca="false">Debt!AB114+Debt!AB110</f>
        <v>36.5768366695475</v>
      </c>
      <c r="AC10" s="13" t="n">
        <f aca="false">Debt!AC114+Debt!AC110</f>
        <v>35.6077875362592</v>
      </c>
      <c r="AD10" s="13" t="n">
        <f aca="false">Debt!AD114+Debt!AD110</f>
        <v>35.2120494415483</v>
      </c>
      <c r="AE10" s="13" t="n">
        <f aca="false">Debt!AE114+Debt!AE110</f>
        <v>35.2884315016662</v>
      </c>
      <c r="AF10" s="13" t="n">
        <f aca="false">Debt!AF114+Debt!AF110</f>
        <v>34.8277577919536</v>
      </c>
      <c r="AG10" s="13" t="n">
        <f aca="false">Debt!AG114+Debt!AG110</f>
        <v>32.9864916303619</v>
      </c>
      <c r="AH10" s="13" t="n">
        <f aca="false">Debt!AH114+Debt!AH110</f>
        <v>32.0084913499243</v>
      </c>
      <c r="AI10" s="13" t="n">
        <f aca="false">Debt!AI114+Debt!AI110</f>
        <v>30.0227889442258</v>
      </c>
      <c r="AJ10" s="13" t="n">
        <f aca="false">Debt!AJ114+Debt!AJ110</f>
        <v>28.1889960320047</v>
      </c>
      <c r="AK10" s="13" t="n">
        <f aca="false">Debt!AK114+Debt!AK110</f>
        <v>25.0866963083622</v>
      </c>
      <c r="AL10" s="13" t="n">
        <f aca="false">Debt!AL114+Debt!AL110</f>
        <v>23.7273223083245</v>
      </c>
      <c r="AM10" s="13" t="n">
        <f aca="false">Debt!AM114+Debt!AM110</f>
        <v>24.1195799082983</v>
      </c>
      <c r="AN10" s="13" t="n">
        <f aca="false">Debt!AN114+Debt!AN110</f>
        <v>24.594162490729</v>
      </c>
      <c r="AO10" s="13" t="n">
        <f aca="false">Debt!AO114+Debt!AO110</f>
        <v>23.3953259137427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6.29263433853431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6.29263433853431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0</v>
      </c>
      <c r="P13" s="13" t="n">
        <f aca="false">MAX(0,P9-P10)</f>
        <v>0</v>
      </c>
      <c r="Q13" s="13" t="n">
        <f aca="false">MAX(0,Q9-Q10)</f>
        <v>10.7740057746973</v>
      </c>
      <c r="R13" s="13" t="n">
        <f aca="false">MAX(0,R9-R10)</f>
        <v>12.1605325402101</v>
      </c>
      <c r="S13" s="13" t="n">
        <f aca="false">MAX(0,S9-S10)</f>
        <v>12.0937036285076</v>
      </c>
      <c r="T13" s="13" t="n">
        <f aca="false">MAX(0,T9-T10)</f>
        <v>12.2377529797658</v>
      </c>
      <c r="U13" s="13" t="n">
        <f aca="false">MAX(0,U9-U10)</f>
        <v>12.1520876883569</v>
      </c>
      <c r="V13" s="13" t="n">
        <f aca="false">MAX(0,V9-V10)</f>
        <v>12.2668764836289</v>
      </c>
      <c r="W13" s="13" t="n">
        <f aca="false">MAX(0,W9-W10)</f>
        <v>12.3300086040007</v>
      </c>
      <c r="X13" s="13" t="n">
        <f aca="false">MAX(0,X9-X10)</f>
        <v>12.4710531657742</v>
      </c>
      <c r="Y13" s="13" t="n">
        <f aca="false">MAX(0,Y9-Y10)</f>
        <v>11.8469034703729</v>
      </c>
      <c r="Z13" s="13" t="n">
        <f aca="false">MAX(0,Z9-Z10)</f>
        <v>11.983798558254</v>
      </c>
      <c r="AA13" s="13" t="n">
        <f aca="false">MAX(0,AA9-AA10)</f>
        <v>11.8259300743199</v>
      </c>
      <c r="AB13" s="13" t="n">
        <f aca="false">MAX(0,AB9-AB10)</f>
        <v>12.5581361647244</v>
      </c>
      <c r="AC13" s="13" t="n">
        <f aca="false">MAX(0,AC9-AC10)</f>
        <v>13.1775765750549</v>
      </c>
      <c r="AD13" s="13" t="n">
        <f aca="false">MAX(0,AD9-AD10)</f>
        <v>14.0770333226498</v>
      </c>
      <c r="AE13" s="13" t="n">
        <f aca="false">MAX(0,AE9-AE10)</f>
        <v>15.2636961718341</v>
      </c>
      <c r="AF13" s="13" t="n">
        <f aca="false">MAX(0,AF9-AF10)</f>
        <v>16.5356723921084</v>
      </c>
      <c r="AG13" s="13" t="n">
        <f aca="false">MAX(0,AG9-AG10)</f>
        <v>17.608802780243</v>
      </c>
      <c r="AH13" s="13" t="n">
        <f aca="false">MAX(0,AH9-AH10)</f>
        <v>19.2979460659847</v>
      </c>
      <c r="AI13" s="13" t="n">
        <f aca="false">MAX(0,AI9-AI10)</f>
        <v>20.9439791192038</v>
      </c>
      <c r="AJ13" s="13" t="n">
        <f aca="false">MAX(0,AJ9-AJ10)</f>
        <v>23.3993871319178</v>
      </c>
      <c r="AK13" s="13" t="n">
        <f aca="false">MAX(0,AK9-AK10)</f>
        <v>26.1442128968913</v>
      </c>
      <c r="AL13" s="13" t="n">
        <f aca="false">MAX(0,AL9-AL10)</f>
        <v>28.0105539971675</v>
      </c>
      <c r="AM13" s="13" t="n">
        <f aca="false">MAX(0,AM9-AM10)</f>
        <v>28.0008061899208</v>
      </c>
      <c r="AN13" s="13" t="n">
        <f aca="false">MAX(0,AN9-AN10)</f>
        <v>28.1363356542233</v>
      </c>
      <c r="AO13" s="13" t="n">
        <f aca="false">MAX(0,AO9-AO10)</f>
        <v>26.3545998924569</v>
      </c>
      <c r="AP13" s="13" t="n">
        <f aca="false">MAX(0,AP9-AP10)</f>
        <v>47.7430264948692</v>
      </c>
      <c r="AQ13" s="13" t="n">
        <f aca="false">MAX(0,AQ9-AQ10)</f>
        <v>41.2585880179046</v>
      </c>
      <c r="AR13" s="13" t="n">
        <f aca="false">MAX(0,AR9-AR10)</f>
        <v>41.3221446575737</v>
      </c>
      <c r="AS13" s="13" t="n">
        <f aca="false">MAX(0,AS9-AS10)</f>
        <v>40.7702564497292</v>
      </c>
      <c r="AT13" s="13" t="n">
        <f aca="false">MAX(0,AT9-AT10)</f>
        <v>41.2658563223646</v>
      </c>
      <c r="AU13" s="13" t="n">
        <f aca="false">MAX(0,AU9-AU10)</f>
        <v>47.3968137577346</v>
      </c>
      <c r="AV13" s="13" t="n">
        <f aca="false">MAX(0,AV9-AV10)</f>
        <v>43.7262659136173</v>
      </c>
      <c r="AW13" s="13" t="n">
        <f aca="false">MAX(0,AW9-AW10)</f>
        <v>42.7821681609747</v>
      </c>
      <c r="AX13" s="13" t="n">
        <f aca="false">MAX(0,AX9-AX10)</f>
        <v>43.5037895500025</v>
      </c>
      <c r="AY13" s="13" t="n">
        <f aca="false">MAX(0,AY9-AY10)</f>
        <v>43.1057673812405</v>
      </c>
      <c r="AZ13" s="13" t="n">
        <f aca="false">MAX(0,AZ9-AZ10)</f>
        <v>43.7400249655937</v>
      </c>
      <c r="BA13" s="13" t="n">
        <f aca="false">MAX(0,BA9-BA10)</f>
        <v>43.3437806188668</v>
      </c>
      <c r="BB13" s="13" t="n">
        <f aca="false">MAX(0,BB9-BB10)</f>
        <v>43.8448734537438</v>
      </c>
      <c r="BC13" s="13" t="n">
        <f aca="false">MAX(0,BC9-BC10)</f>
        <v>45.332245492991</v>
      </c>
      <c r="BD13" s="13" t="n">
        <f aca="false">MAX(0,BD9-BD10)</f>
        <v>43.910617474569</v>
      </c>
      <c r="BE13" s="13" t="n">
        <f aca="false">MAX(0,BE9-BE10)</f>
        <v>35.6214736205507</v>
      </c>
      <c r="BF13" s="13" t="n">
        <f aca="false">MAX(0,BF9-BF10)</f>
        <v>36.2864727032679</v>
      </c>
      <c r="BG13" s="13" t="n">
        <f aca="false">MAX(0,BG9-BG10)</f>
        <v>35.8831486550327</v>
      </c>
      <c r="BH13" s="13" t="n">
        <f aca="false">MAX(0,BH9-BH10)</f>
        <v>36.5433059584216</v>
      </c>
      <c r="BI13" s="13" t="n">
        <f aca="false">MAX(0,BI9-BI10)</f>
        <v>36.1357728776975</v>
      </c>
      <c r="BJ13" s="13" t="n">
        <f aca="false">MAX(0,BJ9-BJ10)</f>
        <v>36.6806151303341</v>
      </c>
      <c r="BK13" s="13" t="n">
        <f aca="false">MAX(0,BK9-BK10)</f>
        <v>44.0853496234734</v>
      </c>
      <c r="BL13" s="13" t="n">
        <f aca="false">MAX(0,BL9-BL10)</f>
        <v>39.6481874011396</v>
      </c>
      <c r="BM13" s="13" t="n">
        <f aca="false">MAX(0,BM9-BM10)</f>
        <v>39.2646290074646</v>
      </c>
      <c r="BN13" s="13" t="n">
        <f aca="false">MAX(0,BN9-BN10)</f>
        <v>43.0054822539661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0</v>
      </c>
      <c r="P14" s="13" t="n">
        <f aca="false">P13-Reserves!P11+Reserves!P12</f>
        <v>0</v>
      </c>
      <c r="Q14" s="13" t="n">
        <f aca="false">Q13-Reserves!Q11+Reserves!Q12</f>
        <v>3.80037142827399</v>
      </c>
      <c r="R14" s="13" t="n">
        <f aca="false">R13-Reserves!R11+Reserves!R12</f>
        <v>12.3545111413181</v>
      </c>
      <c r="S14" s="13" t="n">
        <f aca="false">S13-Reserves!S11+Reserves!S12</f>
        <v>11.6587043083266</v>
      </c>
      <c r="T14" s="13" t="n">
        <f aca="false">T13-Reserves!T11+Reserves!T12</f>
        <v>12.4926362286718</v>
      </c>
      <c r="U14" s="13" t="n">
        <f aca="false">U13-Reserves!U11+Reserves!U12</f>
        <v>11.8023633283128</v>
      </c>
      <c r="V14" s="13" t="n">
        <f aca="false">V13-Reserves!V11+Reserves!V12</f>
        <v>12.05553145027</v>
      </c>
      <c r="W14" s="13" t="n">
        <f aca="false">W13-Reserves!W11+Reserves!W12</f>
        <v>11.902096712719</v>
      </c>
      <c r="X14" s="13" t="n">
        <f aca="false">X13-Reserves!X11+Reserves!X12</f>
        <v>14.396496123629</v>
      </c>
      <c r="Y14" s="13" t="n">
        <f aca="false">Y13-Reserves!Y11+Reserves!Y12</f>
        <v>11.4309287147017</v>
      </c>
      <c r="Z14" s="13" t="n">
        <f aca="false">Z13-Reserves!Z11+Reserves!Z12</f>
        <v>12.4611770648394</v>
      </c>
      <c r="AA14" s="13" t="n">
        <f aca="false">AA13-Reserves!AA11+Reserves!AA12</f>
        <v>11.37503787281</v>
      </c>
      <c r="AB14" s="13" t="n">
        <f aca="false">AB13-Reserves!AB11+Reserves!AB12</f>
        <v>13.3957127287785</v>
      </c>
      <c r="AC14" s="13" t="n">
        <f aca="false">AC13-Reserves!AC11+Reserves!AC12</f>
        <v>13.5187398267213</v>
      </c>
      <c r="AD14" s="13" t="n">
        <f aca="false">AD13-Reserves!AD11+Reserves!AD12</f>
        <v>13.9132423511509</v>
      </c>
      <c r="AE14" s="13" t="n">
        <f aca="false">AE13-Reserves!AE11+Reserves!AE12</f>
        <v>15.5367903308131</v>
      </c>
      <c r="AF14" s="13" t="n">
        <f aca="false">AF13-Reserves!AF11+Reserves!AF12</f>
        <v>18.1073715669927</v>
      </c>
      <c r="AG14" s="13" t="n">
        <f aca="false">AG13-Reserves!AG11+Reserves!AG12</f>
        <v>18.4168326466753</v>
      </c>
      <c r="AH14" s="13" t="n">
        <f aca="false">AH13-Reserves!AH11+Reserves!AH12</f>
        <v>20.9108244158038</v>
      </c>
      <c r="AI14" s="13" t="n">
        <f aca="false">AI13-Reserves!AI11+Reserves!AI12</f>
        <v>22.3552520234564</v>
      </c>
      <c r="AJ14" s="13" t="n">
        <f aca="false">AJ13-Reserves!AJ11+Reserves!AJ12</f>
        <v>25.7435661829515</v>
      </c>
      <c r="AK14" s="13" t="n">
        <f aca="false">AK13-Reserves!AK11+Reserves!AK12</f>
        <v>28.7789451685431</v>
      </c>
      <c r="AL14" s="13" t="n">
        <f aca="false">AL13-Reserves!AL11+Reserves!AL12</f>
        <v>29.3814368694861</v>
      </c>
      <c r="AM14" s="13" t="n">
        <f aca="false">AM13-Reserves!AM11+Reserves!AM12</f>
        <v>27.5262236074901</v>
      </c>
      <c r="AN14" s="13" t="n">
        <f aca="false">AN13-Reserves!AN11+Reserves!AN12</f>
        <v>29.3351722312096</v>
      </c>
      <c r="AO14" s="13" t="n">
        <f aca="false">AO13-Reserves!AO11+Reserves!AO12</f>
        <v>49.7499258061995</v>
      </c>
      <c r="AP14" s="13" t="n">
        <f aca="false">AP13-Reserves!AP11+Reserves!AP12</f>
        <v>47.7430264948692</v>
      </c>
      <c r="AQ14" s="13" t="n">
        <f aca="false">AQ13-Reserves!AQ11+Reserves!AQ12</f>
        <v>41.2585880179046</v>
      </c>
      <c r="AR14" s="13" t="n">
        <f aca="false">AR13-Reserves!AR11+Reserves!AR12</f>
        <v>41.3221446575737</v>
      </c>
      <c r="AS14" s="13" t="n">
        <f aca="false">AS13-Reserves!AS11+Reserves!AS12</f>
        <v>40.7702564497292</v>
      </c>
      <c r="AT14" s="13" t="n">
        <f aca="false">AT13-Reserves!AT11+Reserves!AT12</f>
        <v>41.2658563223646</v>
      </c>
      <c r="AU14" s="13" t="n">
        <f aca="false">AU13-Reserves!AU11+Reserves!AU12</f>
        <v>47.3968137577346</v>
      </c>
      <c r="AV14" s="13" t="n">
        <f aca="false">AV13-Reserves!AV11+Reserves!AV12</f>
        <v>43.7262659136173</v>
      </c>
      <c r="AW14" s="13" t="n">
        <f aca="false">AW13-Reserves!AW11+Reserves!AW12</f>
        <v>42.7821681609747</v>
      </c>
      <c r="AX14" s="13" t="n">
        <f aca="false">AX13-Reserves!AX11+Reserves!AX12</f>
        <v>43.5037895500025</v>
      </c>
      <c r="AY14" s="13" t="n">
        <f aca="false">AY13-Reserves!AY11+Reserves!AY12</f>
        <v>43.1057673812405</v>
      </c>
      <c r="AZ14" s="13" t="n">
        <f aca="false">AZ13-Reserves!AZ11+Reserves!AZ12</f>
        <v>43.7400249655937</v>
      </c>
      <c r="BA14" s="13" t="n">
        <f aca="false">BA13-Reserves!BA11+Reserves!BA12</f>
        <v>43.3437806188668</v>
      </c>
      <c r="BB14" s="13" t="n">
        <f aca="false">BB13-Reserves!BB11+Reserves!BB12</f>
        <v>43.8448734537438</v>
      </c>
      <c r="BC14" s="13" t="n">
        <f aca="false">BC13-Reserves!BC11+Reserves!BC12</f>
        <v>45.332245492991</v>
      </c>
      <c r="BD14" s="13" t="n">
        <f aca="false">BD13-Reserves!BD11+Reserves!BD12</f>
        <v>43.910617474569</v>
      </c>
      <c r="BE14" s="13" t="n">
        <f aca="false">BE13-Reserves!BE11+Reserves!BE12</f>
        <v>35.6214736205507</v>
      </c>
      <c r="BF14" s="13" t="n">
        <f aca="false">BF13-Reserves!BF11+Reserves!BF12</f>
        <v>36.2864727032679</v>
      </c>
      <c r="BG14" s="13" t="n">
        <f aca="false">BG13-Reserves!BG11+Reserves!BG12</f>
        <v>35.8831486550327</v>
      </c>
      <c r="BH14" s="13" t="n">
        <f aca="false">BH13-Reserves!BH11+Reserves!BH12</f>
        <v>36.5433059584216</v>
      </c>
      <c r="BI14" s="13" t="n">
        <f aca="false">BI13-Reserves!BI11+Reserves!BI12</f>
        <v>36.1357728776975</v>
      </c>
      <c r="BJ14" s="13" t="n">
        <f aca="false">BJ13-Reserves!BJ11+Reserves!BJ12</f>
        <v>36.6806151303341</v>
      </c>
      <c r="BK14" s="13" t="n">
        <f aca="false">BK13-Reserves!BK11+Reserves!BK12</f>
        <v>44.0853496234734</v>
      </c>
      <c r="BL14" s="13" t="n">
        <f aca="false">BL13-Reserves!BL11+Reserves!BL12</f>
        <v>39.6481874011396</v>
      </c>
      <c r="BM14" s="13" t="n">
        <f aca="false">BM13-Reserves!BM11+Reserves!BM12</f>
        <v>39.2646290074646</v>
      </c>
      <c r="BN14" s="13" t="n">
        <f aca="false">BN13-Reserves!BN11+Reserves!BN12</f>
        <v>43.0054822539661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0</v>
      </c>
      <c r="P15" s="13" t="n">
        <f aca="false">P14-Reserves!P14+Reserves!P15</f>
        <v>0</v>
      </c>
      <c r="Q15" s="13" t="n">
        <f aca="false">Q14-Reserves!Q14+Reserves!Q15</f>
        <v>3.80037142827399</v>
      </c>
      <c r="R15" s="13" t="n">
        <f aca="false">R14-Reserves!R14+Reserves!R15</f>
        <v>12.3545111413181</v>
      </c>
      <c r="S15" s="13" t="n">
        <f aca="false">S14-Reserves!S14+Reserves!S15</f>
        <v>11.6587043083266</v>
      </c>
      <c r="T15" s="13" t="n">
        <f aca="false">T14-Reserves!T14+Reserves!T15</f>
        <v>12.4926362286718</v>
      </c>
      <c r="U15" s="13" t="n">
        <f aca="false">U14-Reserves!U14+Reserves!U15</f>
        <v>11.8023633283128</v>
      </c>
      <c r="V15" s="13" t="n">
        <f aca="false">V14-Reserves!V14+Reserves!V15</f>
        <v>12.05553145027</v>
      </c>
      <c r="W15" s="13" t="n">
        <f aca="false">W14-Reserves!W14+Reserves!W15</f>
        <v>11.902096712719</v>
      </c>
      <c r="X15" s="13" t="n">
        <f aca="false">X14-Reserves!X14+Reserves!X15</f>
        <v>14.396496123629</v>
      </c>
      <c r="Y15" s="13" t="n">
        <f aca="false">Y14-Reserves!Y14+Reserves!Y15</f>
        <v>11.4309287147017</v>
      </c>
      <c r="Z15" s="13" t="n">
        <f aca="false">Z14-Reserves!Z14+Reserves!Z15</f>
        <v>12.4611770648394</v>
      </c>
      <c r="AA15" s="13" t="n">
        <f aca="false">AA14-Reserves!AA14+Reserves!AA15</f>
        <v>11.37503787281</v>
      </c>
      <c r="AB15" s="13" t="n">
        <f aca="false">AB14-Reserves!AB14+Reserves!AB15</f>
        <v>13.3957127287785</v>
      </c>
      <c r="AC15" s="13" t="n">
        <f aca="false">AC14-Reserves!AC14+Reserves!AC15</f>
        <v>13.5187398267213</v>
      </c>
      <c r="AD15" s="13" t="n">
        <f aca="false">AD14-Reserves!AD14+Reserves!AD15</f>
        <v>13.9132423511509</v>
      </c>
      <c r="AE15" s="13" t="n">
        <f aca="false">AE14-Reserves!AE14+Reserves!AE15</f>
        <v>15.5367903308131</v>
      </c>
      <c r="AF15" s="13" t="n">
        <f aca="false">AF14-Reserves!AF14+Reserves!AF15</f>
        <v>18.1073715669927</v>
      </c>
      <c r="AG15" s="13" t="n">
        <f aca="false">AG14-Reserves!AG14+Reserves!AG15</f>
        <v>18.4168326466753</v>
      </c>
      <c r="AH15" s="13" t="n">
        <f aca="false">AH14-Reserves!AH14+Reserves!AH15</f>
        <v>20.9108244158038</v>
      </c>
      <c r="AI15" s="13" t="n">
        <f aca="false">AI14-Reserves!AI14+Reserves!AI15</f>
        <v>22.3552520234564</v>
      </c>
      <c r="AJ15" s="13" t="n">
        <f aca="false">AJ14-Reserves!AJ14+Reserves!AJ15</f>
        <v>25.7435661829515</v>
      </c>
      <c r="AK15" s="13" t="n">
        <f aca="false">AK14-Reserves!AK14+Reserves!AK15</f>
        <v>28.7789451685431</v>
      </c>
      <c r="AL15" s="13" t="n">
        <f aca="false">AL14-Reserves!AL14+Reserves!AL15</f>
        <v>29.3814368694861</v>
      </c>
      <c r="AM15" s="13" t="n">
        <f aca="false">AM14-Reserves!AM14+Reserves!AM15</f>
        <v>27.5262236074901</v>
      </c>
      <c r="AN15" s="13" t="n">
        <f aca="false">AN14-Reserves!AN14+Reserves!AN15</f>
        <v>29.3351722312096</v>
      </c>
      <c r="AO15" s="13" t="n">
        <f aca="false">AO14-Reserves!AO14+Reserves!AO15</f>
        <v>49.7499258061995</v>
      </c>
      <c r="AP15" s="13" t="n">
        <f aca="false">AP14-Reserves!AP14+Reserves!AP15</f>
        <v>47.7430264948692</v>
      </c>
      <c r="AQ15" s="13" t="n">
        <f aca="false">AQ14-Reserves!AQ14+Reserves!AQ15</f>
        <v>41.2585880179046</v>
      </c>
      <c r="AR15" s="13" t="n">
        <f aca="false">AR14-Reserves!AR14+Reserves!AR15</f>
        <v>41.3221446575737</v>
      </c>
      <c r="AS15" s="13" t="n">
        <f aca="false">AS14-Reserves!AS14+Reserves!AS15</f>
        <v>40.7702564497292</v>
      </c>
      <c r="AT15" s="13" t="n">
        <f aca="false">AT14-Reserves!AT14+Reserves!AT15</f>
        <v>41.2658563223646</v>
      </c>
      <c r="AU15" s="13" t="n">
        <f aca="false">AU14-Reserves!AU14+Reserves!AU15</f>
        <v>47.3968137577346</v>
      </c>
      <c r="AV15" s="13" t="n">
        <f aca="false">AV14-Reserves!AV14+Reserves!AV15</f>
        <v>43.7262659136173</v>
      </c>
      <c r="AW15" s="13" t="n">
        <f aca="false">AW14-Reserves!AW14+Reserves!AW15</f>
        <v>42.7821681609747</v>
      </c>
      <c r="AX15" s="13" t="n">
        <f aca="false">AX14-Reserves!AX14+Reserves!AX15</f>
        <v>43.5037895500025</v>
      </c>
      <c r="AY15" s="13" t="n">
        <f aca="false">AY14-Reserves!AY14+Reserves!AY15</f>
        <v>43.1057673812405</v>
      </c>
      <c r="AZ15" s="13" t="n">
        <f aca="false">AZ14-Reserves!AZ14+Reserves!AZ15</f>
        <v>43.7400249655937</v>
      </c>
      <c r="BA15" s="13" t="n">
        <f aca="false">BA14-Reserves!BA14+Reserves!BA15</f>
        <v>43.3437806188668</v>
      </c>
      <c r="BB15" s="13" t="n">
        <f aca="false">BB14-Reserves!BB14+Reserves!BB15</f>
        <v>43.5918156531755</v>
      </c>
      <c r="BC15" s="13" t="n">
        <f aca="false">BC14-Reserves!BC14+Reserves!BC15</f>
        <v>43.7972877379491</v>
      </c>
      <c r="BD15" s="13" t="n">
        <f aca="false">BD14-Reserves!BD14+Reserves!BD15</f>
        <v>42.3588670414845</v>
      </c>
      <c r="BE15" s="13" t="n">
        <f aca="false">BE14-Reserves!BE14+Reserves!BE15</f>
        <v>34.052746794898</v>
      </c>
      <c r="BF15" s="13" t="n">
        <f aca="false">BF14-Reserves!BF14+Reserves!BF15</f>
        <v>34.7005837606556</v>
      </c>
      <c r="BG15" s="13" t="n">
        <f aca="false">BG14-Reserves!BG14+Reserves!BG15</f>
        <v>34.2799098392156</v>
      </c>
      <c r="BH15" s="13" t="n">
        <f aca="false">BH14-Reserves!BH14+Reserves!BH15</f>
        <v>34.9225274590717</v>
      </c>
      <c r="BI15" s="13" t="n">
        <f aca="false">BI14-Reserves!BI14+Reserves!BI15</f>
        <v>34.4972628079324</v>
      </c>
      <c r="BJ15" s="13" t="n">
        <f aca="false">BJ14-Reserves!BJ14+Reserves!BJ15</f>
        <v>35.0241795039986</v>
      </c>
      <c r="BK15" s="13" t="n">
        <f aca="false">BK14-Reserves!BK14+Reserves!BK15</f>
        <v>42.4107923321734</v>
      </c>
      <c r="BL15" s="13" t="n">
        <f aca="false">BL14-Reserves!BL14+Reserves!BL15</f>
        <v>37.9553101910247</v>
      </c>
      <c r="BM15" s="13" t="n">
        <f aca="false">BM14-Reserves!BM14+Reserves!BM15</f>
        <v>37.5532314557561</v>
      </c>
      <c r="BN15" s="13" t="n">
        <f aca="false">BN14-Reserves!BN14+Reserves!BN15</f>
        <v>61.0976590753166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0</v>
      </c>
      <c r="Q17" s="6" t="n">
        <f aca="false">IF(Debt!Q114&gt;Inputs!$F$253,Q7/Debt!Q114,0)</f>
        <v>1.28294212849606</v>
      </c>
      <c r="R17" s="6" t="n">
        <f aca="false">IF(Debt!R114&gt;Inputs!$F$253,R7/Debt!R114,0)</f>
        <v>1.32237128506144</v>
      </c>
      <c r="S17" s="6" t="n">
        <f aca="false">IF(Debt!S114&gt;Inputs!$F$253,S7/Debt!S114,0)</f>
        <v>1.32225681684844</v>
      </c>
      <c r="T17" s="6" t="n">
        <f aca="false">IF(Debt!T114&gt;Inputs!$F$253,T7/Debt!T114,0)</f>
        <v>1.3223587012972</v>
      </c>
      <c r="U17" s="6" t="n">
        <f aca="false">IF(Debt!U114&gt;Inputs!$F$253,U7/Debt!U114,0)</f>
        <v>1.32226584478983</v>
      </c>
      <c r="V17" s="6" t="n">
        <f aca="false">IF(Debt!V114&gt;Inputs!$F$253,V7/Debt!V114,0)</f>
        <v>1.32232061853552</v>
      </c>
      <c r="W17" s="6" t="n">
        <f aca="false">IF(Debt!W114&gt;Inputs!$F$253,W7/Debt!W114,0)</f>
        <v>1.32219025983316</v>
      </c>
      <c r="X17" s="6" t="n">
        <f aca="false">IF(Debt!X114&gt;Inputs!$F$253,X7/Debt!X114,0)</f>
        <v>1.32227232039765</v>
      </c>
      <c r="Y17" s="6" t="n">
        <f aca="false">IF(Debt!Y114&gt;Inputs!$F$253,Y7/Debt!Y114,0)</f>
        <v>1.32217352934864</v>
      </c>
      <c r="Z17" s="6" t="n">
        <f aca="false">IF(Debt!Z114&gt;Inputs!$F$253,Z7/Debt!Z114,0)</f>
        <v>1.32225094812545</v>
      </c>
      <c r="AA17" s="6" t="n">
        <f aca="false">IF(Debt!AA114&gt;Inputs!$F$253,AA7/Debt!AA114,0)</f>
        <v>1.32214109350657</v>
      </c>
      <c r="AB17" s="6" t="n">
        <f aca="false">IF(Debt!AB114&gt;Inputs!$F$253,AB7/Debt!AB114,0)</f>
        <v>1.34333576405692</v>
      </c>
      <c r="AC17" s="6" t="n">
        <f aca="false">IF(Debt!AC114&gt;Inputs!$F$253,AC7/Debt!AC114,0)</f>
        <v>1.37007569093239</v>
      </c>
      <c r="AD17" s="6" t="n">
        <f aca="false">IF(Debt!AD114&gt;Inputs!$F$253,AD7/Debt!AD114,0)</f>
        <v>1.39977886961728</v>
      </c>
      <c r="AE17" s="6" t="n">
        <f aca="false">IF(Debt!AE114&gt;Inputs!$F$253,AE7/Debt!AE114,0)</f>
        <v>1.43254107712646</v>
      </c>
      <c r="AF17" s="6" t="n">
        <f aca="false">IF(Debt!AF114&gt;Inputs!$F$253,AF7/Debt!AF114,0)</f>
        <v>1.47478429392112</v>
      </c>
      <c r="AG17" s="6" t="n">
        <f aca="false">IF(Debt!AG114&gt;Inputs!$F$253,AG7/Debt!AG114,0)</f>
        <v>1.5338185999761</v>
      </c>
      <c r="AH17" s="6" t="n">
        <f aca="false">IF(Debt!AH114&gt;Inputs!$F$253,AH7/Debt!AH114,0)</f>
        <v>1.60290083200158</v>
      </c>
      <c r="AI17" s="6" t="n">
        <f aca="false">IF(Debt!AI114&gt;Inputs!$F$253,AI7/Debt!AI114,0)</f>
        <v>1.69760271632699</v>
      </c>
      <c r="AJ17" s="6" t="n">
        <f aca="false">IF(Debt!AJ114&gt;Inputs!$F$253,AJ7/Debt!AJ114,0)</f>
        <v>1.83008941167508</v>
      </c>
      <c r="AK17" s="6" t="n">
        <f aca="false">IF(Debt!AK114&gt;Inputs!$F$253,AK7/Debt!AK114,0)</f>
        <v>2.0421544780361</v>
      </c>
      <c r="AL17" s="6" t="n">
        <f aca="false">IF(Debt!AL114&gt;Inputs!$F$253,AL7/Debt!AL114,0)</f>
        <v>2.18051896599138</v>
      </c>
      <c r="AM17" s="6" t="n">
        <f aca="false">IF(Debt!AM114&gt;Inputs!$F$253,AM7/Debt!AM114,0)</f>
        <v>2.16091599838715</v>
      </c>
      <c r="AN17" s="6" t="n">
        <f aca="false">IF(Debt!AN114&gt;Inputs!$F$253,AN7/Debt!AN114,0)</f>
        <v>2.14402495571173</v>
      </c>
      <c r="AO17" s="6" t="n">
        <f aca="false">IF(Debt!AO114&gt;Inputs!$F$253,AO7/Debt!AO114,0)</f>
        <v>2.12648996597119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0</v>
      </c>
      <c r="Q18" s="6" t="n">
        <f aca="false">IF(Debt!Q114&gt;Inputs!$F$253,IF(Debt!P114&gt;Inputs!$F$253,(Q7+P7)/(Debt!Q114+Debt!P114),Q17),0)</f>
        <v>1.28294212849606</v>
      </c>
      <c r="R18" s="6" t="n">
        <f aca="false">IF(Debt!R114&gt;Inputs!$F$253,IF(Debt!Q114&gt;Inputs!$F$253,(R7+Q7)/(Debt!R114+Debt!Q114),R17),0)</f>
        <v>1.30256402679491</v>
      </c>
      <c r="S18" s="6" t="n">
        <f aca="false">IF(Debt!S114&gt;Inputs!$F$253,IF(Debt!R114&gt;Inputs!$F$253,(S7+R7)/(Debt!S114+Debt!R114),S17),0)</f>
        <v>1.32231419849181</v>
      </c>
      <c r="T18" s="6" t="n">
        <f aca="false">IF(Debt!T114&gt;Inputs!$F$253,IF(Debt!S114&gt;Inputs!$F$253,(T7+S7)/(Debt!T114+Debt!S114),T17),0)</f>
        <v>1.32230805261433</v>
      </c>
      <c r="U18" s="6" t="n">
        <f aca="false">IF(Debt!U114&gt;Inputs!$F$253,IF(Debt!T114&gt;Inputs!$F$253,(U7+T7)/(Debt!U114+Debt!T114),U17),0)</f>
        <v>1.3223124294273</v>
      </c>
      <c r="V18" s="6" t="n">
        <f aca="false">IF(Debt!V114&gt;Inputs!$F$253,IF(Debt!U114&gt;Inputs!$F$253,(V7+U7)/(Debt!V114+Debt!U114),V17),0)</f>
        <v>1.32229335807588</v>
      </c>
      <c r="W18" s="6" t="n">
        <f aca="false">IF(Debt!W114&gt;Inputs!$F$253,IF(Debt!V114&gt;Inputs!$F$253,(W7+V7)/(Debt!W114+Debt!V114),W17),0)</f>
        <v>1.32225525870729</v>
      </c>
      <c r="X18" s="6" t="n">
        <f aca="false">IF(Debt!X114&gt;Inputs!$F$253,IF(Debt!W114&gt;Inputs!$F$253,(X7+W7)/(Debt!X114+Debt!W114),X17),0)</f>
        <v>1.32223151823185</v>
      </c>
      <c r="Y18" s="6" t="n">
        <f aca="false">IF(Debt!Y114&gt;Inputs!$F$253,IF(Debt!X114&gt;Inputs!$F$253,(Y7+X7)/(Debt!Y114+Debt!X114),Y17),0)</f>
        <v>1.32222418510169</v>
      </c>
      <c r="Z18" s="6" t="n">
        <f aca="false">IF(Debt!Z114&gt;Inputs!$F$253,IF(Debt!Y114&gt;Inputs!$F$253,(Z7+Y7)/(Debt!Z114+Debt!Y114),Z17),0)</f>
        <v>1.32221245645226</v>
      </c>
      <c r="AA18" s="6" t="n">
        <f aca="false">IF(Debt!AA114&gt;Inputs!$F$253,IF(Debt!Z114&gt;Inputs!$F$253,(AA7+Z7)/(Debt!AA114+Debt!Z114),AA17),0)</f>
        <v>1.32219637564361</v>
      </c>
      <c r="AB18" s="6" t="n">
        <f aca="false">IF(Debt!AB114&gt;Inputs!$F$253,IF(Debt!AA114&gt;Inputs!$F$253,(AB7+AA7)/(Debt!AB114+Debt!AA114),AB17),0)</f>
        <v>1.332719114772</v>
      </c>
      <c r="AC18" s="6" t="n">
        <f aca="false">IF(Debt!AC114&gt;Inputs!$F$253,IF(Debt!AB114&gt;Inputs!$F$253,(AC7+AB7)/(Debt!AC114+Debt!AB114),AC17),0)</f>
        <v>1.35652624118959</v>
      </c>
      <c r="AD18" s="6" t="n">
        <f aca="false">IF(Debt!AD114&gt;Inputs!$F$253,IF(Debt!AC114&gt;Inputs!$F$253,(AD7+AC7)/(Debt!AD114+Debt!AC114),AD17),0)</f>
        <v>1.38484429025508</v>
      </c>
      <c r="AE18" s="6" t="n">
        <f aca="false">IF(Debt!AE114&gt;Inputs!$F$253,IF(Debt!AD114&gt;Inputs!$F$253,(AE7+AD7)/(Debt!AE114+Debt!AD114),AE17),0)</f>
        <v>1.41617772108699</v>
      </c>
      <c r="AF18" s="6" t="n">
        <f aca="false">IF(Debt!AF114&gt;Inputs!$F$253,IF(Debt!AE114&gt;Inputs!$F$253,(AF7+AE7)/(Debt!AF114+Debt!AE114),AF17),0)</f>
        <v>1.45352391344</v>
      </c>
      <c r="AG18" s="6" t="n">
        <f aca="false">IF(Debt!AG114&gt;Inputs!$F$253,IF(Debt!AF114&gt;Inputs!$F$253,(AG7+AF7)/(Debt!AG114+Debt!AF114),AG17),0)</f>
        <v>1.50350000867392</v>
      </c>
      <c r="AH18" s="6" t="n">
        <f aca="false">IF(Debt!AH114&gt;Inputs!$F$253,IF(Debt!AG114&gt;Inputs!$F$253,(AH7+AG7)/(Debt!AH114+Debt!AG114),AH17),0)</f>
        <v>1.56783996477731</v>
      </c>
      <c r="AI18" s="6" t="n">
        <f aca="false">IF(Debt!AI114&gt;Inputs!$F$253,IF(Debt!AH114&gt;Inputs!$F$253,(AI7+AH7)/(Debt!AI114+Debt!AH114),AI17),0)</f>
        <v>1.64873600858088</v>
      </c>
      <c r="AJ18" s="6" t="n">
        <f aca="false">IF(Debt!AJ114&gt;Inputs!$F$253,IF(Debt!AI114&gt;Inputs!$F$253,(AJ7+AI7)/(Debt!AJ114+Debt!AI114),AJ17),0)</f>
        <v>1.76175926007471</v>
      </c>
      <c r="AK18" s="6" t="n">
        <f aca="false">IF(Debt!AK114&gt;Inputs!$F$253,IF(Debt!AJ114&gt;Inputs!$F$253,(AK7+AJ7)/(Debt!AK114+Debt!AJ114),AK17),0)</f>
        <v>1.92994755867809</v>
      </c>
      <c r="AL18" s="6" t="n">
        <f aca="false">IF(Debt!AL114&gt;Inputs!$F$253,IF(Debt!AK114&gt;Inputs!$F$253,(AL7+AK7)/(Debt!AL114+Debt!AK114),AL17),0)</f>
        <v>2.10941013316913</v>
      </c>
      <c r="AM18" s="6" t="n">
        <f aca="false">IF(Debt!AM114&gt;Inputs!$F$253,IF(Debt!AL114&gt;Inputs!$F$253,(AM7+AL7)/(Debt!AM114+Debt!AL114),AM17),0)</f>
        <v>2.17063712784376</v>
      </c>
      <c r="AN18" s="6" t="n">
        <f aca="false">IF(Debt!AN114&gt;Inputs!$F$253,IF(Debt!AM114&gt;Inputs!$F$253,(AN7+AM7)/(Debt!AN114+Debt!AM114),AN17),0)</f>
        <v>2.15238819847405</v>
      </c>
      <c r="AO18" s="6" t="n">
        <f aca="false">IF(Debt!AO114&gt;Inputs!$F$253,IF(Debt!AN114&gt;Inputs!$F$253,(AO7+AN7)/(Debt!AO114+Debt!AN114),AO17),0)</f>
        <v>2.13547648367101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0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0</v>
      </c>
      <c r="R20" s="10" t="n">
        <f aca="false">IF(AND(Debt!R114&gt;Inputs!$F$253,R18&lt;Inputs!$F$109),1,0)</f>
        <v>0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0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0</v>
      </c>
      <c r="R25" s="10" t="n">
        <f aca="false">IF(AND(R24=0,R19=1,Debt!R114&gt;Inputs!$F$253),1,0)</f>
        <v>0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0</v>
      </c>
      <c r="R26" s="10" t="n">
        <f aca="false">IF(R25=1,Q26+1,0)</f>
        <v>0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92.7349396814992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5.68751893640502</v>
      </c>
      <c r="AB29" s="13" t="n">
        <f aca="false">IF(AND(AB24=1,Time!AB52=1,Inputs!$F$52=1),MIN(Inputs!$F$111*AB15,Debt!AB73),0)</f>
        <v>6.69785636438926</v>
      </c>
      <c r="AC29" s="13" t="n">
        <f aca="false">IF(AND(AC24=1,Time!AC52=1,Inputs!$F$52=1),MIN(Inputs!$F$111*AC15,Debt!AC73),0)</f>
        <v>6.75936991336065</v>
      </c>
      <c r="AD29" s="13" t="n">
        <f aca="false">IF(AND(AD24=1,Time!AD52=1,Inputs!$F$52=1),MIN(Inputs!$F$111*AD15,Debt!AD73),0)</f>
        <v>6.95662117557544</v>
      </c>
      <c r="AE29" s="13" t="n">
        <f aca="false">IF(AND(AE24=1,Time!AE52=1,Inputs!$F$52=1),MIN(Inputs!$F$111*AE15,Debt!AE73),0)</f>
        <v>7.76839516540654</v>
      </c>
      <c r="AF29" s="13" t="n">
        <f aca="false">IF(AND(AF24=1,Time!AF52=1,Inputs!$F$52=1),MIN(Inputs!$F$111*AF15,Debt!AF73),0)</f>
        <v>9.05368578349636</v>
      </c>
      <c r="AG29" s="13" t="n">
        <f aca="false">IF(AND(AG24=1,Time!AG52=1,Inputs!$F$52=1),MIN(Inputs!$F$111*AG15,Debt!AG73),0)</f>
        <v>9.20841632333767</v>
      </c>
      <c r="AH29" s="13" t="n">
        <f aca="false">IF(AND(AH24=1,Time!AH52=1,Inputs!$F$52=1),MIN(Inputs!$F$111*AH15,Debt!AH73),0)</f>
        <v>10.4554122079019</v>
      </c>
      <c r="AI29" s="13" t="n">
        <f aca="false">IF(AND(AI24=1,Time!AI52=1,Inputs!$F$52=1),MIN(Inputs!$F$111*AI15,Debt!AI73),0)</f>
        <v>11.1776260117282</v>
      </c>
      <c r="AJ29" s="13" t="n">
        <f aca="false">IF(AND(AJ24=1,Time!AJ52=1,Inputs!$F$52=1),MIN(Inputs!$F$111*AJ15,Debt!AJ73),0)</f>
        <v>12.8717830914757</v>
      </c>
      <c r="AK29" s="13" t="n">
        <f aca="false">IF(AND(AK24=1,Time!AK52=1,Inputs!$F$52=1),MIN(Inputs!$F$111*AK15,Debt!AK73),0)</f>
        <v>6.09825470842245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0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1395.86560639177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0</v>
      </c>
      <c r="Q31" s="13" t="n">
        <f aca="false">IF(Q24=1,Q15-Q29,0)</f>
        <v>3.80037142827399</v>
      </c>
      <c r="R31" s="13" t="n">
        <f aca="false">IF(R24=1,R15-R29,0)</f>
        <v>12.3545111413181</v>
      </c>
      <c r="S31" s="13" t="n">
        <f aca="false">IF(S24=1,S15-S29,0)</f>
        <v>11.6587043083266</v>
      </c>
      <c r="T31" s="13" t="n">
        <f aca="false">IF(T24=1,T15-T29,0)</f>
        <v>12.4926362286718</v>
      </c>
      <c r="U31" s="13" t="n">
        <f aca="false">IF(U24=1,U15-U29,0)</f>
        <v>11.8023633283128</v>
      </c>
      <c r="V31" s="13" t="n">
        <f aca="false">IF(V24=1,V15-V29,0)</f>
        <v>12.05553145027</v>
      </c>
      <c r="W31" s="13" t="n">
        <f aca="false">IF(W24=1,W15-W29,0)</f>
        <v>11.902096712719</v>
      </c>
      <c r="X31" s="13" t="n">
        <f aca="false">IF(X24=1,X15-X29,0)</f>
        <v>14.396496123629</v>
      </c>
      <c r="Y31" s="13" t="n">
        <f aca="false">IF(Y24=1,Y15-Y29,0)</f>
        <v>11.4309287147017</v>
      </c>
      <c r="Z31" s="13" t="n">
        <f aca="false">IF(Z24=1,Z15-Z29,0)</f>
        <v>12.4611770648394</v>
      </c>
      <c r="AA31" s="13" t="n">
        <f aca="false">IF(AA24=1,AA15-AA29,0)</f>
        <v>5.68751893640502</v>
      </c>
      <c r="AB31" s="13" t="n">
        <f aca="false">IF(AB24=1,AB15-AB29,0)</f>
        <v>6.69785636438926</v>
      </c>
      <c r="AC31" s="13" t="n">
        <f aca="false">IF(AC24=1,AC15-AC29,0)</f>
        <v>6.75936991336065</v>
      </c>
      <c r="AD31" s="13" t="n">
        <f aca="false">IF(AD24=1,AD15-AD29,0)</f>
        <v>6.95662117557544</v>
      </c>
      <c r="AE31" s="13" t="n">
        <f aca="false">IF(AE24=1,AE15-AE29,0)</f>
        <v>7.76839516540654</v>
      </c>
      <c r="AF31" s="13" t="n">
        <f aca="false">IF(AF24=1,AF15-AF29,0)</f>
        <v>9.05368578349636</v>
      </c>
      <c r="AG31" s="13" t="n">
        <f aca="false">IF(AG24=1,AG15-AG29,0)</f>
        <v>9.20841632333767</v>
      </c>
      <c r="AH31" s="13" t="n">
        <f aca="false">IF(AH24=1,AH15-AH29,0)</f>
        <v>10.4554122079019</v>
      </c>
      <c r="AI31" s="13" t="n">
        <f aca="false">IF(AI24=1,AI15-AI29,0)</f>
        <v>11.1776260117282</v>
      </c>
      <c r="AJ31" s="13" t="n">
        <f aca="false">IF(AJ24=1,AJ15-AJ29,0)</f>
        <v>12.8717830914757</v>
      </c>
      <c r="AK31" s="13" t="n">
        <f aca="false">IF(AK24=1,AK15-AK29,0)</f>
        <v>22.6806904601206</v>
      </c>
      <c r="AL31" s="13" t="n">
        <f aca="false">IF(AL24=1,AL15-AL29,0)</f>
        <v>29.3814368694861</v>
      </c>
      <c r="AM31" s="13" t="n">
        <f aca="false">IF(AM24=1,AM15-AM29,0)</f>
        <v>27.5262236074901</v>
      </c>
      <c r="AN31" s="13" t="n">
        <f aca="false">IF(AN24=1,AN15-AN29,0)</f>
        <v>29.3351722312096</v>
      </c>
      <c r="AO31" s="13" t="n">
        <f aca="false">IF(AO24=1,AO15-AO29,0)</f>
        <v>49.7499258061995</v>
      </c>
      <c r="AP31" s="13" t="n">
        <f aca="false">IF(AP24=1,AP15-AP29,0)</f>
        <v>47.7430264948692</v>
      </c>
      <c r="AQ31" s="13" t="n">
        <f aca="false">IF(AQ24=1,AQ15-AQ29,0)</f>
        <v>41.2585880179046</v>
      </c>
      <c r="AR31" s="13" t="n">
        <f aca="false">IF(AR24=1,AR15-AR29,0)</f>
        <v>41.3221446575737</v>
      </c>
      <c r="AS31" s="13" t="n">
        <f aca="false">IF(AS24=1,AS15-AS29,0)</f>
        <v>40.7702564497292</v>
      </c>
      <c r="AT31" s="13" t="n">
        <f aca="false">IF(AT24=1,AT15-AT29,0)</f>
        <v>41.2658563223646</v>
      </c>
      <c r="AU31" s="13" t="n">
        <f aca="false">IF(AU24=1,AU15-AU29,0)</f>
        <v>47.3968137577346</v>
      </c>
      <c r="AV31" s="13" t="n">
        <f aca="false">IF(AV24=1,AV15-AV29,0)</f>
        <v>43.7262659136173</v>
      </c>
      <c r="AW31" s="13" t="n">
        <f aca="false">IF(AW24=1,AW15-AW29,0)</f>
        <v>42.7821681609747</v>
      </c>
      <c r="AX31" s="13" t="n">
        <f aca="false">IF(AX24=1,AX15-AX29,0)</f>
        <v>43.5037895500025</v>
      </c>
      <c r="AY31" s="13" t="n">
        <f aca="false">IF(AY24=1,AY15-AY29,0)</f>
        <v>43.1057673812405</v>
      </c>
      <c r="AZ31" s="13" t="n">
        <f aca="false">IF(AZ24=1,AZ15-AZ29,0)</f>
        <v>43.7400249655937</v>
      </c>
      <c r="BA31" s="13" t="n">
        <f aca="false">IF(BA24=1,BA15-BA29,0)</f>
        <v>43.3437806188668</v>
      </c>
      <c r="BB31" s="13" t="n">
        <f aca="false">IF(BB24=1,BB15-BB29,0)</f>
        <v>43.5918156531755</v>
      </c>
      <c r="BC31" s="13" t="n">
        <f aca="false">IF(BC24=1,BC15-BC29,0)</f>
        <v>43.7972877379491</v>
      </c>
      <c r="BD31" s="13" t="n">
        <f aca="false">IF(BD24=1,BD15-BD29,0)</f>
        <v>42.3588670414845</v>
      </c>
      <c r="BE31" s="13" t="n">
        <f aca="false">IF(BE24=1,BE15-BE29,0)</f>
        <v>34.052746794898</v>
      </c>
      <c r="BF31" s="13" t="n">
        <f aca="false">IF(BF24=1,BF15-BF29,0)</f>
        <v>34.7005837606556</v>
      </c>
      <c r="BG31" s="13" t="n">
        <f aca="false">IF(BG24=1,BG15-BG29,0)</f>
        <v>34.2799098392156</v>
      </c>
      <c r="BH31" s="13" t="n">
        <f aca="false">IF(BH24=1,BH15-BH29,0)</f>
        <v>34.9225274590717</v>
      </c>
      <c r="BI31" s="13" t="n">
        <f aca="false">IF(BI24=1,BI15-BI29,0)</f>
        <v>34.4972628079324</v>
      </c>
      <c r="BJ31" s="13" t="n">
        <f aca="false">IF(BJ24=1,BJ15-BJ29,0)</f>
        <v>35.0241795039986</v>
      </c>
      <c r="BK31" s="13" t="n">
        <f aca="false">IF(BK24=1,BK15-BK29,0)</f>
        <v>42.4107923321734</v>
      </c>
      <c r="BL31" s="13" t="n">
        <f aca="false">IF(BL24=1,BL15-BL29,0)</f>
        <v>37.9553101910247</v>
      </c>
      <c r="BM31" s="13" t="n">
        <f aca="false">IF(BM24=1,BM15-BM29,0)</f>
        <v>37.5532314557561</v>
      </c>
      <c r="BN31" s="13" t="n">
        <f aca="false">IF(BN24=1,BN15-BN29,0)</f>
        <v>61.0976590753166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45.1448022535252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0</v>
      </c>
      <c r="P33" s="13" t="n">
        <f aca="false">IF(Time!P20&lt;Time!$F$12,0,IF(Time!P34=1,INDEX(Funding!$J$72:$BJ$72,1,Time!$F$14),O36))</f>
        <v>210.441697577392</v>
      </c>
      <c r="Q33" s="13" t="n">
        <f aca="false">IF(Time!Q20&lt;Time!$F$12,0,IF(Time!Q34=1,INDEX(Funding!$J$72:$BJ$72,1,Time!$F$14),P36))</f>
        <v>212.139644972914</v>
      </c>
      <c r="R33" s="13" t="n">
        <f aca="false">IF(Time!R20&lt;Time!$F$12,0,IF(Time!R34=1,INDEX(Funding!$J$72:$BJ$72,1,Time!$F$14),Q36))</f>
        <v>218.333085038638</v>
      </c>
      <c r="S33" s="13" t="n">
        <f aca="false">IF(Time!S20&lt;Time!$F$12,0,IF(Time!S34=1,INDEX(Funding!$J$72:$BJ$72,1,Time!$F$14),R36))</f>
        <v>216.434635065745</v>
      </c>
      <c r="T33" s="13" t="n">
        <f aca="false">IF(Time!T20&lt;Time!$F$12,0,IF(Time!T34=1,INDEX(Funding!$J$72:$BJ$72,1,Time!$F$14),S36))</f>
        <v>214.972077469626</v>
      </c>
      <c r="U33" s="13" t="n">
        <f aca="false">IF(Time!U20&lt;Time!$F$12,0,IF(Time!U34=1,INDEX(Funding!$J$72:$BJ$72,1,Time!$F$14),T36))</f>
        <v>212.774542375664</v>
      </c>
      <c r="V33" s="13" t="n">
        <f aca="false">IF(Time!V20&lt;Time!$F$12,0,IF(Time!V34=1,INDEX(Funding!$J$72:$BJ$72,1,Time!$F$14),U36))</f>
        <v>211.051279972488</v>
      </c>
      <c r="W33" s="13" t="n">
        <f aca="false">IF(Time!W20&lt;Time!$F$12,0,IF(Time!W34=1,INDEX(Funding!$J$72:$BJ$72,1,Time!$F$14),V36))</f>
        <v>209.103081053504</v>
      </c>
      <c r="X33" s="13" t="n">
        <f aca="false">IF(Time!X20&lt;Time!$F$12,0,IF(Time!X34=1,INDEX(Funding!$J$72:$BJ$72,1,Time!$F$14),W36))</f>
        <v>207.051744556442</v>
      </c>
      <c r="Y33" s="13" t="n">
        <f aca="false">IF(Time!Y20&lt;Time!$F$12,0,IF(Time!Y34=1,INDEX(Funding!$J$72:$BJ$72,1,Time!$F$14),X36))</f>
        <v>202.571041569379</v>
      </c>
      <c r="Z33" s="13" t="n">
        <f aca="false">IF(Time!Z20&lt;Time!$F$12,0,IF(Time!Z34=1,INDEX(Funding!$J$72:$BJ$72,1,Time!$F$14),Y36))</f>
        <v>200.683151374638</v>
      </c>
      <c r="AA33" s="13" t="n">
        <f aca="false">IF(Time!AA20&lt;Time!$F$12,0,IF(Time!AA34=1,INDEX(Funding!$J$72:$BJ$72,1,Time!$F$14),Z36))</f>
        <v>197.832772901658</v>
      </c>
      <c r="AB33" s="13" t="n">
        <f aca="false">IF(Time!AB20&lt;Time!$F$12,0,IF(Time!AB34=1,INDEX(Funding!$J$72:$BJ$72,1,Time!$F$14),AA36))</f>
        <v>201.46507459551</v>
      </c>
      <c r="AC33" s="13" t="n">
        <f aca="false">IF(Time!AC20&lt;Time!$F$12,0,IF(Time!AC34=1,INDEX(Funding!$J$72:$BJ$72,1,Time!$F$14),AB36))</f>
        <v>204.415463447366</v>
      </c>
      <c r="AD33" s="13" t="n">
        <f aca="false">IF(Time!AD20&lt;Time!$F$12,0,IF(Time!AD34=1,INDEX(Funding!$J$72:$BJ$72,1,Time!$F$14),AC36))</f>
        <v>207.339226035389</v>
      </c>
      <c r="AE33" s="13" t="n">
        <f aca="false">IF(Time!AE20&lt;Time!$F$12,0,IF(Time!AE34=1,INDEX(Funding!$J$72:$BJ$72,1,Time!$F$14),AD36))</f>
        <v>210.312165602549</v>
      </c>
      <c r="AF33" s="13" t="n">
        <f aca="false">IF(Time!AF20&lt;Time!$F$12,0,IF(Time!AF34=1,INDEX(Funding!$J$72:$BJ$72,1,Time!$F$14),AE36))</f>
        <v>212.451490129022</v>
      </c>
      <c r="AG33" s="13" t="n">
        <f aca="false">IF(Time!AG20&lt;Time!$F$12,0,IF(Time!AG34=1,INDEX(Funding!$J$72:$BJ$72,1,Time!$F$14),AF36))</f>
        <v>213.572193516636</v>
      </c>
      <c r="AH33" s="13" t="n">
        <f aca="false">IF(Time!AH20&lt;Time!$F$12,0,IF(Time!AH34=1,INDEX(Funding!$J$72:$BJ$72,1,Time!$F$14),AG36))</f>
        <v>214.425075460472</v>
      </c>
      <c r="AI33" s="13" t="n">
        <f aca="false">IF(Time!AI20&lt;Time!$F$12,0,IF(Time!AI34=1,INDEX(Funding!$J$72:$BJ$72,1,Time!$F$14),AH36))</f>
        <v>214.238568236266</v>
      </c>
      <c r="AJ33" s="13" t="n">
        <f aca="false">IF(Time!AJ20&lt;Time!$F$12,0,IF(Time!AJ34=1,INDEX(Funding!$J$72:$BJ$72,1,Time!$F$14),AI36))</f>
        <v>213.153633130902</v>
      </c>
      <c r="AK33" s="13" t="n">
        <f aca="false">IF(Time!AK20&lt;Time!$F$12,0,IF(Time!AK34=1,INDEX(Funding!$J$72:$BJ$72,1,Time!$F$14),AJ36))</f>
        <v>210.489865127448</v>
      </c>
      <c r="AL33" s="13" t="n">
        <f aca="false">IF(Time!AL20&lt;Time!$F$12,0,IF(Time!AL34=1,INDEX(Funding!$J$72:$BJ$72,1,Time!$F$14),AK36))</f>
        <v>197.780050744187</v>
      </c>
      <c r="AM33" s="13" t="n">
        <f aca="false">IF(Time!AM20&lt;Time!$F$12,0,IF(Time!AM34=1,INDEX(Funding!$J$72:$BJ$72,1,Time!$F$14),AL36))</f>
        <v>177.870381784313</v>
      </c>
      <c r="AN33" s="13" t="n">
        <f aca="false">IF(Time!AN20&lt;Time!$F$12,0,IF(Time!AN34=1,INDEX(Funding!$J$72:$BJ$72,1,Time!$F$14),AM36))</f>
        <v>158.723558765264</v>
      </c>
      <c r="AO33" s="13" t="n">
        <f aca="false">IF(Time!AO20&lt;Time!$F$12,0,IF(Time!AO34=1,INDEX(Funding!$J$72:$BJ$72,1,Time!$F$14),AN36))</f>
        <v>136.989722992183</v>
      </c>
      <c r="AP33" s="13" t="n">
        <f aca="false">IF(Time!AP20&lt;Time!$F$12,0,IF(Time!AP34=1,INDEX(Funding!$J$72:$BJ$72,1,Time!$F$14),AO36))</f>
        <v>93.6933267389986</v>
      </c>
      <c r="AQ33" s="13" t="n">
        <f aca="false">IF(Time!AQ20&lt;Time!$F$12,0,IF(Time!AQ34=1,INDEX(Funding!$J$72:$BJ$72,1,Time!$F$14),AP36))</f>
        <v>50.437312165767</v>
      </c>
      <c r="AR33" s="13" t="n">
        <f aca="false">IF(Time!AR20&lt;Time!$F$12,0,IF(Time!AR34=1,INDEX(Funding!$J$72:$BJ$72,1,Time!$F$14),AQ36))</f>
        <v>11.5548051963292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225.849346929698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0</v>
      </c>
      <c r="Q34" s="13" t="n">
        <f aca="false">Q24*MIN(Q31,Tax!Q13)</f>
        <v>3.80037142827399</v>
      </c>
      <c r="R34" s="13" t="n">
        <f aca="false">R24*MIN(R31,Tax!R13)</f>
        <v>10.4560611684257</v>
      </c>
      <c r="S34" s="13" t="n">
        <f aca="false">S24*MIN(S31,Tax!S13)</f>
        <v>10.1961467122068</v>
      </c>
      <c r="T34" s="13" t="n">
        <f aca="false">T24*MIN(T31,Tax!T13)</f>
        <v>10.2951011347097</v>
      </c>
      <c r="U34" s="13" t="n">
        <f aca="false">U24*MIN(U31,Tax!U13)</f>
        <v>10.0791009251376</v>
      </c>
      <c r="V34" s="13" t="n">
        <f aca="false">V24*MIN(V31,Tax!V13)</f>
        <v>10.1073325312852</v>
      </c>
      <c r="W34" s="13" t="n">
        <f aca="false">W24*MIN(W31,Tax!W13)</f>
        <v>9.85076021565752</v>
      </c>
      <c r="X34" s="13" t="n">
        <f aca="false">X24*MIN(X31,Tax!X13)</f>
        <v>9.91579313656605</v>
      </c>
      <c r="Y34" s="13" t="n">
        <f aca="false">Y24*MIN(Y31,Tax!Y13)</f>
        <v>9.5430385199602</v>
      </c>
      <c r="Z34" s="13" t="n">
        <f aca="false">Z24*MIN(Z31,Tax!Z13)</f>
        <v>9.61079859185935</v>
      </c>
      <c r="AA34" s="13" t="n">
        <f aca="false">AA24*MIN(AA31,Tax!AA13)</f>
        <v>5.68751893640502</v>
      </c>
      <c r="AB34" s="13" t="n">
        <f aca="false">AB24*MIN(AB31,Tax!AB13)</f>
        <v>6.69785636438926</v>
      </c>
      <c r="AC34" s="13" t="n">
        <f aca="false">AC24*MIN(AC31,Tax!AC13)</f>
        <v>6.75936991336065</v>
      </c>
      <c r="AD34" s="13" t="n">
        <f aca="false">AD24*MIN(AD31,Tax!AD13)</f>
        <v>6.95662117557544</v>
      </c>
      <c r="AE34" s="13" t="n">
        <f aca="false">AE24*MIN(AE31,Tax!AE13)</f>
        <v>7.76839516540654</v>
      </c>
      <c r="AF34" s="13" t="n">
        <f aca="false">AF24*MIN(AF31,Tax!AF13)</f>
        <v>9.05368578349636</v>
      </c>
      <c r="AG34" s="13" t="n">
        <f aca="false">AG24*MIN(AG31,Tax!AG13)</f>
        <v>9.20841632333767</v>
      </c>
      <c r="AH34" s="13" t="n">
        <f aca="false">AH24*MIN(AH31,Tax!AH13)</f>
        <v>10.268904983696</v>
      </c>
      <c r="AI34" s="13" t="n">
        <f aca="false">AI24*MIN(AI31,Tax!AI13)</f>
        <v>10.0926909063633</v>
      </c>
      <c r="AJ34" s="13" t="n">
        <f aca="false">AJ24*MIN(AJ31,Tax!AJ13)</f>
        <v>10.2080150880224</v>
      </c>
      <c r="AK34" s="13" t="n">
        <f aca="false">AK24*MIN(AK31,Tax!AK13)</f>
        <v>9.97087607685912</v>
      </c>
      <c r="AL34" s="13" t="n">
        <f aca="false">AL24*MIN(AL31,Tax!AL13)</f>
        <v>9.47176790961201</v>
      </c>
      <c r="AM34" s="13" t="n">
        <f aca="false">AM24*MIN(AM31,Tax!AM13)</f>
        <v>8.37940058844179</v>
      </c>
      <c r="AN34" s="13" t="n">
        <f aca="false">AN24*MIN(AN31,Tax!AN13)</f>
        <v>7.60133645812827</v>
      </c>
      <c r="AO34" s="13" t="n">
        <f aca="false">AO24*MIN(AO31,Tax!AO13)</f>
        <v>6.4535295530153</v>
      </c>
      <c r="AP34" s="13" t="n">
        <f aca="false">AP24*MIN(AP31,Tax!AP13)</f>
        <v>4.48701192163752</v>
      </c>
      <c r="AQ34" s="13" t="n">
        <f aca="false">AQ24*MIN(AQ31,Tax!AQ13)</f>
        <v>2.37608104846675</v>
      </c>
      <c r="AR34" s="13" t="n">
        <f aca="false">AR24*MIN(AR31,Tax!AR13)</f>
        <v>0.553364369402284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234.925387597453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0</v>
      </c>
      <c r="Q35" s="13" t="n">
        <f aca="false">Q24*MIN(Q31-Q34,Q33+Tax!Q13-Q34)</f>
        <v>0</v>
      </c>
      <c r="R35" s="13" t="n">
        <f aca="false">R24*MIN(R31-R34,R33+Tax!R13-R34)</f>
        <v>1.8984499728924</v>
      </c>
      <c r="S35" s="13" t="n">
        <f aca="false">S24*MIN(S31-S34,S33+Tax!S13-S34)</f>
        <v>1.46255759611979</v>
      </c>
      <c r="T35" s="13" t="n">
        <f aca="false">T24*MIN(T31-T34,T33+Tax!T13-T34)</f>
        <v>2.19753509396203</v>
      </c>
      <c r="U35" s="13" t="n">
        <f aca="false">U24*MIN(U31-U34,U33+Tax!U13-U34)</f>
        <v>1.72326240317519</v>
      </c>
      <c r="V35" s="13" t="n">
        <f aca="false">V24*MIN(V31-V34,V33+Tax!V13-V34)</f>
        <v>1.9481989189848</v>
      </c>
      <c r="W35" s="13" t="n">
        <f aca="false">W24*MIN(W31-W34,W33+Tax!W13-W34)</f>
        <v>2.05133649706152</v>
      </c>
      <c r="X35" s="13" t="n">
        <f aca="false">X24*MIN(X31-X34,X33+Tax!X13-X34)</f>
        <v>4.48070298706299</v>
      </c>
      <c r="Y35" s="13" t="n">
        <f aca="false">Y24*MIN(Y31-Y34,Y33+Tax!Y13-Y34)</f>
        <v>1.88789019474151</v>
      </c>
      <c r="Z35" s="13" t="n">
        <f aca="false">Z24*MIN(Z31-Z34,Z33+Tax!Z13-Z34)</f>
        <v>2.85037847298007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</v>
      </c>
      <c r="AG35" s="13" t="n">
        <f aca="false">AG24*MIN(AG31-AG34,AG33+Tax!AG13-AG34)</f>
        <v>0</v>
      </c>
      <c r="AH35" s="13" t="n">
        <f aca="false">AH24*MIN(AH31-AH34,AH33+Tax!AH13-AH34)</f>
        <v>0.186507224205842</v>
      </c>
      <c r="AI35" s="13" t="n">
        <f aca="false">AI24*MIN(AI31-AI34,AI33+Tax!AI13-AI34)</f>
        <v>1.08493510536491</v>
      </c>
      <c r="AJ35" s="13" t="n">
        <f aca="false">AJ24*MIN(AJ31-AJ34,AJ33+Tax!AJ13-AJ34)</f>
        <v>2.66376800345339</v>
      </c>
      <c r="AK35" s="13" t="n">
        <f aca="false">AK24*MIN(AK31-AK34,AK33+Tax!AK13-AK34)</f>
        <v>12.7098143832615</v>
      </c>
      <c r="AL35" s="13" t="n">
        <f aca="false">AL24*MIN(AL31-AL34,AL33+Tax!AL13-AL34)</f>
        <v>19.9096689598741</v>
      </c>
      <c r="AM35" s="13" t="n">
        <f aca="false">AM24*MIN(AM31-AM34,AM33+Tax!AM13-AM34)</f>
        <v>19.1468230190483</v>
      </c>
      <c r="AN35" s="13" t="n">
        <f aca="false">AN24*MIN(AN31-AN34,AN33+Tax!AN13-AN34)</f>
        <v>21.7338357730813</v>
      </c>
      <c r="AO35" s="13" t="n">
        <f aca="false">AO24*MIN(AO31-AO34,AO33+Tax!AO13-AO34)</f>
        <v>43.2963962531842</v>
      </c>
      <c r="AP35" s="13" t="n">
        <f aca="false">AP24*MIN(AP31-AP34,AP33+Tax!AP13-AP34)</f>
        <v>43.2560145732316</v>
      </c>
      <c r="AQ35" s="13" t="n">
        <f aca="false">AQ24*MIN(AQ31-AQ34,AQ33+Tax!AQ13-AQ34)</f>
        <v>38.8825069694378</v>
      </c>
      <c r="AR35" s="13" t="n">
        <f aca="false">AR24*MIN(AR31-AR34,AR33+Tax!AR13-AR34)</f>
        <v>11.5548051963292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0</v>
      </c>
      <c r="P36" s="13" t="n">
        <f aca="false">P33+Tax!P13-P34-P35</f>
        <v>212.139644972914</v>
      </c>
      <c r="Q36" s="13" t="n">
        <f aca="false">Q33+Tax!Q13-Q34-Q35</f>
        <v>218.333085038638</v>
      </c>
      <c r="R36" s="13" t="n">
        <f aca="false">R33+Tax!R13-R34-R35</f>
        <v>216.434635065745</v>
      </c>
      <c r="S36" s="13" t="n">
        <f aca="false">S33+Tax!S13-S34-S35</f>
        <v>214.972077469626</v>
      </c>
      <c r="T36" s="13" t="n">
        <f aca="false">T33+Tax!T13-T34-T35</f>
        <v>212.774542375664</v>
      </c>
      <c r="U36" s="13" t="n">
        <f aca="false">U33+Tax!U13-U34-U35</f>
        <v>211.051279972488</v>
      </c>
      <c r="V36" s="13" t="n">
        <f aca="false">V33+Tax!V13-V34-V35</f>
        <v>209.103081053504</v>
      </c>
      <c r="W36" s="13" t="n">
        <f aca="false">W33+Tax!W13-W34-W35</f>
        <v>207.051744556442</v>
      </c>
      <c r="X36" s="13" t="n">
        <f aca="false">X33+Tax!X13-X34-X35</f>
        <v>202.571041569379</v>
      </c>
      <c r="Y36" s="13" t="n">
        <f aca="false">Y33+Tax!Y13-Y34-Y35</f>
        <v>200.683151374638</v>
      </c>
      <c r="Z36" s="13" t="n">
        <f aca="false">Z33+Tax!Z13-Z34-Z35</f>
        <v>197.832772901658</v>
      </c>
      <c r="AA36" s="13" t="n">
        <f aca="false">AA33+Tax!AA13-AA34-AA35</f>
        <v>201.46507459551</v>
      </c>
      <c r="AB36" s="13" t="n">
        <f aca="false">AB33+Tax!AB13-AB34-AB35</f>
        <v>204.415463447366</v>
      </c>
      <c r="AC36" s="13" t="n">
        <f aca="false">AC33+Tax!AC13-AC34-AC35</f>
        <v>207.339226035389</v>
      </c>
      <c r="AD36" s="13" t="n">
        <f aca="false">AD33+Tax!AD13-AD34-AD35</f>
        <v>210.312165602549</v>
      </c>
      <c r="AE36" s="13" t="n">
        <f aca="false">AE33+Tax!AE13-AE34-AE35</f>
        <v>212.451490129022</v>
      </c>
      <c r="AF36" s="13" t="n">
        <f aca="false">AF33+Tax!AF13-AF34-AF35</f>
        <v>213.572193516636</v>
      </c>
      <c r="AG36" s="13" t="n">
        <f aca="false">AG33+Tax!AG13-AG34-AG35</f>
        <v>214.425075460472</v>
      </c>
      <c r="AH36" s="13" t="n">
        <f aca="false">AH33+Tax!AH13-AH34-AH35</f>
        <v>214.238568236266</v>
      </c>
      <c r="AI36" s="13" t="n">
        <f aca="false">AI33+Tax!AI13-AI34-AI35</f>
        <v>213.153633130902</v>
      </c>
      <c r="AJ36" s="13" t="n">
        <f aca="false">AJ33+Tax!AJ13-AJ34-AJ35</f>
        <v>210.489865127448</v>
      </c>
      <c r="AK36" s="13" t="n">
        <f aca="false">AK33+Tax!AK13-AK34-AK35</f>
        <v>197.780050744187</v>
      </c>
      <c r="AL36" s="13" t="n">
        <f aca="false">AL33+Tax!AL13-AL34-AL35</f>
        <v>177.870381784313</v>
      </c>
      <c r="AM36" s="13" t="n">
        <f aca="false">AM33+Tax!AM13-AM34-AM35</f>
        <v>158.723558765264</v>
      </c>
      <c r="AN36" s="13" t="n">
        <f aca="false">AN33+Tax!AN13-AN34-AN35</f>
        <v>136.989722992183</v>
      </c>
      <c r="AO36" s="13" t="n">
        <f aca="false">AO33+Tax!AO13-AO34-AO35</f>
        <v>93.6933267389986</v>
      </c>
      <c r="AP36" s="13" t="n">
        <f aca="false">AP33+Tax!AP13-AP34-AP35</f>
        <v>50.437312165767</v>
      </c>
      <c r="AQ36" s="13" t="n">
        <f aca="false">AQ33+Tax!AQ13-AQ34-AQ35</f>
        <v>11.5548051963292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0</v>
      </c>
      <c r="P37" s="13" t="n">
        <f aca="false">MAX(0,O43+Financials!P14)</f>
        <v>4.6045998237667</v>
      </c>
      <c r="Q37" s="13" t="n">
        <f aca="false">MAX(0,P43+Financials!Q14)</f>
        <v>10.6298126992505</v>
      </c>
      <c r="R37" s="13" t="n">
        <f aca="false">MAX(0,Q43+Financials!R14)</f>
        <v>17.538675057546</v>
      </c>
      <c r="S37" s="13" t="n">
        <f aca="false">MAX(0,R43+Financials!S14)</f>
        <v>25.6709029790325</v>
      </c>
      <c r="T37" s="13" t="n">
        <f aca="false">MAX(0,S43+Financials!T14)</f>
        <v>34.1773074845024</v>
      </c>
      <c r="U37" s="13" t="n">
        <f aca="false">MAX(0,T43+Financials!U14)</f>
        <v>43.7254013319464</v>
      </c>
      <c r="V37" s="13" t="n">
        <f aca="false">MAX(0,U43+Financials!V14)</f>
        <v>53.8854052491232</v>
      </c>
      <c r="W37" s="13" t="n">
        <f aca="false">MAX(0,V43+Financials!W14)</f>
        <v>62.8678359755657</v>
      </c>
      <c r="X37" s="13" t="n">
        <f aca="false">MAX(0,W43+Financials!X14)</f>
        <v>74.9350792310959</v>
      </c>
      <c r="Y37" s="13" t="n">
        <f aca="false">MAX(0,X43+Financials!Y14)</f>
        <v>87.738314423281</v>
      </c>
      <c r="Z37" s="13" t="n">
        <f aca="false">MAX(0,Y43+Financials!Z14)</f>
        <v>99.8019907707836</v>
      </c>
      <c r="AA37" s="13" t="n">
        <f aca="false">MAX(0,Z43+Financials!AA14)</f>
        <v>106.235983300929</v>
      </c>
      <c r="AB37" s="13" t="n">
        <f aca="false">MAX(0,AA43+Financials!AB14)</f>
        <v>113.119543395275</v>
      </c>
      <c r="AC37" s="13" t="n">
        <f aca="false">MAX(0,AB43+Financials!AC14)</f>
        <v>120.866899546184</v>
      </c>
      <c r="AD37" s="13" t="n">
        <f aca="false">MAX(0,AC43+Financials!AD14)</f>
        <v>129.272288898635</v>
      </c>
      <c r="AE37" s="13" t="n">
        <f aca="false">MAX(0,AD43+Financials!AE14)</f>
        <v>129.032491515026</v>
      </c>
      <c r="AF37" s="13" t="n">
        <f aca="false">MAX(0,AE43+Financials!AF14)</f>
        <v>139.679021626684</v>
      </c>
      <c r="AG37" s="13" t="n">
        <f aca="false">MAX(0,AF43+Financials!AG14)</f>
        <v>150.663286223046</v>
      </c>
      <c r="AH37" s="13" t="n">
        <f aca="false">MAX(0,AG43+Financials!AH14)</f>
        <v>162.449233588764</v>
      </c>
      <c r="AI37" s="13" t="n">
        <f aca="false">MAX(0,AH43+Financials!AI14)</f>
        <v>175.472447588906</v>
      </c>
      <c r="AJ37" s="13" t="n">
        <f aca="false">MAX(0,AI43+Financials!AJ14)</f>
        <v>189.408408794697</v>
      </c>
      <c r="AK37" s="13" t="n">
        <f aca="false">MAX(0,AJ43+Financials!AK14)</f>
        <v>204.549505301993</v>
      </c>
      <c r="AL37" s="13" t="n">
        <f aca="false">MAX(0,AK43+Financials!AL14)</f>
        <v>220.805906456432</v>
      </c>
      <c r="AM37" s="13" t="n">
        <f aca="false">MAX(0,AL43+Financials!AM14)</f>
        <v>236.332450872167</v>
      </c>
      <c r="AN37" s="13" t="n">
        <f aca="false">MAX(0,AM43+Financials!AN14)</f>
        <v>255.017599080397</v>
      </c>
      <c r="AO37" s="13" t="n">
        <f aca="false">MAX(0,AN43+Financials!AO14)</f>
        <v>274.918130000131</v>
      </c>
      <c r="AP37" s="13" t="n">
        <f aca="false">MAX(0,AO43+Financials!AP14)</f>
        <v>297.120064353597</v>
      </c>
      <c r="AQ37" s="13" t="n">
        <f aca="false">MAX(0,AP43+Financials!AQ14)</f>
        <v>320.926903691409</v>
      </c>
      <c r="AR37" s="13" t="n">
        <f aca="false">MAX(0,AQ43+Financials!AR14)</f>
        <v>346.098844614574</v>
      </c>
      <c r="AS37" s="13" t="n">
        <f aca="false">MAX(0,AR43+Financials!AS14)</f>
        <v>342.495996281081</v>
      </c>
      <c r="AT37" s="13" t="n">
        <f aca="false">MAX(0,AS43+Financials!AT14)</f>
        <v>327.480348816818</v>
      </c>
      <c r="AU37" s="13" t="n">
        <f aca="false">MAX(0,AT43+Financials!AU14)</f>
        <v>301.488993446228</v>
      </c>
      <c r="AV37" s="13" t="n">
        <f aca="false">MAX(0,AU43+Financials!AV14)</f>
        <v>279.98709018351</v>
      </c>
      <c r="AW37" s="13" t="n">
        <f aca="false">MAX(0,AV43+Financials!AW14)</f>
        <v>262.257117543959</v>
      </c>
      <c r="AX37" s="13" t="n">
        <f aca="false">MAX(0,AW43+Financials!AX14)</f>
        <v>245.582326779855</v>
      </c>
      <c r="AY37" s="13" t="n">
        <f aca="false">MAX(0,AX43+Financials!AY14)</f>
        <v>228.324152267664</v>
      </c>
      <c r="AZ37" s="13" t="n">
        <f aca="false">MAX(0,AY43+Financials!AZ14)</f>
        <v>211.560947946085</v>
      </c>
      <c r="BA37" s="13" t="n">
        <f aca="false">MAX(0,AZ43+Financials!BA14)</f>
        <v>194.217986433002</v>
      </c>
      <c r="BB37" s="13" t="n">
        <f aca="false">MAX(0,BA43+Financials!BB14)</f>
        <v>177.409785258442</v>
      </c>
      <c r="BC37" s="13" t="n">
        <f aca="false">MAX(0,BB43+Financials!BC14)</f>
        <v>158.079902168216</v>
      </c>
      <c r="BD37" s="13" t="n">
        <f aca="false">MAX(0,BC43+Financials!BD14)</f>
        <v>141.156429108126</v>
      </c>
      <c r="BE37" s="13" t="n">
        <f aca="false">MAX(0,BD43+Financials!BE14)</f>
        <v>125.611640209536</v>
      </c>
      <c r="BF37" s="13" t="n">
        <f aca="false">MAX(0,BE43+Financials!BF14)</f>
        <v>118.494069745689</v>
      </c>
      <c r="BG37" s="13" t="n">
        <f aca="false">MAX(0,BF43+Financials!BG14)</f>
        <v>110.878848114349</v>
      </c>
      <c r="BH37" s="13" t="n">
        <f aca="false">MAX(0,BG43+Financials!BH14)</f>
        <v>103.789668845099</v>
      </c>
      <c r="BI37" s="13" t="n">
        <f aca="false">MAX(0,BH43+Financials!BI14)</f>
        <v>96.1151462379258</v>
      </c>
      <c r="BJ37" s="13" t="n">
        <f aca="false">MAX(0,BI43+Financials!BJ14)</f>
        <v>89.0379424572063</v>
      </c>
      <c r="BK37" s="13" t="n">
        <f aca="false">MAX(0,BJ43+Financials!BK14)</f>
        <v>69.0436472674046</v>
      </c>
      <c r="BL37" s="13" t="n">
        <f aca="false">MAX(0,BK43+Financials!BL14)</f>
        <v>54.2503275545894</v>
      </c>
      <c r="BM37" s="13" t="n">
        <f aca="false">MAX(0,BL43+Financials!BM14)</f>
        <v>43.9945562287079</v>
      </c>
      <c r="BN37" s="13" t="n">
        <f aca="false">MAX(0,BM43+Financials!BN14)</f>
        <v>15.9528568218208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0</v>
      </c>
      <c r="AR38" s="13" t="n">
        <f aca="false">AR24*MIN(AR31-AR34-AR35,AR37)</f>
        <v>29.2139750918422</v>
      </c>
      <c r="AS38" s="13" t="n">
        <f aca="false">AS24*MIN(AS31-AS34-AS35,AS37)</f>
        <v>40.7702564497292</v>
      </c>
      <c r="AT38" s="13" t="n">
        <f aca="false">AT24*MIN(AT31-AT34-AT35,AT37)</f>
        <v>41.2658563223646</v>
      </c>
      <c r="AU38" s="13" t="n">
        <f aca="false">AU24*MIN(AU31-AU34-AU35,AU37)</f>
        <v>47.3968137577346</v>
      </c>
      <c r="AV38" s="13" t="n">
        <f aca="false">AV24*MIN(AV31-AV34-AV35,AV37)</f>
        <v>43.7262659136173</v>
      </c>
      <c r="AW38" s="13" t="n">
        <f aca="false">AW24*MIN(AW31-AW34-AW35,AW37)</f>
        <v>42.7821681609747</v>
      </c>
      <c r="AX38" s="13" t="n">
        <f aca="false">AX24*MIN(AX31-AX34-AX35,AX37)</f>
        <v>43.5037895500025</v>
      </c>
      <c r="AY38" s="13" t="n">
        <f aca="false">AY24*MIN(AY31-AY34-AY35,AY37)</f>
        <v>43.1057673812405</v>
      </c>
      <c r="AZ38" s="13" t="n">
        <f aca="false">AZ24*MIN(AZ31-AZ34-AZ35,AZ37)</f>
        <v>43.7400249655937</v>
      </c>
      <c r="BA38" s="13" t="n">
        <f aca="false">BA24*MIN(BA31-BA34-BA35,BA37)</f>
        <v>43.3437806188668</v>
      </c>
      <c r="BB38" s="13" t="n">
        <f aca="false">BB24*MIN(BB31-BB34-BB35,BB37)</f>
        <v>43.5918156531755</v>
      </c>
      <c r="BC38" s="13" t="n">
        <f aca="false">BC24*MIN(BC31-BC34-BC35,BC37)</f>
        <v>43.7972877379491</v>
      </c>
      <c r="BD38" s="13" t="n">
        <f aca="false">BD24*MIN(BD31-BD34-BD35,BD37)</f>
        <v>42.3588670414845</v>
      </c>
      <c r="BE38" s="13" t="n">
        <f aca="false">BE24*MIN(BE31-BE34-BE35,BE37)</f>
        <v>34.052746794898</v>
      </c>
      <c r="BF38" s="13" t="n">
        <f aca="false">BF24*MIN(BF31-BF34-BF35,BF37)</f>
        <v>34.7005837606556</v>
      </c>
      <c r="BG38" s="13" t="n">
        <f aca="false">BG24*MIN(BG31-BG34-BG35,BG37)</f>
        <v>34.2799098392156</v>
      </c>
      <c r="BH38" s="13" t="n">
        <f aca="false">BH24*MIN(BH31-BH34-BH35,BH37)</f>
        <v>34.9225274590717</v>
      </c>
      <c r="BI38" s="13" t="n">
        <f aca="false">BI24*MIN(BI31-BI34-BI35,BI37)</f>
        <v>34.4972628079324</v>
      </c>
      <c r="BJ38" s="13" t="n">
        <f aca="false">BJ24*MIN(BJ31-BJ34-BJ35,BJ37)</f>
        <v>35.0241795039986</v>
      </c>
      <c r="BK38" s="13" t="n">
        <f aca="false">BK24*MIN(BK31-BK34-BK35,BK37)</f>
        <v>42.4107923321734</v>
      </c>
      <c r="BL38" s="13" t="n">
        <f aca="false">BL24*MIN(BL31-BL34-BL35,BL37)</f>
        <v>37.9553101910247</v>
      </c>
      <c r="BM38" s="13" t="n">
        <f aca="false">BM24*MIN(BM31-BM34-BM35,BM37)</f>
        <v>37.5532314557561</v>
      </c>
      <c r="BN38" s="13" t="n">
        <f aca="false">BN24*MIN(BN31-BN34-BN35,BN37)</f>
        <v>15.9528568218208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0</v>
      </c>
      <c r="BN39" s="13" t="n">
        <f aca="false">BN24*(BN31-BN34-BN35-BN38)</f>
        <v>45.1448022534959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45.1448022534959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0</v>
      </c>
      <c r="BN40" s="13" t="n">
        <f aca="false">Time!BN37*(BN39+BN30+Reserves!BN9-Reserves!BN10+Reserves!BN11-Reserves!BN12)</f>
        <v>45.1448022534959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935.090871864618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0</v>
      </c>
      <c r="AR41" s="13" t="n">
        <f aca="false">AR38+AR40</f>
        <v>29.2139750918422</v>
      </c>
      <c r="AS41" s="13" t="n">
        <f aca="false">AS38+AS40</f>
        <v>40.7702564497292</v>
      </c>
      <c r="AT41" s="13" t="n">
        <f aca="false">AT38+AT40</f>
        <v>41.2658563223646</v>
      </c>
      <c r="AU41" s="13" t="n">
        <f aca="false">AU38+AU40</f>
        <v>47.3968137577346</v>
      </c>
      <c r="AV41" s="13" t="n">
        <f aca="false">AV38+AV40</f>
        <v>43.7262659136173</v>
      </c>
      <c r="AW41" s="13" t="n">
        <f aca="false">AW38+AW40</f>
        <v>42.7821681609747</v>
      </c>
      <c r="AX41" s="13" t="n">
        <f aca="false">AX38+AX40</f>
        <v>43.5037895500025</v>
      </c>
      <c r="AY41" s="13" t="n">
        <f aca="false">AY38+AY40</f>
        <v>43.1057673812405</v>
      </c>
      <c r="AZ41" s="13" t="n">
        <f aca="false">AZ38+AZ40</f>
        <v>43.7400249655937</v>
      </c>
      <c r="BA41" s="13" t="n">
        <f aca="false">BA38+BA40</f>
        <v>43.3437806188668</v>
      </c>
      <c r="BB41" s="13" t="n">
        <f aca="false">BB38+BB40</f>
        <v>43.5918156531755</v>
      </c>
      <c r="BC41" s="13" t="n">
        <f aca="false">BC38+BC40</f>
        <v>43.7972877379491</v>
      </c>
      <c r="BD41" s="13" t="n">
        <f aca="false">BD38+BD40</f>
        <v>42.3588670414845</v>
      </c>
      <c r="BE41" s="13" t="n">
        <f aca="false">BE38+BE40</f>
        <v>34.052746794898</v>
      </c>
      <c r="BF41" s="13" t="n">
        <f aca="false">BF38+BF40</f>
        <v>34.7005837606556</v>
      </c>
      <c r="BG41" s="13" t="n">
        <f aca="false">BG38+BG40</f>
        <v>34.2799098392156</v>
      </c>
      <c r="BH41" s="13" t="n">
        <f aca="false">BH38+BH40</f>
        <v>34.9225274590717</v>
      </c>
      <c r="BI41" s="13" t="n">
        <f aca="false">BI38+BI40</f>
        <v>34.4972628079324</v>
      </c>
      <c r="BJ41" s="13" t="n">
        <f aca="false">BJ38+BJ40</f>
        <v>35.0241795039986</v>
      </c>
      <c r="BK41" s="13" t="n">
        <f aca="false">BK38+BK40</f>
        <v>42.4107923321734</v>
      </c>
      <c r="BL41" s="13" t="n">
        <f aca="false">BL38+BL40</f>
        <v>37.9553101910247</v>
      </c>
      <c r="BM41" s="13" t="n">
        <f aca="false">BM38+BM40</f>
        <v>37.5532314557561</v>
      </c>
      <c r="BN41" s="13" t="n">
        <f aca="false">BN38+BN40</f>
        <v>61.0976590753166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0</v>
      </c>
      <c r="P43" s="13" t="n">
        <f aca="false">IF(Time!P20&lt;Time!$F$12,0,O43+Financials!P14-P41)</f>
        <v>4.6045998237667</v>
      </c>
      <c r="Q43" s="13" t="n">
        <f aca="false">IF(Time!Q20&lt;Time!$F$12,0,P43+Financials!Q14-Q41)</f>
        <v>10.6298126992505</v>
      </c>
      <c r="R43" s="13" t="n">
        <f aca="false">IF(Time!R20&lt;Time!$F$12,0,Q43+Financials!R14-R41)</f>
        <v>17.538675057546</v>
      </c>
      <c r="S43" s="13" t="n">
        <f aca="false">IF(Time!S20&lt;Time!$F$12,0,R43+Financials!S14-S41)</f>
        <v>25.6709029790325</v>
      </c>
      <c r="T43" s="13" t="n">
        <f aca="false">IF(Time!T20&lt;Time!$F$12,0,S43+Financials!T14-T41)</f>
        <v>34.1773074845024</v>
      </c>
      <c r="U43" s="13" t="n">
        <f aca="false">IF(Time!U20&lt;Time!$F$12,0,T43+Financials!U14-U41)</f>
        <v>43.7254013319464</v>
      </c>
      <c r="V43" s="13" t="n">
        <f aca="false">IF(Time!V20&lt;Time!$F$12,0,U43+Financials!V14-V41)</f>
        <v>53.8854052491232</v>
      </c>
      <c r="W43" s="13" t="n">
        <f aca="false">IF(Time!W20&lt;Time!$F$12,0,V43+Financials!W14-W41)</f>
        <v>62.8678359755657</v>
      </c>
      <c r="X43" s="13" t="n">
        <f aca="false">IF(Time!X20&lt;Time!$F$12,0,W43+Financials!X14-X41)</f>
        <v>74.9350792310959</v>
      </c>
      <c r="Y43" s="13" t="n">
        <f aca="false">IF(Time!Y20&lt;Time!$F$12,0,X43+Financials!Y14-Y41)</f>
        <v>87.738314423281</v>
      </c>
      <c r="Z43" s="13" t="n">
        <f aca="false">IF(Time!Z20&lt;Time!$F$12,0,Y43+Financials!Z14-Z41)</f>
        <v>99.8019907707836</v>
      </c>
      <c r="AA43" s="13" t="n">
        <f aca="false">IF(Time!AA20&lt;Time!$F$12,0,Z43+Financials!AA14-AA41)</f>
        <v>106.235983300929</v>
      </c>
      <c r="AB43" s="13" t="n">
        <f aca="false">IF(Time!AB20&lt;Time!$F$12,0,AA43+Financials!AB14-AB41)</f>
        <v>113.119543395275</v>
      </c>
      <c r="AC43" s="13" t="n">
        <f aca="false">IF(Time!AC20&lt;Time!$F$12,0,AB43+Financials!AC14-AC41)</f>
        <v>120.866899546184</v>
      </c>
      <c r="AD43" s="13" t="n">
        <f aca="false">IF(Time!AD20&lt;Time!$F$12,0,AC43+Financials!AD14-AD41)</f>
        <v>129.272288898635</v>
      </c>
      <c r="AE43" s="13" t="n">
        <f aca="false">IF(Time!AE20&lt;Time!$F$12,0,AD43+Financials!AE14-AE41)</f>
        <v>129.032491515026</v>
      </c>
      <c r="AF43" s="13" t="n">
        <f aca="false">IF(Time!AF20&lt;Time!$F$12,0,AE43+Financials!AF14-AF41)</f>
        <v>139.679021626684</v>
      </c>
      <c r="AG43" s="13" t="n">
        <f aca="false">IF(Time!AG20&lt;Time!$F$12,0,AF43+Financials!AG14-AG41)</f>
        <v>150.663286223046</v>
      </c>
      <c r="AH43" s="13" t="n">
        <f aca="false">IF(Time!AH20&lt;Time!$F$12,0,AG43+Financials!AH14-AH41)</f>
        <v>162.449233588764</v>
      </c>
      <c r="AI43" s="13" t="n">
        <f aca="false">IF(Time!AI20&lt;Time!$F$12,0,AH43+Financials!AI14-AI41)</f>
        <v>175.472447588906</v>
      </c>
      <c r="AJ43" s="13" t="n">
        <f aca="false">IF(Time!AJ20&lt;Time!$F$12,0,AI43+Financials!AJ14-AJ41)</f>
        <v>189.408408794697</v>
      </c>
      <c r="AK43" s="13" t="n">
        <f aca="false">IF(Time!AK20&lt;Time!$F$12,0,AJ43+Financials!AK14-AK41)</f>
        <v>204.549505301993</v>
      </c>
      <c r="AL43" s="13" t="n">
        <f aca="false">IF(Time!AL20&lt;Time!$F$12,0,AK43+Financials!AL14-AL41)</f>
        <v>220.805906456432</v>
      </c>
      <c r="AM43" s="13" t="n">
        <f aca="false">IF(Time!AM20&lt;Time!$F$12,0,AL43+Financials!AM14-AM41)</f>
        <v>236.332450872167</v>
      </c>
      <c r="AN43" s="13" t="n">
        <f aca="false">IF(Time!AN20&lt;Time!$F$12,0,AM43+Financials!AN14-AN41)</f>
        <v>255.017599080397</v>
      </c>
      <c r="AO43" s="13" t="n">
        <f aca="false">IF(Time!AO20&lt;Time!$F$12,0,AN43+Financials!AO14-AO41)</f>
        <v>274.918130000131</v>
      </c>
      <c r="AP43" s="13" t="n">
        <f aca="false">IF(Time!AP20&lt;Time!$F$12,0,AO43+Financials!AP14-AP41)</f>
        <v>297.120064353597</v>
      </c>
      <c r="AQ43" s="13" t="n">
        <f aca="false">IF(Time!AQ20&lt;Time!$F$12,0,AP43+Financials!AQ14-AQ41)</f>
        <v>320.926903691409</v>
      </c>
      <c r="AR43" s="13" t="n">
        <f aca="false">IF(Time!AR20&lt;Time!$F$12,0,AQ43+Financials!AR14-AR41)</f>
        <v>316.884869522732</v>
      </c>
      <c r="AS43" s="13" t="n">
        <f aca="false">IF(Time!AS20&lt;Time!$F$12,0,AR43+Financials!AS14-AS41)</f>
        <v>301.725739831351</v>
      </c>
      <c r="AT43" s="13" t="n">
        <f aca="false">IF(Time!AT20&lt;Time!$F$12,0,AS43+Financials!AT14-AT41)</f>
        <v>286.214492494453</v>
      </c>
      <c r="AU43" s="13" t="n">
        <f aca="false">IF(Time!AU20&lt;Time!$F$12,0,AT43+Financials!AU14-AU41)</f>
        <v>254.092179688493</v>
      </c>
      <c r="AV43" s="13" t="n">
        <f aca="false">IF(Time!AV20&lt;Time!$F$12,0,AU43+Financials!AV14-AV41)</f>
        <v>236.260824269892</v>
      </c>
      <c r="AW43" s="13" t="n">
        <f aca="false">IF(Time!AW20&lt;Time!$F$12,0,AV43+Financials!AW14-AW41)</f>
        <v>219.474949382985</v>
      </c>
      <c r="AX43" s="13" t="n">
        <f aca="false">IF(Time!AX20&lt;Time!$F$12,0,AW43+Financials!AX14-AX41)</f>
        <v>202.078537229853</v>
      </c>
      <c r="AY43" s="13" t="n">
        <f aca="false">IF(Time!AY20&lt;Time!$F$12,0,AX43+Financials!AY14-AY41)</f>
        <v>185.218384886423</v>
      </c>
      <c r="AZ43" s="13" t="n">
        <f aca="false">IF(Time!AZ20&lt;Time!$F$12,0,AY43+Financials!AZ14-AZ41)</f>
        <v>167.820922980491</v>
      </c>
      <c r="BA43" s="13" t="n">
        <f aca="false">IF(Time!BA20&lt;Time!$F$12,0,AZ43+Financials!BA14-BA41)</f>
        <v>150.874205814136</v>
      </c>
      <c r="BB43" s="13" t="n">
        <f aca="false">IF(Time!BB20&lt;Time!$F$12,0,BA43+Financials!BB14-BB41)</f>
        <v>133.817969605266</v>
      </c>
      <c r="BC43" s="13" t="n">
        <f aca="false">IF(Time!BC20&lt;Time!$F$12,0,BB43+Financials!BC14-BC41)</f>
        <v>114.282614430267</v>
      </c>
      <c r="BD43" s="13" t="n">
        <f aca="false">IF(Time!BD20&lt;Time!$F$12,0,BC43+Financials!BD14-BD41)</f>
        <v>98.7975620666416</v>
      </c>
      <c r="BE43" s="13" t="n">
        <f aca="false">IF(Time!BE20&lt;Time!$F$12,0,BD43+Financials!BE14-BE41)</f>
        <v>91.5588934146381</v>
      </c>
      <c r="BF43" s="13" t="n">
        <f aca="false">IF(Time!BF20&lt;Time!$F$12,0,BE43+Financials!BF14-BF41)</f>
        <v>83.7934859850331</v>
      </c>
      <c r="BG43" s="13" t="n">
        <f aca="false">IF(Time!BG20&lt;Time!$F$12,0,BF43+Financials!BG14-BG41)</f>
        <v>76.5989382751337</v>
      </c>
      <c r="BH43" s="13" t="n">
        <f aca="false">IF(Time!BH20&lt;Time!$F$12,0,BG43+Financials!BH14-BH41)</f>
        <v>68.8671413860271</v>
      </c>
      <c r="BI43" s="13" t="n">
        <f aca="false">IF(Time!BI20&lt;Time!$F$12,0,BH43+Financials!BI14-BI41)</f>
        <v>61.6178834299934</v>
      </c>
      <c r="BJ43" s="13" t="n">
        <f aca="false">IF(Time!BJ20&lt;Time!$F$12,0,BI43+Financials!BJ14-BJ41)</f>
        <v>54.0137629532076</v>
      </c>
      <c r="BK43" s="13" t="n">
        <f aca="false">IF(Time!BK20&lt;Time!$F$12,0,BJ43+Financials!BK14-BK41)</f>
        <v>26.6328549352312</v>
      </c>
      <c r="BL43" s="13" t="n">
        <f aca="false">IF(Time!BL20&lt;Time!$F$12,0,BK43+Financials!BL14-BL41)</f>
        <v>16.2950173635647</v>
      </c>
      <c r="BM43" s="13" t="n">
        <f aca="false">IF(Time!BM20&lt;Time!$F$12,0,BL43+Financials!BM14-BM41)</f>
        <v>6.44132477295185</v>
      </c>
      <c r="BN43" s="13" t="n">
        <f aca="false">IF(Time!BN20&lt;Time!$F$12,0,BM43+Financials!BN14-BN41)</f>
        <v>-45.1448022534959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1395.86560639177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0</v>
      </c>
      <c r="Q44" s="13" t="n">
        <f aca="false">Q34+Q35+Q41</f>
        <v>3.80037142827399</v>
      </c>
      <c r="R44" s="13" t="n">
        <f aca="false">R34+R35+R41</f>
        <v>12.3545111413181</v>
      </c>
      <c r="S44" s="13" t="n">
        <f aca="false">S34+S35+S41</f>
        <v>11.6587043083266</v>
      </c>
      <c r="T44" s="13" t="n">
        <f aca="false">T34+T35+T41</f>
        <v>12.4926362286718</v>
      </c>
      <c r="U44" s="13" t="n">
        <f aca="false">U34+U35+U41</f>
        <v>11.8023633283128</v>
      </c>
      <c r="V44" s="13" t="n">
        <f aca="false">V34+V35+V41</f>
        <v>12.05553145027</v>
      </c>
      <c r="W44" s="13" t="n">
        <f aca="false">W34+W35+W41</f>
        <v>11.902096712719</v>
      </c>
      <c r="X44" s="13" t="n">
        <f aca="false">X34+X35+X41</f>
        <v>14.396496123629</v>
      </c>
      <c r="Y44" s="13" t="n">
        <f aca="false">Y34+Y35+Y41</f>
        <v>11.4309287147017</v>
      </c>
      <c r="Z44" s="13" t="n">
        <f aca="false">Z34+Z35+Z41</f>
        <v>12.4611770648394</v>
      </c>
      <c r="AA44" s="13" t="n">
        <f aca="false">AA34+AA35+AA41</f>
        <v>5.68751893640502</v>
      </c>
      <c r="AB44" s="13" t="n">
        <f aca="false">AB34+AB35+AB41</f>
        <v>6.69785636438926</v>
      </c>
      <c r="AC44" s="13" t="n">
        <f aca="false">AC34+AC35+AC41</f>
        <v>6.75936991336065</v>
      </c>
      <c r="AD44" s="13" t="n">
        <f aca="false">AD34+AD35+AD41</f>
        <v>6.95662117557544</v>
      </c>
      <c r="AE44" s="13" t="n">
        <f aca="false">AE34+AE35+AE41</f>
        <v>7.76839516540654</v>
      </c>
      <c r="AF44" s="13" t="n">
        <f aca="false">AF34+AF35+AF41</f>
        <v>9.05368578349636</v>
      </c>
      <c r="AG44" s="13" t="n">
        <f aca="false">AG34+AG35+AG41</f>
        <v>9.20841632333767</v>
      </c>
      <c r="AH44" s="13" t="n">
        <f aca="false">AH34+AH35+AH41</f>
        <v>10.4554122079019</v>
      </c>
      <c r="AI44" s="13" t="n">
        <f aca="false">AI34+AI35+AI41</f>
        <v>11.1776260117282</v>
      </c>
      <c r="AJ44" s="13" t="n">
        <f aca="false">AJ34+AJ35+AJ41</f>
        <v>12.8717830914757</v>
      </c>
      <c r="AK44" s="13" t="n">
        <f aca="false">AK34+AK35+AK41</f>
        <v>22.6806904601206</v>
      </c>
      <c r="AL44" s="13" t="n">
        <f aca="false">AL34+AL35+AL41</f>
        <v>29.3814368694861</v>
      </c>
      <c r="AM44" s="13" t="n">
        <f aca="false">AM34+AM35+AM41</f>
        <v>27.5262236074901</v>
      </c>
      <c r="AN44" s="13" t="n">
        <f aca="false">AN34+AN35+AN41</f>
        <v>29.3351722312096</v>
      </c>
      <c r="AO44" s="13" t="n">
        <f aca="false">AO34+AO35+AO41</f>
        <v>49.7499258061995</v>
      </c>
      <c r="AP44" s="13" t="n">
        <f aca="false">AP34+AP35+AP41</f>
        <v>47.7430264948692</v>
      </c>
      <c r="AQ44" s="13" t="n">
        <f aca="false">AQ34+AQ35+AQ41</f>
        <v>41.2585880179046</v>
      </c>
      <c r="AR44" s="13" t="n">
        <f aca="false">AR34+AR35+AR41</f>
        <v>41.3221446575737</v>
      </c>
      <c r="AS44" s="13" t="n">
        <f aca="false">AS34+AS35+AS41</f>
        <v>40.7702564497292</v>
      </c>
      <c r="AT44" s="13" t="n">
        <f aca="false">AT34+AT35+AT41</f>
        <v>41.2658563223646</v>
      </c>
      <c r="AU44" s="13" t="n">
        <f aca="false">AU34+AU35+AU41</f>
        <v>47.3968137577346</v>
      </c>
      <c r="AV44" s="13" t="n">
        <f aca="false">AV34+AV35+AV41</f>
        <v>43.7262659136173</v>
      </c>
      <c r="AW44" s="13" t="n">
        <f aca="false">AW34+AW35+AW41</f>
        <v>42.7821681609747</v>
      </c>
      <c r="AX44" s="13" t="n">
        <f aca="false">AX34+AX35+AX41</f>
        <v>43.5037895500025</v>
      </c>
      <c r="AY44" s="13" t="n">
        <f aca="false">AY34+AY35+AY41</f>
        <v>43.1057673812405</v>
      </c>
      <c r="AZ44" s="13" t="n">
        <f aca="false">AZ34+AZ35+AZ41</f>
        <v>43.7400249655937</v>
      </c>
      <c r="BA44" s="13" t="n">
        <f aca="false">BA34+BA35+BA41</f>
        <v>43.3437806188668</v>
      </c>
      <c r="BB44" s="13" t="n">
        <f aca="false">BB34+BB35+BB41</f>
        <v>43.5918156531755</v>
      </c>
      <c r="BC44" s="13" t="n">
        <f aca="false">BC34+BC35+BC41</f>
        <v>43.7972877379491</v>
      </c>
      <c r="BD44" s="13" t="n">
        <f aca="false">BD34+BD35+BD41</f>
        <v>42.3588670414845</v>
      </c>
      <c r="BE44" s="13" t="n">
        <f aca="false">BE34+BE35+BE41</f>
        <v>34.052746794898</v>
      </c>
      <c r="BF44" s="13" t="n">
        <f aca="false">BF34+BF35+BF41</f>
        <v>34.7005837606556</v>
      </c>
      <c r="BG44" s="13" t="n">
        <f aca="false">BG34+BG35+BG41</f>
        <v>34.2799098392156</v>
      </c>
      <c r="BH44" s="13" t="n">
        <f aca="false">BH34+BH35+BH41</f>
        <v>34.9225274590717</v>
      </c>
      <c r="BI44" s="13" t="n">
        <f aca="false">BI34+BI35+BI41</f>
        <v>34.4972628079324</v>
      </c>
      <c r="BJ44" s="13" t="n">
        <f aca="false">BJ34+BJ35+BJ41</f>
        <v>35.0241795039986</v>
      </c>
      <c r="BK44" s="13" t="n">
        <f aca="false">BK34+BK35+BK41</f>
        <v>42.4107923321734</v>
      </c>
      <c r="BL44" s="13" t="n">
        <f aca="false">BL34+BL35+BL41</f>
        <v>37.9553101910247</v>
      </c>
      <c r="BM44" s="13" t="n">
        <f aca="false">BM34+BM35+BM41</f>
        <v>37.5532314557561</v>
      </c>
      <c r="BN44" s="13" t="n">
        <f aca="false">BN34+BN35+BN41</f>
        <v>61.0976590753166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839.637073278006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0</v>
      </c>
      <c r="P8" s="13" t="n">
        <f aca="false">Funding!$F$76/Time!$F$9*Time!P30</f>
        <v>2.79879024426002</v>
      </c>
      <c r="Q8" s="13" t="n">
        <f aca="false">Funding!$F$76/Time!$F$9*Time!Q30</f>
        <v>16.7927414655601</v>
      </c>
      <c r="R8" s="13" t="n">
        <f aca="false">Funding!$F$76/Time!$F$9*Time!R30</f>
        <v>16.7927414655601</v>
      </c>
      <c r="S8" s="13" t="n">
        <f aca="false">Funding!$F$76/Time!$F$9*Time!S30</f>
        <v>16.7927414655601</v>
      </c>
      <c r="T8" s="13" t="n">
        <f aca="false">Funding!$F$76/Time!$F$9*Time!T30</f>
        <v>16.7927414655601</v>
      </c>
      <c r="U8" s="13" t="n">
        <f aca="false">Funding!$F$76/Time!$F$9*Time!U30</f>
        <v>16.7927414655601</v>
      </c>
      <c r="V8" s="13" t="n">
        <f aca="false">Funding!$F$76/Time!$F$9*Time!V30</f>
        <v>16.7927414655601</v>
      </c>
      <c r="W8" s="13" t="n">
        <f aca="false">Funding!$F$76/Time!$F$9*Time!W30</f>
        <v>16.7927414655601</v>
      </c>
      <c r="X8" s="13" t="n">
        <f aca="false">Funding!$F$76/Time!$F$9*Time!X30</f>
        <v>16.7927414655601</v>
      </c>
      <c r="Y8" s="13" t="n">
        <f aca="false">Funding!$F$76/Time!$F$9*Time!Y30</f>
        <v>16.7927414655601</v>
      </c>
      <c r="Z8" s="13" t="n">
        <f aca="false">Funding!$F$76/Time!$F$9*Time!Z30</f>
        <v>16.7927414655601</v>
      </c>
      <c r="AA8" s="13" t="n">
        <f aca="false">Funding!$F$76/Time!$F$9*Time!AA30</f>
        <v>16.7927414655601</v>
      </c>
      <c r="AB8" s="13" t="n">
        <f aca="false">Funding!$F$76/Time!$F$9*Time!AB30</f>
        <v>16.7927414655601</v>
      </c>
      <c r="AC8" s="13" t="n">
        <f aca="false">Funding!$F$76/Time!$F$9*Time!AC30</f>
        <v>16.7927414655601</v>
      </c>
      <c r="AD8" s="13" t="n">
        <f aca="false">Funding!$F$76/Time!$F$9*Time!AD30</f>
        <v>16.7927414655601</v>
      </c>
      <c r="AE8" s="13" t="n">
        <f aca="false">Funding!$F$76/Time!$F$9*Time!AE30</f>
        <v>16.7927414655601</v>
      </c>
      <c r="AF8" s="13" t="n">
        <f aca="false">Funding!$F$76/Time!$F$9*Time!AF30</f>
        <v>16.7927414655601</v>
      </c>
      <c r="AG8" s="13" t="n">
        <f aca="false">Funding!$F$76/Time!$F$9*Time!AG30</f>
        <v>16.7927414655601</v>
      </c>
      <c r="AH8" s="13" t="n">
        <f aca="false">Funding!$F$76/Time!$F$9*Time!AH30</f>
        <v>16.7927414655601</v>
      </c>
      <c r="AI8" s="13" t="n">
        <f aca="false">Funding!$F$76/Time!$F$9*Time!AI30</f>
        <v>16.7927414655601</v>
      </c>
      <c r="AJ8" s="13" t="n">
        <f aca="false">Funding!$F$76/Time!$F$9*Time!AJ30</f>
        <v>16.7927414655601</v>
      </c>
      <c r="AK8" s="13" t="n">
        <f aca="false">Funding!$F$76/Time!$F$9*Time!AK30</f>
        <v>16.7927414655601</v>
      </c>
      <c r="AL8" s="13" t="n">
        <f aca="false">Funding!$F$76/Time!$F$9*Time!AL30</f>
        <v>16.7927414655601</v>
      </c>
      <c r="AM8" s="13" t="n">
        <f aca="false">Funding!$F$76/Time!$F$9*Time!AM30</f>
        <v>16.7927414655601</v>
      </c>
      <c r="AN8" s="13" t="n">
        <f aca="false">Funding!$F$76/Time!$F$9*Time!AN30</f>
        <v>16.7927414655601</v>
      </c>
      <c r="AO8" s="13" t="n">
        <f aca="false">Funding!$F$76/Time!$F$9*Time!AO30</f>
        <v>16.7927414655601</v>
      </c>
      <c r="AP8" s="13" t="n">
        <f aca="false">Funding!$F$76/Time!$F$9*Time!AP30</f>
        <v>16.7927414655601</v>
      </c>
      <c r="AQ8" s="13" t="n">
        <f aca="false">Funding!$F$76/Time!$F$9*Time!AQ30</f>
        <v>16.7927414655601</v>
      </c>
      <c r="AR8" s="13" t="n">
        <f aca="false">Funding!$F$76/Time!$F$9*Time!AR30</f>
        <v>16.7927414655601</v>
      </c>
      <c r="AS8" s="13" t="n">
        <f aca="false">Funding!$F$76/Time!$F$9*Time!AS30</f>
        <v>16.7927414655601</v>
      </c>
      <c r="AT8" s="13" t="n">
        <f aca="false">Funding!$F$76/Time!$F$9*Time!AT30</f>
        <v>16.7927414655601</v>
      </c>
      <c r="AU8" s="13" t="n">
        <f aca="false">Funding!$F$76/Time!$F$9*Time!AU30</f>
        <v>16.7927414655601</v>
      </c>
      <c r="AV8" s="13" t="n">
        <f aca="false">Funding!$F$76/Time!$F$9*Time!AV30</f>
        <v>16.7927414655601</v>
      </c>
      <c r="AW8" s="13" t="n">
        <f aca="false">Funding!$F$76/Time!$F$9*Time!AW30</f>
        <v>16.7927414655601</v>
      </c>
      <c r="AX8" s="13" t="n">
        <f aca="false">Funding!$F$76/Time!$F$9*Time!AX30</f>
        <v>16.7927414655601</v>
      </c>
      <c r="AY8" s="13" t="n">
        <f aca="false">Funding!$F$76/Time!$F$9*Time!AY30</f>
        <v>16.7927414655601</v>
      </c>
      <c r="AZ8" s="13" t="n">
        <f aca="false">Funding!$F$76/Time!$F$9*Time!AZ30</f>
        <v>16.7927414655601</v>
      </c>
      <c r="BA8" s="13" t="n">
        <f aca="false">Funding!$F$76/Time!$F$9*Time!BA30</f>
        <v>16.7927414655601</v>
      </c>
      <c r="BB8" s="13" t="n">
        <f aca="false">Funding!$F$76/Time!$F$9*Time!BB30</f>
        <v>16.7927414655601</v>
      </c>
      <c r="BC8" s="13" t="n">
        <f aca="false">Funding!$F$76/Time!$F$9*Time!BC30</f>
        <v>16.7927414655601</v>
      </c>
      <c r="BD8" s="13" t="n">
        <f aca="false">Funding!$F$76/Time!$F$9*Time!BD30</f>
        <v>16.7927414655601</v>
      </c>
      <c r="BE8" s="13" t="n">
        <f aca="false">Funding!$F$76/Time!$F$9*Time!BE30</f>
        <v>16.7927414655601</v>
      </c>
      <c r="BF8" s="13" t="n">
        <f aca="false">Funding!$F$76/Time!$F$9*Time!BF30</f>
        <v>16.7927414655601</v>
      </c>
      <c r="BG8" s="13" t="n">
        <f aca="false">Funding!$F$76/Time!$F$9*Time!BG30</f>
        <v>16.7927414655601</v>
      </c>
      <c r="BH8" s="13" t="n">
        <f aca="false">Funding!$F$76/Time!$F$9*Time!BH30</f>
        <v>16.7927414655601</v>
      </c>
      <c r="BI8" s="13" t="n">
        <f aca="false">Funding!$F$76/Time!$F$9*Time!BI30</f>
        <v>16.7927414655601</v>
      </c>
      <c r="BJ8" s="13" t="n">
        <f aca="false">Funding!$F$76/Time!$F$9*Time!BJ30</f>
        <v>16.7927414655601</v>
      </c>
      <c r="BK8" s="13" t="n">
        <f aca="false">Funding!$F$76/Time!$F$9*Time!BK30</f>
        <v>16.7927414655601</v>
      </c>
      <c r="BL8" s="13" t="n">
        <f aca="false">Funding!$F$76/Time!$F$9*Time!BL30</f>
        <v>16.7927414655601</v>
      </c>
      <c r="BM8" s="13" t="n">
        <f aca="false">Funding!$F$76/Time!$F$9*Time!BM30</f>
        <v>16.7927414655601</v>
      </c>
      <c r="BN8" s="13" t="n">
        <f aca="false">Funding!$F$76/Time!$F$9*Time!BN30</f>
        <v>13.9939512213001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552.963763403851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0</v>
      </c>
      <c r="P9" s="13" t="n">
        <f aca="false">Debt!P112+Debt!P110+Debt!P104-Debt!P103+Tax!P13</f>
        <v>1.6979473955217</v>
      </c>
      <c r="Q9" s="13" t="n">
        <f aca="false">Debt!Q112+Debt!Q110+Debt!Q104-Debt!Q103+Tax!Q13</f>
        <v>31.9999318656624</v>
      </c>
      <c r="R9" s="13" t="n">
        <f aca="false">Debt!R112+Debt!R110+Debt!R104-Debt!R103+Tax!R13</f>
        <v>31.4982414365501</v>
      </c>
      <c r="S9" s="13" t="n">
        <f aca="false">Debt!S112+Debt!S110+Debt!S104-Debt!S103+Tax!S13</f>
        <v>30.4500255457424</v>
      </c>
      <c r="T9" s="13" t="n">
        <f aca="false">Debt!T112+Debt!T110+Debt!T104-Debt!T103+Tax!T13</f>
        <v>30.1750980089543</v>
      </c>
      <c r="U9" s="13" t="n">
        <f aca="false">Debt!U112+Debt!U110+Debt!U104-Debt!U103+Tax!U13</f>
        <v>29.196891097852</v>
      </c>
      <c r="V9" s="13" t="n">
        <f aca="false">Debt!V112+Debt!V110+Debt!V104-Debt!V103+Tax!V13</f>
        <v>28.7234372277644</v>
      </c>
      <c r="W9" s="13" t="n">
        <f aca="false">Debt!W112+Debt!W110+Debt!W104-Debt!W103+Tax!W13</f>
        <v>27.6026635376152</v>
      </c>
      <c r="X9" s="13" t="n">
        <f aca="false">Debt!X112+Debt!X110+Debt!X104-Debt!X103+Tax!X13</f>
        <v>27.1550933978515</v>
      </c>
      <c r="Y9" s="13" t="n">
        <f aca="false">Debt!Y112+Debt!Y110+Debt!Y104-Debt!Y103+Tax!Y13</f>
        <v>26.3755208004161</v>
      </c>
      <c r="Z9" s="13" t="n">
        <f aca="false">Debt!Z112+Debt!Z110+Debt!Z104-Debt!Z103+Tax!Z13</f>
        <v>25.9216052420067</v>
      </c>
      <c r="AA9" s="13" t="n">
        <f aca="false">Debt!AA112+Debt!AA110+Debt!AA104-Debt!AA103+Tax!AA13</f>
        <v>24.716706158824</v>
      </c>
      <c r="AB9" s="13" t="n">
        <f aca="false">Debt!AB112+Debt!AB110+Debt!AB104-Debt!AB103+Tax!AB13</f>
        <v>24.1798474799743</v>
      </c>
      <c r="AC9" s="13" t="n">
        <f aca="false">Debt!AC112+Debt!AC110+Debt!AC104-Debt!AC103+Tax!AC13</f>
        <v>23.0097885201492</v>
      </c>
      <c r="AD9" s="13" t="n">
        <f aca="false">Debt!AD112+Debt!AD110+Debt!AD104-Debt!AD103+Tax!AD13</f>
        <v>22.2387203951405</v>
      </c>
      <c r="AE9" s="13" t="n">
        <f aca="false">Debt!AE112+Debt!AE110+Debt!AE104-Debt!AE103+Tax!AE13</f>
        <v>20.9606454249764</v>
      </c>
      <c r="AF9" s="13" t="n">
        <f aca="false">Debt!AF112+Debt!AF110+Debt!AF104-Debt!AF103+Tax!AF13</f>
        <v>20.1266963882305</v>
      </c>
      <c r="AG9" s="13" t="n">
        <f aca="false">Debt!AG112+Debt!AG110+Debt!AG104-Debt!AG103+Tax!AG13</f>
        <v>18.845198183026</v>
      </c>
      <c r="AH9" s="13" t="n">
        <f aca="false">Debt!AH112+Debt!AH110+Debt!AH104-Debt!AH103+Tax!AH13</f>
        <v>17.8310023580027</v>
      </c>
      <c r="AI9" s="13" t="n">
        <f aca="false">Debt!AI112+Debt!AI110+Debt!AI104-Debt!AI103+Tax!AI13</f>
        <v>16.2287960216893</v>
      </c>
      <c r="AJ9" s="13" t="n">
        <f aca="false">Debt!AJ112+Debt!AJ110+Debt!AJ104-Debt!AJ103+Tax!AJ13</f>
        <v>15.0394021494684</v>
      </c>
      <c r="AK9" s="13" t="n">
        <f aca="false">Debt!AK112+Debt!AK110+Debt!AK104-Debt!AK103+Tax!AK13</f>
        <v>13.3849774563126</v>
      </c>
      <c r="AL9" s="13" t="n">
        <f aca="false">Debt!AL112+Debt!AL110+Debt!AL104-Debt!AL103+Tax!AL13</f>
        <v>11.9549632140011</v>
      </c>
      <c r="AM9" s="13" t="n">
        <f aca="false">Debt!AM112+Debt!AM110+Debt!AM104-Debt!AM103+Tax!AM13</f>
        <v>10.2647009766592</v>
      </c>
      <c r="AN9" s="13" t="n">
        <f aca="false">Debt!AN112+Debt!AN110+Debt!AN104-Debt!AN103+Tax!AN13</f>
        <v>8.88620476270693</v>
      </c>
      <c r="AO9" s="13" t="n">
        <f aca="false">Debt!AO112+Debt!AO110+Debt!AO104-Debt!AO103+Tax!AO13</f>
        <v>7.08320101924588</v>
      </c>
      <c r="AP9" s="13" t="n">
        <f aca="false">Debt!AP112+Debt!AP110+Debt!AP104-Debt!AP103+Tax!AP13</f>
        <v>4.48701192163752</v>
      </c>
      <c r="AQ9" s="13" t="n">
        <f aca="false">Debt!AQ112+Debt!AQ110+Debt!AQ104-Debt!AQ103+Tax!AQ13</f>
        <v>2.37608104846675</v>
      </c>
      <c r="AR9" s="13" t="n">
        <f aca="false">Debt!AR112+Debt!AR110+Debt!AR104-Debt!AR103+Tax!AR13</f>
        <v>0.553364369402284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839.637073278006</v>
      </c>
      <c r="K10" s="13" t="n">
        <f aca="false">Funding!$F$76-SUM(Tax!$J$10:K$10)</f>
        <v>839.637073278006</v>
      </c>
      <c r="L10" s="13" t="n">
        <f aca="false">Funding!$F$76-SUM(Tax!$J$10:L$10)</f>
        <v>839.637073278006</v>
      </c>
      <c r="M10" s="13" t="n">
        <f aca="false">Funding!$F$76-SUM(Tax!$J$10:M$10)</f>
        <v>839.637073278006</v>
      </c>
      <c r="N10" s="13" t="n">
        <f aca="false">Funding!$F$76-SUM(Tax!$J$10:N$10)</f>
        <v>839.637073278006</v>
      </c>
      <c r="O10" s="13" t="n">
        <f aca="false">Funding!$F$76-SUM(Tax!$J$10:O$10)</f>
        <v>839.637073278006</v>
      </c>
      <c r="P10" s="13" t="n">
        <f aca="false">Funding!$F$76-SUM(Tax!$J$10:P$10)</f>
        <v>835.858706448255</v>
      </c>
      <c r="Q10" s="13" t="n">
        <f aca="false">Funding!$F$76-SUM(Tax!$J$10:Q$10)</f>
        <v>813.188505469748</v>
      </c>
      <c r="R10" s="13" t="n">
        <f aca="false">Funding!$F$76-SUM(Tax!$J$10:R$10)</f>
        <v>790.518304491242</v>
      </c>
      <c r="S10" s="13" t="n">
        <f aca="false">Funding!$F$76-SUM(Tax!$J$10:S$10)</f>
        <v>767.848103512736</v>
      </c>
      <c r="T10" s="13" t="n">
        <f aca="false">Funding!$F$76-SUM(Tax!$J$10:T$10)</f>
        <v>745.17790253423</v>
      </c>
      <c r="U10" s="13" t="n">
        <f aca="false">Funding!$F$76-SUM(Tax!$J$10:U$10)</f>
        <v>722.507701555724</v>
      </c>
      <c r="V10" s="13" t="n">
        <f aca="false">Funding!$F$76-SUM(Tax!$J$10:V$10)</f>
        <v>699.837500577218</v>
      </c>
      <c r="W10" s="13" t="n">
        <f aca="false">Funding!$F$76-SUM(Tax!$J$10:W$10)</f>
        <v>677.167299598712</v>
      </c>
      <c r="X10" s="13" t="n">
        <f aca="false">Funding!$F$76-SUM(Tax!$J$10:X$10)</f>
        <v>654.497098620205</v>
      </c>
      <c r="Y10" s="13" t="n">
        <f aca="false">Funding!$F$76-SUM(Tax!$J$10:Y$10)</f>
        <v>631.826897641699</v>
      </c>
      <c r="Z10" s="13" t="n">
        <f aca="false">Funding!$F$76-SUM(Tax!$J$10:Z$10)</f>
        <v>609.576515199832</v>
      </c>
      <c r="AA10" s="13" t="n">
        <f aca="false">Funding!$F$76-SUM(Tax!$J$10:AA$10)</f>
        <v>589.42522544116</v>
      </c>
      <c r="AB10" s="13" t="n">
        <f aca="false">Funding!$F$76-SUM(Tax!$J$10:AB$10)</f>
        <v>569.273935682488</v>
      </c>
      <c r="AC10" s="13" t="n">
        <f aca="false">Funding!$F$76-SUM(Tax!$J$10:AC$10)</f>
        <v>549.122645923816</v>
      </c>
      <c r="AD10" s="13" t="n">
        <f aca="false">Funding!$F$76-SUM(Tax!$J$10:AD$10)</f>
        <v>528.971356165144</v>
      </c>
      <c r="AE10" s="13" t="n">
        <f aca="false">Funding!$F$76-SUM(Tax!$J$10:AE$10)</f>
        <v>508.820066406471</v>
      </c>
      <c r="AF10" s="13" t="n">
        <f aca="false">Funding!$F$76-SUM(Tax!$J$10:AF$10)</f>
        <v>488.668776647799</v>
      </c>
      <c r="AG10" s="13" t="n">
        <f aca="false">Funding!$F$76-SUM(Tax!$J$10:AG$10)</f>
        <v>468.517486889127</v>
      </c>
      <c r="AH10" s="13" t="n">
        <f aca="false">Funding!$F$76-SUM(Tax!$J$10:AH$10)</f>
        <v>448.366197130455</v>
      </c>
      <c r="AI10" s="13" t="n">
        <f aca="false">Funding!$F$76-SUM(Tax!$J$10:AI$10)</f>
        <v>428.214907371783</v>
      </c>
      <c r="AJ10" s="13" t="n">
        <f aca="false">Funding!$F$76-SUM(Tax!$J$10:AJ$10)</f>
        <v>408.063617613111</v>
      </c>
      <c r="AK10" s="13" t="n">
        <f aca="false">Funding!$F$76-SUM(Tax!$J$10:AK$10)</f>
        <v>387.912327854439</v>
      </c>
      <c r="AL10" s="13" t="n">
        <f aca="false">Funding!$F$76-SUM(Tax!$J$10:AL$10)</f>
        <v>367.761038095767</v>
      </c>
      <c r="AM10" s="13" t="n">
        <f aca="false">Funding!$F$76-SUM(Tax!$J$10:AM$10)</f>
        <v>347.609748337094</v>
      </c>
      <c r="AN10" s="13" t="n">
        <f aca="false">Funding!$F$76-SUM(Tax!$J$10:AN$10)</f>
        <v>327.458458578422</v>
      </c>
      <c r="AO10" s="13" t="n">
        <f aca="false">Funding!$F$76-SUM(Tax!$J$10:AO$10)</f>
        <v>307.30716881975</v>
      </c>
      <c r="AP10" s="13" t="n">
        <f aca="false">Funding!$F$76-SUM(Tax!$J$10:AP$10)</f>
        <v>287.155879061078</v>
      </c>
      <c r="AQ10" s="13" t="n">
        <f aca="false">Funding!$F$76-SUM(Tax!$J$10:AQ$10)</f>
        <v>267.004589302406</v>
      </c>
      <c r="AR10" s="13" t="n">
        <f aca="false">Funding!$F$76-SUM(Tax!$J$10:AR$10)</f>
        <v>246.853299543734</v>
      </c>
      <c r="AS10" s="13" t="n">
        <f aca="false">Funding!$F$76-SUM(Tax!$J$10:AS$10)</f>
        <v>226.702009785062</v>
      </c>
      <c r="AT10" s="13" t="n">
        <f aca="false">Funding!$F$76-SUM(Tax!$J$10:AT$10)</f>
        <v>206.55072002639</v>
      </c>
      <c r="AU10" s="13" t="n">
        <f aca="false">Funding!$F$76-SUM(Tax!$J$10:AU$10)</f>
        <v>186.399430267717</v>
      </c>
      <c r="AV10" s="13" t="n">
        <f aca="false">Funding!$F$76-SUM(Tax!$J$10:AV$10)</f>
        <v>166.248140509045</v>
      </c>
      <c r="AW10" s="13" t="n">
        <f aca="false">Funding!$F$76-SUM(Tax!$J$10:AW$10)</f>
        <v>146.096850750373</v>
      </c>
      <c r="AX10" s="13" t="n">
        <f aca="false">Funding!$F$76-SUM(Tax!$J$10:AX$10)</f>
        <v>125.945560991701</v>
      </c>
      <c r="AY10" s="13" t="n">
        <f aca="false">Funding!$F$76-SUM(Tax!$J$10:AY$10)</f>
        <v>105.794271233029</v>
      </c>
      <c r="AZ10" s="13" t="n">
        <f aca="false">Funding!$F$76-SUM(Tax!$J$10:AZ$10)</f>
        <v>85.6429814743567</v>
      </c>
      <c r="BA10" s="13" t="n">
        <f aca="false">Funding!$F$76-SUM(Tax!$J$10:BA$10)</f>
        <v>65.4916917156846</v>
      </c>
      <c r="BB10" s="13" t="n">
        <f aca="false">Funding!$F$76-SUM(Tax!$J$10:BB$10)</f>
        <v>45.3404019570124</v>
      </c>
      <c r="BC10" s="13" t="n">
        <f aca="false">Funding!$F$76-SUM(Tax!$J$10:BC$10)</f>
        <v>25.1891121983404</v>
      </c>
      <c r="BD10" s="13" t="n">
        <f aca="false">Funding!$F$76-SUM(Tax!$J$10:BD$10)</f>
        <v>8.25643122056715</v>
      </c>
      <c r="BE10" s="13" t="n">
        <f aca="false">Funding!$F$76-SUM(Tax!$J$10:BE$10)</f>
        <v>7.41679414728912</v>
      </c>
      <c r="BF10" s="13" t="n">
        <f aca="false">Funding!$F$76-SUM(Tax!$J$10:BF$10)</f>
        <v>6.5771570740111</v>
      </c>
      <c r="BG10" s="13" t="n">
        <f aca="false">Funding!$F$76-SUM(Tax!$J$10:BG$10)</f>
        <v>5.73752000073307</v>
      </c>
      <c r="BH10" s="13" t="n">
        <f aca="false">Funding!$F$76-SUM(Tax!$J$10:BH$10)</f>
        <v>4.89788292745504</v>
      </c>
      <c r="BI10" s="13" t="n">
        <f aca="false">Funding!$F$76-SUM(Tax!$J$10:BI$10)</f>
        <v>4.05824585417713</v>
      </c>
      <c r="BJ10" s="13" t="n">
        <f aca="false">Funding!$F$76-SUM(Tax!$J$10:BJ$10)</f>
        <v>3.2186087808991</v>
      </c>
      <c r="BK10" s="13" t="n">
        <f aca="false">Funding!$F$76-SUM(Tax!$J$10:BK$10)</f>
        <v>2.37897170762108</v>
      </c>
      <c r="BL10" s="13" t="n">
        <f aca="false">Funding!$F$76-SUM(Tax!$J$10:BL$10)</f>
        <v>1.53933463434305</v>
      </c>
      <c r="BM10" s="13" t="n">
        <f aca="false">Funding!$F$76-SUM(Tax!$J$10:BM$10)</f>
        <v>0.699697561065023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839.637073278006</v>
      </c>
      <c r="K11" s="13" t="n">
        <f aca="false">Funding!$F$76-SUM($J$8:K$8)</f>
        <v>839.637073278006</v>
      </c>
      <c r="L11" s="13" t="n">
        <f aca="false">Funding!$F$76-SUM($J$8:L$8)</f>
        <v>839.637073278006</v>
      </c>
      <c r="M11" s="13" t="n">
        <f aca="false">Funding!$F$76-SUM($J$8:M$8)</f>
        <v>839.637073278006</v>
      </c>
      <c r="N11" s="13" t="n">
        <f aca="false">Funding!$F$76-SUM($J$8:N$8)</f>
        <v>839.637073278006</v>
      </c>
      <c r="O11" s="13" t="n">
        <f aca="false">Funding!$F$76-SUM($J$8:O$8)</f>
        <v>839.637073278006</v>
      </c>
      <c r="P11" s="13" t="n">
        <f aca="false">Funding!$F$76-SUM($J$8:P$8)</f>
        <v>836.838283033746</v>
      </c>
      <c r="Q11" s="13" t="n">
        <f aca="false">Funding!$F$76-SUM($J$8:Q$8)</f>
        <v>820.045541568185</v>
      </c>
      <c r="R11" s="13" t="n">
        <f aca="false">Funding!$F$76-SUM($J$8:R$8)</f>
        <v>803.252800102625</v>
      </c>
      <c r="S11" s="13" t="n">
        <f aca="false">Funding!$F$76-SUM($J$8:S$8)</f>
        <v>786.460058637065</v>
      </c>
      <c r="T11" s="13" t="n">
        <f aca="false">Funding!$F$76-SUM($J$8:T$8)</f>
        <v>769.667317171505</v>
      </c>
      <c r="U11" s="13" t="n">
        <f aca="false">Funding!$F$76-SUM($J$8:U$8)</f>
        <v>752.874575705945</v>
      </c>
      <c r="V11" s="13" t="n">
        <f aca="false">Funding!$F$76-SUM($J$8:V$8)</f>
        <v>736.081834240385</v>
      </c>
      <c r="W11" s="13" t="n">
        <f aca="false">Funding!$F$76-SUM($J$8:W$8)</f>
        <v>719.289092774825</v>
      </c>
      <c r="X11" s="13" t="n">
        <f aca="false">Funding!$F$76-SUM($J$8:X$8)</f>
        <v>702.496351309265</v>
      </c>
      <c r="Y11" s="13" t="n">
        <f aca="false">Funding!$F$76-SUM($J$8:Y$8)</f>
        <v>685.703609843705</v>
      </c>
      <c r="Z11" s="13" t="n">
        <f aca="false">Funding!$F$76-SUM($J$8:Z$8)</f>
        <v>668.910868378144</v>
      </c>
      <c r="AA11" s="13" t="n">
        <f aca="false">Funding!$F$76-SUM($J$8:AA$8)</f>
        <v>652.118126912584</v>
      </c>
      <c r="AB11" s="13" t="n">
        <f aca="false">Funding!$F$76-SUM($J$8:AB$8)</f>
        <v>635.325385447024</v>
      </c>
      <c r="AC11" s="13" t="n">
        <f aca="false">Funding!$F$76-SUM($J$8:AC$8)</f>
        <v>618.532643981464</v>
      </c>
      <c r="AD11" s="13" t="n">
        <f aca="false">Funding!$F$76-SUM($J$8:AD$8)</f>
        <v>601.739902515904</v>
      </c>
      <c r="AE11" s="13" t="n">
        <f aca="false">Funding!$F$76-SUM($J$8:AE$8)</f>
        <v>584.947161050344</v>
      </c>
      <c r="AF11" s="13" t="n">
        <f aca="false">Funding!$F$76-SUM($J$8:AF$8)</f>
        <v>568.154419584784</v>
      </c>
      <c r="AG11" s="13" t="n">
        <f aca="false">Funding!$F$76-SUM($J$8:AG$8)</f>
        <v>551.361678119224</v>
      </c>
      <c r="AH11" s="13" t="n">
        <f aca="false">Funding!$F$76-SUM($J$8:AH$8)</f>
        <v>534.568936653664</v>
      </c>
      <c r="AI11" s="13" t="n">
        <f aca="false">Funding!$F$76-SUM($J$8:AI$8)</f>
        <v>517.776195188103</v>
      </c>
      <c r="AJ11" s="13" t="n">
        <f aca="false">Funding!$F$76-SUM($J$8:AJ$8)</f>
        <v>500.983453722543</v>
      </c>
      <c r="AK11" s="13" t="n">
        <f aca="false">Funding!$F$76-SUM($J$8:AK$8)</f>
        <v>484.190712256983</v>
      </c>
      <c r="AL11" s="13" t="n">
        <f aca="false">Funding!$F$76-SUM($J$8:AL$8)</f>
        <v>467.397970791423</v>
      </c>
      <c r="AM11" s="13" t="n">
        <f aca="false">Funding!$F$76-SUM($J$8:AM$8)</f>
        <v>450.605229325863</v>
      </c>
      <c r="AN11" s="13" t="n">
        <f aca="false">Funding!$F$76-SUM($J$8:AN$8)</f>
        <v>433.812487860303</v>
      </c>
      <c r="AO11" s="13" t="n">
        <f aca="false">Funding!$F$76-SUM($J$8:AO$8)</f>
        <v>417.019746394743</v>
      </c>
      <c r="AP11" s="13" t="n">
        <f aca="false">Funding!$F$76-SUM($J$8:AP$8)</f>
        <v>400.227004929183</v>
      </c>
      <c r="AQ11" s="13" t="n">
        <f aca="false">Funding!$F$76-SUM($J$8:AQ$8)</f>
        <v>383.434263463623</v>
      </c>
      <c r="AR11" s="13" t="n">
        <f aca="false">Funding!$F$76-SUM($J$8:AR$8)</f>
        <v>366.641521998062</v>
      </c>
      <c r="AS11" s="13" t="n">
        <f aca="false">Funding!$F$76-SUM($J$8:AS$8)</f>
        <v>349.848780532502</v>
      </c>
      <c r="AT11" s="13" t="n">
        <f aca="false">Funding!$F$76-SUM($J$8:AT$8)</f>
        <v>333.056039066942</v>
      </c>
      <c r="AU11" s="13" t="n">
        <f aca="false">Funding!$F$76-SUM($J$8:AU$8)</f>
        <v>316.263297601382</v>
      </c>
      <c r="AV11" s="13" t="n">
        <f aca="false">Funding!$F$76-SUM($J$8:AV$8)</f>
        <v>299.470556135822</v>
      </c>
      <c r="AW11" s="13" t="n">
        <f aca="false">Funding!$F$76-SUM($J$8:AW$8)</f>
        <v>282.677814670262</v>
      </c>
      <c r="AX11" s="13" t="n">
        <f aca="false">Funding!$F$76-SUM($J$8:AX$8)</f>
        <v>265.885073204702</v>
      </c>
      <c r="AY11" s="13" t="n">
        <f aca="false">Funding!$F$76-SUM($J$8:AY$8)</f>
        <v>249.092331739142</v>
      </c>
      <c r="AZ11" s="13" t="n">
        <f aca="false">Funding!$F$76-SUM($J$8:AZ$8)</f>
        <v>232.299590273582</v>
      </c>
      <c r="BA11" s="13" t="n">
        <f aca="false">Funding!$F$76-SUM($J$8:BA$8)</f>
        <v>215.506848808021</v>
      </c>
      <c r="BB11" s="13" t="n">
        <f aca="false">Funding!$F$76-SUM($J$8:BB$8)</f>
        <v>198.714107342461</v>
      </c>
      <c r="BC11" s="13" t="n">
        <f aca="false">Funding!$F$76-SUM($J$8:BC$8)</f>
        <v>181.921365876901</v>
      </c>
      <c r="BD11" s="13" t="n">
        <f aca="false">Funding!$F$76-SUM($J$8:BD$8)</f>
        <v>165.128624411341</v>
      </c>
      <c r="BE11" s="13" t="n">
        <f aca="false">Funding!$F$76-SUM($J$8:BE$8)</f>
        <v>148.335882945781</v>
      </c>
      <c r="BF11" s="13" t="n">
        <f aca="false">Funding!$F$76-SUM($J$8:BF$8)</f>
        <v>131.543141480221</v>
      </c>
      <c r="BG11" s="13" t="n">
        <f aca="false">Funding!$F$76-SUM($J$8:BG$8)</f>
        <v>114.750400014661</v>
      </c>
      <c r="BH11" s="13" t="n">
        <f aca="false">Funding!$F$76-SUM($J$8:BH$8)</f>
        <v>97.9576585491006</v>
      </c>
      <c r="BI11" s="13" t="n">
        <f aca="false">Funding!$F$76-SUM($J$8:BI$8)</f>
        <v>81.1649170835406</v>
      </c>
      <c r="BJ11" s="13" t="n">
        <f aca="false">Funding!$F$76-SUM($J$8:BJ$8)</f>
        <v>64.3721756179804</v>
      </c>
      <c r="BK11" s="13" t="n">
        <f aca="false">Funding!$F$76-SUM($J$8:BK$8)</f>
        <v>47.5794341524203</v>
      </c>
      <c r="BL11" s="13" t="n">
        <f aca="false">Funding!$F$76-SUM($J$8:BL$8)</f>
        <v>30.7866926868602</v>
      </c>
      <c r="BM11" s="13" t="n">
        <f aca="false">Funding!$F$76-SUM($J$8:BM$8)</f>
        <v>13.9939512213001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0</v>
      </c>
      <c r="P12" s="13" t="n">
        <f aca="false">IF(Time!P20&gt;=Time!$F$12,Inputs!$F$184/100*(P11-P10-Tax!P21),0)</f>
        <v>-0.839637073277998</v>
      </c>
      <c r="Q12" s="13" t="n">
        <f aca="false">IF(Time!Q20&gt;=Time!$F$12,Inputs!$F$184/100*(Q11-Q10-Tax!Q21),0)</f>
        <v>-5.87745951294605</v>
      </c>
      <c r="R12" s="13" t="n">
        <f aca="false">IF(Time!R20&gt;=Time!$F$12,Inputs!$F$184/100*(R11-R10-Tax!R21),0)</f>
        <v>-10.9152819526141</v>
      </c>
      <c r="S12" s="13" t="n">
        <f aca="false">IF(Time!S20&gt;=Time!$F$12,Inputs!$F$184/100*(S11-S10-Tax!S21),0)</f>
        <v>-15.9531043922821</v>
      </c>
      <c r="T12" s="13" t="n">
        <f aca="false">IF(Time!T20&gt;=Time!$F$12,Inputs!$F$184/100*(T11-T10-Tax!T21),0)</f>
        <v>-20.9909268319501</v>
      </c>
      <c r="U12" s="13" t="n">
        <f aca="false">IF(Time!U20&gt;=Time!$F$12,Inputs!$F$184/100*(U11-U10-Tax!U21),0)</f>
        <v>-26.0287492716182</v>
      </c>
      <c r="V12" s="13" t="n">
        <f aca="false">IF(Time!V20&gt;=Time!$F$12,Inputs!$F$184/100*(V11-V10-Tax!V21),0)</f>
        <v>-31.0665717112862</v>
      </c>
      <c r="W12" s="13" t="n">
        <f aca="false">IF(Time!W20&gt;=Time!$F$12,Inputs!$F$184/100*(W11-W10-Tax!W21),0)</f>
        <v>-36.1043941509542</v>
      </c>
      <c r="X12" s="13" t="n">
        <f aca="false">IF(Time!X20&gt;=Time!$F$12,Inputs!$F$184/100*(X11-X10-Tax!X21),0)</f>
        <v>-41.1422165906223</v>
      </c>
      <c r="Y12" s="13" t="n">
        <f aca="false">IF(Time!Y20&gt;=Time!$F$12,Inputs!$F$184/100*(Y11-Y10-Tax!Y21),0)</f>
        <v>-46.1800390302903</v>
      </c>
      <c r="Z12" s="13" t="n">
        <f aca="false">IF(Time!Z20&gt;=Time!$F$12,Inputs!$F$184/100*(Z11-Z10-Tax!Z21),0)</f>
        <v>-49.9611350223151</v>
      </c>
      <c r="AA12" s="13" t="n">
        <f aca="false">IF(Time!AA20&gt;=Time!$F$12,Inputs!$F$184/100*(AA11-AA10-Tax!AA21),0)</f>
        <v>-47.0508998410532</v>
      </c>
      <c r="AB12" s="13" t="n">
        <f aca="false">IF(Time!AB20&gt;=Time!$F$12,Inputs!$F$184/100*(AB11-AB10-Tax!AB21),0)</f>
        <v>-43.9472454379883</v>
      </c>
      <c r="AC12" s="13" t="n">
        <f aca="false">IF(Time!AC20&gt;=Time!$F$12,Inputs!$F$184/100*(AC11-AC10-Tax!AC21),0)</f>
        <v>-40.4725158577871</v>
      </c>
      <c r="AD12" s="13" t="n">
        <f aca="false">IF(Time!AD20&gt;=Time!$F$12,Inputs!$F$184/100*(AD11-AD10-Tax!AD21),0)</f>
        <v>-36.7152106817235</v>
      </c>
      <c r="AE12" s="13" t="n">
        <f aca="false">IF(Time!AE20&gt;=Time!$F$12,Inputs!$F$184/100*(AE11-AE10-Tax!AE21),0)</f>
        <v>-35.7076461937899</v>
      </c>
      <c r="AF12" s="13" t="n">
        <f aca="false">IF(Time!AF20&gt;=Time!$F$12,Inputs!$F$184/100*(AF11-AF10-Tax!AF21),0)</f>
        <v>-31.9472029198707</v>
      </c>
      <c r="AG12" s="13" t="n">
        <f aca="false">IF(Time!AG20&gt;=Time!$F$12,Inputs!$F$184/100*(AG11-AG10-Tax!AG21),0)</f>
        <v>-27.0822402587544</v>
      </c>
      <c r="AH12" s="13" t="n">
        <f aca="false">IF(Time!AH20&gt;=Time!$F$12,Inputs!$F$184/100*(AH11-AH10-Tax!AH21),0)</f>
        <v>-21.8729643527252</v>
      </c>
      <c r="AI12" s="13" t="n">
        <f aca="false">IF(Time!AI20&gt;=Time!$F$12,Inputs!$F$184/100*(AI11-AI10-Tax!AI21),0)</f>
        <v>-16.1328175668241</v>
      </c>
      <c r="AJ12" s="13" t="n">
        <f aca="false">IF(Time!AJ20&gt;=Time!$F$12,Inputs!$F$184/100*(AJ11-AJ10-Tax!AJ21),0)</f>
        <v>-10.0006795490606</v>
      </c>
      <c r="AK12" s="13" t="n">
        <f aca="false">IF(Time!AK20&gt;=Time!$F$12,Inputs!$F$184/100*(AK11-AK10-Tax!AK21),0)</f>
        <v>-3.35110070252909</v>
      </c>
      <c r="AL12" s="13" t="n">
        <f aca="false">IF(Time!AL20&gt;=Time!$F$12,Inputs!$F$184/100*(AL11-AL10-Tax!AL21),0)</f>
        <v>3.77714808834738</v>
      </c>
      <c r="AM12" s="13" t="n">
        <f aca="false">IF(Time!AM20&gt;=Time!$F$12,Inputs!$F$184/100*(AM11-AM10-Tax!AM21),0)</f>
        <v>10.5928129078677</v>
      </c>
      <c r="AN12" s="13" t="n">
        <f aca="false">IF(Time!AN20&gt;=Time!$F$12,Inputs!$F$184/100*(AN11-AN10-Tax!AN21),0)</f>
        <v>18.7630956250582</v>
      </c>
      <c r="AO12" s="13" t="n">
        <f aca="false">IF(Time!AO20&gt;=Time!$F$12,Inputs!$F$184/100*(AO11-AO10-Tax!AO21),0)</f>
        <v>27.4556847354954</v>
      </c>
      <c r="AP12" s="13" t="n">
        <f aca="false">IF(Time!AP20&gt;=Time!$F$12,Inputs!$F$184/100*(AP11-AP10-Tax!AP21),0)</f>
        <v>33.9213377604314</v>
      </c>
      <c r="AQ12" s="13" t="n">
        <f aca="false">IF(Time!AQ20&gt;=Time!$F$12,Inputs!$F$184/100*(AQ11-AQ10-Tax!AQ21),0)</f>
        <v>34.928902248365</v>
      </c>
      <c r="AR12" s="13" t="n">
        <f aca="false">IF(Time!AR20&gt;=Time!$F$12,Inputs!$F$184/100*(AR11-AR10-Tax!AR21),0)</f>
        <v>35.9364667362986</v>
      </c>
      <c r="AS12" s="13" t="n">
        <f aca="false">IF(Time!AS20&gt;=Time!$F$12,Inputs!$F$184/100*(AS11-AS10-Tax!AS21),0)</f>
        <v>36.9440312242322</v>
      </c>
      <c r="AT12" s="13" t="n">
        <f aca="false">IF(Time!AT20&gt;=Time!$F$12,Inputs!$F$184/100*(AT11-AT10-Tax!AT21),0)</f>
        <v>37.9515957121658</v>
      </c>
      <c r="AU12" s="13" t="n">
        <f aca="false">IF(Time!AU20&gt;=Time!$F$12,Inputs!$F$184/100*(AU11-AU10-Tax!AU21),0)</f>
        <v>38.9591602000994</v>
      </c>
      <c r="AV12" s="13" t="n">
        <f aca="false">IF(Time!AV20&gt;=Time!$F$12,Inputs!$F$184/100*(AV11-AV10-Tax!AV21),0)</f>
        <v>39.966724688033</v>
      </c>
      <c r="AW12" s="13" t="n">
        <f aca="false">IF(Time!AW20&gt;=Time!$F$12,Inputs!$F$184/100*(AW11-AW10-Tax!AW21),0)</f>
        <v>40.9742891759667</v>
      </c>
      <c r="AX12" s="13" t="n">
        <f aca="false">IF(Time!AX20&gt;=Time!$F$12,Inputs!$F$184/100*(AX11-AX10-Tax!AX21),0)</f>
        <v>41.9818536639002</v>
      </c>
      <c r="AY12" s="13" t="n">
        <f aca="false">IF(Time!AY20&gt;=Time!$F$12,Inputs!$F$184/100*(AY11-AY10-Tax!AY21),0)</f>
        <v>42.9894181518339</v>
      </c>
      <c r="AZ12" s="13" t="n">
        <f aca="false">IF(Time!AZ20&gt;=Time!$F$12,Inputs!$F$184/100*(AZ11-AZ10-Tax!AZ21),0)</f>
        <v>43.9969826397675</v>
      </c>
      <c r="BA12" s="13" t="n">
        <f aca="false">IF(Time!BA20&gt;=Time!$F$12,Inputs!$F$184/100*(BA11-BA10-Tax!BA21),0)</f>
        <v>45.0045471277011</v>
      </c>
      <c r="BB12" s="13" t="n">
        <f aca="false">IF(Time!BB20&gt;=Time!$F$12,Inputs!$F$184/100*(BB11-BB10-Tax!BB21),0)</f>
        <v>46.0121116156346</v>
      </c>
      <c r="BC12" s="13" t="n">
        <f aca="false">IF(Time!BC20&gt;=Time!$F$12,Inputs!$F$184/100*(BC11-BC10-Tax!BC21),0)</f>
        <v>47.0196761035682</v>
      </c>
      <c r="BD12" s="13" t="n">
        <f aca="false">IF(Time!BD20&gt;=Time!$F$12,Inputs!$F$184/100*(BD11-BD10-Tax!BD21),0)</f>
        <v>47.0616579572322</v>
      </c>
      <c r="BE12" s="13" t="n">
        <f aca="false">IF(Time!BE20&gt;=Time!$F$12,Inputs!$F$184/100*(BE11-BE10-Tax!BE21),0)</f>
        <v>42.2757266395476</v>
      </c>
      <c r="BF12" s="13" t="n">
        <f aca="false">IF(Time!BF20&gt;=Time!$F$12,Inputs!$F$184/100*(BF11-BF10-Tax!BF21),0)</f>
        <v>37.4897953218629</v>
      </c>
      <c r="BG12" s="13" t="n">
        <f aca="false">IF(Time!BG20&gt;=Time!$F$12,Inputs!$F$184/100*(BG11-BG10-Tax!BG21),0)</f>
        <v>32.7038640041783</v>
      </c>
      <c r="BH12" s="13" t="n">
        <f aca="false">IF(Time!BH20&gt;=Time!$F$12,Inputs!$F$184/100*(BH11-BH10-Tax!BH21),0)</f>
        <v>27.9179326864937</v>
      </c>
      <c r="BI12" s="13" t="n">
        <f aca="false">IF(Time!BI20&gt;=Time!$F$12,Inputs!$F$184/100*(BI11-BI10-Tax!BI21),0)</f>
        <v>23.132001368809</v>
      </c>
      <c r="BJ12" s="13" t="n">
        <f aca="false">IF(Time!BJ20&gt;=Time!$F$12,Inputs!$F$184/100*(BJ11-BJ10-Tax!BJ21),0)</f>
        <v>18.3460700511244</v>
      </c>
      <c r="BK12" s="13" t="n">
        <f aca="false">IF(Time!BK20&gt;=Time!$F$12,Inputs!$F$184/100*(BK11-BK10-Tax!BK21),0)</f>
        <v>13.5601387334398</v>
      </c>
      <c r="BL12" s="13" t="n">
        <f aca="false">IF(Time!BL20&gt;=Time!$F$12,Inputs!$F$184/100*(BL11-BL10-Tax!BL21),0)</f>
        <v>8.77420741575514</v>
      </c>
      <c r="BM12" s="13" t="n">
        <f aca="false">IF(Time!BM20&gt;=Time!$F$12,Inputs!$F$184/100*(BM11-BM10-Tax!BM21),0)</f>
        <v>3.98827609807053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0</v>
      </c>
      <c r="P13" s="13" t="n">
        <f aca="false">P12-O12</f>
        <v>-0.839637073277998</v>
      </c>
      <c r="Q13" s="13" t="n">
        <f aca="false">Q12-P12</f>
        <v>-5.03782243966806</v>
      </c>
      <c r="R13" s="13" t="n">
        <f aca="false">R12-Q12</f>
        <v>-5.03782243966802</v>
      </c>
      <c r="S13" s="13" t="n">
        <f aca="false">S12-R12</f>
        <v>-5.03782243966802</v>
      </c>
      <c r="T13" s="13" t="n">
        <f aca="false">T12-S12</f>
        <v>-5.03782243966802</v>
      </c>
      <c r="U13" s="13" t="n">
        <f aca="false">U12-T12</f>
        <v>-5.03782243966806</v>
      </c>
      <c r="V13" s="13" t="n">
        <f aca="false">V12-U12</f>
        <v>-5.03782243966806</v>
      </c>
      <c r="W13" s="13" t="n">
        <f aca="false">W12-V12</f>
        <v>-5.03782243966799</v>
      </c>
      <c r="X13" s="13" t="n">
        <f aca="false">X12-W12</f>
        <v>-5.03782243966809</v>
      </c>
      <c r="Y13" s="13" t="n">
        <f aca="false">Y12-X12</f>
        <v>-5.03782243966799</v>
      </c>
      <c r="Z13" s="13" t="n">
        <f aca="false">Z12-Y12</f>
        <v>-3.78109599202475</v>
      </c>
      <c r="AA13" s="13" t="n">
        <f aca="false">AA12-Z12</f>
        <v>2.91023518126183</v>
      </c>
      <c r="AB13" s="13" t="n">
        <f aca="false">AB12-AA12</f>
        <v>3.10365440306495</v>
      </c>
      <c r="AC13" s="13" t="n">
        <f aca="false">AC12-AB12</f>
        <v>3.47472958020115</v>
      </c>
      <c r="AD13" s="13" t="n">
        <f aca="false">AD12-AC12</f>
        <v>3.75730517606364</v>
      </c>
      <c r="AE13" s="13" t="n">
        <f aca="false">AE12-AD12</f>
        <v>1.00756448793362</v>
      </c>
      <c r="AF13" s="13" t="n">
        <f aca="false">AF12-AE12</f>
        <v>3.76044327391917</v>
      </c>
      <c r="AG13" s="13" t="n">
        <f aca="false">AG12-AF12</f>
        <v>4.86496266111631</v>
      </c>
      <c r="AH13" s="13" t="n">
        <f aca="false">AH12-AG12</f>
        <v>5.20927590602916</v>
      </c>
      <c r="AI13" s="13" t="n">
        <f aca="false">AI12-AH12</f>
        <v>5.74014678590108</v>
      </c>
      <c r="AJ13" s="13" t="n">
        <f aca="false">AJ12-AI12</f>
        <v>6.13213801776357</v>
      </c>
      <c r="AK13" s="13" t="n">
        <f aca="false">AK12-AJ12</f>
        <v>6.64957884653149</v>
      </c>
      <c r="AL13" s="13" t="n">
        <f aca="false">AL12-AK12</f>
        <v>7.12824879087647</v>
      </c>
      <c r="AM13" s="13" t="n">
        <f aca="false">AM12-AL12</f>
        <v>6.81566481952035</v>
      </c>
      <c r="AN13" s="13" t="n">
        <f aca="false">AN12-AM12</f>
        <v>8.17028271719048</v>
      </c>
      <c r="AO13" s="13" t="n">
        <f aca="false">AO12-AN12</f>
        <v>8.69258911043721</v>
      </c>
      <c r="AP13" s="13" t="n">
        <f aca="false">AP12-AO12</f>
        <v>6.46565302493594</v>
      </c>
      <c r="AQ13" s="13" t="n">
        <f aca="false">AQ12-AP12</f>
        <v>1.00756448793364</v>
      </c>
      <c r="AR13" s="13" t="n">
        <f aca="false">AR12-AQ12</f>
        <v>1.0075644879336</v>
      </c>
      <c r="AS13" s="13" t="n">
        <f aca="false">AS12-AR12</f>
        <v>1.0075644879336</v>
      </c>
      <c r="AT13" s="13" t="n">
        <f aca="false">AT12-AS12</f>
        <v>1.00756448793359</v>
      </c>
      <c r="AU13" s="13" t="n">
        <f aca="false">AU12-AT12</f>
        <v>1.00756448793364</v>
      </c>
      <c r="AV13" s="13" t="n">
        <f aca="false">AV12-AU12</f>
        <v>1.0075644879336</v>
      </c>
      <c r="AW13" s="13" t="n">
        <f aca="false">AW12-AV12</f>
        <v>1.00756448793363</v>
      </c>
      <c r="AX13" s="13" t="n">
        <f aca="false">AX12-AW12</f>
        <v>1.00756448793356</v>
      </c>
      <c r="AY13" s="13" t="n">
        <f aca="false">AY12-AX12</f>
        <v>1.00756448793364</v>
      </c>
      <c r="AZ13" s="13" t="n">
        <f aca="false">AZ12-AY12</f>
        <v>1.0075644879336</v>
      </c>
      <c r="BA13" s="13" t="n">
        <f aca="false">BA12-AZ12</f>
        <v>1.0075644879336</v>
      </c>
      <c r="BB13" s="13" t="n">
        <f aca="false">BB12-BA12</f>
        <v>1.00756448793359</v>
      </c>
      <c r="BC13" s="13" t="n">
        <f aca="false">BC12-BB12</f>
        <v>1.0075644879336</v>
      </c>
      <c r="BD13" s="13" t="n">
        <f aca="false">BD12-BC12</f>
        <v>0.041981853663934</v>
      </c>
      <c r="BE13" s="13" t="n">
        <f aca="false">BE12-BD12</f>
        <v>-4.78593131768461</v>
      </c>
      <c r="BF13" s="13" t="n">
        <f aca="false">BF12-BE12</f>
        <v>-4.78593131768465</v>
      </c>
      <c r="BG13" s="13" t="n">
        <f aca="false">BG12-BF12</f>
        <v>-4.78593131768462</v>
      </c>
      <c r="BH13" s="13" t="n">
        <f aca="false">BH12-BG12</f>
        <v>-4.78593131768461</v>
      </c>
      <c r="BI13" s="13" t="n">
        <f aca="false">BI12-BH12</f>
        <v>-4.78593131768465</v>
      </c>
      <c r="BJ13" s="13" t="n">
        <f aca="false">BJ12-BI12</f>
        <v>-4.78593131768465</v>
      </c>
      <c r="BK13" s="13" t="n">
        <f aca="false">BK12-BJ12</f>
        <v>-4.78593131768462</v>
      </c>
      <c r="BL13" s="13" t="n">
        <f aca="false">BL12-BK12</f>
        <v>-4.78593131768462</v>
      </c>
      <c r="BM13" s="13" t="n">
        <f aca="false">BM12-BL12</f>
        <v>-4.78593131768462</v>
      </c>
      <c r="BN13" s="13" t="n">
        <f aca="false">BN12-BM12</f>
        <v>-3.98827609807053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889.946069611122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0</v>
      </c>
      <c r="P14" s="13" t="n">
        <f aca="false">Operations!P84-P8-P9-Tax!P27-P13</f>
        <v>4.6045998237667</v>
      </c>
      <c r="Q14" s="13" t="n">
        <f aca="false">Operations!Q84-Q8-Q9-Tax!Q27-Q13</f>
        <v>6.02521287548376</v>
      </c>
      <c r="R14" s="13" t="n">
        <f aca="false">Operations!R84-R8-R9-Tax!R27-R13</f>
        <v>6.90886235829553</v>
      </c>
      <c r="S14" s="13" t="n">
        <f aca="false">Operations!S84-S8-S9-Tax!S27-S13</f>
        <v>8.13222792148656</v>
      </c>
      <c r="T14" s="13" t="n">
        <f aca="false">Operations!T84-T8-T9-Tax!T27-T13</f>
        <v>8.50640450546984</v>
      </c>
      <c r="U14" s="13" t="n">
        <f aca="false">Operations!U84-U8-U9-Tax!U27-U13</f>
        <v>9.54809384744399</v>
      </c>
      <c r="V14" s="13" t="n">
        <f aca="false">Operations!V84-V8-V9-Tax!V27-V13</f>
        <v>10.1600039171769</v>
      </c>
      <c r="W14" s="13" t="n">
        <f aca="false">Operations!W84-W8-W9-Tax!W27-W13</f>
        <v>8.98243072644246</v>
      </c>
      <c r="X14" s="13" t="n">
        <f aca="false">Operations!X84-X8-X9-Tax!X27-X13</f>
        <v>12.0672432555302</v>
      </c>
      <c r="Y14" s="13" t="n">
        <f aca="false">Operations!Y84-Y8-Y9-Tax!Y27-Y13</f>
        <v>12.8032351921851</v>
      </c>
      <c r="Z14" s="13" t="n">
        <f aca="false">Operations!Z84-Z8-Z9-Tax!Z27-Z13</f>
        <v>12.0636763475025</v>
      </c>
      <c r="AA14" s="13" t="n">
        <f aca="false">Operations!AA84-AA8-AA9-Tax!AA27-AA13</f>
        <v>6.43399253014549</v>
      </c>
      <c r="AB14" s="13" t="n">
        <f aca="false">Operations!AB84-AB8-AB9-Tax!AB27-AB13</f>
        <v>6.8835600943456</v>
      </c>
      <c r="AC14" s="13" t="n">
        <f aca="false">Operations!AC84-AC8-AC9-Tax!AC27-AC13</f>
        <v>7.7473561509094</v>
      </c>
      <c r="AD14" s="13" t="n">
        <f aca="false">Operations!AD84-AD8-AD9-Tax!AD27-AD13</f>
        <v>8.40538935245044</v>
      </c>
      <c r="AE14" s="13" t="n">
        <f aca="false">Operations!AE84-AE8-AE9-Tax!AE27-AE13</f>
        <v>-0.239797383608683</v>
      </c>
      <c r="AF14" s="13" t="n">
        <f aca="false">Operations!AF84-AF8-AF9-Tax!AF27-AF13</f>
        <v>10.646530111658</v>
      </c>
      <c r="AG14" s="13" t="n">
        <f aca="false">Operations!AG84-AG8-AG9-Tax!AG27-AG13</f>
        <v>10.9842645963623</v>
      </c>
      <c r="AH14" s="13" t="n">
        <f aca="false">Operations!AH84-AH8-AH9-Tax!AH27-AH13</f>
        <v>11.7859473657182</v>
      </c>
      <c r="AI14" s="13" t="n">
        <f aca="false">Operations!AI84-AI8-AI9-Tax!AI27-AI13</f>
        <v>13.0232140001412</v>
      </c>
      <c r="AJ14" s="13" t="n">
        <f aca="false">Operations!AJ84-AJ8-AJ9-Tax!AJ27-AJ13</f>
        <v>13.9359612057912</v>
      </c>
      <c r="AK14" s="13" t="n">
        <f aca="false">Operations!AK84-AK8-AK9-Tax!AK27-AK13</f>
        <v>15.1410965072958</v>
      </c>
      <c r="AL14" s="13" t="n">
        <f aca="false">Operations!AL84-AL8-AL9-Tax!AL27-AL13</f>
        <v>16.2564011544392</v>
      </c>
      <c r="AM14" s="13" t="n">
        <f aca="false">Operations!AM84-AM8-AM9-Tax!AM27-AM13</f>
        <v>15.5265444157353</v>
      </c>
      <c r="AN14" s="13" t="n">
        <f aca="false">Operations!AN84-AN8-AN9-Tax!AN27-AN13</f>
        <v>18.6851482082299</v>
      </c>
      <c r="AO14" s="13" t="n">
        <f aca="false">Operations!AO84-AO8-AO9-Tax!AO27-AO13</f>
        <v>19.9005309197344</v>
      </c>
      <c r="AP14" s="13" t="n">
        <f aca="false">Operations!AP84-AP8-AP9-Tax!AP27-AP13</f>
        <v>22.2019343534658</v>
      </c>
      <c r="AQ14" s="13" t="n">
        <f aca="false">Operations!AQ84-AQ8-AQ9-Tax!AQ27-AQ13</f>
        <v>23.8068393378117</v>
      </c>
      <c r="AR14" s="13" t="n">
        <f aca="false">Operations!AR84-AR8-AR9-Tax!AR27-AR13</f>
        <v>25.1719409231651</v>
      </c>
      <c r="AS14" s="13" t="n">
        <f aca="false">Operations!AS84-AS8-AS9-Tax!AS27-AS13</f>
        <v>25.6111267583489</v>
      </c>
      <c r="AT14" s="13" t="n">
        <f aca="false">Operations!AT84-AT8-AT9-Tax!AT27-AT13</f>
        <v>25.7546089854661</v>
      </c>
      <c r="AU14" s="13" t="n">
        <f aca="false">Operations!AU84-AU8-AU9-Tax!AU27-AU13</f>
        <v>15.2745009517745</v>
      </c>
      <c r="AV14" s="13" t="n">
        <f aca="false">Operations!AV84-AV8-AV9-Tax!AV27-AV13</f>
        <v>25.8949104950168</v>
      </c>
      <c r="AW14" s="13" t="n">
        <f aca="false">Operations!AW84-AW8-AW9-Tax!AW27-AW13</f>
        <v>25.9962932740669</v>
      </c>
      <c r="AX14" s="13" t="n">
        <f aca="false">Operations!AX84-AX8-AX9-Tax!AX27-AX13</f>
        <v>26.1073773968708</v>
      </c>
      <c r="AY14" s="13" t="n">
        <f aca="false">Operations!AY84-AY8-AY9-Tax!AY27-AY13</f>
        <v>26.2456150378108</v>
      </c>
      <c r="AZ14" s="13" t="n">
        <f aca="false">Operations!AZ84-AZ8-AZ9-Tax!AZ27-AZ13</f>
        <v>26.3425630596615</v>
      </c>
      <c r="BA14" s="13" t="n">
        <f aca="false">Operations!BA84-BA8-BA9-Tax!BA27-BA13</f>
        <v>26.3970634525114</v>
      </c>
      <c r="BB14" s="13" t="n">
        <f aca="false">Operations!BB84-BB8-BB9-Tax!BB27-BB13</f>
        <v>26.5355794443061</v>
      </c>
      <c r="BC14" s="13" t="n">
        <f aca="false">Operations!BC84-BC8-BC9-Tax!BC27-BC13</f>
        <v>24.2619325629495</v>
      </c>
      <c r="BD14" s="13" t="n">
        <f aca="false">Operations!BD84-BD8-BD9-Tax!BD27-BD13</f>
        <v>26.8738146778595</v>
      </c>
      <c r="BE14" s="13" t="n">
        <f aca="false">Operations!BE84-BE8-BE9-Tax!BE27-BE13</f>
        <v>26.8140781428945</v>
      </c>
      <c r="BF14" s="13" t="n">
        <f aca="false">Operations!BF84-BF8-BF9-Tax!BF27-BF13</f>
        <v>26.9351763310506</v>
      </c>
      <c r="BG14" s="13" t="n">
        <f aca="false">Operations!BG84-BG8-BG9-Tax!BG27-BG13</f>
        <v>27.0853621293161</v>
      </c>
      <c r="BH14" s="13" t="n">
        <f aca="false">Operations!BH84-BH8-BH9-Tax!BH27-BH13</f>
        <v>27.1907305699651</v>
      </c>
      <c r="BI14" s="13" t="n">
        <f aca="false">Operations!BI84-BI8-BI9-Tax!BI27-BI13</f>
        <v>27.2480048518987</v>
      </c>
      <c r="BJ14" s="13" t="n">
        <f aca="false">Operations!BJ84-BJ8-BJ9-Tax!BJ27-BJ13</f>
        <v>27.4200590272129</v>
      </c>
      <c r="BK14" s="13" t="n">
        <f aca="false">Operations!BK84-BK8-BK9-Tax!BK27-BK13</f>
        <v>15.0298843141969</v>
      </c>
      <c r="BL14" s="13" t="n">
        <f aca="false">Operations!BL84-BL8-BL9-Tax!BL27-BL13</f>
        <v>27.6174726193582</v>
      </c>
      <c r="BM14" s="13" t="n">
        <f aca="false">Operations!BM84-BM8-BM9-Tax!BM27-BM13</f>
        <v>27.6995388651432</v>
      </c>
      <c r="BN14" s="13" t="n">
        <f aca="false">Operations!BN84-BN8-BN9-Tax!BN27-BN13</f>
        <v>9.51153204886892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136.475812766185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201.865960814572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329.091284829459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490.536919332989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640.988862498364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754.682145800469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836.838283033746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820.045541568185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803.252800102625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786.460058637065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769.667317171505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752.874575705945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736.081834240385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719.289092774825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702.496351309265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685.703609843705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668.910868378144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652.118126912584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635.325385447024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618.532643981464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601.739902515904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584.947161050344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568.154419584784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551.361678119224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534.568936653664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517.776195188103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500.983453722543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484.190712256983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467.397970791423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450.605229325863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433.812487860303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417.019746394743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400.227004929183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383.434263463623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366.641521998062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349.848780532502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333.056039066942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316.263297601382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299.470556135822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282.677814670262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265.885073204702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249.092331739142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232.299590273582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215.506848808021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198.714107342461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181.921365876901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165.128624411341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148.335882945781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131.543141480221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114.750400014661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97.9576585491006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81.1649170835406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64.3721756179804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47.5794341524203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30.7866926868602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13.9939512213001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0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49.2334988078754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38.1477762616788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38.3794407679508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39.2400831955118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39.4108430539859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40.18621052141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40.823198662149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38.6972519091503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36.7718089512955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39.2049545109435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40.744746808335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43.2128098138218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44.3924040537445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46.068411606055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48.2493733815308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35.8732543986906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34.3015552238063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34.0001108767848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32.8938180463765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31.9891306615347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30.1515371299119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28.023390377671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27.1590930247631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24.594162490729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23.3953259137427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2.4007660449686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4.80153208993721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7.20229813490581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9.60306417987441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12.003830224843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14.4045962698116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0.60292034342184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1.20584068684368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1.80876103026552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2.41168137368736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3.0146017171092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3.87057986109929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1.78801555561009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3.33976598869457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7.76580048076361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12.2089970897922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16.6695435720256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21.1476297377917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25.6434474739731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30.1571907667249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14.6879020595271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16.380779269642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18.0921768213506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0</v>
      </c>
      <c r="P18" s="13" t="n">
        <f aca="false">Operations!P88+Operations!P89</f>
        <v>38.2208066658204</v>
      </c>
      <c r="Q18" s="13" t="n">
        <f aca="false">Operations!Q88+Operations!Q89</f>
        <v>39.7874933452264</v>
      </c>
      <c r="R18" s="13" t="n">
        <f aca="false">Operations!R88+Operations!R89</f>
        <v>39.2626274969274</v>
      </c>
      <c r="S18" s="13" t="n">
        <f aca="false">Operations!S88+Operations!S89</f>
        <v>40.1970208422601</v>
      </c>
      <c r="T18" s="13" t="n">
        <f aca="false">Operations!T88+Operations!T89</f>
        <v>39.6943827350204</v>
      </c>
      <c r="U18" s="13" t="n">
        <f aca="false">Operations!U88+Operations!U89</f>
        <v>40.7946675556857</v>
      </c>
      <c r="V18" s="13" t="n">
        <f aca="false">Operations!V88+Operations!V89</f>
        <v>40.327392423494</v>
      </c>
      <c r="W18" s="13" t="n">
        <f aca="false">Operations!W88+Operations!W89</f>
        <v>40.8137362951384</v>
      </c>
      <c r="X18" s="13" t="n">
        <f aca="false">Operations!X88+Operations!X89</f>
        <v>40.400072102876</v>
      </c>
      <c r="Y18" s="13" t="n">
        <f aca="false">Operations!Y88+Operations!Y89</f>
        <v>42.2226472909187</v>
      </c>
      <c r="Z18" s="13" t="n">
        <f aca="false">Operations!Z88+Operations!Z89</f>
        <v>41.6213016178504</v>
      </c>
      <c r="AA18" s="13" t="n">
        <f aca="false">Operations!AA88+Operations!AA89</f>
        <v>42.618008269732</v>
      </c>
      <c r="AB18" s="13" t="n">
        <f aca="false">Operations!AB88+Operations!AB89</f>
        <v>42.0877811485333</v>
      </c>
      <c r="AC18" s="13" t="n">
        <f aca="false">Operations!AC88+Operations!AC89</f>
        <v>43.2677331960686</v>
      </c>
      <c r="AD18" s="13" t="n">
        <f aca="false">Operations!AD88+Operations!AD89</f>
        <v>42.6897276299796</v>
      </c>
      <c r="AE18" s="13" t="n">
        <f aca="false">Operations!AE88+Operations!AE89</f>
        <v>42.5466678592242</v>
      </c>
      <c r="AF18" s="13" t="n">
        <f aca="false">Operations!AF88+Operations!AF89</f>
        <v>42.3546138172199</v>
      </c>
      <c r="AG18" s="13" t="n">
        <f aca="false">Operations!AG88+Operations!AG89</f>
        <v>44.8062951358927</v>
      </c>
      <c r="AH18" s="13" t="n">
        <f aca="false">Operations!AH88+Operations!AH89</f>
        <v>44.1694488241572</v>
      </c>
      <c r="AI18" s="13" t="n">
        <f aca="false">Operations!AI88+Operations!AI89</f>
        <v>45.2335007908229</v>
      </c>
      <c r="AJ18" s="13" t="n">
        <f aca="false">Operations!AJ88+Operations!AJ89</f>
        <v>44.6734574149459</v>
      </c>
      <c r="AK18" s="13" t="n">
        <f aca="false">Operations!AK88+Operations!AK89</f>
        <v>45.9394584246768</v>
      </c>
      <c r="AL18" s="13" t="n">
        <f aca="false">Operations!AL88+Operations!AL89</f>
        <v>45.4122229815391</v>
      </c>
      <c r="AM18" s="13" t="n">
        <f aca="false">Operations!AM88+Operations!AM89</f>
        <v>45.9537384850944</v>
      </c>
      <c r="AN18" s="13" t="n">
        <f aca="false">Operations!AN88+Operations!AN89</f>
        <v>45.4974524839515</v>
      </c>
      <c r="AO18" s="13" t="n">
        <f aca="false">Operations!AO88+Operations!AO89</f>
        <v>47.5975153387773</v>
      </c>
      <c r="AP18" s="13" t="n">
        <f aca="false">Operations!AP88+Operations!AP89</f>
        <v>46.9223114313564</v>
      </c>
      <c r="AQ18" s="13" t="n">
        <f aca="false">Operations!AQ88+Operations!AQ89</f>
        <v>48.0591467128882</v>
      </c>
      <c r="AR18" s="13" t="n">
        <f aca="false">Operations!AR88+Operations!AR89</f>
        <v>47.4668810320953</v>
      </c>
      <c r="AS18" s="13" t="n">
        <f aca="false">Operations!AS88+Operations!AS89</f>
        <v>48.8258222745729</v>
      </c>
      <c r="AT18" s="13" t="n">
        <f aca="false">Operations!AT88+Operations!AT89</f>
        <v>48.1694641615826</v>
      </c>
      <c r="AU18" s="13" t="n">
        <f aca="false">Operations!AU88+Operations!AU89</f>
        <v>47.9990069931315</v>
      </c>
      <c r="AV18" s="13" t="n">
        <f aca="false">Operations!AV88+Operations!AV89</f>
        <v>47.7866599345666</v>
      </c>
      <c r="AW18" s="13" t="n">
        <f aca="false">Operations!AW88+Operations!AW89</f>
        <v>50.6130050188653</v>
      </c>
      <c r="AX18" s="13" t="n">
        <f aca="false">Operations!AX88+Operations!AX89</f>
        <v>49.8963580365277</v>
      </c>
      <c r="AY18" s="13" t="n">
        <f aca="false">Operations!AY88+Operations!AY89</f>
        <v>51.1118533231621</v>
      </c>
      <c r="AZ18" s="13" t="n">
        <f aca="false">Operations!AZ88+Operations!AZ89</f>
        <v>50.4847662112051</v>
      </c>
      <c r="BA18" s="13" t="n">
        <f aca="false">Operations!BA88+Operations!BA89</f>
        <v>51.9440889955145</v>
      </c>
      <c r="BB18" s="13" t="n">
        <f aca="false">Operations!BB88+Operations!BB89</f>
        <v>51.3469690837901</v>
      </c>
      <c r="BC18" s="13" t="n">
        <f aca="false">Operations!BC88+Operations!BC89</f>
        <v>51.9531632659378</v>
      </c>
      <c r="BD18" s="13" t="n">
        <f aca="false">Operations!BD88+Operations!BD89</f>
        <v>51.4470528642043</v>
      </c>
      <c r="BE18" s="13" t="n">
        <f aca="false">Operations!BE88+Operations!BE89</f>
        <v>53.8708042872587</v>
      </c>
      <c r="BF18" s="13" t="n">
        <f aca="false">Operations!BF88+Operations!BF89</f>
        <v>53.1093820754087</v>
      </c>
      <c r="BG18" s="13" t="n">
        <f aca="false">Operations!BG88+Operations!BG89</f>
        <v>54.4098880727899</v>
      </c>
      <c r="BH18" s="13" t="n">
        <f aca="false">Operations!BH88+Operations!BH89</f>
        <v>53.7451719305878</v>
      </c>
      <c r="BI18" s="13" t="n">
        <f aca="false">Operations!BI88+Operations!BI89</f>
        <v>55.3129113094724</v>
      </c>
      <c r="BJ18" s="13" t="n">
        <f aca="false">Operations!BJ88+Operations!BJ89</f>
        <v>54.5652469869536</v>
      </c>
      <c r="BK18" s="13" t="n">
        <f aca="false">Operations!BK88+Operations!BK89</f>
        <v>54.3629159205261</v>
      </c>
      <c r="BL18" s="13" t="n">
        <f aca="false">Operations!BL88+Operations!BL89</f>
        <v>54.1270119878393</v>
      </c>
      <c r="BM18" s="13" t="n">
        <f aca="false">Operations!BM88+Operations!BM89</f>
        <v>57.3904041405399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0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5.35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-0</v>
      </c>
      <c r="P20" s="13" t="n">
        <f aca="false">MAX(0,-P12)</f>
        <v>0.839637073277998</v>
      </c>
      <c r="Q20" s="13" t="n">
        <f aca="false">MAX(0,-Q12)</f>
        <v>5.87745951294605</v>
      </c>
      <c r="R20" s="13" t="n">
        <f aca="false">MAX(0,-R12)</f>
        <v>10.9152819526141</v>
      </c>
      <c r="S20" s="13" t="n">
        <f aca="false">MAX(0,-S12)</f>
        <v>15.9531043922821</v>
      </c>
      <c r="T20" s="13" t="n">
        <f aca="false">MAX(0,-T12)</f>
        <v>20.9909268319501</v>
      </c>
      <c r="U20" s="13" t="n">
        <f aca="false">MAX(0,-U12)</f>
        <v>26.0287492716182</v>
      </c>
      <c r="V20" s="13" t="n">
        <f aca="false">MAX(0,-V12)</f>
        <v>31.0665717112862</v>
      </c>
      <c r="W20" s="13" t="n">
        <f aca="false">MAX(0,-W12)</f>
        <v>36.1043941509542</v>
      </c>
      <c r="X20" s="13" t="n">
        <f aca="false">MAX(0,-X12)</f>
        <v>41.1422165906223</v>
      </c>
      <c r="Y20" s="13" t="n">
        <f aca="false">MAX(0,-Y12)</f>
        <v>46.1800390302903</v>
      </c>
      <c r="Z20" s="13" t="n">
        <f aca="false">MAX(0,-Z12)</f>
        <v>49.9611350223151</v>
      </c>
      <c r="AA20" s="13" t="n">
        <f aca="false">MAX(0,-AA12)</f>
        <v>47.0508998410532</v>
      </c>
      <c r="AB20" s="13" t="n">
        <f aca="false">MAX(0,-AB12)</f>
        <v>43.9472454379883</v>
      </c>
      <c r="AC20" s="13" t="n">
        <f aca="false">MAX(0,-AC12)</f>
        <v>40.4725158577871</v>
      </c>
      <c r="AD20" s="13" t="n">
        <f aca="false">MAX(0,-AD12)</f>
        <v>36.7152106817235</v>
      </c>
      <c r="AE20" s="13" t="n">
        <f aca="false">MAX(0,-AE12)</f>
        <v>35.7076461937899</v>
      </c>
      <c r="AF20" s="13" t="n">
        <f aca="false">MAX(0,-AF12)</f>
        <v>31.9472029198707</v>
      </c>
      <c r="AG20" s="13" t="n">
        <f aca="false">MAX(0,-AG12)</f>
        <v>27.0822402587544</v>
      </c>
      <c r="AH20" s="13" t="n">
        <f aca="false">MAX(0,-AH12)</f>
        <v>21.8729643527252</v>
      </c>
      <c r="AI20" s="13" t="n">
        <f aca="false">MAX(0,-AI12)</f>
        <v>16.1328175668241</v>
      </c>
      <c r="AJ20" s="13" t="n">
        <f aca="false">MAX(0,-AJ12)</f>
        <v>10.0006795490606</v>
      </c>
      <c r="AK20" s="13" t="n">
        <f aca="false">MAX(0,-AK12)</f>
        <v>3.35110070252909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136.475812766185</v>
      </c>
      <c r="K21" s="13" t="n">
        <f aca="false">K16+K17+K18+K19+K20</f>
        <v>201.865960814572</v>
      </c>
      <c r="L21" s="13" t="n">
        <f aca="false">L16+L17+L18+L19+L20</f>
        <v>329.091284829459</v>
      </c>
      <c r="M21" s="13" t="n">
        <f aca="false">M16+M17+M18+M19+M20</f>
        <v>490.536919332989</v>
      </c>
      <c r="N21" s="13" t="n">
        <f aca="false">N16+N17+N18+N19+N20</f>
        <v>640.988862498364</v>
      </c>
      <c r="O21" s="13" t="n">
        <f aca="false">O16+O17+O18+O19+O20</f>
        <v>754.682145800469</v>
      </c>
      <c r="P21" s="13" t="n">
        <f aca="false">P16+P17+P18+P19+P20</f>
        <v>930.48222558072</v>
      </c>
      <c r="Q21" s="13" t="n">
        <f aca="false">Q16+Q17+Q18+Q19+Q20</f>
        <v>909.208270688037</v>
      </c>
      <c r="R21" s="13" t="n">
        <f aca="false">R16+R17+R18+R19+R20</f>
        <v>897.160150320118</v>
      </c>
      <c r="S21" s="13" t="n">
        <f aca="false">S16+S17+S18+S19+S20</f>
        <v>887.200267067119</v>
      </c>
      <c r="T21" s="13" t="n">
        <f aca="false">T16+T17+T18+T19+T20</f>
        <v>875.113469792462</v>
      </c>
      <c r="U21" s="13" t="n">
        <f aca="false">U16+U17+U18+U19+U20</f>
        <v>865.234203054659</v>
      </c>
      <c r="V21" s="13" t="n">
        <f aca="false">V16+V17+V18+V19+V20</f>
        <v>853.648997037314</v>
      </c>
      <c r="W21" s="13" t="n">
        <f aca="false">W16+W17+W18+W19+W20</f>
        <v>840.254475130068</v>
      </c>
      <c r="X21" s="13" t="n">
        <f aca="false">X16+X17+X18+X19+X20</f>
        <v>826.160448954058</v>
      </c>
      <c r="Y21" s="13" t="n">
        <f aca="false">Y16+Y17+Y18+Y19+Y20</f>
        <v>818.661250675857</v>
      </c>
      <c r="Z21" s="13" t="n">
        <f aca="false">Z16+Z17+Z18+Z19+Z20</f>
        <v>806.588051826645</v>
      </c>
      <c r="AA21" s="13" t="n">
        <f aca="false">AA16+AA17+AA18+AA19+AA20</f>
        <v>790.349844837191</v>
      </c>
      <c r="AB21" s="13" t="n">
        <f aca="false">AB16+AB17+AB18+AB19+AB20</f>
        <v>771.10281608729</v>
      </c>
      <c r="AC21" s="13" t="n">
        <f aca="false">AC16+AC17+AC18+AC19+AC20</f>
        <v>753.691304641375</v>
      </c>
      <c r="AD21" s="13" t="n">
        <f aca="false">AD16+AD17+AD18+AD19+AD20</f>
        <v>734.744214209138</v>
      </c>
      <c r="AE21" s="13" t="n">
        <f aca="false">AE16+AE17+AE18+AE19+AE20</f>
        <v>704.424729502049</v>
      </c>
      <c r="AF21" s="13" t="n">
        <f aca="false">AF16+AF17+AF18+AF19+AF20</f>
        <v>682.107791545681</v>
      </c>
      <c r="AG21" s="13" t="n">
        <f aca="false">AG16+AG17+AG18+AG19+AG20</f>
        <v>662.600324390656</v>
      </c>
      <c r="AH21" s="13" t="n">
        <f aca="false">AH16+AH17+AH18+AH19+AH20</f>
        <v>638.855167876923</v>
      </c>
      <c r="AI21" s="13" t="n">
        <f aca="false">AI16+AI17+AI18+AI19+AI20</f>
        <v>616.481644207285</v>
      </c>
      <c r="AJ21" s="13" t="n">
        <f aca="false">AJ16+AJ17+AJ18+AJ19+AJ20</f>
        <v>591.159127816462</v>
      </c>
      <c r="AK21" s="13" t="n">
        <f aca="false">AK16+AK17+AK18+AK19+AK20</f>
        <v>566.85466176186</v>
      </c>
      <c r="AL21" s="13" t="n">
        <f aca="false">AL16+AL17+AL18+AL19+AL20</f>
        <v>545.319286797725</v>
      </c>
      <c r="AM21" s="13" t="n">
        <f aca="false">AM16+AM17+AM18+AM19+AM20</f>
        <v>526.503130301686</v>
      </c>
      <c r="AN21" s="13" t="n">
        <f aca="false">AN16+AN17+AN18+AN19+AN20</f>
        <v>508.055266257997</v>
      </c>
      <c r="AO21" s="13" t="n">
        <f aca="false">AO16+AO17+AO18+AO19+AO20</f>
        <v>472.368027778489</v>
      </c>
      <c r="AP21" s="13" t="n">
        <f aca="false">AP16+AP17+AP18+AP19+AP20</f>
        <v>457.300848450476</v>
      </c>
      <c r="AQ21" s="13" t="n">
        <f aca="false">AQ16+AQ17+AQ18+AQ19+AQ20</f>
        <v>444.045708311417</v>
      </c>
      <c r="AR21" s="13" t="n">
        <f aca="false">AR16+AR17+AR18+AR19+AR20</f>
        <v>429.061467210032</v>
      </c>
      <c r="AS21" s="13" t="n">
        <f aca="false">AS16+AS17+AS18+AS19+AS20</f>
        <v>416.028433031918</v>
      </c>
      <c r="AT21" s="13" t="n">
        <f aca="false">AT16+AT17+AT18+AT19+AT20</f>
        <v>400.980099498336</v>
      </c>
      <c r="AU21" s="13" t="n">
        <f aca="false">AU16+AU17+AU18+AU19+AU20</f>
        <v>369.612304594514</v>
      </c>
      <c r="AV21" s="13" t="n">
        <f aca="false">AV16+AV17+AV18+AV19+AV20</f>
        <v>352.607216070389</v>
      </c>
      <c r="AW21" s="13" t="n">
        <f aca="false">AW16+AW17+AW18+AW19+AW20</f>
        <v>339.243740032549</v>
      </c>
      <c r="AX21" s="13" t="n">
        <f aca="false">AX16+AX17+AX18+AX19+AX20</f>
        <v>322.337271928073</v>
      </c>
      <c r="AY21" s="13" t="n">
        <f aca="false">AY16+AY17+AY18+AY19+AY20</f>
        <v>307.362946092569</v>
      </c>
      <c r="AZ21" s="13" t="n">
        <f aca="false">AZ16+AZ17+AZ18+AZ19+AZ20</f>
        <v>290.546037858474</v>
      </c>
      <c r="BA21" s="13" t="n">
        <f aca="false">BA16+BA17+BA18+BA19+BA20</f>
        <v>275.815539520645</v>
      </c>
      <c r="BB21" s="13" t="n">
        <f aca="false">BB16+BB17+BB18+BB19+BB20</f>
        <v>259.281656287351</v>
      </c>
      <c r="BC21" s="13" t="n">
        <f aca="false">BC16+BC17+BC18+BC19+BC20</f>
        <v>241.012544698449</v>
      </c>
      <c r="BD21" s="13" t="n">
        <f aca="false">BD16+BD17+BD18+BD19+BD20</f>
        <v>225.26544326424</v>
      </c>
      <c r="BE21" s="13" t="n">
        <f aca="false">BE16+BE17+BE18+BE19+BE20</f>
        <v>215.322487713803</v>
      </c>
      <c r="BF21" s="13" t="n">
        <f aca="false">BF16+BF17+BF18+BF19+BF20</f>
        <v>202.211520645422</v>
      </c>
      <c r="BG21" s="13" t="n">
        <f aca="false">BG16+BG17+BG18+BG19+BG20</f>
        <v>191.179831659476</v>
      </c>
      <c r="BH21" s="13" t="n">
        <f aca="false">BH16+BH17+BH18+BH19+BH20</f>
        <v>178.20046021748</v>
      </c>
      <c r="BI21" s="13" t="n">
        <f aca="false">BI16+BI17+BI18+BI19+BI20</f>
        <v>167.471275866986</v>
      </c>
      <c r="BJ21" s="13" t="n">
        <f aca="false">BJ16+BJ17+BJ18+BJ19+BJ20</f>
        <v>154.444613371659</v>
      </c>
      <c r="BK21" s="13" t="n">
        <f aca="false">BK16+BK17+BK18+BK19+BK20</f>
        <v>121.980252132474</v>
      </c>
      <c r="BL21" s="13" t="n">
        <f aca="false">BL16+BL17+BL18+BL19+BL20</f>
        <v>106.644483944341</v>
      </c>
      <c r="BM21" s="13" t="n">
        <f aca="false">BM16+BM17+BM18+BM19+BM20</f>
        <v>94.8265321831906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100.449100278203</v>
      </c>
      <c r="K22" s="13" t="n">
        <f aca="false">IF(Time!K20&lt;Time!$F$12,SUMIFS(Funding!$J$73:$BJ$73,Construction!$J$12:$BJ$12,"&lt;="&amp;Time!K20),Debt!K116)</f>
        <v>147.68679072548</v>
      </c>
      <c r="L22" s="13" t="n">
        <f aca="false">IF(Time!L20&lt;Time!$F$12,SUMIFS(Funding!$J$73:$BJ$73,Construction!$J$12:$BJ$12,"&lt;="&amp;Time!L20),Debt!L116)</f>
        <v>239.966267412693</v>
      </c>
      <c r="M22" s="13" t="n">
        <f aca="false">IF(Time!M20&lt;Time!$F$12,SUMIFS(Funding!$J$73:$BJ$73,Construction!$J$12:$BJ$12,"&lt;="&amp;Time!M20),Debt!M116)</f>
        <v>356.461501552691</v>
      </c>
      <c r="N22" s="13" t="n">
        <f aca="false">IF(Time!N20&lt;Time!$F$12,SUMIFS(Funding!$J$73:$BJ$73,Construction!$J$12:$BJ$12,"&lt;="&amp;Time!N20),Debt!N116)</f>
        <v>463.472099458884</v>
      </c>
      <c r="O22" s="13" t="n">
        <f aca="false">IF(Time!O20&lt;Time!$F$12,SUMIFS(Funding!$J$73:$BJ$73,Construction!$J$12:$BJ$12,"&lt;="&amp;Time!O20),Debt!O116)</f>
        <v>542.169800090627</v>
      </c>
      <c r="P22" s="13" t="n">
        <f aca="false">IF(Time!P20&lt;Time!$F$12,SUMIFS(Funding!$J$73:$BJ$73,Construction!$J$12:$BJ$12,"&lt;="&amp;Time!P20),Debt!P116)</f>
        <v>644.926706593498</v>
      </c>
      <c r="Q22" s="13" t="n">
        <f aca="false">IF(Time!Q20&lt;Time!$F$12,SUMIFS(Funding!$J$73:$BJ$73,Construction!$J$12:$BJ$12,"&lt;="&amp;Time!Q20),Debt!Q116)</f>
        <v>610.369348401518</v>
      </c>
      <c r="R22" s="13" t="n">
        <f aca="false">IF(Time!R20&lt;Time!$F$12,SUMIFS(Funding!$J$73:$BJ$73,Construction!$J$12:$BJ$12,"&lt;="&amp;Time!R20),Debt!R116)</f>
        <v>593.689395515344</v>
      </c>
      <c r="S22" s="13" t="n">
        <f aca="false">IF(Time!S20&lt;Time!$F$12,SUMIFS(Funding!$J$73:$BJ$73,Construction!$J$12:$BJ$12,"&lt;="&amp;Time!S20),Debt!S116)</f>
        <v>576.415119795689</v>
      </c>
      <c r="T22" s="13" t="n">
        <f aca="false">IF(Time!T20&lt;Time!$F$12,SUMIFS(Funding!$J$73:$BJ$73,Construction!$J$12:$BJ$12,"&lt;="&amp;Time!T20),Debt!T116)</f>
        <v>558.331962796562</v>
      </c>
      <c r="U22" s="13" t="n">
        <f aca="false">IF(Time!U20&lt;Time!$F$12,SUMIFS(Funding!$J$73:$BJ$73,Construction!$J$12:$BJ$12,"&lt;="&amp;Time!U20),Debt!U116)</f>
        <v>539.741482344811</v>
      </c>
      <c r="V22" s="13" t="n">
        <f aca="false">IF(Time!V20&lt;Time!$F$12,SUMIFS(Funding!$J$73:$BJ$73,Construction!$J$12:$BJ$12,"&lt;="&amp;Time!V20),Debt!V116)</f>
        <v>520.29959205678</v>
      </c>
      <c r="W22" s="13" t="n">
        <f aca="false">IF(Time!W20&lt;Time!$F$12,SUMIFS(Funding!$J$73:$BJ$73,Construction!$J$12:$BJ$12,"&lt;="&amp;Time!W20),Debt!W116)</f>
        <v>499.782155360869</v>
      </c>
      <c r="X22" s="13" t="n">
        <f aca="false">IF(Time!X20&lt;Time!$F$12,SUMIFS(Funding!$J$73:$BJ$73,Construction!$J$12:$BJ$12,"&lt;="&amp;Time!X20),Debt!X116)</f>
        <v>478.324203713004</v>
      </c>
      <c r="Y22" s="13" t="n">
        <f aca="false">IF(Time!Y20&lt;Time!$F$12,SUMIFS(Funding!$J$73:$BJ$73,Construction!$J$12:$BJ$12,"&lt;="&amp;Time!Y20),Debt!Y116)</f>
        <v>458.384877042165</v>
      </c>
      <c r="Z22" s="13" t="n">
        <f aca="false">IF(Time!Z20&lt;Time!$F$12,SUMIFS(Funding!$J$73:$BJ$73,Construction!$J$12:$BJ$12,"&lt;="&amp;Time!Z20),Debt!Z116)</f>
        <v>437.507899985345</v>
      </c>
      <c r="AA22" s="13" t="n">
        <f aca="false">IF(Time!AA20&lt;Time!$F$12,SUMIFS(Funding!$J$73:$BJ$73,Construction!$J$12:$BJ$12,"&lt;="&amp;Time!AA20),Debt!AA116)</f>
        <v>410.506861377125</v>
      </c>
      <c r="AB22" s="13" t="n">
        <f aca="false">IF(Time!AB20&lt;Time!$F$12,SUMIFS(Funding!$J$73:$BJ$73,Construction!$J$12:$BJ$12,"&lt;="&amp;Time!AB20),Debt!AB116)</f>
        <v>381.763770606918</v>
      </c>
      <c r="AC22" s="13" t="n">
        <f aca="false">IF(Time!AC20&lt;Time!$F$12,SUMIFS(Funding!$J$73:$BJ$73,Construction!$J$12:$BJ$12,"&lt;="&amp;Time!AC20),Debt!AC116)</f>
        <v>352.723269176064</v>
      </c>
      <c r="AD22" s="13" t="n">
        <f aca="false">IF(Time!AD20&lt;Time!$F$12,SUMIFS(Funding!$J$73:$BJ$73,Construction!$J$12:$BJ$12,"&lt;="&amp;Time!AD20),Debt!AD116)</f>
        <v>322.863758211344</v>
      </c>
      <c r="AE22" s="13" t="n">
        <f aca="false">IF(Time!AE20&lt;Time!$F$12,SUMIFS(Funding!$J$73:$BJ$73,Construction!$J$12:$BJ$12,"&lt;="&amp;Time!AE20),Debt!AE116)</f>
        <v>290.859857277369</v>
      </c>
      <c r="AF22" s="13" t="n">
        <f aca="false">IF(Time!AF20&lt;Time!$F$12,SUMIFS(Funding!$J$73:$BJ$73,Construction!$J$12:$BJ$12,"&lt;="&amp;Time!AF20),Debt!AF116)</f>
        <v>256.930720919039</v>
      </c>
      <c r="AG22" s="13" t="n">
        <f aca="false">IF(Time!AG20&lt;Time!$F$12,SUMIFS(Funding!$J$73:$BJ$73,Construction!$J$12:$BJ$12,"&lt;="&amp;Time!AG20),Debt!AG116)</f>
        <v>223.519712881192</v>
      </c>
      <c r="AH22" s="13" t="n">
        <f aca="false">IF(Time!AH20&lt;Time!$F$12,SUMIFS(Funding!$J$73:$BJ$73,Construction!$J$12:$BJ$12,"&lt;="&amp;Time!AH20),Debt!AH116)</f>
        <v>188.617906697672</v>
      </c>
      <c r="AI22" s="13" t="n">
        <f aca="false">IF(Time!AI20&lt;Time!$F$12,SUMIFS(Funding!$J$73:$BJ$73,Construction!$J$12:$BJ$12,"&lt;="&amp;Time!AI20),Debt!AI116)</f>
        <v>153.553596857044</v>
      </c>
      <c r="AJ22" s="13" t="n">
        <f aca="false">IF(Time!AJ20&lt;Time!$F$12,SUMIFS(Funding!$J$73:$BJ$73,Construction!$J$12:$BJ$12,"&lt;="&amp;Time!AJ20),Debt!AJ116)</f>
        <v>117.32420479501</v>
      </c>
      <c r="AK22" s="13" t="n">
        <f aca="false">IF(Time!AK20&lt;Time!$F$12,SUMIFS(Funding!$J$73:$BJ$73,Construction!$J$12:$BJ$12,"&lt;="&amp;Time!AK20),Debt!AK116)</f>
        <v>89.5533551576788</v>
      </c>
      <c r="AL22" s="13" t="n">
        <f aca="false">IF(Time!AL20&lt;Time!$F$12,SUMIFS(Funding!$J$73:$BJ$73,Construction!$J$12:$BJ$12,"&lt;="&amp;Time!AL20),Debt!AL116)</f>
        <v>68.3092281537433</v>
      </c>
      <c r="AM22" s="13" t="n">
        <f aca="false">IF(Time!AM20&lt;Time!$F$12,SUMIFS(Funding!$J$73:$BJ$73,Construction!$J$12:$BJ$12,"&lt;="&amp;Time!AM20),Debt!AM116)</f>
        <v>46.0749486336624</v>
      </c>
      <c r="AN22" s="13" t="n">
        <f aca="false">IF(Time!AN20&lt;Time!$F$12,SUMIFS(Funding!$J$73:$BJ$73,Construction!$J$12:$BJ$12,"&lt;="&amp;Time!AN20),Debt!AN116)</f>
        <v>22.7656544475121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28.9891152995646</v>
      </c>
      <c r="K23" s="13" t="n">
        <f aca="false">IF(Time!K20&lt;Time!$F$12,SUMIFS(Funding!$J$70:$BJ$70,Construction!$J$12:$BJ$12,"&lt;="&amp;Time!K20)+SUMIFS(Funding!$J$71:$BJ$71,Construction!$J$12:$BJ$12,"&lt;="&amp;Time!K20),Waterfall!K36)</f>
        <v>43.8320376578661</v>
      </c>
      <c r="L23" s="13" t="n">
        <f aca="false">IF(Time!L20&lt;Time!$F$12,SUMIFS(Funding!$J$70:$BJ$70,Construction!$J$12:$BJ$12,"&lt;="&amp;Time!L20)+SUMIFS(Funding!$J$71:$BJ$71,Construction!$J$12:$BJ$12,"&lt;="&amp;Time!L20),Waterfall!L36)</f>
        <v>72.3126624610581</v>
      </c>
      <c r="M23" s="13" t="n">
        <f aca="false">IF(Time!M20&lt;Time!$F$12,SUMIFS(Funding!$J$70:$BJ$70,Construction!$J$12:$BJ$12,"&lt;="&amp;Time!M20)+SUMIFS(Funding!$J$71:$BJ$71,Construction!$J$12:$BJ$12,"&lt;="&amp;Time!M20),Waterfall!M36)</f>
        <v>109.101252216262</v>
      </c>
      <c r="N23" s="13" t="n">
        <f aca="false">IF(Time!N20&lt;Time!$F$12,SUMIFS(Funding!$J$70:$BJ$70,Construction!$J$12:$BJ$12,"&lt;="&amp;Time!N20)+SUMIFS(Funding!$J$71:$BJ$71,Construction!$J$12:$BJ$12,"&lt;="&amp;Time!N20),Waterfall!N36)</f>
        <v>145.045293060872</v>
      </c>
      <c r="O23" s="13" t="n">
        <f aca="false">IF(Time!O20&lt;Time!$F$12,SUMIFS(Funding!$J$70:$BJ$70,Construction!$J$12:$BJ$12,"&lt;="&amp;Time!O20)+SUMIFS(Funding!$J$71:$BJ$71,Construction!$J$12:$BJ$12,"&lt;="&amp;Time!O20),Waterfall!O36)</f>
        <v>174.527210450342</v>
      </c>
      <c r="P23" s="13" t="n">
        <f aca="false">IF(Time!P20&lt;Time!$F$12,SUMIFS(Funding!$J$70:$BJ$70,Construction!$J$12:$BJ$12,"&lt;="&amp;Time!P20)+SUMIFS(Funding!$J$71:$BJ$71,Construction!$J$12:$BJ$12,"&lt;="&amp;Time!P20),Waterfall!P36)</f>
        <v>212.139644972914</v>
      </c>
      <c r="Q23" s="13" t="n">
        <f aca="false">IF(Time!Q20&lt;Time!$F$12,SUMIFS(Funding!$J$70:$BJ$70,Construction!$J$12:$BJ$12,"&lt;="&amp;Time!Q20)+SUMIFS(Funding!$J$71:$BJ$71,Construction!$J$12:$BJ$12,"&lt;="&amp;Time!Q20),Waterfall!Q36)</f>
        <v>218.333085038638</v>
      </c>
      <c r="R23" s="13" t="n">
        <f aca="false">IF(Time!R20&lt;Time!$F$12,SUMIFS(Funding!$J$70:$BJ$70,Construction!$J$12:$BJ$12,"&lt;="&amp;Time!R20)+SUMIFS(Funding!$J$71:$BJ$71,Construction!$J$12:$BJ$12,"&lt;="&amp;Time!R20),Waterfall!R36)</f>
        <v>216.434635065745</v>
      </c>
      <c r="S23" s="13" t="n">
        <f aca="false">IF(Time!S20&lt;Time!$F$12,SUMIFS(Funding!$J$70:$BJ$70,Construction!$J$12:$BJ$12,"&lt;="&amp;Time!S20)+SUMIFS(Funding!$J$71:$BJ$71,Construction!$J$12:$BJ$12,"&lt;="&amp;Time!S20),Waterfall!S36)</f>
        <v>214.972077469626</v>
      </c>
      <c r="T23" s="13" t="n">
        <f aca="false">IF(Time!T20&lt;Time!$F$12,SUMIFS(Funding!$J$70:$BJ$70,Construction!$J$12:$BJ$12,"&lt;="&amp;Time!T20)+SUMIFS(Funding!$J$71:$BJ$71,Construction!$J$12:$BJ$12,"&lt;="&amp;Time!T20),Waterfall!T36)</f>
        <v>212.774542375664</v>
      </c>
      <c r="U23" s="13" t="n">
        <f aca="false">IF(Time!U20&lt;Time!$F$12,SUMIFS(Funding!$J$70:$BJ$70,Construction!$J$12:$BJ$12,"&lt;="&amp;Time!U20)+SUMIFS(Funding!$J$71:$BJ$71,Construction!$J$12:$BJ$12,"&lt;="&amp;Time!U20),Waterfall!U36)</f>
        <v>211.051279972488</v>
      </c>
      <c r="V23" s="13" t="n">
        <f aca="false">IF(Time!V20&lt;Time!$F$12,SUMIFS(Funding!$J$70:$BJ$70,Construction!$J$12:$BJ$12,"&lt;="&amp;Time!V20)+SUMIFS(Funding!$J$71:$BJ$71,Construction!$J$12:$BJ$12,"&lt;="&amp;Time!V20),Waterfall!V36)</f>
        <v>209.103081053504</v>
      </c>
      <c r="W23" s="13" t="n">
        <f aca="false">IF(Time!W20&lt;Time!$F$12,SUMIFS(Funding!$J$70:$BJ$70,Construction!$J$12:$BJ$12,"&lt;="&amp;Time!W20)+SUMIFS(Funding!$J$71:$BJ$71,Construction!$J$12:$BJ$12,"&lt;="&amp;Time!W20),Waterfall!W36)</f>
        <v>207.051744556442</v>
      </c>
      <c r="X23" s="13" t="n">
        <f aca="false">IF(Time!X20&lt;Time!$F$12,SUMIFS(Funding!$J$70:$BJ$70,Construction!$J$12:$BJ$12,"&lt;="&amp;Time!X20)+SUMIFS(Funding!$J$71:$BJ$71,Construction!$J$12:$BJ$12,"&lt;="&amp;Time!X20),Waterfall!X36)</f>
        <v>202.571041569379</v>
      </c>
      <c r="Y23" s="13" t="n">
        <f aca="false">IF(Time!Y20&lt;Time!$F$12,SUMIFS(Funding!$J$70:$BJ$70,Construction!$J$12:$BJ$12,"&lt;="&amp;Time!Y20)+SUMIFS(Funding!$J$71:$BJ$71,Construction!$J$12:$BJ$12,"&lt;="&amp;Time!Y20),Waterfall!Y36)</f>
        <v>200.683151374638</v>
      </c>
      <c r="Z23" s="13" t="n">
        <f aca="false">IF(Time!Z20&lt;Time!$F$12,SUMIFS(Funding!$J$70:$BJ$70,Construction!$J$12:$BJ$12,"&lt;="&amp;Time!Z20)+SUMIFS(Funding!$J$71:$BJ$71,Construction!$J$12:$BJ$12,"&lt;="&amp;Time!Z20),Waterfall!Z36)</f>
        <v>197.832772901658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201.46507459551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204.415463447366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207.339226035389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210.312165602549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212.451490129022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213.572193516636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214.425075460472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214.238568236266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213.153633130902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210.489865127448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197.780050744187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177.870381784313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158.723558765264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136.989722992183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93.6933267389986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50.437312165767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11.5548051963292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0</v>
      </c>
      <c r="P24" s="13" t="n">
        <f aca="false">Operations!P90+Operations!P91+Operations!P92+Operations!P93+Operations!P94</f>
        <v>23.6664719370157</v>
      </c>
      <c r="Q24" s="13" t="n">
        <f aca="false">Operations!Q90+Operations!Q91+Operations!Q92+Operations!Q93+Operations!Q94</f>
        <v>24.7312222951342</v>
      </c>
      <c r="R24" s="13" t="n">
        <f aca="false">Operations!R90+Operations!R91+Operations!R92+Operations!R93+Operations!R94</f>
        <v>24.3526424279863</v>
      </c>
      <c r="S24" s="13" t="n">
        <f aca="false">Operations!S90+Operations!S91+Operations!S92+Operations!S93+Operations!S94</f>
        <v>24.9973645692763</v>
      </c>
      <c r="T24" s="13" t="n">
        <f aca="false">Operations!T90+Operations!T91+Operations!T92+Operations!T93+Operations!T94</f>
        <v>24.6848548822378</v>
      </c>
      <c r="U24" s="13" t="n">
        <f aca="false">Operations!U90+Operations!U91+Operations!U92+Operations!U93+Operations!U94</f>
        <v>25.5712371519177</v>
      </c>
      <c r="V24" s="13" t="n">
        <f aca="false">Operations!V90+Operations!V91+Operations!V92+Operations!V93+Operations!V94</f>
        <v>25.2161164244113</v>
      </c>
      <c r="W24" s="13" t="n">
        <f aca="false">Operations!W90+Operations!W91+Operations!W92+Operations!W93+Operations!W94</f>
        <v>25.4079369836951</v>
      </c>
      <c r="X24" s="13" t="n">
        <f aca="false">Operations!X90+Operations!X91+Operations!X92+Operations!X93+Operations!X94</f>
        <v>25.1853221870835</v>
      </c>
      <c r="Y24" s="13" t="n">
        <f aca="false">Operations!Y90+Operations!Y91+Operations!Y92+Operations!Y93+Operations!Y94</f>
        <v>26.7101055822782</v>
      </c>
      <c r="Z24" s="13" t="n">
        <f aca="false">Operations!Z90+Operations!Z91+Operations!Z92+Operations!Z93+Operations!Z94</f>
        <v>26.3005859153628</v>
      </c>
      <c r="AA24" s="13" t="n">
        <f aca="false">Operations!AA90+Operations!AA91+Operations!AA92+Operations!AA93+Operations!AA94</f>
        <v>26.997123310131</v>
      </c>
      <c r="AB24" s="13" t="n">
        <f aca="false">Operations!AB90+Operations!AB91+Operations!AB92+Operations!AB93+Operations!AB94</f>
        <v>26.6592363842361</v>
      </c>
      <c r="AC24" s="13" t="n">
        <f aca="false">Operations!AC90+Operations!AC91+Operations!AC92+Operations!AC93+Operations!AC94</f>
        <v>27.6171076302425</v>
      </c>
      <c r="AD24" s="13" t="n">
        <f aca="false">Operations!AD90+Operations!AD91+Operations!AD92+Operations!AD93+Operations!AD94</f>
        <v>27.1511992431138</v>
      </c>
      <c r="AE24" s="13" t="n">
        <f aca="false">Operations!AE90+Operations!AE91+Operations!AE92+Operations!AE93+Operations!AE94</f>
        <v>26.936088327136</v>
      </c>
      <c r="AF24" s="13" t="n">
        <f aca="false">Operations!AF90+Operations!AF91+Operations!AF92+Operations!AF93+Operations!AF94</f>
        <v>26.7810532298259</v>
      </c>
      <c r="AG24" s="13" t="n">
        <f aca="false">Operations!AG90+Operations!AG91+Operations!AG92+Operations!AG93+Operations!AG94</f>
        <v>28.8474475724497</v>
      </c>
      <c r="AH24" s="13" t="n">
        <f aca="false">Operations!AH90+Operations!AH91+Operations!AH92+Operations!AH93+Operations!AH94</f>
        <v>28.4046571007238</v>
      </c>
      <c r="AI24" s="13" t="n">
        <f aca="false">Operations!AI90+Operations!AI91+Operations!AI92+Operations!AI93+Operations!AI94</f>
        <v>29.1571643769381</v>
      </c>
      <c r="AJ24" s="13" t="n">
        <f aca="false">Operations!AJ90+Operations!AJ91+Operations!AJ92+Operations!AJ93+Operations!AJ94</f>
        <v>28.7918468458111</v>
      </c>
      <c r="AK24" s="13" t="n">
        <f aca="false">Operations!AK90+Operations!AK91+Operations!AK92+Operations!AK93+Operations!AK94</f>
        <v>29.8269483045063</v>
      </c>
      <c r="AL24" s="13" t="n">
        <f aca="false">Operations!AL90+Operations!AL91+Operations!AL92+Operations!AL93+Operations!AL94</f>
        <v>29.4118200613945</v>
      </c>
      <c r="AM24" s="13" t="n">
        <f aca="false">Operations!AM90+Operations!AM91+Operations!AM92+Operations!AM93+Operations!AM94</f>
        <v>29.6345568692292</v>
      </c>
      <c r="AN24" s="13" t="n">
        <f aca="false">Operations!AN90+Operations!AN91+Operations!AN92+Operations!AN93+Operations!AN94</f>
        <v>29.3743918593511</v>
      </c>
      <c r="AO24" s="13" t="n">
        <f aca="false">Operations!AO90+Operations!AO91+Operations!AO92+Operations!AO93+Operations!AO94</f>
        <v>31.1560840503674</v>
      </c>
      <c r="AP24" s="13" t="n">
        <f aca="false">Operations!AP90+Operations!AP91+Operations!AP92+Operations!AP93+Operations!AP94</f>
        <v>30.677331917185</v>
      </c>
      <c r="AQ24" s="13" t="n">
        <f aca="false">Operations!AQ90+Operations!AQ91+Operations!AQ92+Operations!AQ93+Operations!AQ94</f>
        <v>31.4902949218177</v>
      </c>
      <c r="AR24" s="13" t="n">
        <f aca="false">Operations!AR90+Operations!AR91+Operations!AR92+Operations!AR93+Operations!AR94</f>
        <v>31.095328697506</v>
      </c>
      <c r="AS24" s="13" t="n">
        <f aca="false">Operations!AS90+Operations!AS91+Operations!AS92+Operations!AS93+Operations!AS94</f>
        <v>32.2138597228387</v>
      </c>
      <c r="AT24" s="13" t="n">
        <f aca="false">Operations!AT90+Operations!AT91+Operations!AT92+Operations!AT93+Operations!AT94</f>
        <v>31.6692090382218</v>
      </c>
      <c r="AU24" s="13" t="n">
        <f aca="false">Operations!AU90+Operations!AU91+Operations!AU92+Operations!AU93+Operations!AU94</f>
        <v>31.4161624524253</v>
      </c>
      <c r="AV24" s="13" t="n">
        <f aca="false">Operations!AV90+Operations!AV91+Operations!AV92+Operations!AV93+Operations!AV94</f>
        <v>31.2348648589672</v>
      </c>
      <c r="AW24" s="13" t="n">
        <f aca="false">Operations!AW90+Operations!AW91+Operations!AW92+Operations!AW93+Operations!AW94</f>
        <v>33.6496992201018</v>
      </c>
      <c r="AX24" s="13" t="n">
        <f aca="false">Operations!AX90+Operations!AX91+Operations!AX92+Operations!AX93+Operations!AX94</f>
        <v>33.1320787808241</v>
      </c>
      <c r="AY24" s="13" t="n">
        <f aca="false">Operations!AY90+Operations!AY91+Operations!AY92+Operations!AY93+Operations!AY94</f>
        <v>34.0103408008164</v>
      </c>
      <c r="AZ24" s="13" t="n">
        <f aca="false">Operations!AZ90+Operations!AZ91+Operations!AZ92+Operations!AZ93+Operations!AZ94</f>
        <v>33.5833299847197</v>
      </c>
      <c r="BA24" s="13" t="n">
        <f aca="false">Operations!BA90+Operations!BA91+Operations!BA92+Operations!BA93+Operations!BA94</f>
        <v>34.7919843253125</v>
      </c>
      <c r="BB24" s="13" t="n">
        <f aca="false">Operations!BB90+Operations!BB91+Operations!BB92+Operations!BB93+Operations!BB94</f>
        <v>34.3067728129539</v>
      </c>
      <c r="BC24" s="13" t="n">
        <f aca="false">Operations!BC90+Operations!BC91+Operations!BC92+Operations!BC93+Operations!BC94</f>
        <v>34.5654519111184</v>
      </c>
      <c r="BD24" s="13" t="n">
        <f aca="false">Operations!BD90+Operations!BD91+Operations!BD92+Operations!BD93+Operations!BD94</f>
        <v>34.2614209868704</v>
      </c>
      <c r="BE24" s="13" t="n">
        <f aca="false">Operations!BE90+Operations!BE91+Operations!BE92+Operations!BE93+Operations!BE94</f>
        <v>36.3430654061218</v>
      </c>
      <c r="BF24" s="13" t="n">
        <f aca="false">Operations!BF90+Operations!BF91+Operations!BF92+Operations!BF93+Operations!BF94</f>
        <v>35.7834370850299</v>
      </c>
      <c r="BG24" s="13" t="n">
        <f aca="false">Operations!BG90+Operations!BG91+Operations!BG92+Operations!BG93+Operations!BG94</f>
        <v>36.7322271266685</v>
      </c>
      <c r="BH24" s="13" t="n">
        <f aca="false">Operations!BH90+Operations!BH91+Operations!BH92+Operations!BH93+Operations!BH94</f>
        <v>36.2705838914636</v>
      </c>
      <c r="BI24" s="13" t="n">
        <f aca="false">Operations!BI90+Operations!BI91+Operations!BI92+Operations!BI93+Operations!BI94</f>
        <v>37.5765888146877</v>
      </c>
      <c r="BJ24" s="13" t="n">
        <f aca="false">Operations!BJ90+Operations!BJ91+Operations!BJ92+Operations!BJ93+Operations!BJ94</f>
        <v>36.939978113831</v>
      </c>
      <c r="BK24" s="13" t="n">
        <f aca="false">Operations!BK90+Operations!BK91+Operations!BK92+Operations!BK93+Operations!BK94</f>
        <v>36.6424562103068</v>
      </c>
      <c r="BL24" s="13" t="n">
        <f aca="false">Operations!BL90+Operations!BL91+Operations!BL92+Operations!BL93+Operations!BL94</f>
        <v>36.4304569115258</v>
      </c>
      <c r="BM24" s="13" t="n">
        <f aca="false">Operations!BM90+Operations!BM91+Operations!BM92+Operations!BM93+Operations!BM94</f>
        <v>39.2521290586723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0</v>
      </c>
      <c r="AL25" s="13" t="n">
        <f aca="false">MAX(0,AL12)</f>
        <v>3.77714808834738</v>
      </c>
      <c r="AM25" s="13" t="n">
        <f aca="false">MAX(0,AM12)</f>
        <v>10.5928129078677</v>
      </c>
      <c r="AN25" s="13" t="n">
        <f aca="false">MAX(0,AN12)</f>
        <v>18.7630956250582</v>
      </c>
      <c r="AO25" s="13" t="n">
        <f aca="false">MAX(0,AO12)</f>
        <v>27.4556847354954</v>
      </c>
      <c r="AP25" s="13" t="n">
        <f aca="false">MAX(0,AP12)</f>
        <v>33.9213377604314</v>
      </c>
      <c r="AQ25" s="13" t="n">
        <f aca="false">MAX(0,AQ12)</f>
        <v>34.928902248365</v>
      </c>
      <c r="AR25" s="13" t="n">
        <f aca="false">MAX(0,AR12)</f>
        <v>35.9364667362986</v>
      </c>
      <c r="AS25" s="13" t="n">
        <f aca="false">MAX(0,AS12)</f>
        <v>36.9440312242322</v>
      </c>
      <c r="AT25" s="13" t="n">
        <f aca="false">MAX(0,AT12)</f>
        <v>37.9515957121658</v>
      </c>
      <c r="AU25" s="13" t="n">
        <f aca="false">MAX(0,AU12)</f>
        <v>38.9591602000994</v>
      </c>
      <c r="AV25" s="13" t="n">
        <f aca="false">MAX(0,AV12)</f>
        <v>39.966724688033</v>
      </c>
      <c r="AW25" s="13" t="n">
        <f aca="false">MAX(0,AW12)</f>
        <v>40.9742891759667</v>
      </c>
      <c r="AX25" s="13" t="n">
        <f aca="false">MAX(0,AX12)</f>
        <v>41.9818536639002</v>
      </c>
      <c r="AY25" s="13" t="n">
        <f aca="false">MAX(0,AY12)</f>
        <v>42.9894181518339</v>
      </c>
      <c r="AZ25" s="13" t="n">
        <f aca="false">MAX(0,AZ12)</f>
        <v>43.9969826397675</v>
      </c>
      <c r="BA25" s="13" t="n">
        <f aca="false">MAX(0,BA12)</f>
        <v>45.0045471277011</v>
      </c>
      <c r="BB25" s="13" t="n">
        <f aca="false">MAX(0,BB12)</f>
        <v>46.0121116156346</v>
      </c>
      <c r="BC25" s="13" t="n">
        <f aca="false">MAX(0,BC12)</f>
        <v>47.0196761035682</v>
      </c>
      <c r="BD25" s="13" t="n">
        <f aca="false">MAX(0,BD12)</f>
        <v>47.0616579572322</v>
      </c>
      <c r="BE25" s="13" t="n">
        <f aca="false">MAX(0,BE12)</f>
        <v>42.2757266395476</v>
      </c>
      <c r="BF25" s="13" t="n">
        <f aca="false">MAX(0,BF12)</f>
        <v>37.4897953218629</v>
      </c>
      <c r="BG25" s="13" t="n">
        <f aca="false">MAX(0,BG12)</f>
        <v>32.7038640041783</v>
      </c>
      <c r="BH25" s="13" t="n">
        <f aca="false">MAX(0,BH12)</f>
        <v>27.9179326864937</v>
      </c>
      <c r="BI25" s="13" t="n">
        <f aca="false">MAX(0,BI12)</f>
        <v>23.132001368809</v>
      </c>
      <c r="BJ25" s="13" t="n">
        <f aca="false">MAX(0,BJ12)</f>
        <v>18.3460700511244</v>
      </c>
      <c r="BK25" s="13" t="n">
        <f aca="false">MAX(0,BK12)</f>
        <v>13.5601387334398</v>
      </c>
      <c r="BL25" s="13" t="n">
        <f aca="false">MAX(0,BL12)</f>
        <v>8.77420741575514</v>
      </c>
      <c r="BM25" s="13" t="n">
        <f aca="false">MAX(0,BM12)</f>
        <v>3.98827609807053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7.03759718841744</v>
      </c>
      <c r="K26" s="13" t="n">
        <f aca="false">SUMIFS(Funding!$J$69:$BJ$69,Construction!$J$12:$BJ$12,"&lt;="&amp;Time!K20)</f>
        <v>10.3471324312257</v>
      </c>
      <c r="L26" s="13" t="n">
        <f aca="false">SUMIFS(Funding!$J$69:$BJ$69,Construction!$J$12:$BJ$12,"&lt;="&amp;Time!L20)</f>
        <v>16.8123549557075</v>
      </c>
      <c r="M26" s="13" t="n">
        <f aca="false">SUMIFS(Funding!$J$69:$BJ$69,Construction!$J$12:$BJ$12,"&lt;="&amp;Time!M20)</f>
        <v>24.9741655640359</v>
      </c>
      <c r="N26" s="13" t="n">
        <f aca="false">SUMIFS(Funding!$J$69:$BJ$69,Construction!$J$12:$BJ$12,"&lt;="&amp;Time!N20)</f>
        <v>32.4714699786073</v>
      </c>
      <c r="O26" s="13" t="n">
        <f aca="false">SUMIFS(Funding!$J$69:$BJ$69,Construction!$J$12:$BJ$12,"&lt;="&amp;Time!O20)</f>
        <v>37.9851352595004</v>
      </c>
      <c r="P26" s="13" t="n">
        <f aca="false">SUMIFS(Funding!$J$69:$BJ$69,Construction!$J$12:$BJ$12,"&lt;="&amp;Time!P20)</f>
        <v>45.1448022535252</v>
      </c>
      <c r="Q26" s="13" t="n">
        <f aca="false">SUMIFS(Funding!$J$69:$BJ$69,Construction!$J$12:$BJ$12,"&lt;="&amp;Time!Q20)</f>
        <v>45.1448022535252</v>
      </c>
      <c r="R26" s="13" t="n">
        <f aca="false">SUMIFS(Funding!$J$69:$BJ$69,Construction!$J$12:$BJ$12,"&lt;="&amp;Time!R20)</f>
        <v>45.1448022535252</v>
      </c>
      <c r="S26" s="13" t="n">
        <f aca="false">SUMIFS(Funding!$J$69:$BJ$69,Construction!$J$12:$BJ$12,"&lt;="&amp;Time!S20)</f>
        <v>45.1448022535252</v>
      </c>
      <c r="T26" s="13" t="n">
        <f aca="false">SUMIFS(Funding!$J$69:$BJ$69,Construction!$J$12:$BJ$12,"&lt;="&amp;Time!T20)</f>
        <v>45.1448022535252</v>
      </c>
      <c r="U26" s="13" t="n">
        <f aca="false">SUMIFS(Funding!$J$69:$BJ$69,Construction!$J$12:$BJ$12,"&lt;="&amp;Time!U20)</f>
        <v>45.1448022535252</v>
      </c>
      <c r="V26" s="13" t="n">
        <f aca="false">SUMIFS(Funding!$J$69:$BJ$69,Construction!$J$12:$BJ$12,"&lt;="&amp;Time!V20)</f>
        <v>45.1448022535252</v>
      </c>
      <c r="W26" s="13" t="n">
        <f aca="false">SUMIFS(Funding!$J$69:$BJ$69,Construction!$J$12:$BJ$12,"&lt;="&amp;Time!W20)</f>
        <v>45.1448022535252</v>
      </c>
      <c r="X26" s="13" t="n">
        <f aca="false">SUMIFS(Funding!$J$69:$BJ$69,Construction!$J$12:$BJ$12,"&lt;="&amp;Time!X20)</f>
        <v>45.1448022535252</v>
      </c>
      <c r="Y26" s="13" t="n">
        <f aca="false">SUMIFS(Funding!$J$69:$BJ$69,Construction!$J$12:$BJ$12,"&lt;="&amp;Time!Y20)</f>
        <v>45.1448022535252</v>
      </c>
      <c r="Z26" s="13" t="n">
        <f aca="false">SUMIFS(Funding!$J$69:$BJ$69,Construction!$J$12:$BJ$12,"&lt;="&amp;Time!Z20)</f>
        <v>45.1448022535252</v>
      </c>
      <c r="AA26" s="13" t="n">
        <f aca="false">SUMIFS(Funding!$J$69:$BJ$69,Construction!$J$12:$BJ$12,"&lt;="&amp;Time!AA20)</f>
        <v>45.1448022535252</v>
      </c>
      <c r="AB26" s="13" t="n">
        <f aca="false">SUMIFS(Funding!$J$69:$BJ$69,Construction!$J$12:$BJ$12,"&lt;="&amp;Time!AB20)</f>
        <v>45.1448022535252</v>
      </c>
      <c r="AC26" s="13" t="n">
        <f aca="false">SUMIFS(Funding!$J$69:$BJ$69,Construction!$J$12:$BJ$12,"&lt;="&amp;Time!AC20)</f>
        <v>45.1448022535252</v>
      </c>
      <c r="AD26" s="13" t="n">
        <f aca="false">SUMIFS(Funding!$J$69:$BJ$69,Construction!$J$12:$BJ$12,"&lt;="&amp;Time!AD20)</f>
        <v>45.1448022535252</v>
      </c>
      <c r="AE26" s="13" t="n">
        <f aca="false">SUMIFS(Funding!$J$69:$BJ$69,Construction!$J$12:$BJ$12,"&lt;="&amp;Time!AE20)</f>
        <v>45.1448022535252</v>
      </c>
      <c r="AF26" s="13" t="n">
        <f aca="false">SUMIFS(Funding!$J$69:$BJ$69,Construction!$J$12:$BJ$12,"&lt;="&amp;Time!AF20)</f>
        <v>45.1448022535252</v>
      </c>
      <c r="AG26" s="13" t="n">
        <f aca="false">SUMIFS(Funding!$J$69:$BJ$69,Construction!$J$12:$BJ$12,"&lt;="&amp;Time!AG20)</f>
        <v>45.1448022535252</v>
      </c>
      <c r="AH26" s="13" t="n">
        <f aca="false">SUMIFS(Funding!$J$69:$BJ$69,Construction!$J$12:$BJ$12,"&lt;="&amp;Time!AH20)</f>
        <v>45.1448022535252</v>
      </c>
      <c r="AI26" s="13" t="n">
        <f aca="false">SUMIFS(Funding!$J$69:$BJ$69,Construction!$J$12:$BJ$12,"&lt;="&amp;Time!AI20)</f>
        <v>45.1448022535252</v>
      </c>
      <c r="AJ26" s="13" t="n">
        <f aca="false">SUMIFS(Funding!$J$69:$BJ$69,Construction!$J$12:$BJ$12,"&lt;="&amp;Time!AJ20)</f>
        <v>45.1448022535252</v>
      </c>
      <c r="AK26" s="13" t="n">
        <f aca="false">SUMIFS(Funding!$J$69:$BJ$69,Construction!$J$12:$BJ$12,"&lt;="&amp;Time!AK20)</f>
        <v>45.1448022535252</v>
      </c>
      <c r="AL26" s="13" t="n">
        <f aca="false">SUMIFS(Funding!$J$69:$BJ$69,Construction!$J$12:$BJ$12,"&lt;="&amp;Time!AL20)</f>
        <v>45.1448022535252</v>
      </c>
      <c r="AM26" s="13" t="n">
        <f aca="false">SUMIFS(Funding!$J$69:$BJ$69,Construction!$J$12:$BJ$12,"&lt;="&amp;Time!AM20)</f>
        <v>45.1448022535252</v>
      </c>
      <c r="AN26" s="13" t="n">
        <f aca="false">SUMIFS(Funding!$J$69:$BJ$69,Construction!$J$12:$BJ$12,"&lt;="&amp;Time!AN20)</f>
        <v>45.1448022535252</v>
      </c>
      <c r="AO26" s="13" t="n">
        <f aca="false">SUMIFS(Funding!$J$69:$BJ$69,Construction!$J$12:$BJ$12,"&lt;="&amp;Time!AO20)</f>
        <v>45.1448022535252</v>
      </c>
      <c r="AP26" s="13" t="n">
        <f aca="false">SUMIFS(Funding!$J$69:$BJ$69,Construction!$J$12:$BJ$12,"&lt;="&amp;Time!AP20)</f>
        <v>45.1448022535252</v>
      </c>
      <c r="AQ26" s="13" t="n">
        <f aca="false">SUMIFS(Funding!$J$69:$BJ$69,Construction!$J$12:$BJ$12,"&lt;="&amp;Time!AQ20)</f>
        <v>45.1448022535252</v>
      </c>
      <c r="AR26" s="13" t="n">
        <f aca="false">SUMIFS(Funding!$J$69:$BJ$69,Construction!$J$12:$BJ$12,"&lt;="&amp;Time!AR20)</f>
        <v>45.1448022535252</v>
      </c>
      <c r="AS26" s="13" t="n">
        <f aca="false">SUMIFS(Funding!$J$69:$BJ$69,Construction!$J$12:$BJ$12,"&lt;="&amp;Time!AS20)</f>
        <v>45.1448022535252</v>
      </c>
      <c r="AT26" s="13" t="n">
        <f aca="false">SUMIFS(Funding!$J$69:$BJ$69,Construction!$J$12:$BJ$12,"&lt;="&amp;Time!AT20)</f>
        <v>45.1448022535252</v>
      </c>
      <c r="AU26" s="13" t="n">
        <f aca="false">SUMIFS(Funding!$J$69:$BJ$69,Construction!$J$12:$BJ$12,"&lt;="&amp;Time!AU20)</f>
        <v>45.1448022535252</v>
      </c>
      <c r="AV26" s="13" t="n">
        <f aca="false">SUMIFS(Funding!$J$69:$BJ$69,Construction!$J$12:$BJ$12,"&lt;="&amp;Time!AV20)</f>
        <v>45.1448022535252</v>
      </c>
      <c r="AW26" s="13" t="n">
        <f aca="false">SUMIFS(Funding!$J$69:$BJ$69,Construction!$J$12:$BJ$12,"&lt;="&amp;Time!AW20)</f>
        <v>45.1448022535252</v>
      </c>
      <c r="AX26" s="13" t="n">
        <f aca="false">SUMIFS(Funding!$J$69:$BJ$69,Construction!$J$12:$BJ$12,"&lt;="&amp;Time!AX20)</f>
        <v>45.1448022535252</v>
      </c>
      <c r="AY26" s="13" t="n">
        <f aca="false">SUMIFS(Funding!$J$69:$BJ$69,Construction!$J$12:$BJ$12,"&lt;="&amp;Time!AY20)</f>
        <v>45.1448022535252</v>
      </c>
      <c r="AZ26" s="13" t="n">
        <f aca="false">SUMIFS(Funding!$J$69:$BJ$69,Construction!$J$12:$BJ$12,"&lt;="&amp;Time!AZ20)</f>
        <v>45.1448022535252</v>
      </c>
      <c r="BA26" s="13" t="n">
        <f aca="false">SUMIFS(Funding!$J$69:$BJ$69,Construction!$J$12:$BJ$12,"&lt;="&amp;Time!BA20)</f>
        <v>45.1448022535252</v>
      </c>
      <c r="BB26" s="13" t="n">
        <f aca="false">SUMIFS(Funding!$J$69:$BJ$69,Construction!$J$12:$BJ$12,"&lt;="&amp;Time!BB20)</f>
        <v>45.1448022535252</v>
      </c>
      <c r="BC26" s="13" t="n">
        <f aca="false">SUMIFS(Funding!$J$69:$BJ$69,Construction!$J$12:$BJ$12,"&lt;="&amp;Time!BC20)</f>
        <v>45.1448022535252</v>
      </c>
      <c r="BD26" s="13" t="n">
        <f aca="false">SUMIFS(Funding!$J$69:$BJ$69,Construction!$J$12:$BJ$12,"&lt;="&amp;Time!BD20)</f>
        <v>45.1448022535252</v>
      </c>
      <c r="BE26" s="13" t="n">
        <f aca="false">SUMIFS(Funding!$J$69:$BJ$69,Construction!$J$12:$BJ$12,"&lt;="&amp;Time!BE20)</f>
        <v>45.1448022535252</v>
      </c>
      <c r="BF26" s="13" t="n">
        <f aca="false">SUMIFS(Funding!$J$69:$BJ$69,Construction!$J$12:$BJ$12,"&lt;="&amp;Time!BF20)</f>
        <v>45.1448022535252</v>
      </c>
      <c r="BG26" s="13" t="n">
        <f aca="false">SUMIFS(Funding!$J$69:$BJ$69,Construction!$J$12:$BJ$12,"&lt;="&amp;Time!BG20)</f>
        <v>45.1448022535252</v>
      </c>
      <c r="BH26" s="13" t="n">
        <f aca="false">SUMIFS(Funding!$J$69:$BJ$69,Construction!$J$12:$BJ$12,"&lt;="&amp;Time!BH20)</f>
        <v>45.1448022535252</v>
      </c>
      <c r="BI26" s="13" t="n">
        <f aca="false">SUMIFS(Funding!$J$69:$BJ$69,Construction!$J$12:$BJ$12,"&lt;="&amp;Time!BI20)</f>
        <v>45.1448022535252</v>
      </c>
      <c r="BJ26" s="13" t="n">
        <f aca="false">SUMIFS(Funding!$J$69:$BJ$69,Construction!$J$12:$BJ$12,"&lt;="&amp;Time!BJ20)</f>
        <v>45.1448022535252</v>
      </c>
      <c r="BK26" s="13" t="n">
        <f aca="false">SUMIFS(Funding!$J$69:$BJ$69,Construction!$J$12:$BJ$12,"&lt;="&amp;Time!BK20)</f>
        <v>45.1448022535252</v>
      </c>
      <c r="BL26" s="13" t="n">
        <f aca="false">SUMIFS(Funding!$J$69:$BJ$69,Construction!$J$12:$BJ$12,"&lt;="&amp;Time!BL20)</f>
        <v>45.1448022535252</v>
      </c>
      <c r="BM26" s="13" t="n">
        <f aca="false">SUMIFS(Funding!$J$69:$BJ$69,Construction!$J$12:$BJ$12,"&lt;="&amp;Time!BM20)</f>
        <v>45.1448022535252</v>
      </c>
      <c r="BN26" s="13" t="n">
        <f aca="false">SUMIFS(Funding!$J$69:$BJ$69,Construction!$J$12:$BJ$12,"&lt;="&amp;Time!BN20)</f>
        <v>45.1448022535252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0</v>
      </c>
      <c r="P27" s="18" t="n">
        <f aca="false">Waterfall!P43</f>
        <v>4.6045998237667</v>
      </c>
      <c r="Q27" s="18" t="n">
        <f aca="false">Waterfall!Q43</f>
        <v>10.6298126992505</v>
      </c>
      <c r="R27" s="18" t="n">
        <f aca="false">Waterfall!R43</f>
        <v>17.538675057546</v>
      </c>
      <c r="S27" s="18" t="n">
        <f aca="false">Waterfall!S43</f>
        <v>25.6709029790325</v>
      </c>
      <c r="T27" s="18" t="n">
        <f aca="false">Waterfall!T43</f>
        <v>34.1773074845024</v>
      </c>
      <c r="U27" s="18" t="n">
        <f aca="false">Waterfall!U43</f>
        <v>43.7254013319464</v>
      </c>
      <c r="V27" s="18" t="n">
        <f aca="false">Waterfall!V43</f>
        <v>53.8854052491232</v>
      </c>
      <c r="W27" s="18" t="n">
        <f aca="false">Waterfall!W43</f>
        <v>62.8678359755657</v>
      </c>
      <c r="X27" s="18" t="n">
        <f aca="false">Waterfall!X43</f>
        <v>74.9350792310959</v>
      </c>
      <c r="Y27" s="18" t="n">
        <f aca="false">Waterfall!Y43</f>
        <v>87.738314423281</v>
      </c>
      <c r="Z27" s="18" t="n">
        <f aca="false">Waterfall!Z43</f>
        <v>99.8019907707836</v>
      </c>
      <c r="AA27" s="18" t="n">
        <f aca="false">Waterfall!AA43</f>
        <v>106.235983300929</v>
      </c>
      <c r="AB27" s="18" t="n">
        <f aca="false">Waterfall!AB43</f>
        <v>113.119543395275</v>
      </c>
      <c r="AC27" s="18" t="n">
        <f aca="false">Waterfall!AC43</f>
        <v>120.866899546184</v>
      </c>
      <c r="AD27" s="18" t="n">
        <f aca="false">Waterfall!AD43</f>
        <v>129.272288898635</v>
      </c>
      <c r="AE27" s="18" t="n">
        <f aca="false">Waterfall!AE43</f>
        <v>129.032491515026</v>
      </c>
      <c r="AF27" s="18" t="n">
        <f aca="false">Waterfall!AF43</f>
        <v>139.679021626684</v>
      </c>
      <c r="AG27" s="18" t="n">
        <f aca="false">Waterfall!AG43</f>
        <v>150.663286223046</v>
      </c>
      <c r="AH27" s="18" t="n">
        <f aca="false">Waterfall!AH43</f>
        <v>162.449233588764</v>
      </c>
      <c r="AI27" s="18" t="n">
        <f aca="false">Waterfall!AI43</f>
        <v>175.472447588906</v>
      </c>
      <c r="AJ27" s="18" t="n">
        <f aca="false">Waterfall!AJ43</f>
        <v>189.408408794697</v>
      </c>
      <c r="AK27" s="18" t="n">
        <f aca="false">Waterfall!AK43</f>
        <v>204.549505301993</v>
      </c>
      <c r="AL27" s="18" t="n">
        <f aca="false">Waterfall!AL43</f>
        <v>220.805906456432</v>
      </c>
      <c r="AM27" s="18" t="n">
        <f aca="false">Waterfall!AM43</f>
        <v>236.332450872167</v>
      </c>
      <c r="AN27" s="18" t="n">
        <f aca="false">Waterfall!AN43</f>
        <v>255.017599080397</v>
      </c>
      <c r="AO27" s="18" t="n">
        <f aca="false">Waterfall!AO43</f>
        <v>274.918130000131</v>
      </c>
      <c r="AP27" s="18" t="n">
        <f aca="false">Waterfall!AP43</f>
        <v>297.120064353597</v>
      </c>
      <c r="AQ27" s="18" t="n">
        <f aca="false">Waterfall!AQ43</f>
        <v>320.926903691409</v>
      </c>
      <c r="AR27" s="18" t="n">
        <f aca="false">Waterfall!AR43</f>
        <v>316.884869522732</v>
      </c>
      <c r="AS27" s="18" t="n">
        <f aca="false">Waterfall!AS43</f>
        <v>301.725739831351</v>
      </c>
      <c r="AT27" s="18" t="n">
        <f aca="false">Waterfall!AT43</f>
        <v>286.214492494453</v>
      </c>
      <c r="AU27" s="18" t="n">
        <f aca="false">Waterfall!AU43</f>
        <v>254.092179688493</v>
      </c>
      <c r="AV27" s="18" t="n">
        <f aca="false">Waterfall!AV43</f>
        <v>236.260824269892</v>
      </c>
      <c r="AW27" s="18" t="n">
        <f aca="false">Waterfall!AW43</f>
        <v>219.474949382985</v>
      </c>
      <c r="AX27" s="18" t="n">
        <f aca="false">Waterfall!AX43</f>
        <v>202.078537229853</v>
      </c>
      <c r="AY27" s="18" t="n">
        <f aca="false">Waterfall!AY43</f>
        <v>185.218384886423</v>
      </c>
      <c r="AZ27" s="18" t="n">
        <f aca="false">Waterfall!AZ43</f>
        <v>167.820922980491</v>
      </c>
      <c r="BA27" s="18" t="n">
        <f aca="false">Waterfall!BA43</f>
        <v>150.874205814136</v>
      </c>
      <c r="BB27" s="18" t="n">
        <f aca="false">Waterfall!BB43</f>
        <v>133.817969605266</v>
      </c>
      <c r="BC27" s="18" t="n">
        <f aca="false">Waterfall!BC43</f>
        <v>114.282614430267</v>
      </c>
      <c r="BD27" s="18" t="n">
        <f aca="false">Waterfall!BD43</f>
        <v>98.7975620666416</v>
      </c>
      <c r="BE27" s="18" t="n">
        <f aca="false">Waterfall!BE43</f>
        <v>91.5588934146381</v>
      </c>
      <c r="BF27" s="18" t="n">
        <f aca="false">Waterfall!BF43</f>
        <v>83.7934859850331</v>
      </c>
      <c r="BG27" s="18" t="n">
        <f aca="false">Waterfall!BG43</f>
        <v>76.5989382751337</v>
      </c>
      <c r="BH27" s="18" t="n">
        <f aca="false">Waterfall!BH43</f>
        <v>68.8671413860271</v>
      </c>
      <c r="BI27" s="18" t="n">
        <f aca="false">Waterfall!BI43</f>
        <v>61.6178834299934</v>
      </c>
      <c r="BJ27" s="18" t="n">
        <f aca="false">Waterfall!BJ43</f>
        <v>54.0137629532076</v>
      </c>
      <c r="BK27" s="18" t="n">
        <f aca="false">Waterfall!BK43</f>
        <v>26.6328549352312</v>
      </c>
      <c r="BL27" s="18" t="n">
        <f aca="false">Waterfall!BL43</f>
        <v>16.2950173635647</v>
      </c>
      <c r="BM27" s="18" t="n">
        <f aca="false">Waterfall!BM43</f>
        <v>6.44132477295185</v>
      </c>
      <c r="BN27" s="18" t="n">
        <f aca="false">Waterfall!BN43</f>
        <v>-45.1448022534959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136.475812766185</v>
      </c>
      <c r="K28" s="13" t="n">
        <f aca="false">K22+K23+K24+K25+K26+K27</f>
        <v>201.865960814572</v>
      </c>
      <c r="L28" s="13" t="n">
        <f aca="false">L22+L23+L24+L25+L26+L27</f>
        <v>329.091284829459</v>
      </c>
      <c r="M28" s="13" t="n">
        <f aca="false">M22+M23+M24+M25+M26+M27</f>
        <v>490.536919332989</v>
      </c>
      <c r="N28" s="13" t="n">
        <f aca="false">N22+N23+N24+N25+N26+N27</f>
        <v>640.988862498363</v>
      </c>
      <c r="O28" s="13" t="n">
        <f aca="false">O22+O23+O24+O25+O26+O27</f>
        <v>754.682145800469</v>
      </c>
      <c r="P28" s="13" t="n">
        <f aca="false">P22+P23+P24+P25+P26+P27</f>
        <v>930.482225580719</v>
      </c>
      <c r="Q28" s="13" t="n">
        <f aca="false">Q22+Q23+Q24+Q25+Q26+Q27</f>
        <v>909.208270688066</v>
      </c>
      <c r="R28" s="13" t="n">
        <f aca="false">R22+R23+R24+R25+R26+R27</f>
        <v>897.160150320147</v>
      </c>
      <c r="S28" s="13" t="n">
        <f aca="false">S22+S23+S24+S25+S26+S27</f>
        <v>887.200267067148</v>
      </c>
      <c r="T28" s="13" t="n">
        <f aca="false">T22+T23+T24+T25+T26+T27</f>
        <v>875.113469792491</v>
      </c>
      <c r="U28" s="13" t="n">
        <f aca="false">U22+U23+U24+U25+U26+U27</f>
        <v>865.234203054688</v>
      </c>
      <c r="V28" s="13" t="n">
        <f aca="false">V22+V23+V24+V25+V26+V27</f>
        <v>853.648997037343</v>
      </c>
      <c r="W28" s="13" t="n">
        <f aca="false">W22+W23+W24+W25+W26+W27</f>
        <v>840.254475130097</v>
      </c>
      <c r="X28" s="13" t="n">
        <f aca="false">X22+X23+X24+X25+X26+X27</f>
        <v>826.160448954088</v>
      </c>
      <c r="Y28" s="13" t="n">
        <f aca="false">Y22+Y23+Y24+Y25+Y26+Y27</f>
        <v>818.661250675886</v>
      </c>
      <c r="Z28" s="13" t="n">
        <f aca="false">Z22+Z23+Z24+Z25+Z26+Z27</f>
        <v>806.588051826674</v>
      </c>
      <c r="AA28" s="13" t="n">
        <f aca="false">AA22+AA23+AA24+AA25+AA26+AA27</f>
        <v>790.349844837221</v>
      </c>
      <c r="AB28" s="13" t="n">
        <f aca="false">AB22+AB23+AB24+AB25+AB26+AB27</f>
        <v>771.10281608732</v>
      </c>
      <c r="AC28" s="13" t="n">
        <f aca="false">AC22+AC23+AC24+AC25+AC26+AC27</f>
        <v>753.691304641404</v>
      </c>
      <c r="AD28" s="13" t="n">
        <f aca="false">AD22+AD23+AD24+AD25+AD26+AD27</f>
        <v>734.744214209167</v>
      </c>
      <c r="AE28" s="13" t="n">
        <f aca="false">AE22+AE23+AE24+AE25+AE26+AE27</f>
        <v>704.424729502078</v>
      </c>
      <c r="AF28" s="13" t="n">
        <f aca="false">AF22+AF23+AF24+AF25+AF26+AF27</f>
        <v>682.10779154571</v>
      </c>
      <c r="AG28" s="13" t="n">
        <f aca="false">AG22+AG23+AG24+AG25+AG26+AG27</f>
        <v>662.600324390685</v>
      </c>
      <c r="AH28" s="13" t="n">
        <f aca="false">AH22+AH23+AH24+AH25+AH26+AH27</f>
        <v>638.855167876952</v>
      </c>
      <c r="AI28" s="13" t="n">
        <f aca="false">AI22+AI23+AI24+AI25+AI26+AI27</f>
        <v>616.481644207315</v>
      </c>
      <c r="AJ28" s="13" t="n">
        <f aca="false">AJ22+AJ23+AJ24+AJ25+AJ26+AJ27</f>
        <v>591.159127816491</v>
      </c>
      <c r="AK28" s="13" t="n">
        <f aca="false">AK22+AK23+AK24+AK25+AK26+AK27</f>
        <v>566.85466176189</v>
      </c>
      <c r="AL28" s="13" t="n">
        <f aca="false">AL22+AL23+AL24+AL25+AL26+AL27</f>
        <v>545.319286797755</v>
      </c>
      <c r="AM28" s="13" t="n">
        <f aca="false">AM22+AM23+AM24+AM25+AM26+AM27</f>
        <v>526.503130301716</v>
      </c>
      <c r="AN28" s="13" t="n">
        <f aca="false">AN22+AN23+AN24+AN25+AN26+AN27</f>
        <v>508.055266258026</v>
      </c>
      <c r="AO28" s="13" t="n">
        <f aca="false">AO22+AO23+AO24+AO25+AO26+AO27</f>
        <v>472.368027778518</v>
      </c>
      <c r="AP28" s="13" t="n">
        <f aca="false">AP22+AP23+AP24+AP25+AP26+AP27</f>
        <v>457.300848450506</v>
      </c>
      <c r="AQ28" s="13" t="n">
        <f aca="false">AQ22+AQ23+AQ24+AQ25+AQ26+AQ27</f>
        <v>444.045708311446</v>
      </c>
      <c r="AR28" s="13" t="n">
        <f aca="false">AR22+AR23+AR24+AR25+AR26+AR27</f>
        <v>429.061467210061</v>
      </c>
      <c r="AS28" s="13" t="n">
        <f aca="false">AS22+AS23+AS24+AS25+AS26+AS27</f>
        <v>416.028433031948</v>
      </c>
      <c r="AT28" s="13" t="n">
        <f aca="false">AT22+AT23+AT24+AT25+AT26+AT27</f>
        <v>400.980099498366</v>
      </c>
      <c r="AU28" s="13" t="n">
        <f aca="false">AU22+AU23+AU24+AU25+AU26+AU27</f>
        <v>369.612304594543</v>
      </c>
      <c r="AV28" s="13" t="n">
        <f aca="false">AV22+AV23+AV24+AV25+AV26+AV27</f>
        <v>352.607216070418</v>
      </c>
      <c r="AW28" s="13" t="n">
        <f aca="false">AW22+AW23+AW24+AW25+AW26+AW27</f>
        <v>339.243740032578</v>
      </c>
      <c r="AX28" s="13" t="n">
        <f aca="false">AX22+AX23+AX24+AX25+AX26+AX27</f>
        <v>322.337271928103</v>
      </c>
      <c r="AY28" s="13" t="n">
        <f aca="false">AY22+AY23+AY24+AY25+AY26+AY27</f>
        <v>307.362946092599</v>
      </c>
      <c r="AZ28" s="13" t="n">
        <f aca="false">AZ22+AZ23+AZ24+AZ25+AZ26+AZ27</f>
        <v>290.546037858503</v>
      </c>
      <c r="BA28" s="13" t="n">
        <f aca="false">BA22+BA23+BA24+BA25+BA26+BA27</f>
        <v>275.815539520674</v>
      </c>
      <c r="BB28" s="13" t="n">
        <f aca="false">BB22+BB23+BB24+BB25+BB26+BB27</f>
        <v>259.28165628738</v>
      </c>
      <c r="BC28" s="13" t="n">
        <f aca="false">BC22+BC23+BC24+BC25+BC26+BC27</f>
        <v>241.012544698478</v>
      </c>
      <c r="BD28" s="13" t="n">
        <f aca="false">BD22+BD23+BD24+BD25+BD26+BD27</f>
        <v>225.265443264269</v>
      </c>
      <c r="BE28" s="13" t="n">
        <f aca="false">BE22+BE23+BE24+BE25+BE26+BE27</f>
        <v>215.322487713833</v>
      </c>
      <c r="BF28" s="13" t="n">
        <f aca="false">BF22+BF23+BF24+BF25+BF26+BF27</f>
        <v>202.211520645451</v>
      </c>
      <c r="BG28" s="13" t="n">
        <f aca="false">BG22+BG23+BG24+BG25+BG26+BG27</f>
        <v>191.179831659506</v>
      </c>
      <c r="BH28" s="13" t="n">
        <f aca="false">BH22+BH23+BH24+BH25+BH26+BH27</f>
        <v>178.20046021751</v>
      </c>
      <c r="BI28" s="13" t="n">
        <f aca="false">BI22+BI23+BI24+BI25+BI26+BI27</f>
        <v>167.471275867015</v>
      </c>
      <c r="BJ28" s="13" t="n">
        <f aca="false">BJ22+BJ23+BJ24+BJ25+BJ26+BJ27</f>
        <v>154.444613371688</v>
      </c>
      <c r="BK28" s="13" t="n">
        <f aca="false">BK22+BK23+BK24+BK25+BK26+BK27</f>
        <v>121.980252132503</v>
      </c>
      <c r="BL28" s="13" t="n">
        <f aca="false">BL22+BL23+BL24+BL25+BL26+BL27</f>
        <v>106.644483944371</v>
      </c>
      <c r="BM28" s="13" t="n">
        <f aca="false">BM22+BM23+BM24+BM25+BM26+BM27</f>
        <v>94.8265321832199</v>
      </c>
      <c r="BN28" s="13" t="n">
        <f aca="false">BN22+BN23+BN24+BN25+BN26+BN27</f>
        <v>2.93098878501041E-011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-2.92175172944553E-011</v>
      </c>
      <c r="R29" s="13" t="n">
        <f aca="false">R21-R28</f>
        <v>-2.93312041321769E-011</v>
      </c>
      <c r="S29" s="13" t="n">
        <f aca="false">S21-S28</f>
        <v>-2.92175172944553E-011</v>
      </c>
      <c r="T29" s="13" t="n">
        <f aca="false">T21-T28</f>
        <v>-2.92175172944553E-011</v>
      </c>
      <c r="U29" s="13" t="n">
        <f aca="false">U21-U28</f>
        <v>-2.93312041321769E-011</v>
      </c>
      <c r="V29" s="13" t="n">
        <f aca="false">V21-V28</f>
        <v>-2.92175172944553E-011</v>
      </c>
      <c r="W29" s="13" t="n">
        <f aca="false">W21-W28</f>
        <v>-2.92175172944553E-011</v>
      </c>
      <c r="X29" s="13" t="n">
        <f aca="false">X21-X28</f>
        <v>-2.92175172944553E-011</v>
      </c>
      <c r="Y29" s="13" t="n">
        <f aca="false">Y21-Y28</f>
        <v>-2.93312041321769E-011</v>
      </c>
      <c r="Z29" s="13" t="n">
        <f aca="false">Z21-Z28</f>
        <v>-2.92175172944553E-011</v>
      </c>
      <c r="AA29" s="13" t="n">
        <f aca="false">AA21-AA28</f>
        <v>-2.92175172944553E-011</v>
      </c>
      <c r="AB29" s="13" t="n">
        <f aca="false">AB21-AB28</f>
        <v>-2.91038304567337E-011</v>
      </c>
      <c r="AC29" s="13" t="n">
        <f aca="false">AC21-AC28</f>
        <v>-2.93312041321769E-011</v>
      </c>
      <c r="AD29" s="13" t="n">
        <f aca="false">AD21-AD28</f>
        <v>-2.91038304567337E-011</v>
      </c>
      <c r="AE29" s="13" t="n">
        <f aca="false">AE21-AE28</f>
        <v>-2.93312041321769E-011</v>
      </c>
      <c r="AF29" s="13" t="n">
        <f aca="false">AF21-AF28</f>
        <v>-2.92175172944553E-011</v>
      </c>
      <c r="AG29" s="13" t="n">
        <f aca="false">AG21-AG28</f>
        <v>-2.93312041321769E-011</v>
      </c>
      <c r="AH29" s="13" t="n">
        <f aca="false">AH21-AH28</f>
        <v>-2.92175172944553E-011</v>
      </c>
      <c r="AI29" s="13" t="n">
        <f aca="false">AI21-AI28</f>
        <v>-2.92175172944553E-011</v>
      </c>
      <c r="AJ29" s="13" t="n">
        <f aca="false">AJ21-AJ28</f>
        <v>-2.93312041321769E-011</v>
      </c>
      <c r="AK29" s="13" t="n">
        <f aca="false">AK21-AK28</f>
        <v>-2.95585778076202E-011</v>
      </c>
      <c r="AL29" s="13" t="n">
        <f aca="false">AL21-AL28</f>
        <v>-2.92175172944553E-011</v>
      </c>
      <c r="AM29" s="13" t="n">
        <f aca="false">AM21-AM28</f>
        <v>-2.93312041321769E-011</v>
      </c>
      <c r="AN29" s="13" t="n">
        <f aca="false">AN21-AN28</f>
        <v>-2.91606738755945E-011</v>
      </c>
      <c r="AO29" s="13" t="n">
        <f aca="false">AO21-AO28</f>
        <v>-2.93312041321769E-011</v>
      </c>
      <c r="AP29" s="13" t="n">
        <f aca="false">AP21-AP28</f>
        <v>-2.92743607133161E-011</v>
      </c>
      <c r="AQ29" s="13" t="n">
        <f aca="false">AQ21-AQ28</f>
        <v>-2.92743607133161E-011</v>
      </c>
      <c r="AR29" s="13" t="n">
        <f aca="false">AR21-AR28</f>
        <v>-2.92175172944553E-011</v>
      </c>
      <c r="AS29" s="13" t="n">
        <f aca="false">AS21-AS28</f>
        <v>-2.93880475510377E-011</v>
      </c>
      <c r="AT29" s="13" t="n">
        <f aca="false">AT21-AT28</f>
        <v>-2.92743607133161E-011</v>
      </c>
      <c r="AU29" s="13" t="n">
        <f aca="false">AU21-AU28</f>
        <v>-2.93312041321769E-011</v>
      </c>
      <c r="AV29" s="13" t="n">
        <f aca="false">AV21-AV28</f>
        <v>-2.92743607133161E-011</v>
      </c>
      <c r="AW29" s="13" t="n">
        <f aca="false">AW21-AW28</f>
        <v>-2.92743607133161E-011</v>
      </c>
      <c r="AX29" s="13" t="n">
        <f aca="false">AX21-AX28</f>
        <v>-2.93880475510377E-011</v>
      </c>
      <c r="AY29" s="13" t="n">
        <f aca="false">AY21-AY28</f>
        <v>-2.93880475510377E-011</v>
      </c>
      <c r="AZ29" s="13" t="n">
        <f aca="false">AZ21-AZ28</f>
        <v>-2.93312041321769E-011</v>
      </c>
      <c r="BA29" s="13" t="n">
        <f aca="false">BA21-BA28</f>
        <v>-2.92175172944553E-011</v>
      </c>
      <c r="BB29" s="13" t="n">
        <f aca="false">BB21-BB28</f>
        <v>-2.93312041321769E-011</v>
      </c>
      <c r="BC29" s="13" t="n">
        <f aca="false">BC21-BC28</f>
        <v>-2.93596258416073E-011</v>
      </c>
      <c r="BD29" s="13" t="n">
        <f aca="false">BD21-BD28</f>
        <v>-2.93312041321769E-011</v>
      </c>
      <c r="BE29" s="13" t="n">
        <f aca="false">BE21-BE28</f>
        <v>-2.93027824227465E-011</v>
      </c>
      <c r="BF29" s="13" t="n">
        <f aca="false">BF21-BF28</f>
        <v>-2.93596258416073E-011</v>
      </c>
      <c r="BG29" s="13" t="n">
        <f aca="false">BG21-BG28</f>
        <v>-2.93880475510377E-011</v>
      </c>
      <c r="BH29" s="13" t="n">
        <f aca="false">BH21-BH28</f>
        <v>-2.93312041321769E-011</v>
      </c>
      <c r="BI29" s="13" t="n">
        <f aca="false">BI21-BI28</f>
        <v>-2.93027824227465E-011</v>
      </c>
      <c r="BJ29" s="13" t="n">
        <f aca="false">BJ21-BJ28</f>
        <v>-2.93880475510377E-011</v>
      </c>
      <c r="BK29" s="13" t="n">
        <f aca="false">BK21-BK28</f>
        <v>-2.93596258416073E-011</v>
      </c>
      <c r="BL29" s="13" t="n">
        <f aca="false">BL21-BL28</f>
        <v>-2.93312041321769E-011</v>
      </c>
      <c r="BM29" s="13" t="n">
        <f aca="false">BM21-BM28</f>
        <v>-2.93027824227465E-011</v>
      </c>
      <c r="BN29" s="13" t="n">
        <f aca="false">BN21-BN28</f>
        <v>-2.93098878501041E-011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</v>
      </c>
      <c r="Q7" s="16" t="n">
        <f aca="false">IF(Debt!Q115&gt;Inputs!$F$253,Debt!Q112/Debt!Q115,0)</f>
        <v>0.0341218934596471</v>
      </c>
      <c r="R7" s="16" t="n">
        <f aca="false">IF(Debt!R115&gt;Inputs!$F$253,Debt!R112/Debt!R115,0)</f>
        <v>0.0344745035497462</v>
      </c>
      <c r="S7" s="16" t="n">
        <f aca="false">IF(Debt!S115&gt;Inputs!$F$253,Debt!S112/Debt!S115,0)</f>
        <v>0.0341152781008568</v>
      </c>
      <c r="T7" s="16" t="n">
        <f aca="false">IF(Debt!T115&gt;Inputs!$F$253,Debt!T112/Debt!T115,0)</f>
        <v>0.0344890274240049</v>
      </c>
      <c r="U7" s="16" t="n">
        <f aca="false">IF(Debt!U115&gt;Inputs!$F$253,Debt!U112/Debt!U115,0)</f>
        <v>0.0342409022706807</v>
      </c>
      <c r="V7" s="16" t="n">
        <f aca="false">IF(Debt!V115&gt;Inputs!$F$253,Debt!V112/Debt!V115,0)</f>
        <v>0.0344907799482169</v>
      </c>
      <c r="W7" s="16" t="n">
        <f aca="false">IF(Debt!W115&gt;Inputs!$F$253,Debt!W112/Debt!W115,0)</f>
        <v>0.0341186185670129</v>
      </c>
      <c r="X7" s="16" t="n">
        <f aca="false">IF(Debt!X115&gt;Inputs!$F$253,Debt!X112/Debt!X115,0)</f>
        <v>0.0344936290269063</v>
      </c>
      <c r="Y7" s="16" t="n">
        <f aca="false">IF(Debt!Y115&gt;Inputs!$F$253,Debt!Y112/Debt!Y115,0)</f>
        <v>0.035190530083557</v>
      </c>
      <c r="Z7" s="16" t="n">
        <f aca="false">IF(Debt!Z115&gt;Inputs!$F$253,Debt!Z112/Debt!Z115,0)</f>
        <v>0.035583212856839</v>
      </c>
      <c r="AA7" s="16" t="n">
        <f aca="false">IF(Debt!AA115&gt;Inputs!$F$253,Debt!AA112/Debt!AA115,0)</f>
        <v>0.035192245737922</v>
      </c>
      <c r="AB7" s="16" t="n">
        <f aca="false">IF(Debt!AB115&gt;Inputs!$F$253,Debt!AB112/Debt!AB115,0)</f>
        <v>0.0353991702233185</v>
      </c>
      <c r="AC7" s="16" t="n">
        <f aca="false">IF(Debt!AC115&gt;Inputs!$F$253,Debt!AC112/Debt!AC115,0)</f>
        <v>0.0349081213169585</v>
      </c>
      <c r="AD7" s="16" t="n">
        <f aca="false">IF(Debt!AD115&gt;Inputs!$F$253,Debt!AD112/Debt!AD115,0)</f>
        <v>0.0348974982035009</v>
      </c>
      <c r="AE7" s="16" t="n">
        <f aca="false">IF(Debt!AE115&gt;Inputs!$F$253,Debt!AE112/Debt!AE115,0)</f>
        <v>0.0342340242656231</v>
      </c>
      <c r="AF7" s="16" t="n">
        <f aca="false">IF(Debt!AF115&gt;Inputs!$F$253,Debt!AF112/Debt!AF115,0)</f>
        <v>0.0342168469388658</v>
      </c>
      <c r="AG7" s="16" t="n">
        <f aca="false">IF(Debt!AG115&gt;Inputs!$F$253,Debt!AG112/Debt!AG115,0)</f>
        <v>0.0341878148492011</v>
      </c>
      <c r="AH7" s="16" t="n">
        <f aca="false">IF(Debt!AH115&gt;Inputs!$F$253,Debt!AH112/Debt!AH115,0)</f>
        <v>0.0338319035794672</v>
      </c>
      <c r="AI7" s="16" t="n">
        <f aca="false">IF(Debt!AI115&gt;Inputs!$F$253,Debt!AI112/Debt!AI115,0)</f>
        <v>0.0325319330638174</v>
      </c>
      <c r="AJ7" s="16" t="n">
        <f aca="false">IF(Debt!AJ115&gt;Inputs!$F$253,Debt!AJ112/Debt!AJ115,0)</f>
        <v>0.0314638481959106</v>
      </c>
      <c r="AK7" s="16" t="n">
        <f aca="false">IF(Debt!AK115&gt;Inputs!$F$253,Debt!AK112/Debt!AK115,0)</f>
        <v>0.0290997188978922</v>
      </c>
      <c r="AL7" s="16" t="n">
        <f aca="false">IF(Debt!AL115&gt;Inputs!$F$253,Debt!AL112/Debt!AL115,0)</f>
        <v>0.0277286685687752</v>
      </c>
      <c r="AM7" s="16" t="n">
        <f aca="false">IF(Debt!AM115&gt;Inputs!$F$253,Debt!AM112/Debt!AM115,0)</f>
        <v>0.0275994977424445</v>
      </c>
      <c r="AN7" s="16" t="n">
        <f aca="false">IF(Debt!AN115&gt;Inputs!$F$253,Debt!AN112/Debt!AN115,0)</f>
        <v>0.0278864837114529</v>
      </c>
      <c r="AO7" s="16" t="n">
        <f aca="false">IF(Debt!AO115&gt;Inputs!$F$253,Debt!AO112/Debt!AO115,0)</f>
        <v>0.0276588343938163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0.0276588343938163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0.0276588343938163</v>
      </c>
      <c r="K10" s="16" t="n">
        <f aca="false">IF(K7&gt;0,K7,$F$9)</f>
        <v>0.0276588343938163</v>
      </c>
      <c r="L10" s="16" t="n">
        <f aca="false">IF(L7&gt;0,L7,$F$9)</f>
        <v>0.0276588343938163</v>
      </c>
      <c r="M10" s="16" t="n">
        <f aca="false">IF(M7&gt;0,M7,$F$9)</f>
        <v>0.0276588343938163</v>
      </c>
      <c r="N10" s="16" t="n">
        <f aca="false">IF(N7&gt;0,N7,$F$9)</f>
        <v>0.0276588343938163</v>
      </c>
      <c r="O10" s="16" t="n">
        <f aca="false">IF(O7&gt;0,O7,$F$9)</f>
        <v>0.0276588343938163</v>
      </c>
      <c r="P10" s="16" t="n">
        <f aca="false">IF(P7&gt;0,P7,$F$9)</f>
        <v>0.0276588343938163</v>
      </c>
      <c r="Q10" s="16" t="n">
        <f aca="false">IF(Q7&gt;0,Q7,$F$9)</f>
        <v>0.0341218934596471</v>
      </c>
      <c r="R10" s="16" t="n">
        <f aca="false">IF(R7&gt;0,R7,$F$9)</f>
        <v>0.0344745035497462</v>
      </c>
      <c r="S10" s="16" t="n">
        <f aca="false">IF(S7&gt;0,S7,$F$9)</f>
        <v>0.0341152781008568</v>
      </c>
      <c r="T10" s="16" t="n">
        <f aca="false">IF(T7&gt;0,T7,$F$9)</f>
        <v>0.0344890274240049</v>
      </c>
      <c r="U10" s="16" t="n">
        <f aca="false">IF(U7&gt;0,U7,$F$9)</f>
        <v>0.0342409022706807</v>
      </c>
      <c r="V10" s="16" t="n">
        <f aca="false">IF(V7&gt;0,V7,$F$9)</f>
        <v>0.0344907799482169</v>
      </c>
      <c r="W10" s="16" t="n">
        <f aca="false">IF(W7&gt;0,W7,$F$9)</f>
        <v>0.0341186185670129</v>
      </c>
      <c r="X10" s="16" t="n">
        <f aca="false">IF(X7&gt;0,X7,$F$9)</f>
        <v>0.0344936290269063</v>
      </c>
      <c r="Y10" s="16" t="n">
        <f aca="false">IF(Y7&gt;0,Y7,$F$9)</f>
        <v>0.035190530083557</v>
      </c>
      <c r="Z10" s="16" t="n">
        <f aca="false">IF(Z7&gt;0,Z7,$F$9)</f>
        <v>0.035583212856839</v>
      </c>
      <c r="AA10" s="16" t="n">
        <f aca="false">IF(AA7&gt;0,AA7,$F$9)</f>
        <v>0.035192245737922</v>
      </c>
      <c r="AB10" s="16" t="n">
        <f aca="false">IF(AB7&gt;0,AB7,$F$9)</f>
        <v>0.0353991702233185</v>
      </c>
      <c r="AC10" s="16" t="n">
        <f aca="false">IF(AC7&gt;0,AC7,$F$9)</f>
        <v>0.0349081213169585</v>
      </c>
      <c r="AD10" s="16" t="n">
        <f aca="false">IF(AD7&gt;0,AD7,$F$9)</f>
        <v>0.0348974982035009</v>
      </c>
      <c r="AE10" s="16" t="n">
        <f aca="false">IF(AE7&gt;0,AE7,$F$9)</f>
        <v>0.0342340242656231</v>
      </c>
      <c r="AF10" s="16" t="n">
        <f aca="false">IF(AF7&gt;0,AF7,$F$9)</f>
        <v>0.0342168469388658</v>
      </c>
      <c r="AG10" s="16" t="n">
        <f aca="false">IF(AG7&gt;0,AG7,$F$9)</f>
        <v>0.0341878148492011</v>
      </c>
      <c r="AH10" s="16" t="n">
        <f aca="false">IF(AH7&gt;0,AH7,$F$9)</f>
        <v>0.0338319035794672</v>
      </c>
      <c r="AI10" s="16" t="n">
        <f aca="false">IF(AI7&gt;0,AI7,$F$9)</f>
        <v>0.0325319330638174</v>
      </c>
      <c r="AJ10" s="16" t="n">
        <f aca="false">IF(AJ7&gt;0,AJ7,$F$9)</f>
        <v>0.0314638481959106</v>
      </c>
      <c r="AK10" s="16" t="n">
        <f aca="false">IF(AK7&gt;0,AK7,$F$9)</f>
        <v>0.0290997188978922</v>
      </c>
      <c r="AL10" s="16" t="n">
        <f aca="false">IF(AL7&gt;0,AL7,$F$9)</f>
        <v>0.0277286685687752</v>
      </c>
      <c r="AM10" s="16" t="n">
        <f aca="false">IF(AM7&gt;0,AM7,$F$9)</f>
        <v>0.0275994977424445</v>
      </c>
      <c r="AN10" s="16" t="n">
        <f aca="false">IF(AN7&gt;0,AN7,$F$9)</f>
        <v>0.0278864837114529</v>
      </c>
      <c r="AO10" s="16" t="n">
        <f aca="false">IF(AO7&gt;0,AO7,$F$9)</f>
        <v>0.0276588343938163</v>
      </c>
      <c r="AP10" s="16" t="n">
        <f aca="false">IF(AP7&gt;0,AP7,$F$9)</f>
        <v>0.0276588343938163</v>
      </c>
      <c r="AQ10" s="16" t="n">
        <f aca="false">IF(AQ7&gt;0,AQ7,$F$9)</f>
        <v>0.0276588343938163</v>
      </c>
      <c r="AR10" s="16" t="n">
        <f aca="false">IF(AR7&gt;0,AR7,$F$9)</f>
        <v>0.0276588343938163</v>
      </c>
      <c r="AS10" s="16" t="n">
        <f aca="false">IF(AS7&gt;0,AS7,$F$9)</f>
        <v>0.0276588343938163</v>
      </c>
      <c r="AT10" s="16" t="n">
        <f aca="false">IF(AT7&gt;0,AT7,$F$9)</f>
        <v>0.0276588343938163</v>
      </c>
      <c r="AU10" s="16" t="n">
        <f aca="false">IF(AU7&gt;0,AU7,$F$9)</f>
        <v>0.0276588343938163</v>
      </c>
      <c r="AV10" s="16" t="n">
        <f aca="false">IF(AV7&gt;0,AV7,$F$9)</f>
        <v>0.0276588343938163</v>
      </c>
      <c r="AW10" s="16" t="n">
        <f aca="false">IF(AW7&gt;0,AW7,$F$9)</f>
        <v>0.0276588343938163</v>
      </c>
      <c r="AX10" s="16" t="n">
        <f aca="false">IF(AX7&gt;0,AX7,$F$9)</f>
        <v>0.0276588343938163</v>
      </c>
      <c r="AY10" s="16" t="n">
        <f aca="false">IF(AY7&gt;0,AY7,$F$9)</f>
        <v>0.0276588343938163</v>
      </c>
      <c r="AZ10" s="16" t="n">
        <f aca="false">IF(AZ7&gt;0,AZ7,$F$9)</f>
        <v>0.0276588343938163</v>
      </c>
      <c r="BA10" s="16" t="n">
        <f aca="false">IF(BA7&gt;0,BA7,$F$9)</f>
        <v>0.0276588343938163</v>
      </c>
      <c r="BB10" s="16" t="n">
        <f aca="false">IF(BB7&gt;0,BB7,$F$9)</f>
        <v>0.0276588343938163</v>
      </c>
      <c r="BC10" s="16" t="n">
        <f aca="false">IF(BC7&gt;0,BC7,$F$9)</f>
        <v>0.0276588343938163</v>
      </c>
      <c r="BD10" s="16" t="n">
        <f aca="false">IF(BD7&gt;0,BD7,$F$9)</f>
        <v>0.0276588343938163</v>
      </c>
      <c r="BE10" s="16" t="n">
        <f aca="false">IF(BE7&gt;0,BE7,$F$9)</f>
        <v>0.0276588343938163</v>
      </c>
      <c r="BF10" s="16" t="n">
        <f aca="false">IF(BF7&gt;0,BF7,$F$9)</f>
        <v>0.0276588343938163</v>
      </c>
      <c r="BG10" s="16" t="n">
        <f aca="false">IF(BG7&gt;0,BG7,$F$9)</f>
        <v>0.0276588343938163</v>
      </c>
      <c r="BH10" s="16" t="n">
        <f aca="false">IF(BH7&gt;0,BH7,$F$9)</f>
        <v>0.0276588343938163</v>
      </c>
      <c r="BI10" s="16" t="n">
        <f aca="false">IF(BI7&gt;0,BI7,$F$9)</f>
        <v>0.0276588343938163</v>
      </c>
      <c r="BJ10" s="16" t="n">
        <f aca="false">IF(BJ7&gt;0,BJ7,$F$9)</f>
        <v>0.0276588343938163</v>
      </c>
      <c r="BK10" s="16" t="n">
        <f aca="false">IF(BK7&gt;0,BK7,$F$9)</f>
        <v>0.0276588343938163</v>
      </c>
      <c r="BL10" s="16" t="n">
        <f aca="false">IF(BL7&gt;0,BL7,$F$9)</f>
        <v>0.0276588343938163</v>
      </c>
      <c r="BM10" s="16" t="n">
        <f aca="false">IF(BM7&gt;0,BM7,$F$9)</f>
        <v>0.0276588343938163</v>
      </c>
      <c r="BN10" s="16" t="n">
        <f aca="false">IF(BN7&gt;0,BN7,$F$9)</f>
        <v>0.0276588343938163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683.658934556429</v>
      </c>
      <c r="K11" s="13" t="n">
        <f aca="false">IF(Time!K20&lt;=$F$8,(Waterfall!K7+L11)/(1+K10),0)</f>
        <v>702.568143809178</v>
      </c>
      <c r="L11" s="13" t="n">
        <f aca="false">IF(Time!L20&lt;=$F$8,(Waterfall!L7+M11)/(1+L10),0)</f>
        <v>722.000359749167</v>
      </c>
      <c r="M11" s="13" t="n">
        <f aca="false">IF(Time!M20&lt;=$F$8,(Waterfall!M7+N11)/(1+M10),0)</f>
        <v>741.970048131745</v>
      </c>
      <c r="N11" s="13" t="n">
        <f aca="false">IF(Time!N20&lt;=$F$8,(Waterfall!N7+O11)/(1+N10),0)</f>
        <v>762.492074818193</v>
      </c>
      <c r="O11" s="13" t="n">
        <f aca="false">IF(Time!O20&lt;=$F$8,(Waterfall!O7+P11)/(1+O10),0)</f>
        <v>783.581716842186</v>
      </c>
      <c r="P11" s="13" t="n">
        <f aca="false">IF(Time!P20&lt;=$F$8,(Waterfall!P7+Q11)/(1+P10),0)</f>
        <v>805.254673782347</v>
      </c>
      <c r="Q11" s="13" t="n">
        <f aca="false">IF(Time!Q20&lt;=$F$8,(Waterfall!Q7+R11)/(1+Q10),0)</f>
        <v>833.819713787873</v>
      </c>
      <c r="R11" s="13" t="n">
        <f aca="false">IF(Time!R20&lt;=$F$8,(Waterfall!R7+S11)/(1+R10),0)</f>
        <v>813.418736887926</v>
      </c>
      <c r="S11" s="13" t="n">
        <f aca="false">IF(Time!S20&lt;=$F$8,(Waterfall!S7+T11)/(1+S10),0)</f>
        <v>791.57827832569</v>
      </c>
      <c r="T11" s="13" t="n">
        <f aca="false">IF(Time!T20&lt;=$F$8,(Waterfall!T7+U11)/(1+T10),0)</f>
        <v>768.96133324767</v>
      </c>
      <c r="U11" s="13" t="n">
        <f aca="false">IF(Time!U20&lt;=$F$8,(Waterfall!U7+V11)/(1+U10),0)</f>
        <v>745.281154904911</v>
      </c>
      <c r="V11" s="13" t="n">
        <f aca="false">IF(Time!V20&lt;=$F$8,(Waterfall!V7+W11)/(1+V10),0)</f>
        <v>720.939895781367</v>
      </c>
      <c r="W11" s="13" t="n">
        <f aca="false">IF(Time!W20&lt;=$F$8,(Waterfall!W7+X11)/(1+W10),0)</f>
        <v>695.480803614514</v>
      </c>
      <c r="X11" s="13" t="n">
        <f aca="false">IF(Time!X20&lt;=$F$8,(Waterfall!X7+Y11)/(1+X10),0)</f>
        <v>668.610299251848</v>
      </c>
      <c r="Y11" s="13" t="n">
        <f aca="false">IF(Time!Y20&lt;=$F$8,(Waterfall!Y7+Z11)/(1+Y10),0)</f>
        <v>640.504789802885</v>
      </c>
      <c r="Z11" s="13" t="n">
        <f aca="false">IF(Time!Z20&lt;=$F$8,(Waterfall!Z7+AA11)/(1+Z10),0)</f>
        <v>614.425780455438</v>
      </c>
      <c r="AA11" s="13" t="n">
        <f aca="false">IF(Time!AA20&lt;=$F$8,(Waterfall!AA7+AB11)/(1+AA10),0)</f>
        <v>587.117441520892</v>
      </c>
      <c r="AB11" s="13" t="n">
        <f aca="false">IF(Time!AB20&lt;=$F$8,(Waterfall!AB7+AC11)/(1+AB10),0)</f>
        <v>559.243087525214</v>
      </c>
      <c r="AC11" s="13" t="n">
        <f aca="false">IF(Time!AC20&lt;=$F$8,(Waterfall!AC7+AD11)/(1+AC10),0)</f>
        <v>529.904855942461</v>
      </c>
      <c r="AD11" s="13" t="n">
        <f aca="false">IF(Time!AD20&lt;=$F$8,(Waterfall!AD7+AE11)/(1+AD10),0)</f>
        <v>499.617474828832</v>
      </c>
      <c r="AE11" s="13" t="n">
        <f aca="false">IF(Time!AE20&lt;=$F$8,(Waterfall!AE7+AF11)/(1+AE10),0)</f>
        <v>467.763791994911</v>
      </c>
      <c r="AF11" s="13" t="n">
        <f aca="false">IF(Time!AF20&lt;=$F$8,(Waterfall!AF7+AG11)/(1+AF10),0)</f>
        <v>433.225101327144</v>
      </c>
      <c r="AG11" s="13" t="n">
        <f aca="false">IF(Time!AG20&lt;=$F$8,(Waterfall!AG7+AH11)/(1+AG10),0)</f>
        <v>396.685268125268</v>
      </c>
      <c r="AH11" s="13" t="n">
        <f aca="false">IF(Time!AH20&lt;=$F$8,(Waterfall!AH7+AI11)/(1+AH10),0)</f>
        <v>359.651776214735</v>
      </c>
      <c r="AI11" s="13" t="n">
        <f aca="false">IF(Time!AI20&lt;=$F$8,(Waterfall!AI7+AJ11)/(1+AI10),0)</f>
        <v>320.513043013907</v>
      </c>
      <c r="AJ11" s="13" t="n">
        <f aca="false">IF(Time!AJ20&lt;=$F$8,(Waterfall!AJ7+AK11)/(1+AJ10),0)</f>
        <v>279.973183811887</v>
      </c>
      <c r="AK11" s="13" t="n">
        <f aca="false">IF(Time!AK20&lt;=$F$8,(Waterfall!AK7+AL11)/(1+AK10),0)</f>
        <v>237.193834402347</v>
      </c>
      <c r="AL11" s="13" t="n">
        <f aca="false">IF(Time!AL20&lt;=$F$8,(Waterfall!AL7+AM11)/(1+AL10),0)</f>
        <v>192.865199102515</v>
      </c>
      <c r="AM11" s="13" t="n">
        <f aca="false">IF(Time!AM20&lt;=$F$8,(Waterfall!AM7+AN11)/(1+AM10),0)</f>
        <v>146.475217981388</v>
      </c>
      <c r="AN11" s="13" t="n">
        <f aca="false">IF(Time!AN20&lt;=$F$8,(Waterfall!AN7+AO11)/(1+AN10),0)</f>
        <v>98.3974743311698</v>
      </c>
      <c r="AO11" s="13" t="n">
        <f aca="false">IF(Time!AO20&lt;=$F$8,(Waterfall!AO7+AP11)/(1+AO10),0)</f>
        <v>48.4109357514018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957.429182470393</v>
      </c>
      <c r="K12" s="13" t="n">
        <f aca="false">IF(Time!K20&lt;=Time!$F$15,(Waterfall!K7+L12)/(1+K10),0)</f>
        <v>983.910557672148</v>
      </c>
      <c r="L12" s="13" t="n">
        <f aca="false">IF(Time!L20&lt;=Time!$F$15,(Waterfall!L7+M12)/(1+L10),0)</f>
        <v>1011.12437684513</v>
      </c>
      <c r="M12" s="13" t="n">
        <f aca="false">IF(Time!M20&lt;=Time!$F$15,(Waterfall!M7+N12)/(1+M10),0)</f>
        <v>1039.09089853584</v>
      </c>
      <c r="N12" s="13" t="n">
        <f aca="false">IF(Time!N20&lt;=Time!$F$15,(Waterfall!N7+O12)/(1+N10),0)</f>
        <v>1067.83094161856</v>
      </c>
      <c r="O12" s="13" t="n">
        <f aca="false">IF(Time!O20&lt;=Time!$F$15,(Waterfall!O7+P12)/(1+O10),0)</f>
        <v>1097.36590079338</v>
      </c>
      <c r="P12" s="13" t="n">
        <f aca="false">IF(Time!P20&lt;=Time!$F$15,(Waterfall!P7+Q12)/(1+P10),0)</f>
        <v>1127.71776251285</v>
      </c>
      <c r="Q12" s="13" t="n">
        <f aca="false">IF(Time!Q20&lt;=Time!$F$15,(Waterfall!Q7+R12)/(1+Q10),0)</f>
        <v>1165.20175568769</v>
      </c>
      <c r="R12" s="13" t="n">
        <f aca="false">IF(Time!R20&lt;=Time!$F$15,(Waterfall!R7+S12)/(1+R10),0)</f>
        <v>1156.10816151589</v>
      </c>
      <c r="S12" s="13" t="n">
        <f aca="false">IF(Time!S20&lt;=Time!$F$15,(Waterfall!S7+T12)/(1+S10),0)</f>
        <v>1146.08175073945</v>
      </c>
      <c r="T12" s="13" t="n">
        <f aca="false">IF(Time!T20&lt;=Time!$F$15,(Waterfall!T7+U12)/(1+T10),0)</f>
        <v>1135.55879021055</v>
      </c>
      <c r="U12" s="13" t="n">
        <f aca="false">IF(Time!U20&lt;=Time!$F$15,(Waterfall!U7+V12)/(1+U10),0)</f>
        <v>1124.52220161455</v>
      </c>
      <c r="V12" s="13" t="n">
        <f aca="false">IF(Time!V20&lt;=Time!$F$15,(Waterfall!V7+W12)/(1+V10),0)</f>
        <v>1113.16649810842</v>
      </c>
      <c r="W12" s="13" t="n">
        <f aca="false">IF(Time!W20&lt;=Time!$F$15,(Waterfall!W7+X12)/(1+W10),0)</f>
        <v>1101.23560737227</v>
      </c>
      <c r="X12" s="13" t="n">
        <f aca="false">IF(Time!X20&lt;=Time!$F$15,(Waterfall!X7+Y12)/(1+X10),0)</f>
        <v>1088.20889639075</v>
      </c>
      <c r="Y12" s="13" t="n">
        <f aca="false">IF(Time!Y20&lt;=Time!$F$15,(Waterfall!Y7+Z12)/(1+Y10),0)</f>
        <v>1074.5768652917</v>
      </c>
      <c r="Z12" s="13" t="n">
        <f aca="false">IF(Time!Z20&lt;=Time!$F$15,(Waterfall!Z7+AA12)/(1+Z10),0)</f>
        <v>1063.77308237518</v>
      </c>
      <c r="AA12" s="13" t="n">
        <f aca="false">IF(Time!AA20&lt;=Time!$F$15,(Waterfall!AA7+AB12)/(1+AA10),0)</f>
        <v>1052.45396413149</v>
      </c>
      <c r="AB12" s="13" t="n">
        <f aca="false">IF(Time!AB20&lt;=Time!$F$15,(Waterfall!AB7+AC12)/(1+AB10),0)</f>
        <v>1040.95584739035</v>
      </c>
      <c r="AC12" s="13" t="n">
        <f aca="false">IF(Time!AC20&lt;=Time!$F$15,(Waterfall!AC7+AD12)/(1+AC10),0)</f>
        <v>1028.66984779281</v>
      </c>
      <c r="AD12" s="13" t="n">
        <f aca="false">IF(Time!AD20&lt;=Time!$F$15,(Waterfall!AD7+AE12)/(1+AD10),0)</f>
        <v>1015.79341552334</v>
      </c>
      <c r="AE12" s="13" t="n">
        <f aca="false">IF(Time!AE20&lt;=Time!$F$15,(Waterfall!AE7+AF12)/(1+AE10),0)</f>
        <v>1001.9529816525</v>
      </c>
      <c r="AF12" s="13" t="n">
        <f aca="false">IF(Time!AF20&lt;=Time!$F$15,(Waterfall!AF7+AG12)/(1+AF10),0)</f>
        <v>985.701736665904</v>
      </c>
      <c r="AG12" s="13" t="n">
        <f aca="false">IF(Time!AG20&lt;=Time!$F$15,(Waterfall!AG7+AH12)/(1+AG10),0)</f>
        <v>968.065911932714</v>
      </c>
      <c r="AH12" s="13" t="n">
        <f aca="false">IF(Time!AH20&lt;=Time!$F$15,(Waterfall!AH7+AI12)/(1+AH10),0)</f>
        <v>950.566675681087</v>
      </c>
      <c r="AI12" s="13" t="n">
        <f aca="false">IF(Time!AI20&lt;=Time!$F$15,(Waterfall!AI7+AJ12)/(1+AI10),0)</f>
        <v>931.419718382676</v>
      </c>
      <c r="AJ12" s="13" t="n">
        <f aca="false">IF(Time!AJ20&lt;=Time!$F$15,(Waterfall!AJ7+AK12)/(1+AJ10),0)</f>
        <v>910.753834251991</v>
      </c>
      <c r="AK12" s="13" t="n">
        <f aca="false">IF(Time!AK20&lt;=Time!$F$15,(Waterfall!AK7+AL12)/(1+AK10),0)</f>
        <v>887.821271472817</v>
      </c>
      <c r="AL12" s="13" t="n">
        <f aca="false">IF(Time!AL20&lt;=Time!$F$15,(Waterfall!AL7+AM12)/(1+AL10),0)</f>
        <v>862.425711698991</v>
      </c>
      <c r="AM12" s="13" t="n">
        <f aca="false">IF(Time!AM20&lt;=Time!$F$15,(Waterfall!AM7+AN12)/(1+AM10),0)</f>
        <v>834.601752118391</v>
      </c>
      <c r="AN12" s="13" t="n">
        <f aca="false">IF(Time!AN20&lt;=Time!$F$15,(Waterfall!AN7+AO12)/(1+AN10),0)</f>
        <v>805.515955193603</v>
      </c>
      <c r="AO12" s="13" t="n">
        <f aca="false">IF(Time!AO20&lt;=Time!$F$15,(Waterfall!AO7+AP12)/(1+AO10),0)</f>
        <v>775.248464612473</v>
      </c>
      <c r="AP12" s="13" t="n">
        <f aca="false">IF(Time!AP20&lt;=Time!$F$15,(Waterfall!AP7+AQ12)/(1+AP10),0)</f>
        <v>746.94100770305</v>
      </c>
      <c r="AQ12" s="13" t="n">
        <f aca="false">IF(Time!AQ20&lt;=Time!$F$15,(Waterfall!AQ7+AR12)/(1+AQ10),0)</f>
        <v>719.85749884219</v>
      </c>
      <c r="AR12" s="13" t="n">
        <f aca="false">IF(Time!AR20&lt;=Time!$F$15,(Waterfall!AR7+AS12)/(1+AR10),0)</f>
        <v>698.509330171908</v>
      </c>
      <c r="AS12" s="13" t="n">
        <f aca="false">IF(Time!AS20&lt;=Time!$F$15,(Waterfall!AS7+AT12)/(1+AS10),0)</f>
        <v>676.507139400095</v>
      </c>
      <c r="AT12" s="13" t="n">
        <f aca="false">IF(Time!AT20&lt;=Time!$F$15,(Waterfall!AT7+AU12)/(1+AT10),0)</f>
        <v>654.448281885267</v>
      </c>
      <c r="AU12" s="13" t="n">
        <f aca="false">IF(Time!AU20&lt;=Time!$F$15,(Waterfall!AU7+AV12)/(1+AU10),0)</f>
        <v>631.283702210885</v>
      </c>
      <c r="AV12" s="13" t="n">
        <f aca="false">IF(Time!AV20&lt;=Time!$F$15,(Waterfall!AV7+AW12)/(1+AV10),0)</f>
        <v>601.347459828116</v>
      </c>
      <c r="AW12" s="13" t="n">
        <f aca="false">IF(Time!AW20&lt;=Time!$F$15,(Waterfall!AW7+AX12)/(1+AW10),0)</f>
        <v>574.253763719027</v>
      </c>
      <c r="AX12" s="13" t="n">
        <f aca="false">IF(Time!AX20&lt;=Time!$F$15,(Waterfall!AX7+AY12)/(1+AX10),0)</f>
        <v>547.354785308783</v>
      </c>
      <c r="AY12" s="13" t="n">
        <f aca="false">IF(Time!AY20&lt;=Time!$F$15,(Waterfall!AY7+AZ12)/(1+AY10),0)</f>
        <v>518.990191120299</v>
      </c>
      <c r="AZ12" s="13" t="n">
        <f aca="false">IF(Time!AZ20&lt;=Time!$F$15,(Waterfall!AZ7+BA12)/(1+AZ10),0)</f>
        <v>490.239087487269</v>
      </c>
      <c r="BA12" s="13" t="n">
        <f aca="false">IF(Time!BA20&lt;=Time!$F$15,(Waterfall!BA7+BB12)/(1+BA10),0)</f>
        <v>460.058504255862</v>
      </c>
      <c r="BB12" s="13" t="n">
        <f aca="false">IF(Time!BB20&lt;=Time!$F$15,(Waterfall!BB7+BC12)/(1+BB10),0)</f>
        <v>429.439405617675</v>
      </c>
      <c r="BC12" s="13" t="n">
        <f aca="false">IF(Time!BC20&lt;=Time!$F$15,(Waterfall!BC7+BD12)/(1+BC10),0)</f>
        <v>397.472325566089</v>
      </c>
      <c r="BD12" s="13" t="n">
        <f aca="false">IF(Time!BD20&lt;=Time!$F$15,(Waterfall!BD7+BE12)/(1+BD10),0)</f>
        <v>363.133701302055</v>
      </c>
      <c r="BE12" s="13" t="n">
        <f aca="false">IF(Time!BE20&lt;=Time!$F$15,(Waterfall!BE7+BF12)/(1+BE10),0)</f>
        <v>329.266938734614</v>
      </c>
      <c r="BF12" s="13" t="n">
        <f aca="false">IF(Time!BF20&lt;=Time!$F$15,(Waterfall!BF7+BG12)/(1+BF10),0)</f>
        <v>302.752604843882</v>
      </c>
      <c r="BG12" s="13" t="n">
        <f aca="false">IF(Time!BG20&lt;=Time!$F$15,(Waterfall!BG7+BH12)/(1+BG10),0)</f>
        <v>274.839916300288</v>
      </c>
      <c r="BH12" s="13" t="n">
        <f aca="false">IF(Time!BH20&lt;=Time!$F$15,(Waterfall!BH7+BI12)/(1+BH10),0)</f>
        <v>246.558519375015</v>
      </c>
      <c r="BI12" s="13" t="n">
        <f aca="false">IF(Time!BI20&lt;=Time!$F$15,(Waterfall!BI7+BJ12)/(1+BI10),0)</f>
        <v>216.834734672372</v>
      </c>
      <c r="BJ12" s="13" t="n">
        <f aca="false">IF(Time!BJ20&lt;=Time!$F$15,(Waterfall!BJ7+BK12)/(1+BJ10),0)</f>
        <v>186.696357811804</v>
      </c>
      <c r="BK12" s="13" t="n">
        <f aca="false">IF(Time!BK20&lt;=Time!$F$15,(Waterfall!BK7+BL12)/(1+BK10),0)</f>
        <v>155.179546324116</v>
      </c>
      <c r="BL12" s="13" t="n">
        <f aca="false">IF(Time!BL20&lt;=Time!$F$15,(Waterfall!BL7+BM12)/(1+BL10),0)</f>
        <v>115.386282073729</v>
      </c>
      <c r="BM12" s="13" t="n">
        <f aca="false">IF(Time!BM20&lt;=Time!$F$15,(Waterfall!BM7+BN12)/(1+BM10),0)</f>
        <v>78.9295447397843</v>
      </c>
      <c r="BN12" s="13" t="n">
        <f aca="false">IF(Time!BN20&lt;=Time!$F$15,(Waterfall!BN7+BO12)/(1+BN10),0)</f>
        <v>41.8480149390568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0</v>
      </c>
      <c r="Q13" s="6" t="n">
        <f aca="false">IF(Debt!Q115&gt;Inputs!$F$253,(Q11+Reserves!Q9)/Debt!Q115,0)</f>
        <v>1.34056816651678</v>
      </c>
      <c r="R13" s="6" t="n">
        <f aca="false">IF(Debt!R115&gt;Inputs!$F$253,(R11+Reserves!R9)/Debt!R115,0)</f>
        <v>1.39446856607603</v>
      </c>
      <c r="S13" s="6" t="n">
        <f aca="false">IF(Debt!S115&gt;Inputs!$F$253,(S11+Reserves!S9)/Debt!S115,0)</f>
        <v>1.39653232673827</v>
      </c>
      <c r="T13" s="6" t="n">
        <f aca="false">IF(Debt!T115&gt;Inputs!$F$253,(T11+Reserves!T9)/Debt!T115,0)</f>
        <v>1.39990166706081</v>
      </c>
      <c r="U13" s="6" t="n">
        <f aca="false">IF(Debt!U115&gt;Inputs!$F$253,(U11+Reserves!U9)/Debt!U115,0)</f>
        <v>1.40237256274485</v>
      </c>
      <c r="V13" s="6" t="n">
        <f aca="false">IF(Debt!V115&gt;Inputs!$F$253,(V11+Reserves!V9)/Debt!V115,0)</f>
        <v>1.40622486059168</v>
      </c>
      <c r="W13" s="6" t="n">
        <f aca="false">IF(Debt!W115&gt;Inputs!$F$253,(W11+Reserves!W9)/Debt!W115,0)</f>
        <v>1.41024547171336</v>
      </c>
      <c r="X13" s="6" t="n">
        <f aca="false">IF(Debt!X115&gt;Inputs!$F$253,(X11+Reserves!X9)/Debt!X115,0)</f>
        <v>1.41523170360151</v>
      </c>
      <c r="Y13" s="6" t="n">
        <f aca="false">IF(Debt!Y115&gt;Inputs!$F$253,(Y11+Reserves!Y9)/Debt!Y115,0)</f>
        <v>1.41593629069322</v>
      </c>
      <c r="Z13" s="6" t="n">
        <f aca="false">IF(Debt!Z115&gt;Inputs!$F$253,(Z11+Reserves!Z9)/Debt!Z115,0)</f>
        <v>1.42154245656422</v>
      </c>
      <c r="AA13" s="6" t="n">
        <f aca="false">IF(Debt!AA115&gt;Inputs!$F$253,(AA11+Reserves!AA9)/Debt!AA115,0)</f>
        <v>1.42586647405034</v>
      </c>
      <c r="AB13" s="6" t="n">
        <f aca="false">IF(Debt!AB115&gt;Inputs!$F$253,(AB11+Reserves!AB9)/Debt!AB115,0)</f>
        <v>1.4528487609838</v>
      </c>
      <c r="AC13" s="6" t="n">
        <f aca="false">IF(Debt!AC115&gt;Inputs!$F$253,(AC11+Reserves!AC9)/Debt!AC115,0)</f>
        <v>1.48319096880284</v>
      </c>
      <c r="AD13" s="6" t="n">
        <f aca="false">IF(Debt!AD115&gt;Inputs!$F$253,(AD11+Reserves!AD9)/Debt!AD115,0)</f>
        <v>1.51847093520687</v>
      </c>
      <c r="AE13" s="6" t="n">
        <f aca="false">IF(Debt!AE115&gt;Inputs!$F$253,(AE11+Reserves!AE9)/Debt!AE115,0)</f>
        <v>1.56075164132459</v>
      </c>
      <c r="AF13" s="6" t="n">
        <f aca="false">IF(Debt!AF115&gt;Inputs!$F$253,(AF11+Reserves!AF9)/Debt!AF115,0)</f>
        <v>1.61279854881622</v>
      </c>
      <c r="AG13" s="6" t="n">
        <f aca="false">IF(Debt!AG115&gt;Inputs!$F$253,(AG11+Reserves!AG9)/Debt!AG115,0)</f>
        <v>1.67744371637396</v>
      </c>
      <c r="AH13" s="6" t="n">
        <f aca="false">IF(Debt!AH115&gt;Inputs!$F$253,(AH11+Reserves!AH9)/Debt!AH115,0)</f>
        <v>1.75888424561944</v>
      </c>
      <c r="AI13" s="6" t="n">
        <f aca="false">IF(Debt!AI115&gt;Inputs!$F$253,(AI11+Reserves!AI9)/Debt!AI115,0)</f>
        <v>1.86829392919888</v>
      </c>
      <c r="AJ13" s="6" t="n">
        <f aca="false">IF(Debt!AJ115&gt;Inputs!$F$253,(AJ11+Reserves!AJ9)/Debt!AJ115,0)</f>
        <v>2.02172117273297</v>
      </c>
      <c r="AK13" s="6" t="n">
        <f aca="false">IF(Debt!AK115&gt;Inputs!$F$253,(AK11+Reserves!AK9)/Debt!AK115,0)</f>
        <v>2.26141766669703</v>
      </c>
      <c r="AL13" s="6" t="n">
        <f aca="false">IF(Debt!AL115&gt;Inputs!$F$253,(AL11+Reserves!AL9)/Debt!AL115,0)</f>
        <v>2.43827449567543</v>
      </c>
      <c r="AM13" s="6" t="n">
        <f aca="false">IF(Debt!AM115&gt;Inputs!$F$253,(AM11+Reserves!AM9)/Debt!AM115,0)</f>
        <v>2.49739021359938</v>
      </c>
      <c r="AN13" s="6" t="n">
        <f aca="false">IF(Debt!AN115&gt;Inputs!$F$253,(AN11+Reserves!AN9)/Debt!AN115,0)</f>
        <v>2.66938196284913</v>
      </c>
      <c r="AO13" s="6" t="n">
        <f aca="false">IF(Debt!AO115&gt;Inputs!$F$253,(AO11+Reserves!AO9)/Debt!AO115,0)</f>
        <v>3.15414880036501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0</v>
      </c>
      <c r="Q14" s="6" t="n">
        <f aca="false">IF(Debt!Q115&gt;Inputs!$F$253,Q11/Debt!Q115,0)</f>
        <v>1.29289065759442</v>
      </c>
      <c r="R14" s="6" t="n">
        <f aca="false">IF(Debt!R115&gt;Inputs!$F$253,R11/Debt!R115,0)</f>
        <v>1.33266642405646</v>
      </c>
      <c r="S14" s="6" t="n">
        <f aca="false">IF(Debt!S115&gt;Inputs!$F$253,S11/Debt!S115,0)</f>
        <v>1.33332056173678</v>
      </c>
      <c r="T14" s="6" t="n">
        <f aca="false">IF(Debt!T115&gt;Inputs!$F$253,T11/Debt!T115,0)</f>
        <v>1.33404087928892</v>
      </c>
      <c r="U14" s="6" t="n">
        <f aca="false">IF(Debt!U115&gt;Inputs!$F$253,U11/Debt!U115,0)</f>
        <v>1.33483519584292</v>
      </c>
      <c r="V14" s="6" t="n">
        <f aca="false">IF(Debt!V115&gt;Inputs!$F$253,V11/Debt!V115,0)</f>
        <v>1.33571333566835</v>
      </c>
      <c r="W14" s="6" t="n">
        <f aca="false">IF(Debt!W115&gt;Inputs!$F$253,W11/Debt!W115,0)</f>
        <v>1.33669296350057</v>
      </c>
      <c r="X14" s="6" t="n">
        <f aca="false">IF(Debt!X115&gt;Inputs!$F$253,X11/Debt!X115,0)</f>
        <v>1.33780346512987</v>
      </c>
      <c r="Y14" s="6" t="n">
        <f aca="false">IF(Debt!Y115&gt;Inputs!$F$253,Y11/Debt!Y115,0)</f>
        <v>1.33905996148836</v>
      </c>
      <c r="Z14" s="6" t="n">
        <f aca="false">IF(Debt!Z115&gt;Inputs!$F$253,Z11/Debt!Z115,0)</f>
        <v>1.34041459748883</v>
      </c>
      <c r="AA14" s="6" t="n">
        <f aca="false">IF(Debt!AA115&gt;Inputs!$F$253,AA11/Debt!AA115,0)</f>
        <v>1.34195849158509</v>
      </c>
      <c r="AB14" s="6" t="n">
        <f aca="false">IF(Debt!AB115&gt;Inputs!$F$253,AB11/Debt!AB115,0)</f>
        <v>1.36232336202402</v>
      </c>
      <c r="AC14" s="6" t="n">
        <f aca="false">IF(Debt!AC115&gt;Inputs!$F$253,AC11/Debt!AC115,0)</f>
        <v>1.38804385523549</v>
      </c>
      <c r="AD14" s="6" t="n">
        <f aca="false">IF(Debt!AD115&gt;Inputs!$F$253,AD11/Debt!AD115,0)</f>
        <v>1.41645737179717</v>
      </c>
      <c r="AE14" s="6" t="n">
        <f aca="false">IF(Debt!AE115&gt;Inputs!$F$253,AE11/Debt!AE115,0)</f>
        <v>1.44879621852359</v>
      </c>
      <c r="AF14" s="6" t="n">
        <f aca="false">IF(Debt!AF115&gt;Inputs!$F$253,AF11/Debt!AF115,0)</f>
        <v>1.48946336349885</v>
      </c>
      <c r="AG14" s="6" t="n">
        <f aca="false">IF(Debt!AG115&gt;Inputs!$F$253,AG11/Debt!AG115,0)</f>
        <v>1.54393864114936</v>
      </c>
      <c r="AH14" s="6" t="n">
        <f aca="false">IF(Debt!AH115&gt;Inputs!$F$253,AH11/Debt!AH115,0)</f>
        <v>1.60903828829586</v>
      </c>
      <c r="AI14" s="6" t="n">
        <f aca="false">IF(Debt!AI115&gt;Inputs!$F$253,AI11/Debt!AI115,0)</f>
        <v>1.69927155181318</v>
      </c>
      <c r="AJ14" s="6" t="n">
        <f aca="false">IF(Debt!AJ115&gt;Inputs!$F$253,AJ11/Debt!AJ115,0)</f>
        <v>1.8232929058154</v>
      </c>
      <c r="AK14" s="6" t="n">
        <f aca="false">IF(Debt!AK115&gt;Inputs!$F$253,AK11/Debt!AK115,0)</f>
        <v>2.02169564939114</v>
      </c>
      <c r="AL14" s="6" t="n">
        <f aca="false">IF(Debt!AL115&gt;Inputs!$F$253,AL11/Debt!AL115,0)</f>
        <v>2.1536345429262</v>
      </c>
      <c r="AM14" s="6" t="n">
        <f aca="false">IF(Debt!AM115&gt;Inputs!$F$253,AM11/Debt!AM115,0)</f>
        <v>2.1442961945305</v>
      </c>
      <c r="AN14" s="6" t="n">
        <f aca="false">IF(Debt!AN115&gt;Inputs!$F$253,AN11/Debt!AN115,0)</f>
        <v>2.13559596373116</v>
      </c>
      <c r="AO14" s="6" t="n">
        <f aca="false">IF(Debt!AO115&gt;Inputs!$F$253,AO11/Debt!AO115,0)</f>
        <v>2.12648996597119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0</v>
      </c>
      <c r="Q15" s="6" t="n">
        <f aca="false">IF(Debt!Q115&gt;Inputs!$F$253,Q12/Debt!Q115,0)</f>
        <v>1.80671965321809</v>
      </c>
      <c r="R15" s="6" t="n">
        <f aca="false">IF(Debt!R115&gt;Inputs!$F$253,R12/Debt!R115,0)</f>
        <v>1.8941124165943</v>
      </c>
      <c r="S15" s="6" t="n">
        <f aca="false">IF(Debt!S115&gt;Inputs!$F$253,S12/Debt!S115,0)</f>
        <v>1.93043998999613</v>
      </c>
      <c r="T15" s="6" t="n">
        <f aca="false">IF(Debt!T115&gt;Inputs!$F$253,T12/Debt!T115,0)</f>
        <v>1.97003643938599</v>
      </c>
      <c r="U15" s="6" t="n">
        <f aca="false">IF(Debt!U115&gt;Inputs!$F$253,U12/Debt!U115,0)</f>
        <v>2.0140745587662</v>
      </c>
      <c r="V15" s="6" t="n">
        <f aca="false">IF(Debt!V115&gt;Inputs!$F$253,V12/Debt!V115,0)</f>
        <v>2.06240679014047</v>
      </c>
      <c r="W15" s="6" t="n">
        <f aca="false">IF(Debt!W115&gt;Inputs!$F$253,W12/Debt!W115,0)</f>
        <v>2.11654136229285</v>
      </c>
      <c r="X15" s="6" t="n">
        <f aca="false">IF(Debt!X115&gt;Inputs!$F$253,X12/Debt!X115,0)</f>
        <v>2.17736644799773</v>
      </c>
      <c r="Y15" s="6" t="n">
        <f aca="false">IF(Debt!Y115&gt;Inputs!$F$253,Y12/Debt!Y115,0)</f>
        <v>2.24654503566885</v>
      </c>
      <c r="Z15" s="6" t="n">
        <f aca="false">IF(Debt!Z115&gt;Inputs!$F$253,Z12/Debt!Z115,0)</f>
        <v>2.32069846902328</v>
      </c>
      <c r="AA15" s="6" t="n">
        <f aca="false">IF(Debt!AA115&gt;Inputs!$F$253,AA12/Debt!AA115,0)</f>
        <v>2.40556562331044</v>
      </c>
      <c r="AB15" s="6" t="n">
        <f aca="false">IF(Debt!AB115&gt;Inputs!$F$253,AB12/Debt!AB115,0)</f>
        <v>2.53578184758779</v>
      </c>
      <c r="AC15" s="6" t="n">
        <f aca="false">IF(Debt!AC115&gt;Inputs!$F$253,AC12/Debt!AC115,0)</f>
        <v>2.69451929961153</v>
      </c>
      <c r="AD15" s="6" t="n">
        <f aca="false">IF(Debt!AD115&gt;Inputs!$F$253,AD12/Debt!AD115,0)</f>
        <v>2.8798593806872</v>
      </c>
      <c r="AE15" s="6" t="n">
        <f aca="false">IF(Debt!AE115&gt;Inputs!$F$253,AE12/Debt!AE115,0)</f>
        <v>3.10333060360596</v>
      </c>
      <c r="AF15" s="6" t="n">
        <f aca="false">IF(Debt!AF115&gt;Inputs!$F$253,AF12/Debt!AF115,0)</f>
        <v>3.38892326322612</v>
      </c>
      <c r="AG15" s="6" t="n">
        <f aca="false">IF(Debt!AG115&gt;Inputs!$F$253,AG12/Debt!AG115,0)</f>
        <v>3.76780911395083</v>
      </c>
      <c r="AH15" s="6" t="n">
        <f aca="false">IF(Debt!AH115&gt;Inputs!$F$253,AH12/Debt!AH115,0)</f>
        <v>4.25271965245565</v>
      </c>
      <c r="AI15" s="6" t="n">
        <f aca="false">IF(Debt!AI115&gt;Inputs!$F$253,AI12/Debt!AI115,0)</f>
        <v>4.93812986629955</v>
      </c>
      <c r="AJ15" s="6" t="n">
        <f aca="false">IF(Debt!AJ115&gt;Inputs!$F$253,AJ12/Debt!AJ115,0)</f>
        <v>5.93117877336268</v>
      </c>
      <c r="AK15" s="6" t="n">
        <f aca="false">IF(Debt!AK115&gt;Inputs!$F$253,AK12/Debt!AK115,0)</f>
        <v>7.56724729585023</v>
      </c>
      <c r="AL15" s="6" t="n">
        <f aca="false">IF(Debt!AL115&gt;Inputs!$F$253,AL12/Debt!AL115,0)</f>
        <v>9.63030039667969</v>
      </c>
      <c r="AM15" s="6" t="n">
        <f aca="false">IF(Debt!AM115&gt;Inputs!$F$253,AM12/Debt!AM115,0)</f>
        <v>12.2179941814004</v>
      </c>
      <c r="AN15" s="6" t="n">
        <f aca="false">IF(Debt!AN115&gt;Inputs!$F$253,AN12/Debt!AN115,0)</f>
        <v>17.4827314860009</v>
      </c>
      <c r="AO15" s="6" t="n">
        <f aca="false">IF(Debt!AO115&gt;Inputs!$F$253,AO12/Debt!AO115,0)</f>
        <v>34.0534231686537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1.28294212849606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1.50416416179692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1.34056816651678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1.80671965321809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1170.14159512414</v>
      </c>
      <c r="J8" s="13" t="n">
        <f aca="false">-Inputs!$F$68</f>
        <v>-14.2</v>
      </c>
      <c r="K8" s="13" t="n">
        <f aca="false">-Funding!J68</f>
        <v>-17.3183731856882</v>
      </c>
      <c r="L8" s="13" t="n">
        <f aca="false">-Funding!K68</f>
        <v>-0.641913488468208</v>
      </c>
      <c r="M8" s="13" t="n">
        <f aca="false">-Funding!L68</f>
        <v>-0.767529700693251</v>
      </c>
      <c r="N8" s="13" t="n">
        <f aca="false">-Funding!M68</f>
        <v>-0.977205989518163</v>
      </c>
      <c r="O8" s="13" t="n">
        <f aca="false">-Funding!N68</f>
        <v>-1.28296357771942</v>
      </c>
      <c r="P8" s="13" t="n">
        <f aca="false">-Funding!O68</f>
        <v>-1.64729668409608</v>
      </c>
      <c r="Q8" s="13" t="n">
        <f aca="false">-Funding!P68</f>
        <v>-2.03737503079346</v>
      </c>
      <c r="R8" s="13" t="n">
        <f aca="false">-Funding!Q68</f>
        <v>-2.508495024138</v>
      </c>
      <c r="S8" s="13" t="n">
        <f aca="false">-Funding!R68</f>
        <v>-2.97106123200635</v>
      </c>
      <c r="T8" s="13" t="n">
        <f aca="false">-Funding!S68</f>
        <v>-3.45902601726297</v>
      </c>
      <c r="U8" s="13" t="n">
        <f aca="false">-Funding!T68</f>
        <v>-3.92442222574439</v>
      </c>
      <c r="V8" s="13" t="n">
        <f aca="false">-Funding!U68</f>
        <v>-4.39440500434006</v>
      </c>
      <c r="W8" s="13" t="n">
        <f aca="false">-Funding!V68</f>
        <v>-4.83979279909622</v>
      </c>
      <c r="X8" s="13" t="n">
        <f aca="false">-Funding!W68</f>
        <v>-5.24664983723823</v>
      </c>
      <c r="Y8" s="13" t="n">
        <f aca="false">-Funding!X68</f>
        <v>-5.63351069013529</v>
      </c>
      <c r="Z8" s="13" t="n">
        <f aca="false">-Funding!Y68</f>
        <v>-5.95865170169448</v>
      </c>
      <c r="AA8" s="13" t="n">
        <f aca="false">-Funding!Z68</f>
        <v>-6.25310258990464</v>
      </c>
      <c r="AB8" s="13" t="n">
        <f aca="false">-Funding!AA68</f>
        <v>-6.78362234573566</v>
      </c>
      <c r="AC8" s="13" t="n">
        <f aca="false">-Funding!AB68</f>
        <v>-6.63420598474896</v>
      </c>
      <c r="AD8" s="13" t="n">
        <f aca="false">-Funding!AC68</f>
        <v>-6.76876636582412</v>
      </c>
      <c r="AE8" s="13" t="n">
        <f aca="false">-Funding!AD68</f>
        <v>-6.90060042830928</v>
      </c>
      <c r="AF8" s="13" t="n">
        <f aca="false">-Funding!AE68</f>
        <v>-6.90260780236822</v>
      </c>
      <c r="AG8" s="13" t="n">
        <f aca="false">-Funding!AF68</f>
        <v>-6.81925011465598</v>
      </c>
      <c r="AH8" s="13" t="n">
        <f aca="false">-Funding!AG68</f>
        <v>-6.69426093521161</v>
      </c>
      <c r="AI8" s="13" t="n">
        <f aca="false">-Funding!AH68</f>
        <v>-6.50279385707434</v>
      </c>
      <c r="AJ8" s="13" t="n">
        <f aca="false">-Funding!AI68</f>
        <v>-6.24293275926461</v>
      </c>
      <c r="AK8" s="13" t="n">
        <f aca="false">-Funding!AJ68</f>
        <v>-6.37522433276212</v>
      </c>
      <c r="AL8" s="13" t="n">
        <f aca="false">-Funding!AK68</f>
        <v>-6.01926469323979</v>
      </c>
      <c r="AM8" s="13" t="n">
        <f aca="false">-Funding!AL68</f>
        <v>-5.65204549530446</v>
      </c>
      <c r="AN8" s="13" t="n">
        <f aca="false">-Funding!AM68</f>
        <v>-5.37884940235157</v>
      </c>
      <c r="AO8" s="13" t="n">
        <f aca="false">-Funding!AN68</f>
        <v>-4.89869507605695</v>
      </c>
      <c r="AP8" s="13" t="n">
        <f aca="false">-Funding!AO68</f>
        <v>-4.49345594115906</v>
      </c>
      <c r="AQ8" s="13" t="n">
        <f aca="false">-Funding!AP68</f>
        <v>-3.51743633007562</v>
      </c>
      <c r="AR8" s="13" t="n">
        <f aca="false">-Funding!AQ68</f>
        <v>-5.04114003928815</v>
      </c>
      <c r="AS8" s="13" t="n">
        <f aca="false">-Funding!AR68</f>
        <v>-4.2387496155342</v>
      </c>
      <c r="AT8" s="13" t="n">
        <f aca="false">-Funding!AS68</f>
        <v>-3.67116219583314</v>
      </c>
      <c r="AU8" s="13" t="n">
        <f aca="false">-Funding!AT68</f>
        <v>-3.0610242976768</v>
      </c>
      <c r="AV8" s="13" t="n">
        <f aca="false">-Funding!AU68</f>
        <v>-3.46359585131403</v>
      </c>
      <c r="AW8" s="13" t="n">
        <f aca="false">-Funding!AV68</f>
        <v>-2.75797805164274</v>
      </c>
      <c r="AX8" s="13" t="n">
        <f aca="false">-Funding!AW68</f>
        <v>-17.2505652486455</v>
      </c>
      <c r="AY8" s="13" t="n">
        <f aca="false">-Funding!AX68</f>
        <v>-5.59400932501164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0</v>
      </c>
      <c r="BS8" s="18" t="n">
        <f aca="false">Waterfall!Q44</f>
        <v>3.80037142827399</v>
      </c>
      <c r="BT8" s="18" t="n">
        <f aca="false">Waterfall!R44</f>
        <v>12.3545111413181</v>
      </c>
      <c r="BU8" s="18" t="n">
        <f aca="false">Waterfall!S44</f>
        <v>11.6587043083266</v>
      </c>
      <c r="BV8" s="18" t="n">
        <f aca="false">Waterfall!T44</f>
        <v>12.4926362286718</v>
      </c>
      <c r="BW8" s="18" t="n">
        <f aca="false">Waterfall!U44</f>
        <v>11.8023633283128</v>
      </c>
      <c r="BX8" s="18" t="n">
        <f aca="false">Waterfall!V44</f>
        <v>12.05553145027</v>
      </c>
      <c r="BY8" s="18" t="n">
        <f aca="false">Waterfall!W44</f>
        <v>11.902096712719</v>
      </c>
      <c r="BZ8" s="18" t="n">
        <f aca="false">Waterfall!X44</f>
        <v>14.396496123629</v>
      </c>
      <c r="CA8" s="18" t="n">
        <f aca="false">Waterfall!Y44</f>
        <v>11.4309287147017</v>
      </c>
      <c r="CB8" s="18" t="n">
        <f aca="false">Waterfall!Z44</f>
        <v>12.4611770648394</v>
      </c>
      <c r="CC8" s="18" t="n">
        <f aca="false">Waterfall!AA44</f>
        <v>5.68751893640502</v>
      </c>
      <c r="CD8" s="18" t="n">
        <f aca="false">Waterfall!AB44</f>
        <v>6.69785636438926</v>
      </c>
      <c r="CE8" s="18" t="n">
        <f aca="false">Waterfall!AC44</f>
        <v>6.75936991336065</v>
      </c>
      <c r="CF8" s="18" t="n">
        <f aca="false">Waterfall!AD44</f>
        <v>6.95662117557544</v>
      </c>
      <c r="CG8" s="18" t="n">
        <f aca="false">Waterfall!AE44</f>
        <v>7.76839516540654</v>
      </c>
      <c r="CH8" s="18" t="n">
        <f aca="false">Waterfall!AF44</f>
        <v>9.05368578349636</v>
      </c>
      <c r="CI8" s="18" t="n">
        <f aca="false">Waterfall!AG44</f>
        <v>9.20841632333767</v>
      </c>
      <c r="CJ8" s="18" t="n">
        <f aca="false">Waterfall!AH44</f>
        <v>10.4554122079019</v>
      </c>
      <c r="CK8" s="18" t="n">
        <f aca="false">Waterfall!AI44</f>
        <v>11.1776260117282</v>
      </c>
      <c r="CL8" s="18" t="n">
        <f aca="false">Waterfall!AJ44</f>
        <v>12.8717830914757</v>
      </c>
      <c r="CM8" s="18" t="n">
        <f aca="false">Waterfall!AK44</f>
        <v>22.6806904601206</v>
      </c>
      <c r="CN8" s="18" t="n">
        <f aca="false">Waterfall!AL44</f>
        <v>29.3814368694861</v>
      </c>
      <c r="CO8" s="18" t="n">
        <f aca="false">Waterfall!AM44</f>
        <v>27.5262236074901</v>
      </c>
      <c r="CP8" s="18" t="n">
        <f aca="false">Waterfall!AN44</f>
        <v>29.3351722312096</v>
      </c>
      <c r="CQ8" s="18" t="n">
        <f aca="false">Waterfall!AO44</f>
        <v>49.7499258061995</v>
      </c>
      <c r="CR8" s="18" t="n">
        <f aca="false">Waterfall!AP44</f>
        <v>47.7430264948692</v>
      </c>
      <c r="CS8" s="18" t="n">
        <f aca="false">Waterfall!AQ44</f>
        <v>41.2585880179046</v>
      </c>
      <c r="CT8" s="18" t="n">
        <f aca="false">Waterfall!AR44</f>
        <v>41.3221446575737</v>
      </c>
      <c r="CU8" s="18" t="n">
        <f aca="false">Waterfall!AS44</f>
        <v>40.7702564497292</v>
      </c>
      <c r="CV8" s="18" t="n">
        <f aca="false">Waterfall!AT44</f>
        <v>41.2658563223646</v>
      </c>
      <c r="CW8" s="18" t="n">
        <f aca="false">Waterfall!AU44</f>
        <v>47.3968137577346</v>
      </c>
      <c r="CX8" s="18" t="n">
        <f aca="false">Waterfall!AV44</f>
        <v>43.7262659136173</v>
      </c>
      <c r="CY8" s="18" t="n">
        <f aca="false">Waterfall!AW44</f>
        <v>42.7821681609747</v>
      </c>
      <c r="CZ8" s="18" t="n">
        <f aca="false">Waterfall!AX44</f>
        <v>43.5037895500025</v>
      </c>
      <c r="DA8" s="18" t="n">
        <f aca="false">Waterfall!AY44</f>
        <v>43.1057673812405</v>
      </c>
      <c r="DB8" s="18" t="n">
        <f aca="false">Waterfall!AZ44</f>
        <v>43.7400249655937</v>
      </c>
      <c r="DC8" s="18" t="n">
        <f aca="false">Waterfall!BA44</f>
        <v>43.3437806188668</v>
      </c>
      <c r="DD8" s="18" t="n">
        <f aca="false">Waterfall!BB44</f>
        <v>43.5918156531755</v>
      </c>
      <c r="DE8" s="18" t="n">
        <f aca="false">Waterfall!BC44</f>
        <v>43.7972877379491</v>
      </c>
      <c r="DF8" s="18" t="n">
        <f aca="false">Waterfall!BD44</f>
        <v>42.3588670414845</v>
      </c>
      <c r="DG8" s="18" t="n">
        <f aca="false">Waterfall!BE44</f>
        <v>34.052746794898</v>
      </c>
      <c r="DH8" s="18" t="n">
        <f aca="false">Waterfall!BF44</f>
        <v>34.7005837606556</v>
      </c>
      <c r="DI8" s="18" t="n">
        <f aca="false">Waterfall!BG44</f>
        <v>34.2799098392156</v>
      </c>
      <c r="DJ8" s="18" t="n">
        <f aca="false">Waterfall!BH44</f>
        <v>34.9225274590717</v>
      </c>
      <c r="DK8" s="18" t="n">
        <f aca="false">Waterfall!BI44</f>
        <v>34.4972628079324</v>
      </c>
      <c r="DL8" s="18" t="n">
        <f aca="false">Waterfall!BJ44</f>
        <v>35.0241795039986</v>
      </c>
      <c r="DM8" s="18" t="n">
        <f aca="false">Waterfall!BK44</f>
        <v>42.4107923321734</v>
      </c>
      <c r="DN8" s="18" t="n">
        <f aca="false">Waterfall!BL44</f>
        <v>37.9553101910247</v>
      </c>
      <c r="DO8" s="18" t="n">
        <f aca="false">Waterfall!BM44</f>
        <v>37.5532314557561</v>
      </c>
      <c r="DP8" s="18" t="n">
        <f aca="false">Waterfall!BN44</f>
        <v>61.0976590753166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1544.98271113369</v>
      </c>
      <c r="J9" s="13" t="n">
        <f aca="false">0</f>
        <v>0</v>
      </c>
      <c r="K9" s="13" t="n">
        <f aca="false">-Construction!J32</f>
        <v>-108.013824201974</v>
      </c>
      <c r="L9" s="13" t="n">
        <f aca="false">-Construction!K32</f>
        <v>-1.39712593852848</v>
      </c>
      <c r="M9" s="13" t="n">
        <f aca="false">-Construction!L32</f>
        <v>-1.83356235218097</v>
      </c>
      <c r="N9" s="13" t="n">
        <f aca="false">-Construction!M32</f>
        <v>-2.63929650502864</v>
      </c>
      <c r="O9" s="13" t="n">
        <f aca="false">-Construction!N32</f>
        <v>-3.74788136043555</v>
      </c>
      <c r="P9" s="13" t="n">
        <f aca="false">-Construction!O32</f>
        <v>-5.09350242976283</v>
      </c>
      <c r="Q9" s="13" t="n">
        <f aca="false">-Construction!P32</f>
        <v>-6.62309117771409</v>
      </c>
      <c r="R9" s="13" t="n">
        <f aca="false">-Construction!Q32</f>
        <v>-8.27900450036828</v>
      </c>
      <c r="S9" s="13" t="n">
        <f aca="false">-Construction!R32</f>
        <v>-10.0116538622137</v>
      </c>
      <c r="T9" s="13" t="n">
        <f aca="false">-Construction!S32</f>
        <v>-11.7734691813188</v>
      </c>
      <c r="U9" s="13" t="n">
        <f aca="false">-Construction!T32</f>
        <v>-13.5225169630406</v>
      </c>
      <c r="V9" s="13" t="n">
        <f aca="false">-Construction!U32</f>
        <v>-15.2099501027101</v>
      </c>
      <c r="W9" s="13" t="n">
        <f aca="false">-Construction!V32</f>
        <v>-16.8184079752718</v>
      </c>
      <c r="X9" s="13" t="n">
        <f aca="false">-Construction!W32</f>
        <v>-18.308073514368</v>
      </c>
      <c r="Y9" s="13" t="n">
        <f aca="false">-Construction!X32</f>
        <v>-19.651367322778</v>
      </c>
      <c r="Z9" s="13" t="n">
        <f aca="false">-Construction!Y32</f>
        <v>-20.824808601896</v>
      </c>
      <c r="AA9" s="13" t="n">
        <f aca="false">-Construction!Z32</f>
        <v>-21.8087203404048</v>
      </c>
      <c r="AB9" s="13" t="n">
        <f aca="false">-Construction!AA32</f>
        <v>-23.7123587042018</v>
      </c>
      <c r="AC9" s="13" t="n">
        <f aca="false">-Construction!AB32</f>
        <v>-23.1290298363613</v>
      </c>
      <c r="AD9" s="13" t="n">
        <f aca="false">-Construction!AC32</f>
        <v>-23.4609170485476</v>
      </c>
      <c r="AE9" s="13" t="n">
        <f aca="false">-Construction!AD32</f>
        <v>-23.9018279079575</v>
      </c>
      <c r="AF9" s="13" t="n">
        <f aca="false">-Construction!AE32</f>
        <v>-23.7701161923761</v>
      </c>
      <c r="AG9" s="13" t="n">
        <f aca="false">-Construction!AF32</f>
        <v>-23.4059672380132</v>
      </c>
      <c r="AH9" s="13" t="n">
        <f aca="false">-Construction!AG32</f>
        <v>-22.8011117276903</v>
      </c>
      <c r="AI9" s="13" t="n">
        <f aca="false">-Construction!AH32</f>
        <v>-21.9972388438335</v>
      </c>
      <c r="AJ9" s="13" t="n">
        <f aca="false">-Construction!AI32</f>
        <v>-20.9915287499807</v>
      </c>
      <c r="AK9" s="13" t="n">
        <f aca="false">-Construction!AJ32</f>
        <v>-21.3679677740552</v>
      </c>
      <c r="AL9" s="13" t="n">
        <f aca="false">-Construction!AK32</f>
        <v>-20.0134243396009</v>
      </c>
      <c r="AM9" s="13" t="n">
        <f aca="false">-Construction!AL32</f>
        <v>-18.518571062632</v>
      </c>
      <c r="AN9" s="13" t="n">
        <f aca="false">-Construction!AM32</f>
        <v>-17.443296495692</v>
      </c>
      <c r="AO9" s="13" t="n">
        <f aca="false">-Construction!AN32</f>
        <v>-15.75746629617</v>
      </c>
      <c r="AP9" s="13" t="n">
        <f aca="false">-Construction!AO32</f>
        <v>-14.0243063836852</v>
      </c>
      <c r="AQ9" s="13" t="n">
        <f aca="false">-Construction!AP32</f>
        <v>-10.3746752952529</v>
      </c>
      <c r="AR9" s="13" t="n">
        <f aca="false">-Construction!AQ32</f>
        <v>-15.9552292324514</v>
      </c>
      <c r="AS9" s="13" t="n">
        <f aca="false">-Construction!AR32</f>
        <v>-12.9086311397654</v>
      </c>
      <c r="AT9" s="13" t="n">
        <f aca="false">-Construction!AS32</f>
        <v>-11.8629441805435</v>
      </c>
      <c r="AU9" s="13" t="n">
        <f aca="false">-Construction!AT32</f>
        <v>-9.54673714160624</v>
      </c>
      <c r="AV9" s="13" t="n">
        <f aca="false">-Construction!AU32</f>
        <v>-11.1076353608013</v>
      </c>
      <c r="AW9" s="13" t="n">
        <f aca="false">-Construction!AV32</f>
        <v>-8.37023255792853</v>
      </c>
      <c r="AX9" s="13" t="n">
        <f aca="false">-Construction!AW32</f>
        <v>-62.936725320143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0</v>
      </c>
      <c r="BR9" s="18" t="n">
        <f aca="false">Waterfall!P7</f>
        <v>-6.29263433853431</v>
      </c>
      <c r="BS9" s="18" t="n">
        <f aca="false">Waterfall!Q7</f>
        <v>48.8524843383707</v>
      </c>
      <c r="BT9" s="18" t="n">
        <f aca="false">Waterfall!R7</f>
        <v>49.8826656945088</v>
      </c>
      <c r="BU9" s="18" t="n">
        <f aca="false">Waterfall!S7</f>
        <v>49.6218581816983</v>
      </c>
      <c r="BV9" s="18" t="n">
        <f aca="false">Waterfall!T7</f>
        <v>50.2009068531375</v>
      </c>
      <c r="BW9" s="18" t="n">
        <f aca="false">Waterfall!U7</f>
        <v>49.8603583128226</v>
      </c>
      <c r="BX9" s="18" t="n">
        <f aca="false">Waterfall!V7</f>
        <v>50.3248714681387</v>
      </c>
      <c r="BY9" s="18" t="n">
        <f aca="false">Waterfall!W7</f>
        <v>50.5993486218694</v>
      </c>
      <c r="BZ9" s="18" t="n">
        <f aca="false">Waterfall!X7</f>
        <v>51.1683050749246</v>
      </c>
      <c r="CA9" s="18" t="n">
        <f aca="false">Waterfall!Y7</f>
        <v>48.6187124216684</v>
      </c>
      <c r="CB9" s="18" t="n">
        <f aca="false">Waterfall!Z7</f>
        <v>49.1715822652207</v>
      </c>
      <c r="CC9" s="18" t="n">
        <f aca="false">Waterfall!AA7</f>
        <v>48.5363352747012</v>
      </c>
      <c r="CD9" s="18" t="n">
        <f aca="false">Waterfall!AB7</f>
        <v>49.1349728342719</v>
      </c>
      <c r="CE9" s="18" t="n">
        <f aca="false">Waterfall!AC7</f>
        <v>48.7853641113142</v>
      </c>
      <c r="CF9" s="18" t="n">
        <f aca="false">Waterfall!AD7</f>
        <v>49.2890827641981</v>
      </c>
      <c r="CG9" s="18" t="n">
        <f aca="false">Waterfall!AE7</f>
        <v>50.5521276735003</v>
      </c>
      <c r="CH9" s="18" t="n">
        <f aca="false">Waterfall!AF7</f>
        <v>51.3634301840619</v>
      </c>
      <c r="CI9" s="18" t="n">
        <f aca="false">Waterfall!AG7</f>
        <v>50.5952944106049</v>
      </c>
      <c r="CJ9" s="18" t="n">
        <f aca="false">Waterfall!AH7</f>
        <v>51.306437415909</v>
      </c>
      <c r="CK9" s="18" t="n">
        <f aca="false">Waterfall!AI7</f>
        <v>50.9667680634296</v>
      </c>
      <c r="CL9" s="18" t="n">
        <f aca="false">Waterfall!AJ7</f>
        <v>51.5883831639225</v>
      </c>
      <c r="CM9" s="18" t="n">
        <f aca="false">Waterfall!AK7</f>
        <v>51.2309092052535</v>
      </c>
      <c r="CN9" s="18" t="n">
        <f aca="false">Waterfall!AL7</f>
        <v>51.737876305492</v>
      </c>
      <c r="CO9" s="18" t="n">
        <f aca="false">Waterfall!AM7</f>
        <v>52.1203860982191</v>
      </c>
      <c r="CP9" s="18" t="n">
        <f aca="false">Waterfall!AN7</f>
        <v>52.7304981449523</v>
      </c>
      <c r="CQ9" s="18" t="n">
        <f aca="false">Waterfall!AO7</f>
        <v>49.7499258061995</v>
      </c>
      <c r="CR9" s="18" t="n">
        <f aca="false">Waterfall!AP7</f>
        <v>47.7430264948692</v>
      </c>
      <c r="CS9" s="18" t="n">
        <f aca="false">Waterfall!AQ7</f>
        <v>41.2585880179046</v>
      </c>
      <c r="CT9" s="18" t="n">
        <f aca="false">Waterfall!AR7</f>
        <v>41.3221446575737</v>
      </c>
      <c r="CU9" s="18" t="n">
        <f aca="false">Waterfall!AS7</f>
        <v>40.7702564497292</v>
      </c>
      <c r="CV9" s="18" t="n">
        <f aca="false">Waterfall!AT7</f>
        <v>41.2658563223646</v>
      </c>
      <c r="CW9" s="18" t="n">
        <f aca="false">Waterfall!AU7</f>
        <v>47.3968137577346</v>
      </c>
      <c r="CX9" s="18" t="n">
        <f aca="false">Waterfall!AV7</f>
        <v>43.7262659136173</v>
      </c>
      <c r="CY9" s="18" t="n">
        <f aca="false">Waterfall!AW7</f>
        <v>42.7821681609747</v>
      </c>
      <c r="CZ9" s="18" t="n">
        <f aca="false">Waterfall!AX7</f>
        <v>43.5037895500025</v>
      </c>
      <c r="DA9" s="18" t="n">
        <f aca="false">Waterfall!AY7</f>
        <v>43.1057673812405</v>
      </c>
      <c r="DB9" s="18" t="n">
        <f aca="false">Waterfall!AZ7</f>
        <v>43.7400249655937</v>
      </c>
      <c r="DC9" s="18" t="n">
        <f aca="false">Waterfall!BA7</f>
        <v>43.3437806188668</v>
      </c>
      <c r="DD9" s="18" t="n">
        <f aca="false">Waterfall!BB7</f>
        <v>43.8448734537438</v>
      </c>
      <c r="DE9" s="18" t="n">
        <f aca="false">Waterfall!BC7</f>
        <v>45.332245492991</v>
      </c>
      <c r="DF9" s="18" t="n">
        <f aca="false">Waterfall!BD7</f>
        <v>43.910617474569</v>
      </c>
      <c r="DG9" s="18" t="n">
        <f aca="false">Waterfall!BE7</f>
        <v>35.6214736205507</v>
      </c>
      <c r="DH9" s="18" t="n">
        <f aca="false">Waterfall!BF7</f>
        <v>36.2864727032679</v>
      </c>
      <c r="DI9" s="18" t="n">
        <f aca="false">Waterfall!BG7</f>
        <v>35.8831486550327</v>
      </c>
      <c r="DJ9" s="18" t="n">
        <f aca="false">Waterfall!BH7</f>
        <v>36.5433059584216</v>
      </c>
      <c r="DK9" s="18" t="n">
        <f aca="false">Waterfall!BI7</f>
        <v>36.1357728776975</v>
      </c>
      <c r="DL9" s="18" t="n">
        <f aca="false">Waterfall!BJ7</f>
        <v>36.6806151303341</v>
      </c>
      <c r="DM9" s="18" t="n">
        <f aca="false">Waterfall!BK7</f>
        <v>44.0853496234734</v>
      </c>
      <c r="DN9" s="18" t="n">
        <f aca="false">Waterfall!BL7</f>
        <v>39.6481874011396</v>
      </c>
      <c r="DO9" s="18" t="n">
        <f aca="false">Waterfall!BM7</f>
        <v>39.2646290074646</v>
      </c>
      <c r="DP9" s="18" t="n">
        <f aca="false">Waterfall!BN7</f>
        <v>43.0054822539661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1841.60411256365</v>
      </c>
      <c r="J10" s="13" t="n">
        <f aca="false">0</f>
        <v>0</v>
      </c>
      <c r="K10" s="13" t="n">
        <f aca="false">-Construction!J32</f>
        <v>-108.013824201974</v>
      </c>
      <c r="L10" s="13" t="n">
        <f aca="false">-Construction!K32</f>
        <v>-1.39712593852848</v>
      </c>
      <c r="M10" s="13" t="n">
        <f aca="false">-Construction!L32</f>
        <v>-1.83356235218097</v>
      </c>
      <c r="N10" s="13" t="n">
        <f aca="false">-Construction!M32</f>
        <v>-2.63929650502864</v>
      </c>
      <c r="O10" s="13" t="n">
        <f aca="false">-Construction!N32</f>
        <v>-3.74788136043555</v>
      </c>
      <c r="P10" s="13" t="n">
        <f aca="false">-Construction!O32</f>
        <v>-5.09350242976283</v>
      </c>
      <c r="Q10" s="13" t="n">
        <f aca="false">-Construction!P32</f>
        <v>-6.62309117771409</v>
      </c>
      <c r="R10" s="13" t="n">
        <f aca="false">-Construction!Q32</f>
        <v>-8.27900450036828</v>
      </c>
      <c r="S10" s="13" t="n">
        <f aca="false">-Construction!R32</f>
        <v>-10.0116538622137</v>
      </c>
      <c r="T10" s="13" t="n">
        <f aca="false">-Construction!S32</f>
        <v>-11.7734691813188</v>
      </c>
      <c r="U10" s="13" t="n">
        <f aca="false">-Construction!T32</f>
        <v>-13.5225169630406</v>
      </c>
      <c r="V10" s="13" t="n">
        <f aca="false">-Construction!U32</f>
        <v>-15.2099501027101</v>
      </c>
      <c r="W10" s="13" t="n">
        <f aca="false">-Construction!V32</f>
        <v>-16.8184079752718</v>
      </c>
      <c r="X10" s="13" t="n">
        <f aca="false">-Construction!W32</f>
        <v>-18.308073514368</v>
      </c>
      <c r="Y10" s="13" t="n">
        <f aca="false">-Construction!X32</f>
        <v>-19.651367322778</v>
      </c>
      <c r="Z10" s="13" t="n">
        <f aca="false">-Construction!Y32</f>
        <v>-20.824808601896</v>
      </c>
      <c r="AA10" s="13" t="n">
        <f aca="false">-Construction!Z32</f>
        <v>-21.8087203404048</v>
      </c>
      <c r="AB10" s="13" t="n">
        <f aca="false">-Construction!AA32</f>
        <v>-23.7123587042018</v>
      </c>
      <c r="AC10" s="13" t="n">
        <f aca="false">-Construction!AB32</f>
        <v>-23.1290298363613</v>
      </c>
      <c r="AD10" s="13" t="n">
        <f aca="false">-Construction!AC32</f>
        <v>-23.4609170485476</v>
      </c>
      <c r="AE10" s="13" t="n">
        <f aca="false">-Construction!AD32</f>
        <v>-23.9018279079575</v>
      </c>
      <c r="AF10" s="13" t="n">
        <f aca="false">-Construction!AE32</f>
        <v>-23.7701161923761</v>
      </c>
      <c r="AG10" s="13" t="n">
        <f aca="false">-Construction!AF32</f>
        <v>-23.4059672380132</v>
      </c>
      <c r="AH10" s="13" t="n">
        <f aca="false">-Construction!AG32</f>
        <v>-22.8011117276903</v>
      </c>
      <c r="AI10" s="13" t="n">
        <f aca="false">-Construction!AH32</f>
        <v>-21.9972388438335</v>
      </c>
      <c r="AJ10" s="13" t="n">
        <f aca="false">-Construction!AI32</f>
        <v>-20.9915287499807</v>
      </c>
      <c r="AK10" s="13" t="n">
        <f aca="false">-Construction!AJ32</f>
        <v>-21.3679677740552</v>
      </c>
      <c r="AL10" s="13" t="n">
        <f aca="false">-Construction!AK32</f>
        <v>-20.0134243396009</v>
      </c>
      <c r="AM10" s="13" t="n">
        <f aca="false">-Construction!AL32</f>
        <v>-18.518571062632</v>
      </c>
      <c r="AN10" s="13" t="n">
        <f aca="false">-Construction!AM32</f>
        <v>-17.443296495692</v>
      </c>
      <c r="AO10" s="13" t="n">
        <f aca="false">-Construction!AN32</f>
        <v>-15.75746629617</v>
      </c>
      <c r="AP10" s="13" t="n">
        <f aca="false">-Construction!AO32</f>
        <v>-14.0243063836852</v>
      </c>
      <c r="AQ10" s="13" t="n">
        <f aca="false">-Construction!AP32</f>
        <v>-10.3746752952529</v>
      </c>
      <c r="AR10" s="13" t="n">
        <f aca="false">-Construction!AQ32</f>
        <v>-15.9552292324514</v>
      </c>
      <c r="AS10" s="13" t="n">
        <f aca="false">-Construction!AR32</f>
        <v>-12.9086311397654</v>
      </c>
      <c r="AT10" s="13" t="n">
        <f aca="false">-Construction!AS32</f>
        <v>-11.8629441805435</v>
      </c>
      <c r="AU10" s="13" t="n">
        <f aca="false">-Construction!AT32</f>
        <v>-9.54673714160624</v>
      </c>
      <c r="AV10" s="13" t="n">
        <f aca="false">-Construction!AU32</f>
        <v>-11.1076353608013</v>
      </c>
      <c r="AW10" s="13" t="n">
        <f aca="false">-Construction!AV32</f>
        <v>-8.37023255792853</v>
      </c>
      <c r="AX10" s="13" t="n">
        <f aca="false">-Construction!AW32</f>
        <v>-62.936725320143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0</v>
      </c>
      <c r="BR10" s="13" t="n">
        <f aca="false">Waterfall!P7+Tax!P27</f>
        <v>-6.29263433853431</v>
      </c>
      <c r="BS10" s="13" t="n">
        <f aca="false">Waterfall!Q7+Tax!Q27</f>
        <v>48.8524843383707</v>
      </c>
      <c r="BT10" s="13" t="n">
        <f aca="false">Waterfall!R7+Tax!R27</f>
        <v>49.8826656945088</v>
      </c>
      <c r="BU10" s="13" t="n">
        <f aca="false">Waterfall!S7+Tax!S27</f>
        <v>49.6218581816983</v>
      </c>
      <c r="BV10" s="13" t="n">
        <f aca="false">Waterfall!T7+Tax!T27</f>
        <v>50.2009068531375</v>
      </c>
      <c r="BW10" s="13" t="n">
        <f aca="false">Waterfall!U7+Tax!U27</f>
        <v>49.8603583128226</v>
      </c>
      <c r="BX10" s="13" t="n">
        <f aca="false">Waterfall!V7+Tax!V27</f>
        <v>50.3248714681387</v>
      </c>
      <c r="BY10" s="13" t="n">
        <f aca="false">Waterfall!W7+Tax!W27</f>
        <v>50.5993486218694</v>
      </c>
      <c r="BZ10" s="13" t="n">
        <f aca="false">Waterfall!X7+Tax!X27</f>
        <v>51.1683050749246</v>
      </c>
      <c r="CA10" s="13" t="n">
        <f aca="false">Waterfall!Y7+Tax!Y27</f>
        <v>48.6187124216684</v>
      </c>
      <c r="CB10" s="13" t="n">
        <f aca="false">Waterfall!Z7+Tax!Z27</f>
        <v>49.2307893970491</v>
      </c>
      <c r="CC10" s="13" t="n">
        <f aca="false">Waterfall!AA7+Tax!AA27</f>
        <v>48.8928915008332</v>
      </c>
      <c r="CD10" s="13" t="n">
        <f aca="false">Waterfall!AB7+Tax!AB27</f>
        <v>49.4932730137445</v>
      </c>
      <c r="CE10" s="13" t="n">
        <f aca="false">Waterfall!AC7+Tax!AC27</f>
        <v>49.1457103142076</v>
      </c>
      <c r="CF10" s="13" t="n">
        <f aca="false">Waterfall!AD7+Tax!AD27</f>
        <v>49.6507388225628</v>
      </c>
      <c r="CG10" s="13" t="n">
        <f aca="false">Waterfall!AE7+Tax!AE27</f>
        <v>50.9088656821576</v>
      </c>
      <c r="CH10" s="13" t="n">
        <f aca="false">Waterfall!AF7+Tax!AF27</f>
        <v>51.7253108916784</v>
      </c>
      <c r="CI10" s="13" t="n">
        <f aca="false">Waterfall!AG7+Tax!AG27</f>
        <v>50.9626093568474</v>
      </c>
      <c r="CJ10" s="13" t="n">
        <f aca="false">Waterfall!AH7+Tax!AH27</f>
        <v>51.6754671642588</v>
      </c>
      <c r="CK10" s="13" t="n">
        <f aca="false">Waterfall!AI7+Tax!AI27</f>
        <v>51.3372298970575</v>
      </c>
      <c r="CL10" s="13" t="n">
        <f aca="false">Waterfall!AJ7+Tax!AJ27</f>
        <v>51.9607439995796</v>
      </c>
      <c r="CM10" s="13" t="n">
        <f aca="false">Waterfall!AK7+Tax!AK27</f>
        <v>51.6054966731979</v>
      </c>
      <c r="CN10" s="13" t="n">
        <f aca="false">Waterfall!AL7+Tax!AL27</f>
        <v>52.1140556630978</v>
      </c>
      <c r="CO10" s="13" t="n">
        <f aca="false">Waterfall!AM7+Tax!AM27</f>
        <v>52.497059594698</v>
      </c>
      <c r="CP10" s="13" t="n">
        <f aca="false">Waterfall!AN7+Tax!AN27</f>
        <v>53.1093429435002</v>
      </c>
      <c r="CQ10" s="13" t="n">
        <f aca="false">Waterfall!AO7+Tax!AO27</f>
        <v>50.1321028108187</v>
      </c>
      <c r="CR10" s="13" t="n">
        <f aca="false">Waterfall!AP7+Tax!AP27</f>
        <v>50.7924881928471</v>
      </c>
      <c r="CS10" s="13" t="n">
        <f aca="false">Waterfall!AQ7+Tax!AQ27</f>
        <v>50.4539546747474</v>
      </c>
      <c r="CT10" s="13" t="n">
        <f aca="false">Waterfall!AR7+Tax!AR27</f>
        <v>51.1025548509965</v>
      </c>
      <c r="CU10" s="13" t="n">
        <f aca="false">Waterfall!AS7+Tax!AS27</f>
        <v>50.7388891439451</v>
      </c>
      <c r="CV10" s="13" t="n">
        <f aca="false">Waterfall!AT7+Tax!AT27</f>
        <v>51.2959813996307</v>
      </c>
      <c r="CW10" s="13" t="n">
        <f aca="false">Waterfall!AU7+Tax!AU27</f>
        <v>52.9354639634186</v>
      </c>
      <c r="CX10" s="13" t="n">
        <f aca="false">Waterfall!AV7+Tax!AV27</f>
        <v>53.8165202092623</v>
      </c>
      <c r="CY10" s="13" t="n">
        <f aca="false">Waterfall!AW7+Tax!AW27</f>
        <v>52.9158722190698</v>
      </c>
      <c r="CZ10" s="13" t="n">
        <f aca="false">Waterfall!AX7+Tax!AX27</f>
        <v>53.6851010892992</v>
      </c>
      <c r="DA10" s="13" t="n">
        <f aca="false">Waterfall!AY7+Tax!AY27</f>
        <v>53.3463236237973</v>
      </c>
      <c r="DB10" s="13" t="n">
        <f aca="false">Waterfall!AZ7+Tax!AZ27</f>
        <v>54.0221303603721</v>
      </c>
      <c r="DC10" s="13" t="n">
        <f aca="false">Waterfall!BA7+Tax!BA27</f>
        <v>53.6492433248666</v>
      </c>
      <c r="DD10" s="13" t="n">
        <f aca="false">Waterfall!BB7+Tax!BB27</f>
        <v>54.2097001562271</v>
      </c>
      <c r="DE10" s="13" t="n">
        <f aca="false">Waterfall!BC7+Tax!BC27</f>
        <v>54.7226521034643</v>
      </c>
      <c r="DF10" s="13" t="n">
        <f aca="false">Waterfall!BD7+Tax!BD27</f>
        <v>55.3859847685592</v>
      </c>
      <c r="DG10" s="13" t="n">
        <f aca="false">Waterfall!BE7+Tax!BE27</f>
        <v>51.8991527137616</v>
      </c>
      <c r="DH10" s="13" t="n">
        <f aca="false">Waterfall!BF7+Tax!BF27</f>
        <v>52.6160510199742</v>
      </c>
      <c r="DI10" s="13" t="n">
        <f aca="false">Waterfall!BG7+Tax!BG27</f>
        <v>52.2770923138528</v>
      </c>
      <c r="DJ10" s="13" t="n">
        <f aca="false">Waterfall!BH7+Tax!BH27</f>
        <v>52.982407520377</v>
      </c>
      <c r="DK10" s="13" t="n">
        <f aca="false">Waterfall!BI7+Tax!BI27</f>
        <v>52.5994205604815</v>
      </c>
      <c r="DL10" s="13" t="n">
        <f aca="false">Waterfall!BJ7+Tax!BJ27</f>
        <v>53.2180003168243</v>
      </c>
      <c r="DM10" s="13" t="n">
        <f aca="false">Waterfall!BK7+Tax!BK27</f>
        <v>55.3126599329567</v>
      </c>
      <c r="DN10" s="13" t="n">
        <f aca="false">Waterfall!BL7+Tax!BL27</f>
        <v>56.2701784128349</v>
      </c>
      <c r="DO10" s="13" t="n">
        <f aca="false">Waterfall!BM7+Tax!BM27</f>
        <v>55.9217912673535</v>
      </c>
      <c r="DP10" s="13" t="n">
        <f aca="false">Waterfall!BN7+Tax!BN27</f>
        <v>51.0701292301233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-31.5183731856882</v>
      </c>
      <c r="L11" s="13" t="n">
        <f aca="false">K11+L8</f>
        <v>-32.1602866741564</v>
      </c>
      <c r="M11" s="13" t="n">
        <f aca="false">L11+M8</f>
        <v>-32.9278163748496</v>
      </c>
      <c r="N11" s="13" t="n">
        <f aca="false">M11+N8</f>
        <v>-33.9050223643678</v>
      </c>
      <c r="O11" s="13" t="n">
        <f aca="false">N11+O8</f>
        <v>-35.1879859420872</v>
      </c>
      <c r="P11" s="13" t="n">
        <f aca="false">O11+P8</f>
        <v>-36.8352826261833</v>
      </c>
      <c r="Q11" s="13" t="n">
        <f aca="false">P11+Q8</f>
        <v>-38.8726576569767</v>
      </c>
      <c r="R11" s="13" t="n">
        <f aca="false">Q11+R8</f>
        <v>-41.3811526811147</v>
      </c>
      <c r="S11" s="13" t="n">
        <f aca="false">R11+S8</f>
        <v>-44.3522139131211</v>
      </c>
      <c r="T11" s="13" t="n">
        <f aca="false">S11+T8</f>
        <v>-47.8112399303841</v>
      </c>
      <c r="U11" s="13" t="n">
        <f aca="false">T11+U8</f>
        <v>-51.7356621561284</v>
      </c>
      <c r="V11" s="13" t="n">
        <f aca="false">U11+V8</f>
        <v>-56.1300671604685</v>
      </c>
      <c r="W11" s="13" t="n">
        <f aca="false">V11+W8</f>
        <v>-60.9698599595647</v>
      </c>
      <c r="X11" s="13" t="n">
        <f aca="false">W11+X8</f>
        <v>-66.216509796803</v>
      </c>
      <c r="Y11" s="13" t="n">
        <f aca="false">X11+Y8</f>
        <v>-71.8500204869382</v>
      </c>
      <c r="Z11" s="13" t="n">
        <f aca="false">Y11+Z8</f>
        <v>-77.8086721886327</v>
      </c>
      <c r="AA11" s="13" t="n">
        <f aca="false">Z11+AA8</f>
        <v>-84.0617747785374</v>
      </c>
      <c r="AB11" s="13" t="n">
        <f aca="false">AA11+AB8</f>
        <v>-90.845397124273</v>
      </c>
      <c r="AC11" s="13" t="n">
        <f aca="false">AB11+AC8</f>
        <v>-97.479603109022</v>
      </c>
      <c r="AD11" s="13" t="n">
        <f aca="false">AC11+AD8</f>
        <v>-104.248369474846</v>
      </c>
      <c r="AE11" s="13" t="n">
        <f aca="false">AD11+AE8</f>
        <v>-111.148969903155</v>
      </c>
      <c r="AF11" s="13" t="n">
        <f aca="false">AE11+AF8</f>
        <v>-118.051577705524</v>
      </c>
      <c r="AG11" s="13" t="n">
        <f aca="false">AF11+AG8</f>
        <v>-124.87082782018</v>
      </c>
      <c r="AH11" s="13" t="n">
        <f aca="false">AG11+AH8</f>
        <v>-131.565088755391</v>
      </c>
      <c r="AI11" s="13" t="n">
        <f aca="false">AH11+AI8</f>
        <v>-138.067882612466</v>
      </c>
      <c r="AJ11" s="13" t="n">
        <f aca="false">AI11+AJ8</f>
        <v>-144.31081537173</v>
      </c>
      <c r="AK11" s="13" t="n">
        <f aca="false">AJ11+AK8</f>
        <v>-150.686039704492</v>
      </c>
      <c r="AL11" s="13" t="n">
        <f aca="false">AK11+AL8</f>
        <v>-156.705304397732</v>
      </c>
      <c r="AM11" s="13" t="n">
        <f aca="false">AL11+AM8</f>
        <v>-162.357349893037</v>
      </c>
      <c r="AN11" s="13" t="n">
        <f aca="false">AM11+AN8</f>
        <v>-167.736199295388</v>
      </c>
      <c r="AO11" s="13" t="n">
        <f aca="false">AN11+AO8</f>
        <v>-172.634894371445</v>
      </c>
      <c r="AP11" s="13" t="n">
        <f aca="false">AO11+AP8</f>
        <v>-177.128350312604</v>
      </c>
      <c r="AQ11" s="13" t="n">
        <f aca="false">AP11+AQ8</f>
        <v>-180.64578664268</v>
      </c>
      <c r="AR11" s="13" t="n">
        <f aca="false">AQ11+AR8</f>
        <v>-185.686926681968</v>
      </c>
      <c r="AS11" s="13" t="n">
        <f aca="false">AR11+AS8</f>
        <v>-189.925676297502</v>
      </c>
      <c r="AT11" s="13" t="n">
        <f aca="false">AS11+AT8</f>
        <v>-193.596838493335</v>
      </c>
      <c r="AU11" s="13" t="n">
        <f aca="false">AT11+AU8</f>
        <v>-196.657862791012</v>
      </c>
      <c r="AV11" s="13" t="n">
        <f aca="false">AU11+AV8</f>
        <v>-200.121458642326</v>
      </c>
      <c r="AW11" s="13" t="n">
        <f aca="false">AV11+AW8</f>
        <v>-202.879436693969</v>
      </c>
      <c r="AX11" s="13" t="n">
        <f aca="false">AW11+AX8</f>
        <v>-220.130001942614</v>
      </c>
      <c r="AY11" s="13" t="n">
        <f aca="false">AX11+AY8</f>
        <v>-225.724011267626</v>
      </c>
      <c r="AZ11" s="13" t="n">
        <f aca="false">AY11+AZ8</f>
        <v>-225.724011267626</v>
      </c>
      <c r="BA11" s="13" t="n">
        <f aca="false">AZ11+BA8</f>
        <v>-225.724011267626</v>
      </c>
      <c r="BB11" s="13" t="n">
        <f aca="false">BA11+BB8</f>
        <v>-225.724011267626</v>
      </c>
      <c r="BC11" s="13" t="n">
        <f aca="false">BB11+BC8</f>
        <v>-225.724011267626</v>
      </c>
      <c r="BD11" s="13" t="n">
        <f aca="false">BC11+BD8</f>
        <v>-225.724011267626</v>
      </c>
      <c r="BE11" s="13" t="n">
        <f aca="false">BD11+BE8</f>
        <v>-225.724011267626</v>
      </c>
      <c r="BF11" s="13" t="n">
        <f aca="false">BE11+BF8</f>
        <v>-225.724011267626</v>
      </c>
      <c r="BG11" s="13" t="n">
        <f aca="false">BF11+BG8</f>
        <v>-225.724011267626</v>
      </c>
      <c r="BH11" s="13" t="n">
        <f aca="false">BG11+BH8</f>
        <v>-225.724011267626</v>
      </c>
      <c r="BI11" s="13" t="n">
        <f aca="false">BH11+BI8</f>
        <v>-225.724011267626</v>
      </c>
      <c r="BJ11" s="13" t="n">
        <f aca="false">BI11+BJ8</f>
        <v>-225.724011267626</v>
      </c>
      <c r="BK11" s="13" t="n">
        <f aca="false">BJ11+BK8</f>
        <v>-225.724011267626</v>
      </c>
      <c r="BL11" s="13" t="n">
        <f aca="false">BK11+BL8</f>
        <v>-225.724011267626</v>
      </c>
      <c r="BM11" s="13" t="n">
        <f aca="false">BL11+BM8</f>
        <v>-225.724011267626</v>
      </c>
      <c r="BN11" s="13" t="n">
        <f aca="false">BM11+BN8</f>
        <v>-225.724011267626</v>
      </c>
      <c r="BO11" s="13" t="n">
        <f aca="false">BN11+BO8</f>
        <v>-225.724011267626</v>
      </c>
      <c r="BP11" s="13" t="n">
        <f aca="false">BO11+BP8</f>
        <v>-225.724011267626</v>
      </c>
      <c r="BQ11" s="13" t="n">
        <f aca="false">BP11+BQ8</f>
        <v>-225.724011267626</v>
      </c>
      <c r="BR11" s="13" t="n">
        <f aca="false">BQ11+BR8</f>
        <v>-225.724011267626</v>
      </c>
      <c r="BS11" s="13" t="n">
        <f aca="false">BR11+BS8</f>
        <v>-221.923639839352</v>
      </c>
      <c r="BT11" s="13" t="n">
        <f aca="false">BS11+BT8</f>
        <v>-209.569128698034</v>
      </c>
      <c r="BU11" s="13" t="n">
        <f aca="false">BT11+BU8</f>
        <v>-197.910424389707</v>
      </c>
      <c r="BV11" s="13" t="n">
        <f aca="false">BU11+BV8</f>
        <v>-185.417788161035</v>
      </c>
      <c r="BW11" s="13" t="n">
        <f aca="false">BV11+BW8</f>
        <v>-173.615424832723</v>
      </c>
      <c r="BX11" s="13" t="n">
        <f aca="false">BW11+BX8</f>
        <v>-161.559893382453</v>
      </c>
      <c r="BY11" s="13" t="n">
        <f aca="false">BX11+BY8</f>
        <v>-149.657796669734</v>
      </c>
      <c r="BZ11" s="13" t="n">
        <f aca="false">BY11+BZ8</f>
        <v>-135.261300546105</v>
      </c>
      <c r="CA11" s="13" t="n">
        <f aca="false">BZ11+CA8</f>
        <v>-123.830371831403</v>
      </c>
      <c r="CB11" s="13" t="n">
        <f aca="false">CA11+CB8</f>
        <v>-111.369194766563</v>
      </c>
      <c r="CC11" s="13" t="n">
        <f aca="false">CB11+CC8</f>
        <v>-105.681675830158</v>
      </c>
      <c r="CD11" s="13" t="n">
        <f aca="false">CC11+CD8</f>
        <v>-98.9838194657692</v>
      </c>
      <c r="CE11" s="13" t="n">
        <f aca="false">CD11+CE8</f>
        <v>-92.2244495524085</v>
      </c>
      <c r="CF11" s="13" t="n">
        <f aca="false">CE11+CF8</f>
        <v>-85.2678283768331</v>
      </c>
      <c r="CG11" s="13" t="n">
        <f aca="false">CF11+CG8</f>
        <v>-77.4994332114265</v>
      </c>
      <c r="CH11" s="13" t="n">
        <f aca="false">CG11+CH8</f>
        <v>-68.4457474279302</v>
      </c>
      <c r="CI11" s="13" t="n">
        <f aca="false">CH11+CI8</f>
        <v>-59.2373311045925</v>
      </c>
      <c r="CJ11" s="13" t="n">
        <f aca="false">CI11+CJ8</f>
        <v>-48.7819188966906</v>
      </c>
      <c r="CK11" s="13" t="n">
        <f aca="false">CJ11+CK8</f>
        <v>-37.6042928849624</v>
      </c>
      <c r="CL11" s="13" t="n">
        <f aca="false">CK11+CL8</f>
        <v>-24.7325097934867</v>
      </c>
      <c r="CM11" s="13" t="n">
        <f aca="false">CL11+CM8</f>
        <v>-2.05181933336604</v>
      </c>
      <c r="CN11" s="13" t="n">
        <f aca="false">CM11+CN8</f>
        <v>27.3296175361201</v>
      </c>
      <c r="CO11" s="13" t="n">
        <f aca="false">CN11+CO8</f>
        <v>54.8558411436102</v>
      </c>
      <c r="CP11" s="13" t="n">
        <f aca="false">CO11+CP8</f>
        <v>84.1910133748198</v>
      </c>
      <c r="CQ11" s="13" t="n">
        <f aca="false">CP11+CQ8</f>
        <v>133.940939181019</v>
      </c>
      <c r="CR11" s="13" t="n">
        <f aca="false">CQ11+CR8</f>
        <v>181.683965675889</v>
      </c>
      <c r="CS11" s="13" t="n">
        <f aca="false">CR11+CS8</f>
        <v>222.942553693793</v>
      </c>
      <c r="CT11" s="13" t="n">
        <f aca="false">CS11+CT8</f>
        <v>264.264698351367</v>
      </c>
      <c r="CU11" s="13" t="n">
        <f aca="false">CT11+CU8</f>
        <v>305.034954801096</v>
      </c>
      <c r="CV11" s="13" t="n">
        <f aca="false">CU11+CV8</f>
        <v>346.30081112346</v>
      </c>
      <c r="CW11" s="13" t="n">
        <f aca="false">CV11+CW8</f>
        <v>393.697624881195</v>
      </c>
      <c r="CX11" s="13" t="n">
        <f aca="false">CW11+CX8</f>
        <v>437.423890794812</v>
      </c>
      <c r="CY11" s="13" t="n">
        <f aca="false">CX11+CY8</f>
        <v>480.206058955787</v>
      </c>
      <c r="CZ11" s="13" t="n">
        <f aca="false">CY11+CZ8</f>
        <v>523.70984850579</v>
      </c>
      <c r="DA11" s="13" t="n">
        <f aca="false">CZ11+DA8</f>
        <v>566.81561588703</v>
      </c>
      <c r="DB11" s="13" t="n">
        <f aca="false">DA11+DB8</f>
        <v>610.555640852624</v>
      </c>
      <c r="DC11" s="13" t="n">
        <f aca="false">DB11+DC8</f>
        <v>653.89942147149</v>
      </c>
      <c r="DD11" s="13" t="n">
        <f aca="false">DC11+DD8</f>
        <v>697.491237124666</v>
      </c>
      <c r="DE11" s="13" t="n">
        <f aca="false">DD11+DE8</f>
        <v>741.288524862615</v>
      </c>
      <c r="DF11" s="13" t="n">
        <f aca="false">DE11+DF8</f>
        <v>783.6473919041</v>
      </c>
      <c r="DG11" s="13" t="n">
        <f aca="false">DF11+DG8</f>
        <v>817.700138698998</v>
      </c>
      <c r="DH11" s="13" t="n">
        <f aca="false">DG11+DH8</f>
        <v>852.400722459653</v>
      </c>
      <c r="DI11" s="13" t="n">
        <f aca="false">DH11+DI8</f>
        <v>886.680632298869</v>
      </c>
      <c r="DJ11" s="13" t="n">
        <f aca="false">DI11+DJ8</f>
        <v>921.60315975794</v>
      </c>
      <c r="DK11" s="13" t="n">
        <f aca="false">DJ11+DK8</f>
        <v>956.100422565873</v>
      </c>
      <c r="DL11" s="13" t="n">
        <f aca="false">DK11+DL8</f>
        <v>991.124602069872</v>
      </c>
      <c r="DM11" s="13" t="n">
        <f aca="false">DL11+DM8</f>
        <v>1033.53539440204</v>
      </c>
      <c r="DN11" s="13" t="n">
        <f aca="false">DM11+DN8</f>
        <v>1071.49070459307</v>
      </c>
      <c r="DO11" s="13" t="n">
        <f aca="false">DN11+DO8</f>
        <v>1109.04393604883</v>
      </c>
      <c r="DP11" s="13" t="n">
        <f aca="false">DO11+DP8</f>
        <v>1170.14159512414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0.12446110421464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0.10077656852125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0.106542860421286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-56.6229146425278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887.870417861124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225.724011267626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0.726374810580043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62.7487966443238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23.0662187832922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37.0411331464097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11.6707310507236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3.89024368357453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1.28294212849606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1.50416416179692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1.34056816651678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1.80671965321809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0.12446110421464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0.10077656852125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-56.6229146425278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2026-10-03T21:28:13Z</dcterms:created>
  <dc:creator>openpyxl</dc:creator>
  <dc:description/>
  <dc:language>en-US</dc:language>
  <cp:lastModifiedBy/>
  <dcterms:modified xsi:type="dcterms:W3CDTF">2026-10-03T21:28:14Z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