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<sst xmlns="http://schemas.openxmlformats.org/spreadsheetml/2006/main" count="3618" uniqueCount="2025">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</sst>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196.426727299837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9.54704897434826</v>
      </c>
      <c r="S13" s="13" t="n">
        <f aca="false">IF(Time!S20&gt;=Time!$F$12,Waterfall!S33*Inputs!$F$104/100*Time!S31/Inputs!$F$248,0)</f>
        <v>9.20704610934705</v>
      </c>
      <c r="T13" s="13" t="n">
        <f aca="false">IF(Time!T20&gt;=Time!$F$12,Waterfall!T33*Inputs!$F$104/100*Time!T31/Inputs!$F$248,0)</f>
        <v>9.19482427406304</v>
      </c>
      <c r="U13" s="13" t="n">
        <f aca="false">IF(Time!U20&gt;=Time!$F$12,Waterfall!U33*Inputs!$F$104/100*Time!U31/Inputs!$F$248,0)</f>
        <v>8.89599214699501</v>
      </c>
      <c r="V13" s="13" t="n">
        <f aca="false">IF(Time!V20&gt;=Time!$F$12,Waterfall!V33*Inputs!$F$104/100*Time!V31/Inputs!$F$248,0)</f>
        <v>8.82438477022562</v>
      </c>
      <c r="W13" s="13" t="n">
        <f aca="false">IF(Time!W20&gt;=Time!$F$12,Waterfall!W33*Inputs!$F$104/100*Time!W31/Inputs!$F$248,0)</f>
        <v>8.45244763632758</v>
      </c>
      <c r="X13" s="13" t="n">
        <f aca="false">IF(Time!X20&gt;=Time!$F$12,Waterfall!X33*Inputs!$F$104/100*Time!X31/Inputs!$F$248,0)</f>
        <v>8.3074942527548</v>
      </c>
      <c r="Y13" s="13" t="n">
        <f aca="false">IF(Time!Y20&gt;=Time!$F$12,Waterfall!Y33*Inputs!$F$104/100*Time!Y31/Inputs!$F$248,0)</f>
        <v>7.93775646742239</v>
      </c>
      <c r="Z13" s="13" t="n">
        <f aca="false">IF(Time!Z20&gt;=Time!$F$12,Waterfall!Z33*Inputs!$F$104/100*Time!Z31/Inputs!$F$248,0)</f>
        <v>7.85089765245844</v>
      </c>
      <c r="AA13" s="13" t="n">
        <f aca="false">IF(Time!AA20&gt;=Time!$F$12,Waterfall!AA33*Inputs!$F$104/100*Time!AA31/Inputs!$F$248,0)</f>
        <v>7.47080316434164</v>
      </c>
      <c r="AB13" s="13" t="n">
        <f aca="false">IF(Time!AB20&gt;=Time!$F$12,Waterfall!AB33*Inputs!$F$104/100*Time!AB31/Inputs!$F$248,0)</f>
        <v>7.65619335945278</v>
      </c>
      <c r="AC13" s="13" t="n">
        <f aca="false">IF(Time!AC20&gt;=Time!$F$12,Waterfall!AC33*Inputs!$F$104/100*Time!AC31/Inputs!$F$248,0)</f>
        <v>7.59647130346986</v>
      </c>
      <c r="AD13" s="13" t="n">
        <f aca="false">IF(Time!AD20&gt;=Time!$F$12,Waterfall!AD33*Inputs!$F$104/100*Time!AD31/Inputs!$F$248,0)</f>
        <v>7.71723288277975</v>
      </c>
      <c r="AE13" s="13" t="n">
        <f aca="false">IF(Time!AE20&gt;=Time!$F$12,Waterfall!AE33*Inputs!$F$104/100*Time!AE31/Inputs!$F$248,0)</f>
        <v>7.57075049200877</v>
      </c>
      <c r="AF13" s="13" t="n">
        <f aca="false">IF(Time!AF20&gt;=Time!$F$12,Waterfall!AF33*Inputs!$F$104/100*Time!AF31/Inputs!$F$248,0)</f>
        <v>7.63933983771825</v>
      </c>
      <c r="AG13" s="13" t="n">
        <f aca="false">IF(Time!AG20&gt;=Time!$F$12,Waterfall!AG33*Inputs!$F$104/100*Time!AG31/Inputs!$F$248,0)</f>
        <v>7.42049861669964</v>
      </c>
      <c r="AH13" s="13" t="n">
        <f aca="false">IF(Time!AH20&gt;=Time!$F$12,Waterfall!AH33*Inputs!$F$104/100*Time!AH31/Inputs!$F$248,0)</f>
        <v>7.41623610946851</v>
      </c>
      <c r="AI13" s="13" t="n">
        <f aca="false">IF(Time!AI20&gt;=Time!$F$12,Waterfall!AI33*Inputs!$F$104/100*Time!AI31/Inputs!$F$248,0)</f>
        <v>7.1046288300749</v>
      </c>
      <c r="AJ13" s="13" t="n">
        <f aca="false">IF(Time!AJ20&gt;=Time!$F$12,Waterfall!AJ33*Inputs!$F$104/100*Time!AJ31/Inputs!$F$248,0)</f>
        <v>6.97036823268295</v>
      </c>
      <c r="AK13" s="13" t="n">
        <f aca="false">IF(Time!AK20&gt;=Time!$F$12,Waterfall!AK33*Inputs!$F$104/100*Time!AK31/Inputs!$F$248,0)</f>
        <v>6.54792649776314</v>
      </c>
      <c r="AL13" s="13" t="n">
        <f aca="false">IF(Time!AL20&gt;=Time!$F$12,Waterfall!AL33*Inputs!$F$104/100*Time!AL31/Inputs!$F$248,0)</f>
        <v>5.598467082376</v>
      </c>
      <c r="AM13" s="13" t="n">
        <f aca="false">IF(Time!AM20&gt;=Time!$F$12,Waterfall!AM33*Inputs!$F$104/100*Time!AM31/Inputs!$F$248,0)</f>
        <v>4.21738617044041</v>
      </c>
      <c r="AN13" s="13" t="n">
        <f aca="false">IF(Time!AN20&gt;=Time!$F$12,Waterfall!AN33*Inputs!$F$104/100*Time!AN31/Inputs!$F$248,0)</f>
        <v>2.85767408559698</v>
      </c>
      <c r="AO13" s="13" t="n">
        <f aca="false">IF(Time!AO20&gt;=Time!$F$12,Waterfall!AO33*Inputs!$F$104/100*Time!AO31/Inputs!$F$248,0)</f>
        <v>1.716827161059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192.478911295528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9.54704897434826</v>
      </c>
      <c r="S15" s="13" t="n">
        <f aca="false">S13*S14</f>
        <v>9.20704610934705</v>
      </c>
      <c r="T15" s="13" t="n">
        <f aca="false">T13*T14</f>
        <v>9.19482427406304</v>
      </c>
      <c r="U15" s="13" t="n">
        <f aca="false">U13*U14</f>
        <v>8.89599214699501</v>
      </c>
      <c r="V15" s="13" t="n">
        <f aca="false">V13*V14</f>
        <v>8.82438477022562</v>
      </c>
      <c r="W15" s="13" t="n">
        <f aca="false">W13*W14</f>
        <v>8.45244763632758</v>
      </c>
      <c r="X15" s="13" t="n">
        <f aca="false">X13*X14</f>
        <v>8.3074942527548</v>
      </c>
      <c r="Y15" s="13" t="n">
        <f aca="false">Y13*Y14</f>
        <v>7.93775646742239</v>
      </c>
      <c r="Z15" s="13" t="n">
        <f aca="false">Z13*Z14</f>
        <v>7.85089765245844</v>
      </c>
      <c r="AA15" s="13" t="n">
        <f aca="false">AA13*AA14</f>
        <v>7.47080316434164</v>
      </c>
      <c r="AB15" s="13" t="n">
        <f aca="false">AB13*AB14</f>
        <v>7.65619335945278</v>
      </c>
      <c r="AC15" s="13" t="n">
        <f aca="false">AC13*AC14</f>
        <v>7.59647130346986</v>
      </c>
      <c r="AD15" s="13" t="n">
        <f aca="false">AD13*AD14</f>
        <v>7.71723288277975</v>
      </c>
      <c r="AE15" s="13" t="n">
        <f aca="false">AE13*AE14</f>
        <v>7.57075049200877</v>
      </c>
      <c r="AF15" s="13" t="n">
        <f aca="false">AF13*AF14</f>
        <v>7.63933983771825</v>
      </c>
      <c r="AG15" s="13" t="n">
        <f aca="false">AG13*AG14</f>
        <v>7.42049861669964</v>
      </c>
      <c r="AH15" s="13" t="n">
        <f aca="false">AH13*AH14</f>
        <v>7.41623610946851</v>
      </c>
      <c r="AI15" s="13" t="n">
        <f aca="false">AI13*AI14</f>
        <v>7.1046288300749</v>
      </c>
      <c r="AJ15" s="13" t="n">
        <f aca="false">AJ13*AJ14</f>
        <v>6.97036823268295</v>
      </c>
      <c r="AK15" s="13" t="n">
        <f aca="false">AK13*AK14</f>
        <v>6.54792649776314</v>
      </c>
      <c r="AL15" s="13" t="n">
        <f aca="false">AL13*AL14</f>
        <v>5.598467082376</v>
      </c>
      <c r="AM15" s="13" t="n">
        <f aca="false">AM13*AM14</f>
        <v>4.21738617044041</v>
      </c>
      <c r="AN15" s="13" t="n">
        <f aca="false">AN13*AN14</f>
        <v>2.85767408559698</v>
      </c>
      <c r="AO15" s="13" t="n">
        <f aca="false">AO13*AO14</f>
        <v>1.716827161059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316.8616357341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14.4257769749297</v>
      </c>
      <c r="AC16" s="13" t="n">
        <f aca="false">Debt!AC112+Debt!AC110+Debt!AC104-Debt!AC103</f>
        <v>13.2150568054917</v>
      </c>
      <c r="AD16" s="13" t="n">
        <f aca="false">Debt!AD112+Debt!AD110+Debt!AD104-Debt!AD103</f>
        <v>12.2023487995373</v>
      </c>
      <c r="AE16" s="13" t="n">
        <f aca="false">Debt!AE112+Debt!AE110+Debt!AE104-Debt!AE103</f>
        <v>10.8527467843992</v>
      </c>
      <c r="AF16" s="13" t="n">
        <f aca="false">Debt!AF112+Debt!AF110+Debt!AF104-Debt!AF103</f>
        <v>9.69121546106401</v>
      </c>
      <c r="AG16" s="13" t="n">
        <f aca="false">Debt!AG112+Debt!AG110+Debt!AG104-Debt!AG103</f>
        <v>8.50750155192338</v>
      </c>
      <c r="AH16" s="13" t="n">
        <f aca="false">Debt!AH112+Debt!AH110+Debt!AH104-Debt!AH103</f>
        <v>7.23390078250728</v>
      </c>
      <c r="AI16" s="13" t="n">
        <f aca="false">Debt!AI112+Debt!AI110+Debt!AI104-Debt!AI103</f>
        <v>5.76206374596053</v>
      </c>
      <c r="AJ16" s="13" t="n">
        <f aca="false">Debt!AJ112+Debt!AJ110+Debt!AJ104-Debt!AJ103</f>
        <v>4.39760438173967</v>
      </c>
      <c r="AK16" s="13" t="n">
        <f aca="false">Debt!AK112+Debt!AK110+Debt!AK104-Debt!AK103</f>
        <v>2.93333138319851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1259.91244543944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2.35809154248705</v>
      </c>
      <c r="Z18" s="13" t="n">
        <f aca="false">(Operations!Z84-Z16-Z15)*Z17-Z12</f>
        <v>7.80330230326015</v>
      </c>
      <c r="AA18" s="13" t="n">
        <f aca="false">(Operations!AA84-AA16-AA15)*AA17-AA12</f>
        <v>9.16780672494532</v>
      </c>
      <c r="AB18" s="13" t="n">
        <f aca="false">(Operations!AB84-AB16-AB15)*AB17-AB12</f>
        <v>9.93655341507224</v>
      </c>
      <c r="AC18" s="13" t="n">
        <f aca="false">(Operations!AC84-AC16-AC15)*AC17-AC12</f>
        <v>11.4220675443755</v>
      </c>
      <c r="AD18" s="13" t="n">
        <f aca="false">(Operations!AD84-AD16-AD15)*AD17-AD12</f>
        <v>-0.159762791771154</v>
      </c>
      <c r="AE18" s="13" t="n">
        <f aca="false">(Operations!AE84-AE16-AE15)*AE17-AE12</f>
        <v>14.1516555406696</v>
      </c>
      <c r="AF18" s="13" t="n">
        <f aca="false">(Operations!AF84-AF16-AF15)*AF17-AF12</f>
        <v>15.1683543220013</v>
      </c>
      <c r="AG18" s="13" t="n">
        <f aca="false">(Operations!AG84-AG16-AG15)*AG17-AG12</f>
        <v>16.7120498391252</v>
      </c>
      <c r="AH18" s="13" t="n">
        <f aca="false">(Operations!AH84-AH16-AH15)*AH17-AH12</f>
        <v>18.1507176584056</v>
      </c>
      <c r="AI18" s="13" t="n">
        <f aca="false">(Operations!AI84-AI16-AI15)*AI17-AI12</f>
        <v>20.0419733002743</v>
      </c>
      <c r="AJ18" s="13" t="n">
        <f aca="false">(Operations!AJ84-AJ16-AJ15)*AJ17-AJ12</f>
        <v>21.630747130433</v>
      </c>
      <c r="AK18" s="13" t="n">
        <f aca="false">(Operations!AK84-AK16-AK15)*AK17-AK12</f>
        <v>23.7125373379497</v>
      </c>
      <c r="AL18" s="13" t="n">
        <f aca="false">(Operations!AL84-AL16-AL15)*AL17-AL12</f>
        <v>22.7702171480742</v>
      </c>
      <c r="AM18" s="13" t="n">
        <f aca="false">(Operations!AM84-AM16-AM15)*AM17-AM12</f>
        <v>27.7531270699488</v>
      </c>
      <c r="AN18" s="13" t="n">
        <f aca="false">(Operations!AN84-AN16-AN15)*AN17-AN12</f>
        <v>29.6743271575374</v>
      </c>
      <c r="AO18" s="13" t="n">
        <f aca="false">(Operations!AO84-AO16-AO15)*AO17-AO12</f>
        <v>31.4682836024765</v>
      </c>
      <c r="AP18" s="13" t="n">
        <f aca="false">(Operations!AP84-AP16-AP15)*AP17-AP12</f>
        <v>33.8472427965443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0.159762791771154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0.159762791771154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2.35809154248705</v>
      </c>
      <c r="Z20" s="13" t="n">
        <f aca="false">MIN(Y21,MAX(0,Z18-Z19))</f>
        <v>7.80330230326015</v>
      </c>
      <c r="AA20" s="13" t="n">
        <f aca="false">MIN(Z21,MAX(0,AA18-AA19))</f>
        <v>9.16780672494532</v>
      </c>
      <c r="AB20" s="13" t="n">
        <f aca="false">MIN(AA21,MAX(0,AB18-AB19))</f>
        <v>9.93655341507224</v>
      </c>
      <c r="AC20" s="13" t="n">
        <f aca="false">MIN(AB21,MAX(0,AC18-AC19))</f>
        <v>11.4220675443755</v>
      </c>
      <c r="AD20" s="13" t="n">
        <f aca="false">MIN(AC21,MAX(0,AD18-AD19))</f>
        <v>0</v>
      </c>
      <c r="AE20" s="13" t="n">
        <f aca="false">MIN(AD21,MAX(0,AE18-AE19))</f>
        <v>13.9918927488984</v>
      </c>
      <c r="AF20" s="13" t="n">
        <f aca="false">MIN(AE21,MAX(0,AF18-AF19))</f>
        <v>15.1683543220013</v>
      </c>
      <c r="AG20" s="13" t="n">
        <f aca="false">MIN(AF21,MAX(0,AG18-AG19))</f>
        <v>16.7120498391252</v>
      </c>
      <c r="AH20" s="13" t="n">
        <f aca="false">MIN(AG21,MAX(0,AH18-AH19))</f>
        <v>18.1507176584056</v>
      </c>
      <c r="AI20" s="13" t="n">
        <f aca="false">MIN(AH21,MAX(0,AI18-AI19))</f>
        <v>20.0419733002743</v>
      </c>
      <c r="AJ20" s="13" t="n">
        <f aca="false">MIN(AI21,MAX(0,AJ18-AJ19))</f>
        <v>21.630747130433</v>
      </c>
      <c r="AK20" s="13" t="n">
        <f aca="false">MIN(AJ21,MAX(0,AK18-AK19))</f>
        <v>23.7125373379497</v>
      </c>
      <c r="AL20" s="13" t="n">
        <f aca="false">MIN(AK21,MAX(0,AL18-AL19))</f>
        <v>22.7702171480742</v>
      </c>
      <c r="AM20" s="13" t="n">
        <f aca="false">MIN(AL21,MAX(0,AM18-AM19))</f>
        <v>27.7531270699488</v>
      </c>
      <c r="AN20" s="13" t="n">
        <f aca="false">MIN(AM21,MAX(0,AN18-AN19))</f>
        <v>5.22275418453743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223.484100727301</v>
      </c>
      <c r="Z21" s="13" t="n">
        <f aca="false">Y21+Z11-Z20</f>
        <v>215.680798424041</v>
      </c>
      <c r="AA21" s="13" t="n">
        <f aca="false">Z21+AA11-AA20</f>
        <v>206.512991699096</v>
      </c>
      <c r="AB21" s="13" t="n">
        <f aca="false">AA21+AB11-AB20</f>
        <v>196.576438284023</v>
      </c>
      <c r="AC21" s="13" t="n">
        <f aca="false">AB21+AC11-AC20</f>
        <v>185.154370739648</v>
      </c>
      <c r="AD21" s="13" t="n">
        <f aca="false">AC21+AD11-AD20</f>
        <v>185.154370739648</v>
      </c>
      <c r="AE21" s="13" t="n">
        <f aca="false">AD21+AE11-AE20</f>
        <v>171.162477990749</v>
      </c>
      <c r="AF21" s="13" t="n">
        <f aca="false">AE21+AF11-AF20</f>
        <v>155.994123668748</v>
      </c>
      <c r="AG21" s="13" t="n">
        <f aca="false">AF21+AG11-AG20</f>
        <v>139.282073829623</v>
      </c>
      <c r="AH21" s="13" t="n">
        <f aca="false">AG21+AH11-AH20</f>
        <v>121.131356171217</v>
      </c>
      <c r="AI21" s="13" t="n">
        <f aca="false">AH21+AI11-AI20</f>
        <v>101.089382870943</v>
      </c>
      <c r="AJ21" s="13" t="n">
        <f aca="false">AI21+AJ11-AJ20</f>
        <v>79.4586357405101</v>
      </c>
      <c r="AK21" s="13" t="n">
        <f aca="false">AJ21+AK11-AK20</f>
        <v>55.7460984025604</v>
      </c>
      <c r="AL21" s="13" t="n">
        <f aca="false">AK21+AL11-AL20</f>
        <v>32.9758812544862</v>
      </c>
      <c r="AM21" s="13" t="n">
        <f aca="false">AL21+AM11-AM20</f>
        <v>5.22275418453743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0.159762791771154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1034.07025316965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24.4515729729999</v>
      </c>
      <c r="AO23" s="13" t="n">
        <f aca="false">MAX(0,AO18-AO19-AO20)</f>
        <v>31.4682836024765</v>
      </c>
      <c r="AP23" s="13" t="n">
        <f aca="false">MAX(0,AP18-AP19-AP20)</f>
        <v>33.8472427965443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310.221075950894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7.33547189189998</v>
      </c>
      <c r="AO25" s="13" t="n">
        <f aca="false">AO23*AO24</f>
        <v>9.44048508074295</v>
      </c>
      <c r="AP25" s="13" t="n">
        <f aca="false">AP23*AP24</f>
        <v>10.1541728389633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315.463568860564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7.33547189189998</v>
      </c>
      <c r="AO27" s="13" t="n">
        <f aca="false">MAX(AO25,AO26)</f>
        <v>9.44048508074295</v>
      </c>
      <c r="AP27" s="13" t="n">
        <f aca="false">MAX(AP25,AP26)</f>
        <v>10.1541728389633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3.94781600430887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158.162276776904</v>
      </c>
      <c r="AC63" s="13" t="n">
        <f aca="false">Time!AC35*AB75</f>
        <v>143.162135249581</v>
      </c>
      <c r="AD63" s="13" t="n">
        <f aca="false">Time!AD35*AC75</f>
        <v>128.51461533354</v>
      </c>
      <c r="AE63" s="13" t="n">
        <f aca="false">Time!AE35*AD75</f>
        <v>111.921212349019</v>
      </c>
      <c r="AF63" s="13" t="n">
        <f aca="false">Time!AF35*AE75</f>
        <v>94.8162787829896</v>
      </c>
      <c r="AG63" s="13" t="n">
        <f aca="false">Time!AG35*AF75</f>
        <v>77.1620060954907</v>
      </c>
      <c r="AH63" s="13" t="n">
        <f aca="false">Time!AH35*AG75</f>
        <v>59.7832080052139</v>
      </c>
      <c r="AI63" s="13" t="n">
        <f aca="false">Time!AI35*AH75</f>
        <v>41.6394999601407</v>
      </c>
      <c r="AJ63" s="13" t="n">
        <f aca="false">Time!AJ35*AI75</f>
        <v>23.821722016092</v>
      </c>
      <c r="AK63" s="13" t="n">
        <f aca="false">Time!AK35*AJ75</f>
        <v>5.71059707413044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140.511498035739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6.93414663321163</v>
      </c>
      <c r="AC65" s="13" t="n">
        <f aca="false">AC63*AC13</f>
        <v>6.20828785527997</v>
      </c>
      <c r="AD65" s="13" t="n">
        <f aca="false">AD63*AD13</f>
        <v>5.63433459225266</v>
      </c>
      <c r="AE65" s="13" t="n">
        <f aca="false">AE63*AE13</f>
        <v>4.82684408763986</v>
      </c>
      <c r="AF65" s="13" t="n">
        <f aca="false">AF63*AF13</f>
        <v>4.15693295326114</v>
      </c>
      <c r="AG65" s="13" t="n">
        <f aca="false">AG63*AG13</f>
        <v>3.54330789842571</v>
      </c>
      <c r="AH65" s="13" t="n">
        <f aca="false">AH63*AH13</f>
        <v>2.79076871739895</v>
      </c>
      <c r="AI65" s="13" t="n">
        <f aca="false">AI63*AI13</f>
        <v>1.91210126020668</v>
      </c>
      <c r="AJ65" s="13" t="n">
        <f aca="false">AJ63*AJ13</f>
        <v>1.1120332751512</v>
      </c>
      <c r="AK65" s="13" t="n">
        <f aca="false">AK63*AK13</f>
        <v>0.26368153230809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139.893533548126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7.83999007214652</v>
      </c>
      <c r="AC66" s="13" t="n">
        <f aca="false">Time!AC35*(AC63-AC64)*AC19</f>
        <v>7.82957341392134</v>
      </c>
      <c r="AD66" s="13" t="n">
        <f aca="false">Time!AD35*(AD63-AD64)*AD19</f>
        <v>8.43766189108294</v>
      </c>
      <c r="AE66" s="13" t="n">
        <f aca="false">Time!AE35*(AE63-AE64)*AE19</f>
        <v>8.34620607601446</v>
      </c>
      <c r="AF66" s="13" t="n">
        <f aca="false">Time!AF35*(AF63-AF64)*AF19</f>
        <v>8.013498129972</v>
      </c>
      <c r="AG66" s="13" t="n">
        <f aca="false">Time!AG35*(AG63-AG64)*AG19</f>
        <v>7.30110371219849</v>
      </c>
      <c r="AH66" s="13" t="n">
        <f aca="false">Time!AH35*(AH63-AH64)*AH19</f>
        <v>6.67966786458847</v>
      </c>
      <c r="AI66" s="13" t="n">
        <f aca="false">Time!AI35*(AI63-AI64)*AI19</f>
        <v>5.45078298895291</v>
      </c>
      <c r="AJ66" s="13" t="n">
        <f aca="false">Time!AJ35*(AJ63-AJ64)*AJ19</f>
        <v>3.82224572424208</v>
      </c>
      <c r="AK66" s="13" t="n">
        <f aca="false">Time!AK35*(AK63-AK64)*AK19</f>
        <v>1.13947368619826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139.893533548126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7.83999007214652</v>
      </c>
      <c r="AC69" s="13" t="n">
        <f aca="false">AC66-AC67+AC68</f>
        <v>7.82957341392134</v>
      </c>
      <c r="AD69" s="13" t="n">
        <f aca="false">AD66-AD67+AD68</f>
        <v>8.43766189108294</v>
      </c>
      <c r="AE69" s="13" t="n">
        <f aca="false">AE66-AE67+AE68</f>
        <v>8.34620607601446</v>
      </c>
      <c r="AF69" s="13" t="n">
        <f aca="false">AF66-AF67+AF68</f>
        <v>8.013498129972</v>
      </c>
      <c r="AG69" s="13" t="n">
        <f aca="false">AG66-AG67+AG68</f>
        <v>7.30110371219849</v>
      </c>
      <c r="AH69" s="13" t="n">
        <f aca="false">AH66-AH67+AH68</f>
        <v>6.67966786458847</v>
      </c>
      <c r="AI69" s="13" t="n">
        <f aca="false">AI66-AI67+AI68</f>
        <v>5.45078298895291</v>
      </c>
      <c r="AJ69" s="13" t="n">
        <f aca="false">AJ66-AJ67+AJ68</f>
        <v>3.82224572424208</v>
      </c>
      <c r="AK69" s="13" t="n">
        <f aca="false">AK66-AK67+AK68</f>
        <v>1.13947368619826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150.322286704758</v>
      </c>
      <c r="AC73" s="13" t="n">
        <f aca="false">AC63-AC69-AC70-AC71</f>
        <v>135.33256183566</v>
      </c>
      <c r="AD73" s="13" t="n">
        <f aca="false">AD63-AD69-AD70-AD71</f>
        <v>120.076953442457</v>
      </c>
      <c r="AE73" s="13" t="n">
        <f aca="false">AE63-AE69-AE70-AE71</f>
        <v>103.575006273005</v>
      </c>
      <c r="AF73" s="13" t="n">
        <f aca="false">AF63-AF69-AF70-AF71</f>
        <v>86.8027806530176</v>
      </c>
      <c r="AG73" s="13" t="n">
        <f aca="false">AG63-AG69-AG70-AG71</f>
        <v>69.8609023832922</v>
      </c>
      <c r="AH73" s="13" t="n">
        <f aca="false">AH63-AH69-AH70-AH71</f>
        <v>53.1035401406254</v>
      </c>
      <c r="AI73" s="13" t="n">
        <f aca="false">AI63-AI69-AI70-AI71</f>
        <v>36.1887169711878</v>
      </c>
      <c r="AJ73" s="13" t="n">
        <f aca="false">AJ63-AJ69-AJ70-AJ71</f>
        <v>19.99947629185</v>
      </c>
      <c r="AK73" s="13" t="n">
        <f aca="false">AK63-AK69-AK70-AK71</f>
        <v>4.57112338793218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99.4873428676788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6.18526965009215</v>
      </c>
      <c r="AB74" s="13" t="n">
        <f aca="false">Waterfall!AB28*AB73/(AB31+AB45+AB59+AB73+AB87+Inputs!$F$253)+Waterfall!AB29</f>
        <v>7.16015145517671</v>
      </c>
      <c r="AC74" s="13" t="n">
        <f aca="false">Waterfall!AC28*AC73/(AC31+AC45+AC59+AC73+AC87+Inputs!$F$253)+Waterfall!AC29</f>
        <v>6.81794650211999</v>
      </c>
      <c r="AD74" s="13" t="n">
        <f aca="false">Waterfall!AD28*AD73/(AD31+AD45+AD59+AD73+AD87+Inputs!$F$253)+Waterfall!AD29</f>
        <v>8.15574109343732</v>
      </c>
      <c r="AE74" s="13" t="n">
        <f aca="false">Waterfall!AE28*AE73/(AE31+AE45+AE59+AE73+AE87+Inputs!$F$253)+Waterfall!AE29</f>
        <v>8.75872749001524</v>
      </c>
      <c r="AF74" s="13" t="n">
        <f aca="false">Waterfall!AF28*AF73/(AF31+AF45+AF59+AF73+AF87+Inputs!$F$253)+Waterfall!AF29</f>
        <v>9.64077455752687</v>
      </c>
      <c r="AG74" s="13" t="n">
        <f aca="false">Waterfall!AG28*AG73/(AG31+AG45+AG59+AG73+AG87+Inputs!$F$253)+Waterfall!AG29</f>
        <v>10.0776943780783</v>
      </c>
      <c r="AH74" s="13" t="n">
        <f aca="false">Waterfall!AH28*AH73/(AH31+AH45+AH59+AH73+AH87+Inputs!$F$253)+Waterfall!AH29</f>
        <v>11.4640401804848</v>
      </c>
      <c r="AI74" s="13" t="n">
        <f aca="false">Waterfall!AI28*AI73/(AI31+AI45+AI59+AI73+AI87+Inputs!$F$253)+Waterfall!AI29</f>
        <v>12.3669949550957</v>
      </c>
      <c r="AJ74" s="13" t="n">
        <f aca="false">Waterfall!AJ28*AJ73/(AJ31+AJ45+AJ59+AJ73+AJ87+Inputs!$F$253)+Waterfall!AJ29</f>
        <v>14.2888792177195</v>
      </c>
      <c r="AK74" s="13" t="n">
        <f aca="false">Waterfall!AK28*AK73/(AK31+AK45+AK59+AK73+AK87+Inputs!$F$253)+Waterfall!AK29</f>
        <v>4.57112338793218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158.162276776904</v>
      </c>
      <c r="AB75" s="13" t="n">
        <f aca="false">IF(Time!AB34=1,INDEX(Funding!$J$64:$BJ$64,1,Time!$F$14),Time!AB35*(AB73-AB74))</f>
        <v>143.162135249581</v>
      </c>
      <c r="AC75" s="13" t="n">
        <f aca="false">IF(Time!AC34=1,INDEX(Funding!$J$64:$BJ$64,1,Time!$F$14),Time!AC35*(AC73-AC74))</f>
        <v>128.51461533354</v>
      </c>
      <c r="AD75" s="13" t="n">
        <f aca="false">IF(Time!AD34=1,INDEX(Funding!$J$64:$BJ$64,1,Time!$F$14),Time!AD35*(AD73-AD74))</f>
        <v>111.921212349019</v>
      </c>
      <c r="AE75" s="13" t="n">
        <f aca="false">IF(Time!AE34=1,INDEX(Funding!$J$64:$BJ$64,1,Time!$F$14),Time!AE35*(AE73-AE74))</f>
        <v>94.8162787829896</v>
      </c>
      <c r="AF75" s="13" t="n">
        <f aca="false">IF(Time!AF34=1,INDEX(Funding!$J$64:$BJ$64,1,Time!$F$14),Time!AF35*(AF73-AF74))</f>
        <v>77.1620060954907</v>
      </c>
      <c r="AG75" s="13" t="n">
        <f aca="false">IF(Time!AG34=1,INDEX(Funding!$J$64:$BJ$64,1,Time!$F$14),Time!AG35*(AG73-AG74))</f>
        <v>59.7832080052139</v>
      </c>
      <c r="AH75" s="13" t="n">
        <f aca="false">IF(Time!AH34=1,INDEX(Funding!$J$64:$BJ$64,1,Time!$F$14),Time!AH35*(AH73-AH74))</f>
        <v>41.6394999601407</v>
      </c>
      <c r="AI75" s="13" t="n">
        <f aca="false">IF(Time!AI34=1,INDEX(Funding!$J$64:$BJ$64,1,Time!$F$14),Time!AI35*(AI73-AI74))</f>
        <v>23.821722016092</v>
      </c>
      <c r="AJ75" s="13" t="n">
        <f aca="false">IF(Time!AJ34=1,INDEX(Funding!$J$64:$BJ$64,1,Time!$F$14),Time!AJ35*(AJ73-AJ74))</f>
        <v>5.71059707413044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17.3187408706409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0.825217095599825</v>
      </c>
      <c r="AC108" s="13" t="n">
        <f aca="false">(Inputs!$F$95/100*Inputs!$F$96/100)*AC63*Time!AC25/Inputs!$F$248</f>
        <v>0.738834285396261</v>
      </c>
      <c r="AD108" s="13" t="n">
        <f aca="false">(Inputs!$F$95/100*Inputs!$F$96/100)*AD63*Time!AD25/Inputs!$F$248</f>
        <v>0.670529406688199</v>
      </c>
      <c r="AE108" s="13" t="n">
        <f aca="false">(Inputs!$F$95/100*Inputs!$F$96/100)*AE63*Time!AE25/Inputs!$F$248</f>
        <v>0.57443178946311</v>
      </c>
      <c r="AF108" s="13" t="n">
        <f aca="false">(Inputs!$F$95/100*Inputs!$F$96/100)*AF63*Time!AF25/Inputs!$F$248</f>
        <v>0.494707181683083</v>
      </c>
      <c r="AG108" s="13" t="n">
        <f aca="false">(Inputs!$F$95/100*Inputs!$F$96/100)*AG63*Time!AG25/Inputs!$F$248</f>
        <v>0.396031353750651</v>
      </c>
      <c r="AH108" s="13" t="n">
        <f aca="false">(Inputs!$F$95/100*Inputs!$F$96/100)*AH63*Time!AH25/Inputs!$F$248</f>
        <v>0.311920935137341</v>
      </c>
      <c r="AI108" s="13" t="n">
        <f aca="false">(Inputs!$F$95/100*Inputs!$F$96/100)*AI63*Time!AI25/Inputs!$F$248</f>
        <v>0.213713307535149</v>
      </c>
      <c r="AJ108" s="13" t="n">
        <f aca="false">(Inputs!$F$95/100*Inputs!$F$96/100)*AJ63*Time!AJ25/Inputs!$F$248</f>
        <v>0.124290650431358</v>
      </c>
      <c r="AK108" s="13" t="n">
        <f aca="false">(Inputs!$F$95/100*Inputs!$F$96/100)*AK63*Time!AK25/Inputs!$F$248</f>
        <v>0.0294713745439439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307.840084161086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13.9926615922207</v>
      </c>
      <c r="AC111" s="13" t="n">
        <f aca="false">AC23+AC37+AC51+AC65+AC79+AC92</f>
        <v>12.793729117309</v>
      </c>
      <c r="AD111" s="13" t="n">
        <f aca="false">AD23+AD37+AD51+AD65+AD79+AD92</f>
        <v>11.8800290404587</v>
      </c>
      <c r="AE111" s="13" t="n">
        <f aca="false">AE23+AE37+AE51+AE65+AE79+AE92</f>
        <v>10.5326756139648</v>
      </c>
      <c r="AF111" s="13" t="n">
        <f aca="false">AF23+AF37+AF51+AF65+AF79+AF92</f>
        <v>9.49494487186367</v>
      </c>
      <c r="AG111" s="13" t="n">
        <f aca="false">AG23+AG37+AG51+AG65+AG79+AG92</f>
        <v>8.32520087755065</v>
      </c>
      <c r="AH111" s="13" t="n">
        <f aca="false">AH23+AH37+AH51+AH65+AH79+AH92</f>
        <v>7.16730869968905</v>
      </c>
      <c r="AI111" s="13" t="n">
        <f aca="false">AI23+AI37+AI51+AI65+AI79+AI92</f>
        <v>5.71891999731713</v>
      </c>
      <c r="AJ111" s="13" t="n">
        <f aca="false">AJ23+AJ37+AJ51+AJ65+AJ79+AJ92</f>
        <v>4.4614657532967</v>
      </c>
      <c r="AK111" s="13" t="n">
        <f aca="false">AK23+AK37+AK51+AK65+AK79+AK92</f>
        <v>3.03900037596134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316.8616357341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14.4257769749297</v>
      </c>
      <c r="AC112" s="13" t="n">
        <f aca="false">AC111+AC107+AC108+AC109</f>
        <v>13.2150568054917</v>
      </c>
      <c r="AD112" s="13" t="n">
        <f aca="false">AD111+AD107+AD108+AD109</f>
        <v>12.2023487995373</v>
      </c>
      <c r="AE112" s="13" t="n">
        <f aca="false">AE111+AE107+AE108+AE109</f>
        <v>10.8527467843992</v>
      </c>
      <c r="AF112" s="13" t="n">
        <f aca="false">AF111+AF107+AF108+AF109</f>
        <v>9.69121546106401</v>
      </c>
      <c r="AG112" s="13" t="n">
        <f aca="false">AG111+AG107+AG108+AG109</f>
        <v>8.50750155192338</v>
      </c>
      <c r="AH112" s="13" t="n">
        <f aca="false">AH111+AH107+AH108+AH109</f>
        <v>7.23390078250728</v>
      </c>
      <c r="AI112" s="13" t="n">
        <f aca="false">AI111+AI107+AI108+AI109</f>
        <v>5.76206374596053</v>
      </c>
      <c r="AJ112" s="13" t="n">
        <f aca="false">AJ111+AJ107+AJ108+AJ109</f>
        <v>4.39760438173967</v>
      </c>
      <c r="AK112" s="13" t="n">
        <f aca="false">AK111+AK107+AK108+AK109</f>
        <v>2.93333138319851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530.462331910771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21.9689260023529</v>
      </c>
      <c r="AC113" s="13" t="n">
        <f aca="false">AC27+AC41+AC55+AC69+AC83+AC93</f>
        <v>22.292050771194</v>
      </c>
      <c r="AD113" s="13" t="n">
        <f aca="false">AD27+AD41+AD55+AD69+AD83+AD93</f>
        <v>23.8701392261766</v>
      </c>
      <c r="AE113" s="13" t="n">
        <f aca="false">AE27+AE41+AE55+AE69+AE83+AE93</f>
        <v>24.2786487361734</v>
      </c>
      <c r="AF113" s="13" t="n">
        <f aca="false">AF27+AF41+AF55+AF69+AF83+AF93</f>
        <v>24.3689937116268</v>
      </c>
      <c r="AG113" s="13" t="n">
        <f aca="false">AG27+AG41+AG55+AG69+AG83+AG93</f>
        <v>23.8831836754145</v>
      </c>
      <c r="AH113" s="13" t="n">
        <f aca="false">AH27+AH41+AH55+AH69+AH83+AH93</f>
        <v>23.9053745313747</v>
      </c>
      <c r="AI113" s="13" t="n">
        <f aca="false">AI27+AI41+AI55+AI69+AI83+AI93</f>
        <v>23.0816568592677</v>
      </c>
      <c r="AJ113" s="13" t="n">
        <f aca="false">AJ27+AJ41+AJ55+AJ69+AJ83+AJ93</f>
        <v>22.1294631744129</v>
      </c>
      <c r="AK113" s="13" t="n">
        <f aca="false">AK27+AK41+AK55+AK69+AK83+AK93</f>
        <v>19.9329799434153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847.323967644871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36.3947029772826</v>
      </c>
      <c r="AC114" s="13" t="n">
        <f aca="false">AC112+AC113</f>
        <v>35.5071075766857</v>
      </c>
      <c r="AD114" s="13" t="n">
        <f aca="false">AD112+AD113</f>
        <v>36.0724880257139</v>
      </c>
      <c r="AE114" s="13" t="n">
        <f aca="false">AE112+AE113</f>
        <v>35.1313955205726</v>
      </c>
      <c r="AF114" s="13" t="n">
        <f aca="false">AF112+AF113</f>
        <v>34.0602091726908</v>
      </c>
      <c r="AG114" s="13" t="n">
        <f aca="false">AG112+AG113</f>
        <v>32.3906852273379</v>
      </c>
      <c r="AH114" s="13" t="n">
        <f aca="false">AH112+AH113</f>
        <v>31.139275313882</v>
      </c>
      <c r="AI114" s="13" t="n">
        <f aca="false">AI112+AI113</f>
        <v>28.8437206052282</v>
      </c>
      <c r="AJ114" s="13" t="n">
        <f aca="false">AJ112+AJ113</f>
        <v>26.5270675561525</v>
      </c>
      <c r="AK114" s="13" t="n">
        <f aca="false">AK112+AK113</f>
        <v>22.8663113266138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398.321311920538</v>
      </c>
      <c r="AC115" s="13" t="n">
        <f aca="false">AC21+AC35+AC49+AC63+AC77+AC91</f>
        <v>369.192234463008</v>
      </c>
      <c r="AD115" s="13" t="n">
        <f aca="false">AD21+AD35+AD49+AD63+AD77+AD91</f>
        <v>340.082237189694</v>
      </c>
      <c r="AE115" s="13" t="n">
        <f aca="false">AE21+AE35+AE49+AE63+AE77+AE91</f>
        <v>308.05635687008</v>
      </c>
      <c r="AF115" s="13" t="n">
        <f aca="false">AF21+AF35+AF49+AF63+AF77+AF91</f>
        <v>275.018980643892</v>
      </c>
      <c r="AG115" s="13" t="n">
        <f aca="false">AG21+AG35+AG49+AG63+AG77+AG91</f>
        <v>241.009212374738</v>
      </c>
      <c r="AH115" s="13" t="n">
        <f aca="false">AH21+AH35+AH49+AH63+AH77+AH91</f>
        <v>207.048334321245</v>
      </c>
      <c r="AI115" s="13" t="n">
        <f aca="false">AI21+AI35+AI49+AI63+AI77+AI91</f>
        <v>171.678919609386</v>
      </c>
      <c r="AJ115" s="13" t="n">
        <f aca="false">AJ21+AJ35+AJ49+AJ63+AJ77+AJ91</f>
        <v>136.230267795022</v>
      </c>
      <c r="AK115" s="13" t="n">
        <f aca="false">AK21+AK35+AK49+AK63+AK77+AK91</f>
        <v>99.8119254028898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398.321311920538</v>
      </c>
      <c r="AB116" s="13" t="n">
        <f aca="false">AB33+AB47+AB61+AB75+AB89+AB95</f>
        <v>369.192234463008</v>
      </c>
      <c r="AC116" s="13" t="n">
        <f aca="false">AC33+AC47+AC61+AC75+AC89+AC95</f>
        <v>340.082237189694</v>
      </c>
      <c r="AD116" s="13" t="n">
        <f aca="false">AD33+AD47+AD61+AD75+AD89+AD95</f>
        <v>308.05635687008</v>
      </c>
      <c r="AE116" s="13" t="n">
        <f aca="false">AE33+AE47+AE61+AE75+AE89+AE95</f>
        <v>275.018980643892</v>
      </c>
      <c r="AF116" s="13" t="n">
        <f aca="false">AF33+AF47+AF61+AF75+AF89+AF95</f>
        <v>241.009212374738</v>
      </c>
      <c r="AG116" s="13" t="n">
        <f aca="false">AG33+AG47+AG61+AG75+AG89+AG95</f>
        <v>207.048334321245</v>
      </c>
      <c r="AH116" s="13" t="n">
        <f aca="false">AH33+AH47+AH61+AH75+AH89+AH95</f>
        <v>171.678919609386</v>
      </c>
      <c r="AI116" s="13" t="n">
        <f aca="false">AI33+AI47+AI61+AI75+AI89+AI95</f>
        <v>136.230267795022</v>
      </c>
      <c r="AJ116" s="13" t="n">
        <f aca="false">AJ33+AJ47+AJ61+AJ75+AJ89+AJ95</f>
        <v>99.8119254028898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150.322286704758</v>
      </c>
      <c r="AC118" s="13" t="n">
        <f aca="false">IF(Time!AC34=1,AC75,AC73)</f>
        <v>135.33256183566</v>
      </c>
      <c r="AD118" s="13" t="n">
        <f aca="false">IF(Time!AD34=1,AD75,AD73)</f>
        <v>120.076953442457</v>
      </c>
      <c r="AE118" s="13" t="n">
        <f aca="false">IF(Time!AE34=1,AE75,AE73)</f>
        <v>103.575006273005</v>
      </c>
      <c r="AF118" s="13" t="n">
        <f aca="false">IF(Time!AF34=1,AF75,AF73)</f>
        <v>86.8027806530176</v>
      </c>
      <c r="AG118" s="13" t="n">
        <f aca="false">IF(Time!AG34=1,AG75,AG73)</f>
        <v>69.8609023832922</v>
      </c>
      <c r="AH118" s="13" t="n">
        <f aca="false">IF(Time!AH34=1,AH75,AH73)</f>
        <v>53.1035401406254</v>
      </c>
      <c r="AI118" s="13" t="n">
        <f aca="false">IF(Time!AI34=1,AI75,AI73)</f>
        <v>36.1887169711878</v>
      </c>
      <c r="AJ118" s="13" t="n">
        <f aca="false">IF(Time!AJ34=1,AJ75,AJ73)</f>
        <v>19.99947629185</v>
      </c>
      <c r="AK118" s="13" t="n">
        <f aca="false">IF(Time!AK34=1,AK75,AK73)</f>
        <v>4.57112338793218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14.7399548264049</v>
      </c>
      <c r="AC122" s="13" t="n">
        <f aca="false">IF(AND(Time!AC20&gt;=Time!$F$12,Time!AD20&gt;0),(IF(Time!AC34=1,AC75,AC73)-AC72)*AD19+IF(Time!AD46&gt;0,Time!AD45*AC72/Time!AD46,0)+IF(Time!AC34=1,AC75,AC73)*AD13,0)</f>
        <v>14.8185428504737</v>
      </c>
      <c r="AD122" s="13" t="n">
        <f aca="false">IF(AND(Time!AD20&gt;=Time!$F$12,Time!AE20&gt;0),(IF(Time!AD34=1,AD75,AD73)-AD72)*AE19+IF(Time!AE46&gt;0,Time!AE45*AD72/Time!AE46,0)+IF(Time!AD34=1,AD75,AD73)*AE13,0)</f>
        <v>14.1329753135946</v>
      </c>
      <c r="AE122" s="13" t="n">
        <f aca="false">IF(AND(Time!AE20&gt;=Time!$F$12,Time!AF20&gt;0),(IF(Time!AE34=1,AE75,AE73)-AE72)*AF19+IF(Time!AF46&gt;0,Time!AF45*AE72/Time!AF46,0)+IF(Time!AE34=1,AE75,AE73)*AF13,0)</f>
        <v>13.2946841193392</v>
      </c>
      <c r="AF122" s="13" t="n">
        <f aca="false">IF(AND(Time!AF20&gt;=Time!$F$12,Time!AG20&gt;0),(IF(Time!AF34=1,AF75,AF73)-AF72)*AG19+IF(Time!AG46&gt;0,Time!AG45*AF72/Time!AG46,0)+IF(Time!AF34=1,AF75,AF73)*AG13,0)</f>
        <v>12.199333972514</v>
      </c>
      <c r="AG122" s="13" t="n">
        <f aca="false">IF(AND(Time!AG20&gt;=Time!$F$12,Time!AH20&gt;0),(IF(Time!AG34=1,AG75,AG73)-AG72)*AH19+IF(Time!AH46&gt;0,Time!AH45*AG72/Time!AH46,0)+IF(Time!AG34=1,AG75,AG73)*AH13,0)</f>
        <v>11.0668742554545</v>
      </c>
      <c r="AH122" s="13" t="n">
        <f aca="false">IF(AND(Time!AH20&gt;=Time!$F$12,Time!AI20&gt;0),(IF(Time!AH34=1,AH75,AH73)-AH72)*AI19+IF(Time!AI46&gt;0,Time!AI45*AH72/Time!AI46,0)+IF(Time!AH34=1,AH75,AH73)*AI13,0)</f>
        <v>9.39000755653417</v>
      </c>
      <c r="AI122" s="13" t="n">
        <f aca="false">IF(AND(Time!AI20&gt;=Time!$F$12,Time!AJ20&gt;0),(IF(Time!AI34=1,AI75,AI73)-AI72)*AJ19+IF(Time!AJ46&gt;0,Time!AJ45*AI72/Time!AJ46,0)+IF(Time!AI34=1,AI75,AI73)*AJ13,0)</f>
        <v>7.49589916485864</v>
      </c>
      <c r="AJ122" s="13" t="n">
        <f aca="false">IF(AND(Time!AJ20&gt;=Time!$F$12,Time!AK20&gt;0),(IF(Time!AJ34=1,AJ75,AJ73)-AJ72)*AK19+IF(Time!AK46&gt;0,Time!AK45*AJ72/Time!AK46,0)+IF(Time!AJ34=1,AJ75,AJ73)*AK13,0)</f>
        <v>4.91408676921519</v>
      </c>
      <c r="AK122" s="13" t="n">
        <f aca="false">IF(AND(Time!AK20&gt;=Time!$F$12,Time!AL20&gt;0),(IF(Time!AK34=1,AK75,AK73)-AK72)*AL19+IF(Time!AL46&gt;0,Time!AL45*AK72/Time!AL46,0)+IF(Time!AK34=1,AK75,AK73)*AL13,0)</f>
        <v>1.44395319867996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36.246153400454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36.8546072622181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36.1331797323687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35.2301611694324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33.7950885344807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32.7882937028932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30.929682706225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29.1532129413233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26.4509852383704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23.3019906142282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805.237757808351</v>
      </c>
      <c r="Q128" s="13" t="n">
        <f aca="false">IF(Time!Q53=1,(Waterfall!Q7+R128)/(1+Q127),0)</f>
        <v>786.937611671726</v>
      </c>
      <c r="R128" s="13" t="n">
        <f aca="false">IF(Time!R53=1,(Waterfall!R7+S128)/(1+R127),0)</f>
        <v>767.692874123902</v>
      </c>
      <c r="S128" s="13" t="n">
        <f aca="false">IF(Time!S53=1,(Waterfall!S7+T128)/(1+S127),0)</f>
        <v>747.410476686022</v>
      </c>
      <c r="T128" s="13" t="n">
        <f aca="false">IF(Time!T53=1,(Waterfall!T7+U128)/(1+T127),0)</f>
        <v>726.384578157829</v>
      </c>
      <c r="U128" s="13" t="n">
        <f aca="false">IF(Time!U53=1,(Waterfall!U7+V128)/(1+U127),0)</f>
        <v>704.299410924964</v>
      </c>
      <c r="V128" s="13" t="n">
        <f aca="false">IF(Time!V53=1,(Waterfall!V7+W128)/(1+V127),0)</f>
        <v>681.365793505852</v>
      </c>
      <c r="W128" s="13" t="n">
        <f aca="false">IF(Time!W53=1,(Waterfall!W7+X128)/(1+W127),0)</f>
        <v>656.766259625841</v>
      </c>
      <c r="X128" s="13" t="n">
        <f aca="false">IF(Time!X53=1,(Waterfall!X7+Y128)/(1+X127),0)</f>
        <v>631.246556139565</v>
      </c>
      <c r="Y128" s="13" t="n">
        <f aca="false">IF(Time!Y53=1,(Waterfall!Y7+Z128)/(1+Y127),0)</f>
        <v>606.491943454743</v>
      </c>
      <c r="Z128" s="13" t="n">
        <f aca="false">IF(Time!Z53=1,(Waterfall!Z7+AA128)/(1+Z127),0)</f>
        <v>581.877362681697</v>
      </c>
      <c r="AA128" s="13" t="n">
        <f aca="false">IF(Time!AA53=1,(Waterfall!AA7+AB128)/(1+AA127),0)</f>
        <v>556.13173763798</v>
      </c>
      <c r="AB128" s="13" t="n">
        <f aca="false">IF(Time!AB53=1,(Waterfall!AB7+AC128)/(1+AB127),0)</f>
        <v>529.456323518821</v>
      </c>
      <c r="AC128" s="13" t="n">
        <f aca="false">IF(Time!AC53=1,(Waterfall!AC7+AD128)/(1+AC127),0)</f>
        <v>501.365712967739</v>
      </c>
      <c r="AD128" s="13" t="n">
        <f aca="false">IF(Time!AD53=1,(Waterfall!AD7+AE128)/(1+AD127),0)</f>
        <v>472.15913427483</v>
      </c>
      <c r="AE128" s="13" t="n">
        <f aca="false">IF(Time!AE53=1,(Waterfall!AE7+AF128)/(1+AE127),0)</f>
        <v>439.996098519076</v>
      </c>
      <c r="AF128" s="13" t="n">
        <f aca="false">IF(Time!AF53=1,(Waterfall!AF7+AG128)/(1+AF127),0)</f>
        <v>406.209780916727</v>
      </c>
      <c r="AG128" s="13" t="n">
        <f aca="false">IF(Time!AG53=1,(Waterfall!AG7+AH128)/(1+AG127),0)</f>
        <v>371.078986826342</v>
      </c>
      <c r="AH128" s="13" t="n">
        <f aca="false">IF(Time!AH53=1,(Waterfall!AH7+AI128)/(1+AH127),0)</f>
        <v>335.248874178764</v>
      </c>
      <c r="AI128" s="13" t="n">
        <f aca="false">IF(Time!AI53=1,(Waterfall!AI7+AJ128)/(1+AI127),0)</f>
        <v>297.40220371147</v>
      </c>
      <c r="AJ128" s="13" t="n">
        <f aca="false">IF(Time!AJ53=1,(Waterfall!AJ7+AK128)/(1+AJ127),0)</f>
        <v>258.191114661037</v>
      </c>
      <c r="AK128" s="13" t="n">
        <f aca="false">IF(Time!AK53=1,(Waterfall!AK7+AL128)/(1+AK127),0)</f>
        <v>216.849433305939</v>
      </c>
      <c r="AL128" s="13" t="n">
        <f aca="false">IF(Time!AL53=1,(Waterfall!AL7+AM128)/(1+AL127),0)</f>
        <v>173.901546649921</v>
      </c>
      <c r="AM128" s="13" t="n">
        <f aca="false">IF(Time!AM53=1,(Waterfall!AM7+AN128)/(1+AM127),0)</f>
        <v>128.075919350464</v>
      </c>
      <c r="AN128" s="13" t="n">
        <f aca="false">IF(Time!AN53=1,(Waterfall!AN7+AO128)/(1+AN127),0)</f>
        <v>80.5981487726565</v>
      </c>
      <c r="AO128" s="13" t="n">
        <f aca="false">IF(Time!AO53=1,(Waterfall!AO7+AP128)/(1+AO127),0)</f>
        <v>39.9422554743216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1.35000000008592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629.949674818525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37.2458954380635</v>
      </c>
      <c r="Q132" s="13" t="n">
        <f aca="false">IF(Time!Q53=1,(Waterfall!Q7)/$F$129,0)</f>
        <v>37.1570164555538</v>
      </c>
      <c r="R132" s="13" t="n">
        <f aca="false">IF(Time!R53=1,(Waterfall!R7)/$F$129,0)</f>
        <v>37.6247850887604</v>
      </c>
      <c r="S132" s="13" t="n">
        <f aca="false">IF(Time!S53=1,(Waterfall!S7)/$F$129,0)</f>
        <v>37.3333124929517</v>
      </c>
      <c r="T132" s="13" t="n">
        <f aca="false">IF(Time!T53=1,(Waterfall!T7)/$F$129,0)</f>
        <v>37.7512177827679</v>
      </c>
      <c r="U132" s="13" t="n">
        <f aca="false">IF(Time!U53=1,(Waterfall!U7)/$F$129,0)</f>
        <v>37.5706927553002</v>
      </c>
      <c r="V132" s="13" t="n">
        <f aca="false">IF(Time!V53=1,(Waterfall!V7)/$F$129,0)</f>
        <v>38.2879202359205</v>
      </c>
      <c r="W132" s="13" t="n">
        <f aca="false">IF(Time!W53=1,(Waterfall!W7)/$F$129,0)</f>
        <v>38.0232274258671</v>
      </c>
      <c r="X132" s="13" t="n">
        <f aca="false">IF(Time!X53=1,(Waterfall!X7)/$F$129,0)</f>
        <v>36.9267950751925</v>
      </c>
      <c r="Y132" s="13" t="n">
        <f aca="false">IF(Time!Y53=1,(Waterfall!Y7)/$F$129,0)</f>
        <v>36.5703920444418</v>
      </c>
      <c r="Z132" s="13" t="n">
        <f aca="false">IF(Time!Z53=1,(Waterfall!Z7)/$F$129,0)</f>
        <v>36.8713631088781</v>
      </c>
      <c r="AA132" s="13" t="n">
        <f aca="false">IF(Time!AA53=1,(Waterfall!AA7)/$F$129,0)</f>
        <v>36.5742873545563</v>
      </c>
      <c r="AB132" s="13" t="n">
        <f aca="false">IF(Time!AB53=1,(Waterfall!AB7)/$F$129,0)</f>
        <v>37.0047486320753</v>
      </c>
      <c r="AC132" s="13" t="n">
        <f aca="false">IF(Time!AC53=1,(Waterfall!AC7)/$F$129,0)</f>
        <v>36.8529292144618</v>
      </c>
      <c r="AD132" s="13" t="n">
        <f aca="false">IF(Time!AD53=1,(Waterfall!AD7)/$F$129,0)</f>
        <v>38.2685501329268</v>
      </c>
      <c r="AE132" s="13" t="n">
        <f aca="false">IF(Time!AE53=1,(Waterfall!AE7)/$F$129,0)</f>
        <v>38.3302458773137</v>
      </c>
      <c r="AF132" s="13" t="n">
        <f aca="false">IF(Time!AF53=1,(Waterfall!AF7)/$F$129,0)</f>
        <v>38.4493967773995</v>
      </c>
      <c r="AG132" s="13" t="n">
        <f aca="false">IF(Time!AG53=1,(Waterfall!AG7)/$F$129,0)</f>
        <v>38.1772438137977</v>
      </c>
      <c r="AH132" s="13" t="n">
        <f aca="false">IF(Time!AH53=1,(Waterfall!AH7)/$F$129,0)</f>
        <v>38.6731442036005</v>
      </c>
      <c r="AI132" s="13" t="n">
        <f aca="false">IF(Time!AI53=1,(Waterfall!AI7)/$F$129,0)</f>
        <v>38.3712894423861</v>
      </c>
      <c r="AJ132" s="13" t="n">
        <f aca="false">IF(Time!AJ53=1,(Waterfall!AJ7)/$F$129,0)</f>
        <v>38.8167394705953</v>
      </c>
      <c r="AK132" s="13" t="n">
        <f aca="false">IF(Time!AK53=1,(Waterfall!AK7)/$F$129,0)</f>
        <v>38.6403947684857</v>
      </c>
      <c r="AL132" s="13" t="n">
        <f aca="false">IF(Time!AL53=1,(Waterfall!AL7)/$F$129,0)</f>
        <v>39.4633896355765</v>
      </c>
      <c r="AM132" s="13" t="n">
        <f aca="false">IF(Time!AM53=1,(Waterfall!AM7)/$F$129,0)</f>
        <v>39.1849666846242</v>
      </c>
      <c r="AN132" s="13" t="n">
        <f aca="false">IF(Time!AN53=1,(Waterfall!AN7)/$F$129,0)</f>
        <v>32.6731266518091</v>
      </c>
      <c r="AO132" s="13" t="n">
        <f aca="false">IF(Time!AO53=1,(Waterfall!AO7)/$F$129,0)</f>
        <v>30.8393785814651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432.630116167395</v>
      </c>
      <c r="R133" s="13" t="n">
        <f aca="false">IF(Time!R53=1,IF(Time!R20=Time!$F$13,Funding!$F$25*(1-Inputs!$F$75),Q133-Q134),0)</f>
        <v>423.682685626258</v>
      </c>
      <c r="S133" s="13" t="n">
        <f aca="false">IF(Time!S53=1,IF(Time!S20=Time!$F$13,Funding!$F$25*(1-Inputs!$F$75),R133-R134),0)</f>
        <v>413.979992422517</v>
      </c>
      <c r="T133" s="13" t="n">
        <f aca="false">IF(Time!T53=1,IF(Time!T20=Time!$F$13,Funding!$F$25*(1-Inputs!$F$75),S133-S134),0)</f>
        <v>403.815138604316</v>
      </c>
      <c r="U133" s="13" t="n">
        <f aca="false">IF(Time!U53=1,IF(Time!U20=Time!$F$13,Funding!$F$25*(1-Inputs!$F$75),T133-T134),0)</f>
        <v>392.885518791809</v>
      </c>
      <c r="V133" s="13" t="n">
        <f aca="false">IF(Time!V53=1,IF(Time!V20=Time!$F$13,Funding!$F$25*(1-Inputs!$F$75),U133-U134),0)</f>
        <v>381.406693062133</v>
      </c>
      <c r="W133" s="13" t="n">
        <f aca="false">IF(Time!W53=1,IF(Time!W20=Time!$F$13,Funding!$F$25*(1-Inputs!$F$75),V133-V134),0)</f>
        <v>368.731437622723</v>
      </c>
      <c r="X133" s="13" t="n">
        <f aca="false">IF(Time!X53=1,IF(Time!X20=Time!$F$13,Funding!$F$25*(1-Inputs!$F$75),W133-W134),0)</f>
        <v>355.467057764565</v>
      </c>
      <c r="Y133" s="13" t="n">
        <f aca="false">IF(Time!Y53=1,IF(Time!Y20=Time!$F$13,Funding!$F$25*(1-Inputs!$F$75),X133-X134),0)</f>
        <v>342.803604290086</v>
      </c>
      <c r="Z133" s="13" t="n">
        <f aca="false">IF(Time!Z53=1,IF(Time!Z20=Time!$F$13,Funding!$F$25*(1-Inputs!$F$75),Y133-Y134),0)</f>
        <v>330.177218673233</v>
      </c>
      <c r="AA133" s="13" t="n">
        <f aca="false">IF(Time!AA53=1,IF(Time!AA20=Time!$F$13,Funding!$F$25*(1-Inputs!$F$75),Z133-Z134),0)</f>
        <v>316.754658432794</v>
      </c>
      <c r="AB133" s="13" t="n">
        <f aca="false">IF(Time!AB53=1,IF(Time!AB20=Time!$F$13,Funding!$F$25*(1-Inputs!$F$75),AA133-AA134),0)</f>
        <v>302.745480246107</v>
      </c>
      <c r="AC133" s="13" t="n">
        <f aca="false">IF(Time!AC53=1,IF(Time!AC20=Time!$F$13,Funding!$F$25*(1-Inputs!$F$75),AB133-AB134),0)</f>
        <v>287.738604977475</v>
      </c>
      <c r="AD133" s="13" t="n">
        <f aca="false">IF(Time!AD53=1,IF(Time!AD20=Time!$F$13,Funding!$F$25*(1-Inputs!$F$75),AC133-AC134),0)</f>
        <v>272.002107837623</v>
      </c>
      <c r="AE133" s="13" t="n">
        <f aca="false">IF(Time!AE53=1,IF(Time!AE20=Time!$F$13,Funding!$F$25*(1-Inputs!$F$75),AD133-AD134),0)</f>
        <v>254.143735746129</v>
      </c>
      <c r="AF133" s="13" t="n">
        <f aca="false">IF(Time!AF53=1,IF(Time!AF20=Time!$F$13,Funding!$F$25*(1-Inputs!$F$75),AE133-AE134),0)</f>
        <v>235.191689506713</v>
      </c>
      <c r="AG133" s="13" t="n">
        <f aca="false">IF(Time!AG53=1,IF(Time!AG20=Time!$F$13,Funding!$F$25*(1-Inputs!$F$75),AF133-AF134),0)</f>
        <v>215.314215001204</v>
      </c>
      <c r="AH133" s="13" t="n">
        <f aca="false">IF(Time!AH53=1,IF(Time!AH20=Time!$F$13,Funding!$F$25*(1-Inputs!$F$75),AG133-AG134),0)</f>
        <v>194.941087161589</v>
      </c>
      <c r="AI133" s="13" t="n">
        <f aca="false">IF(Time!AI53=1,IF(Time!AI20=Time!$F$13,Funding!$F$25*(1-Inputs!$F$75),AH133-AH134),0)</f>
        <v>173.160025907717</v>
      </c>
      <c r="AJ133" s="13" t="n">
        <f aca="false">IF(Time!AJ53=1,IF(Time!AJ20=Time!$F$13,Funding!$F$25*(1-Inputs!$F$75),AI133-AI134),0)</f>
        <v>150.492661396654</v>
      </c>
      <c r="AK133" s="13" t="n">
        <f aca="false">IF(Time!AK53=1,IF(Time!AK20=Time!$F$13,Funding!$F$25*(1-Inputs!$F$75),AJ133-AJ134),0)</f>
        <v>126.34579530457</v>
      </c>
      <c r="AL133" s="13" t="n">
        <f aca="false">IF(Time!AL53=1,IF(Time!AL20=Time!$F$13,Funding!$F$25*(1-Inputs!$F$75),AK133-AK134),0)</f>
        <v>101.135172447466</v>
      </c>
      <c r="AM133" s="13" t="n">
        <f aca="false">IF(Time!AM53=1,IF(Time!AM20=Time!$F$13,Funding!$F$25*(1-Inputs!$F$75),AL133-AL134),0)</f>
        <v>73.9091421701949</v>
      </c>
      <c r="AN133" s="13" t="n">
        <f aca="false">IF(Time!AN53=1,IF(Time!AN20=Time!$F$13,Funding!$F$25*(1-Inputs!$F$75),AM133-AM134),0)</f>
        <v>45.5951459786037</v>
      </c>
      <c r="AO133" s="13" t="n">
        <f aca="false">IF(Time!AO53=1,IF(Time!AO20=Time!$F$13,Funding!$F$25*(1-Inputs!$F$75),AN133-AN134),0)</f>
        <v>22.4620045281176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8.33465617750811</v>
      </c>
      <c r="Q134" s="13" t="n">
        <f aca="false">Q132-Q149-Q133*Q127</f>
        <v>8.94743054113739</v>
      </c>
      <c r="R134" s="13" t="n">
        <f aca="false">R132-R149-R133*R127</f>
        <v>9.70269320374042</v>
      </c>
      <c r="S134" s="13" t="n">
        <f aca="false">S132-S149-S133*S127</f>
        <v>10.1648538182009</v>
      </c>
      <c r="T134" s="13" t="n">
        <f aca="false">T132-T149-T133*T127</f>
        <v>10.9296198125071</v>
      </c>
      <c r="U134" s="13" t="n">
        <f aca="false">U132-U149-U133*U127</f>
        <v>11.4788257296763</v>
      </c>
      <c r="V134" s="13" t="n">
        <f aca="false">V132-V149-V133*V127</f>
        <v>12.6752554394103</v>
      </c>
      <c r="W134" s="13" t="n">
        <f aca="false">W132-W149-W133*W127</f>
        <v>13.2643798581581</v>
      </c>
      <c r="X134" s="13" t="n">
        <f aca="false">X132-X149-X133*X127</f>
        <v>12.6634534744787</v>
      </c>
      <c r="Y134" s="13" t="n">
        <f aca="false">Y132-Y149-Y133*Y127</f>
        <v>12.6263856168529</v>
      </c>
      <c r="Z134" s="13" t="n">
        <f aca="false">Z132-Z149-Z133*Z127</f>
        <v>13.4225602404389</v>
      </c>
      <c r="AA134" s="13" t="n">
        <f aca="false">AA132-AA149-AA133*AA127</f>
        <v>14.0091781866867</v>
      </c>
      <c r="AB134" s="13" t="n">
        <f aca="false">AB132-AB149-AB133*AB127</f>
        <v>15.0068752686328</v>
      </c>
      <c r="AC134" s="13" t="n">
        <f aca="false">AC132-AC149-AC133*AC127</f>
        <v>15.7364971398515</v>
      </c>
      <c r="AD134" s="13" t="n">
        <f aca="false">AD132-AD149-AD133*AD127</f>
        <v>17.8583720914937</v>
      </c>
      <c r="AE134" s="13" t="n">
        <f aca="false">AE132-AE149-AE133*AE127</f>
        <v>18.9520462394164</v>
      </c>
      <c r="AF134" s="13" t="n">
        <f aca="false">AF132-AF149-AF133*AF127</f>
        <v>19.8774745055089</v>
      </c>
      <c r="AG134" s="13" t="n">
        <f aca="false">AG132-AG149-AG133*AG127</f>
        <v>20.373127839615</v>
      </c>
      <c r="AH134" s="13" t="n">
        <f aca="false">AH132-AH149-AH133*AH127</f>
        <v>21.7810612538717</v>
      </c>
      <c r="AI134" s="13" t="n">
        <f aca="false">AI132-AI149-AI133*AI127</f>
        <v>22.6673645110638</v>
      </c>
      <c r="AJ134" s="13" t="n">
        <f aca="false">AJ132-AJ149-AJ133*AJ127</f>
        <v>24.1468660920839</v>
      </c>
      <c r="AK134" s="13" t="n">
        <f aca="false">AK132-AK149-AK133*AK127</f>
        <v>25.2106228571038</v>
      </c>
      <c r="AL134" s="13" t="n">
        <f aca="false">AL132-AL149-AL133*AL127</f>
        <v>27.2260302772711</v>
      </c>
      <c r="AM134" s="13" t="n">
        <f aca="false">AM132-AM149-AM133*AM127</f>
        <v>28.3139961915912</v>
      </c>
      <c r="AN134" s="13" t="n">
        <f aca="false">AN132-AN149-AN133*AN127</f>
        <v>23.1331414504861</v>
      </c>
      <c r="AO134" s="13" t="n">
        <f aca="false">AO132-AO149-AO133*AO127</f>
        <v>22.4620045281178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1.46874867823499E-009</v>
      </c>
      <c r="Q135" s="13" t="n">
        <f aca="false">IF(Inputs!$F$8=1,Q134-Time!Q53*Inputs!Q298*Funding!$F$25*(1-Inputs!$F$75),0)</f>
        <v>8.81799522289839E-010</v>
      </c>
      <c r="R135" s="13" t="n">
        <f aca="false">IF(Inputs!$F$8=1,R134-Time!R53*Inputs!R298*Funding!$F$25*(1-Inputs!$F$75),0)</f>
        <v>1.69619873702231E-009</v>
      </c>
      <c r="S135" s="13" t="n">
        <f aca="false">IF(Inputs!$F$8=1,S134-Time!S53*Inputs!S298*Funding!$F$25*(1-Inputs!$F$75),0)</f>
        <v>9.67904867366087E-010</v>
      </c>
      <c r="T135" s="13" t="n">
        <f aca="false">IF(Inputs!$F$8=1,T134-Time!T53*Inputs!T298*Funding!$F$25*(1-Inputs!$F$75),0)</f>
        <v>1.73012359994118E-009</v>
      </c>
      <c r="U135" s="13" t="n">
        <f aca="false">IF(Inputs!$F$8=1,U134-Time!U53*Inputs!U298*Funding!$F$25*(1-Inputs!$F$75),0)</f>
        <v>1.1368612717888E-009</v>
      </c>
      <c r="V135" s="13" t="n">
        <f aca="false">IF(Inputs!$F$8=1,V134-Time!V53*Inputs!V298*Funding!$F$25*(1-Inputs!$F$75),0)</f>
        <v>1.55214507913115E-009</v>
      </c>
      <c r="W135" s="13" t="n">
        <f aca="false">IF(Inputs!$F$8=1,W134-Time!W53*Inputs!W298*Funding!$F$25*(1-Inputs!$F$75),0)</f>
        <v>7.2840222742343E-010</v>
      </c>
      <c r="X135" s="13" t="n">
        <f aca="false">IF(Inputs!$F$8=1,X134-Time!X53*Inputs!X298*Funding!$F$25*(1-Inputs!$F$75),0)</f>
        <v>1.4470273868028E-009</v>
      </c>
      <c r="Y135" s="13" t="n">
        <f aca="false">IF(Inputs!$F$8=1,Y134-Time!Y53*Inputs!Y298*Funding!$F$25*(1-Inputs!$F$75),0)</f>
        <v>7.02224056681189E-010</v>
      </c>
      <c r="Z135" s="13" t="n">
        <f aca="false">IF(Inputs!$F$8=1,Z134-Time!Z53*Inputs!Z298*Funding!$F$25*(1-Inputs!$F$75),0)</f>
        <v>1.27707799890686E-009</v>
      </c>
      <c r="AA135" s="13" t="n">
        <f aca="false">IF(Inputs!$F$8=1,AA134-Time!AA53*Inputs!AA298*Funding!$F$25*(1-Inputs!$F$75),0)</f>
        <v>5.6034998863197E-010</v>
      </c>
      <c r="AB135" s="13" t="n">
        <f aca="false">IF(Inputs!$F$8=1,AB134-Time!AB53*Inputs!AB298*Funding!$F$25*(1-Inputs!$F$75),0)</f>
        <v>1.05165653963013E-009</v>
      </c>
      <c r="AC135" s="13" t="n">
        <f aca="false">IF(Inputs!$F$8=1,AC134-Time!AC53*Inputs!AC298*Funding!$F$25*(1-Inputs!$F$75),0)</f>
        <v>5.62957680472209E-010</v>
      </c>
      <c r="AD135" s="13" t="n">
        <f aca="false">IF(Inputs!$F$8=1,AD134-Time!AD53*Inputs!AD298*Funding!$F$25*(1-Inputs!$F$75),0)</f>
        <v>7.21968262951123E-010</v>
      </c>
      <c r="AE135" s="13" t="n">
        <f aca="false">IF(Inputs!$F$8=1,AE134-Time!AE53*Inputs!AE298*Funding!$F$25*(1-Inputs!$F$75),0)</f>
        <v>6.43751718598651E-011</v>
      </c>
      <c r="AF135" s="13" t="n">
        <f aca="false">IF(Inputs!$F$8=1,AF134-Time!AF53*Inputs!AF298*Funding!$F$25*(1-Inputs!$F$75),0)</f>
        <v>3.84655862717409E-010</v>
      </c>
      <c r="AG135" s="13" t="n">
        <f aca="false">IF(Inputs!$F$8=1,AG134-Time!AG53*Inputs!AG298*Funding!$F$25*(1-Inputs!$F$75),0)</f>
        <v>-1.74331660218741E-010</v>
      </c>
      <c r="AH135" s="13" t="n">
        <f aca="false">IF(Inputs!$F$8=1,AH134-Time!AH53*Inputs!AH298*Funding!$F$25*(1-Inputs!$F$75),0)</f>
        <v>2.2669865984426E-011</v>
      </c>
      <c r="AI135" s="13" t="n">
        <f aca="false">IF(Inputs!$F$8=1,AI134-Time!AI53*Inputs!AI298*Funding!$F$25*(1-Inputs!$F$75),0)</f>
        <v>-5.03781905081269E-010</v>
      </c>
      <c r="AJ135" s="13" t="n">
        <f aca="false">IF(Inputs!$F$8=1,AJ134-Time!AJ53*Inputs!AJ298*Funding!$F$25*(1-Inputs!$F$75),0)</f>
        <v>-4.18630463627778E-010</v>
      </c>
      <c r="AK135" s="13" t="n">
        <f aca="false">IF(Inputs!$F$8=1,AK134-Time!AK53*Inputs!AK298*Funding!$F$25*(1-Inputs!$F$75),0)</f>
        <v>-8.12320877230377E-010</v>
      </c>
      <c r="AL135" s="13" t="n">
        <f aca="false">IF(Inputs!$F$8=1,AL134-Time!AL53*Inputs!AL298*Funding!$F$25*(1-Inputs!$F$75),0)</f>
        <v>-9.58326751288041E-010</v>
      </c>
      <c r="AM135" s="13" t="n">
        <f aca="false">IF(Inputs!$F$8=1,AM134-Time!AM53*Inputs!AM298*Funding!$F$25*(1-Inputs!$F$75),0)</f>
        <v>-1.37281119805266E-009</v>
      </c>
      <c r="AN135" s="13" t="n">
        <f aca="false">IF(Inputs!$F$8=1,AN134-Time!AN53*Inputs!AN298*Funding!$F$25*(1-Inputs!$F$75),0)</f>
        <v>-1.08546345245486E-008</v>
      </c>
      <c r="AO135" s="13" t="n">
        <f aca="false">IF(Inputs!$F$8=1,AO134-Time!AO53*Inputs!AO298*Funding!$F$25*(1-Inputs!$F$75),0)</f>
        <v>-1.86228277243572E-009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36.246153400454</v>
      </c>
      <c r="AD9" s="13" t="n">
        <f aca="false">IF(Time!AD34=1,SUM(Funding!$J$44:$BJ$44),AC13)</f>
        <v>36.8546072622181</v>
      </c>
      <c r="AE9" s="13" t="n">
        <f aca="false">IF(Time!AE34=1,SUM(Funding!$J$44:$BJ$44),AD13)</f>
        <v>36.1331797323687</v>
      </c>
      <c r="AF9" s="13" t="n">
        <f aca="false">IF(Time!AF34=1,SUM(Funding!$J$44:$BJ$44),AE13)</f>
        <v>35.2301611694324</v>
      </c>
      <c r="AG9" s="13" t="n">
        <f aca="false">IF(Time!AG34=1,SUM(Funding!$J$44:$BJ$44),AF13)</f>
        <v>33.7950885344807</v>
      </c>
      <c r="AH9" s="13" t="n">
        <f aca="false">IF(Time!AH34=1,SUM(Funding!$J$44:$BJ$44),AG13)</f>
        <v>32.7882937028932</v>
      </c>
      <c r="AI9" s="13" t="n">
        <f aca="false">IF(Time!AI34=1,SUM(Funding!$J$44:$BJ$44),AH13)</f>
        <v>30.929682706225</v>
      </c>
      <c r="AJ9" s="13" t="n">
        <f aca="false">IF(Time!AJ34=1,SUM(Funding!$J$44:$BJ$44),AI13)</f>
        <v>29.1532129413233</v>
      </c>
      <c r="AK9" s="13" t="n">
        <f aca="false">IF(Time!AK34=1,SUM(Funding!$J$44:$BJ$44),AJ13)</f>
        <v>26.4509852383704</v>
      </c>
      <c r="AL9" s="13" t="n">
        <f aca="false">IF(Time!AL34=1,SUM(Funding!$J$44:$BJ$44),AK13)</f>
        <v>23.3019906142282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2.94278760449333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0.608453861764133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40.1886830410881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0.758595231155049</v>
      </c>
      <c r="AC12" s="13" t="n">
        <f aca="false">MAX(0,AC9-AC10-Debt!AC125)</f>
        <v>0</v>
      </c>
      <c r="AD12" s="13" t="n">
        <f aca="false">MAX(0,AD9-AD10-Debt!AD125)</f>
        <v>0.721427529849386</v>
      </c>
      <c r="AE12" s="13" t="n">
        <f aca="false">MAX(0,AE9-AE10-Debt!AE125)</f>
        <v>0.903018562936282</v>
      </c>
      <c r="AF12" s="13" t="n">
        <f aca="false">MAX(0,AF9-AF10-Debt!AF125)</f>
        <v>1.43507263495175</v>
      </c>
      <c r="AG12" s="13" t="n">
        <f aca="false">MAX(0,AG9-AG10-Debt!AG125)</f>
        <v>1.00679483158749</v>
      </c>
      <c r="AH12" s="13" t="n">
        <f aca="false">MAX(0,AH9-AH10-Debt!AH125)</f>
        <v>1.85861099666819</v>
      </c>
      <c r="AI12" s="13" t="n">
        <f aca="false">MAX(0,AI9-AI10-Debt!AI125)</f>
        <v>1.77646976490167</v>
      </c>
      <c r="AJ12" s="13" t="n">
        <f aca="false">MAX(0,AJ9-AJ10-Debt!AJ125)</f>
        <v>2.70222770295293</v>
      </c>
      <c r="AK12" s="13" t="n">
        <f aca="false">MAX(0,AK9-AK10-Debt!AK125)</f>
        <v>3.14899462414221</v>
      </c>
      <c r="AL12" s="13" t="n">
        <f aca="false">MAX(0,AL9-AL10-Debt!AL125)</f>
        <v>1.53582629397698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36.246153400454</v>
      </c>
      <c r="AC13" s="13" t="n">
        <f aca="false">(1-Time!AC37)*(AC9-AC10+AC11-AC12)</f>
        <v>36.8546072622181</v>
      </c>
      <c r="AD13" s="13" t="n">
        <f aca="false">(1-Time!AD37)*(AD9-AD10+AD11-AD12)</f>
        <v>36.1331797323687</v>
      </c>
      <c r="AE13" s="13" t="n">
        <f aca="false">(1-Time!AE37)*(AE9-AE10+AE11-AE12)</f>
        <v>35.2301611694324</v>
      </c>
      <c r="AF13" s="13" t="n">
        <f aca="false">(1-Time!AF37)*(AF9-AF10+AF11-AF12)</f>
        <v>33.7950885344807</v>
      </c>
      <c r="AG13" s="13" t="n">
        <f aca="false">(1-Time!AG37)*(AG9-AG10+AG11-AG12)</f>
        <v>32.7882937028932</v>
      </c>
      <c r="AH13" s="13" t="n">
        <f aca="false">(1-Time!AH37)*(AH9-AH10+AH11-AH12)</f>
        <v>30.929682706225</v>
      </c>
      <c r="AI13" s="13" t="n">
        <f aca="false">(1-Time!AI37)*(AI9-AI10+AI11-AI12)</f>
        <v>29.1532129413233</v>
      </c>
      <c r="AJ13" s="13" t="n">
        <f aca="false">(1-Time!AJ37)*(AJ9-AJ10+AJ11-AJ12)</f>
        <v>26.4509852383704</v>
      </c>
      <c r="AK13" s="13" t="n">
        <f aca="false">(1-Time!AK37)*(AK9-AK10+AK11-AK12)</f>
        <v>23.3019906142282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2307.74020658434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44.1087209827495</v>
      </c>
      <c r="AO7" s="13" t="n">
        <f aca="false">Operations!AO84-Tax!AO27-Operations!AO96-Reserves!AO7+Operations!AO79+Operations!AO97</f>
        <v>41.6331610876275</v>
      </c>
      <c r="AP7" s="13" t="n">
        <f aca="false">Operations!AP84-Tax!AP27-Operations!AP96-Reserves!AP7+Operations!AP79+Operations!AP97</f>
        <v>41.619953066631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44.1087209827495</v>
      </c>
      <c r="AO9" s="13" t="n">
        <f aca="false">AO7+AO8</f>
        <v>41.6331610876275</v>
      </c>
      <c r="AP9" s="13" t="n">
        <f aca="false">AP7+AP8</f>
        <v>41.619953066631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847.323967644871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36.3947029772826</v>
      </c>
      <c r="AC10" s="13" t="n">
        <f aca="false">Debt!AC114+Debt!AC110</f>
        <v>35.5071075766857</v>
      </c>
      <c r="AD10" s="13" t="n">
        <f aca="false">Debt!AD114+Debt!AD110</f>
        <v>36.0724880257139</v>
      </c>
      <c r="AE10" s="13" t="n">
        <f aca="false">Debt!AE114+Debt!AE110</f>
        <v>35.1313955205726</v>
      </c>
      <c r="AF10" s="13" t="n">
        <f aca="false">Debt!AF114+Debt!AF110</f>
        <v>34.0602091726908</v>
      </c>
      <c r="AG10" s="13" t="n">
        <f aca="false">Debt!AG114+Debt!AG110</f>
        <v>32.3906852273379</v>
      </c>
      <c r="AH10" s="13" t="n">
        <f aca="false">Debt!AH114+Debt!AH110</f>
        <v>31.139275313882</v>
      </c>
      <c r="AI10" s="13" t="n">
        <f aca="false">Debt!AI114+Debt!AI110</f>
        <v>28.8437206052282</v>
      </c>
      <c r="AJ10" s="13" t="n">
        <f aca="false">Debt!AJ114+Debt!AJ110</f>
        <v>26.5270675561525</v>
      </c>
      <c r="AK10" s="13" t="n">
        <f aca="false">Debt!AK114+Debt!AK110</f>
        <v>22.8663113266138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13.0049557634594</v>
      </c>
      <c r="R13" s="13" t="n">
        <f aca="false">MAX(0,R9-R10)</f>
        <v>13.1686747859006</v>
      </c>
      <c r="S13" s="13" t="n">
        <f aca="false">MAX(0,S9-S10)</f>
        <v>13.0666593765485</v>
      </c>
      <c r="T13" s="13" t="n">
        <f aca="false">MAX(0,T9-T10)</f>
        <v>13.212926228742</v>
      </c>
      <c r="U13" s="13" t="n">
        <f aca="false">MAX(0,U9-U10)</f>
        <v>13.1497424684528</v>
      </c>
      <c r="V13" s="13" t="n">
        <f aca="false">MAX(0,V9-V10)</f>
        <v>13.4007720870995</v>
      </c>
      <c r="W13" s="13" t="n">
        <f aca="false">MAX(0,W9-W10)</f>
        <v>13.3081296026769</v>
      </c>
      <c r="X13" s="13" t="n">
        <f aca="false">MAX(0,X9-X10)</f>
        <v>12.924378280532</v>
      </c>
      <c r="Y13" s="13" t="n">
        <f aca="false">MAX(0,Y9-Y10)</f>
        <v>12.799637218924</v>
      </c>
      <c r="Z13" s="13" t="n">
        <f aca="false">MAX(0,Z9-Z10)</f>
        <v>12.9049770920428</v>
      </c>
      <c r="AA13" s="13" t="n">
        <f aca="false">MAX(0,AA9-AA10)</f>
        <v>12.8010005772417</v>
      </c>
      <c r="AB13" s="13" t="n">
        <f aca="false">MAX(0,AB9-AB10)</f>
        <v>13.5617076791984</v>
      </c>
      <c r="AC13" s="13" t="n">
        <f aca="false">MAX(0,AC9-AC10)</f>
        <v>14.2443468660041</v>
      </c>
      <c r="AD13" s="13" t="n">
        <f aca="false">MAX(0,AD9-AD10)</f>
        <v>15.5900546570253</v>
      </c>
      <c r="AE13" s="13" t="n">
        <f aca="false">MAX(0,AE9-AE10)</f>
        <v>16.6144364170942</v>
      </c>
      <c r="AF13" s="13" t="n">
        <f aca="false">MAX(0,AF9-AF10)</f>
        <v>17.846476480102</v>
      </c>
      <c r="AG13" s="13" t="n">
        <f aca="false">MAX(0,AG9-AG10)</f>
        <v>19.1485939245691</v>
      </c>
      <c r="AH13" s="13" t="n">
        <f aca="false">MAX(0,AH9-AH10)</f>
        <v>21.0694693643013</v>
      </c>
      <c r="AI13" s="13" t="n">
        <f aca="false">MAX(0,AI9-AI10)</f>
        <v>22.9575201452898</v>
      </c>
      <c r="AJ13" s="13" t="n">
        <f aca="false">MAX(0,AJ9-AJ10)</f>
        <v>25.8755307324861</v>
      </c>
      <c r="AK13" s="13" t="n">
        <f aca="false">MAX(0,AK9-AK10)</f>
        <v>29.2982216141617</v>
      </c>
      <c r="AL13" s="13" t="n">
        <f aca="false">MAX(0,AL9-AL10)</f>
        <v>31.4413885886925</v>
      </c>
      <c r="AM13" s="13" t="n">
        <f aca="false">MAX(0,AM9-AM10)</f>
        <v>31.1335407073582</v>
      </c>
      <c r="AN13" s="13" t="n">
        <f aca="false">MAX(0,AN9-AN10)</f>
        <v>25.2781717065423</v>
      </c>
      <c r="AO13" s="13" t="n">
        <f aca="false">MAX(0,AO9-AO10)</f>
        <v>23.6099630116193</v>
      </c>
      <c r="AP13" s="13" t="n">
        <f aca="false">MAX(0,AP9-AP10)</f>
        <v>41.619953066631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12.5371871310315</v>
      </c>
      <c r="R14" s="13" t="n">
        <f aca="false">R13-Reserves!R11+Reserves!R12</f>
        <v>13.4601473809154</v>
      </c>
      <c r="S14" s="13" t="n">
        <f aca="false">S13-Reserves!S11+Reserves!S12</f>
        <v>12.6487540874542</v>
      </c>
      <c r="T14" s="13" t="n">
        <f aca="false">T13-Reserves!T11+Reserves!T12</f>
        <v>13.3934512555498</v>
      </c>
      <c r="U14" s="13" t="n">
        <f aca="false">U13-Reserves!U11+Reserves!U12</f>
        <v>12.4325149882004</v>
      </c>
      <c r="V14" s="13" t="n">
        <f aca="false">V13-Reserves!V11+Reserves!V12</f>
        <v>13.6654648962718</v>
      </c>
      <c r="W14" s="13" t="n">
        <f aca="false">W13-Reserves!W11+Reserves!W12</f>
        <v>14.404561954037</v>
      </c>
      <c r="X14" s="13" t="n">
        <f aca="false">X13-Reserves!X11+Reserves!X12</f>
        <v>13.2807813104681</v>
      </c>
      <c r="Y14" s="13" t="n">
        <f aca="false">Y13-Reserves!Y11+Reserves!Y12</f>
        <v>12.4986661550279</v>
      </c>
      <c r="Z14" s="13" t="n">
        <f aca="false">Z13-Reserves!Z11+Reserves!Z12</f>
        <v>13.2020528456018</v>
      </c>
      <c r="AA14" s="13" t="n">
        <f aca="false">AA13-Reserves!AA11+Reserves!AA12</f>
        <v>12.3705393001843</v>
      </c>
      <c r="AB14" s="13" t="n">
        <f aca="false">AB13-Reserves!AB11+Reserves!AB12</f>
        <v>14.3203029103534</v>
      </c>
      <c r="AC14" s="13" t="n">
        <f aca="false">AC13-Reserves!AC11+Reserves!AC12</f>
        <v>13.63589300424</v>
      </c>
      <c r="AD14" s="13" t="n">
        <f aca="false">AD13-Reserves!AD11+Reserves!AD12</f>
        <v>16.3114821868747</v>
      </c>
      <c r="AE14" s="13" t="n">
        <f aca="false">AE13-Reserves!AE11+Reserves!AE12</f>
        <v>17.5174549800305</v>
      </c>
      <c r="AF14" s="13" t="n">
        <f aca="false">AF13-Reserves!AF11+Reserves!AF12</f>
        <v>19.2815491150537</v>
      </c>
      <c r="AG14" s="13" t="n">
        <f aca="false">AG13-Reserves!AG11+Reserves!AG12</f>
        <v>20.1553887561566</v>
      </c>
      <c r="AH14" s="13" t="n">
        <f aca="false">AH13-Reserves!AH11+Reserves!AH12</f>
        <v>22.9280803609695</v>
      </c>
      <c r="AI14" s="13" t="n">
        <f aca="false">AI13-Reserves!AI11+Reserves!AI12</f>
        <v>24.7339899101914</v>
      </c>
      <c r="AJ14" s="13" t="n">
        <f aca="false">AJ13-Reserves!AJ11+Reserves!AJ12</f>
        <v>28.577758435439</v>
      </c>
      <c r="AK14" s="13" t="n">
        <f aca="false">AK13-Reserves!AK11+Reserves!AK12</f>
        <v>32.4472162383039</v>
      </c>
      <c r="AL14" s="13" t="n">
        <f aca="false">AL13-Reserves!AL11+Reserves!AL12</f>
        <v>32.9772148826695</v>
      </c>
      <c r="AM14" s="13" t="n">
        <f aca="false">AM13-Reserves!AM11+Reserves!AM12</f>
        <v>34.0691557514022</v>
      </c>
      <c r="AN14" s="13" t="n">
        <f aca="false">AN13-Reserves!AN11+Reserves!AN12</f>
        <v>26.0855229067413</v>
      </c>
      <c r="AO14" s="13" t="n">
        <f aca="false">AO13-Reserves!AO11+Reserves!AO12</f>
        <v>41.6331610876275</v>
      </c>
      <c r="AP14" s="13" t="n">
        <f aca="false">AP13-Reserves!AP11+Reserves!AP12</f>
        <v>41.619953066631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12.5371871310315</v>
      </c>
      <c r="R15" s="13" t="n">
        <f aca="false">R14-Reserves!R14+Reserves!R15</f>
        <v>13.4601473809154</v>
      </c>
      <c r="S15" s="13" t="n">
        <f aca="false">S14-Reserves!S14+Reserves!S15</f>
        <v>12.6487540874542</v>
      </c>
      <c r="T15" s="13" t="n">
        <f aca="false">T14-Reserves!T14+Reserves!T15</f>
        <v>13.3934512555498</v>
      </c>
      <c r="U15" s="13" t="n">
        <f aca="false">U14-Reserves!U14+Reserves!U15</f>
        <v>12.4325149882004</v>
      </c>
      <c r="V15" s="13" t="n">
        <f aca="false">V14-Reserves!V14+Reserves!V15</f>
        <v>13.6654648962718</v>
      </c>
      <c r="W15" s="13" t="n">
        <f aca="false">W14-Reserves!W14+Reserves!W15</f>
        <v>14.404561954037</v>
      </c>
      <c r="X15" s="13" t="n">
        <f aca="false">X14-Reserves!X14+Reserves!X15</f>
        <v>13.2807813104681</v>
      </c>
      <c r="Y15" s="13" t="n">
        <f aca="false">Y14-Reserves!Y14+Reserves!Y15</f>
        <v>12.4986661550279</v>
      </c>
      <c r="Z15" s="13" t="n">
        <f aca="false">Z14-Reserves!Z14+Reserves!Z15</f>
        <v>13.2020528456018</v>
      </c>
      <c r="AA15" s="13" t="n">
        <f aca="false">AA14-Reserves!AA14+Reserves!AA15</f>
        <v>12.3705393001843</v>
      </c>
      <c r="AB15" s="13" t="n">
        <f aca="false">AB14-Reserves!AB14+Reserves!AB15</f>
        <v>14.3203029103534</v>
      </c>
      <c r="AC15" s="13" t="n">
        <f aca="false">AC14-Reserves!AC14+Reserves!AC15</f>
        <v>13.63589300424</v>
      </c>
      <c r="AD15" s="13" t="n">
        <f aca="false">AD14-Reserves!AD14+Reserves!AD15</f>
        <v>16.3114821868747</v>
      </c>
      <c r="AE15" s="13" t="n">
        <f aca="false">AE14-Reserves!AE14+Reserves!AE15</f>
        <v>17.5174549800305</v>
      </c>
      <c r="AF15" s="13" t="n">
        <f aca="false">AF14-Reserves!AF14+Reserves!AF15</f>
        <v>19.2815491150537</v>
      </c>
      <c r="AG15" s="13" t="n">
        <f aca="false">AG14-Reserves!AG14+Reserves!AG15</f>
        <v>20.1553887561566</v>
      </c>
      <c r="AH15" s="13" t="n">
        <f aca="false">AH14-Reserves!AH14+Reserves!AH15</f>
        <v>22.9280803609695</v>
      </c>
      <c r="AI15" s="13" t="n">
        <f aca="false">AI14-Reserves!AI14+Reserves!AI15</f>
        <v>24.7339899101914</v>
      </c>
      <c r="AJ15" s="13" t="n">
        <f aca="false">AJ14-Reserves!AJ14+Reserves!AJ15</f>
        <v>28.577758435439</v>
      </c>
      <c r="AK15" s="13" t="n">
        <f aca="false">AK14-Reserves!AK14+Reserves!AK15</f>
        <v>32.4472162383039</v>
      </c>
      <c r="AL15" s="13" t="n">
        <f aca="false">AL14-Reserves!AL14+Reserves!AL15</f>
        <v>32.9772148826695</v>
      </c>
      <c r="AM15" s="13" t="n">
        <f aca="false">AM14-Reserves!AM14+Reserves!AM15</f>
        <v>34.0691557514022</v>
      </c>
      <c r="AN15" s="13" t="n">
        <f aca="false">AN14-Reserves!AN14+Reserves!AN15</f>
        <v>26.0855229067413</v>
      </c>
      <c r="AO15" s="13" t="n">
        <f aca="false">AO14-Reserves!AO14+Reserves!AO15</f>
        <v>41.6331610876275</v>
      </c>
      <c r="AP15" s="13" t="n">
        <f aca="false">AP14-Reserves!AP14+Reserves!AP15</f>
        <v>41.619953066631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1.35000000011582</v>
      </c>
      <c r="R17" s="3" t="n">
        <f aca="false">IF(Debt!R114&gt;Inputs!$F$253,R7/Debt!R114,0)</f>
        <v>1.35000000014339</v>
      </c>
      <c r="S17" s="3" t="n">
        <f aca="false">IF(Debt!S114&gt;Inputs!$F$253,S7/Debt!S114,0)</f>
        <v>1.35000000011513</v>
      </c>
      <c r="T17" s="3" t="n">
        <f aca="false">IF(Debt!T114&gt;Inputs!$F$253,T7/Debt!T114,0)</f>
        <v>1.35000000014062</v>
      </c>
      <c r="U17" s="3" t="n">
        <f aca="false">IF(Debt!U114&gt;Inputs!$F$253,U7/Debt!U114,0)</f>
        <v>1.35000000011717</v>
      </c>
      <c r="V17" s="3" t="n">
        <f aca="false">IF(Debt!V114&gt;Inputs!$F$253,V7/Debt!V114,0)</f>
        <v>1.35000000012956</v>
      </c>
      <c r="W17" s="3" t="n">
        <f aca="false">IF(Debt!W114&gt;Inputs!$F$253,W7/Debt!W114,0)</f>
        <v>1.35000000009858</v>
      </c>
      <c r="X17" s="3" t="n">
        <f aca="false">IF(Debt!X114&gt;Inputs!$F$253,X7/Debt!X114,0)</f>
        <v>1.35000000012401</v>
      </c>
      <c r="Y17" s="3" t="n">
        <f aca="false">IF(Debt!Y114&gt;Inputs!$F$253,Y7/Debt!Y114,0)</f>
        <v>1.35000000009431</v>
      </c>
      <c r="Z17" s="3" t="n">
        <f aca="false">IF(Debt!Z114&gt;Inputs!$F$253,Z7/Debt!Z114,0)</f>
        <v>1.35000000011402</v>
      </c>
      <c r="AA17" s="3" t="n">
        <f aca="false">IF(Debt!AA114&gt;Inputs!$F$253,AA7/Debt!AA114,0)</f>
        <v>1.35000000008609</v>
      </c>
      <c r="AB17" s="3" t="n">
        <f aca="false">IF(Debt!AB114&gt;Inputs!$F$253,AB7/Debt!AB114,0)</f>
        <v>1.37262861267651</v>
      </c>
      <c r="AC17" s="3" t="n">
        <f aca="false">IF(Debt!AC114&gt;Inputs!$F$253,AC7/Debt!AC114,0)</f>
        <v>1.40116888809488</v>
      </c>
      <c r="AD17" s="3" t="n">
        <f aca="false">IF(Debt!AD114&gt;Inputs!$F$253,AD7/Debt!AD114,0)</f>
        <v>1.43218684128226</v>
      </c>
      <c r="AE17" s="3" t="n">
        <f aca="false">IF(Debt!AE114&gt;Inputs!$F$253,AE7/Debt!AE114,0)</f>
        <v>1.4729227567224</v>
      </c>
      <c r="AF17" s="3" t="n">
        <f aca="false">IF(Debt!AF114&gt;Inputs!$F$253,AF7/Debt!AF114,0)</f>
        <v>1.52396849325315</v>
      </c>
      <c r="AG17" s="3" t="n">
        <f aca="false">IF(Debt!AG114&gt;Inputs!$F$253,AG7/Debt!AG114,0)</f>
        <v>1.59117594426214</v>
      </c>
      <c r="AH17" s="3" t="n">
        <f aca="false">IF(Debt!AH114&gt;Inputs!$F$253,AH7/Debt!AH114,0)</f>
        <v>1.67662041431351</v>
      </c>
      <c r="AI17" s="3" t="n">
        <f aca="false">IF(Debt!AI114&gt;Inputs!$F$253,AI7/Debt!AI114,0)</f>
        <v>1.79592783675517</v>
      </c>
      <c r="AJ17" s="3" t="n">
        <f aca="false">IF(Debt!AJ114&gt;Inputs!$F$253,AJ7/Debt!AJ114,0)</f>
        <v>1.97543879200793</v>
      </c>
      <c r="AK17" s="3" t="n">
        <f aca="false">IF(Debt!AK114&gt;Inputs!$F$253,AK7/Debt!AK114,0)</f>
        <v>2.28128324659264</v>
      </c>
      <c r="AL17" s="3" t="n">
        <f aca="false">IF(Debt!AL114&gt;Inputs!$F$253,AL7/Debt!AL114,0)</f>
        <v>2.44000726841643</v>
      </c>
      <c r="AM17" s="3" t="n">
        <f aca="false">IF(Debt!AM114&gt;Inputs!$F$253,AM7/Debt!AM114,0)</f>
        <v>2.4303641307344</v>
      </c>
      <c r="AN17" s="3" t="n">
        <f aca="false">IF(Debt!AN114&gt;Inputs!$F$253,AN7/Debt!AN114,0)</f>
        <v>2.34240224943846</v>
      </c>
      <c r="AO17" s="3" t="n">
        <f aca="false">IF(Debt!AO114&gt;Inputs!$F$253,AO7/Debt!AO114,0)</f>
        <v>2.30997633783141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1.35000000012749</v>
      </c>
      <c r="R18" s="3" t="n">
        <f aca="false">IF(Debt!R114&gt;Inputs!$F$253,IF(Debt!Q114&gt;Inputs!$F$253,(R7+Q7)/(Debt!R114+Debt!Q114),R17),0)</f>
        <v>1.35000000012969</v>
      </c>
      <c r="S18" s="3" t="n">
        <f aca="false">IF(Debt!S114&gt;Inputs!$F$253,IF(Debt!R114&gt;Inputs!$F$253,(S7+R7)/(Debt!S114+Debt!R114),S17),0)</f>
        <v>1.35000000012932</v>
      </c>
      <c r="T18" s="3" t="n">
        <f aca="false">IF(Debt!T114&gt;Inputs!$F$253,IF(Debt!S114&gt;Inputs!$F$253,(T7+S7)/(Debt!T114+Debt!S114),T17),0)</f>
        <v>1.35000000012795</v>
      </c>
      <c r="U18" s="3" t="n">
        <f aca="false">IF(Debt!U114&gt;Inputs!$F$253,IF(Debt!T114&gt;Inputs!$F$253,(U7+T7)/(Debt!U114+Debt!T114),U17),0)</f>
        <v>1.35000000012892</v>
      </c>
      <c r="V18" s="3" t="n">
        <f aca="false">IF(Debt!V114&gt;Inputs!$F$253,IF(Debt!U114&gt;Inputs!$F$253,(V7+U7)/(Debt!V114+Debt!U114),V17),0)</f>
        <v>1.35000000012342</v>
      </c>
      <c r="W18" s="3" t="n">
        <f aca="false">IF(Debt!W114&gt;Inputs!$F$253,IF(Debt!V114&gt;Inputs!$F$253,(W7+V7)/(Debt!W114+Debt!V114),W17),0)</f>
        <v>1.35000000011412</v>
      </c>
      <c r="X18" s="3" t="n">
        <f aca="false">IF(Debt!X114&gt;Inputs!$F$253,IF(Debt!W114&gt;Inputs!$F$253,(X7+W7)/(Debt!X114+Debt!W114),X17),0)</f>
        <v>1.35000000011111</v>
      </c>
      <c r="Y18" s="3" t="n">
        <f aca="false">IF(Debt!Y114&gt;Inputs!$F$253,IF(Debt!X114&gt;Inputs!$F$253,(Y7+X7)/(Debt!Y114+Debt!X114),Y17),0)</f>
        <v>1.35000000010923</v>
      </c>
      <c r="Z18" s="3" t="n">
        <f aca="false">IF(Debt!Z114&gt;Inputs!$F$253,IF(Debt!Y114&gt;Inputs!$F$253,(Z7+Y7)/(Debt!Z114+Debt!Y114),Z17),0)</f>
        <v>1.35000000010421</v>
      </c>
      <c r="AA18" s="3" t="n">
        <f aca="false">IF(Debt!AA114&gt;Inputs!$F$253,IF(Debt!Z114&gt;Inputs!$F$253,(AA7+Z7)/(Debt!AA114+Debt!Z114),AA17),0)</f>
        <v>1.35000000010011</v>
      </c>
      <c r="AB18" s="3" t="n">
        <f aca="false">IF(Debt!AB114&gt;Inputs!$F$253,IF(Debt!AA114&gt;Inputs!$F$253,(AB7+AA7)/(Debt!AB114+Debt!AA114),AB17),0)</f>
        <v>1.3612864606808</v>
      </c>
      <c r="AC18" s="3" t="n">
        <f aca="false">IF(Debt!AC114&gt;Inputs!$F$253,IF(Debt!AB114&gt;Inputs!$F$253,(AC7+AB7)/(Debt!AC114+Debt!AB114),AC17),0)</f>
        <v>1.38672259197606</v>
      </c>
      <c r="AD18" s="3" t="n">
        <f aca="false">IF(Debt!AD114&gt;Inputs!$F$253,IF(Debt!AC114&gt;Inputs!$F$253,(AD7+AC7)/(Debt!AD114+Debt!AC114),AD17),0)</f>
        <v>1.41680036429305</v>
      </c>
      <c r="AE18" s="3" t="n">
        <f aca="false">IF(Debt!AE114&gt;Inputs!$F$253,IF(Debt!AD114&gt;Inputs!$F$253,(AE7+AD7)/(Debt!AE114+Debt!AD114),AE17),0)</f>
        <v>1.45228559834359</v>
      </c>
      <c r="AF18" s="3" t="n">
        <f aca="false">IF(Debt!AF114&gt;Inputs!$F$253,IF(Debt!AE114&gt;Inputs!$F$253,(AF7+AE7)/(Debt!AF114+Debt!AE114),AF17),0)</f>
        <v>1.49805049398647</v>
      </c>
      <c r="AG18" s="3" t="n">
        <f aca="false">IF(Debt!AG114&gt;Inputs!$F$253,IF(Debt!AF114&gt;Inputs!$F$253,(AG7+AF7)/(Debt!AG114+Debt!AF114),AG17),0)</f>
        <v>1.55672795285439</v>
      </c>
      <c r="AH18" s="3" t="n">
        <f aca="false">IF(Debt!AH114&gt;Inputs!$F$253,IF(Debt!AG114&gt;Inputs!$F$253,(AH7+AG7)/(Debt!AH114+Debt!AG114),AH17),0)</f>
        <v>1.63305663888735</v>
      </c>
      <c r="AI18" s="3" t="n">
        <f aca="false">IF(Debt!AI114&gt;Inputs!$F$253,IF(Debt!AH114&gt;Inputs!$F$253,(AI7+AH7)/(Debt!AI114+Debt!AH114),AI17),0)</f>
        <v>1.73399117258104</v>
      </c>
      <c r="AJ18" s="3" t="n">
        <f aca="false">IF(Debt!AJ114&gt;Inputs!$F$253,IF(Debt!AI114&gt;Inputs!$F$253,(AJ7+AI7)/(Debt!AJ114+Debt!AI114),AJ17),0)</f>
        <v>1.88192804363647</v>
      </c>
      <c r="AK18" s="3" t="n">
        <f aca="false">IF(Debt!AK114&gt;Inputs!$F$253,IF(Debt!AJ114&gt;Inputs!$F$253,(AK7+AJ7)/(Debt!AK114+Debt!AJ114),AK17),0)</f>
        <v>2.11702729383226</v>
      </c>
      <c r="AL18" s="3" t="n">
        <f aca="false">IF(Debt!AL114&gt;Inputs!$F$253,IF(Debt!AK114&gt;Inputs!$F$253,(AL7+AK7)/(Debt!AL114+Debt!AK114),AL17),0)</f>
        <v>2.35881280751372</v>
      </c>
      <c r="AM18" s="3" t="n">
        <f aca="false">IF(Debt!AM114&gt;Inputs!$F$253,IF(Debt!AL114&gt;Inputs!$F$253,(AM7+AL7)/(Debt!AM114+Debt!AL114),AM17),0)</f>
        <v>2.43519322194756</v>
      </c>
      <c r="AN18" s="3" t="n">
        <f aca="false">IF(Debt!AN114&gt;Inputs!$F$253,IF(Debt!AM114&gt;Inputs!$F$253,(AN7+AM7)/(Debt!AN114+Debt!AM114),AN17),0)</f>
        <v>2.38956352414748</v>
      </c>
      <c r="AO18" s="3" t="n">
        <f aca="false">IF(Debt!AO114&gt;Inputs!$F$253,IF(Debt!AN114&gt;Inputs!$F$253,(AO7+AN7)/(Debt!AO114+Debt!AN114),AO17),0)</f>
        <v>2.32654446916706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99.4873428676788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6.18526965009215</v>
      </c>
      <c r="AB29" s="13" t="n">
        <f aca="false">IF(AND(AB24=1,Time!AB52=1,Inputs!$F$52=1),MIN(Inputs!$F$111*AB15,Debt!AB73),0)</f>
        <v>7.16015145517671</v>
      </c>
      <c r="AC29" s="13" t="n">
        <f aca="false">IF(AND(AC24=1,Time!AC52=1,Inputs!$F$52=1),MIN(Inputs!$F$111*AC15,Debt!AC73),0)</f>
        <v>6.81794650211999</v>
      </c>
      <c r="AD29" s="13" t="n">
        <f aca="false">IF(AND(AD24=1,Time!AD52=1,Inputs!$F$52=1),MIN(Inputs!$F$111*AD15,Debt!AD73),0)</f>
        <v>8.15574109343732</v>
      </c>
      <c r="AE29" s="13" t="n">
        <f aca="false">IF(AND(AE24=1,Time!AE52=1,Inputs!$F$52=1),MIN(Inputs!$F$111*AE15,Debt!AE73),0)</f>
        <v>8.75872749001524</v>
      </c>
      <c r="AF29" s="13" t="n">
        <f aca="false">IF(AND(AF24=1,Time!AF52=1,Inputs!$F$52=1),MIN(Inputs!$F$111*AF15,Debt!AF73),0)</f>
        <v>9.64077455752687</v>
      </c>
      <c r="AG29" s="13" t="n">
        <f aca="false">IF(AND(AG24=1,Time!AG52=1,Inputs!$F$52=1),MIN(Inputs!$F$111*AG15,Debt!AG73),0)</f>
        <v>10.0776943780783</v>
      </c>
      <c r="AH29" s="13" t="n">
        <f aca="false">IF(AND(AH24=1,Time!AH52=1,Inputs!$F$52=1),MIN(Inputs!$F$111*AH15,Debt!AH73),0)</f>
        <v>11.4640401804848</v>
      </c>
      <c r="AI29" s="13" t="n">
        <f aca="false">IF(AND(AI24=1,Time!AI52=1,Inputs!$F$52=1),MIN(Inputs!$F$111*AI15,Debt!AI73),0)</f>
        <v>12.3669949550957</v>
      </c>
      <c r="AJ29" s="13" t="n">
        <f aca="false">IF(AND(AJ24=1,Time!AJ52=1,Inputs!$F$52=1),MIN(Inputs!$F$111*AJ15,Debt!AJ73),0)</f>
        <v>14.2888792177195</v>
      </c>
      <c r="AK29" s="13" t="n">
        <f aca="false">IF(AND(AK24=1,Time!AK52=1,Inputs!$F$52=1),MIN(Inputs!$F$111*AK15,Debt!AK73),0)</f>
        <v>4.57112338793218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1398.17479150839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12.5371871310315</v>
      </c>
      <c r="R31" s="13" t="n">
        <f aca="false">IF(R24=1,R15-R29,0)</f>
        <v>13.4601473809154</v>
      </c>
      <c r="S31" s="13" t="n">
        <f aca="false">IF(S24=1,S15-S29,0)</f>
        <v>12.6487540874542</v>
      </c>
      <c r="T31" s="13" t="n">
        <f aca="false">IF(T24=1,T15-T29,0)</f>
        <v>13.3934512555498</v>
      </c>
      <c r="U31" s="13" t="n">
        <f aca="false">IF(U24=1,U15-U29,0)</f>
        <v>12.4325149882004</v>
      </c>
      <c r="V31" s="13" t="n">
        <f aca="false">IF(V24=1,V15-V29,0)</f>
        <v>13.6654648962718</v>
      </c>
      <c r="W31" s="13" t="n">
        <f aca="false">IF(W24=1,W15-W29,0)</f>
        <v>14.404561954037</v>
      </c>
      <c r="X31" s="13" t="n">
        <f aca="false">IF(X24=1,X15-X29,0)</f>
        <v>13.2807813104681</v>
      </c>
      <c r="Y31" s="13" t="n">
        <f aca="false">IF(Y24=1,Y15-Y29,0)</f>
        <v>12.4986661550279</v>
      </c>
      <c r="Z31" s="13" t="n">
        <f aca="false">IF(Z24=1,Z15-Z29,0)</f>
        <v>13.2020528456018</v>
      </c>
      <c r="AA31" s="13" t="n">
        <f aca="false">IF(AA24=1,AA15-AA29,0)</f>
        <v>6.18526965009215</v>
      </c>
      <c r="AB31" s="13" t="n">
        <f aca="false">IF(AB24=1,AB15-AB29,0)</f>
        <v>7.16015145517671</v>
      </c>
      <c r="AC31" s="13" t="n">
        <f aca="false">IF(AC24=1,AC15-AC29,0)</f>
        <v>6.81794650211999</v>
      </c>
      <c r="AD31" s="13" t="n">
        <f aca="false">IF(AD24=1,AD15-AD29,0)</f>
        <v>8.15574109343732</v>
      </c>
      <c r="AE31" s="13" t="n">
        <f aca="false">IF(AE24=1,AE15-AE29,0)</f>
        <v>8.75872749001524</v>
      </c>
      <c r="AF31" s="13" t="n">
        <f aca="false">IF(AF24=1,AF15-AF29,0)</f>
        <v>9.64077455752687</v>
      </c>
      <c r="AG31" s="13" t="n">
        <f aca="false">IF(AG24=1,AG15-AG29,0)</f>
        <v>10.0776943780783</v>
      </c>
      <c r="AH31" s="13" t="n">
        <f aca="false">IF(AH24=1,AH15-AH29,0)</f>
        <v>11.4640401804848</v>
      </c>
      <c r="AI31" s="13" t="n">
        <f aca="false">IF(AI24=1,AI15-AI29,0)</f>
        <v>12.3669949550957</v>
      </c>
      <c r="AJ31" s="13" t="n">
        <f aca="false">IF(AJ24=1,AJ15-AJ29,0)</f>
        <v>14.2888792177195</v>
      </c>
      <c r="AK31" s="13" t="n">
        <f aca="false">IF(AK24=1,AK15-AK29,0)</f>
        <v>27.8760928503717</v>
      </c>
      <c r="AL31" s="13" t="n">
        <f aca="false">IF(AL24=1,AL15-AL29,0)</f>
        <v>32.9772148826695</v>
      </c>
      <c r="AM31" s="13" t="n">
        <f aca="false">IF(AM24=1,AM15-AM29,0)</f>
        <v>34.0691557514022</v>
      </c>
      <c r="AN31" s="13" t="n">
        <f aca="false">IF(AN24=1,AN15-AN29,0)</f>
        <v>26.0855229067413</v>
      </c>
      <c r="AO31" s="13" t="n">
        <f aca="false">IF(AO24=1,AO15-AO29,0)</f>
        <v>41.6331610876275</v>
      </c>
      <c r="AP31" s="13" t="n">
        <f aca="false">IF(AP24=1,AP15-AP29,0)</f>
        <v>41.619953066631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199.351995173748</v>
      </c>
      <c r="S33" s="13" t="n">
        <f aca="false">IF(Time!S20&lt;Time!$F$12,0,IF(Time!S34=1,INDEX(Funding!$J$72:$BJ$72,1,Time!$F$14),R36))</f>
        <v>195.438896767181</v>
      </c>
      <c r="T33" s="13" t="n">
        <f aca="false">IF(Time!T20&lt;Time!$F$12,0,IF(Time!T34=1,INDEX(Funding!$J$72:$BJ$72,1,Time!$F$14),S36))</f>
        <v>191.997188789074</v>
      </c>
      <c r="U33" s="13" t="n">
        <f aca="false">IF(Time!U20&lt;Time!$F$12,0,IF(Time!U34=1,INDEX(Funding!$J$72:$BJ$72,1,Time!$F$14),T36))</f>
        <v>187.798561807587</v>
      </c>
      <c r="V33" s="13" t="n">
        <f aca="false">IF(Time!V20&lt;Time!$F$12,0,IF(Time!V34=1,INDEX(Funding!$J$72:$BJ$72,1,Time!$F$14),U36))</f>
        <v>184.262038966382</v>
      </c>
      <c r="W33" s="13" t="n">
        <f aca="false">IF(Time!W20&lt;Time!$F$12,0,IF(Time!W34=1,INDEX(Funding!$J$72:$BJ$72,1,Time!$F$14),V36))</f>
        <v>179.420958840335</v>
      </c>
      <c r="X33" s="13" t="n">
        <f aca="false">IF(Time!X20&lt;Time!$F$12,0,IF(Time!X34=1,INDEX(Funding!$J$72:$BJ$72,1,Time!$F$14),W36))</f>
        <v>173.468844522626</v>
      </c>
      <c r="Y33" s="13" t="n">
        <f aca="false">IF(Time!Y20&lt;Time!$F$12,0,IF(Time!Y34=1,INDEX(Funding!$J$72:$BJ$72,1,Time!$F$14),X36))</f>
        <v>168.495557464913</v>
      </c>
      <c r="Z33" s="13" t="n">
        <f aca="false">IF(Time!Z20&lt;Time!$F$12,0,IF(Time!Z34=1,INDEX(Funding!$J$72:$BJ$72,1,Time!$F$14),Y36))</f>
        <v>163.934647777307</v>
      </c>
      <c r="AA33" s="13" t="n">
        <f aca="false">IF(Time!AA20&lt;Time!$F$12,0,IF(Time!AA34=1,INDEX(Funding!$J$72:$BJ$72,1,Time!$F$14),Z36))</f>
        <v>158.583492584164</v>
      </c>
      <c r="AB33" s="13" t="n">
        <f aca="false">IF(Time!AB20&lt;Time!$F$12,0,IF(Time!AB34=1,INDEX(Funding!$J$72:$BJ$72,1,Time!$F$14),AA36))</f>
        <v>159.869026098413</v>
      </c>
      <c r="AC33" s="13" t="n">
        <f aca="false">IF(Time!AC20&lt;Time!$F$12,0,IF(Time!AC34=1,INDEX(Funding!$J$72:$BJ$72,1,Time!$F$14),AB36))</f>
        <v>160.365068002689</v>
      </c>
      <c r="AD33" s="13" t="n">
        <f aca="false">IF(Time!AD20&lt;Time!$F$12,0,IF(Time!AD34=1,INDEX(Funding!$J$72:$BJ$72,1,Time!$F$14),AC36))</f>
        <v>161.143592804039</v>
      </c>
      <c r="AE33" s="13" t="n">
        <f aca="false">IF(Time!AE20&lt;Time!$F$12,0,IF(Time!AE34=1,INDEX(Funding!$J$72:$BJ$72,1,Time!$F$14),AD36))</f>
        <v>160.705084593382</v>
      </c>
      <c r="AF33" s="13" t="n">
        <f aca="false">IF(Time!AF20&lt;Time!$F$12,0,IF(Time!AF34=1,INDEX(Funding!$J$72:$BJ$72,1,Time!$F$14),AE36))</f>
        <v>159.517107595375</v>
      </c>
      <c r="AG33" s="13" t="n">
        <f aca="false">IF(Time!AG20&lt;Time!$F$12,0,IF(Time!AG34=1,INDEX(Funding!$J$72:$BJ$72,1,Time!$F$14),AF36))</f>
        <v>157.515672875567</v>
      </c>
      <c r="AH33" s="13" t="n">
        <f aca="false">IF(Time!AH20&lt;Time!$F$12,0,IF(Time!AH34=1,INDEX(Funding!$J$72:$BJ$72,1,Time!$F$14),AG36))</f>
        <v>154.858477114188</v>
      </c>
      <c r="AI33" s="13" t="n">
        <f aca="false">IF(Time!AI20&lt;Time!$F$12,0,IF(Time!AI34=1,INDEX(Funding!$J$72:$BJ$72,1,Time!$F$14),AH36))</f>
        <v>150.810673043172</v>
      </c>
      <c r="AJ33" s="13" t="n">
        <f aca="false">IF(Time!AJ20&lt;Time!$F$12,0,IF(Time!AJ34=1,INDEX(Funding!$J$72:$BJ$72,1,Time!$F$14),AI36))</f>
        <v>145.548306918151</v>
      </c>
      <c r="AK33" s="13" t="n">
        <f aca="false">IF(Time!AK20&lt;Time!$F$12,0,IF(Time!AK34=1,INDEX(Funding!$J$72:$BJ$72,1,Time!$F$14),AJ36))</f>
        <v>138.229795933114</v>
      </c>
      <c r="AL33" s="13" t="n">
        <f aca="false">IF(Time!AL20&lt;Time!$F$12,0,IF(Time!AL34=1,INDEX(Funding!$J$72:$BJ$72,1,Time!$F$14),AK36))</f>
        <v>116.901629580506</v>
      </c>
      <c r="AM33" s="13" t="n">
        <f aca="false">IF(Time!AM20&lt;Time!$F$12,0,IF(Time!AM34=1,INDEX(Funding!$J$72:$BJ$72,1,Time!$F$14),AL36))</f>
        <v>89.5228817802122</v>
      </c>
      <c r="AN33" s="13" t="n">
        <f aca="false">IF(Time!AN20&lt;Time!$F$12,0,IF(Time!AN34=1,INDEX(Funding!$J$72:$BJ$72,1,Time!$F$14),AM36))</f>
        <v>59.6711121992505</v>
      </c>
      <c r="AO33" s="13" t="n">
        <f aca="false">IF(Time!AO20&lt;Time!$F$12,0,IF(Time!AO34=1,INDEX(Funding!$J$72:$BJ$72,1,Time!$F$14),AN36))</f>
        <v>36.4432633781062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190.624946300863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9.53292034100572</v>
      </c>
      <c r="R34" s="13" t="n">
        <f aca="false">R24*MIN(R31,Tax!R13)</f>
        <v>9.54704897434826</v>
      </c>
      <c r="S34" s="13" t="n">
        <f aca="false">S24*MIN(S31,Tax!S13)</f>
        <v>9.20704610934705</v>
      </c>
      <c r="T34" s="13" t="n">
        <f aca="false">T24*MIN(T31,Tax!T13)</f>
        <v>9.19482427406304</v>
      </c>
      <c r="U34" s="13" t="n">
        <f aca="false">U24*MIN(U31,Tax!U13)</f>
        <v>8.89599214699501</v>
      </c>
      <c r="V34" s="13" t="n">
        <f aca="false">V24*MIN(V31,Tax!V13)</f>
        <v>8.82438477022562</v>
      </c>
      <c r="W34" s="13" t="n">
        <f aca="false">W24*MIN(W31,Tax!W13)</f>
        <v>8.45244763632758</v>
      </c>
      <c r="X34" s="13" t="n">
        <f aca="false">X24*MIN(X31,Tax!X13)</f>
        <v>8.3074942527548</v>
      </c>
      <c r="Y34" s="13" t="n">
        <f aca="false">Y24*MIN(Y31,Tax!Y13)</f>
        <v>7.93775646742239</v>
      </c>
      <c r="Z34" s="13" t="n">
        <f aca="false">Z24*MIN(Z31,Tax!Z13)</f>
        <v>7.85089765245844</v>
      </c>
      <c r="AA34" s="13" t="n">
        <f aca="false">AA24*MIN(AA31,Tax!AA13)</f>
        <v>6.18526965009215</v>
      </c>
      <c r="AB34" s="13" t="n">
        <f aca="false">AB24*MIN(AB31,Tax!AB13)</f>
        <v>7.16015145517671</v>
      </c>
      <c r="AC34" s="13" t="n">
        <f aca="false">AC24*MIN(AC31,Tax!AC13)</f>
        <v>6.81794650211999</v>
      </c>
      <c r="AD34" s="13" t="n">
        <f aca="false">AD24*MIN(AD31,Tax!AD13)</f>
        <v>7.71723288277975</v>
      </c>
      <c r="AE34" s="13" t="n">
        <f aca="false">AE24*MIN(AE31,Tax!AE13)</f>
        <v>7.57075049200877</v>
      </c>
      <c r="AF34" s="13" t="n">
        <f aca="false">AF24*MIN(AF31,Tax!AF13)</f>
        <v>7.63933983771825</v>
      </c>
      <c r="AG34" s="13" t="n">
        <f aca="false">AG24*MIN(AG31,Tax!AG13)</f>
        <v>7.42049861669964</v>
      </c>
      <c r="AH34" s="13" t="n">
        <f aca="false">AH24*MIN(AH31,Tax!AH13)</f>
        <v>7.41623610946851</v>
      </c>
      <c r="AI34" s="13" t="n">
        <f aca="false">AI24*MIN(AI31,Tax!AI13)</f>
        <v>7.1046288300749</v>
      </c>
      <c r="AJ34" s="13" t="n">
        <f aca="false">AJ24*MIN(AJ31,Tax!AJ13)</f>
        <v>6.97036823268295</v>
      </c>
      <c r="AK34" s="13" t="n">
        <f aca="false">AK24*MIN(AK31,Tax!AK13)</f>
        <v>6.54792649776314</v>
      </c>
      <c r="AL34" s="13" t="n">
        <f aca="false">AL24*MIN(AL31,Tax!AL13)</f>
        <v>5.598467082376</v>
      </c>
      <c r="AM34" s="13" t="n">
        <f aca="false">AM24*MIN(AM31,Tax!AM13)</f>
        <v>4.21738617044041</v>
      </c>
      <c r="AN34" s="13" t="n">
        <f aca="false">AN24*MIN(AN31,Tax!AN13)</f>
        <v>2.85767408559698</v>
      </c>
      <c r="AO34" s="13" t="n">
        <f aca="false">AO24*MIN(AO31,Tax!AO13)</f>
        <v>1.716827161059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209.980121701468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3.00426679002574</v>
      </c>
      <c r="R35" s="13" t="n">
        <f aca="false">R24*MIN(R31-R34,R33+Tax!R13-R34)</f>
        <v>3.91309840656717</v>
      </c>
      <c r="S35" s="13" t="n">
        <f aca="false">S24*MIN(S31-S34,S33+Tax!S13-S34)</f>
        <v>3.4417079781071</v>
      </c>
      <c r="T35" s="13" t="n">
        <f aca="false">T24*MIN(T31-T34,T33+Tax!T13-T34)</f>
        <v>4.19862698148672</v>
      </c>
      <c r="U35" s="13" t="n">
        <f aca="false">U24*MIN(U31-U34,U33+Tax!U13-U34)</f>
        <v>3.5365228412054</v>
      </c>
      <c r="V35" s="13" t="n">
        <f aca="false">V24*MIN(V31-V34,V33+Tax!V13-V34)</f>
        <v>4.84108012604622</v>
      </c>
      <c r="W35" s="13" t="n">
        <f aca="false">W24*MIN(W31-W34,W33+Tax!W13-W34)</f>
        <v>5.95211431770938</v>
      </c>
      <c r="X35" s="13" t="n">
        <f aca="false">X24*MIN(X31-X34,X33+Tax!X13-X34)</f>
        <v>4.97328705771331</v>
      </c>
      <c r="Y35" s="13" t="n">
        <f aca="false">Y24*MIN(Y31-Y34,Y33+Tax!Y13-Y34)</f>
        <v>4.56090968760555</v>
      </c>
      <c r="Z35" s="13" t="n">
        <f aca="false">Z24*MIN(Z31-Z34,Z33+Tax!Z13-Z34)</f>
        <v>5.35115519314333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0.438508210657578</v>
      </c>
      <c r="AE35" s="13" t="n">
        <f aca="false">AE24*MIN(AE31-AE34,AE33+Tax!AE13-AE34)</f>
        <v>1.18797699800647</v>
      </c>
      <c r="AF35" s="13" t="n">
        <f aca="false">AF24*MIN(AF31-AF34,AF33+Tax!AF13-AF34)</f>
        <v>2.00143471980862</v>
      </c>
      <c r="AG35" s="13" t="n">
        <f aca="false">AG24*MIN(AG31-AG34,AG33+Tax!AG13-AG34)</f>
        <v>2.65719576137866</v>
      </c>
      <c r="AH35" s="13" t="n">
        <f aca="false">AH24*MIN(AH31-AH34,AH33+Tax!AH13-AH34)</f>
        <v>4.04780407101626</v>
      </c>
      <c r="AI35" s="13" t="n">
        <f aca="false">AI24*MIN(AI31-AI34,AI33+Tax!AI13-AI34)</f>
        <v>5.26236612502082</v>
      </c>
      <c r="AJ35" s="13" t="n">
        <f aca="false">AJ24*MIN(AJ31-AJ34,AJ33+Tax!AJ13-AJ34)</f>
        <v>7.31851098503657</v>
      </c>
      <c r="AK35" s="13" t="n">
        <f aca="false">AK24*MIN(AK31-AK34,AK33+Tax!AK13-AK34)</f>
        <v>21.3281663526086</v>
      </c>
      <c r="AL35" s="13" t="n">
        <f aca="false">AL24*MIN(AL31-AL34,AL33+Tax!AL13-AL34)</f>
        <v>27.3787478002935</v>
      </c>
      <c r="AM35" s="13" t="n">
        <f aca="false">AM24*MIN(AM31-AM34,AM33+Tax!AM13-AM34)</f>
        <v>29.8517695809618</v>
      </c>
      <c r="AN35" s="13" t="n">
        <f aca="false">AN24*MIN(AN31-AN34,AN33+Tax!AN13-AN34)</f>
        <v>23.2278488211443</v>
      </c>
      <c r="AO35" s="13" t="n">
        <f aca="false">AO24*MIN(AO31-AO34,AO33+Tax!AO13-AO34)</f>
        <v>36.4432633781062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199.351995173748</v>
      </c>
      <c r="R36" s="13" t="n">
        <f aca="false">R33+Tax!R13-R34-R35</f>
        <v>195.438896767181</v>
      </c>
      <c r="S36" s="13" t="n">
        <f aca="false">S33+Tax!S13-S34-S35</f>
        <v>191.997188789074</v>
      </c>
      <c r="T36" s="13" t="n">
        <f aca="false">T33+Tax!T13-T34-T35</f>
        <v>187.798561807587</v>
      </c>
      <c r="U36" s="13" t="n">
        <f aca="false">U33+Tax!U13-U34-U35</f>
        <v>184.262038966382</v>
      </c>
      <c r="V36" s="13" t="n">
        <f aca="false">V33+Tax!V13-V34-V35</f>
        <v>179.420958840335</v>
      </c>
      <c r="W36" s="13" t="n">
        <f aca="false">W33+Tax!W13-W34-W35</f>
        <v>173.468844522626</v>
      </c>
      <c r="X36" s="13" t="n">
        <f aca="false">X33+Tax!X13-X34-X35</f>
        <v>168.495557464913</v>
      </c>
      <c r="Y36" s="13" t="n">
        <f aca="false">Y33+Tax!Y13-Y34-Y35</f>
        <v>163.934647777307</v>
      </c>
      <c r="Z36" s="13" t="n">
        <f aca="false">Z33+Tax!Z13-Z34-Z35</f>
        <v>158.583492584164</v>
      </c>
      <c r="AA36" s="13" t="n">
        <f aca="false">AA33+Tax!AA13-AA34-AA35</f>
        <v>159.869026098413</v>
      </c>
      <c r="AB36" s="13" t="n">
        <f aca="false">AB33+Tax!AB13-AB34-AB35</f>
        <v>160.365068002689</v>
      </c>
      <c r="AC36" s="13" t="n">
        <f aca="false">AC33+Tax!AC13-AC34-AC35</f>
        <v>161.143592804039</v>
      </c>
      <c r="AD36" s="13" t="n">
        <f aca="false">AD33+Tax!AD13-AD34-AD35</f>
        <v>160.705084593382</v>
      </c>
      <c r="AE36" s="13" t="n">
        <f aca="false">AE33+Tax!AE13-AE34-AE35</f>
        <v>159.517107595375</v>
      </c>
      <c r="AF36" s="13" t="n">
        <f aca="false">AF33+Tax!AF13-AF34-AF35</f>
        <v>157.515672875567</v>
      </c>
      <c r="AG36" s="13" t="n">
        <f aca="false">AG33+Tax!AG13-AG34-AG35</f>
        <v>154.858477114188</v>
      </c>
      <c r="AH36" s="13" t="n">
        <f aca="false">AH33+Tax!AH13-AH34-AH35</f>
        <v>150.810673043172</v>
      </c>
      <c r="AI36" s="13" t="n">
        <f aca="false">AI33+Tax!AI13-AI34-AI35</f>
        <v>145.548306918151</v>
      </c>
      <c r="AJ36" s="13" t="n">
        <f aca="false">AJ33+Tax!AJ13-AJ34-AJ35</f>
        <v>138.229795933114</v>
      </c>
      <c r="AK36" s="13" t="n">
        <f aca="false">AK33+Tax!AK13-AK34-AK35</f>
        <v>116.901629580506</v>
      </c>
      <c r="AL36" s="13" t="n">
        <f aca="false">AL33+Tax!AL13-AL34-AL35</f>
        <v>89.5228817802122</v>
      </c>
      <c r="AM36" s="13" t="n">
        <f aca="false">AM33+Tax!AM13-AM34-AM35</f>
        <v>59.6711121992505</v>
      </c>
      <c r="AN36" s="13" t="n">
        <f aca="false">AN33+Tax!AN13-AN34-AN35</f>
        <v>36.4432633781062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25.801255687556</v>
      </c>
      <c r="R37" s="13" t="n">
        <f aca="false">MAX(0,Q43+Financials!R14)</f>
        <v>34.9068570457313</v>
      </c>
      <c r="S37" s="13" t="n">
        <f aca="false">MAX(0,R43+Financials!S14)</f>
        <v>45.2001869379628</v>
      </c>
      <c r="T37" s="13" t="n">
        <f aca="false">MAX(0,S43+Financials!T14)</f>
        <v>55.9299386983248</v>
      </c>
      <c r="U37" s="13" t="n">
        <f aca="false">MAX(0,T43+Financials!U14)</f>
        <v>67.8528687936808</v>
      </c>
      <c r="V37" s="13" t="n">
        <f aca="false">MAX(0,U43+Financials!V14)</f>
        <v>78.0490988367401</v>
      </c>
      <c r="W37" s="13" t="n">
        <f aca="false">MAX(0,V43+Financials!W14)</f>
        <v>92.0275650307993</v>
      </c>
      <c r="X37" s="13" t="n">
        <f aca="false">MAX(0,W43+Financials!X14)</f>
        <v>106.64670281305</v>
      </c>
      <c r="Y37" s="13" t="n">
        <f aca="false">MAX(0,X43+Financials!Y14)</f>
        <v>119.252543627958</v>
      </c>
      <c r="Z37" s="13" t="n">
        <f aca="false">MAX(0,Y43+Financials!Z14)</f>
        <v>126.70143088466</v>
      </c>
      <c r="AA37" s="13" t="n">
        <f aca="false">MAX(0,Z43+Financials!AA14)</f>
        <v>135.10369621061</v>
      </c>
      <c r="AB37" s="13" t="n">
        <f aca="false">MAX(0,AA43+Financials!AB14)</f>
        <v>144.042151095423</v>
      </c>
      <c r="AC37" s="13" t="n">
        <f aca="false">MAX(0,AB43+Financials!AC14)</f>
        <v>154.0195761551</v>
      </c>
      <c r="AD37" s="13" t="n">
        <f aca="false">MAX(0,AC43+Financials!AD14)</f>
        <v>155.846298352481</v>
      </c>
      <c r="AE37" s="13" t="n">
        <f aca="false">MAX(0,AD43+Financials!AE14)</f>
        <v>167.77977397576</v>
      </c>
      <c r="AF37" s="13" t="n">
        <f aca="false">MAX(0,AE43+Financials!AF14)</f>
        <v>180.373667861434</v>
      </c>
      <c r="AG37" s="13" t="n">
        <f aca="false">MAX(0,AF43+Financials!AG14)</f>
        <v>194.046542126301</v>
      </c>
      <c r="AH37" s="13" t="n">
        <f aca="false">MAX(0,AG43+Financials!AH14)</f>
        <v>208.725007916182</v>
      </c>
      <c r="AI37" s="13" t="n">
        <f aca="false">MAX(0,AH43+Financials!AI14)</f>
        <v>224.72542011488</v>
      </c>
      <c r="AJ37" s="13" t="n">
        <f aca="false">MAX(0,AI43+Financials!AJ14)</f>
        <v>241.835869940491</v>
      </c>
      <c r="AK37" s="13" t="n">
        <f aca="false">MAX(0,AJ43+Financials!AK14)</f>
        <v>260.402281649452</v>
      </c>
      <c r="AL37" s="13" t="n">
        <f aca="false">MAX(0,AK43+Financials!AL14)</f>
        <v>278.308311196592</v>
      </c>
      <c r="AM37" s="13" t="n">
        <f aca="false">MAX(0,AL43+Financials!AM14)</f>
        <v>299.699979641461</v>
      </c>
      <c r="AN37" s="13" t="n">
        <f aca="false">MAX(0,AM43+Financials!AN14)</f>
        <v>322.814075830831</v>
      </c>
      <c r="AO37" s="13" t="n">
        <f aca="false">MAX(0,AN43+Financials!AO14)</f>
        <v>347.183941531659</v>
      </c>
      <c r="AP37" s="13" t="n">
        <f aca="false">MAX(0,AO43+Financials!AP14)</f>
        <v>369.746008119871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174.515170724196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94.8710139507514</v>
      </c>
      <c r="BI37" s="13" t="n">
        <f aca="false">MAX(0,BH43+Financials!BI14)</f>
        <v>87.3143206082602</v>
      </c>
      <c r="BJ37" s="13" t="n">
        <f aca="false">MAX(0,BI43+Financials!BJ14)</f>
        <v>67.8518677439171</v>
      </c>
      <c r="BK37" s="13" t="n">
        <f aca="false">MAX(0,BJ43+Financials!BK14)</f>
        <v>52.90694194192</v>
      </c>
      <c r="BL37" s="13" t="n">
        <f aca="false">MAX(0,BK43+Financials!BL14)</f>
        <v>43.1377436600456</v>
      </c>
      <c r="BM37" s="13" t="n">
        <f aca="false">MAX(0,BL43+Financials!BM14)</f>
        <v>9.92849691490376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3.47307054846231</v>
      </c>
      <c r="AP38" s="13" t="n">
        <f aca="false">AP24*MIN(AP31-AP34-AP35,AP37)</f>
        <v>41.619953066631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9.92849691490376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997.569723506057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3.47307054846231</v>
      </c>
      <c r="AP41" s="13" t="n">
        <f aca="false">AP38+AP40</f>
        <v>41.619953066631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25.801255687556</v>
      </c>
      <c r="R43" s="13" t="n">
        <f aca="false">IF(Time!R20&lt;Time!$F$12,0,Q43+Financials!R14-R41)</f>
        <v>34.9068570457313</v>
      </c>
      <c r="S43" s="13" t="n">
        <f aca="false">IF(Time!S20&lt;Time!$F$12,0,R43+Financials!S14-S41)</f>
        <v>45.2001869379628</v>
      </c>
      <c r="T43" s="13" t="n">
        <f aca="false">IF(Time!T20&lt;Time!$F$12,0,S43+Financials!T14-T41)</f>
        <v>55.9299386983248</v>
      </c>
      <c r="U43" s="13" t="n">
        <f aca="false">IF(Time!U20&lt;Time!$F$12,0,T43+Financials!U14-U41)</f>
        <v>67.8528687936808</v>
      </c>
      <c r="V43" s="13" t="n">
        <f aca="false">IF(Time!V20&lt;Time!$F$12,0,U43+Financials!V14-V41)</f>
        <v>78.0490988367401</v>
      </c>
      <c r="W43" s="13" t="n">
        <f aca="false">IF(Time!W20&lt;Time!$F$12,0,V43+Financials!W14-W41)</f>
        <v>92.0275650307993</v>
      </c>
      <c r="X43" s="13" t="n">
        <f aca="false">IF(Time!X20&lt;Time!$F$12,0,W43+Financials!X14-X41)</f>
        <v>106.64670281305</v>
      </c>
      <c r="Y43" s="13" t="n">
        <f aca="false">IF(Time!Y20&lt;Time!$F$12,0,X43+Financials!Y14-Y41)</f>
        <v>119.252543627958</v>
      </c>
      <c r="Z43" s="13" t="n">
        <f aca="false">IF(Time!Z20&lt;Time!$F$12,0,Y43+Financials!Z14-Z41)</f>
        <v>126.70143088466</v>
      </c>
      <c r="AA43" s="13" t="n">
        <f aca="false">IF(Time!AA20&lt;Time!$F$12,0,Z43+Financials!AA14-AA41)</f>
        <v>135.10369621061</v>
      </c>
      <c r="AB43" s="13" t="n">
        <f aca="false">IF(Time!AB20&lt;Time!$F$12,0,AA43+Financials!AB14-AB41)</f>
        <v>144.042151095423</v>
      </c>
      <c r="AC43" s="13" t="n">
        <f aca="false">IF(Time!AC20&lt;Time!$F$12,0,AB43+Financials!AC14-AC41)</f>
        <v>154.0195761551</v>
      </c>
      <c r="AD43" s="13" t="n">
        <f aca="false">IF(Time!AD20&lt;Time!$F$12,0,AC43+Financials!AD14-AD41)</f>
        <v>155.846298352481</v>
      </c>
      <c r="AE43" s="13" t="n">
        <f aca="false">IF(Time!AE20&lt;Time!$F$12,0,AD43+Financials!AE14-AE41)</f>
        <v>167.77977397576</v>
      </c>
      <c r="AF43" s="13" t="n">
        <f aca="false">IF(Time!AF20&lt;Time!$F$12,0,AE43+Financials!AF14-AF41)</f>
        <v>180.373667861434</v>
      </c>
      <c r="AG43" s="13" t="n">
        <f aca="false">IF(Time!AG20&lt;Time!$F$12,0,AF43+Financials!AG14-AG41)</f>
        <v>194.046542126301</v>
      </c>
      <c r="AH43" s="13" t="n">
        <f aca="false">IF(Time!AH20&lt;Time!$F$12,0,AG43+Financials!AH14-AH41)</f>
        <v>208.725007916182</v>
      </c>
      <c r="AI43" s="13" t="n">
        <f aca="false">IF(Time!AI20&lt;Time!$F$12,0,AH43+Financials!AI14-AI41)</f>
        <v>224.72542011488</v>
      </c>
      <c r="AJ43" s="13" t="n">
        <f aca="false">IF(Time!AJ20&lt;Time!$F$12,0,AI43+Financials!AJ14-AJ41)</f>
        <v>241.835869940491</v>
      </c>
      <c r="AK43" s="13" t="n">
        <f aca="false">IF(Time!AK20&lt;Time!$F$12,0,AJ43+Financials!AK14-AK41)</f>
        <v>260.402281649452</v>
      </c>
      <c r="AL43" s="13" t="n">
        <f aca="false">IF(Time!AL20&lt;Time!$F$12,0,AK43+Financials!AL14-AL41)</f>
        <v>278.308311196592</v>
      </c>
      <c r="AM43" s="13" t="n">
        <f aca="false">IF(Time!AM20&lt;Time!$F$12,0,AL43+Financials!AM14-AM41)</f>
        <v>299.699979641461</v>
      </c>
      <c r="AN43" s="13" t="n">
        <f aca="false">IF(Time!AN20&lt;Time!$F$12,0,AM43+Financials!AN14-AN41)</f>
        <v>322.814075830831</v>
      </c>
      <c r="AO43" s="13" t="n">
        <f aca="false">IF(Time!AO20&lt;Time!$F$12,0,AN43+Financials!AO14-AO41)</f>
        <v>343.710870983196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297.483737603157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97.1457867949468</v>
      </c>
      <c r="BD43" s="13" t="n">
        <f aca="false">IF(Time!BD20&lt;Time!$F$12,0,BC43+Financials!BD14-BD41)</f>
        <v>89.3070946076938</v>
      </c>
      <c r="BE43" s="13" t="n">
        <f aca="false">IF(Time!BE20&lt;Time!$F$12,0,BD43+Financials!BE14-BE41)</f>
        <v>82.0429949146282</v>
      </c>
      <c r="BF43" s="13" t="n">
        <f aca="false">IF(Time!BF20&lt;Time!$F$12,0,BE43+Financials!BF14-BF41)</f>
        <v>74.2389224180272</v>
      </c>
      <c r="BG43" s="13" t="n">
        <f aca="false">IF(Time!BG20&lt;Time!$F$12,0,BF43+Financials!BG14-BG41)</f>
        <v>67.0122301732413</v>
      </c>
      <c r="BH43" s="13" t="n">
        <f aca="false">IF(Time!BH20&lt;Time!$F$12,0,BG43+Financials!BH14-BH41)</f>
        <v>59.240919675917</v>
      </c>
      <c r="BI43" s="13" t="n">
        <f aca="false">IF(Time!BI20&lt;Time!$F$12,0,BH43+Financials!BI14-BI41)</f>
        <v>51.9628576393245</v>
      </c>
      <c r="BJ43" s="13" t="n">
        <f aca="false">IF(Time!BJ20&lt;Time!$F$12,0,BI43+Financials!BJ14-BJ41)</f>
        <v>24.4943160164672</v>
      </c>
      <c r="BK43" s="13" t="n">
        <f aca="false">IF(Time!BK20&lt;Time!$F$12,0,BJ43+Financials!BK14-BK41)</f>
        <v>14.8169491442472</v>
      </c>
      <c r="BL43" s="13" t="n">
        <f aca="false">IF(Time!BL20&lt;Time!$F$12,0,BK43+Financials!BL14-BL41)</f>
        <v>4.31771216962804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1398.17479150839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12.5371871310315</v>
      </c>
      <c r="R44" s="13" t="n">
        <f aca="false">R34+R35+R41</f>
        <v>13.4601473809154</v>
      </c>
      <c r="S44" s="13" t="n">
        <f aca="false">S34+S35+S41</f>
        <v>12.6487540874542</v>
      </c>
      <c r="T44" s="13" t="n">
        <f aca="false">T34+T35+T41</f>
        <v>13.3934512555498</v>
      </c>
      <c r="U44" s="13" t="n">
        <f aca="false">U34+U35+U41</f>
        <v>12.4325149882004</v>
      </c>
      <c r="V44" s="13" t="n">
        <f aca="false">V34+V35+V41</f>
        <v>13.6654648962718</v>
      </c>
      <c r="W44" s="13" t="n">
        <f aca="false">W34+W35+W41</f>
        <v>14.404561954037</v>
      </c>
      <c r="X44" s="13" t="n">
        <f aca="false">X34+X35+X41</f>
        <v>13.2807813104681</v>
      </c>
      <c r="Y44" s="13" t="n">
        <f aca="false">Y34+Y35+Y41</f>
        <v>12.4986661550279</v>
      </c>
      <c r="Z44" s="13" t="n">
        <f aca="false">Z34+Z35+Z41</f>
        <v>13.2020528456018</v>
      </c>
      <c r="AA44" s="13" t="n">
        <f aca="false">AA34+AA35+AA41</f>
        <v>6.18526965009215</v>
      </c>
      <c r="AB44" s="13" t="n">
        <f aca="false">AB34+AB35+AB41</f>
        <v>7.16015145517671</v>
      </c>
      <c r="AC44" s="13" t="n">
        <f aca="false">AC34+AC35+AC41</f>
        <v>6.81794650211999</v>
      </c>
      <c r="AD44" s="13" t="n">
        <f aca="false">AD34+AD35+AD41</f>
        <v>8.15574109343732</v>
      </c>
      <c r="AE44" s="13" t="n">
        <f aca="false">AE34+AE35+AE41</f>
        <v>8.75872749001524</v>
      </c>
      <c r="AF44" s="13" t="n">
        <f aca="false">AF34+AF35+AF41</f>
        <v>9.64077455752687</v>
      </c>
      <c r="AG44" s="13" t="n">
        <f aca="false">AG34+AG35+AG41</f>
        <v>10.0776943780783</v>
      </c>
      <c r="AH44" s="13" t="n">
        <f aca="false">AH34+AH35+AH41</f>
        <v>11.4640401804848</v>
      </c>
      <c r="AI44" s="13" t="n">
        <f aca="false">AI34+AI35+AI41</f>
        <v>12.3669949550957</v>
      </c>
      <c r="AJ44" s="13" t="n">
        <f aca="false">AJ34+AJ35+AJ41</f>
        <v>14.2888792177195</v>
      </c>
      <c r="AK44" s="13" t="n">
        <f aca="false">AK34+AK35+AK41</f>
        <v>27.8760928503717</v>
      </c>
      <c r="AL44" s="13" t="n">
        <f aca="false">AL34+AL35+AL41</f>
        <v>32.9772148826695</v>
      </c>
      <c r="AM44" s="13" t="n">
        <f aca="false">AM34+AM35+AM41</f>
        <v>34.0691557514022</v>
      </c>
      <c r="AN44" s="13" t="n">
        <f aca="false">AN34+AN35+AN41</f>
        <v>26.0855229067413</v>
      </c>
      <c r="AO44" s="13" t="n">
        <f aca="false">AO34+AO35+AO41</f>
        <v>41.6331610876275</v>
      </c>
      <c r="AP44" s="13" t="n">
        <f aca="false">AP34+AP35+AP41</f>
        <v>41.619953066631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513.288363033937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30.200490765865</v>
      </c>
      <c r="S9" s="13" t="n">
        <f aca="false">Debt!S112+Debt!S110+Debt!S104-Debt!S103+Tax!S13</f>
        <v>29.1068546906601</v>
      </c>
      <c r="T9" s="13" t="n">
        <f aca="false">Debt!T112+Debt!T110+Debt!T104-Debt!T103+Tax!T13</f>
        <v>28.7477721509265</v>
      </c>
      <c r="U9" s="13" t="n">
        <f aca="false">Debt!U112+Debt!U110+Debt!U104-Debt!U103+Tax!U13</f>
        <v>27.7192090792883</v>
      </c>
      <c r="V9" s="13" t="n">
        <f aca="false">Debt!V112+Debt!V110+Debt!V104-Debt!V103+Tax!V13</f>
        <v>27.1683994734524</v>
      </c>
      <c r="W9" s="13" t="n">
        <f aca="false">Debt!W112+Debt!W110+Debt!W104-Debt!W103+Tax!W13</f>
        <v>25.9426451108106</v>
      </c>
      <c r="X9" s="13" t="n">
        <f aca="false">Debt!X112+Debt!X110+Debt!X104-Debt!X103+Tax!X13</f>
        <v>25.3021857602758</v>
      </c>
      <c r="Y9" s="13" t="n">
        <f aca="false">Debt!Y112+Debt!Y110+Debt!Y104-Debt!Y103+Tax!Y13</f>
        <v>24.6131128018883</v>
      </c>
      <c r="Z9" s="13" t="n">
        <f aca="false">Debt!Z112+Debt!Z110+Debt!Z104-Debt!Z103+Tax!Z13</f>
        <v>24.0310504278093</v>
      </c>
      <c r="AA9" s="13" t="n">
        <f aca="false">Debt!AA112+Debt!AA110+Debt!AA104-Debt!AA103+Tax!AA13</f>
        <v>22.767262239169</v>
      </c>
      <c r="AB9" s="13" t="n">
        <f aca="false">Debt!AB112+Debt!AB110+Debt!AB104-Debt!AB103+Tax!AB13</f>
        <v>22.0819703343825</v>
      </c>
      <c r="AC9" s="13" t="n">
        <f aca="false">Debt!AC112+Debt!AC110+Debt!AC104-Debt!AC103+Tax!AC13</f>
        <v>20.8115281089616</v>
      </c>
      <c r="AD9" s="13" t="n">
        <f aca="false">Debt!AD112+Debt!AD110+Debt!AD104-Debt!AD103+Tax!AD13</f>
        <v>19.919581682317</v>
      </c>
      <c r="AE9" s="13" t="n">
        <f aca="false">Debt!AE112+Debt!AE110+Debt!AE104-Debt!AE103+Tax!AE13</f>
        <v>18.423497276408</v>
      </c>
      <c r="AF9" s="13" t="n">
        <f aca="false">Debt!AF112+Debt!AF110+Debt!AF104-Debt!AF103+Tax!AF13</f>
        <v>17.3305552987823</v>
      </c>
      <c r="AG9" s="13" t="n">
        <f aca="false">Debt!AG112+Debt!AG110+Debt!AG104-Debt!AG103+Tax!AG13</f>
        <v>15.928000168623</v>
      </c>
      <c r="AH9" s="13" t="n">
        <f aca="false">Debt!AH112+Debt!AH110+Debt!AH104-Debt!AH103+Tax!AH13</f>
        <v>14.6501368919758</v>
      </c>
      <c r="AI9" s="13" t="n">
        <f aca="false">Debt!AI112+Debt!AI110+Debt!AI104-Debt!AI103+Tax!AI13</f>
        <v>12.8666925760354</v>
      </c>
      <c r="AJ9" s="13" t="n">
        <f aca="false">Debt!AJ112+Debt!AJ110+Debt!AJ104-Debt!AJ103+Tax!AJ13</f>
        <v>11.3679726144226</v>
      </c>
      <c r="AK9" s="13" t="n">
        <f aca="false">Debt!AK112+Debt!AK110+Debt!AK104-Debt!AK103+Tax!AK13</f>
        <v>9.48125788096165</v>
      </c>
      <c r="AL9" s="13" t="n">
        <f aca="false">Debt!AL112+Debt!AL110+Debt!AL104-Debt!AL103+Tax!AL13</f>
        <v>7.71781914145634</v>
      </c>
      <c r="AM9" s="13" t="n">
        <f aca="false">Debt!AM112+Debt!AM110+Debt!AM104-Debt!AM103+Tax!AM13</f>
        <v>5.77135928030973</v>
      </c>
      <c r="AN9" s="13" t="n">
        <f aca="false">Debt!AN112+Debt!AN110+Debt!AN104-Debt!AN103+Tax!AN13</f>
        <v>3.84442288587883</v>
      </c>
      <c r="AO9" s="13" t="n">
        <f aca="false">Debt!AO112+Debt!AO110+Debt!AO104-Debt!AO103+Tax!AO13</f>
        <v>2.20303021547818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-49.1451453493997</v>
      </c>
      <c r="Z12" s="13" t="n">
        <f aca="false">IF(Time!Z20&gt;=Time!$F$12,Inputs!$F$184/100*(Z11-Z10-Tax!Z21),0)</f>
        <v>-45.800411581667</v>
      </c>
      <c r="AA12" s="13" t="n">
        <f aca="false">IF(Time!AA20&gt;=Time!$F$12,Inputs!$F$184/100*(AA11-AA10-Tax!AA21),0)</f>
        <v>-42.0463264874289</v>
      </c>
      <c r="AB12" s="13" t="n">
        <f aca="false">IF(Time!AB20&gt;=Time!$F$12,Inputs!$F$184/100*(AB11-AB10-Tax!AB21),0)</f>
        <v>-38.0616173861525</v>
      </c>
      <c r="AC12" s="13" t="n">
        <f aca="false">IF(Time!AC20&gt;=Time!$F$12,Inputs!$F$184/100*(AC11-AC10-Tax!AC21),0)</f>
        <v>-33.6312540460853</v>
      </c>
      <c r="AD12" s="13" t="n">
        <f aca="false">IF(Time!AD20&gt;=Time!$F$12,Inputs!$F$184/100*(AD11-AD10-Tax!AD21),0)</f>
        <v>-32.6275109693307</v>
      </c>
      <c r="AE12" s="13" t="n">
        <f aca="false">IF(Time!AE20&gt;=Time!$F$12,Inputs!$F$184/100*(AE11-AE10-Tax!AE21),0)</f>
        <v>-27.4262000679065</v>
      </c>
      <c r="AF12" s="13" t="n">
        <f aca="false">IF(Time!AF20&gt;=Time!$F$12,Inputs!$F$184/100*(AF11-AF10-Tax!AF21),0)</f>
        <v>-21.8719506945515</v>
      </c>
      <c r="AG12" s="13" t="n">
        <f aca="false">IF(Time!AG20&gt;=Time!$F$12,Inputs!$F$184/100*(AG11-AG10-Tax!AG21),0)</f>
        <v>-15.8545926660594</v>
      </c>
      <c r="AH12" s="13" t="n">
        <f aca="false">IF(Time!AH20&gt;=Time!$F$12,Inputs!$F$184/100*(AH11-AH10-Tax!AH21),0)</f>
        <v>-9.40563429178306</v>
      </c>
      <c r="AI12" s="13" t="n">
        <f aca="false">IF(Time!AI20&gt;=Time!$F$12,Inputs!$F$184/100*(AI11-AI10-Tax!AI21),0)</f>
        <v>-2.38929922494616</v>
      </c>
      <c r="AJ12" s="13" t="n">
        <f aca="false">IF(Time!AJ20&gt;=Time!$F$12,Inputs!$F$184/100*(AJ11-AJ10-Tax!AJ21),0)</f>
        <v>5.10366799093835</v>
      </c>
      <c r="AK12" s="13" t="n">
        <f aca="false">IF(Time!AK20&gt;=Time!$F$12,Inputs!$F$184/100*(AK11-AK10-Tax!AK21),0)</f>
        <v>13.2211722690779</v>
      </c>
      <c r="AL12" s="13" t="n">
        <f aca="false">IF(Time!AL20&gt;=Time!$F$12,Inputs!$F$184/100*(AL11-AL10-Tax!AL21),0)</f>
        <v>21.0559804902548</v>
      </c>
      <c r="AM12" s="13" t="n">
        <f aca="false">IF(Time!AM20&gt;=Time!$F$12,Inputs!$F$184/100*(AM11-AM10-Tax!AM21),0)</f>
        <v>30.385661687994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-2.30380176751774</v>
      </c>
      <c r="Z13" s="13" t="n">
        <f aca="false">Z12-Y12</f>
        <v>3.3447337677327</v>
      </c>
      <c r="AA13" s="13" t="n">
        <f aca="false">AA12-Z12</f>
        <v>3.75408509423815</v>
      </c>
      <c r="AB13" s="13" t="n">
        <f aca="false">AB12-AA12</f>
        <v>3.98470910127632</v>
      </c>
      <c r="AC13" s="13" t="n">
        <f aca="false">AC12-AB12</f>
        <v>4.43036334006723</v>
      </c>
      <c r="AD13" s="13" t="n">
        <f aca="false">AD12-AC12</f>
        <v>1.00374307675464</v>
      </c>
      <c r="AE13" s="13" t="n">
        <f aca="false">AE12-AD12</f>
        <v>5.20131090142414</v>
      </c>
      <c r="AF13" s="13" t="n">
        <f aca="false">AF12-AE12</f>
        <v>5.55424937335497</v>
      </c>
      <c r="AG13" s="13" t="n">
        <f aca="false">AG12-AF12</f>
        <v>6.01735802849218</v>
      </c>
      <c r="AH13" s="13" t="n">
        <f aca="false">AH12-AG12</f>
        <v>6.44895837427631</v>
      </c>
      <c r="AI13" s="13" t="n">
        <f aca="false">AI12-AH12</f>
        <v>7.0163350668369</v>
      </c>
      <c r="AJ13" s="13" t="n">
        <f aca="false">AJ12-AI12</f>
        <v>7.49296721588451</v>
      </c>
      <c r="AK13" s="13" t="n">
        <f aca="false">AK12-AJ12</f>
        <v>8.11750427813952</v>
      </c>
      <c r="AL13" s="13" t="n">
        <f aca="false">AL12-AK12</f>
        <v>7.83480822117688</v>
      </c>
      <c r="AM13" s="13" t="n">
        <f aca="false">AM12-AL12</f>
        <v>9.32968119773925</v>
      </c>
      <c r="AN13" s="13" t="n">
        <f aca="false">AN12-AM12</f>
        <v>2.57056933211583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952.649279588228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8.68518149705833</v>
      </c>
      <c r="R14" s="13" t="n">
        <f aca="false">Operations!R84-R8-R9-Tax!R27-R13</f>
        <v>9.10560135817526</v>
      </c>
      <c r="S14" s="13" t="n">
        <f aca="false">Operations!S84-S8-S9-Tax!S27-S13</f>
        <v>10.2933298922315</v>
      </c>
      <c r="T14" s="13" t="n">
        <f aca="false">Operations!T84-T8-T9-Tax!T27-T13</f>
        <v>10.729751760362</v>
      </c>
      <c r="U14" s="13" t="n">
        <f aca="false">Operations!U84-U8-U9-Tax!U27-U13</f>
        <v>11.922930095356</v>
      </c>
      <c r="V14" s="13" t="n">
        <f aca="false">Operations!V84-V8-V9-Tax!V27-V13</f>
        <v>10.1962300430592</v>
      </c>
      <c r="W14" s="13" t="n">
        <f aca="false">Operations!W84-W8-W9-Tax!W27-W13</f>
        <v>13.9784661940592</v>
      </c>
      <c r="X14" s="13" t="n">
        <f aca="false">Operations!X84-X8-X9-Tax!X27-X13</f>
        <v>14.619137782251</v>
      </c>
      <c r="Y14" s="13" t="n">
        <f aca="false">Operations!Y84-Y8-Y9-Tax!Y27-Y13</f>
        <v>12.6058408149073</v>
      </c>
      <c r="Z14" s="13" t="n">
        <f aca="false">Operations!Z84-Z8-Z9-Tax!Z27-Z13</f>
        <v>7.44888725670252</v>
      </c>
      <c r="AA14" s="13" t="n">
        <f aca="false">Operations!AA84-AA8-AA9-Tax!AA27-AA13</f>
        <v>8.40226532594992</v>
      </c>
      <c r="AB14" s="13" t="n">
        <f aca="false">Operations!AB84-AB8-AB9-Tax!AB27-AB13</f>
        <v>8.93845488481325</v>
      </c>
      <c r="AC14" s="13" t="n">
        <f aca="false">Operations!AC84-AC8-AC9-Tax!AC27-AC13</f>
        <v>9.97742505967713</v>
      </c>
      <c r="AD14" s="13" t="n">
        <f aca="false">Operations!AD84-AD8-AD9-Tax!AD27-AD13</f>
        <v>1.82672219738092</v>
      </c>
      <c r="AE14" s="13" t="n">
        <f aca="false">Operations!AE84-AE8-AE9-Tax!AE27-AE13</f>
        <v>11.9334756232791</v>
      </c>
      <c r="AF14" s="13" t="n">
        <f aca="false">Operations!AF84-AF8-AF9-Tax!AF27-AF13</f>
        <v>12.5938938856732</v>
      </c>
      <c r="AG14" s="13" t="n">
        <f aca="false">Operations!AG84-AG8-AG9-Tax!AG27-AG13</f>
        <v>13.672874264867</v>
      </c>
      <c r="AH14" s="13" t="n">
        <f aca="false">Operations!AH84-AH8-AH9-Tax!AH27-AH13</f>
        <v>14.6784657898812</v>
      </c>
      <c r="AI14" s="13" t="n">
        <f aca="false">Operations!AI84-AI8-AI9-Tax!AI27-AI13</f>
        <v>16.0004121986987</v>
      </c>
      <c r="AJ14" s="13" t="n">
        <f aca="false">Operations!AJ84-AJ8-AJ9-Tax!AJ27-AJ13</f>
        <v>17.1104498256101</v>
      </c>
      <c r="AK14" s="13" t="n">
        <f aca="false">Operations!AK84-AK8-AK9-Tax!AK27-AK13</f>
        <v>18.5664117089619</v>
      </c>
      <c r="AL14" s="13" t="n">
        <f aca="false">Operations!AL84-AL8-AL9-Tax!AL27-AL13</f>
        <v>17.9060295471392</v>
      </c>
      <c r="AM14" s="13" t="n">
        <f aca="false">Operations!AM84-AM8-AM9-Tax!AM27-AM13</f>
        <v>21.391668444869</v>
      </c>
      <c r="AN14" s="13" t="n">
        <f aca="false">Operations!AN84-AN8-AN9-Tax!AN27-AN13</f>
        <v>23.1140961893703</v>
      </c>
      <c r="AO14" s="13" t="n">
        <f aca="false">Operations!AO84-AO8-AO9-Tax!AO27-AO13</f>
        <v>24.3698657008277</v>
      </c>
      <c r="AP14" s="13" t="n">
        <f aca="false">Operations!AP84-AP8-AP9-Tax!AP27-AP13</f>
        <v>26.0351371366751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46.1098661186213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48.6910625240189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36.1331797323687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35.2301611694324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34.2905164893966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33.779149612725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32.4159665709727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31.134924760987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28.92812501295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26.2745583437237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49.1451453493997</v>
      </c>
      <c r="Z20" s="13" t="n">
        <f aca="false">MAX(0,-Z12)</f>
        <v>45.800411581667</v>
      </c>
      <c r="AA20" s="13" t="n">
        <f aca="false">MAX(0,-AA12)</f>
        <v>42.0463264874289</v>
      </c>
      <c r="AB20" s="13" t="n">
        <f aca="false">MAX(0,-AB12)</f>
        <v>38.0616173861525</v>
      </c>
      <c r="AC20" s="13" t="n">
        <f aca="false">MAX(0,-AC12)</f>
        <v>33.6312540460853</v>
      </c>
      <c r="AD20" s="13" t="n">
        <f aca="false">MAX(0,-AD12)</f>
        <v>32.6275109693307</v>
      </c>
      <c r="AE20" s="13" t="n">
        <f aca="false">MAX(0,-AE12)</f>
        <v>27.4262000679065</v>
      </c>
      <c r="AF20" s="13" t="n">
        <f aca="false">MAX(0,-AF12)</f>
        <v>21.8719506945515</v>
      </c>
      <c r="AG20" s="13" t="n">
        <f aca="false">MAX(0,-AG12)</f>
        <v>15.8545926660594</v>
      </c>
      <c r="AH20" s="13" t="n">
        <f aca="false">MAX(0,-AH12)</f>
        <v>9.40563429178306</v>
      </c>
      <c r="AI20" s="13" t="n">
        <f aca="false">MAX(0,-AI12)</f>
        <v>2.38929922494616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892.947840404111</v>
      </c>
      <c r="R21" s="13" t="n">
        <f aca="false">R16+R17+R18+R19+R20</f>
        <v>880.685107729572</v>
      </c>
      <c r="S21" s="13" t="n">
        <f aca="false">S16+S17+S18+S19+S20</f>
        <v>870.995772969731</v>
      </c>
      <c r="T21" s="13" t="n">
        <f aca="false">T16+T17+T18+T19+T20</f>
        <v>859.119313073175</v>
      </c>
      <c r="U21" s="13" t="n">
        <f aca="false">U16+U17+U18+U19+U20</f>
        <v>849.21253245634</v>
      </c>
      <c r="V21" s="13" t="n">
        <f aca="false">V16+V17+V18+V19+V20</f>
        <v>833.88417709826</v>
      </c>
      <c r="W21" s="13" t="n">
        <f aca="false">W16+W17+W18+W19+W20</f>
        <v>822.476543205151</v>
      </c>
      <c r="X21" s="13" t="n">
        <f aca="false">X16+X17+X18+X19+X20</f>
        <v>812.354643581616</v>
      </c>
      <c r="Y21" s="13" t="n">
        <f aca="false">Y16+Y17+Y18+Y19+Y20</f>
        <v>801.306024573485</v>
      </c>
      <c r="Z21" s="13" t="n">
        <f aca="false">Z16+Z17+Z18+Z19+Z20</f>
        <v>782.189311896383</v>
      </c>
      <c r="AA21" s="13" t="n">
        <f aca="false">AA16+AA17+AA18+AA19+AA20</f>
        <v>765.37855076303</v>
      </c>
      <c r="AB21" s="13" t="n">
        <f aca="false">AB16+AB17+AB18+AB19+AB20</f>
        <v>745.457694001909</v>
      </c>
      <c r="AC21" s="13" t="n">
        <f aca="false">AC16+AC17+AC18+AC19+AC20</f>
        <v>727.427786913131</v>
      </c>
      <c r="AD21" s="13" t="n">
        <f aca="false">AD16+AD17+AD18+AD19+AD20</f>
        <v>695.667840516106</v>
      </c>
      <c r="AE21" s="13" t="n">
        <f aca="false">AE16+AE17+AE18+AE19+AE20</f>
        <v>674.71145118072</v>
      </c>
      <c r="AF21" s="13" t="n">
        <f aca="false">AF16+AF17+AF18+AF19+AF20</f>
        <v>651.813239302276</v>
      </c>
      <c r="AG21" s="13" t="n">
        <f aca="false">AG16+AG17+AG18+AG19+AG20</f>
        <v>629.734037386881</v>
      </c>
      <c r="AH21" s="13" t="n">
        <f aca="false">AH16+AH17+AH18+AH19+AH20</f>
        <v>604.429524787214</v>
      </c>
      <c r="AI21" s="13" t="n">
        <f aca="false">AI16+AI17+AI18+AI19+AI20</f>
        <v>580.761232824293</v>
      </c>
      <c r="AJ21" s="13" t="n">
        <f aca="false">AJ16+AJ17+AJ18+AJ19+AJ20</f>
        <v>558.993887935058</v>
      </c>
      <c r="AK21" s="13" t="n">
        <f aca="false">AK16+AK17+AK18+AK19+AK20</f>
        <v>540.37522020293</v>
      </c>
      <c r="AL21" s="13" t="n">
        <f aca="false">AL16+AL17+AL18+AL19+AL20</f>
        <v>518.157690574218</v>
      </c>
      <c r="AM21" s="13" t="n">
        <f aca="false">AM16+AM17+AM18+AM19+AM20</f>
        <v>500.098827404574</v>
      </c>
      <c r="AN21" s="13" t="n">
        <f aca="false">AN16+AN17+AN18+AN19+AN20</f>
        <v>484.904258117368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398.321311920538</v>
      </c>
      <c r="AB22" s="13" t="n">
        <f aca="false">IF(Time!AB20&lt;Time!$F$12,SUMIFS(Funding!$J$73:$BJ$73,Construction!$J$12:$BJ$12,"&lt;="&amp;Time!AB20),Debt!AB116)</f>
        <v>369.192234463008</v>
      </c>
      <c r="AC22" s="13" t="n">
        <f aca="false">IF(Time!AC20&lt;Time!$F$12,SUMIFS(Funding!$J$73:$BJ$73,Construction!$J$12:$BJ$12,"&lt;="&amp;Time!AC20),Debt!AC116)</f>
        <v>340.082237189694</v>
      </c>
      <c r="AD22" s="13" t="n">
        <f aca="false">IF(Time!AD20&lt;Time!$F$12,SUMIFS(Funding!$J$73:$BJ$73,Construction!$J$12:$BJ$12,"&lt;="&amp;Time!AD20),Debt!AD116)</f>
        <v>308.05635687008</v>
      </c>
      <c r="AE22" s="13" t="n">
        <f aca="false">IF(Time!AE20&lt;Time!$F$12,SUMIFS(Funding!$J$73:$BJ$73,Construction!$J$12:$BJ$12,"&lt;="&amp;Time!AE20),Debt!AE116)</f>
        <v>275.018980643892</v>
      </c>
      <c r="AF22" s="13" t="n">
        <f aca="false">IF(Time!AF20&lt;Time!$F$12,SUMIFS(Funding!$J$73:$BJ$73,Construction!$J$12:$BJ$12,"&lt;="&amp;Time!AF20),Debt!AF116)</f>
        <v>241.009212374738</v>
      </c>
      <c r="AG22" s="13" t="n">
        <f aca="false">IF(Time!AG20&lt;Time!$F$12,SUMIFS(Funding!$J$73:$BJ$73,Construction!$J$12:$BJ$12,"&lt;="&amp;Time!AG20),Debt!AG116)</f>
        <v>207.048334321245</v>
      </c>
      <c r="AH22" s="13" t="n">
        <f aca="false">IF(Time!AH20&lt;Time!$F$12,SUMIFS(Funding!$J$73:$BJ$73,Construction!$J$12:$BJ$12,"&lt;="&amp;Time!AH20),Debt!AH116)</f>
        <v>171.678919609386</v>
      </c>
      <c r="AI22" s="13" t="n">
        <f aca="false">IF(Time!AI20&lt;Time!$F$12,SUMIFS(Funding!$J$73:$BJ$73,Construction!$J$12:$BJ$12,"&lt;="&amp;Time!AI20),Debt!AI116)</f>
        <v>136.230267795022</v>
      </c>
      <c r="AJ22" s="13" t="n">
        <f aca="false">IF(Time!AJ20&lt;Time!$F$12,SUMIFS(Funding!$J$73:$BJ$73,Construction!$J$12:$BJ$12,"&lt;="&amp;Time!AJ20),Debt!AJ116)</f>
        <v>99.8119254028898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199.351995173748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195.438896767181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191.997188789074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187.798561807587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184.262038966382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179.420958840335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173.468844522626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168.495557464913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163.934647777307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158.583492584164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159.869026098413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160.365068002689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161.143592804039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160.705084593382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159.517107595375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157.515672875567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154.858477114188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150.810673043172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145.548306918151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138.229795933114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116.901629580506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89.5228817802122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59.6711121992505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36.4432633781062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5.10366799093835</v>
      </c>
      <c r="AK25" s="13" t="n">
        <f aca="false">MAX(0,AK12)</f>
        <v>13.2211722690779</v>
      </c>
      <c r="AL25" s="13" t="n">
        <f aca="false">MAX(0,AL12)</f>
        <v>21.0559804902548</v>
      </c>
      <c r="AM25" s="13" t="n">
        <f aca="false">MAX(0,AM12)</f>
        <v>30.385661687994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25.801255687556</v>
      </c>
      <c r="R27" s="18" t="n">
        <f aca="false">Waterfall!R43</f>
        <v>34.9068570457313</v>
      </c>
      <c r="S27" s="18" t="n">
        <f aca="false">Waterfall!S43</f>
        <v>45.2001869379628</v>
      </c>
      <c r="T27" s="18" t="n">
        <f aca="false">Waterfall!T43</f>
        <v>55.9299386983248</v>
      </c>
      <c r="U27" s="18" t="n">
        <f aca="false">Waterfall!U43</f>
        <v>67.8528687936808</v>
      </c>
      <c r="V27" s="18" t="n">
        <f aca="false">Waterfall!V43</f>
        <v>78.0490988367401</v>
      </c>
      <c r="W27" s="18" t="n">
        <f aca="false">Waterfall!W43</f>
        <v>92.0275650307993</v>
      </c>
      <c r="X27" s="18" t="n">
        <f aca="false">Waterfall!X43</f>
        <v>106.64670281305</v>
      </c>
      <c r="Y27" s="18" t="n">
        <f aca="false">Waterfall!Y43</f>
        <v>119.252543627958</v>
      </c>
      <c r="Z27" s="18" t="n">
        <f aca="false">Waterfall!Z43</f>
        <v>126.70143088466</v>
      </c>
      <c r="AA27" s="18" t="n">
        <f aca="false">Waterfall!AA43</f>
        <v>135.10369621061</v>
      </c>
      <c r="AB27" s="18" t="n">
        <f aca="false">Waterfall!AB43</f>
        <v>144.042151095423</v>
      </c>
      <c r="AC27" s="18" t="n">
        <f aca="false">Waterfall!AC43</f>
        <v>154.0195761551</v>
      </c>
      <c r="AD27" s="18" t="n">
        <f aca="false">Waterfall!AD43</f>
        <v>155.846298352481</v>
      </c>
      <c r="AE27" s="18" t="n">
        <f aca="false">Waterfall!AE43</f>
        <v>167.77977397576</v>
      </c>
      <c r="AF27" s="18" t="n">
        <f aca="false">Waterfall!AF43</f>
        <v>180.373667861434</v>
      </c>
      <c r="AG27" s="18" t="n">
        <f aca="false">Waterfall!AG43</f>
        <v>194.046542126301</v>
      </c>
      <c r="AH27" s="18" t="n">
        <f aca="false">Waterfall!AH43</f>
        <v>208.725007916182</v>
      </c>
      <c r="AI27" s="18" t="n">
        <f aca="false">Waterfall!AI43</f>
        <v>224.72542011488</v>
      </c>
      <c r="AJ27" s="18" t="n">
        <f aca="false">Waterfall!AJ43</f>
        <v>241.835869940491</v>
      </c>
      <c r="AK27" s="18" t="n">
        <f aca="false">Waterfall!AK43</f>
        <v>260.402281649452</v>
      </c>
      <c r="AL27" s="18" t="n">
        <f aca="false">Waterfall!AL43</f>
        <v>278.308311196592</v>
      </c>
      <c r="AM27" s="18" t="n">
        <f aca="false">Waterfall!AM43</f>
        <v>299.699979641461</v>
      </c>
      <c r="AN27" s="18" t="n">
        <f aca="false">Waterfall!AN43</f>
        <v>322.814075830831</v>
      </c>
      <c r="AO27" s="18" t="n">
        <f aca="false">Waterfall!AO43</f>
        <v>343.710870983196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297.483737603157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97.1457867949468</v>
      </c>
      <c r="BD27" s="18" t="n">
        <f aca="false">Waterfall!BD43</f>
        <v>89.3070946076938</v>
      </c>
      <c r="BE27" s="18" t="n">
        <f aca="false">Waterfall!BE43</f>
        <v>82.0429949146282</v>
      </c>
      <c r="BF27" s="18" t="n">
        <f aca="false">Waterfall!BF43</f>
        <v>74.2389224180272</v>
      </c>
      <c r="BG27" s="18" t="n">
        <f aca="false">Waterfall!BG43</f>
        <v>67.0122301732413</v>
      </c>
      <c r="BH27" s="18" t="n">
        <f aca="false">Waterfall!BH43</f>
        <v>59.240919675917</v>
      </c>
      <c r="BI27" s="18" t="n">
        <f aca="false">Waterfall!BI43</f>
        <v>51.9628576393245</v>
      </c>
      <c r="BJ27" s="18" t="n">
        <f aca="false">Waterfall!BJ43</f>
        <v>24.4943160164672</v>
      </c>
      <c r="BK27" s="18" t="n">
        <f aca="false">Waterfall!BK43</f>
        <v>14.8169491442472</v>
      </c>
      <c r="BL27" s="18" t="n">
        <f aca="false">Waterfall!BL43</f>
        <v>4.31771216962804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892.947840404111</v>
      </c>
      <c r="R28" s="13" t="n">
        <f aca="false">R22+R23+R24+R25+R26+R27</f>
        <v>880.685107729573</v>
      </c>
      <c r="S28" s="13" t="n">
        <f aca="false">S22+S23+S24+S25+S26+S27</f>
        <v>870.995772969731</v>
      </c>
      <c r="T28" s="13" t="n">
        <f aca="false">T22+T23+T24+T25+T26+T27</f>
        <v>859.119313073175</v>
      </c>
      <c r="U28" s="13" t="n">
        <f aca="false">U22+U23+U24+U25+U26+U27</f>
        <v>849.212532456341</v>
      </c>
      <c r="V28" s="13" t="n">
        <f aca="false">V22+V23+V24+V25+V26+V27</f>
        <v>833.88417709826</v>
      </c>
      <c r="W28" s="13" t="n">
        <f aca="false">W22+W23+W24+W25+W26+W27</f>
        <v>822.476543205151</v>
      </c>
      <c r="X28" s="13" t="n">
        <f aca="false">X22+X23+X24+X25+X26+X27</f>
        <v>812.354643581616</v>
      </c>
      <c r="Y28" s="13" t="n">
        <f aca="false">Y22+Y23+Y24+Y25+Y26+Y27</f>
        <v>801.306024573485</v>
      </c>
      <c r="Z28" s="13" t="n">
        <f aca="false">Z22+Z23+Z24+Z25+Z26+Z27</f>
        <v>782.189311896383</v>
      </c>
      <c r="AA28" s="13" t="n">
        <f aca="false">AA22+AA23+AA24+AA25+AA26+AA27</f>
        <v>765.37855076303</v>
      </c>
      <c r="AB28" s="13" t="n">
        <f aca="false">AB22+AB23+AB24+AB25+AB26+AB27</f>
        <v>745.457694001909</v>
      </c>
      <c r="AC28" s="13" t="n">
        <f aca="false">AC22+AC23+AC24+AC25+AC26+AC27</f>
        <v>727.427786913131</v>
      </c>
      <c r="AD28" s="13" t="n">
        <f aca="false">AD22+AD23+AD24+AD25+AD26+AD27</f>
        <v>695.667840516106</v>
      </c>
      <c r="AE28" s="13" t="n">
        <f aca="false">AE22+AE23+AE24+AE25+AE26+AE27</f>
        <v>674.71145118072</v>
      </c>
      <c r="AF28" s="13" t="n">
        <f aca="false">AF22+AF23+AF24+AF25+AF26+AF27</f>
        <v>651.813239302276</v>
      </c>
      <c r="AG28" s="13" t="n">
        <f aca="false">AG22+AG23+AG24+AG25+AG26+AG27</f>
        <v>629.734037386881</v>
      </c>
      <c r="AH28" s="13" t="n">
        <f aca="false">AH22+AH23+AH24+AH25+AH26+AH27</f>
        <v>604.429524787215</v>
      </c>
      <c r="AI28" s="13" t="n">
        <f aca="false">AI22+AI23+AI24+AI25+AI26+AI27</f>
        <v>580.761232824293</v>
      </c>
      <c r="AJ28" s="13" t="n">
        <f aca="false">AJ22+AJ23+AJ24+AJ25+AJ26+AJ27</f>
        <v>558.993887935058</v>
      </c>
      <c r="AK28" s="13" t="n">
        <f aca="false">AK22+AK23+AK24+AK25+AK26+AK27</f>
        <v>540.37522020293</v>
      </c>
      <c r="AL28" s="13" t="n">
        <f aca="false">AL22+AL23+AL24+AL25+AL26+AL27</f>
        <v>518.157690574218</v>
      </c>
      <c r="AM28" s="13" t="n">
        <f aca="false">AM22+AM23+AM24+AM25+AM26+AM27</f>
        <v>500.098827404574</v>
      </c>
      <c r="AN28" s="13" t="n">
        <f aca="false">AN22+AN23+AN24+AN25+AN26+AN27</f>
        <v>484.904258117368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105.057964998364</v>
      </c>
      <c r="BL28" s="13" t="n">
        <f aca="false">BL22+BL23+BL24+BL25+BL26+BL27</f>
        <v>90.5011656317173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-315.463568860564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-7.33547189189998</v>
      </c>
      <c r="AO33" s="13" t="n">
        <f aca="false">-Tax!AO27</f>
        <v>-9.44048508074295</v>
      </c>
      <c r="AP33" s="13" t="n">
        <f aca="false">-Tax!AP27</f>
        <v>-10.1541728389633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2307.74020658434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44.1087209827495</v>
      </c>
      <c r="AO36" s="13" t="n">
        <f aca="false">AO32+AO33+AO34+AO35</f>
        <v>41.6331610876275</v>
      </c>
      <c r="AP36" s="13" t="n">
        <f aca="false">AP32+AP33+AP34+AP35</f>
        <v>41.619953066631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-847.323967644871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-36.3947029772826</v>
      </c>
      <c r="AC37" s="13" t="n">
        <f aca="false">-(Debt!AC114+Debt!AC110)</f>
        <v>-35.5071075766857</v>
      </c>
      <c r="AD37" s="13" t="n">
        <f aca="false">-(Debt!AD114+Debt!AD110)</f>
        <v>-36.0724880257139</v>
      </c>
      <c r="AE37" s="13" t="n">
        <f aca="false">-(Debt!AE114+Debt!AE110)</f>
        <v>-35.1313955205726</v>
      </c>
      <c r="AF37" s="13" t="n">
        <f aca="false">-(Debt!AF114+Debt!AF110)</f>
        <v>-34.0602091726908</v>
      </c>
      <c r="AG37" s="13" t="n">
        <f aca="false">-(Debt!AG114+Debt!AG110)</f>
        <v>-32.3906852273379</v>
      </c>
      <c r="AH37" s="13" t="n">
        <f aca="false">-(Debt!AH114+Debt!AH110)</f>
        <v>-31.139275313882</v>
      </c>
      <c r="AI37" s="13" t="n">
        <f aca="false">-(Debt!AI114+Debt!AI110)</f>
        <v>-28.8437206052282</v>
      </c>
      <c r="AJ37" s="13" t="n">
        <f aca="false">-(Debt!AJ114+Debt!AJ110)</f>
        <v>-26.5270675561525</v>
      </c>
      <c r="AK37" s="13" t="n">
        <f aca="false">-(Debt!AK114+Debt!AK110)</f>
        <v>-22.8663113266138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-99.4873428676788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-6.18526965009215</v>
      </c>
      <c r="AB43" s="13" t="n">
        <f aca="false">-(Waterfall!AB28+Waterfall!AB29)</f>
        <v>-7.16015145517671</v>
      </c>
      <c r="AC43" s="13" t="n">
        <f aca="false">-(Waterfall!AC28+Waterfall!AC29)</f>
        <v>-6.81794650211999</v>
      </c>
      <c r="AD43" s="13" t="n">
        <f aca="false">-(Waterfall!AD28+Waterfall!AD29)</f>
        <v>-8.15574109343732</v>
      </c>
      <c r="AE43" s="13" t="n">
        <f aca="false">-(Waterfall!AE28+Waterfall!AE29)</f>
        <v>-8.75872749001524</v>
      </c>
      <c r="AF43" s="13" t="n">
        <f aca="false">-(Waterfall!AF28+Waterfall!AF29)</f>
        <v>-9.64077455752687</v>
      </c>
      <c r="AG43" s="13" t="n">
        <f aca="false">-(Waterfall!AG28+Waterfall!AG29)</f>
        <v>-10.0776943780783</v>
      </c>
      <c r="AH43" s="13" t="n">
        <f aca="false">-(Waterfall!AH28+Waterfall!AH29)</f>
        <v>-11.4640401804848</v>
      </c>
      <c r="AI43" s="13" t="n">
        <f aca="false">-(Waterfall!AI28+Waterfall!AI29)</f>
        <v>-12.3669949550957</v>
      </c>
      <c r="AJ43" s="13" t="n">
        <f aca="false">-(Waterfall!AJ28+Waterfall!AJ29)</f>
        <v>-14.2888792177195</v>
      </c>
      <c r="AK43" s="13" t="n">
        <f aca="false">-(Waterfall!AK28+Waterfall!AK29)</f>
        <v>-4.57112338793218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-400.605068002332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-12.5371871310315</v>
      </c>
      <c r="R44" s="13" t="n">
        <f aca="false">-(Waterfall!R34+Waterfall!R35)</f>
        <v>-13.4601473809154</v>
      </c>
      <c r="S44" s="13" t="n">
        <f aca="false">-(Waterfall!S34+Waterfall!S35)</f>
        <v>-12.6487540874542</v>
      </c>
      <c r="T44" s="13" t="n">
        <f aca="false">-(Waterfall!T34+Waterfall!T35)</f>
        <v>-13.3934512555498</v>
      </c>
      <c r="U44" s="13" t="n">
        <f aca="false">-(Waterfall!U34+Waterfall!U35)</f>
        <v>-12.4325149882004</v>
      </c>
      <c r="V44" s="13" t="n">
        <f aca="false">-(Waterfall!V34+Waterfall!V35)</f>
        <v>-13.6654648962718</v>
      </c>
      <c r="W44" s="13" t="n">
        <f aca="false">-(Waterfall!W34+Waterfall!W35)</f>
        <v>-14.404561954037</v>
      </c>
      <c r="X44" s="13" t="n">
        <f aca="false">-(Waterfall!X34+Waterfall!X35)</f>
        <v>-13.2807813104681</v>
      </c>
      <c r="Y44" s="13" t="n">
        <f aca="false">-(Waterfall!Y34+Waterfall!Y35)</f>
        <v>-12.4986661550279</v>
      </c>
      <c r="Z44" s="13" t="n">
        <f aca="false">-(Waterfall!Z34+Waterfall!Z35)</f>
        <v>-13.2020528456018</v>
      </c>
      <c r="AA44" s="13" t="n">
        <f aca="false">-(Waterfall!AA34+Waterfall!AA35)</f>
        <v>-6.18526965009215</v>
      </c>
      <c r="AB44" s="13" t="n">
        <f aca="false">-(Waterfall!AB34+Waterfall!AB35)</f>
        <v>-7.16015145517671</v>
      </c>
      <c r="AC44" s="13" t="n">
        <f aca="false">-(Waterfall!AC34+Waterfall!AC35)</f>
        <v>-6.81794650211999</v>
      </c>
      <c r="AD44" s="13" t="n">
        <f aca="false">-(Waterfall!AD34+Waterfall!AD35)</f>
        <v>-8.15574109343732</v>
      </c>
      <c r="AE44" s="13" t="n">
        <f aca="false">-(Waterfall!AE34+Waterfall!AE35)</f>
        <v>-8.75872749001524</v>
      </c>
      <c r="AF44" s="13" t="n">
        <f aca="false">-(Waterfall!AF34+Waterfall!AF35)</f>
        <v>-9.64077455752687</v>
      </c>
      <c r="AG44" s="13" t="n">
        <f aca="false">-(Waterfall!AG34+Waterfall!AG35)</f>
        <v>-10.0776943780783</v>
      </c>
      <c r="AH44" s="13" t="n">
        <f aca="false">-(Waterfall!AH34+Waterfall!AH35)</f>
        <v>-11.4640401804848</v>
      </c>
      <c r="AI44" s="13" t="n">
        <f aca="false">-(Waterfall!AI34+Waterfall!AI35)</f>
        <v>-12.3669949550957</v>
      </c>
      <c r="AJ44" s="13" t="n">
        <f aca="false">-(Waterfall!AJ34+Waterfall!AJ35)</f>
        <v>-14.2888792177195</v>
      </c>
      <c r="AK44" s="13" t="n">
        <f aca="false">-(Waterfall!AK34+Waterfall!AK35)</f>
        <v>-27.8760928503717</v>
      </c>
      <c r="AL44" s="13" t="n">
        <f aca="false">-(Waterfall!AL34+Waterfall!AL35)</f>
        <v>-32.9772148826695</v>
      </c>
      <c r="AM44" s="13" t="n">
        <f aca="false">-(Waterfall!AM34+Waterfall!AM35)</f>
        <v>-34.0691557514022</v>
      </c>
      <c r="AN44" s="13" t="n">
        <f aca="false">-(Waterfall!AN34+Waterfall!AN35)</f>
        <v>-26.0855229067413</v>
      </c>
      <c r="AO44" s="13" t="n">
        <f aca="false">-(Waterfall!AO34+Waterfall!AO35)</f>
        <v>-38.1600905391652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-997.569723506057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-3.47307054846231</v>
      </c>
      <c r="AP45" s="13" t="n">
        <f aca="false">-Waterfall!AP41</f>
        <v>-41.619953066631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39.1181426344178</v>
      </c>
      <c r="P49" s="13" t="n">
        <f aca="false">P36+P37+P38+P39+P40+P41+P42+P43+P44+P45+P46+P47+P48</f>
        <v>-1.54485787723229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1.21414731247841</v>
      </c>
      <c r="AC49" s="13" t="n">
        <f aca="false">AC36+AC37+AC38+AC39+AC40+AC41+AC42+AC43+AC44+AC45+AC46+AC47+AC48</f>
        <v>2.58119640539759</v>
      </c>
      <c r="AD49" s="13" t="n">
        <f aca="false">AD36+AD37+AD38+AD39+AD40+AD41+AD42+AD43+AD44+AD45+AD46+AD47+AD48</f>
        <v>-12.5578827916501</v>
      </c>
      <c r="AE49" s="13" t="n">
        <f aca="false">AE36+AE37+AE38+AE39+AE40+AE41+AE42+AE43+AE44+AE45+AE46+AE47+AE48</f>
        <v>-0.903018562936282</v>
      </c>
      <c r="AF49" s="13" t="n">
        <f aca="false">AF36+AF37+AF38+AF39+AF40+AF41+AF42+AF43+AF44+AF45+AF46+AF47+AF48</f>
        <v>-0.939644680035838</v>
      </c>
      <c r="AG49" s="13" t="n">
        <f aca="false">AG36+AG37+AG38+AG39+AG40+AG41+AG42+AG43+AG44+AG45+AG46+AG47+AG48</f>
        <v>-0.511366876671578</v>
      </c>
      <c r="AH49" s="13" t="n">
        <f aca="false">AH36+AH37+AH38+AH39+AH40+AH41+AH42+AH43+AH44+AH45+AH46+AH47+AH48</f>
        <v>-1.36318304175227</v>
      </c>
      <c r="AI49" s="13" t="n">
        <f aca="false">AI36+AI37+AI38+AI39+AI40+AI41+AI42+AI43+AI44+AI45+AI46+AI47+AI48</f>
        <v>-1.28104180998576</v>
      </c>
      <c r="AJ49" s="13" t="n">
        <f aca="false">AJ36+AJ37+AJ38+AJ39+AJ40+AJ41+AJ42+AJ43+AJ44+AJ45+AJ46+AJ47+AJ48</f>
        <v>-2.20679974803702</v>
      </c>
      <c r="AK49" s="13" t="n">
        <f aca="false">AK36+AK37+AK38+AK39+AK40+AK41+AK42+AK43+AK44+AK45+AK46+AK47+AK48</f>
        <v>-2.6535666692263</v>
      </c>
      <c r="AL49" s="13" t="n">
        <f aca="false">AL36+AL37+AL38+AL39+AL40+AL41+AL42+AL43+AL44+AL45+AL46+AL47+AL48</f>
        <v>-4.50839402347246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-0.758595231155049</v>
      </c>
      <c r="AC50" s="13" t="n">
        <f aca="false">Reserves!AC11-Reserves!AC10-Reserves!AC12</f>
        <v>0.608453861764133</v>
      </c>
      <c r="AD50" s="13" t="n">
        <f aca="false">Reserves!AD11-Reserves!AD10-Reserves!AD12</f>
        <v>-0.721427529849386</v>
      </c>
      <c r="AE50" s="13" t="n">
        <f aca="false">Reserves!AE11-Reserves!AE10-Reserves!AE12</f>
        <v>-0.903018562936282</v>
      </c>
      <c r="AF50" s="13" t="n">
        <f aca="false">Reserves!AF11-Reserves!AF10-Reserves!AF12</f>
        <v>-1.43507263495175</v>
      </c>
      <c r="AG50" s="13" t="n">
        <f aca="false">Reserves!AG11-Reserves!AG10-Reserves!AG12</f>
        <v>-1.00679483158749</v>
      </c>
      <c r="AH50" s="13" t="n">
        <f aca="false">Reserves!AH11-Reserves!AH10-Reserves!AH12</f>
        <v>-1.85861099666819</v>
      </c>
      <c r="AI50" s="13" t="n">
        <f aca="false">Reserves!AI11-Reserves!AI10-Reserves!AI12</f>
        <v>-1.77646976490167</v>
      </c>
      <c r="AJ50" s="13" t="n">
        <f aca="false">Reserves!AJ11-Reserves!AJ10-Reserves!AJ12</f>
        <v>-2.70222770295293</v>
      </c>
      <c r="AK50" s="13" t="n">
        <f aca="false">Reserves!AK11-Reserves!AK10-Reserves!AK12</f>
        <v>-3.14899462414221</v>
      </c>
      <c r="AL50" s="13" t="n">
        <f aca="false">Reserves!AL11-Reserves!AL10-Reserves!AL12</f>
        <v>-1.53582629397698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1.21414731247841</v>
      </c>
      <c r="AC51" s="13" t="n">
        <f aca="false">AC17-AB17</f>
        <v>2.58119640539759</v>
      </c>
      <c r="AD51" s="13" t="n">
        <f aca="false">AD17-AC17</f>
        <v>-12.5578827916501</v>
      </c>
      <c r="AE51" s="13" t="n">
        <f aca="false">AE17-AD17</f>
        <v>-0.903018562936282</v>
      </c>
      <c r="AF51" s="13" t="n">
        <f aca="false">AF17-AE17</f>
        <v>-0.939644680035841</v>
      </c>
      <c r="AG51" s="13" t="n">
        <f aca="false">AG17-AF17</f>
        <v>-0.511366876671573</v>
      </c>
      <c r="AH51" s="13" t="n">
        <f aca="false">AH17-AG17</f>
        <v>-1.36318304175228</v>
      </c>
      <c r="AI51" s="13" t="n">
        <f aca="false">AI17-AH17</f>
        <v>-1.28104180998575</v>
      </c>
      <c r="AJ51" s="13" t="n">
        <f aca="false">AJ17-AI17</f>
        <v>-2.20679974803702</v>
      </c>
      <c r="AK51" s="13" t="n">
        <f aca="false">AK17-AJ17</f>
        <v>-2.6535666692263</v>
      </c>
      <c r="AL51" s="13" t="n">
        <f aca="false">AL17-AK17</f>
        <v>-4.50839402347246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0.0362164326718415</v>
      </c>
      <c r="AC7" s="16" t="n">
        <f aca="false">IF(Debt!AC115&gt;Inputs!$F$253,Debt!AC112/Debt!AC115,0)</f>
        <v>0.0357945145425744</v>
      </c>
      <c r="AD7" s="16" t="n">
        <f aca="false">IF(Debt!AD115&gt;Inputs!$F$253,Debt!AD112/Debt!AD115,0)</f>
        <v>0.0358805825919422</v>
      </c>
      <c r="AE7" s="16" t="n">
        <f aca="false">IF(Debt!AE115&gt;Inputs!$F$253,Debt!AE112/Debt!AE115,0)</f>
        <v>0.0352297446307081</v>
      </c>
      <c r="AF7" s="16" t="n">
        <f aca="false">IF(Debt!AF115&gt;Inputs!$F$253,Debt!AF112/Debt!AF115,0)</f>
        <v>0.0352383513253316</v>
      </c>
      <c r="AG7" s="16" t="n">
        <f aca="false">IF(Debt!AG115&gt;Inputs!$F$253,Debt!AG112/Debt!AG115,0)</f>
        <v>0.0352994869702131</v>
      </c>
      <c r="AH7" s="16" t="n">
        <f aca="false">IF(Debt!AH115&gt;Inputs!$F$253,Debt!AH112/Debt!AH115,0)</f>
        <v>0.0349382225470288</v>
      </c>
      <c r="AI7" s="16" t="n">
        <f aca="false">IF(Debt!AI115&gt;Inputs!$F$253,Debt!AI112/Debt!AI115,0)</f>
        <v>0.0335630242726989</v>
      </c>
      <c r="AJ7" s="16" t="n">
        <f aca="false">IF(Debt!AJ115&gt;Inputs!$F$253,Debt!AJ112/Debt!AJ115,0)</f>
        <v>0.0322806704627234</v>
      </c>
      <c r="AK7" s="16" t="n">
        <f aca="false">IF(Debt!AK115&gt;Inputs!$F$253,Debt!AK112/Debt!AK115,0)</f>
        <v>0.02938858629726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0.0362164326718415</v>
      </c>
      <c r="AC10" s="16" t="n">
        <f aca="false">IF(AC7&gt;0,AC7,$F$9)</f>
        <v>0.0357945145425744</v>
      </c>
      <c r="AD10" s="16" t="n">
        <f aca="false">IF(AD7&gt;0,AD7,$F$9)</f>
        <v>0.0358805825919422</v>
      </c>
      <c r="AE10" s="16" t="n">
        <f aca="false">IF(AE7&gt;0,AE7,$F$9)</f>
        <v>0.0352297446307081</v>
      </c>
      <c r="AF10" s="16" t="n">
        <f aca="false">IF(AF7&gt;0,AF7,$F$9)</f>
        <v>0.0352383513253316</v>
      </c>
      <c r="AG10" s="16" t="n">
        <f aca="false">IF(AG7&gt;0,AG7,$F$9)</f>
        <v>0.0352994869702131</v>
      </c>
      <c r="AH10" s="16" t="n">
        <f aca="false">IF(AH7&gt;0,AH7,$F$9)</f>
        <v>0.0349382225470288</v>
      </c>
      <c r="AI10" s="16" t="n">
        <f aca="false">IF(AI7&gt;0,AI7,$F$9)</f>
        <v>0.0335630242726989</v>
      </c>
      <c r="AJ10" s="16" t="n">
        <f aca="false">IF(AJ7&gt;0,AJ7,$F$9)</f>
        <v>0.0322806704627234</v>
      </c>
      <c r="AK10" s="16" t="n">
        <f aca="false">IF(AK7&gt;0,AK7,$F$9)</f>
        <v>0.02938858629726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728.540408607662</v>
      </c>
      <c r="K11" s="13" t="n">
        <f aca="false">IF(Time!K20&lt;=$F$8,(Waterfall!K7+L11)/(1+K10),0)</f>
        <v>748.738770499012</v>
      </c>
      <c r="L11" s="13" t="n">
        <f aca="false">IF(Time!L20&lt;=$F$8,(Waterfall!L7+M11)/(1+L10),0)</f>
        <v>769.497120303555</v>
      </c>
      <c r="M11" s="13" t="n">
        <f aca="false">IF(Time!M20&lt;=$F$8,(Waterfall!M7+N11)/(1+M10),0)</f>
        <v>790.830983362635</v>
      </c>
      <c r="N11" s="13" t="n">
        <f aca="false">IF(Time!N20&lt;=$F$8,(Waterfall!N7+O11)/(1+N10),0)</f>
        <v>812.756315448713</v>
      </c>
      <c r="O11" s="13" t="n">
        <f aca="false">IF(Time!O20&lt;=$F$8,(Waterfall!O7+P11)/(1+O10),0)</f>
        <v>835.289514698823</v>
      </c>
      <c r="P11" s="13" t="n">
        <f aca="false">IF(Time!P20&lt;=$F$8,(Waterfall!P7+Q11)/(1+P10),0)</f>
        <v>856.575186681048</v>
      </c>
      <c r="Q11" s="13" t="n">
        <f aca="false">IF(Time!Q20&lt;=$F$8,(Waterfall!Q7+R11)/(1+Q10),0)</f>
        <v>835.721776811377</v>
      </c>
      <c r="R11" s="13" t="n">
        <f aca="false">IF(Time!R20&lt;=$F$8,(Waterfall!R7+S11)/(1+R10),0)</f>
        <v>814.04665987451</v>
      </c>
      <c r="S11" s="13" t="n">
        <f aca="false">IF(Time!S20&lt;=$F$8,(Waterfall!S7+T11)/(1+S10),0)</f>
        <v>791.36223518345</v>
      </c>
      <c r="T11" s="13" t="n">
        <f aca="false">IF(Time!T20&lt;=$F$8,(Waterfall!T7+U11)/(1+T10),0)</f>
        <v>768.059767612881</v>
      </c>
      <c r="U11" s="13" t="n">
        <f aca="false">IF(Time!U20&lt;=$F$8,(Waterfall!U7+V11)/(1+U10),0)</f>
        <v>743.735955081717</v>
      </c>
      <c r="V11" s="13" t="n">
        <f aca="false">IF(Time!V20&lt;=$F$8,(Waterfall!V7+W11)/(1+V10),0)</f>
        <v>718.677858919308</v>
      </c>
      <c r="W11" s="13" t="n">
        <f aca="false">IF(Time!W20&lt;=$F$8,(Waterfall!W7+X11)/(1+W10),0)</f>
        <v>692.015638455655</v>
      </c>
      <c r="X11" s="13" t="n">
        <f aca="false">IF(Time!X20&lt;=$F$8,(Waterfall!X7+Y11)/(1+X10),0)</f>
        <v>664.564777684641</v>
      </c>
      <c r="Y11" s="13" t="n">
        <f aca="false">IF(Time!Y20&lt;=$F$8,(Waterfall!Y7+Z11)/(1+Y10),0)</f>
        <v>637.937970558248</v>
      </c>
      <c r="Z11" s="13" t="n">
        <f aca="false">IF(Time!Z20&lt;=$F$8,(Waterfall!Z7+AA11)/(1+Z10),0)</f>
        <v>611.377787592104</v>
      </c>
      <c r="AA11" s="13" t="n">
        <f aca="false">IF(Time!AA20&lt;=$F$8,(Waterfall!AA7+AB11)/(1+AA10),0)</f>
        <v>583.757609026575</v>
      </c>
      <c r="AB11" s="13" t="n">
        <f aca="false">IF(Time!AB20&lt;=$F$8,(Waterfall!AB7+AC11)/(1+AB10),0)</f>
        <v>555.354024542619</v>
      </c>
      <c r="AC11" s="13" t="n">
        <f aca="false">IF(Time!AC20&lt;=$F$8,(Waterfall!AC7+AD11)/(1+AC10),0)</f>
        <v>525.510555525022</v>
      </c>
      <c r="AD11" s="13" t="n">
        <f aca="false">IF(Time!AD20&lt;=$F$8,(Waterfall!AD7+AE11)/(1+AD10),0)</f>
        <v>494.569496304349</v>
      </c>
      <c r="AE11" s="13" t="n">
        <f aca="false">IF(Time!AE20&lt;=$F$8,(Waterfall!AE7+AF11)/(1+AE10),0)</f>
        <v>460.652395281214</v>
      </c>
      <c r="AF11" s="13" t="n">
        <f aca="false">IF(Time!AF20&lt;=$F$8,(Waterfall!AF7+AG11)/(1+AF10),0)</f>
        <v>425.135229592828</v>
      </c>
      <c r="AG11" s="13" t="n">
        <f aca="false">IF(Time!AG20&lt;=$F$8,(Waterfall!AG7+AH11)/(1+AG10),0)</f>
        <v>388.209608521203</v>
      </c>
      <c r="AH11" s="13" t="n">
        <f aca="false">IF(Time!AH20&lt;=$F$8,(Waterfall!AH7+AI11)/(1+AH10),0)</f>
        <v>350.373929387001</v>
      </c>
      <c r="AI11" s="13" t="n">
        <f aca="false">IF(Time!AI20&lt;=$F$8,(Waterfall!AI7+AJ11)/(1+AI10),0)</f>
        <v>310.406627028418</v>
      </c>
      <c r="AJ11" s="13" t="n">
        <f aca="false">IF(Time!AJ20&lt;=$F$8,(Waterfall!AJ7+AK11)/(1+AJ10),0)</f>
        <v>269.023571435262</v>
      </c>
      <c r="AK11" s="13" t="n">
        <f aca="false">IF(Time!AK20&lt;=$F$8,(Waterfall!AK7+AL11)/(1+AK10),0)</f>
        <v>225.305234402829</v>
      </c>
      <c r="AL11" s="13" t="n">
        <f aca="false">IF(Time!AL20&lt;=$F$8,(Waterfall!AL7+AM11)/(1+AL10),0)</f>
        <v>179.762103786526</v>
      </c>
      <c r="AM11" s="13" t="n">
        <f aca="false">IF(Time!AM20&lt;=$F$8,(Waterfall!AM7+AN11)/(1+AM10),0)</f>
        <v>131.545486782614</v>
      </c>
      <c r="AN11" s="13" t="n">
        <f aca="false">IF(Time!AN20&lt;=$F$8,(Waterfall!AN7+AO11)/(1+AN10),0)</f>
        <v>82.3228309889115</v>
      </c>
      <c r="AO11" s="13" t="n">
        <f aca="false">IF(Time!AO20&lt;=$F$8,(Waterfall!AO7+AP11)/(1+AO10),0)</f>
        <v>40.5100435365378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988.830855809499</v>
      </c>
      <c r="K12" s="13" t="n">
        <f aca="false">IF(Time!K20&lt;=Time!$F$15,(Waterfall!K7+L12)/(1+K10),0)</f>
        <v>1016.24561995847</v>
      </c>
      <c r="L12" s="13" t="n">
        <f aca="false">IF(Time!L20&lt;=Time!$F$15,(Waterfall!L7+M12)/(1+L10),0)</f>
        <v>1044.42044260372</v>
      </c>
      <c r="M12" s="13" t="n">
        <f aca="false">IF(Time!M20&lt;=Time!$F$15,(Waterfall!M7+N12)/(1+M10),0)</f>
        <v>1073.37639592791</v>
      </c>
      <c r="N12" s="13" t="n">
        <f aca="false">IF(Time!N20&lt;=Time!$F$15,(Waterfall!N7+O12)/(1+N10),0)</f>
        <v>1103.1351363278</v>
      </c>
      <c r="O12" s="13" t="n">
        <f aca="false">IF(Time!O20&lt;=Time!$F$15,(Waterfall!O7+P12)/(1+O10),0)</f>
        <v>1133.71892061122</v>
      </c>
      <c r="P12" s="13" t="n">
        <f aca="false">IF(Time!P20&lt;=Time!$F$15,(Waterfall!P7+Q12)/(1+P10),0)</f>
        <v>1163.27837544533</v>
      </c>
      <c r="Q12" s="13" t="n">
        <f aca="false">IF(Time!Q20&lt;=Time!$F$15,(Waterfall!Q7+R12)/(1+Q10),0)</f>
        <v>1152.96207889817</v>
      </c>
      <c r="R12" s="13" t="n">
        <f aca="false">IF(Time!R20&lt;=Time!$F$15,(Waterfall!R7+S12)/(1+R10),0)</f>
        <v>1142.10058298411</v>
      </c>
      <c r="S12" s="13" t="n">
        <f aca="false">IF(Time!S20&lt;=Time!$F$15,(Waterfall!S7+T12)/(1+S10),0)</f>
        <v>1130.74386187666</v>
      </c>
      <c r="T12" s="13" t="n">
        <f aca="false">IF(Time!T20&lt;=Time!$F$15,(Waterfall!T7+U12)/(1+T10),0)</f>
        <v>1119.06236215009</v>
      </c>
      <c r="U12" s="13" t="n">
        <f aca="false">IF(Time!U20&lt;=Time!$F$15,(Waterfall!U7+V12)/(1+U10),0)</f>
        <v>1106.91315615698</v>
      </c>
      <c r="V12" s="13" t="n">
        <f aca="false">IF(Time!V20&lt;=Time!$F$15,(Waterfall!V7+W12)/(1+V10),0)</f>
        <v>1094.3863574387</v>
      </c>
      <c r="W12" s="13" t="n">
        <f aca="false">IF(Time!W20&lt;=Time!$F$15,(Waterfall!W7+X12)/(1+W10),0)</f>
        <v>1080.80740933187</v>
      </c>
      <c r="X12" s="13" t="n">
        <f aca="false">IF(Time!X20&lt;=Time!$F$15,(Waterfall!X7+Y12)/(1+X10),0)</f>
        <v>1066.7732112969</v>
      </c>
      <c r="Y12" s="13" t="n">
        <f aca="false">IF(Time!Y20&lt;=Time!$F$15,(Waterfall!Y7+Z12)/(1+Y10),0)</f>
        <v>1054.20227393066</v>
      </c>
      <c r="Z12" s="13" t="n">
        <f aca="false">IF(Time!Z20&lt;=Time!$F$15,(Waterfall!Z7+AA12)/(1+Z10),0)</f>
        <v>1042.52586527652</v>
      </c>
      <c r="AA12" s="13" t="n">
        <f aca="false">IF(Time!AA20&lt;=Time!$F$15,(Waterfall!AA7+AB12)/(1+AA10),0)</f>
        <v>1030.53037359283</v>
      </c>
      <c r="AB12" s="13" t="n">
        <f aca="false">IF(Time!AB20&lt;=Time!$F$15,(Waterfall!AB7+AC12)/(1+AB10),0)</f>
        <v>1018.17726242549</v>
      </c>
      <c r="AC12" s="13" t="n">
        <f aca="false">IF(Time!AC20&lt;=Time!$F$15,(Waterfall!AC7+AD12)/(1+AC10),0)</f>
        <v>1005.09560004164</v>
      </c>
      <c r="AD12" s="13" t="n">
        <f aca="false">IF(Time!AD20&lt;=Time!$F$15,(Waterfall!AD7+AE12)/(1+AD10),0)</f>
        <v>991.32105467132</v>
      </c>
      <c r="AE12" s="13" t="n">
        <f aca="false">IF(Time!AE20&lt;=Time!$F$15,(Waterfall!AE7+AF12)/(1+AE10),0)</f>
        <v>975.227688965846</v>
      </c>
      <c r="AF12" s="13" t="n">
        <f aca="false">IF(Time!AF20&lt;=Time!$F$15,(Waterfall!AF7+AG12)/(1+AF10),0)</f>
        <v>957.838879467242</v>
      </c>
      <c r="AG12" s="13" t="n">
        <f aca="false">IF(Time!AG20&lt;=Time!$F$15,(Waterfall!AG7+AH12)/(1+AG10),0)</f>
        <v>939.684856762177</v>
      </c>
      <c r="AH12" s="13" t="n">
        <f aca="false">IF(Time!AH20&lt;=Time!$F$15,(Waterfall!AH7+AI12)/(1+AH10),0)</f>
        <v>921.315970967654</v>
      </c>
      <c r="AI12" s="13" t="n">
        <f aca="false">IF(Time!AI20&lt;=Time!$F$15,(Waterfall!AI7+AJ12)/(1+AI10),0)</f>
        <v>901.29636871927</v>
      </c>
      <c r="AJ12" s="13" t="n">
        <f aca="false">IF(Time!AJ20&lt;=Time!$F$15,(Waterfall!AJ7+AK12)/(1+AJ10),0)</f>
        <v>879.745359868972</v>
      </c>
      <c r="AK12" s="13" t="n">
        <f aca="false">IF(Time!AK20&lt;=Time!$F$15,(Waterfall!AK7+AL12)/(1+AK10),0)</f>
        <v>855.741531633374</v>
      </c>
      <c r="AL12" s="13" t="n">
        <f aca="false">IF(Time!AL20&lt;=Time!$F$15,(Waterfall!AL7+AM12)/(1+AL10),0)</f>
        <v>828.726032543155</v>
      </c>
      <c r="AM12" s="13" t="n">
        <f aca="false">IF(Time!AM20&lt;=Time!$F$15,(Waterfall!AM7+AN12)/(1+AM10),0)</f>
        <v>798.772897350902</v>
      </c>
      <c r="AN12" s="13" t="n">
        <f aca="false">IF(Time!AN20&lt;=Time!$F$15,(Waterfall!AN7+AO12)/(1+AN10),0)</f>
        <v>768.20103755848</v>
      </c>
      <c r="AO12" s="13" t="n">
        <f aca="false">IF(Time!AO20&lt;=Time!$F$15,(Waterfall!AO7+AP12)/(1+AO10),0)</f>
        <v>745.516974826825</v>
      </c>
      <c r="AP12" s="13" t="n">
        <f aca="false">IF(Time!AP20&lt;=Time!$F$15,(Waterfall!AP7+AQ12)/(1+AP10),0)</f>
        <v>724.552841120224</v>
      </c>
      <c r="AQ12" s="13" t="n">
        <f aca="false">IF(Time!AQ20&lt;=Time!$F$15,(Waterfall!AQ7+AR12)/(1+AQ10),0)</f>
        <v>703.020696940296</v>
      </c>
      <c r="AR12" s="13" t="n">
        <f aca="false">IF(Time!AR20&lt;=Time!$F$15,(Waterfall!AR7+AS12)/(1+AR10),0)</f>
        <v>681.338624952788</v>
      </c>
      <c r="AS12" s="13" t="n">
        <f aca="false">IF(Time!AS20&lt;=Time!$F$15,(Waterfall!AS7+AT12)/(1+AS10),0)</f>
        <v>658.459068549969</v>
      </c>
      <c r="AT12" s="13" t="n">
        <f aca="false">IF(Time!AT20&lt;=Time!$F$15,(Waterfall!AT7+AU12)/(1+AT10),0)</f>
        <v>635.21053758448</v>
      </c>
      <c r="AU12" s="13" t="n">
        <f aca="false">IF(Time!AU20&lt;=Time!$F$15,(Waterfall!AU7+AV12)/(1+AU10),0)</f>
        <v>604.584374411081</v>
      </c>
      <c r="AV12" s="13" t="n">
        <f aca="false">IF(Time!AV20&lt;=Time!$F$15,(Waterfall!AV7+AW12)/(1+AV10),0)</f>
        <v>577.546290850605</v>
      </c>
      <c r="AW12" s="13" t="n">
        <f aca="false">IF(Time!AW20&lt;=Time!$F$15,(Waterfall!AW7+AX12)/(1+AW10),0)</f>
        <v>549.635093242017</v>
      </c>
      <c r="AX12" s="13" t="n">
        <f aca="false">IF(Time!AX20&lt;=Time!$F$15,(Waterfall!AX7+AY12)/(1+AX10),0)</f>
        <v>521.374458594246</v>
      </c>
      <c r="AY12" s="13" t="n">
        <f aca="false">IF(Time!AY20&lt;=Time!$F$15,(Waterfall!AY7+AZ12)/(1+AY10),0)</f>
        <v>491.655474149004</v>
      </c>
      <c r="AZ12" s="13" t="n">
        <f aca="false">IF(Time!AZ20&lt;=Time!$F$15,(Waterfall!AZ7+BA12)/(1+AZ10),0)</f>
        <v>461.569470517654</v>
      </c>
      <c r="BA12" s="13" t="n">
        <f aca="false">IF(Time!BA20&lt;=Time!$F$15,(Waterfall!BA7+BB12)/(1+BA10),0)</f>
        <v>430.031459678865</v>
      </c>
      <c r="BB12" s="13" t="n">
        <f aca="false">IF(Time!BB20&lt;=Time!$F$15,(Waterfall!BB7+BC12)/(1+BB10),0)</f>
        <v>397.916720043107</v>
      </c>
      <c r="BC12" s="13" t="n">
        <f aca="false">IF(Time!BC20&lt;=Time!$F$15,(Waterfall!BC7+BD12)/(1+BC10),0)</f>
        <v>362.664455932362</v>
      </c>
      <c r="BD12" s="13" t="n">
        <f aca="false">IF(Time!BD20&lt;=Time!$F$15,(Waterfall!BD7+BE12)/(1+BD10),0)</f>
        <v>329.833384839203</v>
      </c>
      <c r="BE12" s="13" t="n">
        <f aca="false">IF(Time!BE20&lt;=Time!$F$15,(Waterfall!BE7+BF12)/(1+BE10),0)</f>
        <v>302.190166221449</v>
      </c>
      <c r="BF12" s="13" t="n">
        <f aca="false">IF(Time!BF20&lt;=Time!$F$15,(Waterfall!BF7+BG12)/(1+BF10),0)</f>
        <v>274.213532744785</v>
      </c>
      <c r="BG12" s="13" t="n">
        <f aca="false">IF(Time!BG20&lt;=Time!$F$15,(Waterfall!BG7+BH12)/(1+BG10),0)</f>
        <v>244.756961144182</v>
      </c>
      <c r="BH12" s="13" t="n">
        <f aca="false">IF(Time!BH20&lt;=Time!$F$15,(Waterfall!BH7+BI12)/(1+BH10),0)</f>
        <v>214.951354495788</v>
      </c>
      <c r="BI12" s="13" t="n">
        <f aca="false">IF(Time!BI20&lt;=Time!$F$15,(Waterfall!BI7+BJ12)/(1+BI10),0)</f>
        <v>183.678240503527</v>
      </c>
      <c r="BJ12" s="13" t="n">
        <f aca="false">IF(Time!BJ20&lt;=Time!$F$15,(Waterfall!BJ7+BK12)/(1+BJ10),0)</f>
        <v>151.799198055226</v>
      </c>
      <c r="BK12" s="13" t="n">
        <f aca="false">IF(Time!BK20&lt;=Time!$F$15,(Waterfall!BK7+BL12)/(1+BK10),0)</f>
        <v>111.012516281025</v>
      </c>
      <c r="BL12" s="13" t="n">
        <f aca="false">IF(Time!BL20&lt;=Time!$F$15,(Waterfall!BL7+BM12)/(1+BL10),0)</f>
        <v>74.3446898282711</v>
      </c>
      <c r="BM12" s="13" t="n">
        <f aca="false">IF(Time!BM20&lt;=Time!$F$15,(Waterfall!BM7+BN12)/(1+BM10),0)</f>
        <v>35.9121179499724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1.41887696415114</v>
      </c>
      <c r="Q13" s="3" t="n">
        <f aca="false">IF(Debt!Q115&gt;Inputs!$F$253,(Q11+Reserves!Q9)/Debt!Q115,0)</f>
        <v>1.42082518593676</v>
      </c>
      <c r="R13" s="3" t="n">
        <f aca="false">IF(Debt!R115&gt;Inputs!$F$253,(R11+Reserves!R9)/Debt!R115,0)</f>
        <v>1.42388951408478</v>
      </c>
      <c r="S13" s="3" t="n">
        <f aca="false">IF(Debt!S115&gt;Inputs!$F$253,(S11+Reserves!S9)/Debt!S115,0)</f>
        <v>1.42593614949084</v>
      </c>
      <c r="T13" s="3" t="n">
        <f aca="false">IF(Debt!T115&gt;Inputs!$F$253,(T11+Reserves!T9)/Debt!T115,0)</f>
        <v>1.42943874315581</v>
      </c>
      <c r="U13" s="3" t="n">
        <f aca="false">IF(Debt!U115&gt;Inputs!$F$253,(U11+Reserves!U9)/Debt!U115,0)</f>
        <v>1.43220482811476</v>
      </c>
      <c r="V13" s="3" t="n">
        <f aca="false">IF(Debt!V115&gt;Inputs!$F$253,(V11+Reserves!V9)/Debt!V115,0)</f>
        <v>1.4369684071391</v>
      </c>
      <c r="W13" s="3" t="n">
        <f aca="false">IF(Debt!W115&gt;Inputs!$F$253,(W11+Reserves!W9)/Debt!W115,0)</f>
        <v>1.44038538937877</v>
      </c>
      <c r="X13" s="3" t="n">
        <f aca="false">IF(Debt!X115&gt;Inputs!$F$253,(X11+Reserves!X9)/Debt!X115,0)</f>
        <v>1.4424996755899</v>
      </c>
      <c r="Y13" s="3" t="n">
        <f aca="false">IF(Debt!Y115&gt;Inputs!$F$253,(Y11+Reserves!Y9)/Debt!Y115,0)</f>
        <v>1.44629245875498</v>
      </c>
      <c r="Z13" s="3" t="n">
        <f aca="false">IF(Debt!Z115&gt;Inputs!$F$253,(Z11+Reserves!Z9)/Debt!Z115,0)</f>
        <v>1.45192508033103</v>
      </c>
      <c r="AA13" s="3" t="n">
        <f aca="false">IF(Debt!AA115&gt;Inputs!$F$253,(AA11+Reserves!AA9)/Debt!AA115,0)</f>
        <v>1.45691547654163</v>
      </c>
      <c r="AB13" s="3" t="n">
        <f aca="false">IF(Debt!AB115&gt;Inputs!$F$253,(AB11+Reserves!AB9)/Debt!AB115,0)</f>
        <v>1.48713803516594</v>
      </c>
      <c r="AC13" s="3" t="n">
        <f aca="false">IF(Debt!AC115&gt;Inputs!$F$253,(AC11+Reserves!AC9)/Debt!AC115,0)</f>
        <v>1.5215832200332</v>
      </c>
      <c r="AD13" s="3" t="n">
        <f aca="false">IF(Debt!AD115&gt;Inputs!$F$253,(AD11+Reserves!AD9)/Debt!AD115,0)</f>
        <v>1.56263410861457</v>
      </c>
      <c r="AE13" s="3" t="n">
        <f aca="false">IF(Debt!AE115&gt;Inputs!$F$253,(AE11+Reserves!AE9)/Debt!AE115,0)</f>
        <v>1.61264510189315</v>
      </c>
      <c r="AF13" s="3" t="n">
        <f aca="false">IF(Debt!AF115&gt;Inputs!$F$253,(AF11+Reserves!AF9)/Debt!AF115,0)</f>
        <v>1.67394043016385</v>
      </c>
      <c r="AG13" s="3" t="n">
        <f aca="false">IF(Debt!AG115&gt;Inputs!$F$253,(AG11+Reserves!AG9)/Debt!AG115,0)</f>
        <v>1.75098990157904</v>
      </c>
      <c r="AH13" s="3" t="n">
        <f aca="false">IF(Debt!AH115&gt;Inputs!$F$253,(AH11+Reserves!AH9)/Debt!AH115,0)</f>
        <v>1.85059312042279</v>
      </c>
      <c r="AI13" s="3" t="n">
        <f aca="false">IF(Debt!AI115&gt;Inputs!$F$253,(AI11+Reserves!AI9)/Debt!AI115,0)</f>
        <v>1.9882249405534</v>
      </c>
      <c r="AJ13" s="3" t="n">
        <f aca="false">IF(Debt!AJ115&gt;Inputs!$F$253,(AJ11+Reserves!AJ9)/Debt!AJ115,0)</f>
        <v>2.18877044876132</v>
      </c>
      <c r="AK13" s="3" t="n">
        <f aca="false">IF(Debt!AK115&gt;Inputs!$F$253,(AK11+Reserves!AK9)/Debt!AK115,0)</f>
        <v>2.52230601328437</v>
      </c>
      <c r="AL13" s="3" t="n">
        <f aca="false">IF(Debt!AL115&gt;Inputs!$F$253,(AL11+Reserves!AL9)/Debt!AL115,0)</f>
        <v>2.69645421703795</v>
      </c>
      <c r="AM13" s="3" t="n">
        <f aca="false">IF(Debt!AM115&gt;Inputs!$F$253,(AM11+Reserves!AM9)/Debt!AM115,0)</f>
        <v>2.75775165504985</v>
      </c>
      <c r="AN13" s="3" t="n">
        <f aca="false">IF(Debt!AN115&gt;Inputs!$F$253,(AN11+Reserves!AN9)/Debt!AN115,0)</f>
        <v>2.85899112336875</v>
      </c>
      <c r="AO13" s="3" t="n">
        <f aca="false">IF(Debt!AO115&gt;Inputs!$F$253,(AO11+Reserves!AO9)/Debt!AO115,0)</f>
        <v>3.33770076004973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1.35975177220673</v>
      </c>
      <c r="Q14" s="3" t="n">
        <f aca="false">IF(Debt!Q115&gt;Inputs!$F$253,Q11/Debt!Q115,0)</f>
        <v>1.36034299159268</v>
      </c>
      <c r="R14" s="3" t="n">
        <f aca="false">IF(Debt!R115&gt;Inputs!$F$253,R11/Debt!R115,0)</f>
        <v>1.36098551833357</v>
      </c>
      <c r="S14" s="3" t="n">
        <f aca="false">IF(Debt!S115&gt;Inputs!$F$253,S11/Debt!S115,0)</f>
        <v>1.36169673127253</v>
      </c>
      <c r="T14" s="3" t="n">
        <f aca="false">IF(Debt!T115&gt;Inputs!$F$253,T11/Debt!T115,0)</f>
        <v>1.36247135964289</v>
      </c>
      <c r="U14" s="3" t="n">
        <f aca="false">IF(Debt!U115&gt;Inputs!$F$253,U11/Debt!U115,0)</f>
        <v>1.36333439458199</v>
      </c>
      <c r="V14" s="3" t="n">
        <f aca="false">IF(Debt!V115&gt;Inputs!$F$253,V11/Debt!V115,0)</f>
        <v>1.36428542295745</v>
      </c>
      <c r="W14" s="3" t="n">
        <f aca="false">IF(Debt!W115&gt;Inputs!$F$253,W11/Debt!W115,0)</f>
        <v>1.36536458733609</v>
      </c>
      <c r="X14" s="3" t="n">
        <f aca="false">IF(Debt!X115&gt;Inputs!$F$253,X11/Debt!X115,0)</f>
        <v>1.36656591959972</v>
      </c>
      <c r="Y14" s="3" t="n">
        <f aca="false">IF(Debt!Y115&gt;Inputs!$F$253,Y11/Debt!Y115,0)</f>
        <v>1.36787759370692</v>
      </c>
      <c r="Z14" s="3" t="n">
        <f aca="false">IF(Debt!Z115&gt;Inputs!$F$253,Z11/Debt!Z115,0)</f>
        <v>1.36934193034182</v>
      </c>
      <c r="AA14" s="3" t="n">
        <f aca="false">IF(Debt!AA115&gt;Inputs!$F$253,AA11/Debt!AA115,0)</f>
        <v>1.37101687032586</v>
      </c>
      <c r="AB14" s="3" t="n">
        <f aca="false">IF(Debt!AB115&gt;Inputs!$F$253,AB11/Debt!AB115,0)</f>
        <v>1.39423628091838</v>
      </c>
      <c r="AC14" s="3" t="n">
        <f aca="false">IF(Debt!AC115&gt;Inputs!$F$253,AC11/Debt!AC115,0)</f>
        <v>1.42340630834064</v>
      </c>
      <c r="AD14" s="3" t="n">
        <f aca="false">IF(Debt!AD115&gt;Inputs!$F$253,AD11/Debt!AD115,0)</f>
        <v>1.45426441672249</v>
      </c>
      <c r="AE14" s="3" t="n">
        <f aca="false">IF(Debt!AE115&gt;Inputs!$F$253,AE11/Debt!AE115,0)</f>
        <v>1.49535104537865</v>
      </c>
      <c r="AF14" s="3" t="n">
        <f aca="false">IF(Debt!AF115&gt;Inputs!$F$253,AF11/Debt!AF115,0)</f>
        <v>1.54583959477079</v>
      </c>
      <c r="AG14" s="3" t="n">
        <f aca="false">IF(Debt!AG115&gt;Inputs!$F$253,AG11/Debt!AG115,0)</f>
        <v>1.61076667856823</v>
      </c>
      <c r="AH14" s="3" t="n">
        <f aca="false">IF(Debt!AH115&gt;Inputs!$F$253,AH11/Debt!AH115,0)</f>
        <v>1.69223254336053</v>
      </c>
      <c r="AI14" s="3" t="n">
        <f aca="false">IF(Debt!AI115&gt;Inputs!$F$253,AI11/Debt!AI115,0)</f>
        <v>1.80806489075464</v>
      </c>
      <c r="AJ14" s="3" t="n">
        <f aca="false">IF(Debt!AJ115&gt;Inputs!$F$253,AJ11/Debt!AJ115,0)</f>
        <v>1.97477092124671</v>
      </c>
      <c r="AK14" s="3" t="n">
        <f aca="false">IF(Debt!AK115&gt;Inputs!$F$253,AK11/Debt!AK115,0)</f>
        <v>2.25729774767281</v>
      </c>
      <c r="AL14" s="3" t="n">
        <f aca="false">IF(Debt!AL115&gt;Inputs!$F$253,AL11/Debt!AL115,0)</f>
        <v>2.38703097290149</v>
      </c>
      <c r="AM14" s="3" t="n">
        <f aca="false">IF(Debt!AM115&gt;Inputs!$F$253,AM11/Debt!AM115,0)</f>
        <v>2.36622449291666</v>
      </c>
      <c r="AN14" s="3" t="n">
        <f aca="false">IF(Debt!AN115&gt;Inputs!$F$253,AN11/Debt!AN115,0)</f>
        <v>2.32676597095435</v>
      </c>
      <c r="AO14" s="3" t="n">
        <f aca="false">IF(Debt!AO115&gt;Inputs!$F$253,AO11/Debt!AO115,0)</f>
        <v>2.30997633783141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1.84662112232131</v>
      </c>
      <c r="Q15" s="3" t="n">
        <f aca="false">IF(Debt!Q115&gt;Inputs!$F$253,Q12/Debt!Q115,0)</f>
        <v>1.87672970493294</v>
      </c>
      <c r="R15" s="3" t="n">
        <f aca="false">IF(Debt!R115&gt;Inputs!$F$253,R12/Debt!R115,0)</f>
        <v>1.90945117834072</v>
      </c>
      <c r="S15" s="3" t="n">
        <f aca="false">IF(Debt!S115&gt;Inputs!$F$253,S12/Debt!S115,0)</f>
        <v>1.94567058190108</v>
      </c>
      <c r="T15" s="3" t="n">
        <f aca="false">IF(Debt!T115&gt;Inputs!$F$253,T12/Debt!T115,0)</f>
        <v>1.98511949509155</v>
      </c>
      <c r="U15" s="3" t="n">
        <f aca="false">IF(Debt!U115&gt;Inputs!$F$253,U12/Debt!U115,0)</f>
        <v>2.02907062283725</v>
      </c>
      <c r="V15" s="3" t="n">
        <f aca="false">IF(Debt!V115&gt;Inputs!$F$253,V12/Debt!V115,0)</f>
        <v>2.07750292569506</v>
      </c>
      <c r="W15" s="3" t="n">
        <f aca="false">IF(Debt!W115&gt;Inputs!$F$253,W12/Debt!W115,0)</f>
        <v>2.13246071393047</v>
      </c>
      <c r="X15" s="3" t="n">
        <f aca="false">IF(Debt!X115&gt;Inputs!$F$253,X12/Debt!X115,0)</f>
        <v>2.19364005353904</v>
      </c>
      <c r="Y15" s="3" t="n">
        <f aca="false">IF(Debt!Y115&gt;Inputs!$F$253,Y12/Debt!Y115,0)</f>
        <v>2.26043868886304</v>
      </c>
      <c r="Z15" s="3" t="n">
        <f aca="false">IF(Debt!Z115&gt;Inputs!$F$253,Z12/Debt!Z115,0)</f>
        <v>2.33501185316446</v>
      </c>
      <c r="AA15" s="3" t="n">
        <f aca="false">IF(Debt!AA115&gt;Inputs!$F$253,AA12/Debt!AA115,0)</f>
        <v>2.42031025503028</v>
      </c>
      <c r="AB15" s="3" t="n">
        <f aca="false">IF(Debt!AB115&gt;Inputs!$F$253,AB12/Debt!AB115,0)</f>
        <v>2.55617068922641</v>
      </c>
      <c r="AC15" s="3" t="n">
        <f aca="false">IF(Debt!AC115&gt;Inputs!$F$253,AC12/Debt!AC115,0)</f>
        <v>2.72241804192756</v>
      </c>
      <c r="AD15" s="3" t="n">
        <f aca="false">IF(Debt!AD115&gt;Inputs!$F$253,AD12/Debt!AD115,0)</f>
        <v>2.91494511110962</v>
      </c>
      <c r="AE15" s="3" t="n">
        <f aca="false">IF(Debt!AE115&gt;Inputs!$F$253,AE12/Debt!AE115,0)</f>
        <v>3.16574440753105</v>
      </c>
      <c r="AF15" s="3" t="n">
        <f aca="false">IF(Debt!AF115&gt;Inputs!$F$253,AF12/Debt!AF115,0)</f>
        <v>3.48281008541552</v>
      </c>
      <c r="AG15" s="3" t="n">
        <f aca="false">IF(Debt!AG115&gt;Inputs!$F$253,AG12/Debt!AG115,0)</f>
        <v>3.89895824936804</v>
      </c>
      <c r="AH15" s="3" t="n">
        <f aca="false">IF(Debt!AH115&gt;Inputs!$F$253,AH12/Debt!AH115,0)</f>
        <v>4.44976277634859</v>
      </c>
      <c r="AI15" s="3" t="n">
        <f aca="false">IF(Debt!AI115&gt;Inputs!$F$253,AI12/Debt!AI115,0)</f>
        <v>5.24989539059283</v>
      </c>
      <c r="AJ15" s="3" t="n">
        <f aca="false">IF(Debt!AJ115&gt;Inputs!$F$253,AJ12/Debt!AJ115,0)</f>
        <v>6.45778191666388</v>
      </c>
      <c r="AK15" s="3" t="n">
        <f aca="false">IF(Debt!AK115&gt;Inputs!$F$253,AK12/Debt!AK115,0)</f>
        <v>8.57353996708492</v>
      </c>
      <c r="AL15" s="3" t="n">
        <f aca="false">IF(Debt!AL115&gt;Inputs!$F$253,AL12/Debt!AL115,0)</f>
        <v>11.0045146672263</v>
      </c>
      <c r="AM15" s="3" t="n">
        <f aca="false">IF(Debt!AM115&gt;Inputs!$F$253,AM12/Debt!AM115,0)</f>
        <v>14.3682314020637</v>
      </c>
      <c r="AN15" s="3" t="n">
        <f aca="false">IF(Debt!AN115&gt;Inputs!$F$253,AN12/Debt!AN115,0)</f>
        <v>21.7123732453231</v>
      </c>
      <c r="AO15" s="3" t="n">
        <f aca="false">IF(Debt!AO115&gt;Inputs!$F$253,AO12/Debt!AO115,0)</f>
        <v>42.5111014691543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1.35000000008609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1.54813431051051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1.41887696415114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1.84662112232131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1.35000000012749</v>
      </c>
      <c r="P20" s="3" t="n">
        <f aca="false">IF(Debt!Q114&gt;Inputs!$F$253,(Waterfall!Q7+IF(Debt!R114&gt;Inputs!$F$253,Waterfall!R7,0))/(Debt!Q114+Debt!R114),0)</f>
        <v>1.35000000012969</v>
      </c>
      <c r="Q20" s="3" t="n">
        <f aca="false">IF(Debt!R114&gt;Inputs!$F$253,(Waterfall!R7+IF(Debt!S114&gt;Inputs!$F$253,Waterfall!S7,0))/(Debt!R114+Debt!S114),0)</f>
        <v>1.35000000012932</v>
      </c>
      <c r="R20" s="3" t="n">
        <f aca="false">IF(Debt!S114&gt;Inputs!$F$253,(Waterfall!S7+IF(Debt!T114&gt;Inputs!$F$253,Waterfall!T7,0))/(Debt!S114+Debt!T114),0)</f>
        <v>1.35000000012795</v>
      </c>
      <c r="S20" s="3" t="n">
        <f aca="false">IF(Debt!T114&gt;Inputs!$F$253,(Waterfall!T7+IF(Debt!U114&gt;Inputs!$F$253,Waterfall!U7,0))/(Debt!T114+Debt!U114),0)</f>
        <v>1.35000000012892</v>
      </c>
      <c r="T20" s="3" t="n">
        <f aca="false">IF(Debt!U114&gt;Inputs!$F$253,(Waterfall!U7+IF(Debt!V114&gt;Inputs!$F$253,Waterfall!V7,0))/(Debt!U114+Debt!V114),0)</f>
        <v>1.35000000012342</v>
      </c>
      <c r="U20" s="3" t="n">
        <f aca="false">IF(Debt!V114&gt;Inputs!$F$253,(Waterfall!V7+IF(Debt!W114&gt;Inputs!$F$253,Waterfall!W7,0))/(Debt!V114+Debt!W114),0)</f>
        <v>1.35000000011412</v>
      </c>
      <c r="V20" s="3" t="n">
        <f aca="false">IF(Debt!W114&gt;Inputs!$F$253,(Waterfall!W7+IF(Debt!X114&gt;Inputs!$F$253,Waterfall!X7,0))/(Debt!W114+Debt!X114),0)</f>
        <v>1.35000000011111</v>
      </c>
      <c r="W20" s="3" t="n">
        <f aca="false">IF(Debt!X114&gt;Inputs!$F$253,(Waterfall!X7+IF(Debt!Y114&gt;Inputs!$F$253,Waterfall!Y7,0))/(Debt!X114+Debt!Y114),0)</f>
        <v>1.35000000010923</v>
      </c>
      <c r="X20" s="3" t="n">
        <f aca="false">IF(Debt!Y114&gt;Inputs!$F$253,(Waterfall!Y7+IF(Debt!Z114&gt;Inputs!$F$253,Waterfall!Z7,0))/(Debt!Y114+Debt!Z114),0)</f>
        <v>1.35000000010421</v>
      </c>
      <c r="Y20" s="3" t="n">
        <f aca="false">IF(Debt!Z114&gt;Inputs!$F$253,(Waterfall!Z7+IF(Debt!AA114&gt;Inputs!$F$253,Waterfall!AA7,0))/(Debt!Z114+Debt!AA114),0)</f>
        <v>1.35000000010011</v>
      </c>
      <c r="Z20" s="3" t="n">
        <f aca="false">IF(Debt!AA114&gt;Inputs!$F$253,(Waterfall!AA7+IF(Debt!AB114&gt;Inputs!$F$253,Waterfall!AB7,0))/(Debt!AA114+Debt!AB114),0)</f>
        <v>1.3612864606808</v>
      </c>
      <c r="AA20" s="3" t="n">
        <f aca="false">IF(Debt!AB114&gt;Inputs!$F$253,(Waterfall!AB7+IF(Debt!AC114&gt;Inputs!$F$253,Waterfall!AC7,0))/(Debt!AB114+Debt!AC114),0)</f>
        <v>1.38672259197606</v>
      </c>
      <c r="AB20" s="3" t="n">
        <f aca="false">IF(Debt!AC114&gt;Inputs!$F$253,(Waterfall!AC7+IF(Debt!AD114&gt;Inputs!$F$253,Waterfall!AD7,0))/(Debt!AC114+Debt!AD114),0)</f>
        <v>1.41680036429305</v>
      </c>
      <c r="AC20" s="3" t="n">
        <f aca="false">IF(Debt!AD114&gt;Inputs!$F$253,(Waterfall!AD7+IF(Debt!AE114&gt;Inputs!$F$253,Waterfall!AE7,0))/(Debt!AD114+Debt!AE114),0)</f>
        <v>1.45228559834359</v>
      </c>
      <c r="AD20" s="3" t="n">
        <f aca="false">IF(Debt!AE114&gt;Inputs!$F$253,(Waterfall!AE7+IF(Debt!AF114&gt;Inputs!$F$253,Waterfall!AF7,0))/(Debt!AE114+Debt!AF114),0)</f>
        <v>1.49805049398647</v>
      </c>
      <c r="AE20" s="3" t="n">
        <f aca="false">IF(Debt!AF114&gt;Inputs!$F$253,(Waterfall!AF7+IF(Debt!AG114&gt;Inputs!$F$253,Waterfall!AG7,0))/(Debt!AF114+Debt!AG114),0)</f>
        <v>1.55672795285439</v>
      </c>
      <c r="AF20" s="3" t="n">
        <f aca="false">IF(Debt!AG114&gt;Inputs!$F$253,(Waterfall!AG7+IF(Debt!AH114&gt;Inputs!$F$253,Waterfall!AH7,0))/(Debt!AG114+Debt!AH114),0)</f>
        <v>1.63305663888735</v>
      </c>
      <c r="AG20" s="3" t="n">
        <f aca="false">IF(Debt!AH114&gt;Inputs!$F$253,(Waterfall!AH7+IF(Debt!AI114&gt;Inputs!$F$253,Waterfall!AI7,0))/(Debt!AH114+Debt!AI114),0)</f>
        <v>1.73399117258104</v>
      </c>
      <c r="AH20" s="3" t="n">
        <f aca="false">IF(Debt!AI114&gt;Inputs!$F$253,(Waterfall!AI7+IF(Debt!AJ114&gt;Inputs!$F$253,Waterfall!AJ7,0))/(Debt!AI114+Debt!AJ114),0)</f>
        <v>1.88192804363647</v>
      </c>
      <c r="AI20" s="3" t="n">
        <f aca="false">IF(Debt!AJ114&gt;Inputs!$F$253,(Waterfall!AJ7+IF(Debt!AK114&gt;Inputs!$F$253,Waterfall!AK7,0))/(Debt!AJ114+Debt!AK114),0)</f>
        <v>2.11702729383226</v>
      </c>
      <c r="AJ20" s="3" t="n">
        <f aca="false">IF(Debt!AK114&gt;Inputs!$F$253,(Waterfall!AK7+IF(Debt!AL114&gt;Inputs!$F$253,Waterfall!AL7,0))/(Debt!AK114+Debt!AL114),0)</f>
        <v>2.35881280751372</v>
      </c>
      <c r="AK20" s="3" t="n">
        <f aca="false">IF(Debt!AL114&gt;Inputs!$F$253,(Waterfall!AL7+IF(Debt!AM114&gt;Inputs!$F$253,Waterfall!AM7,0))/(Debt!AL114+Debt!AM114),0)</f>
        <v>2.43519322194756</v>
      </c>
      <c r="AL20" s="3" t="n">
        <f aca="false">IF(Debt!AM114&gt;Inputs!$F$253,(Waterfall!AM7+IF(Debt!AN114&gt;Inputs!$F$253,Waterfall!AN7,0))/(Debt!AM114+Debt!AN114),0)</f>
        <v>2.38956352414748</v>
      </c>
      <c r="AM20" s="3" t="n">
        <f aca="false">IF(Debt!AN114&gt;Inputs!$F$253,(Waterfall!AN7+IF(Debt!AO114&gt;Inputs!$F$253,Waterfall!AO7,0))/(Debt!AN114+Debt!AO114),0)</f>
        <v>2.32654446916706</v>
      </c>
      <c r="AN20" s="3" t="n">
        <f aca="false">IF(Debt!AO114&gt;Inputs!$F$253,(Waterfall!AO7+IF(Debt!AP114&gt;Inputs!$F$253,Waterfall!AP7,0))/(Debt!AO114+Debt!AP114),0)</f>
        <v>2.30997633783141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1173.57257191924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12.5371871310315</v>
      </c>
      <c r="BT8" s="18" t="n">
        <f aca="false">Waterfall!R44</f>
        <v>13.4601473809154</v>
      </c>
      <c r="BU8" s="18" t="n">
        <f aca="false">Waterfall!S44</f>
        <v>12.6487540874542</v>
      </c>
      <c r="BV8" s="18" t="n">
        <f aca="false">Waterfall!T44</f>
        <v>13.3934512555498</v>
      </c>
      <c r="BW8" s="18" t="n">
        <f aca="false">Waterfall!U44</f>
        <v>12.4325149882004</v>
      </c>
      <c r="BX8" s="18" t="n">
        <f aca="false">Waterfall!V44</f>
        <v>13.6654648962718</v>
      </c>
      <c r="BY8" s="18" t="n">
        <f aca="false">Waterfall!W44</f>
        <v>14.404561954037</v>
      </c>
      <c r="BZ8" s="18" t="n">
        <f aca="false">Waterfall!X44</f>
        <v>13.2807813104681</v>
      </c>
      <c r="CA8" s="18" t="n">
        <f aca="false">Waterfall!Y44</f>
        <v>12.4986661550279</v>
      </c>
      <c r="CB8" s="18" t="n">
        <f aca="false">Waterfall!Z44</f>
        <v>13.2020528456018</v>
      </c>
      <c r="CC8" s="18" t="n">
        <f aca="false">Waterfall!AA44</f>
        <v>6.18526965009215</v>
      </c>
      <c r="CD8" s="18" t="n">
        <f aca="false">Waterfall!AB44</f>
        <v>7.16015145517671</v>
      </c>
      <c r="CE8" s="18" t="n">
        <f aca="false">Waterfall!AC44</f>
        <v>6.81794650211999</v>
      </c>
      <c r="CF8" s="18" t="n">
        <f aca="false">Waterfall!AD44</f>
        <v>8.15574109343732</v>
      </c>
      <c r="CG8" s="18" t="n">
        <f aca="false">Waterfall!AE44</f>
        <v>8.75872749001524</v>
      </c>
      <c r="CH8" s="18" t="n">
        <f aca="false">Waterfall!AF44</f>
        <v>9.64077455752687</v>
      </c>
      <c r="CI8" s="18" t="n">
        <f aca="false">Waterfall!AG44</f>
        <v>10.0776943780783</v>
      </c>
      <c r="CJ8" s="18" t="n">
        <f aca="false">Waterfall!AH44</f>
        <v>11.4640401804848</v>
      </c>
      <c r="CK8" s="18" t="n">
        <f aca="false">Waterfall!AI44</f>
        <v>12.3669949550957</v>
      </c>
      <c r="CL8" s="18" t="n">
        <f aca="false">Waterfall!AJ44</f>
        <v>14.2888792177195</v>
      </c>
      <c r="CM8" s="18" t="n">
        <f aca="false">Waterfall!AK44</f>
        <v>27.8760928503717</v>
      </c>
      <c r="CN8" s="18" t="n">
        <f aca="false">Waterfall!AL44</f>
        <v>32.9772148826695</v>
      </c>
      <c r="CO8" s="18" t="n">
        <f aca="false">Waterfall!AM44</f>
        <v>34.0691557514022</v>
      </c>
      <c r="CP8" s="18" t="n">
        <f aca="false">Waterfall!AN44</f>
        <v>26.0855229067413</v>
      </c>
      <c r="CQ8" s="18" t="n">
        <f aca="false">Waterfall!AO44</f>
        <v>41.6331610876275</v>
      </c>
      <c r="CR8" s="18" t="n">
        <f aca="false">Waterfall!AP44</f>
        <v>41.619953066631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1596.75020658434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44.1087209827495</v>
      </c>
      <c r="CQ9" s="18" t="n">
        <f aca="false">Waterfall!AO7</f>
        <v>41.6331610876275</v>
      </c>
      <c r="CR9" s="18" t="n">
        <f aca="false">Waterfall!AP7</f>
        <v>41.619953066631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-197.067842870437</v>
      </c>
      <c r="BT11" s="13" t="n">
        <f aca="false">BS11+BT8</f>
        <v>-183.607695489521</v>
      </c>
      <c r="BU11" s="13" t="n">
        <f aca="false">BT11+BU8</f>
        <v>-170.958941402067</v>
      </c>
      <c r="BV11" s="13" t="n">
        <f aca="false">BU11+BV8</f>
        <v>-157.565490146517</v>
      </c>
      <c r="BW11" s="13" t="n">
        <f aca="false">BV11+BW8</f>
        <v>-145.132975158317</v>
      </c>
      <c r="BX11" s="13" t="n">
        <f aca="false">BW11+BX8</f>
        <v>-131.467510262045</v>
      </c>
      <c r="BY11" s="13" t="n">
        <f aca="false">BX11+BY8</f>
        <v>-117.062948308008</v>
      </c>
      <c r="BZ11" s="13" t="n">
        <f aca="false">BY11+BZ8</f>
        <v>-103.78216699754</v>
      </c>
      <c r="CA11" s="13" t="n">
        <f aca="false">BZ11+CA8</f>
        <v>-91.283500842512</v>
      </c>
      <c r="CB11" s="13" t="n">
        <f aca="false">CA11+CB8</f>
        <v>-78.0814479969102</v>
      </c>
      <c r="CC11" s="13" t="n">
        <f aca="false">CB11+CC8</f>
        <v>-71.896178346818</v>
      </c>
      <c r="CD11" s="13" t="n">
        <f aca="false">CC11+CD8</f>
        <v>-64.7360268916413</v>
      </c>
      <c r="CE11" s="13" t="n">
        <f aca="false">CD11+CE8</f>
        <v>-57.9180803895213</v>
      </c>
      <c r="CF11" s="13" t="n">
        <f aca="false">CE11+CF8</f>
        <v>-49.762339296084</v>
      </c>
      <c r="CG11" s="13" t="n">
        <f aca="false">CF11+CG8</f>
        <v>-41.0036118060688</v>
      </c>
      <c r="CH11" s="13" t="n">
        <f aca="false">CG11+CH8</f>
        <v>-31.3628372485419</v>
      </c>
      <c r="CI11" s="13" t="n">
        <f aca="false">CH11+CI8</f>
        <v>-21.2851428704636</v>
      </c>
      <c r="CJ11" s="13" t="n">
        <f aca="false">CI11+CJ8</f>
        <v>-9.82110268997883</v>
      </c>
      <c r="CK11" s="13" t="n">
        <f aca="false">CJ11+CK8</f>
        <v>2.54589226511689</v>
      </c>
      <c r="CL11" s="13" t="n">
        <f aca="false">CK11+CL8</f>
        <v>16.8347714828364</v>
      </c>
      <c r="CM11" s="13" t="n">
        <f aca="false">CL11+CM8</f>
        <v>44.7108643332082</v>
      </c>
      <c r="CN11" s="13" t="n">
        <f aca="false">CM11+CN8</f>
        <v>77.6880792158777</v>
      </c>
      <c r="CO11" s="13" t="n">
        <f aca="false">CN11+CO8</f>
        <v>111.75723496728</v>
      </c>
      <c r="CP11" s="13" t="n">
        <f aca="false">CO11+CP8</f>
        <v>137.842757874021</v>
      </c>
      <c r="CQ11" s="13" t="n">
        <f aca="false">CP11+CQ8</f>
        <v>179.475918961649</v>
      </c>
      <c r="CR11" s="13" t="n">
        <f aca="false">CQ11+CR8</f>
        <v>221.09587202828</v>
      </c>
      <c r="CS11" s="13" t="n">
        <f aca="false">CR11+CS8</f>
        <v>262.26878664598</v>
      </c>
      <c r="CT11" s="13" t="n">
        <f aca="false">CS11+CT8</f>
        <v>304.038062760642</v>
      </c>
      <c r="CU11" s="13" t="n">
        <f aca="false">CT11+CU8</f>
        <v>345.541990956096</v>
      </c>
      <c r="CV11" s="13" t="n">
        <f aca="false">CU11+CV8</f>
        <v>393.778999271015</v>
      </c>
      <c r="CW11" s="13" t="n">
        <f aca="false">CV11+CW8</f>
        <v>437.578835294266</v>
      </c>
      <c r="CX11" s="13" t="n">
        <f aca="false">CW11+CX8</f>
        <v>481.502170121022</v>
      </c>
      <c r="CY11" s="13" t="n">
        <f aca="false">CX11+CY8</f>
        <v>525.001120159842</v>
      </c>
      <c r="CZ11" s="13" t="n">
        <f aca="false">CY11+CZ8</f>
        <v>569.174910229002</v>
      </c>
      <c r="DA11" s="13" t="n">
        <f aca="false">CZ11+DA8</f>
        <v>612.891777811609</v>
      </c>
      <c r="DB11" s="13" t="n">
        <f aca="false">DA11+DB8</f>
        <v>657.226535534118</v>
      </c>
      <c r="DC11" s="13" t="n">
        <f aca="false">DB11+DC8</f>
        <v>700.768680538566</v>
      </c>
      <c r="DD11" s="13" t="n">
        <f aca="false">DC11+DD8</f>
        <v>745.551805548872</v>
      </c>
      <c r="DE11" s="13" t="n">
        <f aca="false">DD11+DE8</f>
        <v>786.919966068536</v>
      </c>
      <c r="DF11" s="13" t="n">
        <f aca="false">DE11+DF8</f>
        <v>822.173449149025</v>
      </c>
      <c r="DG11" s="13" t="n">
        <f aca="false">DF11+DG8</f>
        <v>856.977170703282</v>
      </c>
      <c r="DH11" s="13" t="n">
        <f aca="false">DG11+DH8</f>
        <v>892.468226641108</v>
      </c>
      <c r="DI11" s="13" t="n">
        <f aca="false">DH11+DI8</f>
        <v>927.474497827201</v>
      </c>
      <c r="DJ11" s="13" t="n">
        <f aca="false">DI11+DJ8</f>
        <v>963.104592102035</v>
      </c>
      <c r="DK11" s="13" t="n">
        <f aca="false">DJ11+DK8</f>
        <v>998.456055070971</v>
      </c>
      <c r="DL11" s="13" t="n">
        <f aca="false">DK11+DL8</f>
        <v>1041.81360679842</v>
      </c>
      <c r="DM11" s="13" t="n">
        <f aca="false">DL11+DM8</f>
        <v>1079.90359959609</v>
      </c>
      <c r="DN11" s="13" t="n">
        <f aca="false">DM11+DN8</f>
        <v>1118.72363108651</v>
      </c>
      <c r="DO11" s="13" t="n">
        <f aca="false">DN11+DO8</f>
        <v>1173.57257191924</v>
      </c>
      <c r="DP11" s="13" t="n">
        <f aca="false">DO11+DP8</f>
        <v>1173.57257191924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0.131518936520674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0.109696244172525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-45.3091649678889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1.35000000008609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1.54813431051051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1.41887696415114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1.84662112232131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0.131518936520674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0.109696244172525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-45.3091649678889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2026-10-03T23:20:52Z</dcterms:created>
  <dc:creator>openpyxl</dc:creator>
  <dc:description/>
  <dc:language>en-US</dc:language>
  <cp:lastModifiedBy/>
  <dcterms:modified xsi:type="dcterms:W3CDTF">2026-10-03T23:21:01Z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