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<sst xmlns="http://schemas.openxmlformats.org/spreadsheetml/2006/main" count="3605" uniqueCount="2018">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</sst>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189.789738774698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9.40661283049369</v>
      </c>
      <c r="R13" s="13" t="n">
        <f aca="false">IF(Time!R20&gt;=Time!$F$12,Waterfall!R33*Inputs!$F$104/100*Time!R31/Inputs!$F$248,0)</f>
        <v>9.41259905062611</v>
      </c>
      <c r="S13" s="13" t="n">
        <f aca="false">IF(Time!S20&gt;=Time!$F$12,Waterfall!S33*Inputs!$F$104/100*Time!S31/Inputs!$F$248,0)</f>
        <v>9.06845442331276</v>
      </c>
      <c r="T13" s="13" t="n">
        <f aca="false">IF(Time!T20&gt;=Time!$F$12,Waterfall!T33*Inputs!$F$104/100*Time!T31/Inputs!$F$248,0)</f>
        <v>9.04729827548496</v>
      </c>
      <c r="U13" s="13" t="n">
        <f aca="false">IF(Time!U20&gt;=Time!$F$12,Waterfall!U33*Inputs!$F$104/100*Time!U31/Inputs!$F$248,0)</f>
        <v>8.74308140555614</v>
      </c>
      <c r="V13" s="13" t="n">
        <f aca="false">IF(Time!V20&gt;=Time!$F$12,Waterfall!V33*Inputs!$F$104/100*Time!V31/Inputs!$F$248,0)</f>
        <v>8.66247073274398</v>
      </c>
      <c r="W13" s="13" t="n">
        <f aca="false">IF(Time!W20&gt;=Time!$F$12,Waterfall!W33*Inputs!$F$104/100*Time!W31/Inputs!$F$248,0)</f>
        <v>8.28554579788215</v>
      </c>
      <c r="X13" s="13" t="n">
        <f aca="false">IF(Time!X20&gt;=Time!$F$12,Waterfall!X33*Inputs!$F$104/100*Time!X31/Inputs!$F$248,0)</f>
        <v>8.12983308788343</v>
      </c>
      <c r="Y13" s="13" t="n">
        <f aca="false">IF(Time!Y20&gt;=Time!$F$12,Waterfall!Y33*Inputs!$F$104/100*Time!Y31/Inputs!$F$248,0)</f>
        <v>7.7546224075282</v>
      </c>
      <c r="Z13" s="13" t="n">
        <f aca="false">IF(Time!Z20&gt;=Time!$F$12,Waterfall!Z33*Inputs!$F$104/100*Time!Z31/Inputs!$F$248,0)</f>
        <v>7.6559578560362</v>
      </c>
      <c r="AA13" s="13" t="n">
        <f aca="false">IF(Time!AA20&gt;=Time!$F$12,Waterfall!AA33*Inputs!$F$104/100*Time!AA31/Inputs!$F$248,0)</f>
        <v>7.26985820048247</v>
      </c>
      <c r="AB13" s="13" t="n">
        <f aca="false">IF(Time!AB20&gt;=Time!$F$12,Waterfall!AB33*Inputs!$F$104/100*Time!AB31/Inputs!$F$248,0)</f>
        <v>7.4422944791916</v>
      </c>
      <c r="AC13" s="13" t="n">
        <f aca="false">IF(Time!AC20&gt;=Time!$F$12,Waterfall!AC33*Inputs!$F$104/100*Time!AC31/Inputs!$F$248,0)</f>
        <v>7.37315380839081</v>
      </c>
      <c r="AD13" s="13" t="n">
        <f aca="false">IF(Time!AD20&gt;=Time!$F$12,Waterfall!AD33*Inputs!$F$104/100*Time!AD31/Inputs!$F$248,0)</f>
        <v>7.47842749677851</v>
      </c>
      <c r="AE13" s="13" t="n">
        <f aca="false">IF(Time!AE20&gt;=Time!$F$12,Waterfall!AE33*Inputs!$F$104/100*Time!AE31/Inputs!$F$248,0)</f>
        <v>7.32208731026983</v>
      </c>
      <c r="AF13" s="13" t="n">
        <f aca="false">IF(Time!AF20&gt;=Time!$F$12,Waterfall!AF33*Inputs!$F$104/100*Time!AF31/Inputs!$F$248,0)</f>
        <v>7.37159669487822</v>
      </c>
      <c r="AG13" s="13" t="n">
        <f aca="false">IF(Time!AG20&gt;=Time!$F$12,Waterfall!AG33*Inputs!$F$104/100*Time!AG31/Inputs!$F$248,0)</f>
        <v>7.14080237715229</v>
      </c>
      <c r="AH13" s="13" t="n">
        <f aca="false">IF(Time!AH20&gt;=Time!$F$12,Waterfall!AH33*Inputs!$F$104/100*Time!AH31/Inputs!$F$248,0)</f>
        <v>7.11477046573909</v>
      </c>
      <c r="AI13" s="13" t="n">
        <f aca="false">IF(Time!AI20&gt;=Time!$F$12,Waterfall!AI33*Inputs!$F$104/100*Time!AI31/Inputs!$F$248,0)</f>
        <v>6.79035865389187</v>
      </c>
      <c r="AJ13" s="13" t="n">
        <f aca="false">IF(Time!AJ20&gt;=Time!$F$12,Waterfall!AJ33*Inputs!$F$104/100*Time!AJ31/Inputs!$F$248,0)</f>
        <v>6.63341618805348</v>
      </c>
      <c r="AK13" s="13" t="n">
        <f aca="false">IF(Time!AK20&gt;=Time!$F$12,Waterfall!AK33*Inputs!$F$104/100*Time!AK31/Inputs!$F$248,0)</f>
        <v>6.16237526863671</v>
      </c>
      <c r="AL13" s="13" t="n">
        <f aca="false">IF(Time!AL20&gt;=Time!$F$12,Waterfall!AL33*Inputs!$F$104/100*Time!AL31/Inputs!$F$248,0)</f>
        <v>4.99800077188264</v>
      </c>
      <c r="AM13" s="13" t="n">
        <f aca="false">IF(Time!AM20&gt;=Time!$F$12,Waterfall!AM33*Inputs!$F$104/100*Time!AM31/Inputs!$F$248,0)</f>
        <v>3.75251455262526</v>
      </c>
      <c r="AN13" s="13" t="n">
        <f aca="false">IF(Time!AN20&gt;=Time!$F$12,Waterfall!AN33*Inputs!$F$104/100*Time!AN31/Inputs!$F$248,0)</f>
        <v>2.39714965492538</v>
      </c>
      <c r="AO13" s="13" t="n">
        <f aca="false">IF(Time!AO20&gt;=Time!$F$12,Waterfall!AO33*Inputs!$F$104/100*Time!AO31/Inputs!$F$248,0)</f>
        <v>1.36386642823581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0.79290836289058</v>
      </c>
      <c r="Q14" s="3" t="n">
        <f aca="false">IF(Waterfall!Q33&gt;0,MIN(1,Inputs!$F$183*(Waterfall!$F$32+MAX(0,Waterfall!P43))/Waterfall!Q33),1)</f>
        <v>0.92441244821243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185.958462379916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9.41259905062611</v>
      </c>
      <c r="S15" s="13" t="n">
        <f aca="false">S13*S14</f>
        <v>9.06845442331276</v>
      </c>
      <c r="T15" s="13" t="n">
        <f aca="false">T13*T14</f>
        <v>9.04729827548496</v>
      </c>
      <c r="U15" s="13" t="n">
        <f aca="false">U13*U14</f>
        <v>8.74308140555614</v>
      </c>
      <c r="V15" s="13" t="n">
        <f aca="false">V13*V14</f>
        <v>8.66247073274398</v>
      </c>
      <c r="W15" s="13" t="n">
        <f aca="false">W13*W14</f>
        <v>8.28554579788215</v>
      </c>
      <c r="X15" s="13" t="n">
        <f aca="false">X13*X14</f>
        <v>8.12983308788343</v>
      </c>
      <c r="Y15" s="13" t="n">
        <f aca="false">Y13*Y14</f>
        <v>7.7546224075282</v>
      </c>
      <c r="Z15" s="13" t="n">
        <f aca="false">Z13*Z14</f>
        <v>7.6559578560362</v>
      </c>
      <c r="AA15" s="13" t="n">
        <f aca="false">AA13*AA14</f>
        <v>7.26985820048247</v>
      </c>
      <c r="AB15" s="13" t="n">
        <f aca="false">AB13*AB14</f>
        <v>7.4422944791916</v>
      </c>
      <c r="AC15" s="13" t="n">
        <f aca="false">AC13*AC14</f>
        <v>7.37315380839081</v>
      </c>
      <c r="AD15" s="13" t="n">
        <f aca="false">AD13*AD14</f>
        <v>7.47842749677851</v>
      </c>
      <c r="AE15" s="13" t="n">
        <f aca="false">AE13*AE14</f>
        <v>7.32208731026983</v>
      </c>
      <c r="AF15" s="13" t="n">
        <f aca="false">AF13*AF14</f>
        <v>7.37159669487822</v>
      </c>
      <c r="AG15" s="13" t="n">
        <f aca="false">AG13*AG14</f>
        <v>7.14080237715229</v>
      </c>
      <c r="AH15" s="13" t="n">
        <f aca="false">AH13*AH14</f>
        <v>7.11477046573909</v>
      </c>
      <c r="AI15" s="13" t="n">
        <f aca="false">AI13*AI14</f>
        <v>6.79035865389187</v>
      </c>
      <c r="AJ15" s="13" t="n">
        <f aca="false">AJ13*AJ14</f>
        <v>6.63341618805348</v>
      </c>
      <c r="AK15" s="13" t="n">
        <f aca="false">AK13*AK14</f>
        <v>6.16237526863671</v>
      </c>
      <c r="AL15" s="13" t="n">
        <f aca="false">AL13*AL14</f>
        <v>4.99800077188264</v>
      </c>
      <c r="AM15" s="13" t="n">
        <f aca="false">AM13*AM14</f>
        <v>3.75251455262526</v>
      </c>
      <c r="AN15" s="13" t="n">
        <f aca="false">AN13*AN14</f>
        <v>2.39714965492538</v>
      </c>
      <c r="AO15" s="13" t="n">
        <f aca="false">AO13*AO14</f>
        <v>1.36386642823581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312.748889604495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14.125886064444</v>
      </c>
      <c r="AC16" s="13" t="n">
        <f aca="false">Debt!AC112+Debt!AC110+Debt!AC104-Debt!AC103</f>
        <v>12.8970280129363</v>
      </c>
      <c r="AD16" s="13" t="n">
        <f aca="false">Debt!AD112+Debt!AD110+Debt!AD104-Debt!AD103</f>
        <v>11.8635981529339</v>
      </c>
      <c r="AE16" s="13" t="n">
        <f aca="false">Debt!AE112+Debt!AE110+Debt!AE104-Debt!AE103</f>
        <v>10.514913346323</v>
      </c>
      <c r="AF16" s="13" t="n">
        <f aca="false">Debt!AF112+Debt!AF110+Debt!AF104-Debt!AF103</f>
        <v>9.34952923503765</v>
      </c>
      <c r="AG16" s="13" t="n">
        <f aca="false">Debt!AG112+Debt!AG110+Debt!AG104-Debt!AG103</f>
        <v>8.15157515258252</v>
      </c>
      <c r="AH16" s="13" t="n">
        <f aca="false">Debt!AH112+Debt!AH110+Debt!AH104-Debt!AH103</f>
        <v>6.88523395233094</v>
      </c>
      <c r="AI16" s="13" t="n">
        <f aca="false">Debt!AI112+Debt!AI110+Debt!AI104-Debt!AI103</f>
        <v>5.44061486127451</v>
      </c>
      <c r="AJ16" s="13" t="n">
        <f aca="false">Debt!AJ112+Debt!AJ110+Debt!AJ104-Debt!AJ103</f>
        <v>4.10072340070946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1268.54732800826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2.48636249460196</v>
      </c>
      <c r="Z18" s="13" t="n">
        <f aca="false">(Operations!Z84-Z16-Z15)*Z17-Z12</f>
        <v>8.23654470357855</v>
      </c>
      <c r="AA18" s="13" t="n">
        <f aca="false">(Operations!AA84-AA16-AA15)*AA17-AA12</f>
        <v>9.63137588722024</v>
      </c>
      <c r="AB18" s="13" t="n">
        <f aca="false">(Operations!AB84-AB16-AB15)*AB17-AB12</f>
        <v>10.4447274845766</v>
      </c>
      <c r="AC18" s="13" t="n">
        <f aca="false">(Operations!AC84-AC16-AC15)*AC17-AC12</f>
        <v>11.9577981107674</v>
      </c>
      <c r="AD18" s="13" t="n">
        <f aca="false">(Operations!AD84-AD16-AD15)*AD17-AD12</f>
        <v>0.412177519591062</v>
      </c>
      <c r="AE18" s="13" t="n">
        <f aca="false">(Operations!AE84-AE16-AE15)*AE17-AE12</f>
        <v>14.7325364392422</v>
      </c>
      <c r="AF18" s="13" t="n">
        <f aca="false">(Operations!AF84-AF16-AF15)*AF17-AF12</f>
        <v>15.7721679696252</v>
      </c>
      <c r="AG18" s="13" t="n">
        <f aca="false">(Operations!AG84-AG16-AG15)*AG17-AG12</f>
        <v>17.342056756771</v>
      </c>
      <c r="AH18" s="13" t="n">
        <f aca="false">(Operations!AH84-AH16-AH15)*AH17-AH12</f>
        <v>18.7952344110689</v>
      </c>
      <c r="AI18" s="13" t="n">
        <f aca="false">(Operations!AI84-AI16-AI15)*AI17-AI12</f>
        <v>20.6720766399009</v>
      </c>
      <c r="AJ18" s="13" t="n">
        <f aca="false">(Operations!AJ84-AJ16-AJ15)*AJ17-AJ12</f>
        <v>22.2589644348502</v>
      </c>
      <c r="AK18" s="13" t="n">
        <f aca="false">(Operations!AK84-AK16-AK15)*AK17-AK12</f>
        <v>24.3095935818973</v>
      </c>
      <c r="AL18" s="13" t="n">
        <f aca="false">(Operations!AL84-AL16-AL15)*AL17-AL12</f>
        <v>23.3107665449838</v>
      </c>
      <c r="AM18" s="13" t="n">
        <f aca="false">(Operations!AM84-AM16-AM15)*AM17-AM12</f>
        <v>28.1851670269894</v>
      </c>
      <c r="AN18" s="13" t="n">
        <f aca="false">(Operations!AN84-AN16-AN15)*AN17-AN12</f>
        <v>30.1238911981382</v>
      </c>
      <c r="AO18" s="13" t="n">
        <f aca="false">(Operations!AO84-AO16-AO15)*AO17-AO12</f>
        <v>31.8045782844458</v>
      </c>
      <c r="AP18" s="13" t="n">
        <f aca="false">(Operations!AP84-AP16-AP15)*AP17-AP12</f>
        <v>33.8416270753018</v>
      </c>
      <c r="AQ18" s="13" t="n">
        <f aca="false">(Operations!AQ84-AQ16-AQ15)*AQ17-AQ12</f>
        <v>33.9570389947679</v>
      </c>
      <c r="AR18" s="13" t="n">
        <f aca="false">(Operations!AR84-AR16-AR15)*AR17-AR12</f>
        <v>34.054213740021</v>
      </c>
      <c r="AS18" s="13" t="n">
        <f aca="false">(Operations!AS84-AS16-AS15)*AS17-AS12</f>
        <v>34.3110015989905</v>
      </c>
      <c r="AT18" s="13" t="n">
        <f aca="false">(Operations!AT84-AT16-AT15)*AT17-AT12</f>
        <v>19.5845471116328</v>
      </c>
      <c r="AU18" s="13" t="n">
        <f aca="false">(Operations!AU84-AU16-AU15)*AU17-AU12</f>
        <v>34.7178493782476</v>
      </c>
      <c r="AV18" s="13" t="n">
        <f aca="false">(Operations!AV84-AV16-AV15)*AV17-AV12</f>
        <v>34.6172056305689</v>
      </c>
      <c r="AW18" s="13" t="n">
        <f aca="false">(Operations!AW84-AW16-AW15)*AW17-AW12</f>
        <v>34.7821391781407</v>
      </c>
      <c r="AX18" s="13" t="n">
        <f aca="false">(Operations!AX84-AX16-AX15)*AX17-AX12</f>
        <v>34.9745958744335</v>
      </c>
      <c r="AY18" s="13" t="n">
        <f aca="false">(Operations!AY84-AY16-AY15)*AY17-AY12</f>
        <v>35.0981506204654</v>
      </c>
      <c r="AZ18" s="13" t="n">
        <f aca="false">(Operations!AZ84-AZ16-AZ15)*AZ17-AZ12</f>
        <v>35.2030092001047</v>
      </c>
      <c r="BA18" s="13" t="n">
        <f aca="false">(Operations!BA84-BA16-BA15)*BA17-BA12</f>
        <v>35.4342474629019</v>
      </c>
      <c r="BB18" s="13" t="n">
        <f aca="false">(Operations!BB84-BB16-BB15)*BB17-BB12</f>
        <v>32.2194879793337</v>
      </c>
      <c r="BC18" s="13" t="n">
        <f aca="false">(Operations!BC84-BC16-BC15)*BC17-BC12</f>
        <v>42.2408949751965</v>
      </c>
      <c r="BD18" s="13" t="n">
        <f aca="false">(Operations!BD84-BD16-BD15)*BD17-BD12</f>
        <v>55.0563517172331</v>
      </c>
      <c r="BE18" s="13" t="n">
        <f aca="false">(Operations!BE84-BE16-BE15)*BE17-BE12</f>
        <v>55.2346816714562</v>
      </c>
      <c r="BF18" s="13" t="n">
        <f aca="false">(Operations!BF84-BF16-BF15)*BF17-BF12</f>
        <v>55.4451982143596</v>
      </c>
      <c r="BG18" s="13" t="n">
        <f aca="false">(Operations!BG84-BG16-BG15)*BG17-BG12</f>
        <v>55.5774775001919</v>
      </c>
      <c r="BH18" s="13" t="n">
        <f aca="false">(Operations!BH84-BH16-BH15)*BH17-BH12</f>
        <v>55.6906272661964</v>
      </c>
      <c r="BI18" s="13" t="n">
        <f aca="false">(Operations!BI84-BI16-BI15)*BI17-BI12</f>
        <v>55.9972232016723</v>
      </c>
      <c r="BJ18" s="13" t="n">
        <f aca="false">(Operations!BJ84-BJ16-BJ15)*BJ17-BJ12</f>
        <v>38.5909505906001</v>
      </c>
      <c r="BK18" s="13" t="n">
        <f aca="false">(Operations!BK84-BK16-BK15)*BK17-BK12</f>
        <v>56.481830334686</v>
      </c>
      <c r="BL18" s="13" t="n">
        <f aca="false">(Operations!BL84-BL16-BL15)*BL17-BL12</f>
        <v>56.3506426066083</v>
      </c>
      <c r="BM18" s="13" t="n">
        <f aca="false">(Operations!BM84-BM16-BM15)*BM17-BM12</f>
        <v>18.6103165968961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2.48636249460196</v>
      </c>
      <c r="Z20" s="13" t="n">
        <f aca="false">MIN(Y21,MAX(0,Z18-Z19))</f>
        <v>8.23654470357855</v>
      </c>
      <c r="AA20" s="13" t="n">
        <f aca="false">MIN(Z21,MAX(0,AA18-AA19))</f>
        <v>9.63137588722024</v>
      </c>
      <c r="AB20" s="13" t="n">
        <f aca="false">MIN(AA21,MAX(0,AB18-AB19))</f>
        <v>10.4447274845766</v>
      </c>
      <c r="AC20" s="13" t="n">
        <f aca="false">MIN(AB21,MAX(0,AC18-AC19))</f>
        <v>11.9577981107674</v>
      </c>
      <c r="AD20" s="13" t="n">
        <f aca="false">MIN(AC21,MAX(0,AD18-AD19))</f>
        <v>0.412177519591062</v>
      </c>
      <c r="AE20" s="13" t="n">
        <f aca="false">MIN(AD21,MAX(0,AE18-AE19))</f>
        <v>14.7325364392422</v>
      </c>
      <c r="AF20" s="13" t="n">
        <f aca="false">MIN(AE21,MAX(0,AF18-AF19))</f>
        <v>15.7721679696252</v>
      </c>
      <c r="AG20" s="13" t="n">
        <f aca="false">MIN(AF21,MAX(0,AG18-AG19))</f>
        <v>17.342056756771</v>
      </c>
      <c r="AH20" s="13" t="n">
        <f aca="false">MIN(AG21,MAX(0,AH18-AH19))</f>
        <v>18.7952344110689</v>
      </c>
      <c r="AI20" s="13" t="n">
        <f aca="false">MIN(AH21,MAX(0,AI18-AI19))</f>
        <v>20.6720766399009</v>
      </c>
      <c r="AJ20" s="13" t="n">
        <f aca="false">MIN(AI21,MAX(0,AJ18-AJ19))</f>
        <v>22.2589644348502</v>
      </c>
      <c r="AK20" s="13" t="n">
        <f aca="false">MIN(AJ21,MAX(0,AK18-AK19))</f>
        <v>24.3095935818973</v>
      </c>
      <c r="AL20" s="13" t="n">
        <f aca="false">MIN(AK21,MAX(0,AL18-AL19))</f>
        <v>23.3107665449838</v>
      </c>
      <c r="AM20" s="13" t="n">
        <f aca="false">MIN(AL21,MAX(0,AM18-AM19))</f>
        <v>25.5429861550904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223.419006639164</v>
      </c>
      <c r="Z21" s="13" t="n">
        <f aca="false">Y21+Z11-Z20</f>
        <v>215.182461935585</v>
      </c>
      <c r="AA21" s="13" t="n">
        <f aca="false">Z21+AA11-AA20</f>
        <v>205.551086048365</v>
      </c>
      <c r="AB21" s="13" t="n">
        <f aca="false">AA21+AB11-AB20</f>
        <v>195.106358563788</v>
      </c>
      <c r="AC21" s="13" t="n">
        <f aca="false">AB21+AC11-AC20</f>
        <v>183.148560453021</v>
      </c>
      <c r="AD21" s="13" t="n">
        <f aca="false">AC21+AD11-AD20</f>
        <v>182.73638293343</v>
      </c>
      <c r="AE21" s="13" t="n">
        <f aca="false">AD21+AE11-AE20</f>
        <v>168.003846494188</v>
      </c>
      <c r="AF21" s="13" t="n">
        <f aca="false">AE21+AF11-AF20</f>
        <v>152.231678524563</v>
      </c>
      <c r="AG21" s="13" t="n">
        <f aca="false">AF21+AG11-AG20</f>
        <v>134.889621767792</v>
      </c>
      <c r="AH21" s="13" t="n">
        <f aca="false">AG21+AH11-AH20</f>
        <v>116.094387356723</v>
      </c>
      <c r="AI21" s="13" t="n">
        <f aca="false">AH21+AI11-AI20</f>
        <v>95.4223107168218</v>
      </c>
      <c r="AJ21" s="13" t="n">
        <f aca="false">AI21+AJ11-AJ20</f>
        <v>73.1633462819716</v>
      </c>
      <c r="AK21" s="13" t="n">
        <f aca="false">AJ21+AK11-AK20</f>
        <v>48.8537527000743</v>
      </c>
      <c r="AL21" s="13" t="n">
        <f aca="false">AK21+AL11-AL20</f>
        <v>25.5429861550904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1042.64195887449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2.64218087189899</v>
      </c>
      <c r="AN23" s="13" t="n">
        <f aca="false">MAX(0,AN18-AN19-AN20)</f>
        <v>30.1238911981382</v>
      </c>
      <c r="AO23" s="13" t="n">
        <f aca="false">MAX(0,AO18-AO19-AO20)</f>
        <v>31.8045782844458</v>
      </c>
      <c r="AP23" s="13" t="n">
        <f aca="false">MAX(0,AP18-AP19-AP20)</f>
        <v>33.8416270753018</v>
      </c>
      <c r="AQ23" s="13" t="n">
        <f aca="false">MAX(0,AQ18-AQ19-AQ20)</f>
        <v>33.9570389947679</v>
      </c>
      <c r="AR23" s="13" t="n">
        <f aca="false">MAX(0,AR18-AR19-AR20)</f>
        <v>34.054213740021</v>
      </c>
      <c r="AS23" s="13" t="n">
        <f aca="false">MAX(0,AS18-AS19-AS20)</f>
        <v>34.3110015989905</v>
      </c>
      <c r="AT23" s="13" t="n">
        <f aca="false">MAX(0,AT18-AT19-AT20)</f>
        <v>19.5845471116328</v>
      </c>
      <c r="AU23" s="13" t="n">
        <f aca="false">MAX(0,AU18-AU19-AU20)</f>
        <v>34.7178493782476</v>
      </c>
      <c r="AV23" s="13" t="n">
        <f aca="false">MAX(0,AV18-AV19-AV20)</f>
        <v>34.6172056305689</v>
      </c>
      <c r="AW23" s="13" t="n">
        <f aca="false">MAX(0,AW18-AW19-AW20)</f>
        <v>34.7821391781407</v>
      </c>
      <c r="AX23" s="13" t="n">
        <f aca="false">MAX(0,AX18-AX19-AX20)</f>
        <v>34.9745958744335</v>
      </c>
      <c r="AY23" s="13" t="n">
        <f aca="false">MAX(0,AY18-AY19-AY20)</f>
        <v>35.0981506204654</v>
      </c>
      <c r="AZ23" s="13" t="n">
        <f aca="false">MAX(0,AZ18-AZ19-AZ20)</f>
        <v>35.2030092001047</v>
      </c>
      <c r="BA23" s="13" t="n">
        <f aca="false">MAX(0,BA18-BA19-BA20)</f>
        <v>35.4342474629019</v>
      </c>
      <c r="BB23" s="13" t="n">
        <f aca="false">MAX(0,BB18-BB19-BB20)</f>
        <v>32.2194879793337</v>
      </c>
      <c r="BC23" s="13" t="n">
        <f aca="false">MAX(0,BC18-BC19-BC20)</f>
        <v>42.2408949751965</v>
      </c>
      <c r="BD23" s="13" t="n">
        <f aca="false">MAX(0,BD18-BD19-BD20)</f>
        <v>55.0563517172331</v>
      </c>
      <c r="BE23" s="13" t="n">
        <f aca="false">MAX(0,BE18-BE19-BE20)</f>
        <v>55.2346816714562</v>
      </c>
      <c r="BF23" s="13" t="n">
        <f aca="false">MAX(0,BF18-BF19-BF20)</f>
        <v>55.4451982143596</v>
      </c>
      <c r="BG23" s="13" t="n">
        <f aca="false">MAX(0,BG18-BG19-BG20)</f>
        <v>55.5774775001919</v>
      </c>
      <c r="BH23" s="13" t="n">
        <f aca="false">MAX(0,BH18-BH19-BH20)</f>
        <v>55.6906272661964</v>
      </c>
      <c r="BI23" s="13" t="n">
        <f aca="false">MAX(0,BI18-BI19-BI20)</f>
        <v>55.9972232016723</v>
      </c>
      <c r="BJ23" s="13" t="n">
        <f aca="false">MAX(0,BJ18-BJ19-BJ20)</f>
        <v>38.5909505906001</v>
      </c>
      <c r="BK23" s="13" t="n">
        <f aca="false">MAX(0,BK18-BK19-BK20)</f>
        <v>56.481830334686</v>
      </c>
      <c r="BL23" s="13" t="n">
        <f aca="false">MAX(0,BL18-BL19-BL20)</f>
        <v>56.3506426066083</v>
      </c>
      <c r="BM23" s="13" t="n">
        <f aca="false">MAX(0,BM18-BM19-BM20)</f>
        <v>18.6103165968961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312.792587662347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0.792654261569698</v>
      </c>
      <c r="AN25" s="13" t="n">
        <f aca="false">AN23*AN24</f>
        <v>9.03716735944146</v>
      </c>
      <c r="AO25" s="13" t="n">
        <f aca="false">AO23*AO24</f>
        <v>9.54137348533374</v>
      </c>
      <c r="AP25" s="13" t="n">
        <f aca="false">AP23*AP24</f>
        <v>10.1524881225905</v>
      </c>
      <c r="AQ25" s="13" t="n">
        <f aca="false">AQ23*AQ24</f>
        <v>10.1871116984304</v>
      </c>
      <c r="AR25" s="13" t="n">
        <f aca="false">AR23*AR24</f>
        <v>10.2162641220063</v>
      </c>
      <c r="AS25" s="13" t="n">
        <f aca="false">AS23*AS24</f>
        <v>10.2933004796971</v>
      </c>
      <c r="AT25" s="13" t="n">
        <f aca="false">AT23*AT24</f>
        <v>5.87536413348984</v>
      </c>
      <c r="AU25" s="13" t="n">
        <f aca="false">AU23*AU24</f>
        <v>10.4153548134743</v>
      </c>
      <c r="AV25" s="13" t="n">
        <f aca="false">AV23*AV24</f>
        <v>10.3851616891707</v>
      </c>
      <c r="AW25" s="13" t="n">
        <f aca="false">AW23*AW24</f>
        <v>10.4346417534422</v>
      </c>
      <c r="AX25" s="13" t="n">
        <f aca="false">AX23*AX24</f>
        <v>10.4923787623301</v>
      </c>
      <c r="AY25" s="13" t="n">
        <f aca="false">AY23*AY24</f>
        <v>10.5294451861396</v>
      </c>
      <c r="AZ25" s="13" t="n">
        <f aca="false">AZ23*AZ24</f>
        <v>10.5609027600314</v>
      </c>
      <c r="BA25" s="13" t="n">
        <f aca="false">BA23*BA24</f>
        <v>10.6302742388706</v>
      </c>
      <c r="BB25" s="13" t="n">
        <f aca="false">BB23*BB24</f>
        <v>9.66584639380012</v>
      </c>
      <c r="BC25" s="13" t="n">
        <f aca="false">BC23*BC24</f>
        <v>12.672268492559</v>
      </c>
      <c r="BD25" s="13" t="n">
        <f aca="false">BD23*BD24</f>
        <v>16.5169055151699</v>
      </c>
      <c r="BE25" s="13" t="n">
        <f aca="false">BE23*BE24</f>
        <v>16.5704045014369</v>
      </c>
      <c r="BF25" s="13" t="n">
        <f aca="false">BF23*BF24</f>
        <v>16.6335594643079</v>
      </c>
      <c r="BG25" s="13" t="n">
        <f aca="false">BG23*BG24</f>
        <v>16.6732432500576</v>
      </c>
      <c r="BH25" s="13" t="n">
        <f aca="false">BH23*BH24</f>
        <v>16.7071881798589</v>
      </c>
      <c r="BI25" s="13" t="n">
        <f aca="false">BI23*BI24</f>
        <v>16.7991669605017</v>
      </c>
      <c r="BJ25" s="13" t="n">
        <f aca="false">BJ23*BJ24</f>
        <v>11.57728517718</v>
      </c>
      <c r="BK25" s="13" t="n">
        <f aca="false">BK23*BK24</f>
        <v>16.9445491004058</v>
      </c>
      <c r="BL25" s="13" t="n">
        <f aca="false">BL23*BL24</f>
        <v>16.9051927819825</v>
      </c>
      <c r="BM25" s="13" t="n">
        <f aca="false">BM23*BM24</f>
        <v>5.58309497906883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317.657492888827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0.792654261569698</v>
      </c>
      <c r="AN27" s="13" t="n">
        <f aca="false">MAX(AN25,AN26)</f>
        <v>9.03716735944146</v>
      </c>
      <c r="AO27" s="13" t="n">
        <f aca="false">MAX(AO25,AO26)</f>
        <v>9.54137348533374</v>
      </c>
      <c r="AP27" s="13" t="n">
        <f aca="false">MAX(AP25,AP26)</f>
        <v>10.1524881225905</v>
      </c>
      <c r="AQ27" s="13" t="n">
        <f aca="false">MAX(AQ25,AQ26)</f>
        <v>10.1871116984304</v>
      </c>
      <c r="AR27" s="13" t="n">
        <f aca="false">MAX(AR25,AR26)</f>
        <v>10.2162641220063</v>
      </c>
      <c r="AS27" s="13" t="n">
        <f aca="false">MAX(AS25,AS26)</f>
        <v>10.2933004796971</v>
      </c>
      <c r="AT27" s="13" t="n">
        <f aca="false">MAX(AT25,AT26)</f>
        <v>5.87536413348984</v>
      </c>
      <c r="AU27" s="13" t="n">
        <f aca="false">MAX(AU25,AU26)</f>
        <v>10.4153548134743</v>
      </c>
      <c r="AV27" s="13" t="n">
        <f aca="false">MAX(AV25,AV26)</f>
        <v>10.3851616891707</v>
      </c>
      <c r="AW27" s="13" t="n">
        <f aca="false">MAX(AW25,AW26)</f>
        <v>10.4346417534422</v>
      </c>
      <c r="AX27" s="13" t="n">
        <f aca="false">MAX(AX25,AX26)</f>
        <v>10.4923787623301</v>
      </c>
      <c r="AY27" s="13" t="n">
        <f aca="false">MAX(AY25,AY26)</f>
        <v>10.5294451861396</v>
      </c>
      <c r="AZ27" s="13" t="n">
        <f aca="false">MAX(AZ25,AZ26)</f>
        <v>10.5609027600314</v>
      </c>
      <c r="BA27" s="13" t="n">
        <f aca="false">MAX(BA25,BA26)</f>
        <v>10.6302742388706</v>
      </c>
      <c r="BB27" s="13" t="n">
        <f aca="false">MAX(BB25,BB26)</f>
        <v>9.66584639380012</v>
      </c>
      <c r="BC27" s="13" t="n">
        <f aca="false">MAX(BC25,BC26)</f>
        <v>12.672268492559</v>
      </c>
      <c r="BD27" s="13" t="n">
        <f aca="false">MAX(BD25,BD26)</f>
        <v>16.5169055151699</v>
      </c>
      <c r="BE27" s="13" t="n">
        <f aca="false">MAX(BE25,BE26)</f>
        <v>16.5704045014369</v>
      </c>
      <c r="BF27" s="13" t="n">
        <f aca="false">MAX(BF25,BF26)</f>
        <v>16.6335594643079</v>
      </c>
      <c r="BG27" s="13" t="n">
        <f aca="false">MAX(BG25,BG26)</f>
        <v>16.6732432500576</v>
      </c>
      <c r="BH27" s="13" t="n">
        <f aca="false">MAX(BH25,BH26)</f>
        <v>16.7071881798589</v>
      </c>
      <c r="BI27" s="13" t="n">
        <f aca="false">MAX(BI25,BI26)</f>
        <v>16.7991669605017</v>
      </c>
      <c r="BJ27" s="13" t="n">
        <f aca="false">MAX(BJ25,BJ26)</f>
        <v>11.57728517718</v>
      </c>
      <c r="BK27" s="13" t="n">
        <f aca="false">MAX(BK25,BK26)</f>
        <v>16.9445491004058</v>
      </c>
      <c r="BL27" s="13" t="n">
        <f aca="false">MAX(BL25,BL26)</f>
        <v>16.9051927819825</v>
      </c>
      <c r="BM27" s="13" t="n">
        <f aca="false">MAX(BM25,BM26)</f>
        <v>5.58309497906883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3.83127639478136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0.711022834470558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148.39054435779</v>
      </c>
      <c r="AC63" s="13" t="n">
        <f aca="false">Time!AC35*AB75</f>
        <v>132.960991127469</v>
      </c>
      <c r="AD63" s="13" t="n">
        <f aca="false">Time!AD35*AC75</f>
        <v>118.022715447615</v>
      </c>
      <c r="AE63" s="13" t="n">
        <f aca="false">Time!AE35*AD75</f>
        <v>101.484994235373</v>
      </c>
      <c r="AF63" s="13" t="n">
        <f aca="false">Time!AF35*AE75</f>
        <v>84.6257915777245</v>
      </c>
      <c r="AG63" s="13" t="n">
        <f aca="false">Time!AG35*AF75</f>
        <v>67.3729998026212</v>
      </c>
      <c r="AH63" s="13" t="n">
        <f aca="false">Time!AH35*AG75</f>
        <v>50.5107671807915</v>
      </c>
      <c r="AI63" s="13" t="n">
        <f aca="false">Time!AI35*AH75</f>
        <v>33.1079543430769</v>
      </c>
      <c r="AJ63" s="13" t="n">
        <f aca="false">Time!AJ35*AI75</f>
        <v>16.2141400954266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134.065750441141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6.50573458177017</v>
      </c>
      <c r="AC65" s="13" t="n">
        <f aca="false">AC63*AC13</f>
        <v>5.7659108325228</v>
      </c>
      <c r="AD65" s="13" t="n">
        <f aca="false">AD63*AD13</f>
        <v>5.1743489765132</v>
      </c>
      <c r="AE65" s="13" t="n">
        <f aca="false">AE63*AE13</f>
        <v>4.37675963410407</v>
      </c>
      <c r="AF65" s="13" t="n">
        <f aca="false">AF63*AF13</f>
        <v>3.71016186482488</v>
      </c>
      <c r="AG65" s="13" t="n">
        <f aca="false">AG63*AG13</f>
        <v>3.09379310389925</v>
      </c>
      <c r="AH65" s="13" t="n">
        <f aca="false">AH63*AH13</f>
        <v>2.35791744276554</v>
      </c>
      <c r="AI65" s="13" t="n">
        <f aca="false">AI63*AI13</f>
        <v>1.5203295256394</v>
      </c>
      <c r="AJ65" s="13" t="n">
        <f aca="false">AJ63*AJ13</f>
        <v>0.756900080602802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145.971447500119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8.23538770190185</v>
      </c>
      <c r="AC66" s="13" t="n">
        <f aca="false">Time!AC35*(AC63-AC64)*AC19</f>
        <v>8.07148670897597</v>
      </c>
      <c r="AD66" s="13" t="n">
        <f aca="false">Time!AD35*(AD63-AD64)*AD19</f>
        <v>8.32888396005186</v>
      </c>
      <c r="AE66" s="13" t="n">
        <f aca="false">Time!AE35*(AE63-AE64)*AE19</f>
        <v>8.03679039491796</v>
      </c>
      <c r="AF66" s="13" t="n">
        <f aca="false">Time!AF35*(AF63-AF64)*AF19</f>
        <v>7.53336646549194</v>
      </c>
      <c r="AG66" s="13" t="n">
        <f aca="false">Time!AG35*(AG63-AG64)*AG19</f>
        <v>6.70646860564711</v>
      </c>
      <c r="AH66" s="13" t="n">
        <f aca="false">Time!AH35*(AH63-AH64)*AH19</f>
        <v>5.86409973708577</v>
      </c>
      <c r="AI66" s="13" t="n">
        <f aca="false">Time!AI35*(AI63-AI64)*AI19</f>
        <v>4.47623625180347</v>
      </c>
      <c r="AJ66" s="13" t="n">
        <f aca="false">Time!AJ35*(AJ63-AJ64)*AJ19</f>
        <v>2.65727097568729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145.971447500119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8.23538770190185</v>
      </c>
      <c r="AC69" s="13" t="n">
        <f aca="false">AC66-AC67+AC68</f>
        <v>8.07148670897597</v>
      </c>
      <c r="AD69" s="13" t="n">
        <f aca="false">AD66-AD67+AD68</f>
        <v>8.32888396005186</v>
      </c>
      <c r="AE69" s="13" t="n">
        <f aca="false">AE66-AE67+AE68</f>
        <v>8.03679039491796</v>
      </c>
      <c r="AF69" s="13" t="n">
        <f aca="false">AF66-AF67+AF68</f>
        <v>7.53336646549194</v>
      </c>
      <c r="AG69" s="13" t="n">
        <f aca="false">AG66-AG67+AG68</f>
        <v>6.70646860564711</v>
      </c>
      <c r="AH69" s="13" t="n">
        <f aca="false">AH66-AH67+AH68</f>
        <v>5.86409973708577</v>
      </c>
      <c r="AI69" s="13" t="n">
        <f aca="false">AI66-AI67+AI68</f>
        <v>4.47623625180347</v>
      </c>
      <c r="AJ69" s="13" t="n">
        <f aca="false">AJ66-AJ67+AJ68</f>
        <v>2.65727097568729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140.155156655888</v>
      </c>
      <c r="AC73" s="13" t="n">
        <f aca="false">AC63-AC69-AC70-AC71</f>
        <v>124.889504418493</v>
      </c>
      <c r="AD73" s="13" t="n">
        <f aca="false">AD63-AD69-AD70-AD71</f>
        <v>109.693831487563</v>
      </c>
      <c r="AE73" s="13" t="n">
        <f aca="false">AE63-AE69-AE70-AE71</f>
        <v>93.4482038404553</v>
      </c>
      <c r="AF73" s="13" t="n">
        <f aca="false">AF63-AF69-AF70-AF71</f>
        <v>77.0924251122326</v>
      </c>
      <c r="AG73" s="13" t="n">
        <f aca="false">AG63-AG69-AG70-AG71</f>
        <v>60.666531196974</v>
      </c>
      <c r="AH73" s="13" t="n">
        <f aca="false">AH63-AH69-AH70-AH71</f>
        <v>44.6466674437057</v>
      </c>
      <c r="AI73" s="13" t="n">
        <f aca="false">AI63-AI69-AI70-AI71</f>
        <v>28.6317180912734</v>
      </c>
      <c r="AJ73" s="13" t="n">
        <f aca="false">AJ63-AJ69-AJ70-AJ71</f>
        <v>13.5568691197393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94.6658232061352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6.18526964990857</v>
      </c>
      <c r="AB74" s="13" t="n">
        <f aca="false">Waterfall!AB28*AB73/(AB31+AB45+AB59+AB73+AB87+Inputs!$F$253)+Waterfall!AB29</f>
        <v>7.19416552841933</v>
      </c>
      <c r="AC74" s="13" t="n">
        <f aca="false">Waterfall!AC28*AC73/(AC31+AC45+AC59+AC73+AC87+Inputs!$F$253)+Waterfall!AC29</f>
        <v>6.86678897087803</v>
      </c>
      <c r="AD74" s="13" t="n">
        <f aca="false">Waterfall!AD28*AD73/(AD31+AD45+AD59+AD73+AD87+Inputs!$F$253)+Waterfall!AD29</f>
        <v>8.2088372521896</v>
      </c>
      <c r="AE74" s="13" t="n">
        <f aca="false">Waterfall!AE28*AE73/(AE31+AE45+AE59+AE73+AE87+Inputs!$F$253)+Waterfall!AE29</f>
        <v>8.82241226273076</v>
      </c>
      <c r="AF74" s="13" t="n">
        <f aca="false">Waterfall!AF28*AF73/(AF31+AF45+AF59+AF73+AF87+Inputs!$F$253)+Waterfall!AF29</f>
        <v>9.71942530961141</v>
      </c>
      <c r="AG74" s="13" t="n">
        <f aca="false">Waterfall!AG28*AG73/(AG31+AG45+AG59+AG73+AG87+Inputs!$F$253)+Waterfall!AG29</f>
        <v>10.1557640161825</v>
      </c>
      <c r="AH74" s="13" t="n">
        <f aca="false">Waterfall!AH28*AH73/(AH31+AH45+AH59+AH73+AH87+Inputs!$F$253)+Waterfall!AH29</f>
        <v>11.5387131006289</v>
      </c>
      <c r="AI74" s="13" t="n">
        <f aca="false">Waterfall!AI28*AI73/(AI31+AI45+AI59+AI73+AI87+Inputs!$F$253)+Waterfall!AI29</f>
        <v>12.4175779958468</v>
      </c>
      <c r="AJ74" s="13" t="n">
        <f aca="false">Waterfall!AJ28*AJ73/(AJ31+AJ45+AJ59+AJ73+AJ87+Inputs!$F$253)+Waterfall!AJ29</f>
        <v>13.5568691197393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148.39054435779</v>
      </c>
      <c r="AB75" s="13" t="n">
        <f aca="false">IF(Time!AB34=1,INDEX(Funding!$J$64:$BJ$64,1,Time!$F$14),Time!AB35*(AB73-AB74))</f>
        <v>132.960991127469</v>
      </c>
      <c r="AC75" s="13" t="n">
        <f aca="false">IF(Time!AC34=1,INDEX(Funding!$J$64:$BJ$64,1,Time!$F$14),Time!AC35*(AC73-AC74))</f>
        <v>118.022715447615</v>
      </c>
      <c r="AD75" s="13" t="n">
        <f aca="false">IF(Time!AD34=1,INDEX(Funding!$J$64:$BJ$64,1,Time!$F$14),Time!AD35*(AD73-AD74))</f>
        <v>101.484994235373</v>
      </c>
      <c r="AE75" s="13" t="n">
        <f aca="false">IF(Time!AE34=1,INDEX(Funding!$J$64:$BJ$64,1,Time!$F$14),Time!AE35*(AE73-AE74))</f>
        <v>84.6257915777245</v>
      </c>
      <c r="AF75" s="13" t="n">
        <f aca="false">IF(Time!AF34=1,INDEX(Funding!$J$64:$BJ$64,1,Time!$F$14),Time!AF35*(AF73-AF74))</f>
        <v>67.3729998026212</v>
      </c>
      <c r="AG75" s="13" t="n">
        <f aca="false">IF(Time!AG34=1,INDEX(Funding!$J$64:$BJ$64,1,Time!$F$14),Time!AG35*(AG73-AG74))</f>
        <v>50.5107671807915</v>
      </c>
      <c r="AH75" s="13" t="n">
        <f aca="false">IF(Time!AH34=1,INDEX(Funding!$J$64:$BJ$64,1,Time!$F$14),Time!AH35*(AH73-AH74))</f>
        <v>33.1079543430769</v>
      </c>
      <c r="AI75" s="13" t="n">
        <f aca="false">IF(Time!AI34=1,INDEX(Funding!$J$64:$BJ$64,1,Time!$F$14),Time!AI35*(AI73-AI74))</f>
        <v>16.2141400954266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16.5552978954991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0.774232747054726</v>
      </c>
      <c r="AC108" s="13" t="n">
        <f aca="false">(Inputs!$F$95/100*Inputs!$F$96/100)*AC63*Time!AC25/Inputs!$F$248</f>
        <v>0.686187997224145</v>
      </c>
      <c r="AD108" s="13" t="n">
        <f aca="false">(Inputs!$F$95/100*Inputs!$F$96/100)*AD63*Time!AD25/Inputs!$F$248</f>
        <v>0.615787559721746</v>
      </c>
      <c r="AE108" s="13" t="n">
        <f aca="false">(Inputs!$F$95/100*Inputs!$F$96/100)*AE63*Time!AE25/Inputs!$F$248</f>
        <v>0.520868257399552</v>
      </c>
      <c r="AF108" s="13" t="n">
        <f aca="false">(Inputs!$F$95/100*Inputs!$F$96/100)*AF63*Time!AF25/Inputs!$F$248</f>
        <v>0.441537965700325</v>
      </c>
      <c r="AG108" s="13" t="n">
        <f aca="false">(Inputs!$F$95/100*Inputs!$F$96/100)*AG63*Time!AG25/Inputs!$F$248</f>
        <v>0.345789614192439</v>
      </c>
      <c r="AH108" s="13" t="n">
        <f aca="false">(Inputs!$F$95/100*Inputs!$F$96/100)*AH63*Time!AH25/Inputs!$F$248</f>
        <v>0.263541657586574</v>
      </c>
      <c r="AI108" s="13" t="n">
        <f aca="false">(Inputs!$F$95/100*Inputs!$F$96/100)*AI63*Time!AI25/Inputs!$F$248</f>
        <v>0.169925441831789</v>
      </c>
      <c r="AJ108" s="13" t="n">
        <f aca="false">(Inputs!$F$95/100*Inputs!$F$96/100)*AJ63*Time!AJ25/Inputs!$F$248</f>
        <v>0.0845978312266586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304.527795311981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13.7459572356358</v>
      </c>
      <c r="AC111" s="13" t="n">
        <f aca="false">AC23+AC37+AC51+AC65+AC79+AC92</f>
        <v>12.5299846754002</v>
      </c>
      <c r="AD111" s="13" t="n">
        <f aca="false">AD23+AD37+AD51+AD65+AD79+AD92</f>
        <v>11.5976233510417</v>
      </c>
      <c r="AE111" s="13" t="n">
        <f aca="false">AE23+AE37+AE51+AE65+AE79+AE92</f>
        <v>10.2494057213969</v>
      </c>
      <c r="AF111" s="13" t="n">
        <f aca="false">AF23+AF37+AF51+AF65+AF79+AF92</f>
        <v>9.20737029788354</v>
      </c>
      <c r="AG111" s="13" t="n">
        <f aca="false">AG23+AG37+AG51+AG65+AG79+AG92</f>
        <v>8.01999173780075</v>
      </c>
      <c r="AH111" s="13" t="n">
        <f aca="false">AH23+AH37+AH51+AH65+AH79+AH92</f>
        <v>6.8672726464229</v>
      </c>
      <c r="AI111" s="13" t="n">
        <f aca="false">AI23+AI37+AI51+AI65+AI79+AI92</f>
        <v>5.44118000287267</v>
      </c>
      <c r="AJ111" s="13" t="n">
        <f aca="false">AJ23+AJ37+AJ51+AJ65+AJ79+AJ92</f>
        <v>4.20384695945895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312.748889604495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14.125886064444</v>
      </c>
      <c r="AC112" s="13" t="n">
        <f aca="false">AC111+AC107+AC108+AC109</f>
        <v>12.8970280129363</v>
      </c>
      <c r="AD112" s="13" t="n">
        <f aca="false">AD111+AD107+AD108+AD109</f>
        <v>11.8635981529339</v>
      </c>
      <c r="AE112" s="13" t="n">
        <f aca="false">AE111+AE107+AE108+AE109</f>
        <v>10.514913346323</v>
      </c>
      <c r="AF112" s="13" t="n">
        <f aca="false">AF111+AF107+AF108+AF109</f>
        <v>9.34952923503765</v>
      </c>
      <c r="AG112" s="13" t="n">
        <f aca="false">AG111+AG107+AG108+AG109</f>
        <v>8.15157515258252</v>
      </c>
      <c r="AH112" s="13" t="n">
        <f aca="false">AH111+AH107+AH108+AH109</f>
        <v>6.88523395233094</v>
      </c>
      <c r="AI112" s="13" t="n">
        <f aca="false">AI111+AI107+AI108+AI109</f>
        <v>5.44061486127451</v>
      </c>
      <c r="AJ112" s="13" t="n">
        <f aca="false">AJ111+AJ107+AJ108+AJ109</f>
        <v>4.10072340070946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538.590152336656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22.2321457905674</v>
      </c>
      <c r="AC113" s="13" t="n">
        <f aca="false">AC27+AC41+AC55+AC69+AC83+AC93</f>
        <v>22.5319357856662</v>
      </c>
      <c r="AD113" s="13" t="n">
        <f aca="false">AD27+AD41+AD55+AD69+AD83+AD93</f>
        <v>24.1186391113981</v>
      </c>
      <c r="AE113" s="13" t="n">
        <f aca="false">AE27+AE41+AE55+AE69+AE83+AE93</f>
        <v>24.5051977389612</v>
      </c>
      <c r="AF113" s="13" t="n">
        <f aca="false">AF27+AF41+AF55+AF69+AF83+AF93</f>
        <v>24.5795149680157</v>
      </c>
      <c r="AG113" s="13" t="n">
        <f aca="false">AG27+AG41+AG55+AG69+AG83+AG93</f>
        <v>24.0707530632709</v>
      </c>
      <c r="AH113" s="13" t="n">
        <f aca="false">AH27+AH41+AH55+AH69+AH83+AH93</f>
        <v>24.1000980222241</v>
      </c>
      <c r="AI113" s="13" t="n">
        <f aca="false">AI27+AI41+AI55+AI69+AI83+AI93</f>
        <v>23.2476894268689</v>
      </c>
      <c r="AJ113" s="13" t="n">
        <f aca="false">AJ27+AJ41+AJ55+AJ69+AJ83+AJ93</f>
        <v>22.3349660477602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851.339041941152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36.3580318550115</v>
      </c>
      <c r="AC114" s="13" t="n">
        <f aca="false">AC112+AC113</f>
        <v>35.4289637986026</v>
      </c>
      <c r="AD114" s="13" t="n">
        <f aca="false">AD112+AD113</f>
        <v>35.982237264332</v>
      </c>
      <c r="AE114" s="13" t="n">
        <f aca="false">AE112+AE113</f>
        <v>35.0201110852842</v>
      </c>
      <c r="AF114" s="13" t="n">
        <f aca="false">AF112+AF113</f>
        <v>33.9290442030534</v>
      </c>
      <c r="AG114" s="13" t="n">
        <f aca="false">AG112+AG113</f>
        <v>32.2223282158534</v>
      </c>
      <c r="AH114" s="13" t="n">
        <f aca="false">AH112+AH113</f>
        <v>30.985331974555</v>
      </c>
      <c r="AI114" s="13" t="n">
        <f aca="false">AI112+AI113</f>
        <v>28.6883042881434</v>
      </c>
      <c r="AJ114" s="13" t="n">
        <f aca="false">AJ112+AJ113</f>
        <v>26.4356894484697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400.593188265099</v>
      </c>
      <c r="AC115" s="13" t="n">
        <f aca="false">AC21+AC35+AC49+AC63+AC77+AC91</f>
        <v>371.166876946112</v>
      </c>
      <c r="AD115" s="13" t="n">
        <f aca="false">AD21+AD35+AD49+AD63+AD77+AD91</f>
        <v>341.768152189568</v>
      </c>
      <c r="AE115" s="13" t="n">
        <f aca="false">AE21+AE35+AE49+AE63+AE77+AE91</f>
        <v>309.44067582598</v>
      </c>
      <c r="AF115" s="13" t="n">
        <f aca="false">AF21+AF35+AF49+AF63+AF77+AF91</f>
        <v>276.113065824288</v>
      </c>
      <c r="AG115" s="13" t="n">
        <f aca="false">AG21+AG35+AG49+AG63+AG77+AG91</f>
        <v>241.814125546661</v>
      </c>
      <c r="AH115" s="13" t="n">
        <f aca="false">AH21+AH35+AH49+AH63+AH77+AH91</f>
        <v>207.587608467207</v>
      </c>
      <c r="AI115" s="13" t="n">
        <f aca="false">AI21+AI35+AI49+AI63+AI77+AI91</f>
        <v>171.948797344354</v>
      </c>
      <c r="AJ115" s="13" t="n">
        <f aca="false">AJ21+AJ35+AJ49+AJ63+AJ77+AJ91</f>
        <v>136.283529921639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400.593188265099</v>
      </c>
      <c r="AB116" s="13" t="n">
        <f aca="false">AB33+AB47+AB61+AB75+AB89+AB95</f>
        <v>371.166876946112</v>
      </c>
      <c r="AC116" s="13" t="n">
        <f aca="false">AC33+AC47+AC61+AC75+AC89+AC95</f>
        <v>341.768152189568</v>
      </c>
      <c r="AD116" s="13" t="n">
        <f aca="false">AD33+AD47+AD61+AD75+AD89+AD95</f>
        <v>309.44067582598</v>
      </c>
      <c r="AE116" s="13" t="n">
        <f aca="false">AE33+AE47+AE61+AE75+AE89+AE95</f>
        <v>276.113065824288</v>
      </c>
      <c r="AF116" s="13" t="n">
        <f aca="false">AF33+AF47+AF61+AF75+AF89+AF95</f>
        <v>241.814125546661</v>
      </c>
      <c r="AG116" s="13" t="n">
        <f aca="false">AG33+AG47+AG61+AG75+AG89+AG95</f>
        <v>207.587608467207</v>
      </c>
      <c r="AH116" s="13" t="n">
        <f aca="false">AH33+AH47+AH61+AH75+AH89+AH95</f>
        <v>171.948797344354</v>
      </c>
      <c r="AI116" s="13" t="n">
        <f aca="false">AI33+AI47+AI61+AI75+AI89+AI95</f>
        <v>136.283529921639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140.155156655888</v>
      </c>
      <c r="AC118" s="13" t="n">
        <f aca="false">IF(Time!AC34=1,AC75,AC73)</f>
        <v>124.889504418493</v>
      </c>
      <c r="AD118" s="13" t="n">
        <f aca="false">IF(Time!AD34=1,AD75,AD73)</f>
        <v>109.693831487563</v>
      </c>
      <c r="AE118" s="13" t="n">
        <f aca="false">IF(Time!AE34=1,AE75,AE73)</f>
        <v>93.4482038404553</v>
      </c>
      <c r="AF118" s="13" t="n">
        <f aca="false">IF(Time!AF34=1,AF75,AF73)</f>
        <v>77.0924251122326</v>
      </c>
      <c r="AG118" s="13" t="n">
        <f aca="false">IF(Time!AG34=1,AG75,AG73)</f>
        <v>60.666531196974</v>
      </c>
      <c r="AH118" s="13" t="n">
        <f aca="false">IF(Time!AH34=1,AH75,AH73)</f>
        <v>44.6466674437057</v>
      </c>
      <c r="AI118" s="13" t="n">
        <f aca="false">IF(Time!AI34=1,AI75,AI73)</f>
        <v>28.6317180912734</v>
      </c>
      <c r="AJ118" s="13" t="n">
        <f aca="false">IF(Time!AJ34=1,AJ75,AJ73)</f>
        <v>13.5568691197393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14.5861023123638</v>
      </c>
      <c r="AC122" s="13" t="n">
        <f aca="false">IF(AND(Time!AC20&gt;=Time!$F$12,Time!AD20&gt;0),(IF(Time!AC34=1,AC75,AC73)-AC72)*AD19+IF(Time!AD46&gt;0,Time!AD45*AC72/Time!AD46,0)+IF(Time!AC34=1,AC75,AC73)*AD13,0)</f>
        <v>14.2888770445517</v>
      </c>
      <c r="AD122" s="13" t="n">
        <f aca="false">IF(AND(Time!AD20&gt;=Time!$F$12,Time!AE20&gt;0),(IF(Time!AD34=1,AD75,AD73)-AD72)*AE19+IF(Time!AE46&gt;0,Time!AE45*AD72/Time!AE46,0)+IF(Time!AD34=1,AD75,AD73)*AE13,0)</f>
        <v>13.4176473606316</v>
      </c>
      <c r="AE122" s="13" t="n">
        <f aca="false">IF(AND(Time!AE20&gt;=Time!$F$12,Time!AF20&gt;0),(IF(Time!AE34=1,AE75,AE73)-AE72)*AF19+IF(Time!AF46&gt;0,Time!AF45*AE72/Time!AF46,0)+IF(Time!AE34=1,AE75,AE73)*AF13,0)</f>
        <v>12.4156892090324</v>
      </c>
      <c r="AF122" s="13" t="n">
        <f aca="false">IF(AND(Time!AF20&gt;=Time!$F$12,Time!AG20&gt;0),(IF(Time!AF34=1,AF75,AF73)-AF72)*AG19+IF(Time!AG46&gt;0,Time!AG45*AF72/Time!AG46,0)+IF(Time!AF34=1,AF75,AF73)*AG13,0)</f>
        <v>11.2140760265522</v>
      </c>
      <c r="AG122" s="13" t="n">
        <f aca="false">IF(AND(Time!AG20&gt;=Time!$F$12,Time!AH20&gt;0),(IF(Time!AG34=1,AG75,AG73)-AG72)*AH19+IF(Time!AH46&gt;0,Time!AH45*AG72/Time!AH46,0)+IF(Time!AG34=1,AG75,AG73)*AH13,0)</f>
        <v>9.87514721283411</v>
      </c>
      <c r="AH122" s="13" t="n">
        <f aca="false">IF(AND(Time!AH20&gt;=Time!$F$12,Time!AI20&gt;0),(IF(Time!AH34=1,AH75,AH73)-AH72)*AI19+IF(Time!AI46&gt;0,Time!AI45*AH72/Time!AI46,0)+IF(Time!AH34=1,AH75,AH73)*AI13,0)</f>
        <v>8.08647599593486</v>
      </c>
      <c r="AI122" s="13" t="n">
        <f aca="false">IF(AND(Time!AI20&gt;=Time!$F$12,Time!AJ20&gt;0),(IF(Time!AI34=1,AI75,AI73)-AI72)*AJ19+IF(Time!AJ46&gt;0,Time!AJ45*AI72/Time!AJ46,0)+IF(Time!AI34=1,AI75,AI73)*AJ13,0)</f>
        <v>6.02890949651137</v>
      </c>
      <c r="AJ122" s="13" t="n">
        <f aca="false">IF(AND(Time!AJ20&gt;=Time!$F$12,Time!AK20&gt;0),(IF(Time!AJ34=1,AJ75,AJ73)-AJ72)*AK19+IF(Time!AK46&gt;0,Time!AK45*AJ72/Time!AK46,0)+IF(Time!AJ34=1,AJ75,AJ73)*AK13,0)</f>
        <v>3.36925801071168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36.2147963766071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36.8037090789382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36.0663399929661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35.1472363198872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33.6860271504038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32.6914500540924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30.837436556463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29.1152170271438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26.4700604620926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854.89556703609</v>
      </c>
      <c r="Q128" s="13" t="n">
        <f aca="false">IF(Time!Q53=1,(Waterfall!Q7+R128)/(1+Q127),0)</f>
        <v>833.984452052412</v>
      </c>
      <c r="R128" s="13" t="n">
        <f aca="false">IF(Time!R53=1,(Waterfall!R7+S128)/(1+R127),0)</f>
        <v>812.188342505449</v>
      </c>
      <c r="S128" s="13" t="n">
        <f aca="false">IF(Time!S53=1,(Waterfall!S7+T128)/(1+S127),0)</f>
        <v>789.318584686095</v>
      </c>
      <c r="T128" s="13" t="n">
        <f aca="false">IF(Time!T53=1,(Waterfall!T7+U128)/(1+T127),0)</f>
        <v>765.774892102802</v>
      </c>
      <c r="U128" s="13" t="n">
        <f aca="false">IF(Time!U53=1,(Waterfall!U7+V128)/(1+U127),0)</f>
        <v>741.148198096695</v>
      </c>
      <c r="V128" s="13" t="n">
        <f aca="false">IF(Time!V53=1,(Waterfall!V7+W128)/(1+V127),0)</f>
        <v>715.736115466255</v>
      </c>
      <c r="W128" s="13" t="n">
        <f aca="false">IF(Time!W53=1,(Waterfall!W7+X128)/(1+W127),0)</f>
        <v>688.663879431379</v>
      </c>
      <c r="X128" s="13" t="n">
        <f aca="false">IF(Time!X53=1,(Waterfall!X7+Y128)/(1+X127),0)</f>
        <v>660.764061757014</v>
      </c>
      <c r="Y128" s="13" t="n">
        <f aca="false">IF(Time!Y53=1,(Waterfall!Y7+Z128)/(1+Y127),0)</f>
        <v>633.63867978091</v>
      </c>
      <c r="Z128" s="13" t="n">
        <f aca="false">IF(Time!Z53=1,(Waterfall!Z7+AA128)/(1+Z127),0)</f>
        <v>606.500533971463</v>
      </c>
      <c r="AA128" s="13" t="n">
        <f aca="false">IF(Time!AA53=1,(Waterfall!AA7+AB128)/(1+AA127),0)</f>
        <v>578.238110280087</v>
      </c>
      <c r="AB128" s="13" t="n">
        <f aca="false">IF(Time!AB53=1,(Waterfall!AB7+AC128)/(1+AB127),0)</f>
        <v>549.150918208658</v>
      </c>
      <c r="AC128" s="13" t="n">
        <f aca="false">IF(Time!AC53=1,(Waterfall!AC7+AD128)/(1+AC127),0)</f>
        <v>518.674106238919</v>
      </c>
      <c r="AD128" s="13" t="n">
        <f aca="false">IF(Time!AD53=1,(Waterfall!AD7+AE128)/(1+AD127),0)</f>
        <v>487.18764453773</v>
      </c>
      <c r="AE128" s="13" t="n">
        <f aca="false">IF(Time!AE53=1,(Waterfall!AE7+AF128)/(1+AE127),0)</f>
        <v>452.806726060759</v>
      </c>
      <c r="AF128" s="13" t="n">
        <f aca="false">IF(Time!AF53=1,(Waterfall!AF7+AG128)/(1+AF127),0)</f>
        <v>416.948097164912</v>
      </c>
      <c r="AG128" s="13" t="n">
        <f aca="false">IF(Time!AG53=1,(Waterfall!AG7+AH128)/(1+AG127),0)</f>
        <v>379.831483488085</v>
      </c>
      <c r="AH128" s="13" t="n">
        <f aca="false">IF(Time!AH53=1,(Waterfall!AH7+AI128)/(1+AH127),0)</f>
        <v>342.022154425807</v>
      </c>
      <c r="AI128" s="13" t="n">
        <f aca="false">IF(Time!AI53=1,(Waterfall!AI7+AJ128)/(1+AI127),0)</f>
        <v>302.314738803312</v>
      </c>
      <c r="AJ128" s="13" t="n">
        <f aca="false">IF(Time!AJ53=1,(Waterfall!AJ7+AK128)/(1+AJ127),0)</f>
        <v>261.441413340414</v>
      </c>
      <c r="AK128" s="13" t="n">
        <f aca="false">IF(Time!AK53=1,(Waterfall!AK7+AL128)/(1+AK127),0)</f>
        <v>218.594819230627</v>
      </c>
      <c r="AL128" s="13" t="n">
        <f aca="false">IF(Time!AL53=1,(Waterfall!AL7+AM128)/(1+AL127),0)</f>
        <v>174.361356741252</v>
      </c>
      <c r="AM128" s="13" t="n">
        <f aca="false">IF(Time!AM53=1,(Waterfall!AM7+AN128)/(1+AM127),0)</f>
        <v>127.458902081805</v>
      </c>
      <c r="AN128" s="13" t="n">
        <f aca="false">IF(Time!AN53=1,(Waterfall!AN7+AO128)/(1+AN127),0)</f>
        <v>79.5815814567633</v>
      </c>
      <c r="AO128" s="13" t="n">
        <f aca="false">IF(Time!AO53=1,(Waterfall!AO7+AP128)/(1+AO127),0)</f>
        <v>40.0833603090188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1.35000000008424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633.255975582289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37.2458954381098</v>
      </c>
      <c r="Q132" s="13" t="n">
        <f aca="false">IF(Time!Q53=1,(Waterfall!Q7)/$F$129,0)</f>
        <v>37.1570164556</v>
      </c>
      <c r="R132" s="13" t="n">
        <f aca="false">IF(Time!R53=1,(Waterfall!R7)/$F$129,0)</f>
        <v>37.6247850888072</v>
      </c>
      <c r="S132" s="13" t="n">
        <f aca="false">IF(Time!S53=1,(Waterfall!S7)/$F$129,0)</f>
        <v>37.3333124929981</v>
      </c>
      <c r="T132" s="13" t="n">
        <f aca="false">IF(Time!T53=1,(Waterfall!T7)/$F$129,0)</f>
        <v>37.7512177828148</v>
      </c>
      <c r="U132" s="13" t="n">
        <f aca="false">IF(Time!U53=1,(Waterfall!U7)/$F$129,0)</f>
        <v>37.5706927553469</v>
      </c>
      <c r="V132" s="13" t="n">
        <f aca="false">IF(Time!V53=1,(Waterfall!V7)/$F$129,0)</f>
        <v>38.2879202359681</v>
      </c>
      <c r="W132" s="13" t="n">
        <f aca="false">IF(Time!W53=1,(Waterfall!W7)/$F$129,0)</f>
        <v>38.0232274259144</v>
      </c>
      <c r="X132" s="13" t="n">
        <f aca="false">IF(Time!X53=1,(Waterfall!X7)/$F$129,0)</f>
        <v>36.9267950752384</v>
      </c>
      <c r="Y132" s="13" t="n">
        <f aca="false">IF(Time!Y53=1,(Waterfall!Y7)/$F$129,0)</f>
        <v>36.5703920444872</v>
      </c>
      <c r="Z132" s="13" t="n">
        <f aca="false">IF(Time!Z53=1,(Waterfall!Z7)/$F$129,0)</f>
        <v>36.8713631089239</v>
      </c>
      <c r="AA132" s="13" t="n">
        <f aca="false">IF(Time!AA53=1,(Waterfall!AA7)/$F$129,0)</f>
        <v>36.5742873546017</v>
      </c>
      <c r="AB132" s="13" t="n">
        <f aca="false">IF(Time!AB53=1,(Waterfall!AB7)/$F$129,0)</f>
        <v>37.0047486321213</v>
      </c>
      <c r="AC132" s="13" t="n">
        <f aca="false">IF(Time!AC53=1,(Waterfall!AC7)/$F$129,0)</f>
        <v>36.8529292145076</v>
      </c>
      <c r="AD132" s="13" t="n">
        <f aca="false">IF(Time!AD53=1,(Waterfall!AD7)/$F$129,0)</f>
        <v>38.2685501329744</v>
      </c>
      <c r="AE132" s="13" t="n">
        <f aca="false">IF(Time!AE53=1,(Waterfall!AE7)/$F$129,0)</f>
        <v>38.3302458773614</v>
      </c>
      <c r="AF132" s="13" t="n">
        <f aca="false">IF(Time!AF53=1,(Waterfall!AF7)/$F$129,0)</f>
        <v>38.4493967774473</v>
      </c>
      <c r="AG132" s="13" t="n">
        <f aca="false">IF(Time!AG53=1,(Waterfall!AG7)/$F$129,0)</f>
        <v>38.1772438138452</v>
      </c>
      <c r="AH132" s="13" t="n">
        <f aca="false">IF(Time!AH53=1,(Waterfall!AH7)/$F$129,0)</f>
        <v>38.6731442036485</v>
      </c>
      <c r="AI132" s="13" t="n">
        <f aca="false">IF(Time!AI53=1,(Waterfall!AI7)/$F$129,0)</f>
        <v>38.3712894424338</v>
      </c>
      <c r="AJ132" s="13" t="n">
        <f aca="false">IF(Time!AJ53=1,(Waterfall!AJ7)/$F$129,0)</f>
        <v>38.8167394706435</v>
      </c>
      <c r="AK132" s="13" t="n">
        <f aca="false">IF(Time!AK53=1,(Waterfall!AK7)/$F$129,0)</f>
        <v>38.6403947685337</v>
      </c>
      <c r="AL132" s="13" t="n">
        <f aca="false">IF(Time!AL53=1,(Waterfall!AL7)/$F$129,0)</f>
        <v>39.4633896356256</v>
      </c>
      <c r="AM132" s="13" t="n">
        <f aca="false">IF(Time!AM53=1,(Waterfall!AM7)/$F$129,0)</f>
        <v>38.8775099599659</v>
      </c>
      <c r="AN132" s="13" t="n">
        <f aca="false">IF(Time!AN53=1,(Waterfall!AN7)/$F$129,0)</f>
        <v>31.4126114907865</v>
      </c>
      <c r="AO132" s="13" t="n">
        <f aca="false">IF(Time!AO53=1,(Waterfall!AO7)/$F$129,0)</f>
        <v>30.7646464299593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617.766260741016</v>
      </c>
      <c r="R133" s="13" t="n">
        <f aca="false">IF(Time!R53=1,IF(Time!R20=Time!$F$13,Funding!$F$25,Q133-Q134),0)</f>
        <v>601.620994410939</v>
      </c>
      <c r="S133" s="13" t="n">
        <f aca="false">IF(Time!S53=1,IF(Time!S20=Time!$F$13,Funding!$F$25,R133-R134),0)</f>
        <v>584.680433064327</v>
      </c>
      <c r="T133" s="13" t="n">
        <f aca="false">IF(Time!T53=1,IF(Time!T20=Time!$F$13,Funding!$F$25,S133-S134),0)</f>
        <v>567.240660781494</v>
      </c>
      <c r="U133" s="13" t="n">
        <f aca="false">IF(Time!U53=1,IF(Time!U20=Time!$F$13,Funding!$F$25,T133-T134),0)</f>
        <v>548.998665222554</v>
      </c>
      <c r="V133" s="13" t="n">
        <f aca="false">IF(Time!V53=1,IF(Time!V20=Time!$F$13,Funding!$F$25,U133-U134),0)</f>
        <v>530.174900312291</v>
      </c>
      <c r="W133" s="13" t="n">
        <f aca="false">IF(Time!W53=1,IF(Time!W20=Time!$F$13,Funding!$F$25,V133-V134),0)</f>
        <v>510.12139213956</v>
      </c>
      <c r="X133" s="13" t="n">
        <f aca="false">IF(Time!X53=1,IF(Time!X20=Time!$F$13,Funding!$F$25,W133-W134),0)</f>
        <v>489.454860530209</v>
      </c>
      <c r="Y133" s="13" t="n">
        <f aca="false">IF(Time!Y53=1,IF(Time!Y20=Time!$F$13,Funding!$F$25,X133-X134),0)</f>
        <v>469.361984993608</v>
      </c>
      <c r="Z133" s="13" t="n">
        <f aca="false">IF(Time!Z53=1,IF(Time!Z20=Time!$F$13,Funding!$F$25,Y133-Y134),0)</f>
        <v>449.259654765642</v>
      </c>
      <c r="AA133" s="13" t="n">
        <f aca="false">IF(Time!AA53=1,IF(Time!AA20=Time!$F$13,Funding!$F$25,Z133-Z134),0)</f>
        <v>428.32452610667</v>
      </c>
      <c r="AB133" s="13" t="n">
        <f aca="false">IF(Time!AB53=1,IF(Time!AB20=Time!$F$13,Funding!$F$25,AA133-AA134),0)</f>
        <v>406.778457906956</v>
      </c>
      <c r="AC133" s="13" t="n">
        <f aca="false">IF(Time!AC53=1,IF(Time!AC20=Time!$F$13,Funding!$F$25,AB133-AB134),0)</f>
        <v>384.203041634484</v>
      </c>
      <c r="AD133" s="13" t="n">
        <f aca="false">IF(Time!AD53=1,IF(Time!AD20=Time!$F$13,Funding!$F$25,AC133-AC134),0)</f>
        <v>360.879736672095</v>
      </c>
      <c r="AE133" s="13" t="n">
        <f aca="false">IF(Time!AE53=1,IF(Time!AE20=Time!$F$13,Funding!$F$25,AD133-AD134),0)</f>
        <v>335.412389653706</v>
      </c>
      <c r="AF133" s="13" t="n">
        <f aca="false">IF(Time!AF53=1,IF(Time!AF20=Time!$F$13,Funding!$F$25,AE133-AE134),0)</f>
        <v>308.850442325107</v>
      </c>
      <c r="AG133" s="13" t="n">
        <f aca="false">IF(Time!AG53=1,IF(Time!AG20=Time!$F$13,Funding!$F$25,AF133-AF134),0)</f>
        <v>281.356654418061</v>
      </c>
      <c r="AH133" s="13" t="n">
        <f aca="false">IF(Time!AH53=1,IF(Time!AH20=Time!$F$13,Funding!$F$25,AG133-AG134),0)</f>
        <v>253.349744003307</v>
      </c>
      <c r="AI133" s="13" t="n">
        <f aca="false">IF(Time!AI53=1,IF(Time!AI20=Time!$F$13,Funding!$F$25,AH133-AH134),0)</f>
        <v>223.936843544035</v>
      </c>
      <c r="AJ133" s="13" t="n">
        <f aca="false">IF(Time!AJ53=1,IF(Time!AJ20=Time!$F$13,Funding!$F$25,AI133-AI134),0)</f>
        <v>193.660306165999</v>
      </c>
      <c r="AK133" s="13" t="n">
        <f aca="false">IF(Time!AK53=1,IF(Time!AK20=Time!$F$13,Funding!$F$25,AJ133-AJ134),0)</f>
        <v>161.922088308878</v>
      </c>
      <c r="AL133" s="13" t="n">
        <f aca="false">IF(Time!AL53=1,IF(Time!AL20=Time!$F$13,Funding!$F$25,AK133-AK134),0)</f>
        <v>129.156560541015</v>
      </c>
      <c r="AM133" s="13" t="n">
        <f aca="false">IF(Time!AM53=1,IF(Time!AM20=Time!$F$13,Funding!$F$25,AL133-AL134),0)</f>
        <v>94.4140015361855</v>
      </c>
      <c r="AN133" s="13" t="n">
        <f aca="false">IF(Time!AN53=1,IF(Time!AN20=Time!$F$13,Funding!$F$25,AM133-AM134),0)</f>
        <v>58.9493195939232</v>
      </c>
      <c r="AO133" s="13" t="n">
        <f aca="false">IF(Time!AO53=1,IF(Time!AO20=Time!$F$13,Funding!$F$25,AN133-AN134),0)</f>
        <v>29.691378004827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15.4897148017584</v>
      </c>
      <c r="Q134" s="13" t="n">
        <f aca="false">Q132-Q133*Q127</f>
        <v>16.1452663300764</v>
      </c>
      <c r="R134" s="13" t="n">
        <f aca="false">R132-R133*R127</f>
        <v>16.9405613466122</v>
      </c>
      <c r="S134" s="13" t="n">
        <f aca="false">S132-S133*S127</f>
        <v>17.439772282833</v>
      </c>
      <c r="T134" s="13" t="n">
        <f aca="false">T132-T133*T127</f>
        <v>18.2419955589405</v>
      </c>
      <c r="U134" s="13" t="n">
        <f aca="false">U132-U133*U127</f>
        <v>18.8237649102628</v>
      </c>
      <c r="V134" s="13" t="n">
        <f aca="false">V132-V133*V127</f>
        <v>20.0535081727306</v>
      </c>
      <c r="W134" s="13" t="n">
        <f aca="false">W132-W133*W127</f>
        <v>20.6665316093516</v>
      </c>
      <c r="X134" s="13" t="n">
        <f aca="false">X132-X133*X127</f>
        <v>20.0928755366008</v>
      </c>
      <c r="Y134" s="13" t="n">
        <f aca="false">Y132-Y133*Y127</f>
        <v>20.1023302279655</v>
      </c>
      <c r="Z134" s="13" t="n">
        <f aca="false">Z132-Z133*Z127</f>
        <v>20.9351286589726</v>
      </c>
      <c r="AA134" s="13" t="n">
        <f aca="false">AA132-AA133*AA127</f>
        <v>21.5460681997141</v>
      </c>
      <c r="AB134" s="13" t="n">
        <f aca="false">AB132-AB133*AB127</f>
        <v>22.5754162724716</v>
      </c>
      <c r="AC134" s="13" t="n">
        <f aca="false">AC132-AC133*AC127</f>
        <v>23.3233049623886</v>
      </c>
      <c r="AD134" s="13" t="n">
        <f aca="false">AD132-AD133*AD127</f>
        <v>25.4673470183896</v>
      </c>
      <c r="AE134" s="13" t="n">
        <f aca="false">AE132-AE133*AE127</f>
        <v>26.561947328599</v>
      </c>
      <c r="AF134" s="13" t="n">
        <f aca="false">AF132-AF133*AF127</f>
        <v>27.4937879070456</v>
      </c>
      <c r="AG134" s="13" t="n">
        <f aca="false">AG132-AG133*AG127</f>
        <v>28.0069104147543</v>
      </c>
      <c r="AH134" s="13" t="n">
        <f aca="false">AH132-AH133*AH127</f>
        <v>29.4129004592721</v>
      </c>
      <c r="AI134" s="13" t="n">
        <f aca="false">AI132-AI133*AI127</f>
        <v>30.2765373780352</v>
      </c>
      <c r="AJ134" s="13" t="n">
        <f aca="false">AJ132-AJ133*AJ127</f>
        <v>31.7382178571214</v>
      </c>
      <c r="AK134" s="13" t="n">
        <f aca="false">AK132-AK133*AK127</f>
        <v>32.7655277678628</v>
      </c>
      <c r="AL134" s="13" t="n">
        <f aca="false">AL132-AL133*AL127</f>
        <v>34.7425590048297</v>
      </c>
      <c r="AM134" s="13" t="n">
        <f aca="false">AM132-AM133*AM127</f>
        <v>35.4646819422624</v>
      </c>
      <c r="AN134" s="13" t="n">
        <f aca="false">AN132-AN133*AN127</f>
        <v>29.2579415890962</v>
      </c>
      <c r="AO134" s="13" t="n">
        <f aca="false">AO132-AO133*AO127</f>
        <v>29.6913780048279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1.01444896927205E-009</v>
      </c>
      <c r="Q135" s="13" t="n">
        <f aca="false">IF(Inputs!$F$8=1,Q134-Time!Q53*Inputs!Q298*Funding!$F$25,0)</f>
        <v>4.89844609319334E-010</v>
      </c>
      <c r="R135" s="13" t="n">
        <f aca="false">IF(Inputs!$F$8=1,R134-Time!R53*Inputs!R298*Funding!$F$25,0)</f>
        <v>1.18206600063786E-009</v>
      </c>
      <c r="S135" s="13" t="n">
        <f aca="false">IF(Inputs!$F$8=1,S134-Time!S53*Inputs!S298*Funding!$F$25,0)</f>
        <v>5.33614041842156E-010</v>
      </c>
      <c r="T135" s="13" t="n">
        <f aca="false">IF(Inputs!$F$8=1,T134-Time!T53*Inputs!T298*Funding!$F$25,0)</f>
        <v>1.17891474360476E-009</v>
      </c>
      <c r="U135" s="13" t="n">
        <f aca="false">IF(Inputs!$F$8=1,U134-Time!U53*Inputs!U298*Funding!$F$25,0)</f>
        <v>6.45481890160227E-010</v>
      </c>
      <c r="V135" s="13" t="n">
        <f aca="false">IF(Inputs!$F$8=1,V134-Time!V53*Inputs!V298*Funding!$F$25,0)</f>
        <v>9.84414327831473E-010</v>
      </c>
      <c r="W135" s="13" t="n">
        <f aca="false">IF(Inputs!$F$8=1,W134-Time!W53*Inputs!W298*Funding!$F$25,0)</f>
        <v>2.50821585723315E-010</v>
      </c>
      <c r="X135" s="13" t="n">
        <f aca="false">IF(Inputs!$F$8=1,X134-Time!X53*Inputs!X298*Funding!$F$25,0)</f>
        <v>8.66059224335913E-010</v>
      </c>
      <c r="Y135" s="13" t="n">
        <f aca="false">IF(Inputs!$F$8=1,Y134-Time!Y53*Inputs!Y298*Funding!$F$25,0)</f>
        <v>1.93853821883749E-010</v>
      </c>
      <c r="Z135" s="13" t="n">
        <f aca="false">IF(Inputs!$F$8=1,Z134-Time!Z53*Inputs!Z298*Funding!$F$25,0)</f>
        <v>6.71263933327282E-010</v>
      </c>
      <c r="AA135" s="13" t="n">
        <f aca="false">IF(Inputs!$F$8=1,AA134-Time!AA53*Inputs!AA298*Funding!$F$25,0)</f>
        <v>2.94164692604682E-011</v>
      </c>
      <c r="AB135" s="13" t="n">
        <f aca="false">IF(Inputs!$F$8=1,AB134-Time!AB53*Inputs!AB298*Funding!$F$25,0)</f>
        <v>4.31409574730424E-010</v>
      </c>
      <c r="AC135" s="13" t="n">
        <f aca="false">IF(Inputs!$F$8=1,AC134-Time!AC53*Inputs!AC298*Funding!$F$25,0)</f>
        <v>-1.39870337534376E-011</v>
      </c>
      <c r="AD135" s="13" t="n">
        <f aca="false">IF(Inputs!$F$8=1,AD134-Time!AD53*Inputs!AD298*Funding!$F$25,0)</f>
        <v>9.02993235740723E-011</v>
      </c>
      <c r="AE135" s="13" t="n">
        <f aca="false">IF(Inputs!$F$8=1,AE134-Time!AE53*Inputs!AE298*Funding!$F$25,0)</f>
        <v>-5.01781727280104E-010</v>
      </c>
      <c r="AF135" s="13" t="n">
        <f aca="false">IF(Inputs!$F$8=1,AF134-Time!AF53*Inputs!AF298*Funding!$F$25,0)</f>
        <v>-2.49610110358844E-010</v>
      </c>
      <c r="AG135" s="13" t="n">
        <f aca="false">IF(Inputs!$F$8=1,AG134-Time!AG53*Inputs!AG298*Funding!$F$25,0)</f>
        <v>-7.66576135902142E-010</v>
      </c>
      <c r="AH135" s="13" t="n">
        <f aca="false">IF(Inputs!$F$8=1,AH134-Time!AH53*Inputs!AH298*Funding!$F$25,0)</f>
        <v>-6.27036200739894E-010</v>
      </c>
      <c r="AI135" s="13" t="n">
        <f aca="false">IF(Inputs!$F$8=1,AI134-Time!AI53*Inputs!AI298*Funding!$F$25,0)</f>
        <v>-1.1012666334409E-009</v>
      </c>
      <c r="AJ135" s="13" t="n">
        <f aca="false">IF(Inputs!$F$8=1,AJ134-Time!AJ53*Inputs!AJ298*Funding!$F$25,0)</f>
        <v>-1.05942632444567E-009</v>
      </c>
      <c r="AK135" s="13" t="n">
        <f aca="false">IF(Inputs!$F$8=1,AK134-Time!AK53*Inputs!AK298*Funding!$F$25,0)</f>
        <v>-1.41971412404018E-009</v>
      </c>
      <c r="AL135" s="13" t="n">
        <f aca="false">IF(Inputs!$F$8=1,AL134-Time!AL53*Inputs!AL298*Funding!$F$25,0)</f>
        <v>-1.57970703185129E-009</v>
      </c>
      <c r="AM135" s="13" t="n">
        <f aca="false">IF(Inputs!$F$8=1,AM134-Time!AM53*Inputs!AM298*Funding!$F$25,0)</f>
        <v>5.27286658780213E-010</v>
      </c>
      <c r="AN135" s="13" t="n">
        <f aca="false">IF(Inputs!$F$8=1,AN134-Time!AN53*Inputs!AN298*Funding!$F$25,0)</f>
        <v>-8.28400459340628E-010</v>
      </c>
      <c r="AO135" s="13" t="n">
        <f aca="false">IF(Inputs!$F$8=1,AO134-Time!AO53*Inputs!AO298*Funding!$F$25,0)</f>
        <v>-9.41007272103889E-010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7.1771297803332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0.0456367701143035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0.0901901794249644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36.2147963766071</v>
      </c>
      <c r="AD9" s="13" t="n">
        <f aca="false">IF(Time!AD34=1,SUM(Funding!$J$44:$BJ$44),AC13)</f>
        <v>36.8037090789382</v>
      </c>
      <c r="AE9" s="13" t="n">
        <f aca="false">IF(Time!AE34=1,SUM(Funding!$J$44:$BJ$44),AD13)</f>
        <v>36.0663399929661</v>
      </c>
      <c r="AF9" s="13" t="n">
        <f aca="false">IF(Time!AF34=1,SUM(Funding!$J$44:$BJ$44),AE13)</f>
        <v>35.1472363198872</v>
      </c>
      <c r="AG9" s="13" t="n">
        <f aca="false">IF(Time!AG34=1,SUM(Funding!$J$44:$BJ$44),AF13)</f>
        <v>33.6860271504038</v>
      </c>
      <c r="AH9" s="13" t="n">
        <f aca="false">IF(Time!AH34=1,SUM(Funding!$J$44:$BJ$44),AG13)</f>
        <v>32.6914500540924</v>
      </c>
      <c r="AI9" s="13" t="n">
        <f aca="false">IF(Time!AI34=1,SUM(Funding!$J$44:$BJ$44),AH13)</f>
        <v>30.837436556463</v>
      </c>
      <c r="AJ9" s="13" t="n">
        <f aca="false">IF(Time!AJ34=1,SUM(Funding!$J$44:$BJ$44),AI13)</f>
        <v>29.1152170271438</v>
      </c>
      <c r="AK9" s="13" t="n">
        <f aca="false">IF(Time!AK34=1,SUM(Funding!$J$44:$BJ$44),AJ13)</f>
        <v>26.4700604620926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2.92324644545162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0.58891270233115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40.169141882547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0.78995225536913</v>
      </c>
      <c r="AC12" s="13" t="n">
        <f aca="false">MAX(0,AC9-AC10-Debt!AC125)</f>
        <v>0</v>
      </c>
      <c r="AD12" s="13" t="n">
        <f aca="false">MAX(0,AD9-AD10-Debt!AD125)</f>
        <v>0.737369085972055</v>
      </c>
      <c r="AE12" s="13" t="n">
        <f aca="false">MAX(0,AE9-AE10-Debt!AE125)</f>
        <v>0.919103673078979</v>
      </c>
      <c r="AF12" s="13" t="n">
        <f aca="false">MAX(0,AF9-AF10-Debt!AF125)</f>
        <v>1.46120916948336</v>
      </c>
      <c r="AG12" s="13" t="n">
        <f aca="false">MAX(0,AG9-AG10-Debt!AG125)</f>
        <v>0.994577096311424</v>
      </c>
      <c r="AH12" s="13" t="n">
        <f aca="false">MAX(0,AH9-AH10-Debt!AH125)</f>
        <v>1.85401349762939</v>
      </c>
      <c r="AI12" s="13" t="n">
        <f aca="false">MAX(0,AI9-AI10-Debt!AI125)</f>
        <v>1.72221952931915</v>
      </c>
      <c r="AJ12" s="13" t="n">
        <f aca="false">MAX(0,AJ9-AJ10-Debt!AJ125)</f>
        <v>2.64515656505121</v>
      </c>
      <c r="AK12" s="13" t="n">
        <f aca="false">MAX(0,AK9-AK10-Debt!AK125)</f>
        <v>2.75602062669626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36.2147963766071</v>
      </c>
      <c r="AC13" s="13" t="n">
        <f aca="false">(1-Time!AC37)*(AC9-AC10+AC11-AC12)</f>
        <v>36.8037090789382</v>
      </c>
      <c r="AD13" s="13" t="n">
        <f aca="false">(1-Time!AD37)*(AD9-AD10+AD11-AD12)</f>
        <v>36.0663399929661</v>
      </c>
      <c r="AE13" s="13" t="n">
        <f aca="false">(1-Time!AE37)*(AE9-AE10+AE11-AE12)</f>
        <v>35.1472363198872</v>
      </c>
      <c r="AF13" s="13" t="n">
        <f aca="false">(1-Time!AF37)*(AF9-AF10+AF11-AF12)</f>
        <v>33.6860271504038</v>
      </c>
      <c r="AG13" s="13" t="n">
        <f aca="false">(1-Time!AG37)*(AG9-AG10+AG11-AG12)</f>
        <v>32.6914500540924</v>
      </c>
      <c r="AH13" s="13" t="n">
        <f aca="false">(1-Time!AH37)*(AH9-AH10+AH11-AH12)</f>
        <v>30.837436556463</v>
      </c>
      <c r="AI13" s="13" t="n">
        <f aca="false">(1-Time!AI37)*(AI9-AI10+AI11-AI12)</f>
        <v>29.1152170271438</v>
      </c>
      <c r="AJ13" s="13" t="n">
        <f aca="false">(1-Time!AJ37)*(AJ9-AJ10+AJ11-AJ12)</f>
        <v>26.4700604620926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2305.54628255608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52.4846384492289</v>
      </c>
      <c r="AN7" s="13" t="n">
        <f aca="false">Operations!AN84-Tax!AN27-Operations!AN96-Reserves!AN7+Operations!AN79+Operations!AN97</f>
        <v>42.407025515208</v>
      </c>
      <c r="AO7" s="13" t="n">
        <f aca="false">Operations!AO84-Tax!AO27-Operations!AO96-Reserves!AO7+Operations!AO79+Operations!AO97</f>
        <v>41.5322726830367</v>
      </c>
      <c r="AP7" s="13" t="n">
        <f aca="false">Operations!AP84-Tax!AP27-Operations!AP96-Reserves!AP7+Operations!AP79+Operations!AP97</f>
        <v>41.6216377830038</v>
      </c>
      <c r="AQ7" s="13" t="n">
        <f aca="false">Operations!AQ84-Tax!AQ27-Operations!AQ96-Reserves!AQ7+Operations!AQ79+Operations!AQ97</f>
        <v>41.1745993340732</v>
      </c>
      <c r="AR7" s="13" t="n">
        <f aca="false">Operations!AR84-Tax!AR27-Operations!AR96-Reserves!AR7+Operations!AR79+Operations!AR97</f>
        <v>41.770960831035</v>
      </c>
      <c r="AS7" s="13" t="n">
        <f aca="false">Operations!AS84-Tax!AS27-Operations!AS96-Reserves!AS7+Operations!AS79+Operations!AS97</f>
        <v>41.5056129118261</v>
      </c>
      <c r="AT7" s="13" t="n">
        <f aca="false">Operations!AT84-Tax!AT27-Operations!AT96-Reserves!AT7+Operations!AT79+Operations!AT97</f>
        <v>48.238693031292</v>
      </c>
      <c r="AU7" s="13" t="n">
        <f aca="false">Operations!AU84-Tax!AU27-Operations!AU96-Reserves!AU7+Operations!AU79+Operations!AU97</f>
        <v>43.8015207396234</v>
      </c>
      <c r="AV7" s="13" t="n">
        <f aca="false">Operations!AV84-Tax!AV27-Operations!AV96-Reserves!AV7+Operations!AV79+Operations!AV97</f>
        <v>43.9250195431293</v>
      </c>
      <c r="AW7" s="13" t="n">
        <f aca="false">Operations!AW84-Tax!AW27-Operations!AW96-Reserves!AW7+Operations!AW79+Operations!AW97</f>
        <v>43.5006347551928</v>
      </c>
      <c r="AX7" s="13" t="n">
        <f aca="false">Operations!AX84-Tax!AX27-Operations!AX96-Reserves!AX7+Operations!AX79+Operations!AX97</f>
        <v>44.1754747855326</v>
      </c>
      <c r="AY7" s="13" t="n">
        <f aca="false">Operations!AY84-Tax!AY27-Operations!AY96-Reserves!AY7+Operations!AY79+Operations!AY97</f>
        <v>43.7185522989792</v>
      </c>
      <c r="AZ7" s="13" t="n">
        <f aca="false">Operations!AZ84-Tax!AZ27-Operations!AZ96-Reserves!AZ7+Operations!AZ79+Operations!AZ97</f>
        <v>44.3364424388821</v>
      </c>
      <c r="BA7" s="13" t="n">
        <f aca="false">Operations!BA84-Tax!BA27-Operations!BA96-Reserves!BA7+Operations!BA79+Operations!BA97</f>
        <v>44.0387981074297</v>
      </c>
      <c r="BB7" s="13" t="n">
        <f aca="false">Operations!BB84-Tax!BB27-Operations!BB96-Reserves!BB7+Operations!BB79+Operations!BB97</f>
        <v>46.2859599813229</v>
      </c>
      <c r="BC7" s="13" t="n">
        <f aca="false">Operations!BC84-Tax!BC27-Operations!BC96-Reserves!BC7+Operations!BC79+Operations!BC97</f>
        <v>42.8868801360933</v>
      </c>
      <c r="BD7" s="13" t="n">
        <f aca="false">Operations!BD84-Tax!BD27-Operations!BD96-Reserves!BD7+Operations!BD79+Operations!BD97</f>
        <v>36.7877288372509</v>
      </c>
      <c r="BE7" s="13" t="n">
        <f aca="false">Operations!BE84-Tax!BE27-Operations!BE96-Reserves!BE7+Operations!BE79+Operations!BE97</f>
        <v>36.3547514317289</v>
      </c>
      <c r="BF7" s="13" t="n">
        <f aca="false">Operations!BF84-Tax!BF27-Operations!BF96-Reserves!BF7+Operations!BF79+Operations!BF97</f>
        <v>37.0590535569129</v>
      </c>
      <c r="BG7" s="13" t="n">
        <f aca="false">Operations!BG84-Tax!BG27-Operations!BG96-Reserves!BG7+Operations!BG79+Operations!BG97</f>
        <v>36.5914221765451</v>
      </c>
      <c r="BH7" s="13" t="n">
        <f aca="false">Operations!BH84-Tax!BH27-Operations!BH96-Reserves!BH7+Operations!BH79+Operations!BH97</f>
        <v>37.2325862972185</v>
      </c>
      <c r="BI7" s="13" t="n">
        <f aca="false">Operations!BI84-Tax!BI27-Operations!BI96-Reserves!BI7+Operations!BI79+Operations!BI97</f>
        <v>36.9714857368546</v>
      </c>
      <c r="BJ7" s="13" t="n">
        <f aca="false">Operations!BJ84-Tax!BJ27-Operations!BJ96-Reserves!BJ7+Operations!BJ79+Operations!BJ97</f>
        <v>44.9952970300032</v>
      </c>
      <c r="BK7" s="13" t="n">
        <f aca="false">Operations!BK84-Tax!BK27-Operations!BK96-Reserves!BK7+Operations!BK79+Operations!BK97</f>
        <v>39.7456545221627</v>
      </c>
      <c r="BL7" s="13" t="n">
        <f aca="false">Operations!BL84-Tax!BL27-Operations!BL96-Reserves!BL7+Operations!BL79+Operations!BL97</f>
        <v>40.4938056453036</v>
      </c>
      <c r="BM7" s="13" t="n">
        <f aca="false">Operations!BM84-Tax!BM27-Operations!BM96-Reserves!BM7+Operations!BM79+Operations!BM97</f>
        <v>36.9078074684487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52.4846384492289</v>
      </c>
      <c r="AN9" s="13" t="n">
        <f aca="false">AN7+AN8</f>
        <v>42.407025515208</v>
      </c>
      <c r="AO9" s="13" t="n">
        <f aca="false">AO7+AO8</f>
        <v>41.5322726830367</v>
      </c>
      <c r="AP9" s="13" t="n">
        <f aca="false">AP7+AP8</f>
        <v>41.6216377830038</v>
      </c>
      <c r="AQ9" s="13" t="n">
        <f aca="false">AQ7+AQ8</f>
        <v>41.1745993340732</v>
      </c>
      <c r="AR9" s="13" t="n">
        <f aca="false">AR7+AR8</f>
        <v>41.770960831035</v>
      </c>
      <c r="AS9" s="13" t="n">
        <f aca="false">AS7+AS8</f>
        <v>41.5056129118261</v>
      </c>
      <c r="AT9" s="13" t="n">
        <f aca="false">AT7+AT8</f>
        <v>48.238693031292</v>
      </c>
      <c r="AU9" s="13" t="n">
        <f aca="false">AU7+AU8</f>
        <v>43.8015207396234</v>
      </c>
      <c r="AV9" s="13" t="n">
        <f aca="false">AV7+AV8</f>
        <v>43.9250195431293</v>
      </c>
      <c r="AW9" s="13" t="n">
        <f aca="false">AW7+AW8</f>
        <v>43.5006347551928</v>
      </c>
      <c r="AX9" s="13" t="n">
        <f aca="false">AX7+AX8</f>
        <v>44.1754747855326</v>
      </c>
      <c r="AY9" s="13" t="n">
        <f aca="false">AY7+AY8</f>
        <v>43.7185522989792</v>
      </c>
      <c r="AZ9" s="13" t="n">
        <f aca="false">AZ7+AZ8</f>
        <v>44.3364424388821</v>
      </c>
      <c r="BA9" s="13" t="n">
        <f aca="false">BA7+BA8</f>
        <v>44.0387981074297</v>
      </c>
      <c r="BB9" s="13" t="n">
        <f aca="false">BB7+BB8</f>
        <v>46.2859599813229</v>
      </c>
      <c r="BC9" s="13" t="n">
        <f aca="false">BC7+BC8</f>
        <v>42.8868801360933</v>
      </c>
      <c r="BD9" s="13" t="n">
        <f aca="false">BD7+BD8</f>
        <v>36.7877288372509</v>
      </c>
      <c r="BE9" s="13" t="n">
        <f aca="false">BE7+BE8</f>
        <v>36.3547514317289</v>
      </c>
      <c r="BF9" s="13" t="n">
        <f aca="false">BF7+BF8</f>
        <v>37.0590535569129</v>
      </c>
      <c r="BG9" s="13" t="n">
        <f aca="false">BG7+BG8</f>
        <v>36.5914221765451</v>
      </c>
      <c r="BH9" s="13" t="n">
        <f aca="false">BH7+BH8</f>
        <v>37.2325862972185</v>
      </c>
      <c r="BI9" s="13" t="n">
        <f aca="false">BI7+BI8</f>
        <v>36.9714857368546</v>
      </c>
      <c r="BJ9" s="13" t="n">
        <f aca="false">BJ7+BJ8</f>
        <v>44.9952970300032</v>
      </c>
      <c r="BK9" s="13" t="n">
        <f aca="false">BK7+BK8</f>
        <v>39.7456545221627</v>
      </c>
      <c r="BL9" s="13" t="n">
        <f aca="false">BL7+BL8</f>
        <v>40.4938056453036</v>
      </c>
      <c r="BM9" s="13" t="n">
        <f aca="false">BM7+BM8</f>
        <v>36.9078074684487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851.339041941152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36.3580318550115</v>
      </c>
      <c r="AC10" s="13" t="n">
        <f aca="false">Debt!AC114+Debt!AC110</f>
        <v>35.4289637986026</v>
      </c>
      <c r="AD10" s="13" t="n">
        <f aca="false">Debt!AD114+Debt!AD110</f>
        <v>35.982237264332</v>
      </c>
      <c r="AE10" s="13" t="n">
        <f aca="false">Debt!AE114+Debt!AE110</f>
        <v>35.0201110852842</v>
      </c>
      <c r="AF10" s="13" t="n">
        <f aca="false">Debt!AF114+Debt!AF110</f>
        <v>33.9290442030534</v>
      </c>
      <c r="AG10" s="13" t="n">
        <f aca="false">Debt!AG114+Debt!AG110</f>
        <v>32.2223282158534</v>
      </c>
      <c r="AH10" s="13" t="n">
        <f aca="false">Debt!AH114+Debt!AH110</f>
        <v>30.985331974555</v>
      </c>
      <c r="AI10" s="13" t="n">
        <f aca="false">Debt!AI114+Debt!AI110</f>
        <v>28.6883042881434</v>
      </c>
      <c r="AJ10" s="13" t="n">
        <f aca="false">Debt!AJ114+Debt!AJ110</f>
        <v>26.4356894484697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13.0049557630443</v>
      </c>
      <c r="R13" s="13" t="n">
        <f aca="false">MAX(0,R9-R10)</f>
        <v>13.1686747853812</v>
      </c>
      <c r="S13" s="13" t="n">
        <f aca="false">MAX(0,S9-S10)</f>
        <v>13.0666593761353</v>
      </c>
      <c r="T13" s="13" t="n">
        <f aca="false">MAX(0,T9-T10)</f>
        <v>13.2129262282324</v>
      </c>
      <c r="U13" s="13" t="n">
        <f aca="false">MAX(0,U9-U10)</f>
        <v>13.1497424680305</v>
      </c>
      <c r="V13" s="13" t="n">
        <f aca="false">MAX(0,V9-V10)</f>
        <v>13.400772086624</v>
      </c>
      <c r="W13" s="13" t="n">
        <f aca="false">MAX(0,W9-W10)</f>
        <v>13.3081296023177</v>
      </c>
      <c r="X13" s="13" t="n">
        <f aca="false">MAX(0,X9-X10)</f>
        <v>12.9243782800931</v>
      </c>
      <c r="Y13" s="13" t="n">
        <f aca="false">MAX(0,Y9-Y10)</f>
        <v>12.7996372185932</v>
      </c>
      <c r="Z13" s="13" t="n">
        <f aca="false">MAX(0,Z9-Z10)</f>
        <v>12.9049770916392</v>
      </c>
      <c r="AA13" s="13" t="n">
        <f aca="false">MAX(0,AA9-AA10)</f>
        <v>12.8010005769389</v>
      </c>
      <c r="AB13" s="13" t="n">
        <f aca="false">MAX(0,AB9-AB10)</f>
        <v>13.5983788014695</v>
      </c>
      <c r="AC13" s="13" t="n">
        <f aca="false">MAX(0,AC9-AC10)</f>
        <v>14.3224906440872</v>
      </c>
      <c r="AD13" s="13" t="n">
        <f aca="false">MAX(0,AD9-AD10)</f>
        <v>15.6803054184071</v>
      </c>
      <c r="AE13" s="13" t="n">
        <f aca="false">MAX(0,AE9-AE10)</f>
        <v>16.7257208523825</v>
      </c>
      <c r="AF13" s="13" t="n">
        <f aca="false">MAX(0,AF9-AF10)</f>
        <v>17.9776414497395</v>
      </c>
      <c r="AG13" s="13" t="n">
        <f aca="false">MAX(0,AG9-AG10)</f>
        <v>19.3169509360536</v>
      </c>
      <c r="AH13" s="13" t="n">
        <f aca="false">MAX(0,AH9-AH10)</f>
        <v>21.2234127036283</v>
      </c>
      <c r="AI13" s="13" t="n">
        <f aca="false">MAX(0,AI9-AI10)</f>
        <v>23.1129364623745</v>
      </c>
      <c r="AJ13" s="13" t="n">
        <f aca="false">MAX(0,AJ9-AJ10)</f>
        <v>25.9669088401689</v>
      </c>
      <c r="AK13" s="13" t="n">
        <f aca="false">MAX(0,AK9-AK10)</f>
        <v>29.1336950766846</v>
      </c>
      <c r="AL13" s="13" t="n">
        <f aca="false">MAX(0,AL9-AL10)</f>
        <v>29.5615361760225</v>
      </c>
      <c r="AM13" s="13" t="n">
        <f aca="false">MAX(0,AM9-AM10)</f>
        <v>28.9153465959509</v>
      </c>
      <c r="AN13" s="13" t="n">
        <f aca="false">MAX(0,AN9-AN10)</f>
        <v>23.2750082603438</v>
      </c>
      <c r="AO13" s="13" t="n">
        <f aca="false">MAX(0,AO9-AO10)</f>
        <v>22.6263649354285</v>
      </c>
      <c r="AP13" s="13" t="n">
        <f aca="false">MAX(0,AP9-AP10)</f>
        <v>41.6216377830038</v>
      </c>
      <c r="AQ13" s="13" t="n">
        <f aca="false">MAX(0,AQ9-AQ10)</f>
        <v>41.1745993340732</v>
      </c>
      <c r="AR13" s="13" t="n">
        <f aca="false">MAX(0,AR9-AR10)</f>
        <v>41.770960831035</v>
      </c>
      <c r="AS13" s="13" t="n">
        <f aca="false">MAX(0,AS9-AS10)</f>
        <v>41.5056129118261</v>
      </c>
      <c r="AT13" s="13" t="n">
        <f aca="false">MAX(0,AT9-AT10)</f>
        <v>48.238693031292</v>
      </c>
      <c r="AU13" s="13" t="n">
        <f aca="false">MAX(0,AU9-AU10)</f>
        <v>43.8015207396234</v>
      </c>
      <c r="AV13" s="13" t="n">
        <f aca="false">MAX(0,AV9-AV10)</f>
        <v>43.9250195431293</v>
      </c>
      <c r="AW13" s="13" t="n">
        <f aca="false">MAX(0,AW9-AW10)</f>
        <v>43.5006347551928</v>
      </c>
      <c r="AX13" s="13" t="n">
        <f aca="false">MAX(0,AX9-AX10)</f>
        <v>44.1754747855326</v>
      </c>
      <c r="AY13" s="13" t="n">
        <f aca="false">MAX(0,AY9-AY10)</f>
        <v>43.7185522989792</v>
      </c>
      <c r="AZ13" s="13" t="n">
        <f aca="false">MAX(0,AZ9-AZ10)</f>
        <v>44.3364424388821</v>
      </c>
      <c r="BA13" s="13" t="n">
        <f aca="false">MAX(0,BA9-BA10)</f>
        <v>44.0387981074297</v>
      </c>
      <c r="BB13" s="13" t="n">
        <f aca="false">MAX(0,BB9-BB10)</f>
        <v>46.2859599813229</v>
      </c>
      <c r="BC13" s="13" t="n">
        <f aca="false">MAX(0,BC9-BC10)</f>
        <v>42.8868801360933</v>
      </c>
      <c r="BD13" s="13" t="n">
        <f aca="false">MAX(0,BD9-BD10)</f>
        <v>36.7877288372509</v>
      </c>
      <c r="BE13" s="13" t="n">
        <f aca="false">MAX(0,BE9-BE10)</f>
        <v>36.3547514317289</v>
      </c>
      <c r="BF13" s="13" t="n">
        <f aca="false">MAX(0,BF9-BF10)</f>
        <v>37.0590535569129</v>
      </c>
      <c r="BG13" s="13" t="n">
        <f aca="false">MAX(0,BG9-BG10)</f>
        <v>36.5914221765451</v>
      </c>
      <c r="BH13" s="13" t="n">
        <f aca="false">MAX(0,BH9-BH10)</f>
        <v>37.2325862972185</v>
      </c>
      <c r="BI13" s="13" t="n">
        <f aca="false">MAX(0,BI9-BI10)</f>
        <v>36.9714857368546</v>
      </c>
      <c r="BJ13" s="13" t="n">
        <f aca="false">MAX(0,BJ9-BJ10)</f>
        <v>44.9952970300032</v>
      </c>
      <c r="BK13" s="13" t="n">
        <f aca="false">MAX(0,BK9-BK10)</f>
        <v>39.7456545221627</v>
      </c>
      <c r="BL13" s="13" t="n">
        <f aca="false">MAX(0,BL9-BL10)</f>
        <v>40.4938056453036</v>
      </c>
      <c r="BM13" s="13" t="n">
        <f aca="false">MAX(0,BM9-BM10)</f>
        <v>36.9078074684487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14.997189587262</v>
      </c>
      <c r="Q14" s="13" t="n">
        <f aca="false">Q13-Reserves!Q11+Reserves!Q12</f>
        <v>12.5371871305121</v>
      </c>
      <c r="R14" s="13" t="n">
        <f aca="false">R13-Reserves!R11+Reserves!R12</f>
        <v>13.4601473805023</v>
      </c>
      <c r="S14" s="13" t="n">
        <f aca="false">S13-Reserves!S11+Reserves!S12</f>
        <v>12.6487540869445</v>
      </c>
      <c r="T14" s="13" t="n">
        <f aca="false">T13-Reserves!T11+Reserves!T12</f>
        <v>13.3934512551275</v>
      </c>
      <c r="U14" s="13" t="n">
        <f aca="false">U13-Reserves!U11+Reserves!U12</f>
        <v>12.4325149877249</v>
      </c>
      <c r="V14" s="13" t="n">
        <f aca="false">V13-Reserves!V11+Reserves!V12</f>
        <v>13.6654648959126</v>
      </c>
      <c r="W14" s="13" t="n">
        <f aca="false">W13-Reserves!W11+Reserves!W12</f>
        <v>14.404561953598</v>
      </c>
      <c r="X14" s="13" t="n">
        <f aca="false">X13-Reserves!X11+Reserves!X12</f>
        <v>13.2807813101373</v>
      </c>
      <c r="Y14" s="13" t="n">
        <f aca="false">Y13-Reserves!Y11+Reserves!Y12</f>
        <v>12.4986661546243</v>
      </c>
      <c r="Z14" s="13" t="n">
        <f aca="false">Z13-Reserves!Z11+Reserves!Z12</f>
        <v>13.2020528452989</v>
      </c>
      <c r="AA14" s="13" t="n">
        <f aca="false">AA13-Reserves!AA11+Reserves!AA12</f>
        <v>12.3705392998171</v>
      </c>
      <c r="AB14" s="13" t="n">
        <f aca="false">AB13-Reserves!AB11+Reserves!AB12</f>
        <v>14.3883310568387</v>
      </c>
      <c r="AC14" s="13" t="n">
        <f aca="false">AC13-Reserves!AC11+Reserves!AC12</f>
        <v>13.7335779417561</v>
      </c>
      <c r="AD14" s="13" t="n">
        <f aca="false">AD13-Reserves!AD11+Reserves!AD12</f>
        <v>16.4176745043792</v>
      </c>
      <c r="AE14" s="13" t="n">
        <f aca="false">AE13-Reserves!AE11+Reserves!AE12</f>
        <v>17.6448245254615</v>
      </c>
      <c r="AF14" s="13" t="n">
        <f aca="false">AF13-Reserves!AF11+Reserves!AF12</f>
        <v>19.4388506192228</v>
      </c>
      <c r="AG14" s="13" t="n">
        <f aca="false">AG13-Reserves!AG11+Reserves!AG12</f>
        <v>20.3115280323651</v>
      </c>
      <c r="AH14" s="13" t="n">
        <f aca="false">AH13-Reserves!AH11+Reserves!AH12</f>
        <v>23.0774262012577</v>
      </c>
      <c r="AI14" s="13" t="n">
        <f aca="false">AI13-Reserves!AI11+Reserves!AI12</f>
        <v>24.8351559916937</v>
      </c>
      <c r="AJ14" s="13" t="n">
        <f aca="false">AJ13-Reserves!AJ11+Reserves!AJ12</f>
        <v>28.6120654052201</v>
      </c>
      <c r="AK14" s="13" t="n">
        <f aca="false">AK13-Reserves!AK11+Reserves!AK12</f>
        <v>31.8897157033808</v>
      </c>
      <c r="AL14" s="13" t="n">
        <f aca="false">AL13-Reserves!AL11+Reserves!AL12</f>
        <v>29.7062841581408</v>
      </c>
      <c r="AM14" s="13" t="n">
        <f aca="false">AM13-Reserves!AM11+Reserves!AM12</f>
        <v>33.3526211943647</v>
      </c>
      <c r="AN14" s="13" t="n">
        <f aca="false">AN13-Reserves!AN11+Reserves!AN12</f>
        <v>23.5011177675998</v>
      </c>
      <c r="AO14" s="13" t="n">
        <f aca="false">AO13-Reserves!AO11+Reserves!AO12</f>
        <v>41.5322726830367</v>
      </c>
      <c r="AP14" s="13" t="n">
        <f aca="false">AP13-Reserves!AP11+Reserves!AP12</f>
        <v>41.6216377830038</v>
      </c>
      <c r="AQ14" s="13" t="n">
        <f aca="false">AQ13-Reserves!AQ11+Reserves!AQ12</f>
        <v>41.1745993340732</v>
      </c>
      <c r="AR14" s="13" t="n">
        <f aca="false">AR13-Reserves!AR11+Reserves!AR12</f>
        <v>41.770960831035</v>
      </c>
      <c r="AS14" s="13" t="n">
        <f aca="false">AS13-Reserves!AS11+Reserves!AS12</f>
        <v>41.5056129118261</v>
      </c>
      <c r="AT14" s="13" t="n">
        <f aca="false">AT13-Reserves!AT11+Reserves!AT12</f>
        <v>48.238693031292</v>
      </c>
      <c r="AU14" s="13" t="n">
        <f aca="false">AU13-Reserves!AU11+Reserves!AU12</f>
        <v>43.8015207396234</v>
      </c>
      <c r="AV14" s="13" t="n">
        <f aca="false">AV13-Reserves!AV11+Reserves!AV12</f>
        <v>43.9250195431293</v>
      </c>
      <c r="AW14" s="13" t="n">
        <f aca="false">AW13-Reserves!AW11+Reserves!AW12</f>
        <v>43.5006347551928</v>
      </c>
      <c r="AX14" s="13" t="n">
        <f aca="false">AX13-Reserves!AX11+Reserves!AX12</f>
        <v>44.1754747855326</v>
      </c>
      <c r="AY14" s="13" t="n">
        <f aca="false">AY13-Reserves!AY11+Reserves!AY12</f>
        <v>43.7185522989792</v>
      </c>
      <c r="AZ14" s="13" t="n">
        <f aca="false">AZ13-Reserves!AZ11+Reserves!AZ12</f>
        <v>44.3364424388821</v>
      </c>
      <c r="BA14" s="13" t="n">
        <f aca="false">BA13-Reserves!BA11+Reserves!BA12</f>
        <v>44.0387981074297</v>
      </c>
      <c r="BB14" s="13" t="n">
        <f aca="false">BB13-Reserves!BB11+Reserves!BB12</f>
        <v>46.2859599813229</v>
      </c>
      <c r="BC14" s="13" t="n">
        <f aca="false">BC13-Reserves!BC11+Reserves!BC12</f>
        <v>42.8868801360933</v>
      </c>
      <c r="BD14" s="13" t="n">
        <f aca="false">BD13-Reserves!BD11+Reserves!BD12</f>
        <v>36.7877288372509</v>
      </c>
      <c r="BE14" s="13" t="n">
        <f aca="false">BE13-Reserves!BE11+Reserves!BE12</f>
        <v>36.3547514317289</v>
      </c>
      <c r="BF14" s="13" t="n">
        <f aca="false">BF13-Reserves!BF11+Reserves!BF12</f>
        <v>37.0590535569129</v>
      </c>
      <c r="BG14" s="13" t="n">
        <f aca="false">BG13-Reserves!BG11+Reserves!BG12</f>
        <v>36.5914221765451</v>
      </c>
      <c r="BH14" s="13" t="n">
        <f aca="false">BH13-Reserves!BH11+Reserves!BH12</f>
        <v>37.2325862972185</v>
      </c>
      <c r="BI14" s="13" t="n">
        <f aca="false">BI13-Reserves!BI11+Reserves!BI12</f>
        <v>36.9714857368546</v>
      </c>
      <c r="BJ14" s="13" t="n">
        <f aca="false">BJ13-Reserves!BJ11+Reserves!BJ12</f>
        <v>44.9952970300032</v>
      </c>
      <c r="BK14" s="13" t="n">
        <f aca="false">BK13-Reserves!BK11+Reserves!BK12</f>
        <v>39.7456545221627</v>
      </c>
      <c r="BL14" s="13" t="n">
        <f aca="false">BL13-Reserves!BL11+Reserves!BL12</f>
        <v>40.4938056453036</v>
      </c>
      <c r="BM14" s="13" t="n">
        <f aca="false">BM13-Reserves!BM11+Reserves!BM12</f>
        <v>36.9078074684487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14.997189587262</v>
      </c>
      <c r="Q15" s="13" t="n">
        <f aca="false">Q14-Reserves!Q14+Reserves!Q15</f>
        <v>12.5371871305121</v>
      </c>
      <c r="R15" s="13" t="n">
        <f aca="false">R14-Reserves!R14+Reserves!R15</f>
        <v>13.4601473805023</v>
      </c>
      <c r="S15" s="13" t="n">
        <f aca="false">S14-Reserves!S14+Reserves!S15</f>
        <v>12.6487540869445</v>
      </c>
      <c r="T15" s="13" t="n">
        <f aca="false">T14-Reserves!T14+Reserves!T15</f>
        <v>13.3934512551275</v>
      </c>
      <c r="U15" s="13" t="n">
        <f aca="false">U14-Reserves!U14+Reserves!U15</f>
        <v>12.4325149877249</v>
      </c>
      <c r="V15" s="13" t="n">
        <f aca="false">V14-Reserves!V14+Reserves!V15</f>
        <v>13.6654648959126</v>
      </c>
      <c r="W15" s="13" t="n">
        <f aca="false">W14-Reserves!W14+Reserves!W15</f>
        <v>14.404561953598</v>
      </c>
      <c r="X15" s="13" t="n">
        <f aca="false">X14-Reserves!X14+Reserves!X15</f>
        <v>13.2807813101373</v>
      </c>
      <c r="Y15" s="13" t="n">
        <f aca="false">Y14-Reserves!Y14+Reserves!Y15</f>
        <v>12.4986661546243</v>
      </c>
      <c r="Z15" s="13" t="n">
        <f aca="false">Z14-Reserves!Z14+Reserves!Z15</f>
        <v>13.2020528452989</v>
      </c>
      <c r="AA15" s="13" t="n">
        <f aca="false">AA14-Reserves!AA14+Reserves!AA15</f>
        <v>12.3705392998171</v>
      </c>
      <c r="AB15" s="13" t="n">
        <f aca="false">AB14-Reserves!AB14+Reserves!AB15</f>
        <v>14.3883310568387</v>
      </c>
      <c r="AC15" s="13" t="n">
        <f aca="false">AC14-Reserves!AC14+Reserves!AC15</f>
        <v>13.7335779417561</v>
      </c>
      <c r="AD15" s="13" t="n">
        <f aca="false">AD14-Reserves!AD14+Reserves!AD15</f>
        <v>16.4176745043792</v>
      </c>
      <c r="AE15" s="13" t="n">
        <f aca="false">AE14-Reserves!AE14+Reserves!AE15</f>
        <v>17.6448245254615</v>
      </c>
      <c r="AF15" s="13" t="n">
        <f aca="false">AF14-Reserves!AF14+Reserves!AF15</f>
        <v>19.4388506192228</v>
      </c>
      <c r="AG15" s="13" t="n">
        <f aca="false">AG14-Reserves!AG14+Reserves!AG15</f>
        <v>20.3115280323651</v>
      </c>
      <c r="AH15" s="13" t="n">
        <f aca="false">AH14-Reserves!AH14+Reserves!AH15</f>
        <v>23.0774262012577</v>
      </c>
      <c r="AI15" s="13" t="n">
        <f aca="false">AI14-Reserves!AI14+Reserves!AI15</f>
        <v>24.8351559916937</v>
      </c>
      <c r="AJ15" s="13" t="n">
        <f aca="false">AJ14-Reserves!AJ14+Reserves!AJ15</f>
        <v>28.6120654052201</v>
      </c>
      <c r="AK15" s="13" t="n">
        <f aca="false">AK14-Reserves!AK14+Reserves!AK15</f>
        <v>31.8897157033808</v>
      </c>
      <c r="AL15" s="13" t="n">
        <f aca="false">AL14-Reserves!AL14+Reserves!AL15</f>
        <v>29.7062841581408</v>
      </c>
      <c r="AM15" s="13" t="n">
        <f aca="false">AM14-Reserves!AM14+Reserves!AM15</f>
        <v>33.3526211943647</v>
      </c>
      <c r="AN15" s="13" t="n">
        <f aca="false">AN14-Reserves!AN14+Reserves!AN15</f>
        <v>23.5011177675998</v>
      </c>
      <c r="AO15" s="13" t="n">
        <f aca="false">AO14-Reserves!AO14+Reserves!AO15</f>
        <v>41.5322726830367</v>
      </c>
      <c r="AP15" s="13" t="n">
        <f aca="false">AP14-Reserves!AP14+Reserves!AP15</f>
        <v>41.6216377830038</v>
      </c>
      <c r="AQ15" s="13" t="n">
        <f aca="false">AQ14-Reserves!AQ14+Reserves!AQ15</f>
        <v>41.1745993340732</v>
      </c>
      <c r="AR15" s="13" t="n">
        <f aca="false">AR14-Reserves!AR14+Reserves!AR15</f>
        <v>41.770960831035</v>
      </c>
      <c r="AS15" s="13" t="n">
        <f aca="false">AS14-Reserves!AS14+Reserves!AS15</f>
        <v>41.5056129118261</v>
      </c>
      <c r="AT15" s="13" t="n">
        <f aca="false">AT14-Reserves!AT14+Reserves!AT15</f>
        <v>48.238693031292</v>
      </c>
      <c r="AU15" s="13" t="n">
        <f aca="false">AU14-Reserves!AU14+Reserves!AU15</f>
        <v>43.8015207396234</v>
      </c>
      <c r="AV15" s="13" t="n">
        <f aca="false">AV14-Reserves!AV14+Reserves!AV15</f>
        <v>43.9250195431293</v>
      </c>
      <c r="AW15" s="13" t="n">
        <f aca="false">AW14-Reserves!AW14+Reserves!AW15</f>
        <v>43.5006347551928</v>
      </c>
      <c r="AX15" s="13" t="n">
        <f aca="false">AX14-Reserves!AX14+Reserves!AX15</f>
        <v>44.1754747855326</v>
      </c>
      <c r="AY15" s="13" t="n">
        <f aca="false">AY14-Reserves!AY14+Reserves!AY15</f>
        <v>43.7185522989792</v>
      </c>
      <c r="AZ15" s="13" t="n">
        <f aca="false">AZ14-Reserves!AZ14+Reserves!AZ15</f>
        <v>44.3364424388821</v>
      </c>
      <c r="BA15" s="13" t="n">
        <f aca="false">BA14-Reserves!BA14+Reserves!BA15</f>
        <v>43.543829720821</v>
      </c>
      <c r="BB15" s="13" t="n">
        <f aca="false">BB14-Reserves!BB14+Reserves!BB15</f>
        <v>44.7848097266784</v>
      </c>
      <c r="BC15" s="13" t="n">
        <f aca="false">BC14-Reserves!BC14+Reserves!BC15</f>
        <v>41.3693070627511</v>
      </c>
      <c r="BD15" s="13" t="n">
        <f aca="false">BD14-Reserves!BD14+Reserves!BD15</f>
        <v>35.2535532770043</v>
      </c>
      <c r="BE15" s="13" t="n">
        <f aca="false">BE14-Reserves!BE14+Reserves!BE15</f>
        <v>34.8037917507731</v>
      </c>
      <c r="BF15" s="13" t="n">
        <f aca="false">BF14-Reserves!BF14+Reserves!BF15</f>
        <v>35.4911261343409</v>
      </c>
      <c r="BG15" s="13" t="n">
        <f aca="false">BG14-Reserves!BG14+Reserves!BG15</f>
        <v>35.0063413826083</v>
      </c>
      <c r="BH15" s="13" t="n">
        <f aca="false">BH14-Reserves!BH14+Reserves!BH15</f>
        <v>35.6301644713499</v>
      </c>
      <c r="BI15" s="13" t="n">
        <f aca="false">BI14-Reserves!BI14+Reserves!BI15</f>
        <v>35.3515331654512</v>
      </c>
      <c r="BJ15" s="13" t="n">
        <f aca="false">BJ14-Reserves!BJ14+Reserves!BJ15</f>
        <v>43.3576219239654</v>
      </c>
      <c r="BK15" s="13" t="n">
        <f aca="false">BK14-Reserves!BK14+Reserves!BK15</f>
        <v>38.0900629941884</v>
      </c>
      <c r="BL15" s="13" t="n">
        <f aca="false">BL14-Reserves!BL14+Reserves!BL15</f>
        <v>38.8201016869331</v>
      </c>
      <c r="BM15" s="13" t="n">
        <f aca="false">BM14-Reserves!BM14+Reserves!BM15</f>
        <v>54.8489876304097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1.35000000012097</v>
      </c>
      <c r="Q17" s="3" t="n">
        <f aca="false">IF(Debt!Q114&gt;Inputs!$F$253,Q7/Debt!Q114,0)</f>
        <v>1.35000000010074</v>
      </c>
      <c r="R17" s="3" t="n">
        <f aca="false">IF(Debt!R114&gt;Inputs!$F$253,R7/Debt!R114,0)</f>
        <v>1.35000000012476</v>
      </c>
      <c r="S17" s="3" t="n">
        <f aca="false">IF(Debt!S114&gt;Inputs!$F$253,S7/Debt!S114,0)</f>
        <v>1.35000000010019</v>
      </c>
      <c r="T17" s="3" t="n">
        <f aca="false">IF(Debt!T114&gt;Inputs!$F$253,T7/Debt!T114,0)</f>
        <v>1.3500000001224</v>
      </c>
      <c r="U17" s="3" t="n">
        <f aca="false">IF(Debt!U114&gt;Inputs!$F$253,U7/Debt!U114,0)</f>
        <v>1.350000000102</v>
      </c>
      <c r="V17" s="3" t="n">
        <f aca="false">IF(Debt!V114&gt;Inputs!$F$253,V7/Debt!V114,0)</f>
        <v>1.35000000011279</v>
      </c>
      <c r="W17" s="3" t="n">
        <f aca="false">IF(Debt!W114&gt;Inputs!$F$253,W7/Debt!W114,0)</f>
        <v>1.35000000008582</v>
      </c>
      <c r="X17" s="3" t="n">
        <f aca="false">IF(Debt!X114&gt;Inputs!$F$253,X7/Debt!X114,0)</f>
        <v>1.35000000010797</v>
      </c>
      <c r="Y17" s="3" t="n">
        <f aca="false">IF(Debt!Y114&gt;Inputs!$F$253,Y7/Debt!Y114,0)</f>
        <v>1.3500000000821</v>
      </c>
      <c r="Z17" s="3" t="n">
        <f aca="false">IF(Debt!Z114&gt;Inputs!$F$253,Z7/Debt!Z114,0)</f>
        <v>1.35000000009924</v>
      </c>
      <c r="AA17" s="3" t="n">
        <f aca="false">IF(Debt!AA114&gt;Inputs!$F$253,AA7/Debt!AA114,0)</f>
        <v>1.35000000007491</v>
      </c>
      <c r="AB17" s="3" t="n">
        <f aca="false">IF(Debt!AB114&gt;Inputs!$F$253,AB7/Debt!AB114,0)</f>
        <v>1.3740130614247</v>
      </c>
      <c r="AC17" s="3" t="n">
        <f aca="false">IF(Debt!AC114&gt;Inputs!$F$253,AC7/Debt!AC114,0)</f>
        <v>1.40425937166845</v>
      </c>
      <c r="AD17" s="3" t="n">
        <f aca="false">IF(Debt!AD114&gt;Inputs!$F$253,AD7/Debt!AD114,0)</f>
        <v>1.4357790568501</v>
      </c>
      <c r="AE17" s="3" t="n">
        <f aca="false">IF(Debt!AE114&gt;Inputs!$F$253,AE7/Debt!AE114,0)</f>
        <v>1.47760330661575</v>
      </c>
      <c r="AF17" s="3" t="n">
        <f aca="false">IF(Debt!AF114&gt;Inputs!$F$253,AF7/Debt!AF114,0)</f>
        <v>1.52985994365623</v>
      </c>
      <c r="AG17" s="3" t="n">
        <f aca="false">IF(Debt!AG114&gt;Inputs!$F$253,AG7/Debt!AG114,0)</f>
        <v>1.59948960877848</v>
      </c>
      <c r="AH17" s="3" t="n">
        <f aca="false">IF(Debt!AH114&gt;Inputs!$F$253,AH7/Debt!AH114,0)</f>
        <v>1.6849503087802</v>
      </c>
      <c r="AI17" s="3" t="n">
        <f aca="false">IF(Debt!AI114&gt;Inputs!$F$253,AI7/Debt!AI114,0)</f>
        <v>1.8056571148378</v>
      </c>
      <c r="AJ17" s="3" t="n">
        <f aca="false">IF(Debt!AJ114&gt;Inputs!$F$253,AJ7/Debt!AJ114,0)</f>
        <v>1.98226713136366</v>
      </c>
      <c r="AK17" s="3" t="n">
        <f aca="false">IF(Debt!AK114&gt;Inputs!$F$253,AK7/Debt!AK114,0)</f>
        <v>2.26498633044128</v>
      </c>
      <c r="AL17" s="3" t="n">
        <f aca="false">IF(Debt!AL114&gt;Inputs!$F$253,AL7/Debt!AL114,0)</f>
        <v>2.24658372766575</v>
      </c>
      <c r="AM17" s="3" t="n">
        <f aca="false">IF(Debt!AM114&gt;Inputs!$F$253,AM7/Debt!AM114,0)</f>
        <v>2.22682288360434</v>
      </c>
      <c r="AN17" s="3" t="n">
        <f aca="false">IF(Debt!AN114&gt;Inputs!$F$253,AN7/Debt!AN114,0)</f>
        <v>2.21654752608099</v>
      </c>
      <c r="AO17" s="3" t="n">
        <f aca="false">IF(Debt!AO114&gt;Inputs!$F$253,AO7/Debt!AO114,0)</f>
        <v>2.19678807479059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1.35000000012097</v>
      </c>
      <c r="Q18" s="3" t="n">
        <f aca="false">IF(Debt!Q114&gt;Inputs!$F$253,IF(Debt!P114&gt;Inputs!$F$253,(Q7+P7)/(Debt!Q114+Debt!P114),Q17),0)</f>
        <v>1.35000000011087</v>
      </c>
      <c r="R18" s="3" t="n">
        <f aca="false">IF(Debt!R114&gt;Inputs!$F$253,IF(Debt!Q114&gt;Inputs!$F$253,(R7+Q7)/(Debt!R114+Debt!Q114),R17),0)</f>
        <v>1.35000000011283</v>
      </c>
      <c r="S18" s="3" t="n">
        <f aca="false">IF(Debt!S114&gt;Inputs!$F$253,IF(Debt!R114&gt;Inputs!$F$253,(S7+R7)/(Debt!S114+Debt!R114),S17),0)</f>
        <v>1.35000000011252</v>
      </c>
      <c r="T18" s="3" t="n">
        <f aca="false">IF(Debt!T114&gt;Inputs!$F$253,IF(Debt!S114&gt;Inputs!$F$253,(T7+S7)/(Debt!T114+Debt!S114),T17),0)</f>
        <v>1.35000000011136</v>
      </c>
      <c r="U18" s="3" t="n">
        <f aca="false">IF(Debt!U114&gt;Inputs!$F$253,IF(Debt!T114&gt;Inputs!$F$253,(U7+T7)/(Debt!U114+Debt!T114),U17),0)</f>
        <v>1.35000000011222</v>
      </c>
      <c r="V18" s="3" t="n">
        <f aca="false">IF(Debt!V114&gt;Inputs!$F$253,IF(Debt!U114&gt;Inputs!$F$253,(V7+U7)/(Debt!V114+Debt!U114),V17),0)</f>
        <v>1.35000000010744</v>
      </c>
      <c r="W18" s="3" t="n">
        <f aca="false">IF(Debt!W114&gt;Inputs!$F$253,IF(Debt!V114&gt;Inputs!$F$253,(W7+V7)/(Debt!W114+Debt!V114),W17),0)</f>
        <v>1.35000000009935</v>
      </c>
      <c r="X18" s="3" t="n">
        <f aca="false">IF(Debt!X114&gt;Inputs!$F$253,IF(Debt!W114&gt;Inputs!$F$253,(X7+W7)/(Debt!X114+Debt!W114),X17),0)</f>
        <v>1.35000000009673</v>
      </c>
      <c r="Y18" s="3" t="n">
        <f aca="false">IF(Debt!Y114&gt;Inputs!$F$253,IF(Debt!X114&gt;Inputs!$F$253,(Y7+X7)/(Debt!Y114+Debt!X114),Y17),0)</f>
        <v>1.3500000000951</v>
      </c>
      <c r="Z18" s="3" t="n">
        <f aca="false">IF(Debt!Z114&gt;Inputs!$F$253,IF(Debt!Y114&gt;Inputs!$F$253,(Z7+Y7)/(Debt!Z114+Debt!Y114),Z17),0)</f>
        <v>1.35000000009071</v>
      </c>
      <c r="AA18" s="3" t="n">
        <f aca="false">IF(Debt!AA114&gt;Inputs!$F$253,IF(Debt!Z114&gt;Inputs!$F$253,(AA7+Z7)/(Debt!AA114+Debt!Z114),AA17),0)</f>
        <v>1.35000000008713</v>
      </c>
      <c r="AB18" s="3" t="n">
        <f aca="false">IF(Debt!AB114&gt;Inputs!$F$253,IF(Debt!AA114&gt;Inputs!$F$253,(AB7+AA7)/(Debt!AB114+Debt!AA114),AB17),0)</f>
        <v>1.36197092954693</v>
      </c>
      <c r="AC18" s="3" t="n">
        <f aca="false">IF(Debt!AC114&gt;Inputs!$F$253,IF(Debt!AB114&gt;Inputs!$F$253,(AC7+AB7)/(Debt!AC114+Debt!AB114),AC17),0)</f>
        <v>1.38894049251316</v>
      </c>
      <c r="AD18" s="3" t="n">
        <f aca="false">IF(Debt!AD114&gt;Inputs!$F$253,IF(Debt!AC114&gt;Inputs!$F$253,(AD7+AC7)/(Debt!AD114+Debt!AC114),AD17),0)</f>
        <v>1.42014131699106</v>
      </c>
      <c r="AE18" s="3" t="n">
        <f aca="false">IF(Debt!AE114&gt;Inputs!$F$253,IF(Debt!AD114&gt;Inputs!$F$253,(AE7+AD7)/(Debt!AE114+Debt!AD114),AE17),0)</f>
        <v>1.45640780937585</v>
      </c>
      <c r="AF18" s="3" t="n">
        <f aca="false">IF(Debt!AF114&gt;Inputs!$F$253,IF(Debt!AE114&gt;Inputs!$F$253,(AF7+AE7)/(Debt!AF114+Debt!AE114),AF17),0)</f>
        <v>1.50331816476934</v>
      </c>
      <c r="AG18" s="3" t="n">
        <f aca="false">IF(Debt!AG114&gt;Inputs!$F$253,IF(Debt!AF114&gt;Inputs!$F$253,(AG7+AF7)/(Debt!AG114+Debt!AF114),AG17),0)</f>
        <v>1.56377654796976</v>
      </c>
      <c r="AH18" s="3" t="n">
        <f aca="false">IF(Debt!AH114&gt;Inputs!$F$253,IF(Debt!AG114&gt;Inputs!$F$253,(AH7+AG7)/(Debt!AH114+Debt!AG114),AH17),0)</f>
        <v>1.64138371073312</v>
      </c>
      <c r="AI18" s="3" t="n">
        <f aca="false">IF(Debt!AI114&gt;Inputs!$F$253,IF(Debt!AH114&gt;Inputs!$F$253,(AI7+AH7)/(Debt!AI114+Debt!AH114),AI17),0)</f>
        <v>1.74298051774192</v>
      </c>
      <c r="AJ18" s="3" t="n">
        <f aca="false">IF(Debt!AJ114&gt;Inputs!$F$253,IF(Debt!AI114&gt;Inputs!$F$253,(AJ7+AI7)/(Debt!AJ114+Debt!AI114),AJ17),0)</f>
        <v>1.8903535824536</v>
      </c>
      <c r="AK18" s="3" t="n">
        <f aca="false">IF(Debt!AK114&gt;Inputs!$F$253,IF(Debt!AJ114&gt;Inputs!$F$253,(AK7+AJ7)/(Debt!AK114+Debt!AJ114),AK17),0)</f>
        <v>2.11389674817262</v>
      </c>
      <c r="AL18" s="3" t="n">
        <f aca="false">IF(Debt!AL114&gt;Inputs!$F$253,IF(Debt!AK114&gt;Inputs!$F$253,(AL7+AK7)/(Debt!AL114+Debt!AK114),AL17),0)</f>
        <v>2.25565054699781</v>
      </c>
      <c r="AM18" s="3" t="n">
        <f aca="false">IF(Debt!AM114&gt;Inputs!$F$253,IF(Debt!AL114&gt;Inputs!$F$253,(AM7+AL7)/(Debt!AM114+Debt!AL114),AM17),0)</f>
        <v>2.23673355247046</v>
      </c>
      <c r="AN18" s="3" t="n">
        <f aca="false">IF(Debt!AN114&gt;Inputs!$F$253,IF(Debt!AM114&gt;Inputs!$F$253,(AN7+AM7)/(Debt!AN114+Debt!AM114),AN17),0)</f>
        <v>2.22221908288856</v>
      </c>
      <c r="AO18" s="3" t="n">
        <f aca="false">IF(Debt!AO114&gt;Inputs!$F$253,IF(Debt!AN114&gt;Inputs!$F$253,(AO7+AN7)/(Debt!AO114+Debt!AN114),AO17),0)</f>
        <v>2.20672652866288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94.6658232061352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6.18526964990857</v>
      </c>
      <c r="AB29" s="13" t="n">
        <f aca="false">IF(AND(AB24=1,Time!AB52=1,Inputs!$F$52=1),MIN(Inputs!$F$111*AB15,Debt!AB73),0)</f>
        <v>7.19416552841933</v>
      </c>
      <c r="AC29" s="13" t="n">
        <f aca="false">IF(AND(AC24=1,Time!AC52=1,Inputs!$F$52=1),MIN(Inputs!$F$111*AC15,Debt!AC73),0)</f>
        <v>6.86678897087803</v>
      </c>
      <c r="AD29" s="13" t="n">
        <f aca="false">IF(AND(AD24=1,Time!AD52=1,Inputs!$F$52=1),MIN(Inputs!$F$111*AD15,Debt!AD73),0)</f>
        <v>8.2088372521896</v>
      </c>
      <c r="AE29" s="13" t="n">
        <f aca="false">IF(AND(AE24=1,Time!AE52=1,Inputs!$F$52=1),MIN(Inputs!$F$111*AE15,Debt!AE73),0)</f>
        <v>8.82241226273076</v>
      </c>
      <c r="AF29" s="13" t="n">
        <f aca="false">IF(AND(AF24=1,Time!AF52=1,Inputs!$F$52=1),MIN(Inputs!$F$111*AF15,Debt!AF73),0)</f>
        <v>9.71942530961141</v>
      </c>
      <c r="AG29" s="13" t="n">
        <f aca="false">IF(AND(AG24=1,Time!AG52=1,Inputs!$F$52=1),MIN(Inputs!$F$111*AG15,Debt!AG73),0)</f>
        <v>10.1557640161825</v>
      </c>
      <c r="AH29" s="13" t="n">
        <f aca="false">IF(AND(AH24=1,Time!AH52=1,Inputs!$F$52=1),MIN(Inputs!$F$111*AH15,Debt!AH73),0)</f>
        <v>11.5387131006289</v>
      </c>
      <c r="AI29" s="13" t="n">
        <f aca="false">IF(AND(AI24=1,Time!AI52=1,Inputs!$F$52=1),MIN(Inputs!$F$111*AI15,Debt!AI73),0)</f>
        <v>12.4175779958468</v>
      </c>
      <c r="AJ29" s="13" t="n">
        <f aca="false">IF(AND(AJ24=1,Time!AJ52=1,Inputs!$F$52=1),MIN(Inputs!$F$111*AJ15,Debt!AJ73),0)</f>
        <v>13.5568691197393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1396.78731284589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14.997189587262</v>
      </c>
      <c r="Q31" s="13" t="n">
        <f aca="false">IF(Q24=1,Q15-Q29,0)</f>
        <v>12.5371871305121</v>
      </c>
      <c r="R31" s="13" t="n">
        <f aca="false">IF(R24=1,R15-R29,0)</f>
        <v>13.4601473805023</v>
      </c>
      <c r="S31" s="13" t="n">
        <f aca="false">IF(S24=1,S15-S29,0)</f>
        <v>12.6487540869445</v>
      </c>
      <c r="T31" s="13" t="n">
        <f aca="false">IF(T24=1,T15-T29,0)</f>
        <v>13.3934512551275</v>
      </c>
      <c r="U31" s="13" t="n">
        <f aca="false">IF(U24=1,U15-U29,0)</f>
        <v>12.4325149877249</v>
      </c>
      <c r="V31" s="13" t="n">
        <f aca="false">IF(V24=1,V15-V29,0)</f>
        <v>13.6654648959126</v>
      </c>
      <c r="W31" s="13" t="n">
        <f aca="false">IF(W24=1,W15-W29,0)</f>
        <v>14.404561953598</v>
      </c>
      <c r="X31" s="13" t="n">
        <f aca="false">IF(X24=1,X15-X29,0)</f>
        <v>13.2807813101373</v>
      </c>
      <c r="Y31" s="13" t="n">
        <f aca="false">IF(Y24=1,Y15-Y29,0)</f>
        <v>12.4986661546243</v>
      </c>
      <c r="Z31" s="13" t="n">
        <f aca="false">IF(Z24=1,Z15-Z29,0)</f>
        <v>13.2020528452989</v>
      </c>
      <c r="AA31" s="13" t="n">
        <f aca="false">IF(AA24=1,AA15-AA29,0)</f>
        <v>6.18526964990857</v>
      </c>
      <c r="AB31" s="13" t="n">
        <f aca="false">IF(AB24=1,AB15-AB29,0)</f>
        <v>7.19416552841933</v>
      </c>
      <c r="AC31" s="13" t="n">
        <f aca="false">IF(AC24=1,AC15-AC29,0)</f>
        <v>6.86678897087803</v>
      </c>
      <c r="AD31" s="13" t="n">
        <f aca="false">IF(AD24=1,AD15-AD29,0)</f>
        <v>8.2088372521896</v>
      </c>
      <c r="AE31" s="13" t="n">
        <f aca="false">IF(AE24=1,AE15-AE29,0)</f>
        <v>8.82241226273076</v>
      </c>
      <c r="AF31" s="13" t="n">
        <f aca="false">IF(AF24=1,AF15-AF29,0)</f>
        <v>9.71942530961141</v>
      </c>
      <c r="AG31" s="13" t="n">
        <f aca="false">IF(AG24=1,AG15-AG29,0)</f>
        <v>10.1557640161825</v>
      </c>
      <c r="AH31" s="13" t="n">
        <f aca="false">IF(AH24=1,AH15-AH29,0)</f>
        <v>11.5387131006289</v>
      </c>
      <c r="AI31" s="13" t="n">
        <f aca="false">IF(AI24=1,AI15-AI29,0)</f>
        <v>12.4175779958468</v>
      </c>
      <c r="AJ31" s="13" t="n">
        <f aca="false">IF(AJ24=1,AJ15-AJ29,0)</f>
        <v>15.0551962854809</v>
      </c>
      <c r="AK31" s="13" t="n">
        <f aca="false">IF(AK24=1,AK15-AK29,0)</f>
        <v>31.8897157033808</v>
      </c>
      <c r="AL31" s="13" t="n">
        <f aca="false">IF(AL24=1,AL15-AL29,0)</f>
        <v>29.7062841581408</v>
      </c>
      <c r="AM31" s="13" t="n">
        <f aca="false">IF(AM24=1,AM15-AM29,0)</f>
        <v>33.3526211943647</v>
      </c>
      <c r="AN31" s="13" t="n">
        <f aca="false">IF(AN24=1,AN15-AN29,0)</f>
        <v>23.5011177675998</v>
      </c>
      <c r="AO31" s="13" t="n">
        <f aca="false">IF(AO24=1,AO15-AO29,0)</f>
        <v>41.5322726830367</v>
      </c>
      <c r="AP31" s="13" t="n">
        <f aca="false">IF(AP24=1,AP15-AP29,0)</f>
        <v>41.6216377830038</v>
      </c>
      <c r="AQ31" s="13" t="n">
        <f aca="false">IF(AQ24=1,AQ15-AQ29,0)</f>
        <v>41.1745993340732</v>
      </c>
      <c r="AR31" s="13" t="n">
        <f aca="false">IF(AR24=1,AR15-AR29,0)</f>
        <v>41.770960831035</v>
      </c>
      <c r="AS31" s="13" t="n">
        <f aca="false">IF(AS24=1,AS15-AS29,0)</f>
        <v>41.5056129118261</v>
      </c>
      <c r="AT31" s="13" t="n">
        <f aca="false">IF(AT24=1,AT15-AT29,0)</f>
        <v>48.238693031292</v>
      </c>
      <c r="AU31" s="13" t="n">
        <f aca="false">IF(AU24=1,AU15-AU29,0)</f>
        <v>43.8015207396234</v>
      </c>
      <c r="AV31" s="13" t="n">
        <f aca="false">IF(AV24=1,AV15-AV29,0)</f>
        <v>43.9250195431293</v>
      </c>
      <c r="AW31" s="13" t="n">
        <f aca="false">IF(AW24=1,AW15-AW29,0)</f>
        <v>43.5006347551928</v>
      </c>
      <c r="AX31" s="13" t="n">
        <f aca="false">IF(AX24=1,AX15-AX29,0)</f>
        <v>44.1754747855326</v>
      </c>
      <c r="AY31" s="13" t="n">
        <f aca="false">IF(AY24=1,AY15-AY29,0)</f>
        <v>43.7185522989792</v>
      </c>
      <c r="AZ31" s="13" t="n">
        <f aca="false">IF(AZ24=1,AZ15-AZ29,0)</f>
        <v>44.3364424388821</v>
      </c>
      <c r="BA31" s="13" t="n">
        <f aca="false">IF(BA24=1,BA15-BA29,0)</f>
        <v>43.543829720821</v>
      </c>
      <c r="BB31" s="13" t="n">
        <f aca="false">IF(BB24=1,BB15-BB29,0)</f>
        <v>44.7848097266784</v>
      </c>
      <c r="BC31" s="13" t="n">
        <f aca="false">IF(BC24=1,BC15-BC29,0)</f>
        <v>41.3693070627511</v>
      </c>
      <c r="BD31" s="13" t="n">
        <f aca="false">IF(BD24=1,BD15-BD29,0)</f>
        <v>35.2535532770043</v>
      </c>
      <c r="BE31" s="13" t="n">
        <f aca="false">IF(BE24=1,BE15-BE29,0)</f>
        <v>34.8037917507731</v>
      </c>
      <c r="BF31" s="13" t="n">
        <f aca="false">IF(BF24=1,BF15-BF29,0)</f>
        <v>35.4911261343409</v>
      </c>
      <c r="BG31" s="13" t="n">
        <f aca="false">IF(BG24=1,BG15-BG29,0)</f>
        <v>35.0063413826083</v>
      </c>
      <c r="BH31" s="13" t="n">
        <f aca="false">IF(BH24=1,BH15-BH29,0)</f>
        <v>35.6301644713499</v>
      </c>
      <c r="BI31" s="13" t="n">
        <f aca="false">IF(BI24=1,BI15-BI29,0)</f>
        <v>35.3515331654512</v>
      </c>
      <c r="BJ31" s="13" t="n">
        <f aca="false">IF(BJ24=1,BJ15-BJ29,0)</f>
        <v>43.3576219239654</v>
      </c>
      <c r="BK31" s="13" t="n">
        <f aca="false">IF(BK24=1,BK15-BK29,0)</f>
        <v>38.0900629941884</v>
      </c>
      <c r="BL31" s="13" t="n">
        <f aca="false">IF(BL24=1,BL15-BL29,0)</f>
        <v>38.8201016869331</v>
      </c>
      <c r="BM31" s="13" t="n">
        <f aca="false">IF(BM24=1,BM15-BM29,0)</f>
        <v>54.8489876304097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199.675119693527</v>
      </c>
      <c r="R33" s="13" t="n">
        <f aca="false">IF(Time!R20&lt;Time!$F$12,0,IF(Time!R34=1,INDEX(Funding!$J$72:$BJ$72,1,Time!$F$14),Q36))</f>
        <v>196.544545393509</v>
      </c>
      <c r="S33" s="13" t="n">
        <f aca="false">IF(Time!S20&lt;Time!$F$12,0,IF(Time!S34=1,INDEX(Funding!$J$72:$BJ$72,1,Time!$F$14),R36))</f>
        <v>192.496997063632</v>
      </c>
      <c r="T33" s="13" t="n">
        <f aca="false">IF(Time!T20&lt;Time!$F$12,0,IF(Time!T34=1,INDEX(Funding!$J$72:$BJ$72,1,Time!$F$14),S36))</f>
        <v>188.916697400001</v>
      </c>
      <c r="U33" s="13" t="n">
        <f aca="false">IF(Time!U20&lt;Time!$F$12,0,IF(Time!U34=1,INDEX(Funding!$J$72:$BJ$72,1,Time!$F$14),T36))</f>
        <v>184.570544420358</v>
      </c>
      <c r="V33" s="13" t="n">
        <f aca="false">IF(Time!V20&lt;Time!$F$12,0,IF(Time!V34=1,INDEX(Funding!$J$72:$BJ$72,1,Time!$F$14),U36))</f>
        <v>180.881110838189</v>
      </c>
      <c r="W33" s="13" t="n">
        <f aca="false">IF(Time!W20&lt;Time!$F$12,0,IF(Time!W34=1,INDEX(Funding!$J$72:$BJ$72,1,Time!$F$14),V36))</f>
        <v>175.878116675021</v>
      </c>
      <c r="X33" s="13" t="n">
        <f aca="false">IF(Time!X20&lt;Time!$F$12,0,IF(Time!X34=1,INDEX(Funding!$J$72:$BJ$72,1,Time!$F$14),W36))</f>
        <v>169.759100519305</v>
      </c>
      <c r="Y33" s="13" t="n">
        <f aca="false">IF(Time!Y20&lt;Time!$F$12,0,IF(Time!Y34=1,INDEX(Funding!$J$72:$BJ$72,1,Time!$F$14),X36))</f>
        <v>164.608152297051</v>
      </c>
      <c r="Z33" s="13" t="n">
        <f aca="false">IF(Time!Z20&lt;Time!$F$12,0,IF(Time!Z34=1,INDEX(Funding!$J$72:$BJ$72,1,Time!$F$14),Y36))</f>
        <v>159.864108549955</v>
      </c>
      <c r="AA33" s="13" t="n">
        <f aca="false">IF(Time!AA20&lt;Time!$F$12,0,IF(Time!AA34=1,INDEX(Funding!$J$72:$BJ$72,1,Time!$F$14),Z36))</f>
        <v>154.318013560692</v>
      </c>
      <c r="AB33" s="13" t="n">
        <f aca="false">IF(Time!AB20&lt;Time!$F$12,0,IF(Time!AB34=1,INDEX(Funding!$J$72:$BJ$72,1,Time!$F$14),AA36))</f>
        <v>155.402602111266</v>
      </c>
      <c r="AC33" s="13" t="n">
        <f aca="false">IF(Time!AC20&lt;Time!$F$12,0,IF(Time!AC34=1,INDEX(Funding!$J$72:$BJ$72,1,Time!$F$14),AB36))</f>
        <v>155.650731062038</v>
      </c>
      <c r="AD33" s="13" t="n">
        <f aca="false">IF(Time!AD20&lt;Time!$F$12,0,IF(Time!AD34=1,INDEX(Funding!$J$72:$BJ$72,1,Time!$F$14),AC36))</f>
        <v>156.157095899551</v>
      </c>
      <c r="AE33" s="13" t="n">
        <f aca="false">IF(Time!AE20&lt;Time!$F$12,0,IF(Time!AE34=1,INDEX(Funding!$J$72:$BJ$72,1,Time!$F$14),AD36))</f>
        <v>155.42668614414</v>
      </c>
      <c r="AF33" s="13" t="n">
        <f aca="false">IF(Time!AF20&lt;Time!$F$12,0,IF(Time!AF34=1,INDEX(Funding!$J$72:$BJ$72,1,Time!$F$14),AE36))</f>
        <v>153.926361191679</v>
      </c>
      <c r="AG33" s="13" t="n">
        <f aca="false">IF(Time!AG20&lt;Time!$F$12,0,IF(Time!AG34=1,INDEX(Funding!$J$72:$BJ$72,1,Time!$F$14),AF36))</f>
        <v>151.578532576946</v>
      </c>
      <c r="AH33" s="13" t="n">
        <f aca="false">IF(Time!AH20&lt;Time!$F$12,0,IF(Time!AH34=1,INDEX(Funding!$J$72:$BJ$72,1,Time!$F$14),AG36))</f>
        <v>148.563570937916</v>
      </c>
      <c r="AI33" s="13" t="n">
        <f aca="false">IF(Time!AI20&lt;Time!$F$12,0,IF(Time!AI34=1,INDEX(Funding!$J$72:$BJ$72,1,Time!$F$14),AH36))</f>
        <v>144.139628303026</v>
      </c>
      <c r="AJ33" s="13" t="n">
        <f aca="false">IF(Time!AJ20&lt;Time!$F$12,0,IF(Time!AJ34=1,INDEX(Funding!$J$72:$BJ$72,1,Time!$F$14),AI36))</f>
        <v>138.512408961071</v>
      </c>
      <c r="AK33" s="13" t="n">
        <f aca="false">IF(Time!AK20&lt;Time!$F$12,0,IF(Time!AK34=1,INDEX(Funding!$J$72:$BJ$72,1,Time!$F$14),AJ36))</f>
        <v>130.090628863644</v>
      </c>
      <c r="AL33" s="13" t="n">
        <f aca="false">IF(Time!AL20&lt;Time!$F$12,0,IF(Time!AL34=1,INDEX(Funding!$J$72:$BJ$72,1,Time!$F$14),AK36))</f>
        <v>104.3632884289</v>
      </c>
      <c r="AM33" s="13" t="n">
        <f aca="false">IF(Time!AM20&lt;Time!$F$12,0,IF(Time!AM34=1,INDEX(Funding!$J$72:$BJ$72,1,Time!$F$14),AL36))</f>
        <v>79.6550050426414</v>
      </c>
      <c r="AN33" s="13" t="n">
        <f aca="false">IF(Time!AN20&lt;Time!$F$12,0,IF(Time!AN34=1,INDEX(Funding!$J$72:$BJ$72,1,Time!$F$14),AM36))</f>
        <v>50.0548984009019</v>
      </c>
      <c r="AO33" s="13" t="n">
        <f aca="false">IF(Time!AO20&lt;Time!$F$12,0,IF(Time!AO34=1,INDEX(Funding!$J$72:$BJ$72,1,Time!$F$14),AN36))</f>
        <v>28.9509302882274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184.748963093345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9.40661283049369</v>
      </c>
      <c r="R34" s="13" t="n">
        <f aca="false">R24*MIN(R31,Tax!R13)</f>
        <v>9.41259905062611</v>
      </c>
      <c r="S34" s="13" t="n">
        <f aca="false">S24*MIN(S31,Tax!S13)</f>
        <v>9.06845442331276</v>
      </c>
      <c r="T34" s="13" t="n">
        <f aca="false">T24*MIN(T31,Tax!T13)</f>
        <v>9.04729827548496</v>
      </c>
      <c r="U34" s="13" t="n">
        <f aca="false">U24*MIN(U31,Tax!U13)</f>
        <v>8.74308140555614</v>
      </c>
      <c r="V34" s="13" t="n">
        <f aca="false">V24*MIN(V31,Tax!V13)</f>
        <v>8.66247073274398</v>
      </c>
      <c r="W34" s="13" t="n">
        <f aca="false">W24*MIN(W31,Tax!W13)</f>
        <v>8.28554579788215</v>
      </c>
      <c r="X34" s="13" t="n">
        <f aca="false">X24*MIN(X31,Tax!X13)</f>
        <v>8.12983308788343</v>
      </c>
      <c r="Y34" s="13" t="n">
        <f aca="false">Y24*MIN(Y31,Tax!Y13)</f>
        <v>7.7546224075282</v>
      </c>
      <c r="Z34" s="13" t="n">
        <f aca="false">Z24*MIN(Z31,Tax!Z13)</f>
        <v>7.6559578560362</v>
      </c>
      <c r="AA34" s="13" t="n">
        <f aca="false">AA24*MIN(AA31,Tax!AA13)</f>
        <v>6.18526964990857</v>
      </c>
      <c r="AB34" s="13" t="n">
        <f aca="false">AB24*MIN(AB31,Tax!AB13)</f>
        <v>7.19416552841933</v>
      </c>
      <c r="AC34" s="13" t="n">
        <f aca="false">AC24*MIN(AC31,Tax!AC13)</f>
        <v>6.86678897087803</v>
      </c>
      <c r="AD34" s="13" t="n">
        <f aca="false">AD24*MIN(AD31,Tax!AD13)</f>
        <v>7.47842749677851</v>
      </c>
      <c r="AE34" s="13" t="n">
        <f aca="false">AE24*MIN(AE31,Tax!AE13)</f>
        <v>7.32208731026983</v>
      </c>
      <c r="AF34" s="13" t="n">
        <f aca="false">AF24*MIN(AF31,Tax!AF13)</f>
        <v>7.37159669487822</v>
      </c>
      <c r="AG34" s="13" t="n">
        <f aca="false">AG24*MIN(AG31,Tax!AG13)</f>
        <v>7.14080237715229</v>
      </c>
      <c r="AH34" s="13" t="n">
        <f aca="false">AH24*MIN(AH31,Tax!AH13)</f>
        <v>7.11477046573909</v>
      </c>
      <c r="AI34" s="13" t="n">
        <f aca="false">AI24*MIN(AI31,Tax!AI13)</f>
        <v>6.79035865389187</v>
      </c>
      <c r="AJ34" s="13" t="n">
        <f aca="false">AJ24*MIN(AJ31,Tax!AJ13)</f>
        <v>6.63341618805348</v>
      </c>
      <c r="AK34" s="13" t="n">
        <f aca="false">AK24*MIN(AK31,Tax!AK13)</f>
        <v>6.16237526863671</v>
      </c>
      <c r="AL34" s="13" t="n">
        <f aca="false">AL24*MIN(AL31,Tax!AL13)</f>
        <v>4.99800077188264</v>
      </c>
      <c r="AM34" s="13" t="n">
        <f aca="false">AM24*MIN(AM31,Tax!AM13)</f>
        <v>3.75251455262526</v>
      </c>
      <c r="AN34" s="13" t="n">
        <f aca="false">AN24*MIN(AN31,Tax!AN13)</f>
        <v>2.39714965492538</v>
      </c>
      <c r="AO34" s="13" t="n">
        <f aca="false">AO24*MIN(AO31,Tax!AO13)</f>
        <v>1.36386642823581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206.700494406125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5.18629237373923</v>
      </c>
      <c r="Q35" s="13" t="n">
        <f aca="false">Q24*MIN(Q31-Q34,Q33+Tax!Q13-Q34)</f>
        <v>3.13057430001842</v>
      </c>
      <c r="R35" s="13" t="n">
        <f aca="false">R24*MIN(R31-R34,R33+Tax!R13-R34)</f>
        <v>4.04754832987615</v>
      </c>
      <c r="S35" s="13" t="n">
        <f aca="false">S24*MIN(S31-S34,S33+Tax!S13-S34)</f>
        <v>3.58029966363175</v>
      </c>
      <c r="T35" s="13" t="n">
        <f aca="false">T24*MIN(T31-T34,T33+Tax!T13-T34)</f>
        <v>4.34615297964249</v>
      </c>
      <c r="U35" s="13" t="n">
        <f aca="false">U24*MIN(U31-U34,U33+Tax!U13-U34)</f>
        <v>3.68943358216871</v>
      </c>
      <c r="V35" s="13" t="n">
        <f aca="false">V24*MIN(V31-V34,V33+Tax!V13-V34)</f>
        <v>5.00299416316858</v>
      </c>
      <c r="W35" s="13" t="n">
        <f aca="false">W24*MIN(W31-W34,W33+Tax!W13-W34)</f>
        <v>6.1190161557159</v>
      </c>
      <c r="X35" s="13" t="n">
        <f aca="false">X24*MIN(X31-X34,X33+Tax!X13-X34)</f>
        <v>5.15094822225391</v>
      </c>
      <c r="Y35" s="13" t="n">
        <f aca="false">Y24*MIN(Y31-Y34,Y33+Tax!Y13-Y34)</f>
        <v>4.7440437470961</v>
      </c>
      <c r="Z35" s="13" t="n">
        <f aca="false">Z24*MIN(Z31-Z34,Z33+Tax!Z13-Z34)</f>
        <v>5.54609498926267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0.730409755411094</v>
      </c>
      <c r="AE35" s="13" t="n">
        <f aca="false">AE24*MIN(AE31-AE34,AE33+Tax!AE13-AE34)</f>
        <v>1.50032495246093</v>
      </c>
      <c r="AF35" s="13" t="n">
        <f aca="false">AF24*MIN(AF31-AF34,AF33+Tax!AF13-AF34)</f>
        <v>2.34782861473318</v>
      </c>
      <c r="AG35" s="13" t="n">
        <f aca="false">AG24*MIN(AG31-AG34,AG33+Tax!AG13-AG34)</f>
        <v>3.01496163903024</v>
      </c>
      <c r="AH35" s="13" t="n">
        <f aca="false">AH24*MIN(AH31-AH34,AH33+Tax!AH13-AH34)</f>
        <v>4.42394263488976</v>
      </c>
      <c r="AI35" s="13" t="n">
        <f aca="false">AI24*MIN(AI31-AI34,AI33+Tax!AI13-AI34)</f>
        <v>5.62721934195497</v>
      </c>
      <c r="AJ35" s="13" t="n">
        <f aca="false">AJ24*MIN(AJ31-AJ34,AJ33+Tax!AJ13-AJ34)</f>
        <v>8.42178009742737</v>
      </c>
      <c r="AK35" s="13" t="n">
        <f aca="false">AK24*MIN(AK31-AK34,AK33+Tax!AK13-AK34)</f>
        <v>25.7273404347441</v>
      </c>
      <c r="AL35" s="13" t="n">
        <f aca="false">AL24*MIN(AL31-AL34,AL33+Tax!AL13-AL34)</f>
        <v>24.7082833862582</v>
      </c>
      <c r="AM35" s="13" t="n">
        <f aca="false">AM24*MIN(AM31-AM34,AM33+Tax!AM13-AM34)</f>
        <v>29.6001066417395</v>
      </c>
      <c r="AN35" s="13" t="n">
        <f aca="false">AN24*MIN(AN31-AN34,AN33+Tax!AN13-AN34)</f>
        <v>21.1039681126745</v>
      </c>
      <c r="AO35" s="13" t="n">
        <f aca="false">AO24*MIN(AO31-AO34,AO33+Tax!AO13-AO34)</f>
        <v>28.9509302882274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199.675119693527</v>
      </c>
      <c r="Q36" s="13" t="n">
        <f aca="false">Q33+Tax!Q13-Q34-Q35</f>
        <v>196.544545393509</v>
      </c>
      <c r="R36" s="13" t="n">
        <f aca="false">R33+Tax!R13-R34-R35</f>
        <v>192.496997063632</v>
      </c>
      <c r="S36" s="13" t="n">
        <f aca="false">S33+Tax!S13-S34-S35</f>
        <v>188.916697400001</v>
      </c>
      <c r="T36" s="13" t="n">
        <f aca="false">T33+Tax!T13-T34-T35</f>
        <v>184.570544420358</v>
      </c>
      <c r="U36" s="13" t="n">
        <f aca="false">U33+Tax!U13-U34-U35</f>
        <v>180.881110838189</v>
      </c>
      <c r="V36" s="13" t="n">
        <f aca="false">V33+Tax!V13-V34-V35</f>
        <v>175.878116675021</v>
      </c>
      <c r="W36" s="13" t="n">
        <f aca="false">W33+Tax!W13-W34-W35</f>
        <v>169.759100519305</v>
      </c>
      <c r="X36" s="13" t="n">
        <f aca="false">X33+Tax!X13-X34-X35</f>
        <v>164.608152297051</v>
      </c>
      <c r="Y36" s="13" t="n">
        <f aca="false">Y33+Tax!Y13-Y34-Y35</f>
        <v>159.864108549955</v>
      </c>
      <c r="Z36" s="13" t="n">
        <f aca="false">Z33+Tax!Z13-Z34-Z35</f>
        <v>154.318013560692</v>
      </c>
      <c r="AA36" s="13" t="n">
        <f aca="false">AA33+Tax!AA13-AA34-AA35</f>
        <v>155.402602111266</v>
      </c>
      <c r="AB36" s="13" t="n">
        <f aca="false">AB33+Tax!AB13-AB34-AB35</f>
        <v>155.650731062038</v>
      </c>
      <c r="AC36" s="13" t="n">
        <f aca="false">AC33+Tax!AC13-AC34-AC35</f>
        <v>156.157095899551</v>
      </c>
      <c r="AD36" s="13" t="n">
        <f aca="false">AD33+Tax!AD13-AD34-AD35</f>
        <v>155.42668614414</v>
      </c>
      <c r="AE36" s="13" t="n">
        <f aca="false">AE33+Tax!AE13-AE34-AE35</f>
        <v>153.926361191679</v>
      </c>
      <c r="AF36" s="13" t="n">
        <f aca="false">AF33+Tax!AF13-AF34-AF35</f>
        <v>151.578532576946</v>
      </c>
      <c r="AG36" s="13" t="n">
        <f aca="false">AG33+Tax!AG13-AG34-AG35</f>
        <v>148.563570937916</v>
      </c>
      <c r="AH36" s="13" t="n">
        <f aca="false">AH33+Tax!AH13-AH34-AH35</f>
        <v>144.139628303026</v>
      </c>
      <c r="AI36" s="13" t="n">
        <f aca="false">AI33+Tax!AI13-AI34-AI35</f>
        <v>138.512408961071</v>
      </c>
      <c r="AJ36" s="13" t="n">
        <f aca="false">AJ33+Tax!AJ13-AJ34-AJ35</f>
        <v>130.090628863644</v>
      </c>
      <c r="AK36" s="13" t="n">
        <f aca="false">AK33+Tax!AK13-AK34-AK35</f>
        <v>104.3632884289</v>
      </c>
      <c r="AL36" s="13" t="n">
        <f aca="false">AL33+Tax!AL13-AL34-AL35</f>
        <v>79.6550050426414</v>
      </c>
      <c r="AM36" s="13" t="n">
        <f aca="false">AM33+Tax!AM13-AM34-AM35</f>
        <v>50.0548984009019</v>
      </c>
      <c r="AN36" s="13" t="n">
        <f aca="false">AN33+Tax!AN13-AN34-AN35</f>
        <v>28.9509302882274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25.898034096354</v>
      </c>
      <c r="R37" s="13" t="n">
        <f aca="false">MAX(0,Q43+Financials!R14)</f>
        <v>35.1040275901293</v>
      </c>
      <c r="S37" s="13" t="n">
        <f aca="false">MAX(0,R43+Financials!S14)</f>
        <v>45.5389417020597</v>
      </c>
      <c r="T37" s="13" t="n">
        <f aca="false">MAX(0,S43+Financials!T14)</f>
        <v>56.456669276486</v>
      </c>
      <c r="U37" s="13" t="n">
        <f aca="false">MAX(0,T43+Financials!U14)</f>
        <v>68.6055233629479</v>
      </c>
      <c r="V37" s="13" t="n">
        <f aca="false">MAX(0,U43+Financials!V14)</f>
        <v>79.0699942459125</v>
      </c>
      <c r="W37" s="13" t="n">
        <f aca="false">MAX(0,V43+Financials!W14)</f>
        <v>93.3455880987403</v>
      </c>
      <c r="X37" s="13" t="n">
        <f aca="false">MAX(0,W43+Financials!X14)</f>
        <v>108.299883177138</v>
      </c>
      <c r="Y37" s="13" t="n">
        <f aca="false">MAX(0,X43+Financials!Y14)</f>
        <v>121.253833874482</v>
      </c>
      <c r="Z37" s="13" t="n">
        <f aca="false">MAX(0,Y43+Financials!Z14)</f>
        <v>129.006645978886</v>
      </c>
      <c r="AA37" s="13" t="n">
        <f aca="false">MAX(0,Z43+Financials!AA14)</f>
        <v>137.734064885907</v>
      </c>
      <c r="AB37" s="13" t="n">
        <f aca="false">MAX(0,AA43+Financials!AB14)</f>
        <v>147.028896786851</v>
      </c>
      <c r="AC37" s="13" t="n">
        <f aca="false">MAX(0,AB43+Financials!AC14)</f>
        <v>157.381988410481</v>
      </c>
      <c r="AD37" s="13" t="n">
        <f aca="false">MAX(0,AC43+Financials!AD14)</f>
        <v>159.657652830825</v>
      </c>
      <c r="AE37" s="13" t="n">
        <f aca="false">MAX(0,AD43+Financials!AE14)</f>
        <v>171.950471413052</v>
      </c>
      <c r="AF37" s="13" t="n">
        <f aca="false">MAX(0,AE43+Financials!AF14)</f>
        <v>184.96769001954</v>
      </c>
      <c r="AG37" s="13" t="n">
        <f aca="false">MAX(0,AF43+Financials!AG14)</f>
        <v>199.082224294238</v>
      </c>
      <c r="AH37" s="13" t="n">
        <f aca="false">MAX(0,AG43+Financials!AH14)</f>
        <v>214.212506978461</v>
      </c>
      <c r="AI37" s="13" t="n">
        <f aca="false">MAX(0,AH43+Financials!AI14)</f>
        <v>230.654646682377</v>
      </c>
      <c r="AJ37" s="13" t="n">
        <f aca="false">MAX(0,AI43+Financials!AJ14)</f>
        <v>248.205503788557</v>
      </c>
      <c r="AK37" s="13" t="n">
        <f aca="false">MAX(0,AJ43+Financials!AK14)</f>
        <v>267.190510035761</v>
      </c>
      <c r="AL37" s="13" t="n">
        <f aca="false">MAX(0,AK43+Financials!AL14)</f>
        <v>285.475579328215</v>
      </c>
      <c r="AM37" s="13" t="n">
        <f aca="false">MAX(0,AL43+Financials!AM14)</f>
        <v>307.54791859368</v>
      </c>
      <c r="AN37" s="13" t="n">
        <f aca="false">MAX(0,AM43+Financials!AN14)</f>
        <v>330.977364778949</v>
      </c>
      <c r="AO37" s="13" t="n">
        <f aca="false">MAX(0,AN43+Financials!AO14)</f>
        <v>355.583291924634</v>
      </c>
      <c r="AP37" s="13" t="n">
        <f aca="false">MAX(0,AO43+Financials!AP14)</f>
        <v>370.397677257344</v>
      </c>
      <c r="AQ37" s="13" t="n">
        <f aca="false">MAX(0,AP43+Financials!AQ14)</f>
        <v>354.88868911725</v>
      </c>
      <c r="AR37" s="13" t="n">
        <f aca="false">MAX(0,AQ43+Financials!AR14)</f>
        <v>339.894761747764</v>
      </c>
      <c r="AS37" s="13" t="n">
        <f aca="false">MAX(0,AR43+Financials!AS14)</f>
        <v>324.484224382595</v>
      </c>
      <c r="AT37" s="13" t="n">
        <f aca="false">MAX(0,AS43+Financials!AT14)</f>
        <v>299.030516795484</v>
      </c>
      <c r="AU37" s="13" t="n">
        <f aca="false">MAX(0,AT43+Financials!AU14)</f>
        <v>277.437040675538</v>
      </c>
      <c r="AV37" s="13" t="n">
        <f aca="false">MAX(0,AU43+Financials!AV14)</f>
        <v>260.210286223885</v>
      </c>
      <c r="AW37" s="13" t="n">
        <f aca="false">MAX(0,AV43+Financials!AW14)</f>
        <v>242.975486452027</v>
      </c>
      <c r="AX37" s="13" t="n">
        <f aca="false">MAX(0,AW43+Financials!AX14)</f>
        <v>226.29979115551</v>
      </c>
      <c r="AY37" s="13" t="n">
        <f aca="false">MAX(0,AX43+Financials!AY14)</f>
        <v>209.035744150875</v>
      </c>
      <c r="AZ37" s="13" t="n">
        <f aca="false">MAX(0,AY43+Financials!AZ14)</f>
        <v>192.302020638542</v>
      </c>
      <c r="BA37" s="13" t="n">
        <f aca="false">MAX(0,AZ43+Financials!BA14)</f>
        <v>175.112273770263</v>
      </c>
      <c r="BB37" s="13" t="n">
        <f aca="false">MAX(0,BA43+Financials!BB14)</f>
        <v>156.464807981548</v>
      </c>
      <c r="BC37" s="13" t="n">
        <f aca="false">MAX(0,BB43+Financials!BC14)</f>
        <v>139.101129253149</v>
      </c>
      <c r="BD37" s="13" t="n">
        <f aca="false">MAX(0,BC43+Financials!BD14)</f>
        <v>125.143337246242</v>
      </c>
      <c r="BE37" s="13" t="n">
        <f aca="false">MAX(0,BD43+Financials!BE14)</f>
        <v>117.426129993039</v>
      </c>
      <c r="BF37" s="13" t="n">
        <f aca="false">MAX(0,BE43+Financials!BF14)</f>
        <v>110.306045846098</v>
      </c>
      <c r="BG37" s="13" t="n">
        <f aca="false">MAX(0,BF43+Financials!BG14)</f>
        <v>102.591222815673</v>
      </c>
      <c r="BH37" s="13" t="n">
        <f aca="false">MAX(0,BG43+Financials!BH14)</f>
        <v>95.4403893731834</v>
      </c>
      <c r="BI37" s="13" t="n">
        <f aca="false">MAX(0,BH43+Financials!BI14)</f>
        <v>87.8803499967853</v>
      </c>
      <c r="BJ37" s="13" t="n">
        <f aca="false">MAX(0,BI43+Financials!BJ14)</f>
        <v>68.4145510985353</v>
      </c>
      <c r="BK37" s="13" t="n">
        <f aca="false">MAX(0,BJ43+Financials!BK14)</f>
        <v>53.4662792626312</v>
      </c>
      <c r="BL37" s="13" t="n">
        <f aca="false">MAX(0,BK43+Financials!BL14)</f>
        <v>43.6937349468498</v>
      </c>
      <c r="BM37" s="13" t="n">
        <f aca="false">MAX(0,BL43+Financials!BM14)</f>
        <v>10.4822341135981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11.2174759665735</v>
      </c>
      <c r="AP38" s="13" t="n">
        <f aca="false">AP24*MIN(AP31-AP34-AP35,AP37)</f>
        <v>41.6216377830038</v>
      </c>
      <c r="AQ38" s="13" t="n">
        <f aca="false">AQ24*MIN(AQ31-AQ34-AQ35,AQ37)</f>
        <v>41.1745993340732</v>
      </c>
      <c r="AR38" s="13" t="n">
        <f aca="false">AR24*MIN(AR31-AR34-AR35,AR37)</f>
        <v>41.770960831035</v>
      </c>
      <c r="AS38" s="13" t="n">
        <f aca="false">AS24*MIN(AS31-AS34-AS35,AS37)</f>
        <v>41.5056129118261</v>
      </c>
      <c r="AT38" s="13" t="n">
        <f aca="false">AT24*MIN(AT31-AT34-AT35,AT37)</f>
        <v>48.238693031292</v>
      </c>
      <c r="AU38" s="13" t="n">
        <f aca="false">AU24*MIN(AU31-AU34-AU35,AU37)</f>
        <v>43.8015207396234</v>
      </c>
      <c r="AV38" s="13" t="n">
        <f aca="false">AV24*MIN(AV31-AV34-AV35,AV37)</f>
        <v>43.9250195431293</v>
      </c>
      <c r="AW38" s="13" t="n">
        <f aca="false">AW24*MIN(AW31-AW34-AW35,AW37)</f>
        <v>43.5006347551928</v>
      </c>
      <c r="AX38" s="13" t="n">
        <f aca="false">AX24*MIN(AX31-AX34-AX35,AX37)</f>
        <v>44.1754747855326</v>
      </c>
      <c r="AY38" s="13" t="n">
        <f aca="false">AY24*MIN(AY31-AY34-AY35,AY37)</f>
        <v>43.7185522989792</v>
      </c>
      <c r="AZ38" s="13" t="n">
        <f aca="false">AZ24*MIN(AZ31-AZ34-AZ35,AZ37)</f>
        <v>44.3364424388821</v>
      </c>
      <c r="BA38" s="13" t="n">
        <f aca="false">BA24*MIN(BA31-BA34-BA35,BA37)</f>
        <v>43.543829720821</v>
      </c>
      <c r="BB38" s="13" t="n">
        <f aca="false">BB24*MIN(BB31-BB34-BB35,BB37)</f>
        <v>44.7848097266784</v>
      </c>
      <c r="BC38" s="13" t="n">
        <f aca="false">BC24*MIN(BC31-BC34-BC35,BC37)</f>
        <v>41.3693070627511</v>
      </c>
      <c r="BD38" s="13" t="n">
        <f aca="false">BD24*MIN(BD31-BD34-BD35,BD37)</f>
        <v>35.2535532770043</v>
      </c>
      <c r="BE38" s="13" t="n">
        <f aca="false">BE24*MIN(BE31-BE34-BE35,BE37)</f>
        <v>34.8037917507731</v>
      </c>
      <c r="BF38" s="13" t="n">
        <f aca="false">BF24*MIN(BF31-BF34-BF35,BF37)</f>
        <v>35.4911261343409</v>
      </c>
      <c r="BG38" s="13" t="n">
        <f aca="false">BG24*MIN(BG31-BG34-BG35,BG37)</f>
        <v>35.0063413826083</v>
      </c>
      <c r="BH38" s="13" t="n">
        <f aca="false">BH24*MIN(BH31-BH34-BH35,BH37)</f>
        <v>35.6301644713499</v>
      </c>
      <c r="BI38" s="13" t="n">
        <f aca="false">BI24*MIN(BI31-BI34-BI35,BI37)</f>
        <v>35.3515331654512</v>
      </c>
      <c r="BJ38" s="13" t="n">
        <f aca="false">BJ24*MIN(BJ31-BJ34-BJ35,BJ37)</f>
        <v>43.3576219239654</v>
      </c>
      <c r="BK38" s="13" t="n">
        <f aca="false">BK24*MIN(BK31-BK34-BK35,BK37)</f>
        <v>38.0900629941884</v>
      </c>
      <c r="BL38" s="13" t="n">
        <f aca="false">BL24*MIN(BL31-BL34-BL35,BL37)</f>
        <v>38.8201016869331</v>
      </c>
      <c r="BM38" s="13" t="n">
        <f aca="false">BM24*MIN(BM31-BM34-BM35,BM37)</f>
        <v>10.4822341135981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1005.33785534642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11.2174759665735</v>
      </c>
      <c r="AP41" s="13" t="n">
        <f aca="false">AP38+AP40</f>
        <v>41.6216377830038</v>
      </c>
      <c r="AQ41" s="13" t="n">
        <f aca="false">AQ38+AQ40</f>
        <v>41.1745993340732</v>
      </c>
      <c r="AR41" s="13" t="n">
        <f aca="false">AR38+AR40</f>
        <v>41.770960831035</v>
      </c>
      <c r="AS41" s="13" t="n">
        <f aca="false">AS38+AS40</f>
        <v>41.5056129118261</v>
      </c>
      <c r="AT41" s="13" t="n">
        <f aca="false">AT38+AT40</f>
        <v>48.238693031292</v>
      </c>
      <c r="AU41" s="13" t="n">
        <f aca="false">AU38+AU40</f>
        <v>43.8015207396234</v>
      </c>
      <c r="AV41" s="13" t="n">
        <f aca="false">AV38+AV40</f>
        <v>43.9250195431293</v>
      </c>
      <c r="AW41" s="13" t="n">
        <f aca="false">AW38+AW40</f>
        <v>43.5006347551928</v>
      </c>
      <c r="AX41" s="13" t="n">
        <f aca="false">AX38+AX40</f>
        <v>44.1754747855326</v>
      </c>
      <c r="AY41" s="13" t="n">
        <f aca="false">AY38+AY40</f>
        <v>43.7185522989792</v>
      </c>
      <c r="AZ41" s="13" t="n">
        <f aca="false">AZ38+AZ40</f>
        <v>44.3364424388821</v>
      </c>
      <c r="BA41" s="13" t="n">
        <f aca="false">BA38+BA40</f>
        <v>43.543829720821</v>
      </c>
      <c r="BB41" s="13" t="n">
        <f aca="false">BB38+BB40</f>
        <v>44.7848097266784</v>
      </c>
      <c r="BC41" s="13" t="n">
        <f aca="false">BC38+BC40</f>
        <v>41.3693070627511</v>
      </c>
      <c r="BD41" s="13" t="n">
        <f aca="false">BD38+BD40</f>
        <v>35.2535532770043</v>
      </c>
      <c r="BE41" s="13" t="n">
        <f aca="false">BE38+BE40</f>
        <v>34.8037917507731</v>
      </c>
      <c r="BF41" s="13" t="n">
        <f aca="false">BF38+BF40</f>
        <v>35.4911261343409</v>
      </c>
      <c r="BG41" s="13" t="n">
        <f aca="false">BG38+BG40</f>
        <v>35.0063413826083</v>
      </c>
      <c r="BH41" s="13" t="n">
        <f aca="false">BH38+BH40</f>
        <v>35.6301644713499</v>
      </c>
      <c r="BI41" s="13" t="n">
        <f aca="false">BI38+BI40</f>
        <v>35.3515331654512</v>
      </c>
      <c r="BJ41" s="13" t="n">
        <f aca="false">BJ38+BJ40</f>
        <v>43.3576219239654</v>
      </c>
      <c r="BK41" s="13" t="n">
        <f aca="false">BK38+BK40</f>
        <v>38.0900629941884</v>
      </c>
      <c r="BL41" s="13" t="n">
        <f aca="false">BL38+BL40</f>
        <v>38.8201016869331</v>
      </c>
      <c r="BM41" s="13" t="n">
        <f aca="false">BM38+BM40</f>
        <v>54.8489876304097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25.898034096354</v>
      </c>
      <c r="R43" s="13" t="n">
        <f aca="false">IF(Time!R20&lt;Time!$F$12,0,Q43+Financials!R14-R41)</f>
        <v>35.1040275901293</v>
      </c>
      <c r="S43" s="13" t="n">
        <f aca="false">IF(Time!S20&lt;Time!$F$12,0,R43+Financials!S14-S41)</f>
        <v>45.5389417020597</v>
      </c>
      <c r="T43" s="13" t="n">
        <f aca="false">IF(Time!T20&lt;Time!$F$12,0,S43+Financials!T14-T41)</f>
        <v>56.456669276486</v>
      </c>
      <c r="U43" s="13" t="n">
        <f aca="false">IF(Time!U20&lt;Time!$F$12,0,T43+Financials!U14-U41)</f>
        <v>68.6055233629479</v>
      </c>
      <c r="V43" s="13" t="n">
        <f aca="false">IF(Time!V20&lt;Time!$F$12,0,U43+Financials!V14-V41)</f>
        <v>79.0699942459125</v>
      </c>
      <c r="W43" s="13" t="n">
        <f aca="false">IF(Time!W20&lt;Time!$F$12,0,V43+Financials!W14-W41)</f>
        <v>93.3455880987403</v>
      </c>
      <c r="X43" s="13" t="n">
        <f aca="false">IF(Time!X20&lt;Time!$F$12,0,W43+Financials!X14-X41)</f>
        <v>108.299883177138</v>
      </c>
      <c r="Y43" s="13" t="n">
        <f aca="false">IF(Time!Y20&lt;Time!$F$12,0,X43+Financials!Y14-Y41)</f>
        <v>121.253833874482</v>
      </c>
      <c r="Z43" s="13" t="n">
        <f aca="false">IF(Time!Z20&lt;Time!$F$12,0,Y43+Financials!Z14-Z41)</f>
        <v>129.006645978886</v>
      </c>
      <c r="AA43" s="13" t="n">
        <f aca="false">IF(Time!AA20&lt;Time!$F$12,0,Z43+Financials!AA14-AA41)</f>
        <v>137.734064885907</v>
      </c>
      <c r="AB43" s="13" t="n">
        <f aca="false">IF(Time!AB20&lt;Time!$F$12,0,AA43+Financials!AB14-AB41)</f>
        <v>147.028896786851</v>
      </c>
      <c r="AC43" s="13" t="n">
        <f aca="false">IF(Time!AC20&lt;Time!$F$12,0,AB43+Financials!AC14-AC41)</f>
        <v>157.381988410481</v>
      </c>
      <c r="AD43" s="13" t="n">
        <f aca="false">IF(Time!AD20&lt;Time!$F$12,0,AC43+Financials!AD14-AD41)</f>
        <v>159.657652830825</v>
      </c>
      <c r="AE43" s="13" t="n">
        <f aca="false">IF(Time!AE20&lt;Time!$F$12,0,AD43+Financials!AE14-AE41)</f>
        <v>171.950471413052</v>
      </c>
      <c r="AF43" s="13" t="n">
        <f aca="false">IF(Time!AF20&lt;Time!$F$12,0,AE43+Financials!AF14-AF41)</f>
        <v>184.96769001954</v>
      </c>
      <c r="AG43" s="13" t="n">
        <f aca="false">IF(Time!AG20&lt;Time!$F$12,0,AF43+Financials!AG14-AG41)</f>
        <v>199.082224294238</v>
      </c>
      <c r="AH43" s="13" t="n">
        <f aca="false">IF(Time!AH20&lt;Time!$F$12,0,AG43+Financials!AH14-AH41)</f>
        <v>214.212506978461</v>
      </c>
      <c r="AI43" s="13" t="n">
        <f aca="false">IF(Time!AI20&lt;Time!$F$12,0,AH43+Financials!AI14-AI41)</f>
        <v>230.654646682377</v>
      </c>
      <c r="AJ43" s="13" t="n">
        <f aca="false">IF(Time!AJ20&lt;Time!$F$12,0,AI43+Financials!AJ14-AJ41)</f>
        <v>248.205503788557</v>
      </c>
      <c r="AK43" s="13" t="n">
        <f aca="false">IF(Time!AK20&lt;Time!$F$12,0,AJ43+Financials!AK14-AK41)</f>
        <v>267.190510035761</v>
      </c>
      <c r="AL43" s="13" t="n">
        <f aca="false">IF(Time!AL20&lt;Time!$F$12,0,AK43+Financials!AL14-AL41)</f>
        <v>285.475579328215</v>
      </c>
      <c r="AM43" s="13" t="n">
        <f aca="false">IF(Time!AM20&lt;Time!$F$12,0,AL43+Financials!AM14-AM41)</f>
        <v>307.54791859368</v>
      </c>
      <c r="AN43" s="13" t="n">
        <f aca="false">IF(Time!AN20&lt;Time!$F$12,0,AM43+Financials!AN14-AN41)</f>
        <v>330.977364778949</v>
      </c>
      <c r="AO43" s="13" t="n">
        <f aca="false">IF(Time!AO20&lt;Time!$F$12,0,AN43+Financials!AO14-AO41)</f>
        <v>344.36581595806</v>
      </c>
      <c r="AP43" s="13" t="n">
        <f aca="false">IF(Time!AP20&lt;Time!$F$12,0,AO43+Financials!AP14-AP41)</f>
        <v>328.77603947434</v>
      </c>
      <c r="AQ43" s="13" t="n">
        <f aca="false">IF(Time!AQ20&lt;Time!$F$12,0,AP43+Financials!AQ14-AQ41)</f>
        <v>313.714089783177</v>
      </c>
      <c r="AR43" s="13" t="n">
        <f aca="false">IF(Time!AR20&lt;Time!$F$12,0,AQ43+Financials!AR14-AR41)</f>
        <v>298.123800916729</v>
      </c>
      <c r="AS43" s="13" t="n">
        <f aca="false">IF(Time!AS20&lt;Time!$F$12,0,AR43+Financials!AS14-AS41)</f>
        <v>282.978611470769</v>
      </c>
      <c r="AT43" s="13" t="n">
        <f aca="false">IF(Time!AT20&lt;Time!$F$12,0,AS43+Financials!AT14-AT41)</f>
        <v>250.791823764192</v>
      </c>
      <c r="AU43" s="13" t="n">
        <f aca="false">IF(Time!AU20&lt;Time!$F$12,0,AT43+Financials!AU14-AU41)</f>
        <v>233.635519935914</v>
      </c>
      <c r="AV43" s="13" t="n">
        <f aca="false">IF(Time!AV20&lt;Time!$F$12,0,AU43+Financials!AV14-AV41)</f>
        <v>216.285266680756</v>
      </c>
      <c r="AW43" s="13" t="n">
        <f aca="false">IF(Time!AW20&lt;Time!$F$12,0,AV43+Financials!AW14-AW41)</f>
        <v>199.474851696834</v>
      </c>
      <c r="AX43" s="13" t="n">
        <f aca="false">IF(Time!AX20&lt;Time!$F$12,0,AW43+Financials!AX14-AX41)</f>
        <v>182.124316369977</v>
      </c>
      <c r="AY43" s="13" t="n">
        <f aca="false">IF(Time!AY20&lt;Time!$F$12,0,AX43+Financials!AY14-AY41)</f>
        <v>165.317191851896</v>
      </c>
      <c r="AZ43" s="13" t="n">
        <f aca="false">IF(Time!AZ20&lt;Time!$F$12,0,AY43+Financials!AZ14-AZ41)</f>
        <v>147.965578199659</v>
      </c>
      <c r="BA43" s="13" t="n">
        <f aca="false">IF(Time!BA20&lt;Time!$F$12,0,AZ43+Financials!BA14-BA41)</f>
        <v>131.568444049442</v>
      </c>
      <c r="BB43" s="13" t="n">
        <f aca="false">IF(Time!BB20&lt;Time!$F$12,0,BA43+Financials!BB14-BB41)</f>
        <v>111.67999825487</v>
      </c>
      <c r="BC43" s="13" t="n">
        <f aca="false">IF(Time!BC20&lt;Time!$F$12,0,BB43+Financials!BC14-BC41)</f>
        <v>97.7318221903982</v>
      </c>
      <c r="BD43" s="13" t="n">
        <f aca="false">IF(Time!BD20&lt;Time!$F$12,0,BC43+Financials!BD14-BD41)</f>
        <v>89.8897839692382</v>
      </c>
      <c r="BE43" s="13" t="n">
        <f aca="false">IF(Time!BE20&lt;Time!$F$12,0,BD43+Financials!BE14-BE41)</f>
        <v>82.6223382422656</v>
      </c>
      <c r="BF43" s="13" t="n">
        <f aca="false">IF(Time!BF20&lt;Time!$F$12,0,BE43+Financials!BF14-BF41)</f>
        <v>74.8149197117576</v>
      </c>
      <c r="BG43" s="13" t="n">
        <f aca="false">IF(Time!BG20&lt;Time!$F$12,0,BF43+Financials!BG14-BG41)</f>
        <v>67.5848814330647</v>
      </c>
      <c r="BH43" s="13" t="n">
        <f aca="false">IF(Time!BH20&lt;Time!$F$12,0,BG43+Financials!BH14-BH41)</f>
        <v>59.8102249018335</v>
      </c>
      <c r="BI43" s="13" t="n">
        <f aca="false">IF(Time!BI20&lt;Time!$F$12,0,BH43+Financials!BI14-BI41)</f>
        <v>52.5288168313341</v>
      </c>
      <c r="BJ43" s="13" t="n">
        <f aca="false">IF(Time!BJ20&lt;Time!$F$12,0,BI43+Financials!BJ14-BJ41)</f>
        <v>25.0569291745698</v>
      </c>
      <c r="BK43" s="13" t="n">
        <f aca="false">IF(Time!BK20&lt;Time!$F$12,0,BJ43+Financials!BK14-BK41)</f>
        <v>15.3762162684428</v>
      </c>
      <c r="BL43" s="13" t="n">
        <f aca="false">IF(Time!BL20&lt;Time!$F$12,0,BK43+Financials!BL14-BL41)</f>
        <v>4.8736332599167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1396.78731284589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14.997189587262</v>
      </c>
      <c r="Q44" s="13" t="n">
        <f aca="false">Q34+Q35+Q41</f>
        <v>12.5371871305121</v>
      </c>
      <c r="R44" s="13" t="n">
        <f aca="false">R34+R35+R41</f>
        <v>13.4601473805023</v>
      </c>
      <c r="S44" s="13" t="n">
        <f aca="false">S34+S35+S41</f>
        <v>12.6487540869445</v>
      </c>
      <c r="T44" s="13" t="n">
        <f aca="false">T34+T35+T41</f>
        <v>13.3934512551275</v>
      </c>
      <c r="U44" s="13" t="n">
        <f aca="false">U34+U35+U41</f>
        <v>12.4325149877249</v>
      </c>
      <c r="V44" s="13" t="n">
        <f aca="false">V34+V35+V41</f>
        <v>13.6654648959126</v>
      </c>
      <c r="W44" s="13" t="n">
        <f aca="false">W34+W35+W41</f>
        <v>14.404561953598</v>
      </c>
      <c r="X44" s="13" t="n">
        <f aca="false">X34+X35+X41</f>
        <v>13.2807813101373</v>
      </c>
      <c r="Y44" s="13" t="n">
        <f aca="false">Y34+Y35+Y41</f>
        <v>12.4986661546243</v>
      </c>
      <c r="Z44" s="13" t="n">
        <f aca="false">Z34+Z35+Z41</f>
        <v>13.2020528452989</v>
      </c>
      <c r="AA44" s="13" t="n">
        <f aca="false">AA34+AA35+AA41</f>
        <v>6.18526964990857</v>
      </c>
      <c r="AB44" s="13" t="n">
        <f aca="false">AB34+AB35+AB41</f>
        <v>7.19416552841933</v>
      </c>
      <c r="AC44" s="13" t="n">
        <f aca="false">AC34+AC35+AC41</f>
        <v>6.86678897087803</v>
      </c>
      <c r="AD44" s="13" t="n">
        <f aca="false">AD34+AD35+AD41</f>
        <v>8.2088372521896</v>
      </c>
      <c r="AE44" s="13" t="n">
        <f aca="false">AE34+AE35+AE41</f>
        <v>8.82241226273076</v>
      </c>
      <c r="AF44" s="13" t="n">
        <f aca="false">AF34+AF35+AF41</f>
        <v>9.71942530961141</v>
      </c>
      <c r="AG44" s="13" t="n">
        <f aca="false">AG34+AG35+AG41</f>
        <v>10.1557640161825</v>
      </c>
      <c r="AH44" s="13" t="n">
        <f aca="false">AH34+AH35+AH41</f>
        <v>11.5387131006289</v>
      </c>
      <c r="AI44" s="13" t="n">
        <f aca="false">AI34+AI35+AI41</f>
        <v>12.4175779958468</v>
      </c>
      <c r="AJ44" s="13" t="n">
        <f aca="false">AJ34+AJ35+AJ41</f>
        <v>15.0551962854809</v>
      </c>
      <c r="AK44" s="13" t="n">
        <f aca="false">AK34+AK35+AK41</f>
        <v>31.8897157033808</v>
      </c>
      <c r="AL44" s="13" t="n">
        <f aca="false">AL34+AL35+AL41</f>
        <v>29.7062841581408</v>
      </c>
      <c r="AM44" s="13" t="n">
        <f aca="false">AM34+AM35+AM41</f>
        <v>33.3526211943647</v>
      </c>
      <c r="AN44" s="13" t="n">
        <f aca="false">AN34+AN35+AN41</f>
        <v>23.5011177675998</v>
      </c>
      <c r="AO44" s="13" t="n">
        <f aca="false">AO34+AO35+AO41</f>
        <v>41.5322726830367</v>
      </c>
      <c r="AP44" s="13" t="n">
        <f aca="false">AP34+AP35+AP41</f>
        <v>41.6216377830038</v>
      </c>
      <c r="AQ44" s="13" t="n">
        <f aca="false">AQ34+AQ35+AQ41</f>
        <v>41.1745993340732</v>
      </c>
      <c r="AR44" s="13" t="n">
        <f aca="false">AR34+AR35+AR41</f>
        <v>41.770960831035</v>
      </c>
      <c r="AS44" s="13" t="n">
        <f aca="false">AS34+AS35+AS41</f>
        <v>41.5056129118261</v>
      </c>
      <c r="AT44" s="13" t="n">
        <f aca="false">AT34+AT35+AT41</f>
        <v>48.238693031292</v>
      </c>
      <c r="AU44" s="13" t="n">
        <f aca="false">AU34+AU35+AU41</f>
        <v>43.8015207396234</v>
      </c>
      <c r="AV44" s="13" t="n">
        <f aca="false">AV34+AV35+AV41</f>
        <v>43.9250195431293</v>
      </c>
      <c r="AW44" s="13" t="n">
        <f aca="false">AW34+AW35+AW41</f>
        <v>43.5006347551928</v>
      </c>
      <c r="AX44" s="13" t="n">
        <f aca="false">AX34+AX35+AX41</f>
        <v>44.1754747855326</v>
      </c>
      <c r="AY44" s="13" t="n">
        <f aca="false">AY34+AY35+AY41</f>
        <v>43.7185522989792</v>
      </c>
      <c r="AZ44" s="13" t="n">
        <f aca="false">AZ34+AZ35+AZ41</f>
        <v>44.3364424388821</v>
      </c>
      <c r="BA44" s="13" t="n">
        <f aca="false">BA34+BA35+BA41</f>
        <v>43.543829720821</v>
      </c>
      <c r="BB44" s="13" t="n">
        <f aca="false">BB34+BB35+BB41</f>
        <v>44.7848097266784</v>
      </c>
      <c r="BC44" s="13" t="n">
        <f aca="false">BC34+BC35+BC41</f>
        <v>41.3693070627511</v>
      </c>
      <c r="BD44" s="13" t="n">
        <f aca="false">BD34+BD35+BD41</f>
        <v>35.2535532770043</v>
      </c>
      <c r="BE44" s="13" t="n">
        <f aca="false">BE34+BE35+BE41</f>
        <v>34.8037917507731</v>
      </c>
      <c r="BF44" s="13" t="n">
        <f aca="false">BF34+BF35+BF41</f>
        <v>35.4911261343409</v>
      </c>
      <c r="BG44" s="13" t="n">
        <f aca="false">BG34+BG35+BG41</f>
        <v>35.0063413826083</v>
      </c>
      <c r="BH44" s="13" t="n">
        <f aca="false">BH34+BH35+BH41</f>
        <v>35.6301644713499</v>
      </c>
      <c r="BI44" s="13" t="n">
        <f aca="false">BI34+BI35+BI41</f>
        <v>35.3515331654512</v>
      </c>
      <c r="BJ44" s="13" t="n">
        <f aca="false">BJ34+BJ35+BJ41</f>
        <v>43.3576219239654</v>
      </c>
      <c r="BK44" s="13" t="n">
        <f aca="false">BK34+BK35+BK41</f>
        <v>38.0900629941884</v>
      </c>
      <c r="BL44" s="13" t="n">
        <f aca="false">BL34+BL35+BL41</f>
        <v>38.8201016869331</v>
      </c>
      <c r="BM44" s="13" t="n">
        <f aca="false">BM34+BM35+BM41</f>
        <v>54.8489876304097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502.538628379193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30.4183629560524</v>
      </c>
      <c r="R9" s="13" t="n">
        <f aca="false">Debt!R112+Debt!R110+Debt!R104-Debt!R103+Tax!R13</f>
        <v>30.0968227928735</v>
      </c>
      <c r="S9" s="13" t="n">
        <f aca="false">Debt!S112+Debt!S110+Debt!S104-Debt!S103+Tax!S13</f>
        <v>28.9619946335699</v>
      </c>
      <c r="T9" s="13" t="n">
        <f aca="false">Debt!T112+Debt!T110+Debt!T104-Debt!T103+Tax!T13</f>
        <v>28.5565204994707</v>
      </c>
      <c r="U9" s="13" t="n">
        <f aca="false">Debt!U112+Debt!U110+Debt!U104-Debt!U103+Tax!U13</f>
        <v>27.490009250791</v>
      </c>
      <c r="V9" s="13" t="n">
        <f aca="false">Debt!V112+Debt!V110+Debt!V104-Debt!V103+Tax!V13</f>
        <v>26.8968827961556</v>
      </c>
      <c r="W9" s="13" t="n">
        <f aca="false">Debt!W112+Debt!W110+Debt!W104-Debt!W103+Tax!W13</f>
        <v>25.6422416146506</v>
      </c>
      <c r="X9" s="13" t="n">
        <f aca="false">Debt!X112+Debt!X110+Debt!X104-Debt!X103+Tax!X13</f>
        <v>24.9637526267375</v>
      </c>
      <c r="Y9" s="13" t="n">
        <f aca="false">Debt!Y112+Debt!Y110+Debt!Y104-Debt!Y103+Tax!Y13</f>
        <v>24.2226842243011</v>
      </c>
      <c r="Z9" s="13" t="n">
        <f aca="false">Debt!Z112+Debt!Z110+Debt!Z104-Debt!Z103+Tax!Z13</f>
        <v>23.5921923062484</v>
      </c>
      <c r="AA9" s="13" t="n">
        <f aca="false">Debt!AA112+Debt!AA110+Debt!AA104-Debt!AA103+Tax!AA13</f>
        <v>22.2980773556516</v>
      </c>
      <c r="AB9" s="13" t="n">
        <f aca="false">Debt!AB112+Debt!AB110+Debt!AB104-Debt!AB103+Tax!AB13</f>
        <v>21.5681805436356</v>
      </c>
      <c r="AC9" s="13" t="n">
        <f aca="false">Debt!AC112+Debt!AC110+Debt!AC104-Debt!AC103+Tax!AC13</f>
        <v>20.2701818213272</v>
      </c>
      <c r="AD9" s="13" t="n">
        <f aca="false">Debt!AD112+Debt!AD110+Debt!AD104-Debt!AD103+Tax!AD13</f>
        <v>19.3420256497124</v>
      </c>
      <c r="AE9" s="13" t="n">
        <f aca="false">Debt!AE112+Debt!AE110+Debt!AE104-Debt!AE103+Tax!AE13</f>
        <v>17.8370006565929</v>
      </c>
      <c r="AF9" s="13" t="n">
        <f aca="false">Debt!AF112+Debt!AF110+Debt!AF104-Debt!AF103+Tax!AF13</f>
        <v>16.7211259299159</v>
      </c>
      <c r="AG9" s="13" t="n">
        <f aca="false">Debt!AG112+Debt!AG110+Debt!AG104-Debt!AG103+Tax!AG13</f>
        <v>15.2923775297348</v>
      </c>
      <c r="AH9" s="13" t="n">
        <f aca="false">Debt!AH112+Debt!AH110+Debt!AH104-Debt!AH103+Tax!AH13</f>
        <v>14.00000441807</v>
      </c>
      <c r="AI9" s="13" t="n">
        <f aca="false">Debt!AI112+Debt!AI110+Debt!AI104-Debt!AI103+Tax!AI13</f>
        <v>12.2309735151664</v>
      </c>
      <c r="AJ9" s="13" t="n">
        <f aca="false">Debt!AJ112+Debt!AJ110+Debt!AJ104-Debt!AJ103+Tax!AJ13</f>
        <v>10.7341395887629</v>
      </c>
      <c r="AK9" s="13" t="n">
        <f aca="false">Debt!AK112+Debt!AK110+Debt!AK104-Debt!AK103+Tax!AK13</f>
        <v>8.8785859157716</v>
      </c>
      <c r="AL9" s="13" t="n">
        <f aca="false">Debt!AL112+Debt!AL110+Debt!AL104-Debt!AL103+Tax!AL13</f>
        <v>7.17165402330423</v>
      </c>
      <c r="AM9" s="13" t="n">
        <f aca="false">Debt!AM112+Debt!AM110+Debt!AM104-Debt!AM103+Tax!AM13</f>
        <v>5.33370360202661</v>
      </c>
      <c r="AN9" s="13" t="n">
        <f aca="false">Debt!AN112+Debt!AN110+Debt!AN104-Debt!AN103+Tax!AN13</f>
        <v>3.38924312403552</v>
      </c>
      <c r="AO9" s="13" t="n">
        <f aca="false">Debt!AO112+Debt!AO110+Debt!AO104-Debt!AO103+Tax!AO13</f>
        <v>1.86111981226642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-49.1206097715173</v>
      </c>
      <c r="Z12" s="13" t="n">
        <f aca="false">IF(Time!Z20&gt;=Time!$F$12,Inputs!$F$184/100*(Z11-Z10-Tax!Z21),0)</f>
        <v>-45.645622497627</v>
      </c>
      <c r="AA12" s="13" t="n">
        <f aca="false">IF(Time!AA20&gt;=Time!$F$12,Inputs!$F$184/100*(AA11-AA10-Tax!AA21),0)</f>
        <v>-41.7521858686443</v>
      </c>
      <c r="AB12" s="13" t="n">
        <f aca="false">IF(Time!AB20&gt;=Time!$F$12,Inputs!$F$184/100*(AB11-AB10-Tax!AB21),0)</f>
        <v>-37.6147437604545</v>
      </c>
      <c r="AC12" s="13" t="n">
        <f aca="false">IF(Time!AC20&gt;=Time!$F$12,Inputs!$F$184/100*(AC11-AC10-Tax!AC21),0)</f>
        <v>-33.0233804644075</v>
      </c>
      <c r="AD12" s="13" t="n">
        <f aca="false">IF(Time!AD20&gt;=Time!$F$12,Inputs!$F$184/100*(AD11-AD10-Tax!AD21),0)</f>
        <v>-31.8957033457135</v>
      </c>
      <c r="AE12" s="13" t="n">
        <f aca="false">IF(Time!AE20&gt;=Time!$F$12,Inputs!$F$184/100*(AE11-AE10-Tax!AE21),0)</f>
        <v>-26.4719185511241</v>
      </c>
      <c r="AF12" s="13" t="n">
        <f aca="false">IF(Time!AF20&gt;=Time!$F$12,Inputs!$F$184/100*(AF11-AF10-Tax!AF21),0)</f>
        <v>-20.7362442974198</v>
      </c>
      <c r="AG12" s="13" t="n">
        <f aca="false">IF(Time!AG20&gt;=Time!$F$12,Inputs!$F$184/100*(AG11-AG10-Tax!AG21),0)</f>
        <v>-14.5296034075718</v>
      </c>
      <c r="AH12" s="13" t="n">
        <f aca="false">IF(Time!AH20&gt;=Time!$F$12,Inputs!$F$184/100*(AH11-AH10-Tax!AH21),0)</f>
        <v>-7.88700922143433</v>
      </c>
      <c r="AI12" s="13" t="n">
        <f aca="false">IF(Time!AI20&gt;=Time!$F$12,Inputs!$F$184/100*(AI11-AI10-Tax!AI21),0)</f>
        <v>-0.681362366647343</v>
      </c>
      <c r="AJ12" s="13" t="n">
        <f aca="false">IF(Time!AJ20&gt;=Time!$F$12,Inputs!$F$184/100*(AJ11-AJ10-Tax!AJ21),0)</f>
        <v>7.00035082662446</v>
      </c>
      <c r="AK12" s="13" t="n">
        <f aca="false">IF(Time!AK20&gt;=Time!$F$12,Inputs!$F$184/100*(AK11-AK10-Tax!AK21),0)</f>
        <v>15.2972527640104</v>
      </c>
      <c r="AL12" s="13" t="n">
        <f aca="false">IF(Time!AL20&gt;=Time!$F$12,Inputs!$F$184/100*(AL11-AL10-Tax!AL21),0)</f>
        <v>23.2945065903223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-2.26616284006962</v>
      </c>
      <c r="Z13" s="13" t="n">
        <f aca="false">Z12-Y12</f>
        <v>3.47498727389027</v>
      </c>
      <c r="AA13" s="13" t="n">
        <f aca="false">AA12-Z12</f>
        <v>3.89343662898278</v>
      </c>
      <c r="AB13" s="13" t="n">
        <f aca="false">AB12-AA12</f>
        <v>4.13744210818977</v>
      </c>
      <c r="AC13" s="13" t="n">
        <f aca="false">AC12-AB12</f>
        <v>4.59136329604697</v>
      </c>
      <c r="AD13" s="13" t="n">
        <f aca="false">AD12-AC12</f>
        <v>1.12767711869405</v>
      </c>
      <c r="AE13" s="13" t="n">
        <f aca="false">AE12-AD12</f>
        <v>5.42378479458938</v>
      </c>
      <c r="AF13" s="13" t="n">
        <f aca="false">AF12-AE12</f>
        <v>5.73567425370429</v>
      </c>
      <c r="AG13" s="13" t="n">
        <f aca="false">AG12-AF12</f>
        <v>6.20664088984801</v>
      </c>
      <c r="AH13" s="13" t="n">
        <f aca="false">AH12-AG12</f>
        <v>6.64259418613745</v>
      </c>
      <c r="AI13" s="13" t="n">
        <f aca="false">AI12-AH12</f>
        <v>7.20564685478699</v>
      </c>
      <c r="AJ13" s="13" t="n">
        <f aca="false">AJ12-AI12</f>
        <v>7.6817131932718</v>
      </c>
      <c r="AK13" s="13" t="n">
        <f aca="false">AK12-AJ12</f>
        <v>8.29690193738595</v>
      </c>
      <c r="AL13" s="13" t="n">
        <f aca="false">AL12-AK12</f>
        <v>7.99725382631186</v>
      </c>
      <c r="AM13" s="13" t="n">
        <f aca="false">AM12-AL12</f>
        <v>8.66691970934386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960.971101829606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8.73739886549769</v>
      </c>
      <c r="R14" s="13" t="n">
        <f aca="false">Operations!R84-R8-R9-Tax!R27-R13</f>
        <v>9.20599349377529</v>
      </c>
      <c r="S14" s="13" t="n">
        <f aca="false">Operations!S84-S8-S9-Tax!S27-S13</f>
        <v>10.4349141119303</v>
      </c>
      <c r="T14" s="13" t="n">
        <f aca="false">Operations!T84-T8-T9-Tax!T27-T13</f>
        <v>10.9177275744264</v>
      </c>
      <c r="U14" s="13" t="n">
        <f aca="false">Operations!U84-U8-U9-Tax!U27-U13</f>
        <v>12.1488540864619</v>
      </c>
      <c r="V14" s="13" t="n">
        <f aca="false">Operations!V84-V8-V9-Tax!V27-V13</f>
        <v>10.4644708829646</v>
      </c>
      <c r="W14" s="13" t="n">
        <f aca="false">Operations!W84-W8-W9-Tax!W27-W13</f>
        <v>14.2755938528278</v>
      </c>
      <c r="X14" s="13" t="n">
        <f aca="false">Operations!X84-X8-X9-Tax!X27-X13</f>
        <v>14.9542950783978</v>
      </c>
      <c r="Y14" s="13" t="n">
        <f aca="false">Operations!Y84-Y8-Y9-Tax!Y27-Y13</f>
        <v>12.9539506973443</v>
      </c>
      <c r="Z14" s="13" t="n">
        <f aca="false">Operations!Z84-Z8-Z9-Tax!Z27-Z13</f>
        <v>7.75281210440376</v>
      </c>
      <c r="AA14" s="13" t="n">
        <f aca="false">Operations!AA84-AA8-AA9-Tax!AA27-AA13</f>
        <v>8.72741890702061</v>
      </c>
      <c r="AB14" s="13" t="n">
        <f aca="false">Operations!AB84-AB8-AB9-Tax!AB27-AB13</f>
        <v>9.29483190094462</v>
      </c>
      <c r="AC14" s="13" t="n">
        <f aca="false">Operations!AC84-AC8-AC9-Tax!AC27-AC13</f>
        <v>10.3530916236297</v>
      </c>
      <c r="AD14" s="13" t="n">
        <f aca="false">Operations!AD84-AD8-AD9-Tax!AD27-AD13</f>
        <v>2.27566442034413</v>
      </c>
      <c r="AE14" s="13" t="n">
        <f aca="false">Operations!AE84-AE8-AE9-Tax!AE27-AE13</f>
        <v>12.2928185822269</v>
      </c>
      <c r="AF14" s="13" t="n">
        <f aca="false">Operations!AF84-AF8-AF9-Tax!AF27-AF13</f>
        <v>13.0172186064882</v>
      </c>
      <c r="AG14" s="13" t="n">
        <f aca="false">Operations!AG84-AG8-AG9-Tax!AG27-AG13</f>
        <v>14.1145342746973</v>
      </c>
      <c r="AH14" s="13" t="n">
        <f aca="false">Operations!AH84-AH8-AH9-Tax!AH27-AH13</f>
        <v>15.1302826842238</v>
      </c>
      <c r="AI14" s="13" t="n">
        <f aca="false">Operations!AI84-AI8-AI9-Tax!AI27-AI13</f>
        <v>16.4421397039156</v>
      </c>
      <c r="AJ14" s="13" t="n">
        <f aca="false">Operations!AJ84-AJ8-AJ9-Tax!AJ27-AJ13</f>
        <v>17.5508571061804</v>
      </c>
      <c r="AK14" s="13" t="n">
        <f aca="false">Operations!AK84-AK8-AK9-Tax!AK27-AK13</f>
        <v>18.9850062472035</v>
      </c>
      <c r="AL14" s="13" t="n">
        <f aca="false">Operations!AL84-AL8-AL9-Tax!AL27-AL13</f>
        <v>18.2850692924542</v>
      </c>
      <c r="AM14" s="13" t="n">
        <f aca="false">Operations!AM84-AM8-AM9-Tax!AM27-AM13</f>
        <v>22.072339265465</v>
      </c>
      <c r="AN14" s="13" t="n">
        <f aca="false">Operations!AN84-AN8-AN9-Tax!AN27-AN13</f>
        <v>23.4294461852691</v>
      </c>
      <c r="AO14" s="13" t="n">
        <f aca="false">Operations!AO84-AO8-AO9-Tax!AO27-AO13</f>
        <v>24.6059271456845</v>
      </c>
      <c r="AP14" s="13" t="n">
        <f aca="false">Operations!AP84-AP8-AP9-Tax!AP27-AP13</f>
        <v>26.0318612992837</v>
      </c>
      <c r="AQ14" s="13" t="n">
        <f aca="false">Operations!AQ84-AQ8-AQ9-Tax!AQ27-AQ13</f>
        <v>26.1126496429099</v>
      </c>
      <c r="AR14" s="13" t="n">
        <f aca="false">Operations!AR84-AR8-AR9-Tax!AR27-AR13</f>
        <v>26.1806719645871</v>
      </c>
      <c r="AS14" s="13" t="n">
        <f aca="false">Operations!AS84-AS8-AS9-Tax!AS27-AS13</f>
        <v>26.3604234658657</v>
      </c>
      <c r="AT14" s="13" t="n">
        <f aca="false">Operations!AT84-AT8-AT9-Tax!AT27-AT13</f>
        <v>16.0519053247154</v>
      </c>
      <c r="AU14" s="13" t="n">
        <f aca="false">Operations!AU84-AU8-AU9-Tax!AU27-AU13</f>
        <v>26.6452169113457</v>
      </c>
      <c r="AV14" s="13" t="n">
        <f aca="false">Operations!AV84-AV8-AV9-Tax!AV27-AV13</f>
        <v>26.5747662879706</v>
      </c>
      <c r="AW14" s="13" t="n">
        <f aca="false">Operations!AW84-AW8-AW9-Tax!AW27-AW13</f>
        <v>26.6902197712709</v>
      </c>
      <c r="AX14" s="13" t="n">
        <f aca="false">Operations!AX84-AX8-AX9-Tax!AX27-AX13</f>
        <v>26.8249394586759</v>
      </c>
      <c r="AY14" s="13" t="n">
        <f aca="false">Operations!AY84-AY8-AY9-Tax!AY27-AY13</f>
        <v>26.9114277808981</v>
      </c>
      <c r="AZ14" s="13" t="n">
        <f aca="false">Operations!AZ84-AZ8-AZ9-Tax!AZ27-AZ13</f>
        <v>26.9848287866456</v>
      </c>
      <c r="BA14" s="13" t="n">
        <f aca="false">Operations!BA84-BA8-BA9-Tax!BA27-BA13</f>
        <v>27.1466955706037</v>
      </c>
      <c r="BB14" s="13" t="n">
        <f aca="false">Operations!BB84-BB8-BB9-Tax!BB27-BB13</f>
        <v>24.896363932106</v>
      </c>
      <c r="BC14" s="13" t="n">
        <f aca="false">Operations!BC84-BC8-BC9-Tax!BC27-BC13</f>
        <v>27.4211309982796</v>
      </c>
      <c r="BD14" s="13" t="n">
        <f aca="false">Operations!BD84-BD8-BD9-Tax!BD27-BD13</f>
        <v>27.4115150558443</v>
      </c>
      <c r="BE14" s="13" t="n">
        <f aca="false">Operations!BE84-BE8-BE9-Tax!BE27-BE13</f>
        <v>27.5363460238005</v>
      </c>
      <c r="BF14" s="13" t="n">
        <f aca="false">Operations!BF84-BF8-BF9-Tax!BF27-BF13</f>
        <v>27.6837076038329</v>
      </c>
      <c r="BG14" s="13" t="n">
        <f aca="false">Operations!BG84-BG8-BG9-Tax!BG27-BG13</f>
        <v>27.7763031039155</v>
      </c>
      <c r="BH14" s="13" t="n">
        <f aca="false">Operations!BH84-BH8-BH9-Tax!BH27-BH13</f>
        <v>27.8555079401187</v>
      </c>
      <c r="BI14" s="13" t="n">
        <f aca="false">Operations!BI84-BI8-BI9-Tax!BI27-BI13</f>
        <v>28.0701250949518</v>
      </c>
      <c r="BJ14" s="13" t="n">
        <f aca="false">Operations!BJ84-BJ8-BJ9-Tax!BJ27-BJ13</f>
        <v>15.8857342672012</v>
      </c>
      <c r="BK14" s="13" t="n">
        <f aca="false">Operations!BK84-BK8-BK9-Tax!BK27-BK13</f>
        <v>28.4093500880614</v>
      </c>
      <c r="BL14" s="13" t="n">
        <f aca="false">Operations!BL84-BL8-BL9-Tax!BL27-BL13</f>
        <v>28.3175186784069</v>
      </c>
      <c r="BM14" s="13" t="n">
        <f aca="false">Operations!BM84-BM8-BM9-Tax!BM27-BM13</f>
        <v>5.60860085368141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46.0785090947744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48.640164340739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36.0663399929661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35.1472363198872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34.1814551053197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33.6823059639242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32.3237204212107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31.0969288468075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28.9472002366722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49.1206097715173</v>
      </c>
      <c r="Z20" s="13" t="n">
        <f aca="false">MAX(0,-Z12)</f>
        <v>45.645622497627</v>
      </c>
      <c r="AA20" s="13" t="n">
        <f aca="false">MAX(0,-AA12)</f>
        <v>41.7521858686443</v>
      </c>
      <c r="AB20" s="13" t="n">
        <f aca="false">MAX(0,-AB12)</f>
        <v>37.6147437604545</v>
      </c>
      <c r="AC20" s="13" t="n">
        <f aca="false">MAX(0,-AC12)</f>
        <v>33.0233804644075</v>
      </c>
      <c r="AD20" s="13" t="n">
        <f aca="false">MAX(0,-AD12)</f>
        <v>31.8957033457135</v>
      </c>
      <c r="AE20" s="13" t="n">
        <f aca="false">MAX(0,-AE12)</f>
        <v>26.4719185511241</v>
      </c>
      <c r="AF20" s="13" t="n">
        <f aca="false">MAX(0,-AF12)</f>
        <v>20.7362442974198</v>
      </c>
      <c r="AG20" s="13" t="n">
        <f aca="false">MAX(0,-AG12)</f>
        <v>14.5296034075718</v>
      </c>
      <c r="AH20" s="13" t="n">
        <f aca="false">MAX(0,-AH12)</f>
        <v>7.88700922143433</v>
      </c>
      <c r="AI20" s="13" t="n">
        <f aca="false">MAX(0,-AI12)</f>
        <v>0.681362366647343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902.970860103629</v>
      </c>
      <c r="Q21" s="13" t="n">
        <f aca="false">Q16+Q17+Q18+Q19+Q20</f>
        <v>893.174185169152</v>
      </c>
      <c r="R21" s="13" t="n">
        <f aca="false">R16+R17+R18+R19+R20</f>
        <v>880.908176657117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801.467119781521</v>
      </c>
      <c r="Z21" s="13" t="n">
        <f aca="false">Z16+Z17+Z18+Z19+Z20</f>
        <v>782.215473830459</v>
      </c>
      <c r="AA21" s="13" t="n">
        <f aca="false">AA16+AA17+AA18+AA19+AA20</f>
        <v>765.260681394723</v>
      </c>
      <c r="AB21" s="13" t="n">
        <f aca="false">AB16+AB17+AB18+AB19+AB20</f>
        <v>745.151054834773</v>
      </c>
      <c r="AC21" s="13" t="n">
        <f aca="false">AC16+AC17+AC18+AC19+AC20</f>
        <v>726.935926862879</v>
      </c>
      <c r="AD21" s="13" t="n">
        <f aca="false">AD16+AD17+AD18+AD19+AD20</f>
        <v>695.031425100091</v>
      </c>
      <c r="AE21" s="13" t="n">
        <f aca="false">AE16+AE17+AE18+AE19+AE20</f>
        <v>673.831796993694</v>
      </c>
      <c r="AF21" s="13" t="n">
        <f aca="false">AF16+AF17+AF18+AF19+AF20</f>
        <v>650.721343932667</v>
      </c>
      <c r="AG21" s="13" t="n">
        <f aca="false">AG16+AG17+AG18+AG19+AG20</f>
        <v>628.460397123491</v>
      </c>
      <c r="AH21" s="13" t="n">
        <f aca="false">AH16+AH17+AH18+AH19+AH20</f>
        <v>602.9621664433</v>
      </c>
      <c r="AI21" s="13" t="n">
        <f aca="false">AI16+AI17+AI18+AI19+AI20</f>
        <v>579.154133160309</v>
      </c>
      <c r="AJ21" s="13" t="n">
        <f aca="false">AJ16+AJ17+AJ18+AJ19+AJ20</f>
        <v>559.147116499572</v>
      </c>
      <c r="AK21" s="13" t="n">
        <f aca="false">AK16+AK17+AK18+AK19+AK20</f>
        <v>540.916742997188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400.593188265099</v>
      </c>
      <c r="AB22" s="13" t="n">
        <f aca="false">IF(Time!AB20&lt;Time!$F$12,SUMIFS(Funding!$J$73:$BJ$73,Construction!$J$12:$BJ$12,"&lt;="&amp;Time!AB20),Debt!AB116)</f>
        <v>371.166876946112</v>
      </c>
      <c r="AC22" s="13" t="n">
        <f aca="false">IF(Time!AC20&lt;Time!$F$12,SUMIFS(Funding!$J$73:$BJ$73,Construction!$J$12:$BJ$12,"&lt;="&amp;Time!AC20),Debt!AC116)</f>
        <v>341.768152189568</v>
      </c>
      <c r="AD22" s="13" t="n">
        <f aca="false">IF(Time!AD20&lt;Time!$F$12,SUMIFS(Funding!$J$73:$BJ$73,Construction!$J$12:$BJ$12,"&lt;="&amp;Time!AD20),Debt!AD116)</f>
        <v>309.44067582598</v>
      </c>
      <c r="AE22" s="13" t="n">
        <f aca="false">IF(Time!AE20&lt;Time!$F$12,SUMIFS(Funding!$J$73:$BJ$73,Construction!$J$12:$BJ$12,"&lt;="&amp;Time!AE20),Debt!AE116)</f>
        <v>276.113065824288</v>
      </c>
      <c r="AF22" s="13" t="n">
        <f aca="false">IF(Time!AF20&lt;Time!$F$12,SUMIFS(Funding!$J$73:$BJ$73,Construction!$J$12:$BJ$12,"&lt;="&amp;Time!AF20),Debt!AF116)</f>
        <v>241.814125546661</v>
      </c>
      <c r="AG22" s="13" t="n">
        <f aca="false">IF(Time!AG20&lt;Time!$F$12,SUMIFS(Funding!$J$73:$BJ$73,Construction!$J$12:$BJ$12,"&lt;="&amp;Time!AG20),Debt!AG116)</f>
        <v>207.587608467207</v>
      </c>
      <c r="AH22" s="13" t="n">
        <f aca="false">IF(Time!AH20&lt;Time!$F$12,SUMIFS(Funding!$J$73:$BJ$73,Construction!$J$12:$BJ$12,"&lt;="&amp;Time!AH20),Debt!AH116)</f>
        <v>171.948797344354</v>
      </c>
      <c r="AI22" s="13" t="n">
        <f aca="false">IF(Time!AI20&lt;Time!$F$12,SUMIFS(Funding!$J$73:$BJ$73,Construction!$J$12:$BJ$12,"&lt;="&amp;Time!AI20),Debt!AI116)</f>
        <v>136.283529921639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199.675119693527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196.544545393509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192.496997063632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188.916697400001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184.570544420358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180.881110838189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175.878116675021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169.759100519305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164.608152297051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159.864108549955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154.318013560692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155.402602111266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155.650731062038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156.157095899551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155.42668614414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153.926361191679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151.578532576946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148.563570937916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144.139628303026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138.512408961071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130.090628863644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104.3632884289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79.6550050426414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50.0548984009019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28.9509302882274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7.00035082662446</v>
      </c>
      <c r="AK25" s="13" t="n">
        <f aca="false">MAX(0,AK12)</f>
        <v>15.2972527640104</v>
      </c>
      <c r="AL25" s="13" t="n">
        <f aca="false">MAX(0,AL12)</f>
        <v>23.2945065903223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25.898034096354</v>
      </c>
      <c r="R27" s="18" t="n">
        <f aca="false">Waterfall!R43</f>
        <v>35.1040275901293</v>
      </c>
      <c r="S27" s="18" t="n">
        <f aca="false">Waterfall!S43</f>
        <v>45.5389417020597</v>
      </c>
      <c r="T27" s="18" t="n">
        <f aca="false">Waterfall!T43</f>
        <v>56.456669276486</v>
      </c>
      <c r="U27" s="18" t="n">
        <f aca="false">Waterfall!U43</f>
        <v>68.6055233629479</v>
      </c>
      <c r="V27" s="18" t="n">
        <f aca="false">Waterfall!V43</f>
        <v>79.0699942459125</v>
      </c>
      <c r="W27" s="18" t="n">
        <f aca="false">Waterfall!W43</f>
        <v>93.3455880987403</v>
      </c>
      <c r="X27" s="18" t="n">
        <f aca="false">Waterfall!X43</f>
        <v>108.299883177138</v>
      </c>
      <c r="Y27" s="18" t="n">
        <f aca="false">Waterfall!Y43</f>
        <v>121.253833874482</v>
      </c>
      <c r="Z27" s="18" t="n">
        <f aca="false">Waterfall!Z43</f>
        <v>129.006645978886</v>
      </c>
      <c r="AA27" s="18" t="n">
        <f aca="false">Waterfall!AA43</f>
        <v>137.734064885907</v>
      </c>
      <c r="AB27" s="18" t="n">
        <f aca="false">Waterfall!AB43</f>
        <v>147.028896786851</v>
      </c>
      <c r="AC27" s="18" t="n">
        <f aca="false">Waterfall!AC43</f>
        <v>157.381988410481</v>
      </c>
      <c r="AD27" s="18" t="n">
        <f aca="false">Waterfall!AD43</f>
        <v>159.657652830825</v>
      </c>
      <c r="AE27" s="18" t="n">
        <f aca="false">Waterfall!AE43</f>
        <v>171.950471413052</v>
      </c>
      <c r="AF27" s="18" t="n">
        <f aca="false">Waterfall!AF43</f>
        <v>184.96769001954</v>
      </c>
      <c r="AG27" s="18" t="n">
        <f aca="false">Waterfall!AG43</f>
        <v>199.082224294238</v>
      </c>
      <c r="AH27" s="18" t="n">
        <f aca="false">Waterfall!AH43</f>
        <v>214.212506978461</v>
      </c>
      <c r="AI27" s="18" t="n">
        <f aca="false">Waterfall!AI43</f>
        <v>230.654646682377</v>
      </c>
      <c r="AJ27" s="18" t="n">
        <f aca="false">Waterfall!AJ43</f>
        <v>248.205503788557</v>
      </c>
      <c r="AK27" s="18" t="n">
        <f aca="false">Waterfall!AK43</f>
        <v>267.190510035761</v>
      </c>
      <c r="AL27" s="18" t="n">
        <f aca="false">Waterfall!AL43</f>
        <v>285.475579328215</v>
      </c>
      <c r="AM27" s="18" t="n">
        <f aca="false">Waterfall!AM43</f>
        <v>307.54791859368</v>
      </c>
      <c r="AN27" s="18" t="n">
        <f aca="false">Waterfall!AN43</f>
        <v>330.977364778949</v>
      </c>
      <c r="AO27" s="18" t="n">
        <f aca="false">Waterfall!AO43</f>
        <v>344.36581595806</v>
      </c>
      <c r="AP27" s="18" t="n">
        <f aca="false">Waterfall!AP43</f>
        <v>328.77603947434</v>
      </c>
      <c r="AQ27" s="18" t="n">
        <f aca="false">Waterfall!AQ43</f>
        <v>313.714089783177</v>
      </c>
      <c r="AR27" s="18" t="n">
        <f aca="false">Waterfall!AR43</f>
        <v>298.123800916729</v>
      </c>
      <c r="AS27" s="18" t="n">
        <f aca="false">Waterfall!AS43</f>
        <v>282.978611470769</v>
      </c>
      <c r="AT27" s="18" t="n">
        <f aca="false">Waterfall!AT43</f>
        <v>250.791823764192</v>
      </c>
      <c r="AU27" s="18" t="n">
        <f aca="false">Waterfall!AU43</f>
        <v>233.635519935914</v>
      </c>
      <c r="AV27" s="18" t="n">
        <f aca="false">Waterfall!AV43</f>
        <v>216.285266680756</v>
      </c>
      <c r="AW27" s="18" t="n">
        <f aca="false">Waterfall!AW43</f>
        <v>199.474851696834</v>
      </c>
      <c r="AX27" s="18" t="n">
        <f aca="false">Waterfall!AX43</f>
        <v>182.124316369977</v>
      </c>
      <c r="AY27" s="18" t="n">
        <f aca="false">Waterfall!AY43</f>
        <v>165.317191851896</v>
      </c>
      <c r="AZ27" s="18" t="n">
        <f aca="false">Waterfall!AZ43</f>
        <v>147.965578199659</v>
      </c>
      <c r="BA27" s="18" t="n">
        <f aca="false">Waterfall!BA43</f>
        <v>131.568444049442</v>
      </c>
      <c r="BB27" s="18" t="n">
        <f aca="false">Waterfall!BB43</f>
        <v>111.67999825487</v>
      </c>
      <c r="BC27" s="18" t="n">
        <f aca="false">Waterfall!BC43</f>
        <v>97.7318221903982</v>
      </c>
      <c r="BD27" s="18" t="n">
        <f aca="false">Waterfall!BD43</f>
        <v>89.8897839692382</v>
      </c>
      <c r="BE27" s="18" t="n">
        <f aca="false">Waterfall!BE43</f>
        <v>82.6223382422656</v>
      </c>
      <c r="BF27" s="18" t="n">
        <f aca="false">Waterfall!BF43</f>
        <v>74.8149197117576</v>
      </c>
      <c r="BG27" s="18" t="n">
        <f aca="false">Waterfall!BG43</f>
        <v>67.5848814330647</v>
      </c>
      <c r="BH27" s="18" t="n">
        <f aca="false">Waterfall!BH43</f>
        <v>59.8102249018335</v>
      </c>
      <c r="BI27" s="18" t="n">
        <f aca="false">Waterfall!BI43</f>
        <v>52.5288168313341</v>
      </c>
      <c r="BJ27" s="18" t="n">
        <f aca="false">Waterfall!BJ43</f>
        <v>25.0569291745698</v>
      </c>
      <c r="BK27" s="18" t="n">
        <f aca="false">Waterfall!BK43</f>
        <v>15.3762162684428</v>
      </c>
      <c r="BL27" s="18" t="n">
        <f aca="false">Waterfall!BL43</f>
        <v>4.8736332599167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902.970860103629</v>
      </c>
      <c r="Q28" s="13" t="n">
        <f aca="false">Q22+Q23+Q24+Q25+Q26+Q27</f>
        <v>893.174185169152</v>
      </c>
      <c r="R28" s="13" t="n">
        <f aca="false">R22+R23+R24+R25+R26+R27</f>
        <v>880.908176657117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801.467119781521</v>
      </c>
      <c r="Z28" s="13" t="n">
        <f aca="false">Z22+Z23+Z24+Z25+Z26+Z27</f>
        <v>782.215473830458</v>
      </c>
      <c r="AA28" s="13" t="n">
        <f aca="false">AA22+AA23+AA24+AA25+AA26+AA27</f>
        <v>765.260681394723</v>
      </c>
      <c r="AB28" s="13" t="n">
        <f aca="false">AB22+AB23+AB24+AB25+AB26+AB27</f>
        <v>745.151054834773</v>
      </c>
      <c r="AC28" s="13" t="n">
        <f aca="false">AC22+AC23+AC24+AC25+AC26+AC27</f>
        <v>726.935926862879</v>
      </c>
      <c r="AD28" s="13" t="n">
        <f aca="false">AD22+AD23+AD24+AD25+AD26+AD27</f>
        <v>695.031425100091</v>
      </c>
      <c r="AE28" s="13" t="n">
        <f aca="false">AE22+AE23+AE24+AE25+AE26+AE27</f>
        <v>673.831796993694</v>
      </c>
      <c r="AF28" s="13" t="n">
        <f aca="false">AF22+AF23+AF24+AF25+AF26+AF27</f>
        <v>650.721343932667</v>
      </c>
      <c r="AG28" s="13" t="n">
        <f aca="false">AG22+AG23+AG24+AG25+AG26+AG27</f>
        <v>628.460397123491</v>
      </c>
      <c r="AH28" s="13" t="n">
        <f aca="false">AH22+AH23+AH24+AH25+AH26+AH27</f>
        <v>602.9621664433</v>
      </c>
      <c r="AI28" s="13" t="n">
        <f aca="false">AI22+AI23+AI24+AI25+AI26+AI27</f>
        <v>579.154133160309</v>
      </c>
      <c r="AJ28" s="13" t="n">
        <f aca="false">AJ22+AJ23+AJ24+AJ25+AJ26+AJ27</f>
        <v>559.147116499572</v>
      </c>
      <c r="AK28" s="13" t="n">
        <f aca="false">AK22+AK23+AK24+AK25+AK26+AK27</f>
        <v>540.916742997188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-317.657492888827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-0.792654261569698</v>
      </c>
      <c r="AN33" s="13" t="n">
        <f aca="false">-Tax!AN27</f>
        <v>-9.03716735944146</v>
      </c>
      <c r="AO33" s="13" t="n">
        <f aca="false">-Tax!AO27</f>
        <v>-9.54137348533374</v>
      </c>
      <c r="AP33" s="13" t="n">
        <f aca="false">-Tax!AP27</f>
        <v>-10.1524881225905</v>
      </c>
      <c r="AQ33" s="13" t="n">
        <f aca="false">-Tax!AQ27</f>
        <v>-10.1871116984304</v>
      </c>
      <c r="AR33" s="13" t="n">
        <f aca="false">-Tax!AR27</f>
        <v>-10.2162641220063</v>
      </c>
      <c r="AS33" s="13" t="n">
        <f aca="false">-Tax!AS27</f>
        <v>-10.2933004796971</v>
      </c>
      <c r="AT33" s="13" t="n">
        <f aca="false">-Tax!AT27</f>
        <v>-5.87536413348984</v>
      </c>
      <c r="AU33" s="13" t="n">
        <f aca="false">-Tax!AU27</f>
        <v>-10.4153548134743</v>
      </c>
      <c r="AV33" s="13" t="n">
        <f aca="false">-Tax!AV27</f>
        <v>-10.3851616891707</v>
      </c>
      <c r="AW33" s="13" t="n">
        <f aca="false">-Tax!AW27</f>
        <v>-10.4346417534422</v>
      </c>
      <c r="AX33" s="13" t="n">
        <f aca="false">-Tax!AX27</f>
        <v>-10.4923787623301</v>
      </c>
      <c r="AY33" s="13" t="n">
        <f aca="false">-Tax!AY27</f>
        <v>-10.5294451861396</v>
      </c>
      <c r="AZ33" s="13" t="n">
        <f aca="false">-Tax!AZ27</f>
        <v>-10.5609027600314</v>
      </c>
      <c r="BA33" s="13" t="n">
        <f aca="false">-Tax!BA27</f>
        <v>-10.6302742388706</v>
      </c>
      <c r="BB33" s="13" t="n">
        <f aca="false">-Tax!BB27</f>
        <v>-9.66584639380012</v>
      </c>
      <c r="BC33" s="13" t="n">
        <f aca="false">-Tax!BC27</f>
        <v>-12.672268492559</v>
      </c>
      <c r="BD33" s="13" t="n">
        <f aca="false">-Tax!BD27</f>
        <v>-16.5169055151699</v>
      </c>
      <c r="BE33" s="13" t="n">
        <f aca="false">-Tax!BE27</f>
        <v>-16.5704045014369</v>
      </c>
      <c r="BF33" s="13" t="n">
        <f aca="false">-Tax!BF27</f>
        <v>-16.6335594643079</v>
      </c>
      <c r="BG33" s="13" t="n">
        <f aca="false">-Tax!BG27</f>
        <v>-16.6732432500576</v>
      </c>
      <c r="BH33" s="13" t="n">
        <f aca="false">-Tax!BH27</f>
        <v>-16.7071881798589</v>
      </c>
      <c r="BI33" s="13" t="n">
        <f aca="false">-Tax!BI27</f>
        <v>-16.7991669605017</v>
      </c>
      <c r="BJ33" s="13" t="n">
        <f aca="false">-Tax!BJ27</f>
        <v>-11.57728517718</v>
      </c>
      <c r="BK33" s="13" t="n">
        <f aca="false">-Tax!BK27</f>
        <v>-16.9445491004058</v>
      </c>
      <c r="BL33" s="13" t="n">
        <f aca="false">-Tax!BL27</f>
        <v>-16.9051927819825</v>
      </c>
      <c r="BM33" s="13" t="n">
        <f aca="false">-Tax!BM27</f>
        <v>-5.58309497906883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2305.54628255608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50.1619722181901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52.4846384492289</v>
      </c>
      <c r="AN36" s="13" t="n">
        <f aca="false">AN32+AN33+AN34+AN35</f>
        <v>42.407025515208</v>
      </c>
      <c r="AO36" s="13" t="n">
        <f aca="false">AO32+AO33+AO34+AO35</f>
        <v>41.5322726830367</v>
      </c>
      <c r="AP36" s="13" t="n">
        <f aca="false">AP32+AP33+AP34+AP35</f>
        <v>41.6216377830038</v>
      </c>
      <c r="AQ36" s="13" t="n">
        <f aca="false">AQ32+AQ33+AQ34+AQ35</f>
        <v>41.1745993340732</v>
      </c>
      <c r="AR36" s="13" t="n">
        <f aca="false">AR32+AR33+AR34+AR35</f>
        <v>41.770960831035</v>
      </c>
      <c r="AS36" s="13" t="n">
        <f aca="false">AS32+AS33+AS34+AS35</f>
        <v>41.5056129118261</v>
      </c>
      <c r="AT36" s="13" t="n">
        <f aca="false">AT32+AT33+AT34+AT35</f>
        <v>48.238693031292</v>
      </c>
      <c r="AU36" s="13" t="n">
        <f aca="false">AU32+AU33+AU34+AU35</f>
        <v>43.8015207396234</v>
      </c>
      <c r="AV36" s="13" t="n">
        <f aca="false">AV32+AV33+AV34+AV35</f>
        <v>43.9250195431293</v>
      </c>
      <c r="AW36" s="13" t="n">
        <f aca="false">AW32+AW33+AW34+AW35</f>
        <v>43.5006347551928</v>
      </c>
      <c r="AX36" s="13" t="n">
        <f aca="false">AX32+AX33+AX34+AX35</f>
        <v>44.1754747855326</v>
      </c>
      <c r="AY36" s="13" t="n">
        <f aca="false">AY32+AY33+AY34+AY35</f>
        <v>43.7185522989792</v>
      </c>
      <c r="AZ36" s="13" t="n">
        <f aca="false">AZ32+AZ33+AZ34+AZ35</f>
        <v>44.3364424388821</v>
      </c>
      <c r="BA36" s="13" t="n">
        <f aca="false">BA32+BA33+BA34+BA35</f>
        <v>44.0387981074297</v>
      </c>
      <c r="BB36" s="13" t="n">
        <f aca="false">BB32+BB33+BB34+BB35</f>
        <v>46.2859599813229</v>
      </c>
      <c r="BC36" s="13" t="n">
        <f aca="false">BC32+BC33+BC34+BC35</f>
        <v>42.8868801360933</v>
      </c>
      <c r="BD36" s="13" t="n">
        <f aca="false">BD32+BD33+BD34+BD35</f>
        <v>36.7877288372509</v>
      </c>
      <c r="BE36" s="13" t="n">
        <f aca="false">BE32+BE33+BE34+BE35</f>
        <v>36.3547514317289</v>
      </c>
      <c r="BF36" s="13" t="n">
        <f aca="false">BF32+BF33+BF34+BF35</f>
        <v>37.0590535569129</v>
      </c>
      <c r="BG36" s="13" t="n">
        <f aca="false">BG32+BG33+BG34+BG35</f>
        <v>36.5914221765451</v>
      </c>
      <c r="BH36" s="13" t="n">
        <f aca="false">BH32+BH33+BH34+BH35</f>
        <v>37.2325862972185</v>
      </c>
      <c r="BI36" s="13" t="n">
        <f aca="false">BI32+BI33+BI34+BI35</f>
        <v>36.9714857368546</v>
      </c>
      <c r="BJ36" s="13" t="n">
        <f aca="false">BJ32+BJ33+BJ34+BJ35</f>
        <v>44.9952970300032</v>
      </c>
      <c r="BK36" s="13" t="n">
        <f aca="false">BK32+BK33+BK34+BK35</f>
        <v>39.7456545221627</v>
      </c>
      <c r="BL36" s="13" t="n">
        <f aca="false">BL32+BL33+BL34+BL35</f>
        <v>40.4938056453036</v>
      </c>
      <c r="BM36" s="13" t="n">
        <f aca="false">BM32+BM33+BM34+BM35</f>
        <v>36.9078074684487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-851.339041941152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-36.3580318550115</v>
      </c>
      <c r="AC37" s="13" t="n">
        <f aca="false">-(Debt!AC114+Debt!AC110)</f>
        <v>-35.4289637986026</v>
      </c>
      <c r="AD37" s="13" t="n">
        <f aca="false">-(Debt!AD114+Debt!AD110)</f>
        <v>-35.982237264332</v>
      </c>
      <c r="AE37" s="13" t="n">
        <f aca="false">-(Debt!AE114+Debt!AE110)</f>
        <v>-35.0201110852842</v>
      </c>
      <c r="AF37" s="13" t="n">
        <f aca="false">-(Debt!AF114+Debt!AF110)</f>
        <v>-33.9290442030534</v>
      </c>
      <c r="AG37" s="13" t="n">
        <f aca="false">-(Debt!AG114+Debt!AG110)</f>
        <v>-32.2223282158534</v>
      </c>
      <c r="AH37" s="13" t="n">
        <f aca="false">-(Debt!AH114+Debt!AH110)</f>
        <v>-30.985331974555</v>
      </c>
      <c r="AI37" s="13" t="n">
        <f aca="false">-(Debt!AI114+Debt!AI110)</f>
        <v>-28.6883042881434</v>
      </c>
      <c r="AJ37" s="13" t="n">
        <f aca="false">-(Debt!AJ114+Debt!AJ110)</f>
        <v>-26.4356894484697</v>
      </c>
      <c r="AK37" s="13" t="n">
        <f aca="false">-(Debt!AK114+Debt!AK110)</f>
        <v>-23.030837864091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-94.6658232061352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-6.18526964990857</v>
      </c>
      <c r="AB43" s="13" t="n">
        <f aca="false">-(Waterfall!AB28+Waterfall!AB29)</f>
        <v>-7.19416552841933</v>
      </c>
      <c r="AC43" s="13" t="n">
        <f aca="false">-(Waterfall!AC28+Waterfall!AC29)</f>
        <v>-6.86678897087803</v>
      </c>
      <c r="AD43" s="13" t="n">
        <f aca="false">-(Waterfall!AD28+Waterfall!AD29)</f>
        <v>-8.2088372521896</v>
      </c>
      <c r="AE43" s="13" t="n">
        <f aca="false">-(Waterfall!AE28+Waterfall!AE29)</f>
        <v>-8.82241226273076</v>
      </c>
      <c r="AF43" s="13" t="n">
        <f aca="false">-(Waterfall!AF28+Waterfall!AF29)</f>
        <v>-9.71942530961141</v>
      </c>
      <c r="AG43" s="13" t="n">
        <f aca="false">-(Waterfall!AG28+Waterfall!AG29)</f>
        <v>-10.1557640161825</v>
      </c>
      <c r="AH43" s="13" t="n">
        <f aca="false">-(Waterfall!AH28+Waterfall!AH29)</f>
        <v>-11.5387131006289</v>
      </c>
      <c r="AI43" s="13" t="n">
        <f aca="false">-(Waterfall!AI28+Waterfall!AI29)</f>
        <v>-12.4175779958468</v>
      </c>
      <c r="AJ43" s="13" t="n">
        <f aca="false">-(Waterfall!AJ28+Waterfall!AJ29)</f>
        <v>-13.5568691197393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-391.449457499471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-14.997189587262</v>
      </c>
      <c r="Q44" s="13" t="n">
        <f aca="false">-(Waterfall!Q34+Waterfall!Q35)</f>
        <v>-12.5371871305121</v>
      </c>
      <c r="R44" s="13" t="n">
        <f aca="false">-(Waterfall!R34+Waterfall!R35)</f>
        <v>-13.4601473805023</v>
      </c>
      <c r="S44" s="13" t="n">
        <f aca="false">-(Waterfall!S34+Waterfall!S35)</f>
        <v>-12.6487540869445</v>
      </c>
      <c r="T44" s="13" t="n">
        <f aca="false">-(Waterfall!T34+Waterfall!T35)</f>
        <v>-13.3934512551275</v>
      </c>
      <c r="U44" s="13" t="n">
        <f aca="false">-(Waterfall!U34+Waterfall!U35)</f>
        <v>-12.4325149877249</v>
      </c>
      <c r="V44" s="13" t="n">
        <f aca="false">-(Waterfall!V34+Waterfall!V35)</f>
        <v>-13.6654648959126</v>
      </c>
      <c r="W44" s="13" t="n">
        <f aca="false">-(Waterfall!W34+Waterfall!W35)</f>
        <v>-14.404561953598</v>
      </c>
      <c r="X44" s="13" t="n">
        <f aca="false">-(Waterfall!X34+Waterfall!X35)</f>
        <v>-13.2807813101373</v>
      </c>
      <c r="Y44" s="13" t="n">
        <f aca="false">-(Waterfall!Y34+Waterfall!Y35)</f>
        <v>-12.4986661546243</v>
      </c>
      <c r="Z44" s="13" t="n">
        <f aca="false">-(Waterfall!Z34+Waterfall!Z35)</f>
        <v>-13.2020528452989</v>
      </c>
      <c r="AA44" s="13" t="n">
        <f aca="false">-(Waterfall!AA34+Waterfall!AA35)</f>
        <v>-6.18526964990857</v>
      </c>
      <c r="AB44" s="13" t="n">
        <f aca="false">-(Waterfall!AB34+Waterfall!AB35)</f>
        <v>-7.19416552841933</v>
      </c>
      <c r="AC44" s="13" t="n">
        <f aca="false">-(Waterfall!AC34+Waterfall!AC35)</f>
        <v>-6.86678897087803</v>
      </c>
      <c r="AD44" s="13" t="n">
        <f aca="false">-(Waterfall!AD34+Waterfall!AD35)</f>
        <v>-8.2088372521896</v>
      </c>
      <c r="AE44" s="13" t="n">
        <f aca="false">-(Waterfall!AE34+Waterfall!AE35)</f>
        <v>-8.82241226273076</v>
      </c>
      <c r="AF44" s="13" t="n">
        <f aca="false">-(Waterfall!AF34+Waterfall!AF35)</f>
        <v>-9.71942530961141</v>
      </c>
      <c r="AG44" s="13" t="n">
        <f aca="false">-(Waterfall!AG34+Waterfall!AG35)</f>
        <v>-10.1557640161825</v>
      </c>
      <c r="AH44" s="13" t="n">
        <f aca="false">-(Waterfall!AH34+Waterfall!AH35)</f>
        <v>-11.5387131006289</v>
      </c>
      <c r="AI44" s="13" t="n">
        <f aca="false">-(Waterfall!AI34+Waterfall!AI35)</f>
        <v>-12.4175779958468</v>
      </c>
      <c r="AJ44" s="13" t="n">
        <f aca="false">-(Waterfall!AJ34+Waterfall!AJ35)</f>
        <v>-15.0551962854809</v>
      </c>
      <c r="AK44" s="13" t="n">
        <f aca="false">-(Waterfall!AK34+Waterfall!AK35)</f>
        <v>-31.8897157033808</v>
      </c>
      <c r="AL44" s="13" t="n">
        <f aca="false">-(Waterfall!AL34+Waterfall!AL35)</f>
        <v>-29.7062841581408</v>
      </c>
      <c r="AM44" s="13" t="n">
        <f aca="false">-(Waterfall!AM34+Waterfall!AM35)</f>
        <v>-33.3526211943647</v>
      </c>
      <c r="AN44" s="13" t="n">
        <f aca="false">-(Waterfall!AN34+Waterfall!AN35)</f>
        <v>-23.5011177675998</v>
      </c>
      <c r="AO44" s="13" t="n">
        <f aca="false">-(Waterfall!AO34+Waterfall!AO35)</f>
        <v>-30.3147967164632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-1005.33785534642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-11.2174759665735</v>
      </c>
      <c r="AP45" s="13" t="n">
        <f aca="false">-Waterfall!AP41</f>
        <v>-41.6216377830038</v>
      </c>
      <c r="AQ45" s="13" t="n">
        <f aca="false">-Waterfall!AQ41</f>
        <v>-41.1745993340732</v>
      </c>
      <c r="AR45" s="13" t="n">
        <f aca="false">-Waterfall!AR41</f>
        <v>-41.770960831035</v>
      </c>
      <c r="AS45" s="13" t="n">
        <f aca="false">-Waterfall!AS41</f>
        <v>-41.5056129118261</v>
      </c>
      <c r="AT45" s="13" t="n">
        <f aca="false">-Waterfall!AT41</f>
        <v>-48.238693031292</v>
      </c>
      <c r="AU45" s="13" t="n">
        <f aca="false">-Waterfall!AU41</f>
        <v>-43.8015207396234</v>
      </c>
      <c r="AV45" s="13" t="n">
        <f aca="false">-Waterfall!AV41</f>
        <v>-43.9250195431293</v>
      </c>
      <c r="AW45" s="13" t="n">
        <f aca="false">-Waterfall!AW41</f>
        <v>-43.5006347551928</v>
      </c>
      <c r="AX45" s="13" t="n">
        <f aca="false">-Waterfall!AX41</f>
        <v>-44.1754747855326</v>
      </c>
      <c r="AY45" s="13" t="n">
        <f aca="false">-Waterfall!AY41</f>
        <v>-43.7185522989792</v>
      </c>
      <c r="AZ45" s="13" t="n">
        <f aca="false">-Waterfall!AZ41</f>
        <v>-44.3364424388821</v>
      </c>
      <c r="BA45" s="13" t="n">
        <f aca="false">-Waterfall!BA41</f>
        <v>-43.543829720821</v>
      </c>
      <c r="BB45" s="13" t="n">
        <f aca="false">-Waterfall!BB41</f>
        <v>-44.7848097266784</v>
      </c>
      <c r="BC45" s="13" t="n">
        <f aca="false">-Waterfall!BC41</f>
        <v>-41.3693070627511</v>
      </c>
      <c r="BD45" s="13" t="n">
        <f aca="false">-Waterfall!BD41</f>
        <v>-35.2535532770043</v>
      </c>
      <c r="BE45" s="13" t="n">
        <f aca="false">-Waterfall!BE41</f>
        <v>-34.8037917507731</v>
      </c>
      <c r="BF45" s="13" t="n">
        <f aca="false">-Waterfall!BF41</f>
        <v>-35.4911261343409</v>
      </c>
      <c r="BG45" s="13" t="n">
        <f aca="false">-Waterfall!BG41</f>
        <v>-35.0063413826083</v>
      </c>
      <c r="BH45" s="13" t="n">
        <f aca="false">-Waterfall!BH41</f>
        <v>-35.6301644713499</v>
      </c>
      <c r="BI45" s="13" t="n">
        <f aca="false">-Waterfall!BI41</f>
        <v>-35.3515331654512</v>
      </c>
      <c r="BJ45" s="13" t="n">
        <f aca="false">-Waterfall!BJ41</f>
        <v>-43.3576219239654</v>
      </c>
      <c r="BK45" s="13" t="n">
        <f aca="false">-Waterfall!BK41</f>
        <v>-38.0900629941884</v>
      </c>
      <c r="BL45" s="13" t="n">
        <f aca="false">-Waterfall!BL41</f>
        <v>-38.8201016869331</v>
      </c>
      <c r="BM45" s="13" t="n">
        <f aca="false">-Waterfall!BM41</f>
        <v>-54.8489876304097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39.1181426349184</v>
      </c>
      <c r="P49" s="13" t="n">
        <f aca="false">P36+P37+P38+P39+P40+P41+P42+P43+P44+P45+P46+P47+P48</f>
        <v>-1.5448578773178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1.18279028826433</v>
      </c>
      <c r="AC49" s="13" t="n">
        <f aca="false">AC36+AC37+AC38+AC39+AC40+AC41+AC42+AC43+AC44+AC45+AC46+AC47+AC48</f>
        <v>2.56165524596461</v>
      </c>
      <c r="AD49" s="13" t="n">
        <f aca="false">AD36+AD37+AD38+AD39+AD40+AD41+AD42+AD43+AD44+AD45+AD46+AD47+AD48</f>
        <v>-12.5738243477728</v>
      </c>
      <c r="AE49" s="13" t="n">
        <f aca="false">AE36+AE37+AE38+AE39+AE40+AE41+AE42+AE43+AE44+AE45+AE46+AE47+AE48</f>
        <v>-0.919103673078979</v>
      </c>
      <c r="AF49" s="13" t="n">
        <f aca="false">AF36+AF37+AF38+AF39+AF40+AF41+AF42+AF43+AF44+AF45+AF46+AF47+AF48</f>
        <v>-0.965781214567447</v>
      </c>
      <c r="AG49" s="13" t="n">
        <f aca="false">AG36+AG37+AG38+AG39+AG40+AG41+AG42+AG43+AG44+AG45+AG46+AG47+AG48</f>
        <v>-0.499149141395511</v>
      </c>
      <c r="AH49" s="13" t="n">
        <f aca="false">AH36+AH37+AH38+AH39+AH40+AH41+AH42+AH43+AH44+AH45+AH46+AH47+AH48</f>
        <v>-1.35858554271348</v>
      </c>
      <c r="AI49" s="13" t="n">
        <f aca="false">AI36+AI37+AI38+AI39+AI40+AI41+AI42+AI43+AI44+AI45+AI46+AI47+AI48</f>
        <v>-1.22679157440323</v>
      </c>
      <c r="AJ49" s="13" t="n">
        <f aca="false">AJ36+AJ37+AJ38+AJ39+AJ40+AJ41+AJ42+AJ43+AJ44+AJ45+AJ46+AJ47+AJ48</f>
        <v>-2.14972861013529</v>
      </c>
      <c r="AK49" s="13" t="n">
        <f aca="false">AK36+AK37+AK38+AK39+AK40+AK41+AK42+AK43+AK44+AK45+AK46+AK47+AK48</f>
        <v>-2.26059267178034</v>
      </c>
      <c r="AL49" s="13" t="n">
        <f aca="false">AL36+AL37+AL38+AL39+AL40+AL41+AL42+AL43+AL44+AL45+AL46+AL47+AL48</f>
        <v>-3.11731571161378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-0.78995225536913</v>
      </c>
      <c r="AC50" s="13" t="n">
        <f aca="false">Reserves!AC11-Reserves!AC10-Reserves!AC12</f>
        <v>0.58891270233115</v>
      </c>
      <c r="AD50" s="13" t="n">
        <f aca="false">Reserves!AD11-Reserves!AD10-Reserves!AD12</f>
        <v>-0.737369085972055</v>
      </c>
      <c r="AE50" s="13" t="n">
        <f aca="false">Reserves!AE11-Reserves!AE10-Reserves!AE12</f>
        <v>-0.919103673078979</v>
      </c>
      <c r="AF50" s="13" t="n">
        <f aca="false">Reserves!AF11-Reserves!AF10-Reserves!AF12</f>
        <v>-1.46120916948336</v>
      </c>
      <c r="AG50" s="13" t="n">
        <f aca="false">Reserves!AG11-Reserves!AG10-Reserves!AG12</f>
        <v>-0.994577096311424</v>
      </c>
      <c r="AH50" s="13" t="n">
        <f aca="false">Reserves!AH11-Reserves!AH10-Reserves!AH12</f>
        <v>-1.85401349762939</v>
      </c>
      <c r="AI50" s="13" t="n">
        <f aca="false">Reserves!AI11-Reserves!AI10-Reserves!AI12</f>
        <v>-1.72221952931915</v>
      </c>
      <c r="AJ50" s="13" t="n">
        <f aca="false">Reserves!AJ11-Reserves!AJ10-Reserves!AJ12</f>
        <v>-2.64515656505121</v>
      </c>
      <c r="AK50" s="13" t="n">
        <f aca="false">Reserves!AK11-Reserves!AK10-Reserves!AK12</f>
        <v>-2.75602062669626</v>
      </c>
      <c r="AL50" s="13" t="n">
        <f aca="false">Reserves!AL11-Reserves!AL10-Reserves!AL12</f>
        <v>-0.144747982118304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39.1181426349184</v>
      </c>
      <c r="P51" s="13" t="n">
        <f aca="false">P17-O17</f>
        <v>-1.5448578773178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1.18279028826433</v>
      </c>
      <c r="AC51" s="13" t="n">
        <f aca="false">AC17-AB17</f>
        <v>2.56165524596462</v>
      </c>
      <c r="AD51" s="13" t="n">
        <f aca="false">AD17-AC17</f>
        <v>-12.5738243477728</v>
      </c>
      <c r="AE51" s="13" t="n">
        <f aca="false">AE17-AD17</f>
        <v>-0.919103673078979</v>
      </c>
      <c r="AF51" s="13" t="n">
        <f aca="false">AF17-AE17</f>
        <v>-0.96578121456745</v>
      </c>
      <c r="AG51" s="13" t="n">
        <f aca="false">AG17-AF17</f>
        <v>-0.499149141395506</v>
      </c>
      <c r="AH51" s="13" t="n">
        <f aca="false">AH17-AG17</f>
        <v>-1.35858554271348</v>
      </c>
      <c r="AI51" s="13" t="n">
        <f aca="false">AI17-AH17</f>
        <v>-1.22679157440323</v>
      </c>
      <c r="AJ51" s="13" t="n">
        <f aca="false">AJ17-AI17</f>
        <v>-2.1497286101353</v>
      </c>
      <c r="AK51" s="13" t="n">
        <f aca="false">AK17-AJ17</f>
        <v>-2.26059267178034</v>
      </c>
      <c r="AL51" s="13" t="n">
        <f aca="false">AL17-AK17</f>
        <v>-3.11731571161378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0.0352624220237515</v>
      </c>
      <c r="AC7" s="16" t="n">
        <f aca="false">IF(Debt!AC115&gt;Inputs!$F$253,Debt!AC112/Debt!AC115,0)</f>
        <v>0.0347472493209808</v>
      </c>
      <c r="AD7" s="16" t="n">
        <f aca="false">IF(Debt!AD115&gt;Inputs!$F$253,Debt!AD112/Debt!AD115,0)</f>
        <v>0.0347124156447249</v>
      </c>
      <c r="AE7" s="16" t="n">
        <f aca="false">IF(Debt!AE115&gt;Inputs!$F$253,Debt!AE112/Debt!AE115,0)</f>
        <v>0.0339803851521973</v>
      </c>
      <c r="AF7" s="16" t="n">
        <f aca="false">IF(Debt!AF115&gt;Inputs!$F$253,Debt!AF112/Debt!AF115,0)</f>
        <v>0.0338612343719637</v>
      </c>
      <c r="AG7" s="16" t="n">
        <f aca="false">IF(Debt!AG115&gt;Inputs!$F$253,Debt!AG112/Debt!AG115,0)</f>
        <v>0.0337100867625269</v>
      </c>
      <c r="AH7" s="16" t="n">
        <f aca="false">IF(Debt!AH115&gt;Inputs!$F$253,Debt!AH112/Debt!AH115,0)</f>
        <v>0.0331678465933991</v>
      </c>
      <c r="AI7" s="16" t="n">
        <f aca="false">IF(Debt!AI115&gt;Inputs!$F$253,Debt!AI112/Debt!AI115,0)</f>
        <v>0.0316409009269127</v>
      </c>
      <c r="AJ7" s="16" t="n">
        <f aca="false">IF(Debt!AJ115&gt;Inputs!$F$253,Debt!AJ112/Debt!AJ115,0)</f>
        <v>0.0300896476857279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0.0352624220237515</v>
      </c>
      <c r="AC10" s="16" t="n">
        <f aca="false">IF(AC7&gt;0,AC7,$F$9)</f>
        <v>0.0347472493209808</v>
      </c>
      <c r="AD10" s="16" t="n">
        <f aca="false">IF(AD7&gt;0,AD7,$F$9)</f>
        <v>0.0347124156447249</v>
      </c>
      <c r="AE10" s="16" t="n">
        <f aca="false">IF(AE7&gt;0,AE7,$F$9)</f>
        <v>0.0339803851521973</v>
      </c>
      <c r="AF10" s="16" t="n">
        <f aca="false">IF(AF7&gt;0,AF7,$F$9)</f>
        <v>0.0338612343719637</v>
      </c>
      <c r="AG10" s="16" t="n">
        <f aca="false">IF(AG7&gt;0,AG7,$F$9)</f>
        <v>0.0337100867625269</v>
      </c>
      <c r="AH10" s="16" t="n">
        <f aca="false">IF(AH7&gt;0,AH7,$F$9)</f>
        <v>0.0331678465933991</v>
      </c>
      <c r="AI10" s="16" t="n">
        <f aca="false">IF(AI7&gt;0,AI7,$F$9)</f>
        <v>0.0316409009269127</v>
      </c>
      <c r="AJ10" s="16" t="n">
        <f aca="false">IF(AJ7&gt;0,AJ7,$F$9)</f>
        <v>0.0300896476857279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735.706858520276</v>
      </c>
      <c r="K11" s="13" t="n">
        <f aca="false">IF(Time!K20&lt;=$F$8,(Waterfall!K7+L11)/(1+K10),0)</f>
        <v>755.579724718338</v>
      </c>
      <c r="L11" s="13" t="n">
        <f aca="false">IF(Time!L20&lt;=$F$8,(Waterfall!L7+M11)/(1+L10),0)</f>
        <v>775.989395496039</v>
      </c>
      <c r="M11" s="13" t="n">
        <f aca="false">IF(Time!M20&lt;=$F$8,(Waterfall!M7+N11)/(1+M10),0)</f>
        <v>796.950370984053</v>
      </c>
      <c r="N11" s="13" t="n">
        <f aca="false">IF(Time!N20&lt;=$F$8,(Waterfall!N7+O11)/(1+N10),0)</f>
        <v>818.477542989648</v>
      </c>
      <c r="O11" s="13" t="n">
        <f aca="false">IF(Time!O20&lt;=$F$8,(Waterfall!O7+P11)/(1+O10),0)</f>
        <v>840.586205576628</v>
      </c>
      <c r="P11" s="13" t="n">
        <f aca="false">IF(Time!P20&lt;=$F$8,(Waterfall!P7+Q11)/(1+P10),0)</f>
        <v>861.419818733239</v>
      </c>
      <c r="Q11" s="13" t="n">
        <f aca="false">IF(Time!Q20&lt;=$F$8,(Waterfall!Q7+R11)/(1+Q10),0)</f>
        <v>840.732851335879</v>
      </c>
      <c r="R11" s="13" t="n">
        <f aca="false">IF(Time!R20&lt;=$F$8,(Waterfall!R7+S11)/(1+R10),0)</f>
        <v>819.166271448437</v>
      </c>
      <c r="S11" s="13" t="n">
        <f aca="false">IF(Time!S20&lt;=$F$8,(Waterfall!S7+T11)/(1+S10),0)</f>
        <v>796.536420555296</v>
      </c>
      <c r="T11" s="13" t="n">
        <f aca="false">IF(Time!T20&lt;=$F$8,(Waterfall!T7+U11)/(1+T10),0)</f>
        <v>773.238312226194</v>
      </c>
      <c r="U11" s="13" t="n">
        <f aca="false">IF(Time!U20&lt;=$F$8,(Waterfall!U7+V11)/(1+U10),0)</f>
        <v>748.868309130674</v>
      </c>
      <c r="V11" s="13" t="n">
        <f aca="false">IF(Time!V20&lt;=$F$8,(Waterfall!V7+W11)/(1+V10),0)</f>
        <v>723.719848934454</v>
      </c>
      <c r="W11" s="13" t="n">
        <f aca="false">IF(Time!W20&lt;=$F$8,(Waterfall!W7+X11)/(1+W10),0)</f>
        <v>696.922199051764</v>
      </c>
      <c r="X11" s="13" t="n">
        <f aca="false">IF(Time!X20&lt;=$F$8,(Waterfall!X7+Y11)/(1+X10),0)</f>
        <v>669.3033677148</v>
      </c>
      <c r="Y11" s="13" t="n">
        <f aca="false">IF(Time!Y20&lt;=$F$8,(Waterfall!Y7+Z11)/(1+Y10),0)</f>
        <v>642.471679807345</v>
      </c>
      <c r="Z11" s="13" t="n">
        <f aca="false">IF(Time!Z20&lt;=$F$8,(Waterfall!Z7+AA11)/(1+Z10),0)</f>
        <v>615.643449148915</v>
      </c>
      <c r="AA11" s="13" t="n">
        <f aca="false">IF(Time!AA20&lt;=$F$8,(Waterfall!AA7+AB11)/(1+AA10),0)</f>
        <v>587.705344897929</v>
      </c>
      <c r="AB11" s="13" t="n">
        <f aca="false">IF(Time!AB20&lt;=$F$8,(Waterfall!AB7+AC11)/(1+AB10),0)</f>
        <v>558.95032076916</v>
      </c>
      <c r="AC11" s="13" t="n">
        <f aca="false">IF(Time!AC20&lt;=$F$8,(Waterfall!AC7+AD11)/(1+AC10),0)</f>
        <v>528.703852213953</v>
      </c>
      <c r="AD11" s="13" t="n">
        <f aca="false">IF(Time!AD20&lt;=$F$8,(Waterfall!AD7+AE11)/(1+AD10),0)</f>
        <v>497.323402341104</v>
      </c>
      <c r="AE11" s="13" t="n">
        <f aca="false">IF(Time!AE20&lt;=$F$8,(Waterfall!AE7+AF11)/(1+AE10),0)</f>
        <v>462.924156310278</v>
      </c>
      <c r="AF11" s="13" t="n">
        <f aca="false">IF(Time!AF20&lt;=$F$8,(Waterfall!AF7+AG11)/(1+AF10),0)</f>
        <v>426.908665500291</v>
      </c>
      <c r="AG11" s="13" t="n">
        <f aca="false">IF(Time!AG20&lt;=$F$8,(Waterfall!AG7+AH11)/(1+AG10),0)</f>
        <v>389.457634225425</v>
      </c>
      <c r="AH11" s="13" t="n">
        <f aca="false">IF(Time!AH20&lt;=$F$8,(Waterfall!AH7+AI11)/(1+AH10),0)</f>
        <v>351.047005713586</v>
      </c>
      <c r="AI11" s="13" t="n">
        <f aca="false">IF(Time!AI20&lt;=$F$8,(Waterfall!AI7+AJ11)/(1+AI10),0)</f>
        <v>310.481734267983</v>
      </c>
      <c r="AJ11" s="13" t="n">
        <f aca="false">IF(Time!AJ20&lt;=$F$8,(Waterfall!AJ7+AK11)/(1+AJ10),0)</f>
        <v>268.504415311054</v>
      </c>
      <c r="AK11" s="13" t="n">
        <f aca="false">IF(Time!AK20&lt;=$F$8,(Waterfall!AK7+AL11)/(1+AK10),0)</f>
        <v>224.181020281188</v>
      </c>
      <c r="AL11" s="13" t="n">
        <f aca="false">IF(Time!AL20&lt;=$F$8,(Waterfall!AL7+AM11)/(1+AL10),0)</f>
        <v>178.081957951946</v>
      </c>
      <c r="AM11" s="13" t="n">
        <f aca="false">IF(Time!AM20&lt;=$F$8,(Waterfall!AM7+AN11)/(1+AM10),0)</f>
        <v>129.64033052065</v>
      </c>
      <c r="AN11" s="13" t="n">
        <f aca="false">IF(Time!AN20&lt;=$F$8,(Waterfall!AN7+AO11)/(1+AN10),0)</f>
        <v>80.6575283156708</v>
      </c>
      <c r="AO11" s="13" t="n">
        <f aca="false">IF(Time!AO20&lt;=$F$8,(Waterfall!AO7+AP11)/(1+AO10),0)</f>
        <v>40.439912378849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1005.23061335946</v>
      </c>
      <c r="K12" s="13" t="n">
        <f aca="false">IF(Time!K20&lt;=Time!$F$15,(Waterfall!K7+L12)/(1+K10),0)</f>
        <v>1032.38383783485</v>
      </c>
      <c r="L12" s="13" t="n">
        <f aca="false">IF(Time!L20&lt;=Time!$F$15,(Waterfall!L7+M12)/(1+L10),0)</f>
        <v>1060.27052345798</v>
      </c>
      <c r="M12" s="13" t="n">
        <f aca="false">IF(Time!M20&lt;=Time!$F$15,(Waterfall!M7+N12)/(1+M10),0)</f>
        <v>1088.91048243404</v>
      </c>
      <c r="N12" s="13" t="n">
        <f aca="false">IF(Time!N20&lt;=Time!$F$15,(Waterfall!N7+O12)/(1+N10),0)</f>
        <v>1118.32406213426</v>
      </c>
      <c r="O12" s="13" t="n">
        <f aca="false">IF(Time!O20&lt;=Time!$F$15,(Waterfall!O7+P12)/(1+O10),0)</f>
        <v>1148.53215955171</v>
      </c>
      <c r="P12" s="13" t="n">
        <f aca="false">IF(Time!P20&lt;=Time!$F$15,(Waterfall!P7+Q12)/(1+P10),0)</f>
        <v>1177.68398894989</v>
      </c>
      <c r="Q12" s="13" t="n">
        <f aca="false">IF(Time!Q20&lt;=Time!$F$15,(Waterfall!Q7+R12)/(1+Q10),0)</f>
        <v>1167.86261253277</v>
      </c>
      <c r="R12" s="13" t="n">
        <f aca="false">IF(Time!R20&lt;=Time!$F$15,(Waterfall!R7+S12)/(1+R10),0)</f>
        <v>1157.42252050604</v>
      </c>
      <c r="S12" s="13" t="n">
        <f aca="false">IF(Time!S20&lt;=Time!$F$15,(Waterfall!S7+T12)/(1+S10),0)</f>
        <v>1146.4221971771</v>
      </c>
      <c r="T12" s="13" t="n">
        <f aca="false">IF(Time!T20&lt;=Time!$F$15,(Waterfall!T7+U12)/(1+T10),0)</f>
        <v>1135.02882581638</v>
      </c>
      <c r="U12" s="13" t="n">
        <f aca="false">IF(Time!U20&lt;=Time!$F$15,(Waterfall!U7+V12)/(1+U10),0)</f>
        <v>1123.10195667814</v>
      </c>
      <c r="V12" s="13" t="n">
        <f aca="false">IF(Time!V20&lt;=Time!$F$15,(Waterfall!V7+W12)/(1+V10),0)</f>
        <v>1110.73263718335</v>
      </c>
      <c r="W12" s="13" t="n">
        <f aca="false">IF(Time!W20&lt;=Time!$F$15,(Waterfall!W7+X12)/(1+W10),0)</f>
        <v>1097.24559602717</v>
      </c>
      <c r="X12" s="13" t="n">
        <f aca="false">IF(Time!X20&lt;=Time!$F$15,(Waterfall!X7+Y12)/(1+X10),0)</f>
        <v>1083.24762344386</v>
      </c>
      <c r="Y12" s="13" t="n">
        <f aca="false">IF(Time!Y20&lt;=Time!$F$15,(Waterfall!Y7+Z12)/(1+Y10),0)</f>
        <v>1070.65280364489</v>
      </c>
      <c r="Z12" s="13" t="n">
        <f aca="false">IF(Time!Z20&lt;=Time!$F$15,(Waterfall!Z7+AA12)/(1+Z10),0)</f>
        <v>1058.84776072102</v>
      </c>
      <c r="AA12" s="13" t="n">
        <f aca="false">IF(Time!AA20&lt;=Time!$F$15,(Waterfall!AA7+AB12)/(1+AA10),0)</f>
        <v>1046.63109449261</v>
      </c>
      <c r="AB12" s="13" t="n">
        <f aca="false">IF(Time!AB20&lt;=Time!$F$15,(Waterfall!AB7+AC12)/(1+AB10),0)</f>
        <v>1033.97796582012</v>
      </c>
      <c r="AC12" s="13" t="n">
        <f aca="false">IF(Time!AC20&lt;=Time!$F$15,(Waterfall!AC7+AD12)/(1+AC10),0)</f>
        <v>1020.48212255765</v>
      </c>
      <c r="AD12" s="13" t="n">
        <f aca="false">IF(Time!AD20&lt;=Time!$F$15,(Waterfall!AD7+AE12)/(1+AD10),0)</f>
        <v>1006.18961485508</v>
      </c>
      <c r="AE12" s="13" t="n">
        <f aca="false">IF(Time!AE20&lt;=Time!$F$15,(Waterfall!AE7+AF12)/(1+AE10),0)</f>
        <v>989.454344300592</v>
      </c>
      <c r="AF12" s="13" t="n">
        <f aca="false">IF(Time!AF20&lt;=Time!$F$15,(Waterfall!AF7+AG12)/(1+AF10),0)</f>
        <v>971.330552072775</v>
      </c>
      <c r="AG12" s="13" t="n">
        <f aca="false">IF(Time!AG20&lt;=Time!$F$15,(Waterfall!AG7+AH12)/(1+AG10),0)</f>
        <v>952.314317896367</v>
      </c>
      <c r="AH12" s="13" t="n">
        <f aca="false">IF(Time!AH20&lt;=Time!$F$15,(Waterfall!AH7+AI12)/(1+AH10),0)</f>
        <v>932.877637025943</v>
      </c>
      <c r="AI12" s="13" t="n">
        <f aca="false">IF(Time!AI20&lt;=Time!$F$15,(Waterfall!AI7+AJ12)/(1+AI10),0)</f>
        <v>911.610434703049</v>
      </c>
      <c r="AJ12" s="13" t="n">
        <f aca="false">IF(Time!AJ20&lt;=Time!$F$15,(Waterfall!AJ7+AK12)/(1+AJ10),0)</f>
        <v>888.65336940091</v>
      </c>
      <c r="AK12" s="13" t="n">
        <f aca="false">IF(Time!AK20&lt;=Time!$F$15,(Waterfall!AK7+AL12)/(1+AK10),0)</f>
        <v>862.99003791228</v>
      </c>
      <c r="AL12" s="13" t="n">
        <f aca="false">IF(Time!AL20&lt;=Time!$F$15,(Waterfall!AL7+AM12)/(1+AL10),0)</f>
        <v>834.17467479167</v>
      </c>
      <c r="AM12" s="13" t="n">
        <f aca="false">IF(Time!AM20&lt;=Time!$F$15,(Waterfall!AM7+AN12)/(1+AM10),0)</f>
        <v>803.542366695532</v>
      </c>
      <c r="AN12" s="13" t="n">
        <f aca="false">IF(Time!AN20&lt;=Time!$F$15,(Waterfall!AN7+AO12)/(1+AN10),0)</f>
        <v>772.762962814772</v>
      </c>
      <c r="AO12" s="13" t="n">
        <f aca="false">IF(Time!AO20&lt;=Time!$F$15,(Waterfall!AO7+AP12)/(1+AO10),0)</f>
        <v>751.332214008505</v>
      </c>
      <c r="AP12" s="13" t="n">
        <f aca="false">IF(Time!AP20&lt;=Time!$F$15,(Waterfall!AP7+AQ12)/(1+AP10),0)</f>
        <v>730.094878617905</v>
      </c>
      <c r="AQ12" s="13" t="n">
        <f aca="false">IF(Time!AQ20&lt;=Time!$F$15,(Waterfall!AQ7+AR12)/(1+AQ10),0)</f>
        <v>708.194516593898</v>
      </c>
      <c r="AR12" s="13" t="n">
        <f aca="false">IF(Time!AR20&lt;=Time!$F$15,(Waterfall!AR7+AS12)/(1+AR10),0)</f>
        <v>686.149621852736</v>
      </c>
      <c r="AS12" s="13" t="n">
        <f aca="false">IF(Time!AS20&lt;=Time!$F$15,(Waterfall!AS7+AT12)/(1+AS10),0)</f>
        <v>662.912890340095</v>
      </c>
      <c r="AT12" s="13" t="n">
        <f aca="false">IF(Time!AT20&lt;=Time!$F$15,(Waterfall!AT7+AU12)/(1+AT10),0)</f>
        <v>639.313837654166</v>
      </c>
      <c r="AU12" s="13" t="n">
        <f aca="false">IF(Time!AU20&lt;=Time!$F$15,(Waterfall!AU7+AV12)/(1+AU10),0)</f>
        <v>608.344248760117</v>
      </c>
      <c r="AV12" s="13" t="n">
        <f aca="false">IF(Time!AV20&lt;=Time!$F$15,(Waterfall!AV7+AW12)/(1+AV10),0)</f>
        <v>580.97528362054</v>
      </c>
      <c r="AW12" s="13" t="n">
        <f aca="false">IF(Time!AW20&lt;=Time!$F$15,(Waterfall!AW7+AX12)/(1+AW10),0)</f>
        <v>552.743530956822</v>
      </c>
      <c r="AX12" s="13" t="n">
        <f aca="false">IF(Time!AX20&lt;=Time!$F$15,(Waterfall!AX7+AY12)/(1+AX10),0)</f>
        <v>524.173568799466</v>
      </c>
      <c r="AY12" s="13" t="n">
        <f aca="false">IF(Time!AY20&lt;=Time!$F$15,(Waterfall!AY7+AZ12)/(1+AY10),0)</f>
        <v>494.157036637173</v>
      </c>
      <c r="AZ12" s="13" t="n">
        <f aca="false">IF(Time!AZ20&lt;=Time!$F$15,(Waterfall!AZ7+BA12)/(1+AZ10),0)</f>
        <v>463.786622331188</v>
      </c>
      <c r="BA12" s="13" t="n">
        <f aca="false">IF(Time!BA20&lt;=Time!$F$15,(Waterfall!BA7+BB12)/(1+BA10),0)</f>
        <v>431.977954213421</v>
      </c>
      <c r="BB12" s="13" t="n">
        <f aca="false">IF(Time!BB20&lt;=Time!$F$15,(Waterfall!BB7+BC12)/(1+BB10),0)</f>
        <v>399.607716736053</v>
      </c>
      <c r="BC12" s="13" t="n">
        <f aca="false">IF(Time!BC20&lt;=Time!$F$15,(Waterfall!BC7+BD12)/(1+BC10),0)</f>
        <v>364.115934618425</v>
      </c>
      <c r="BD12" s="13" t="n">
        <f aca="false">IF(Time!BD20&lt;=Time!$F$15,(Waterfall!BD7+BE12)/(1+BD10),0)</f>
        <v>331.064530617226</v>
      </c>
      <c r="BE12" s="13" t="n">
        <f aca="false">IF(Time!BE20&lt;=Time!$F$15,(Waterfall!BE7+BF12)/(1+BE10),0)</f>
        <v>303.219495522308</v>
      </c>
      <c r="BF12" s="13" t="n">
        <f aca="false">IF(Time!BF20&lt;=Time!$F$15,(Waterfall!BF7+BG12)/(1+BF10),0)</f>
        <v>275.055289541356</v>
      </c>
      <c r="BG12" s="13" t="n">
        <f aca="false">IF(Time!BG20&lt;=Time!$F$15,(Waterfall!BG7+BH12)/(1+BG10),0)</f>
        <v>245.426011720282</v>
      </c>
      <c r="BH12" s="13" t="n">
        <f aca="false">IF(Time!BH20&lt;=Time!$F$15,(Waterfall!BH7+BI12)/(1+BH10),0)</f>
        <v>215.464021138613</v>
      </c>
      <c r="BI12" s="13" t="n">
        <f aca="false">IF(Time!BI20&lt;=Time!$F$15,(Waterfall!BI7+BJ12)/(1+BI10),0)</f>
        <v>184.051535079682</v>
      </c>
      <c r="BJ12" s="13" t="n">
        <f aca="false">IF(Time!BJ20&lt;=Time!$F$15,(Waterfall!BJ7+BK12)/(1+BJ10),0)</f>
        <v>152.051637534275</v>
      </c>
      <c r="BK12" s="13" t="n">
        <f aca="false">IF(Time!BK20&lt;=Time!$F$15,(Waterfall!BK7+BL12)/(1+BK10),0)</f>
        <v>111.163549527703</v>
      </c>
      <c r="BL12" s="13" t="n">
        <f aca="false">IF(Time!BL20&lt;=Time!$F$15,(Waterfall!BL7+BM12)/(1+BL10),0)</f>
        <v>74.4206376336424</v>
      </c>
      <c r="BM12" s="13" t="n">
        <f aca="false">IF(Time!BM20&lt;=Time!$F$15,(Waterfall!BM7+BN12)/(1+BM10),0)</f>
        <v>35.9370774508351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1.41911920120461</v>
      </c>
      <c r="Q13" s="3" t="n">
        <f aca="false">IF(Debt!Q115&gt;Inputs!$F$253,(Q11+Reserves!Q9)/Debt!Q115,0)</f>
        <v>1.42107124260319</v>
      </c>
      <c r="R13" s="3" t="n">
        <f aca="false">IF(Debt!R115&gt;Inputs!$F$253,(R11+Reserves!R9)/Debt!R115,0)</f>
        <v>1.42413756250786</v>
      </c>
      <c r="S13" s="3" t="n">
        <f aca="false">IF(Debt!S115&gt;Inputs!$F$253,(S11+Reserves!S9)/Debt!S115,0)</f>
        <v>1.42619743348287</v>
      </c>
      <c r="T13" s="3" t="n">
        <f aca="false">IF(Debt!T115&gt;Inputs!$F$253,(T11+Reserves!T9)/Debt!T115,0)</f>
        <v>1.42970979704806</v>
      </c>
      <c r="U13" s="3" t="n">
        <f aca="false">IF(Debt!U115&gt;Inputs!$F$253,(U11+Reserves!U9)/Debt!U115,0)</f>
        <v>1.43249711100918</v>
      </c>
      <c r="V13" s="3" t="n">
        <f aca="false">IF(Debt!V115&gt;Inputs!$F$253,(V11+Reserves!V9)/Debt!V115,0)</f>
        <v>1.43727620585866</v>
      </c>
      <c r="W13" s="3" t="n">
        <f aca="false">IF(Debt!W115&gt;Inputs!$F$253,(W11+Reserves!W9)/Debt!W115,0)</f>
        <v>1.44072653645519</v>
      </c>
      <c r="X13" s="3" t="n">
        <f aca="false">IF(Debt!X115&gt;Inputs!$F$253,(X11+Reserves!X9)/Debt!X115,0)</f>
        <v>1.44289130567684</v>
      </c>
      <c r="Y13" s="3" t="n">
        <f aca="false">IF(Debt!Y115&gt;Inputs!$F$253,(Y11+Reserves!Y9)/Debt!Y115,0)</f>
        <v>1.44673427663892</v>
      </c>
      <c r="Z13" s="3" t="n">
        <f aca="false">IF(Debt!Z115&gt;Inputs!$F$253,(Z11+Reserves!Z9)/Debt!Z115,0)</f>
        <v>1.45242245842694</v>
      </c>
      <c r="AA13" s="3" t="n">
        <f aca="false">IF(Debt!AA115&gt;Inputs!$F$253,(AA11+Reserves!AA9)/Debt!AA115,0)</f>
        <v>1.45749214483604</v>
      </c>
      <c r="AB13" s="3" t="n">
        <f aca="false">IF(Debt!AB115&gt;Inputs!$F$253,(AB11+Reserves!AB9)/Debt!AB115,0)</f>
        <v>1.48768148550433</v>
      </c>
      <c r="AC13" s="3" t="n">
        <f aca="false">IF(Debt!AC115&gt;Inputs!$F$253,(AC11+Reserves!AC9)/Debt!AC115,0)</f>
        <v>1.52200717164904</v>
      </c>
      <c r="AD13" s="3" t="n">
        <f aca="false">IF(Debt!AD115&gt;Inputs!$F$253,(AD11+Reserves!AD9)/Debt!AD115,0)</f>
        <v>1.56283465266763</v>
      </c>
      <c r="AE13" s="3" t="n">
        <f aca="false">IF(Debt!AE115&gt;Inputs!$F$253,(AE11+Reserves!AE9)/Debt!AE115,0)</f>
        <v>1.61255625160236</v>
      </c>
      <c r="AF13" s="3" t="n">
        <f aca="false">IF(Debt!AF115&gt;Inputs!$F$253,(AF11+Reserves!AF9)/Debt!AF115,0)</f>
        <v>1.67343005098578</v>
      </c>
      <c r="AG13" s="3" t="n">
        <f aca="false">IF(Debt!AG115&gt;Inputs!$F$253,(AG11+Reserves!AG9)/Debt!AG115,0)</f>
        <v>1.74987156113913</v>
      </c>
      <c r="AH13" s="3" t="n">
        <f aca="false">IF(Debt!AH115&gt;Inputs!$F$253,(AH11+Reserves!AH9)/Debt!AH115,0)</f>
        <v>1.84856147532668</v>
      </c>
      <c r="AI13" s="3" t="n">
        <f aca="false">IF(Debt!AI115&gt;Inputs!$F$253,(AI11+Reserves!AI9)/Debt!AI115,0)</f>
        <v>1.98500469963102</v>
      </c>
      <c r="AJ13" s="3" t="n">
        <f aca="false">IF(Debt!AJ115&gt;Inputs!$F$253,(AJ11+Reserves!AJ9)/Debt!AJ115,0)</f>
        <v>2.18382685354074</v>
      </c>
      <c r="AK13" s="3" t="n">
        <f aca="false">IF(Debt!AK115&gt;Inputs!$F$253,(AK11+Reserves!AK9)/Debt!AK115,0)</f>
        <v>2.49673124213242</v>
      </c>
      <c r="AL13" s="3" t="n">
        <f aca="false">IF(Debt!AL115&gt;Inputs!$F$253,(AL11+Reserves!AL9)/Debt!AL115,0)</f>
        <v>2.52002232341538</v>
      </c>
      <c r="AM13" s="3" t="n">
        <f aca="false">IF(Debt!AM115&gt;Inputs!$F$253,(AM11+Reserves!AM9)/Debt!AM115,0)</f>
        <v>2.6173267749225</v>
      </c>
      <c r="AN13" s="3" t="n">
        <f aca="false">IF(Debt!AN115&gt;Inputs!$F$253,(AN11+Reserves!AN9)/Debt!AN115,0)</f>
        <v>2.73032633890191</v>
      </c>
      <c r="AO13" s="3" t="n">
        <f aca="false">IF(Debt!AO115&gt;Inputs!$F$253,(AO11+Reserves!AO9)/Debt!AO115,0)</f>
        <v>3.22380001027538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1.36030270854512</v>
      </c>
      <c r="Q14" s="3" t="n">
        <f aca="false">IF(Debt!Q115&gt;Inputs!$F$253,Q11/Debt!Q115,0)</f>
        <v>1.36092387163716</v>
      </c>
      <c r="R14" s="3" t="n">
        <f aca="false">IF(Debt!R115&gt;Inputs!$F$253,R11/Debt!R115,0)</f>
        <v>1.36159854635464</v>
      </c>
      <c r="S14" s="3" t="n">
        <f aca="false">IF(Debt!S115&gt;Inputs!$F$253,S11/Debt!S115,0)</f>
        <v>1.3623449246915</v>
      </c>
      <c r="T14" s="3" t="n">
        <f aca="false">IF(Debt!T115&gt;Inputs!$F$253,T11/Debt!T115,0)</f>
        <v>1.36315741392107</v>
      </c>
      <c r="U14" s="3" t="n">
        <f aca="false">IF(Debt!U115&gt;Inputs!$F$253,U11/Debt!U115,0)</f>
        <v>1.36406216729339</v>
      </c>
      <c r="V14" s="3" t="n">
        <f aca="false">IF(Debt!V115&gt;Inputs!$F$253,V11/Debt!V115,0)</f>
        <v>1.36505867875158</v>
      </c>
      <c r="W14" s="3" t="n">
        <f aca="false">IF(Debt!W115&gt;Inputs!$F$253,W11/Debt!W115,0)</f>
        <v>1.3661889302867</v>
      </c>
      <c r="X14" s="3" t="n">
        <f aca="false">IF(Debt!X115&gt;Inputs!$F$253,X11/Debt!X115,0)</f>
        <v>1.36744656490113</v>
      </c>
      <c r="Y14" s="3" t="n">
        <f aca="false">IF(Debt!Y115&gt;Inputs!$F$253,Y11/Debt!Y115,0)</f>
        <v>1.36881916375544</v>
      </c>
      <c r="Z14" s="3" t="n">
        <f aca="false">IF(Debt!Z115&gt;Inputs!$F$253,Z11/Debt!Z115,0)</f>
        <v>1.37035107116394</v>
      </c>
      <c r="AA14" s="3" t="n">
        <f aca="false">IF(Debt!AA115&gt;Inputs!$F$253,AA11/Debt!AA115,0)</f>
        <v>1.37210294780215</v>
      </c>
      <c r="AB14" s="3" t="n">
        <f aca="false">IF(Debt!AB115&gt;Inputs!$F$253,AB11/Debt!AB115,0)</f>
        <v>1.39530660316487</v>
      </c>
      <c r="AC14" s="3" t="n">
        <f aca="false">IF(Debt!AC115&gt;Inputs!$F$253,AC11/Debt!AC115,0)</f>
        <v>1.42443705258407</v>
      </c>
      <c r="AD14" s="3" t="n">
        <f aca="false">IF(Debt!AD115&gt;Inputs!$F$253,AD11/Debt!AD115,0)</f>
        <v>1.45514846586775</v>
      </c>
      <c r="AE14" s="3" t="n">
        <f aca="false">IF(Debt!AE115&gt;Inputs!$F$253,AE11/Debt!AE115,0)</f>
        <v>1.49600292551912</v>
      </c>
      <c r="AF14" s="3" t="n">
        <f aca="false">IF(Debt!AF115&gt;Inputs!$F$253,AF11/Debt!AF115,0)</f>
        <v>1.54613713851544</v>
      </c>
      <c r="AG14" s="3" t="n">
        <f aca="false">IF(Debt!AG115&gt;Inputs!$F$253,AG11/Debt!AG115,0)</f>
        <v>1.61056610462682</v>
      </c>
      <c r="AH14" s="3" t="n">
        <f aca="false">IF(Debt!AH115&gt;Inputs!$F$253,AH11/Debt!AH115,0)</f>
        <v>1.69107880911418</v>
      </c>
      <c r="AI14" s="3" t="n">
        <f aca="false">IF(Debt!AI115&gt;Inputs!$F$253,AI11/Debt!AI115,0)</f>
        <v>1.80566388985085</v>
      </c>
      <c r="AJ14" s="3" t="n">
        <f aca="false">IF(Debt!AJ115&gt;Inputs!$F$253,AJ11/Debt!AJ115,0)</f>
        <v>1.97018976148799</v>
      </c>
      <c r="AK14" s="3" t="n">
        <f aca="false">IF(Debt!AK115&gt;Inputs!$F$253,AK11/Debt!AK115,0)</f>
        <v>2.23306341057605</v>
      </c>
      <c r="AL14" s="3" t="n">
        <f aca="false">IF(Debt!AL115&gt;Inputs!$F$253,AL11/Debt!AL115,0)</f>
        <v>2.22388211043387</v>
      </c>
      <c r="AM14" s="3" t="n">
        <f aca="false">IF(Debt!AM115&gt;Inputs!$F$253,AM11/Debt!AM115,0)</f>
        <v>2.21468536325589</v>
      </c>
      <c r="AN14" s="3" t="n">
        <f aca="false">IF(Debt!AN115&gt;Inputs!$F$253,AN11/Debt!AN115,0)</f>
        <v>2.20685817068224</v>
      </c>
      <c r="AO14" s="3" t="n">
        <f aca="false">IF(Debt!AO115&gt;Inputs!$F$253,AO11/Debt!AO115,0)</f>
        <v>2.19678807479059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1.8597281896005</v>
      </c>
      <c r="Q15" s="3" t="n">
        <f aca="false">IF(Debt!Q115&gt;Inputs!$F$253,Q12/Debt!Q115,0)</f>
        <v>1.89046033548346</v>
      </c>
      <c r="R15" s="3" t="n">
        <f aca="false">IF(Debt!R115&gt;Inputs!$F$253,R12/Debt!R115,0)</f>
        <v>1.92383997775272</v>
      </c>
      <c r="S15" s="3" t="n">
        <f aca="false">IF(Debt!S115&gt;Inputs!$F$253,S12/Debt!S115,0)</f>
        <v>1.96076716842287</v>
      </c>
      <c r="T15" s="3" t="n">
        <f aca="false">IF(Debt!T115&gt;Inputs!$F$253,T12/Debt!T115,0)</f>
        <v>2.00096520627799</v>
      </c>
      <c r="U15" s="3" t="n">
        <f aca="false">IF(Debt!U115&gt;Inputs!$F$253,U12/Debt!U115,0)</f>
        <v>2.04572802779734</v>
      </c>
      <c r="V15" s="3" t="n">
        <f aca="false">IF(Debt!V115&gt;Inputs!$F$253,V12/Debt!V115,0)</f>
        <v>2.09503059559871</v>
      </c>
      <c r="W15" s="3" t="n">
        <f aca="false">IF(Debt!W115&gt;Inputs!$F$253,W12/Debt!W115,0)</f>
        <v>2.15094997567556</v>
      </c>
      <c r="X15" s="3" t="n">
        <f aca="false">IF(Debt!X115&gt;Inputs!$F$253,X12/Debt!X115,0)</f>
        <v>2.21317165439218</v>
      </c>
      <c r="Y15" s="3" t="n">
        <f aca="false">IF(Debt!Y115&gt;Inputs!$F$253,Y12/Debt!Y115,0)</f>
        <v>2.28108120780839</v>
      </c>
      <c r="Z15" s="3" t="n">
        <f aca="false">IF(Debt!Z115&gt;Inputs!$F$253,Z12/Debt!Z115,0)</f>
        <v>2.35687257796618</v>
      </c>
      <c r="AA15" s="3" t="n">
        <f aca="false">IF(Debt!AA115&gt;Inputs!$F$253,AA12/Debt!AA115,0)</f>
        <v>2.44354696189486</v>
      </c>
      <c r="AB15" s="3" t="n">
        <f aca="false">IF(Debt!AB115&gt;Inputs!$F$253,AB12/Debt!AB115,0)</f>
        <v>2.58111719347528</v>
      </c>
      <c r="AC15" s="3" t="n">
        <f aca="false">IF(Debt!AC115&gt;Inputs!$F$253,AC12/Debt!AC115,0)</f>
        <v>2.74938898361292</v>
      </c>
      <c r="AD15" s="3" t="n">
        <f aca="false">IF(Debt!AD115&gt;Inputs!$F$253,AD12/Debt!AD115,0)</f>
        <v>2.94407073452817</v>
      </c>
      <c r="AE15" s="3" t="n">
        <f aca="false">IF(Debt!AE115&gt;Inputs!$F$253,AE12/Debt!AE115,0)</f>
        <v>3.19755746932582</v>
      </c>
      <c r="AF15" s="3" t="n">
        <f aca="false">IF(Debt!AF115&gt;Inputs!$F$253,AF12/Debt!AF115,0)</f>
        <v>3.51787246711066</v>
      </c>
      <c r="AG15" s="3" t="n">
        <f aca="false">IF(Debt!AG115&gt;Inputs!$F$253,AG12/Debt!AG115,0)</f>
        <v>3.93820797583062</v>
      </c>
      <c r="AH15" s="3" t="n">
        <f aca="false">IF(Debt!AH115&gt;Inputs!$F$253,AH12/Debt!AH115,0)</f>
        <v>4.49389847454845</v>
      </c>
      <c r="AI15" s="3" t="n">
        <f aca="false">IF(Debt!AI115&gt;Inputs!$F$253,AI12/Debt!AI115,0)</f>
        <v>5.30163891101492</v>
      </c>
      <c r="AJ15" s="3" t="n">
        <f aca="false">IF(Debt!AJ115&gt;Inputs!$F$253,AJ12/Debt!AJ115,0)</f>
        <v>6.5206218969517</v>
      </c>
      <c r="AK15" s="3" t="n">
        <f aca="false">IF(Debt!AK115&gt;Inputs!$F$253,AK12/Debt!AK115,0)</f>
        <v>8.59622939951114</v>
      </c>
      <c r="AL15" s="3" t="n">
        <f aca="false">IF(Debt!AL115&gt;Inputs!$F$253,AL12/Debt!AL115,0)</f>
        <v>10.4171481355049</v>
      </c>
      <c r="AM15" s="3" t="n">
        <f aca="false">IF(Debt!AM115&gt;Inputs!$F$253,AM12/Debt!AM115,0)</f>
        <v>13.7271596819411</v>
      </c>
      <c r="AN15" s="3" t="n">
        <f aca="false">IF(Debt!AN115&gt;Inputs!$F$253,AN12/Debt!AN115,0)</f>
        <v>21.1434480339396</v>
      </c>
      <c r="AO15" s="3" t="n">
        <f aca="false">IF(Debt!AO115&gt;Inputs!$F$253,AO12/Debt!AO115,0)</f>
        <v>40.8140757694411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1.35000000007491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1.53822812236178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1.41911920120461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1.8597281896005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1.35000000011087</v>
      </c>
      <c r="P20" s="3" t="n">
        <f aca="false">IF(Debt!Q114&gt;Inputs!$F$253,(Waterfall!Q7+IF(Debt!R114&gt;Inputs!$F$253,Waterfall!R7,0))/(Debt!Q114+Debt!R114),0)</f>
        <v>1.35000000011283</v>
      </c>
      <c r="Q20" s="3" t="n">
        <f aca="false">IF(Debt!R114&gt;Inputs!$F$253,(Waterfall!R7+IF(Debt!S114&gt;Inputs!$F$253,Waterfall!S7,0))/(Debt!R114+Debt!S114),0)</f>
        <v>1.35000000011252</v>
      </c>
      <c r="R20" s="3" t="n">
        <f aca="false">IF(Debt!S114&gt;Inputs!$F$253,(Waterfall!S7+IF(Debt!T114&gt;Inputs!$F$253,Waterfall!T7,0))/(Debt!S114+Debt!T114),0)</f>
        <v>1.35000000011136</v>
      </c>
      <c r="S20" s="3" t="n">
        <f aca="false">IF(Debt!T114&gt;Inputs!$F$253,(Waterfall!T7+IF(Debt!U114&gt;Inputs!$F$253,Waterfall!U7,0))/(Debt!T114+Debt!U114),0)</f>
        <v>1.35000000011222</v>
      </c>
      <c r="T20" s="3" t="n">
        <f aca="false">IF(Debt!U114&gt;Inputs!$F$253,(Waterfall!U7+IF(Debt!V114&gt;Inputs!$F$253,Waterfall!V7,0))/(Debt!U114+Debt!V114),0)</f>
        <v>1.35000000010744</v>
      </c>
      <c r="U20" s="3" t="n">
        <f aca="false">IF(Debt!V114&gt;Inputs!$F$253,(Waterfall!V7+IF(Debt!W114&gt;Inputs!$F$253,Waterfall!W7,0))/(Debt!V114+Debt!W114),0)</f>
        <v>1.35000000009935</v>
      </c>
      <c r="V20" s="3" t="n">
        <f aca="false">IF(Debt!W114&gt;Inputs!$F$253,(Waterfall!W7+IF(Debt!X114&gt;Inputs!$F$253,Waterfall!X7,0))/(Debt!W114+Debt!X114),0)</f>
        <v>1.35000000009673</v>
      </c>
      <c r="W20" s="3" t="n">
        <f aca="false">IF(Debt!X114&gt;Inputs!$F$253,(Waterfall!X7+IF(Debt!Y114&gt;Inputs!$F$253,Waterfall!Y7,0))/(Debt!X114+Debt!Y114),0)</f>
        <v>1.3500000000951</v>
      </c>
      <c r="X20" s="3" t="n">
        <f aca="false">IF(Debt!Y114&gt;Inputs!$F$253,(Waterfall!Y7+IF(Debt!Z114&gt;Inputs!$F$253,Waterfall!Z7,0))/(Debt!Y114+Debt!Z114),0)</f>
        <v>1.35000000009071</v>
      </c>
      <c r="Y20" s="3" t="n">
        <f aca="false">IF(Debt!Z114&gt;Inputs!$F$253,(Waterfall!Z7+IF(Debt!AA114&gt;Inputs!$F$253,Waterfall!AA7,0))/(Debt!Z114+Debt!AA114),0)</f>
        <v>1.35000000008713</v>
      </c>
      <c r="Z20" s="3" t="n">
        <f aca="false">IF(Debt!AA114&gt;Inputs!$F$253,(Waterfall!AA7+IF(Debt!AB114&gt;Inputs!$F$253,Waterfall!AB7,0))/(Debt!AA114+Debt!AB114),0)</f>
        <v>1.36197092954693</v>
      </c>
      <c r="AA20" s="3" t="n">
        <f aca="false">IF(Debt!AB114&gt;Inputs!$F$253,(Waterfall!AB7+IF(Debt!AC114&gt;Inputs!$F$253,Waterfall!AC7,0))/(Debt!AB114+Debt!AC114),0)</f>
        <v>1.38894049251316</v>
      </c>
      <c r="AB20" s="3" t="n">
        <f aca="false">IF(Debt!AC114&gt;Inputs!$F$253,(Waterfall!AC7+IF(Debt!AD114&gt;Inputs!$F$253,Waterfall!AD7,0))/(Debt!AC114+Debt!AD114),0)</f>
        <v>1.42014131699106</v>
      </c>
      <c r="AC20" s="3" t="n">
        <f aca="false">IF(Debt!AD114&gt;Inputs!$F$253,(Waterfall!AD7+IF(Debt!AE114&gt;Inputs!$F$253,Waterfall!AE7,0))/(Debt!AD114+Debt!AE114),0)</f>
        <v>1.45640780937585</v>
      </c>
      <c r="AD20" s="3" t="n">
        <f aca="false">IF(Debt!AE114&gt;Inputs!$F$253,(Waterfall!AE7+IF(Debt!AF114&gt;Inputs!$F$253,Waterfall!AF7,0))/(Debt!AE114+Debt!AF114),0)</f>
        <v>1.50331816476934</v>
      </c>
      <c r="AE20" s="3" t="n">
        <f aca="false">IF(Debt!AF114&gt;Inputs!$F$253,(Waterfall!AF7+IF(Debt!AG114&gt;Inputs!$F$253,Waterfall!AG7,0))/(Debt!AF114+Debt!AG114),0)</f>
        <v>1.56377654796976</v>
      </c>
      <c r="AF20" s="3" t="n">
        <f aca="false">IF(Debt!AG114&gt;Inputs!$F$253,(Waterfall!AG7+IF(Debt!AH114&gt;Inputs!$F$253,Waterfall!AH7,0))/(Debt!AG114+Debt!AH114),0)</f>
        <v>1.64138371073312</v>
      </c>
      <c r="AG20" s="3" t="n">
        <f aca="false">IF(Debt!AH114&gt;Inputs!$F$253,(Waterfall!AH7+IF(Debt!AI114&gt;Inputs!$F$253,Waterfall!AI7,0))/(Debt!AH114+Debt!AI114),0)</f>
        <v>1.74298051774192</v>
      </c>
      <c r="AH20" s="3" t="n">
        <f aca="false">IF(Debt!AI114&gt;Inputs!$F$253,(Waterfall!AI7+IF(Debt!AJ114&gt;Inputs!$F$253,Waterfall!AJ7,0))/(Debt!AI114+Debt!AJ114),0)</f>
        <v>1.8903535824536</v>
      </c>
      <c r="AI20" s="3" t="n">
        <f aca="false">IF(Debt!AJ114&gt;Inputs!$F$253,(Waterfall!AJ7+IF(Debt!AK114&gt;Inputs!$F$253,Waterfall!AK7,0))/(Debt!AJ114+Debt!AK114),0)</f>
        <v>2.11389674817262</v>
      </c>
      <c r="AJ20" s="3" t="n">
        <f aca="false">IF(Debt!AK114&gt;Inputs!$F$253,(Waterfall!AK7+IF(Debt!AL114&gt;Inputs!$F$253,Waterfall!AL7,0))/(Debt!AK114+Debt!AL114),0)</f>
        <v>2.25565054699781</v>
      </c>
      <c r="AK20" s="3" t="n">
        <f aca="false">IF(Debt!AL114&gt;Inputs!$F$253,(Waterfall!AL7+IF(Debt!AM114&gt;Inputs!$F$253,Waterfall!AM7,0))/(Debt!AL114+Debt!AM114),0)</f>
        <v>2.23673355247046</v>
      </c>
      <c r="AL20" s="3" t="n">
        <f aca="false">IF(Debt!AM114&gt;Inputs!$F$253,(Waterfall!AM7+IF(Debt!AN114&gt;Inputs!$F$253,Waterfall!AN7,0))/(Debt!AM114+Debt!AN114),0)</f>
        <v>2.22221908288856</v>
      </c>
      <c r="AM20" s="3" t="n">
        <f aca="false">IF(Debt!AN114&gt;Inputs!$F$253,(Waterfall!AN7+IF(Debt!AO114&gt;Inputs!$F$253,Waterfall!AO7,0))/(Debt!AN114+Debt!AO114),0)</f>
        <v>2.20672652866288</v>
      </c>
      <c r="AN20" s="3" t="n">
        <f aca="false">IF(Debt!AO114&gt;Inputs!$F$253,(Waterfall!AO7+IF(Debt!AP114&gt;Inputs!$F$253,Waterfall!AP7,0))/(Debt!AO114+Debt!AP114),0)</f>
        <v>2.19678807479059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1174.95354526183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14.997189587262</v>
      </c>
      <c r="BS8" s="18" t="n">
        <f aca="false">Waterfall!Q44</f>
        <v>12.5371871305121</v>
      </c>
      <c r="BT8" s="18" t="n">
        <f aca="false">Waterfall!R44</f>
        <v>13.4601473805023</v>
      </c>
      <c r="BU8" s="18" t="n">
        <f aca="false">Waterfall!S44</f>
        <v>12.6487540869445</v>
      </c>
      <c r="BV8" s="18" t="n">
        <f aca="false">Waterfall!T44</f>
        <v>13.3934512551275</v>
      </c>
      <c r="BW8" s="18" t="n">
        <f aca="false">Waterfall!U44</f>
        <v>12.4325149877249</v>
      </c>
      <c r="BX8" s="18" t="n">
        <f aca="false">Waterfall!V44</f>
        <v>13.6654648959126</v>
      </c>
      <c r="BY8" s="18" t="n">
        <f aca="false">Waterfall!W44</f>
        <v>14.404561953598</v>
      </c>
      <c r="BZ8" s="18" t="n">
        <f aca="false">Waterfall!X44</f>
        <v>13.2807813101373</v>
      </c>
      <c r="CA8" s="18" t="n">
        <f aca="false">Waterfall!Y44</f>
        <v>12.4986661546243</v>
      </c>
      <c r="CB8" s="18" t="n">
        <f aca="false">Waterfall!Z44</f>
        <v>13.2020528452989</v>
      </c>
      <c r="CC8" s="18" t="n">
        <f aca="false">Waterfall!AA44</f>
        <v>6.18526964990857</v>
      </c>
      <c r="CD8" s="18" t="n">
        <f aca="false">Waterfall!AB44</f>
        <v>7.19416552841933</v>
      </c>
      <c r="CE8" s="18" t="n">
        <f aca="false">Waterfall!AC44</f>
        <v>6.86678897087803</v>
      </c>
      <c r="CF8" s="18" t="n">
        <f aca="false">Waterfall!AD44</f>
        <v>8.2088372521896</v>
      </c>
      <c r="CG8" s="18" t="n">
        <f aca="false">Waterfall!AE44</f>
        <v>8.82241226273076</v>
      </c>
      <c r="CH8" s="18" t="n">
        <f aca="false">Waterfall!AF44</f>
        <v>9.71942530961141</v>
      </c>
      <c r="CI8" s="18" t="n">
        <f aca="false">Waterfall!AG44</f>
        <v>10.1557640161825</v>
      </c>
      <c r="CJ8" s="18" t="n">
        <f aca="false">Waterfall!AH44</f>
        <v>11.5387131006289</v>
      </c>
      <c r="CK8" s="18" t="n">
        <f aca="false">Waterfall!AI44</f>
        <v>12.4175779958468</v>
      </c>
      <c r="CL8" s="18" t="n">
        <f aca="false">Waterfall!AJ44</f>
        <v>15.0551962854809</v>
      </c>
      <c r="CM8" s="18" t="n">
        <f aca="false">Waterfall!AK44</f>
        <v>31.8897157033808</v>
      </c>
      <c r="CN8" s="18" t="n">
        <f aca="false">Waterfall!AL44</f>
        <v>29.7062841581408</v>
      </c>
      <c r="CO8" s="18" t="n">
        <f aca="false">Waterfall!AM44</f>
        <v>33.3526211943647</v>
      </c>
      <c r="CP8" s="18" t="n">
        <f aca="false">Waterfall!AN44</f>
        <v>23.5011177675998</v>
      </c>
      <c r="CQ8" s="18" t="n">
        <f aca="false">Waterfall!AO44</f>
        <v>41.5322726830367</v>
      </c>
      <c r="CR8" s="18" t="n">
        <f aca="false">Waterfall!AP44</f>
        <v>41.6216377830038</v>
      </c>
      <c r="CS8" s="18" t="n">
        <f aca="false">Waterfall!AQ44</f>
        <v>41.1745993340732</v>
      </c>
      <c r="CT8" s="18" t="n">
        <f aca="false">Waterfall!AR44</f>
        <v>41.770960831035</v>
      </c>
      <c r="CU8" s="18" t="n">
        <f aca="false">Waterfall!AS44</f>
        <v>41.5056129118261</v>
      </c>
      <c r="CV8" s="18" t="n">
        <f aca="false">Waterfall!AT44</f>
        <v>48.238693031292</v>
      </c>
      <c r="CW8" s="18" t="n">
        <f aca="false">Waterfall!AU44</f>
        <v>43.8015207396234</v>
      </c>
      <c r="CX8" s="18" t="n">
        <f aca="false">Waterfall!AV44</f>
        <v>43.9250195431293</v>
      </c>
      <c r="CY8" s="18" t="n">
        <f aca="false">Waterfall!AW44</f>
        <v>43.5006347551928</v>
      </c>
      <c r="CZ8" s="18" t="n">
        <f aca="false">Waterfall!AX44</f>
        <v>44.1754747855326</v>
      </c>
      <c r="DA8" s="18" t="n">
        <f aca="false">Waterfall!AY44</f>
        <v>43.7185522989792</v>
      </c>
      <c r="DB8" s="18" t="n">
        <f aca="false">Waterfall!AZ44</f>
        <v>44.3364424388821</v>
      </c>
      <c r="DC8" s="18" t="n">
        <f aca="false">Waterfall!BA44</f>
        <v>43.543829720821</v>
      </c>
      <c r="DD8" s="18" t="n">
        <f aca="false">Waterfall!BB44</f>
        <v>44.7848097266784</v>
      </c>
      <c r="DE8" s="18" t="n">
        <f aca="false">Waterfall!BC44</f>
        <v>41.3693070627511</v>
      </c>
      <c r="DF8" s="18" t="n">
        <f aca="false">Waterfall!BD44</f>
        <v>35.2535532770043</v>
      </c>
      <c r="DG8" s="18" t="n">
        <f aca="false">Waterfall!BE44</f>
        <v>34.8037917507731</v>
      </c>
      <c r="DH8" s="18" t="n">
        <f aca="false">Waterfall!BF44</f>
        <v>35.4911261343409</v>
      </c>
      <c r="DI8" s="18" t="n">
        <f aca="false">Waterfall!BG44</f>
        <v>35.0063413826083</v>
      </c>
      <c r="DJ8" s="18" t="n">
        <f aca="false">Waterfall!BH44</f>
        <v>35.6301644713499</v>
      </c>
      <c r="DK8" s="18" t="n">
        <f aca="false">Waterfall!BI44</f>
        <v>35.3515331654512</v>
      </c>
      <c r="DL8" s="18" t="n">
        <f aca="false">Waterfall!BJ44</f>
        <v>43.3576219239654</v>
      </c>
      <c r="DM8" s="18" t="n">
        <f aca="false">Waterfall!BK44</f>
        <v>38.0900629941884</v>
      </c>
      <c r="DN8" s="18" t="n">
        <f aca="false">Waterfall!BL44</f>
        <v>38.8201016869331</v>
      </c>
      <c r="DO8" s="18" t="n">
        <f aca="false">Waterfall!BM44</f>
        <v>54.8489876304097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1594.55628255608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52.4846384492289</v>
      </c>
      <c r="CP9" s="18" t="n">
        <f aca="false">Waterfall!AN7</f>
        <v>42.407025515208</v>
      </c>
      <c r="CQ9" s="18" t="n">
        <f aca="false">Waterfall!AO7</f>
        <v>41.5322726830367</v>
      </c>
      <c r="CR9" s="18" t="n">
        <f aca="false">Waterfall!AP7</f>
        <v>41.6216377830038</v>
      </c>
      <c r="CS9" s="18" t="n">
        <f aca="false">Waterfall!AQ7</f>
        <v>41.1745993340732</v>
      </c>
      <c r="CT9" s="18" t="n">
        <f aca="false">Waterfall!AR7</f>
        <v>41.770960831035</v>
      </c>
      <c r="CU9" s="18" t="n">
        <f aca="false">Waterfall!AS7</f>
        <v>41.5056129118261</v>
      </c>
      <c r="CV9" s="18" t="n">
        <f aca="false">Waterfall!AT7</f>
        <v>48.238693031292</v>
      </c>
      <c r="CW9" s="18" t="n">
        <f aca="false">Waterfall!AU7</f>
        <v>43.8015207396234</v>
      </c>
      <c r="CX9" s="18" t="n">
        <f aca="false">Waterfall!AV7</f>
        <v>43.9250195431293</v>
      </c>
      <c r="CY9" s="18" t="n">
        <f aca="false">Waterfall!AW7</f>
        <v>43.5006347551928</v>
      </c>
      <c r="CZ9" s="18" t="n">
        <f aca="false">Waterfall!AX7</f>
        <v>44.1754747855326</v>
      </c>
      <c r="DA9" s="18" t="n">
        <f aca="false">Waterfall!AY7</f>
        <v>43.7185522989792</v>
      </c>
      <c r="DB9" s="18" t="n">
        <f aca="false">Waterfall!AZ7</f>
        <v>44.3364424388821</v>
      </c>
      <c r="DC9" s="18" t="n">
        <f aca="false">Waterfall!BA7</f>
        <v>44.0387981074297</v>
      </c>
      <c r="DD9" s="18" t="n">
        <f aca="false">Waterfall!BB7</f>
        <v>46.2859599813229</v>
      </c>
      <c r="DE9" s="18" t="n">
        <f aca="false">Waterfall!BC7</f>
        <v>42.8868801360933</v>
      </c>
      <c r="DF9" s="18" t="n">
        <f aca="false">Waterfall!BD7</f>
        <v>36.7877288372509</v>
      </c>
      <c r="DG9" s="18" t="n">
        <f aca="false">Waterfall!BE7</f>
        <v>36.3547514317289</v>
      </c>
      <c r="DH9" s="18" t="n">
        <f aca="false">Waterfall!BF7</f>
        <v>37.0590535569129</v>
      </c>
      <c r="DI9" s="18" t="n">
        <f aca="false">Waterfall!BG7</f>
        <v>36.5914221765451</v>
      </c>
      <c r="DJ9" s="18" t="n">
        <f aca="false">Waterfall!BH7</f>
        <v>37.2325862972185</v>
      </c>
      <c r="DK9" s="18" t="n">
        <f aca="false">Waterfall!BI7</f>
        <v>36.9714857368546</v>
      </c>
      <c r="DL9" s="18" t="n">
        <f aca="false">Waterfall!BJ7</f>
        <v>44.9952970300032</v>
      </c>
      <c r="DM9" s="18" t="n">
        <f aca="false">Waterfall!BK7</f>
        <v>39.7456545221627</v>
      </c>
      <c r="DN9" s="18" t="n">
        <f aca="false">Waterfall!BL7</f>
        <v>40.4938056453036</v>
      </c>
      <c r="DO9" s="18" t="n">
        <f aca="false">Waterfall!BM7</f>
        <v>36.9078074684487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-206.836577996795</v>
      </c>
      <c r="BS11" s="13" t="n">
        <f aca="false">BR11+BS8</f>
        <v>-194.299390866283</v>
      </c>
      <c r="BT11" s="13" t="n">
        <f aca="false">BS11+BT8</f>
        <v>-180.839243485781</v>
      </c>
      <c r="BU11" s="13" t="n">
        <f aca="false">BT11+BU8</f>
        <v>-168.190489398836</v>
      </c>
      <c r="BV11" s="13" t="n">
        <f aca="false">BU11+BV8</f>
        <v>-154.797038143709</v>
      </c>
      <c r="BW11" s="13" t="n">
        <f aca="false">BV11+BW8</f>
        <v>-142.364523155984</v>
      </c>
      <c r="BX11" s="13" t="n">
        <f aca="false">BW11+BX8</f>
        <v>-128.699058260072</v>
      </c>
      <c r="BY11" s="13" t="n">
        <f aca="false">BX11+BY8</f>
        <v>-114.294496306473</v>
      </c>
      <c r="BZ11" s="13" t="n">
        <f aca="false">BY11+BZ8</f>
        <v>-101.013714996336</v>
      </c>
      <c r="CA11" s="13" t="n">
        <f aca="false">BZ11+CA8</f>
        <v>-88.5150488417119</v>
      </c>
      <c r="CB11" s="13" t="n">
        <f aca="false">CA11+CB8</f>
        <v>-75.312995996413</v>
      </c>
      <c r="CC11" s="13" t="n">
        <f aca="false">CB11+CC8</f>
        <v>-69.1277263465044</v>
      </c>
      <c r="CD11" s="13" t="n">
        <f aca="false">CC11+CD8</f>
        <v>-61.9335608180851</v>
      </c>
      <c r="CE11" s="13" t="n">
        <f aca="false">CD11+CE8</f>
        <v>-55.0667718472071</v>
      </c>
      <c r="CF11" s="13" t="n">
        <f aca="false">CE11+CF8</f>
        <v>-46.8579345950175</v>
      </c>
      <c r="CG11" s="13" t="n">
        <f aca="false">CF11+CG8</f>
        <v>-38.0355223322867</v>
      </c>
      <c r="CH11" s="13" t="n">
        <f aca="false">CG11+CH8</f>
        <v>-28.3160970226753</v>
      </c>
      <c r="CI11" s="13" t="n">
        <f aca="false">CH11+CI8</f>
        <v>-18.1603330064928</v>
      </c>
      <c r="CJ11" s="13" t="n">
        <f aca="false">CI11+CJ8</f>
        <v>-6.6216199058639</v>
      </c>
      <c r="CK11" s="13" t="n">
        <f aca="false">CJ11+CK8</f>
        <v>5.79595808998294</v>
      </c>
      <c r="CL11" s="13" t="n">
        <f aca="false">CK11+CL8</f>
        <v>20.8511543754638</v>
      </c>
      <c r="CM11" s="13" t="n">
        <f aca="false">CL11+CM8</f>
        <v>52.7408700788446</v>
      </c>
      <c r="CN11" s="13" t="n">
        <f aca="false">CM11+CN8</f>
        <v>82.4471542369855</v>
      </c>
      <c r="CO11" s="13" t="n">
        <f aca="false">CN11+CO8</f>
        <v>115.79977543135</v>
      </c>
      <c r="CP11" s="13" t="n">
        <f aca="false">CO11+CP8</f>
        <v>139.30089319895</v>
      </c>
      <c r="CQ11" s="13" t="n">
        <f aca="false">CP11+CQ8</f>
        <v>180.833165881987</v>
      </c>
      <c r="CR11" s="13" t="n">
        <f aca="false">CQ11+CR8</f>
        <v>222.454803664991</v>
      </c>
      <c r="CS11" s="13" t="n">
        <f aca="false">CR11+CS8</f>
        <v>263.629402999064</v>
      </c>
      <c r="CT11" s="13" t="n">
        <f aca="false">CS11+CT8</f>
        <v>305.400363830099</v>
      </c>
      <c r="CU11" s="13" t="n">
        <f aca="false">CT11+CU8</f>
        <v>346.905976741925</v>
      </c>
      <c r="CV11" s="13" t="n">
        <f aca="false">CU11+CV8</f>
        <v>395.144669773217</v>
      </c>
      <c r="CW11" s="13" t="n">
        <f aca="false">CV11+CW8</f>
        <v>438.94619051284</v>
      </c>
      <c r="CX11" s="13" t="n">
        <f aca="false">CW11+CX8</f>
        <v>482.871210055969</v>
      </c>
      <c r="CY11" s="13" t="n">
        <f aca="false">CX11+CY8</f>
        <v>526.371844811162</v>
      </c>
      <c r="CZ11" s="13" t="n">
        <f aca="false">CY11+CZ8</f>
        <v>570.547319596695</v>
      </c>
      <c r="DA11" s="13" t="n">
        <f aca="false">CZ11+DA8</f>
        <v>614.265871895674</v>
      </c>
      <c r="DB11" s="13" t="n">
        <f aca="false">DA11+DB8</f>
        <v>658.602314334556</v>
      </c>
      <c r="DC11" s="13" t="n">
        <f aca="false">DB11+DC8</f>
        <v>702.146144055377</v>
      </c>
      <c r="DD11" s="13" t="n">
        <f aca="false">DC11+DD8</f>
        <v>746.930953782055</v>
      </c>
      <c r="DE11" s="13" t="n">
        <f aca="false">DD11+DE8</f>
        <v>788.300260844807</v>
      </c>
      <c r="DF11" s="13" t="n">
        <f aca="false">DE11+DF8</f>
        <v>823.553814121811</v>
      </c>
      <c r="DG11" s="13" t="n">
        <f aca="false">DF11+DG8</f>
        <v>858.357605872584</v>
      </c>
      <c r="DH11" s="13" t="n">
        <f aca="false">DG11+DH8</f>
        <v>893.848732006925</v>
      </c>
      <c r="DI11" s="13" t="n">
        <f aca="false">DH11+DI8</f>
        <v>928.855073389533</v>
      </c>
      <c r="DJ11" s="13" t="n">
        <f aca="false">DI11+DJ8</f>
        <v>964.485237860883</v>
      </c>
      <c r="DK11" s="13" t="n">
        <f aca="false">DJ11+DK8</f>
        <v>999.836771026334</v>
      </c>
      <c r="DL11" s="13" t="n">
        <f aca="false">DK11+DL8</f>
        <v>1043.1943929503</v>
      </c>
      <c r="DM11" s="13" t="n">
        <f aca="false">DL11+DM8</f>
        <v>1081.28445594449</v>
      </c>
      <c r="DN11" s="13" t="n">
        <f aca="false">DM11+DN8</f>
        <v>1120.10455763142</v>
      </c>
      <c r="DO11" s="13" t="n">
        <f aca="false">DN11+DO8</f>
        <v>1174.95354526183</v>
      </c>
      <c r="DP11" s="13" t="n">
        <f aca="false">DO11+DP8</f>
        <v>1174.95354526183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0.132662203987854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0.109610228238084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-43.0674358225567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1.35000000007491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1.53822812236178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1.41911920120461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1.8597281896005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0.132662203987854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0.109610228238084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-43.0674358225567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2026-10-03T22:34:02Z</dcterms:created>
  <dc:creator>openpyxl</dc:creator>
  <dc:description/>
  <dc:language>en-US</dc:language>
  <cp:lastModifiedBy/>
  <dcterms:modified xsi:type="dcterms:W3CDTF">2026-10-03T22:34:11Z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