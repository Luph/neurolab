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<sst xmlns="http://schemas.openxmlformats.org/spreadsheetml/2006/main" count="3618" uniqueCount="2025">
  <si>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</si>
  <si>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</si>
  <si>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</si>
  <si>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</si>
  <si>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</si>
  <si>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</si>
  <si>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</si>
  <si>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</si>
  <si>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</si>
  <si>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</si>
  <si>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</si>
  <si>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</si>
  <si>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</si>
  <si>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</si>
  <si>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</si>
  <si>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</si>
  <si>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</si>
  <si>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</si>
  <si>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</si>
  <si>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</si>
  <si>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</si>
  <si>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</si>
  <si>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</si>
  <si>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</si>
  <si>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</si>
  <si>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</si>
  <si>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</si>
  <si>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</si>
  <si>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</si>
  <si>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</si>
  <si>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</si>
  <si>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</si>
  <si>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</si>
  <si>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</si>
  <si>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</si>
  <si>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</si>
  <si>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</si>
  <si>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</si>
  <si>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</si>
  <si>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</si>
  <si>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</si>
  <si>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</si>
  <si>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</si>
  <si>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</si>
  <si>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</si>
  <si>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</si>
  <si>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</si>
  <si>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</si>
  <si>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</si>
  <si>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</si>
  <si>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</si>
  <si>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</si>
  <si>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</si>
  <si>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</si>
  <si>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</si>
  <si>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</si>
  <si>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</si>
  <si>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</si>
  <si>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</si>
  <si>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</si>
  <si>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</si>
  <si>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</si>
  <si>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</si>
  <si>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</si>
  <si>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</si>
  <si>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</si>
  <si>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</si>
  <si>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</si>
  <si>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</si>
  <si>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</si>
  <si>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</si>
  <si>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</si>
  <si>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</si>
  <si>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</si>
  <si>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</si>
  <si>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</si>
  <si>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</si>
  <si>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</si>
  <si>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</si>
  <si>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</si>
  <si>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</si>
  <si>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</si>
  <si>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</si>
  <si>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</si>
  <si>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</si>
  <si>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</si>
  <si>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</si>
  <si>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</si>
  <si>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</si>
  <si>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</si>
  <si>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</si>
  <si>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</si>
  <si>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</si>
  <si>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</si>
  <si>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</si>
  <si>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</si>
  <si>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</si>
  <si>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</si>
  <si>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</si>
  <si>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</si>
  <si>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</si>
  <si>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</si>
  <si>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</si>
  <si>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</si>
  <si>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</si>
  <si>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</si>
  <si>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</si>
  <si>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</si>
  <si>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</si>
  <si>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</si>
  <si>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</si>
  <si>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</si>
  <si>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</si>
  <si>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</si>
  <si>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</si>
  <si>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</si>
  <si>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</si>
  <si>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</si>
  <si>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</si>
  <si>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</si>
  <si>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</si>
  <si>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</si>
  <si>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</si>
  <si>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</si>
  <si>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</si>
  <si>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</si>
  <si>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</si>
  <si>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</si>
  <si>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</si>
  <si>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</si>
  <si>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</si>
  <si>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</si>
  <si>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</si>
  <si>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</si>
  <si>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</si>
  <si>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</si>
  <si>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</si>
  <si>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</si>
  <si>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</si>
  <si>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</si>
  <si>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</si>
  <si>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</si>
  <si>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</si>
  <si>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</si>
  <si>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</si>
  <si>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</si>
  <si>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</si>
  <si>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</si>
  <si>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</si>
  <si>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</si>
  <si>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</si>
  <si>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</si>
  <si>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</si>
  <si>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</si>
  <si>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</si>
  <si>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</si>
  <si>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</si>
  <si>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</si>
  <si>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</si>
  <si>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</si>
  <si>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</si>
  <si>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</si>
  <si>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</si>
  <si>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</si>
  <si>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</si>
  <si>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</si>
  <si>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</si>
  <si>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</si>
  <si>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</si>
  <si>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</si>
  <si>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</si>
  <si>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</si>
  <si>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</si>
  <si>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</si>
  <si>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</si>
  <si>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</si>
  <si>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</si>
  <si>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</si>
  <si>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</si>
  <si>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</si>
  <si>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</si>
  <si>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</si>
  <si>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</si>
  <si>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</si>
  <si>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</si>
  <si>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</si>
  <si>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</si>
  <si>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</si>
  <si>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</si>
  <si>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</si>
  <si>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</si>
  <si>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</si>
  <si>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</si>
  <si>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</si>
  <si>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</si>
  <si>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</si>
  <si>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</si>
  <si>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</si>
  <si>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</si>
  <si>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</si>
  <si>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</si>
  <si>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</si>
  <si>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</si>
  <si>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</si>
  <si>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</si>
  <si>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</si>
  <si>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</si>
  <si>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</si>
  <si>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</si>
  <si>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</si>
  <si>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</si>
  <si>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</si>
  <si>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</si>
  <si>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</si>
  <si>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</si>
  <si>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</si>
  <si>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</si>
  <si>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</si>
  <si>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</si>
  <si>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</si>
  <si>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</si>
  <si>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</si>
  <si>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</si>
  <si>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</si>
  <si>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</si>
  <si>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</si>
  <si>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</si>
  <si>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</si>
  <si>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</si>
  <si>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</si>
  <si>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</si>
  <si>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</si>
  <si>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</si>
  <si>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</si>
  <si>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</si>
  <si>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</si>
  <si>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</si>
  <si>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</si>
  <si>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</si>
  <si>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</si>
  <si>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</si>
  <si>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</si>
  <si>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</si>
  <si>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</si>
  <si>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</si>
  <si>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</si>
  <si>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</si>
  <si>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</si>
  <si>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</si>
  <si>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</si>
  <si>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</si>
  <si>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</si>
  <si>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</si>
  <si>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</si>
  <si>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</si>
  <si>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</si>
  <si>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</si>
  <si>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</si>
  <si>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</si>
  <si>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</si>
  <si>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</si>
  <si>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</si>
  <si>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</si>
  <si>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</si>
  <si>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</si>
  <si>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</si>
  <si>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</si>
  <si>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</si>
  <si>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</si>
  <si>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</si>
  <si>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</si>
  <si>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</si>
  <si>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</si>
  <si>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</si>
  <si>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</si>
  <si>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</si>
  <si>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</si>
  <si>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</si>
  <si>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</si>
  <si>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</si>
  <si>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</si>
  <si>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</si>
  <si>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</si>
  <si>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</si>
  <si>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</si>
  <si>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</si>
  <si>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</si>
  <si>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</si>
  <si>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</si>
  <si>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</si>
  <si>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</si>
  <si>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</si>
  <si>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</si>
  <si>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</si>
  <si>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</si>
  <si>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</si>
  <si>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</si>
  <si>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</si>
  <si>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</si>
  <si>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</si>
  <si>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</si>
  <si>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</si>
  <si>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</si>
  <si>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</si>
  <si>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</si>
  <si>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</si>
  <si>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</si>
  <si>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</si>
  <si>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</si>
  <si>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</si>
  <si>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</si>
  <si>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</si>
  <si>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</si>
  <si>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</si>
  <si>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</si>
  <si>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</si>
  <si>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</si>
  <si>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</si>
  <si>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</si>
  <si>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</si>
  <si>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</si>
  <si>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</si>
  <si>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</si>
  <si>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</si>
  <si>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</si>
  <si>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</si>
  <si>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</si>
  <si>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</si>
  <si>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</si>
  <si>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</si>
  <si>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</si>
  <si>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</si>
  <si>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</si>
  <si>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</si>
  <si>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</si>
  <si>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</si>
  <si>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</si>
  <si>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</si>
  <si>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</si>
  <si>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</si>
  <si>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</si>
  <si>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</si>
  <si>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</si>
  <si>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</si>
  <si>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</si>
  <si>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</si>
  <si>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</si>
  <si>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</si>
  <si>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</si>
  <si>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</si>
  <si>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</si>
  <si>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</si>
  <si>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</si>
  <si>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</si>
  <si>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</si>
  <si>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</si>
  <si>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</si>
  <si>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</si>
  <si>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</si>
  <si>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</si>
  <si>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</si>
  <si>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</si>
  <si>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</si>
  <si>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</si>
  <si>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</si>
  <si>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</si>
  <si>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</si>
  <si>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</si>
  <si>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</si>
  <si>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</si>
  <si>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</si>
  <si>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</si>
  <si>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</si>
  <si>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</si>
  <si>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</si>
  <si>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</si>
  <si>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</si>
  <si>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</si>
  <si>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</si>
  <si>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</si>
  <si>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</si>
  <si>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</si>
  <si>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</si>
  <si>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</si>
  <si>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</si>
  <si>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</si>
  <si>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</si>
  <si>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</si>
  <si>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</si>
  <si>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</si>
  <si>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</si>
  <si>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</si>
  <si>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</si>
  <si>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</si>
  <si>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</si>
  <si>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</si>
  <si>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</si>
  <si>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</si>
  <si>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</si>
  <si>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</si>
  <si>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</si>
  <si>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</si>
  <si>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</si>
  <si>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</si>
  <si>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</si>
  <si>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</si>
  <si>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</si>
  <si>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</si>
  <si>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</si>
  <si>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</si>
  <si>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</si>
  <si>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</si>
  <si>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</si>
  <si>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</si>
  <si>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</si>
  <si>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</si>
  <si>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</si>
  <si>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</si>
  <si>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FC, A-loan, B-loan, commercial and standby (share of their amount; ECA in equal installments)</t>
  </si>
  <si>
    <t xml:space="preserve">COD re-sculpted repayment profile, tranches other than ECA (share of their amount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</si>
  <si>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</si>
  <si>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</si>
  <si>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</si>
  <si>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</si>
  <si>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</si>
  <si>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</si>
  <si>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</si>
  <si>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</si>
  <si>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</si>
  <si>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</si>
  <si>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</si>
  <si>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</si>
  <si>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</si>
  <si>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</si>
  <si>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</si>
  <si>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</si>
  <si>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</si>
  <si>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</si>
  <si>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</si>
  <si>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</si>
  <si>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</si>
  <si>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</si>
  <si>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</si>
  <si>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</si>
  <si>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</si>
  <si>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</si>
  <si>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</si>
  <si>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</si>
  <si>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</si>
  <si>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</si>
  <si>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</si>
  <si>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</si>
  <si>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</si>
  <si>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</si>
  <si>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</si>
  <si>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</si>
  <si>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</si>
  <si>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</si>
  <si>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</si>
  <si>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</si>
  <si>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</si>
  <si>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</si>
  <si>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</si>
  <si>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</si>
  <si>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</si>
  <si>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</si>
  <si>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</si>
  <si>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</si>
  <si>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</si>
  <si>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</si>
  <si>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</si>
  <si>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</si>
  <si>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</si>
  <si>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</si>
  <si>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</si>
  <si>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</si>
  <si>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</si>
  <si>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</si>
  <si>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</si>
  <si>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</si>
  <si>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</si>
  <si>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</si>
  <si>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</si>
  <si>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</si>
  <si>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</si>
  <si>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</si>
  <si>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</si>
  <si>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</si>
  <si>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</si>
  <si>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</si>
  <si>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</si>
  <si>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</si>
  <si>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</si>
  <si>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</si>
  <si>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</si>
  <si>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</si>
  <si>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</si>
  <si>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</si>
  <si>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</si>
  <si>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</si>
  <si>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</si>
  <si>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</si>
  <si>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</si>
  <si>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</si>
  <si>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</si>
  <si>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</si>
  <si>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</si>
  <si>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</si>
  <si>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</si>
  <si>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</si>
  <si>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</si>
  <si>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</si>
  <si>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</si>
  <si>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</si>
  <si>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</si>
  <si>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</si>
  <si>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</si>
  <si>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</si>
  <si>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</si>
  <si>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</si>
  <si>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</si>
  <si>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</si>
  <si>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</si>
  <si>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</si>
  <si>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</si>
  <si>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</si>
  <si>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</si>
  <si>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</si>
  <si>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</si>
  <si>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</si>
  <si>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</si>
  <si>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</si>
  <si>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</si>
  <si>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</si>
  <si>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</si>
  <si>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</si>
  <si>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</si>
  <si>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</si>
  <si>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</si>
  <si>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</si>
  <si>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</si>
  <si>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</si>
  <si>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</si>
  <si>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</si>
  <si>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</si>
  <si>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</si>
  <si>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</si>
  <si>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</si>
  <si>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</si>
  <si>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</si>
  <si>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</si>
  <si>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</si>
  <si>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</si>
  <si>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</si>
  <si>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</si>
  <si>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</si>
  <si>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</si>
  <si>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</si>
  <si>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</si>
  <si>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</si>
  <si>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</si>
  <si>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</si>
  <si>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</si>
  <si>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</si>
  <si>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</si>
  <si>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</si>
  <si>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</si>
  <si>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</si>
  <si>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</si>
  <si>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</si>
  <si>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</si>
  <si>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</si>
  <si>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</si>
  <si>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</si>
  <si>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</si>
  <si>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</si>
  <si>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</si>
  <si>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</si>
  <si>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</si>
  <si>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</si>
  <si>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</si>
  <si>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</si>
  <si>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</si>
  <si>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</si>
  <si>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</si>
  <si>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</si>
  <si>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</si>
  <si>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</si>
  <si>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</si>
  <si>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</si>
  <si>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</si>
  <si>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</si>
  <si>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</si>
  <si>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</si>
  <si>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</si>
  <si>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</si>
  <si>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</si>
  <si>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</si>
  <si>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</si>
  <si>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</si>
  <si>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</si>
  <si>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</si>
  <si>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</si>
  <si>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</si>
  <si>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</si>
  <si>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</si>
  <si>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</si>
  <si>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</si>
  <si>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</si>
  <si>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</si>
  <si>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</si>
  <si>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</si>
  <si>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</si>
  <si>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</si>
  <si>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</si>
  <si>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</si>
  <si>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</si>
  <si>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</si>
  <si>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</si>
  <si>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</si>
  <si>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</si>
  <si>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</si>
  <si>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</si>
  <si>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</si>
  <si>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</si>
  <si>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</si>
  <si>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</si>
  <si>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</si>
  <si>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</si>
  <si>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</si>
  <si>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</si>
  <si>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</si>
  <si>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</si>
  <si>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</si>
  <si>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</si>
  <si>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</si>
  <si>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</si>
  <si>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</si>
  <si>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</si>
  <si>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</si>
  <si>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</si>
  <si>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</si>
  <si>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</si>
  <si>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</si>
  <si>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</si>
  <si>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</si>
  <si>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</si>
  <si>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</si>
  <si>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</si>
  <si>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</si>
  <si>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</si>
  <si>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</si>
  <si>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</si>
  <si>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</si>
  <si>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</si>
  <si>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</si>
  <si>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</si>
  <si>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</si>
  <si>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</si>
  <si>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</si>
  <si>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</si>
  <si>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</si>
  <si>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</si>
  <si>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</si>
  <si>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</si>
  <si>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</si>
  <si>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</si>
  <si>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</si>
  <si>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</si>
  <si>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</si>
  <si>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</si>
  <si>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</si>
  <si>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</si>
  <si>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</si>
  <si>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</si>
  <si>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</si>
  <si>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</si>
  <si>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</si>
  <si>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</si>
  <si>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</si>
  <si>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</si>
  <si>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</si>
  <si>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</si>
  <si>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</si>
  <si>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</si>
  <si>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</si>
  <si>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</si>
  <si>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</si>
  <si>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</si>
  <si>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</si>
  <si>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</si>
  <si>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</si>
  <si>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</si>
  <si>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</si>
  <si>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</si>
  <si>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</si>
  <si>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</si>
  <si>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</si>
  <si>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</si>
  <si>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</si>
  <si>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</si>
  <si>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</si>
  <si>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</si>
  <si>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</si>
  <si>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</si>
  <si>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</si>
  <si>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</si>
  <si>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</si>
  <si>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</si>
  <si>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</si>
  <si>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</si>
  <si>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</si>
  <si>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</si>
  <si>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</si>
  <si>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</si>
  <si>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</si>
  <si>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</si>
  <si>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</si>
  <si>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</si>
  <si>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</si>
  <si>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</si>
  <si>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</si>
  <si>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</si>
  <si>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</si>
  <si>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</si>
  <si>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</si>
  <si>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</si>
  <si>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</si>
  <si>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</si>
  <si>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</si>
  <si>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</si>
  <si>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</si>
  <si>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</si>
  <si>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</si>
  <si>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</si>
  <si>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</si>
  <si>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</si>
  <si>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</si>
  <si>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</si>
  <si>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</si>
  <si>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</si>
  <si>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</si>
  <si>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</si>
  <si>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</si>
  <si>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</si>
  <si>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</si>
  <si>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</si>
  <si>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</si>
  <si>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</si>
  <si>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</si>
  <si>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</si>
  <si>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</si>
  <si>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</si>
  <si>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</si>
  <si>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</si>
  <si>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</si>
  <si>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</si>
  <si>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</si>
  <si>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</si>
  <si>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</si>
  <si>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</si>
  <si>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</si>
  <si>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</si>
  <si>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</si>
  <si>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</si>
  <si>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</si>
  <si>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</si>
  <si>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</si>
  <si>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</si>
  <si>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</si>
  <si>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</si>
  <si>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</si>
  <si>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</si>
  <si>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</si>
  <si>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</si>
  <si>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</si>
  <si>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</si>
  <si>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</si>
  <si>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</si>
  <si>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</si>
  <si>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</si>
  <si>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</si>
  <si>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</si>
  <si>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</si>
  <si>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</si>
  <si>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</si>
  <si>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</si>
  <si>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</si>
  <si>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</si>
  <si>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</si>
  <si>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</si>
  <si>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</si>
  <si>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</si>
  <si>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</si>
  <si>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</si>
  <si>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</si>
  <si>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</si>
  <si>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</si>
  <si>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</si>
  <si>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</si>
  <si>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</si>
  <si>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</si>
  <si>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</si>
  <si>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</si>
  <si>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</si>
  <si>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</si>
  <si>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</si>
  <si>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</si>
  <si>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</si>
  <si>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</si>
  <si>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</si>
  <si>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</si>
  <si>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</si>
  <si>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</si>
  <si>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</si>
  <si>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</si>
  <si>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</si>
  <si>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</si>
  <si>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</si>
  <si>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</si>
  <si>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</si>
  <si>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</si>
  <si>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</si>
  <si>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</si>
  <si>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</si>
  <si>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</si>
  <si>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</si>
  <si>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</si>
  <si>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</si>
  <si>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</si>
  <si>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</si>
  <si>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</si>
  <si>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</si>
  <si>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</si>
  <si>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</si>
  <si>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</si>
  <si>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</si>
  <si>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</si>
  <si>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</si>
  <si>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</si>
  <si>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</si>
  <si>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</si>
  <si>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</si>
  <si>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</si>
  <si>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</si>
  <si>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</si>
  <si>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</si>
  <si>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</si>
  <si>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</si>
  <si>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</si>
  <si>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</si>
  <si>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</si>
  <si>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</si>
  <si>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</si>
  <si>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</si>
  <si>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</si>
  <si>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</si>
  <si>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</si>
  <si>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</si>
  <si>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</si>
  <si>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</si>
  <si>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</si>
  <si>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</si>
  <si>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</si>
  <si>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</si>
  <si>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</si>
  <si>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</si>
  <si>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</si>
  <si>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</si>
  <si>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</si>
  <si>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</si>
  <si>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</si>
  <si>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</si>
  <si>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</si>
  <si>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</si>
  <si>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</si>
  <si>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</si>
  <si>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</si>
  <si>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</si>
  <si>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</si>
  <si>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</si>
  <si>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</si>
  <si>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</si>
  <si>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</si>
  <si>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</si>
  <si>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</si>
  <si>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</si>
  <si>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</si>
  <si>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</si>
  <si>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</si>
  <si>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</si>
  <si>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</si>
  <si>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</si>
  <si>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</si>
  <si>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</si>
  <si>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</si>
  <si>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</si>
  <si>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</si>
  <si>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</si>
  <si>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</si>
  <si>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</si>
  <si>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</si>
  <si>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</si>
  <si>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</si>
  <si>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</si>
  <si>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</si>
  <si>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</si>
  <si>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</si>
  <si>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</si>
  <si>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</si>
  <si>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</si>
  <si>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</si>
  <si>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</si>
  <si>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</si>
  <si>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</si>
  <si>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</si>
  <si>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</si>
  <si>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</si>
  <si>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</si>
  <si>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</si>
  <si>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</si>
  <si>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</si>
  <si>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</si>
  <si>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</si>
  <si>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</si>
  <si>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</si>
  <si>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</si>
  <si>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</si>
  <si>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</si>
  <si>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</si>
  <si>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</si>
  <si>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</si>
  <si>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</si>
  <si>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</si>
  <si>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</si>
  <si>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</si>
  <si>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</si>
  <si>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</si>
  <si>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</si>
  <si>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</si>
  <si>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</si>
  <si>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</si>
  <si>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</si>
  <si>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</si>
  <si>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</si>
  <si>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</si>
  <si>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</si>
  <si>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</si>
  <si>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</si>
  <si>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</si>
  <si>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</si>
  <si>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</si>
  <si>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</si>
  <si>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</si>
  <si>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</si>
  <si>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</si>
  <si>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</si>
  <si>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</si>
  <si>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</si>
  <si>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</si>
  <si>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</si>
  <si>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</si>
  <si>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</si>
  <si>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</si>
  <si>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</si>
  <si>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</si>
  <si>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</si>
  <si>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</si>
  <si>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</si>
  <si>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</si>
  <si>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</si>
  <si>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</si>
  <si>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</si>
  <si>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</si>
  <si>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</si>
  <si>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</si>
  <si>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</si>
  <si>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</si>
  <si>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</si>
  <si>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</si>
  <si>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</si>
  <si>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</si>
  <si>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</si>
  <si>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</si>
  <si>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</si>
  <si>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</si>
  <si>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</si>
  <si>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</si>
  <si>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</si>
  <si>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</si>
  <si>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</si>
  <si>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</si>
  <si>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</si>
  <si>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</si>
  <si>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</si>
  <si>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</si>
  <si>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</si>
  <si>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</si>
  <si>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</si>
  <si>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</si>
  <si>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</si>
  <si>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</si>
  <si>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</si>
  <si>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</si>
  <si>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</si>
  <si>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</si>
  <si>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</si>
  <si>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</si>
  <si>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</si>
  <si>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</si>
  <si>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</si>
  <si>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</si>
  <si>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</si>
  <si>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</si>
  <si>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</si>
  <si>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</si>
  <si>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</si>
  <si>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</si>
  <si>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</si>
  <si>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</si>
  <si>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</si>
  <si>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</si>
  <si>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</si>
  <si>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</si>
  <si>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</si>
  <si>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</si>
  <si>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</si>
  <si>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</si>
  <si>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</si>
  <si>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</si>
  <si>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</si>
  <si>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</si>
  <si>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</si>
  <si>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</si>
  <si>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</si>
  <si>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</si>
  <si>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</si>
  <si>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</si>
  <si>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</si>
  <si>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</si>
  <si>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</si>
  <si>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</si>
  <si>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</si>
  <si>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</si>
  <si>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</si>
  <si>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</si>
  <si>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</si>
  <si>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</si>
  <si>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</si>
  <si>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</si>
  <si>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</si>
  <si>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</si>
  <si>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</si>
  <si>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</si>
  <si>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</si>
  <si>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</si>
  <si>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</si>
  <si>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</si>
  <si>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</si>
  <si>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</si>
  <si>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</si>
  <si>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</si>
  <si>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</si>
  <si>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</si>
  <si>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</si>
  <si>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</si>
  <si>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</si>
  <si>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</si>
  <si>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</si>
  <si>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</si>
  <si>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</si>
  <si>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</si>
  <si>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</si>
  <si>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</si>
  <si>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</si>
  <si>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</si>
  <si>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</si>
  <si>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</si>
  <si>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</si>
  <si>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</si>
  <si>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</si>
  <si>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</si>
  <si>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</si>
  <si>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</si>
  <si>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</si>
  <si>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</si>
  <si>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</si>
  <si>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</si>
  <si>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</si>
  <si>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</si>
  <si>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</si>
  <si>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</si>
  <si>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</si>
  <si>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</si>
  <si>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</si>
  <si>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</si>
  <si>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</si>
  <si>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</si>
  <si>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</si>
  <si>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</si>
  <si>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</si>
  <si>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</si>
  <si>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</si>
  <si>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</si>
  <si>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</si>
  <si>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</si>
  <si>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</si>
  <si>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</si>
  <si>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</si>
  <si>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</si>
  <si>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</si>
  <si>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</si>
  <si>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</si>
  <si>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</si>
  <si>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</si>
  <si>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</si>
  <si>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</si>
  <si>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</si>
  <si>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</si>
  <si>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</si>
  <si>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</si>
  <si>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</si>
  <si>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</si>
  <si>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</si>
  <si>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</si>
  <si>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</si>
  <si>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</si>
  <si>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</si>
  <si>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</si>
  <si>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</si>
  <si>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</si>
  <si>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</si>
  <si>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</si>
  <si>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</si>
  <si>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</si>
  <si>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</si>
  <si>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</si>
  <si>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</si>
  <si>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</si>
  <si>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</si>
  <si>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</si>
  <si>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</si>
  <si>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</si>
  <si>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</si>
  <si>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</si>
  <si>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</si>
  <si>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</si>
  <si>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</si>
  <si>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</si>
  <si>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</si>
  <si>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</si>
  <si>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</si>
  <si>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</si>
  <si>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</si>
  <si>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</si>
  <si>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</si>
  <si>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</si>
  <si>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</si>
  <si>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</si>
  <si>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</si>
  <si>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</si>
  <si>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</si>
  <si>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</si>
  <si>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</si>
  <si>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</si>
  <si>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</si>
  <si>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</si>
  <si>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</si>
  <si>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</si>
  <si>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</si>
  <si>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</si>
  <si>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</si>
  <si>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</si>
  <si>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</si>
  <si>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</si>
  <si>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</si>
  <si>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</si>
  <si>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</si>
  <si>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</si>
  <si>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</si>
  <si>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</si>
  <si>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</si>
  <si>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</si>
  <si>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</si>
  <si>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</si>
  <si>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</si>
  <si>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</si>
  <si>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</si>
  <si>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</si>
  <si>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</si>
  <si>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</si>
  <si>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</si>
  <si>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</si>
  <si>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</si>
  <si>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</si>
  <si>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</si>
  <si>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</si>
  <si>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</si>
  <si>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</si>
  <si>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</si>
  <si>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</si>
  <si>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</si>
  <si>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</si>
  <si>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</si>
  <si>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</si>
  <si>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</si>
  <si>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</si>
  <si>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</si>
  <si>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</si>
  <si>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</si>
  <si>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</si>
  <si>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</si>
  <si>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</si>
  <si>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</si>
  <si>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</si>
  <si>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</si>
  <si>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</si>
  <si>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</si>
  <si>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</si>
  <si>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</si>
  <si>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</si>
  <si>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</si>
  <si>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</si>
  <si>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</si>
  <si>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</si>
  <si>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</si>
  <si>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</si>
  <si>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</si>
  <si>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</si>
  <si>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</si>
  <si>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</si>
  <si>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</si>
  <si>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</si>
  <si>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</si>
  <si>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</si>
  <si>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</si>
  <si>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</si>
  <si>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</si>
  <si>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</si>
  <si>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</si>
  <si>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</si>
  <si>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</si>
  <si>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</si>
  <si>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</si>
  <si>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</si>
  <si>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</si>
  <si>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</si>
  <si>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</si>
  <si>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</si>
  <si>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</si>
  <si>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</si>
  <si>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</si>
  <si>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</si>
  <si>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</si>
  <si>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</si>
  <si>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</si>
  <si>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</si>
  <si>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</si>
  <si>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</si>
  <si>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</si>
  <si>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</si>
  <si>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</si>
  <si>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</si>
  <si>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</si>
  <si>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</si>
  <si>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</si>
  <si>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</si>
  <si>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</si>
  <si>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</si>
  <si>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</si>
  <si>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</si>
  <si>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</si>
  <si>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</si>
  <si>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</si>
  <si>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</si>
  <si>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</si>
  <si>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</si>
  <si>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</si>
  <si>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</si>
  <si>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</si>
  <si>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</si>
  <si>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</si>
  <si>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</si>
  <si>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</si>
  <si>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</si>
  <si>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</si>
  <si>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</si>
  <si>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</si>
  <si>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</si>
  <si>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</si>
  <si>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</si>
  <si>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</si>
  <si>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</si>
  <si>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</si>
  <si>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</si>
  <si>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</si>
  <si>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</si>
  <si>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</si>
  <si>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</si>
  <si>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</si>
  <si>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</si>
  <si>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</si>
  <si>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</si>
  <si>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</si>
  <si>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</si>
  <si>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</si>
  <si>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</si>
  <si>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</si>
  <si>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</si>
  <si>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</si>
  <si>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</si>
  <si>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</si>
  <si>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</si>
  <si>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</si>
  <si>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</si>
  <si>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</si>
  <si>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</si>
  <si>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</si>
  <si>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</si>
  <si>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</si>
  <si>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</si>
  <si>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</si>
  <si>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</si>
  <si>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</si>
  <si>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</si>
  <si>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</si>
  <si>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</si>
  <si>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</si>
  <si>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</si>
  <si>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</si>
  <si>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</si>
  <si>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</si>
  <si>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</si>
  <si>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</si>
  <si>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</si>
  <si>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</si>
  <si>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</si>
  <si>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</si>
  <si>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</si>
  <si>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</si>
  <si>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</si>
  <si>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</si>
  <si>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</si>
  <si>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</si>
  <si>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</si>
  <si>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</si>
  <si>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</si>
  <si>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</si>
  <si>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</si>
  <si>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</si>
  <si>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</si>
  <si>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</si>
  <si>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</si>
  <si>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</si>
  <si>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</si>
  <si>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</si>
  <si>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</si>
  <si>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</si>
  <si>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</si>
  <si>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</si>
  <si>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</si>
  <si>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</si>
  <si>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</si>
  <si>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</si>
  <si>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</si>
  <si>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</si>
  <si>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</si>
  <si>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</si>
  <si>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</si>
  <si>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</si>
  <si>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</si>
  <si>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</si>
  <si>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</si>
  <si>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</si>
  <si>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</si>
  <si>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</si>
  <si>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</si>
  <si>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</si>
  <si>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</si>
  <si>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</si>
  <si>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</si>
  <si>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</si>
  <si>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</si>
  <si>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</si>
  <si>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</si>
  <si>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</si>
  <si>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</si>
  <si>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</si>
  <si>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</si>
  <si>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</si>
  <si>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</si>
  <si>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</si>
  <si>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</si>
  <si>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</si>
  <si>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</si>
  <si>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</si>
  <si>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</si>
  <si>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</si>
  <si>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</si>
  <si>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</si>
  <si>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</si>
  <si>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</si>
  <si>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</si>
  <si>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</si>
  <si>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</si>
  <si>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</si>
  <si>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</si>
  <si>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</si>
  <si>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</si>
  <si>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</si>
  <si>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</si>
  <si>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</si>
  <si>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</si>
  <si>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</si>
  <si>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</si>
  <si>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</si>
  <si>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</si>
  <si>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</si>
  <si>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</si>
  <si>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</si>
  <si>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</si>
  <si>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</si>
  <si>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</si>
  <si>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</si>
  <si>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</si>
  <si>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</si>
  <si>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</si>
  <si>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</si>
  <si>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</si>
  <si>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</si>
  <si>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</si>
  <si>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</si>
  <si>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</si>
  <si>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</si>
  <si>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</si>
  <si>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</si>
  <si>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</si>
  <si>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</si>
  <si>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</si>
  <si>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</si>
  <si>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</si>
  <si>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</si>
  <si>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</si>
  <si>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</si>
  <si>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</si>
  <si>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</si>
  <si>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</si>
  <si>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</si>
  <si>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</si>
  <si>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</si>
  <si>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</si>
  <si>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</si>
  <si>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</si>
  <si>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</si>
  <si>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</si>
  <si>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</si>
  <si>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</si>
  <si>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</si>
  <si>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</si>
  <si>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</si>
  <si>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</si>
  <si>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</si>
  <si>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</si>
  <si>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</si>
  <si>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</si>
  <si>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</si>
  <si>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</si>
  <si>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</si>
  <si>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</si>
  <si>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</si>
  <si>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</si>
  <si>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</si>
  <si>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</si>
  <si>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</si>
  <si>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</si>
  <si>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</si>
  <si>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</si>
  <si>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</si>
  <si>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</si>
  <si>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</si>
  <si>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</si>
  <si>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</si>
  <si>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</si>
  <si>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</si>
  <si>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</si>
  <si>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</si>
  <si>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</si>
  <si>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</si>
  <si>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</si>
  <si>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</si>
  <si>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</si>
  <si>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</si>
  <si>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</si>
  <si>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</si>
  <si>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</si>
  <si>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</si>
  <si>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</si>
  <si>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</si>
  <si>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</si>
  <si>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</si>
  <si>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</si>
  <si>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</si>
  <si>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</si>
  <si>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</si>
  <si>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</si>
  <si>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</si>
  <si>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</si>
  <si>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</si>
  <si>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</si>
  <si>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</si>
  <si>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</si>
  <si>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</si>
  <si>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</si>
  <si>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</si>
  <si>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</si>
  <si>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</si>
  <si>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</si>
  <si>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</si>
  <si>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</si>
  <si>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</si>
  <si>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</si>
  <si>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</si>
  <si>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</si>
  <si>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</si>
  <si>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</si>
  <si>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</si>
  <si>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</si>
  <si>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</si>
  <si>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</si>
  <si>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</si>
  <si>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</si>
  <si>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</si>
  <si>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</si>
  <si>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</si>
  <si>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</si>
  <si>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</si>
  <si>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</si>
  <si>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</si>
  <si>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</si>
  <si>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</si>
  <si>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</si>
  <si>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</si>
  <si>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</si>
  <si>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</si>
  <si>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</si>
  <si>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</si>
  <si>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</si>
  <si>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</si>
  <si>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</si>
  <si>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</si>
  <si>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</si>
  <si>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</si>
  <si>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</si>
  <si>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</si>
  <si>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</si>
  <si>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</si>
  <si>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</si>
  <si>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</si>
  <si>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</si>
  <si>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</si>
  <si>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</si>
  <si>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</si>
  <si>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</si>
  <si>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</si>
  <si>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</si>
  <si>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</si>
  <si>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</si>
  <si>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</si>
  <si>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</si>
  <si>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</si>
  <si>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</si>
  <si>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</si>
  <si>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</si>
  <si>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</si>
  <si>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</si>
  <si>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</si>
  <si>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</si>
  <si>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</si>
  <si>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</si>
  <si>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</si>
  <si>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</si>
  <si>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</si>
  <si>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</si>
  <si>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</si>
  <si>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</si>
  <si>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</si>
  <si>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</si>
  <si>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</si>
  <si>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</si>
  <si>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</si>
  <si>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</si>
  <si>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</si>
  <si>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</si>
  <si>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</si>
  <si>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</si>
  <si>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</si>
  <si>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</si>
  <si>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</si>
  <si>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</si>
  <si>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</si>
  <si>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</si>
  <si>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</si>
  <si>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</si>
  <si>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</si>
  <si>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</si>
  <si>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</si>
  <si>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</si>
  <si>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</si>
  <si>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</si>
  <si>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</si>
  <si>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</si>
  <si>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</si>
  <si>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</si>
  <si>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</si>
  <si>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</si>
  <si>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</si>
  <si>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</si>
  <si>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</si>
  <si>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</si>
  <si>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</si>
  <si>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</si>
  <si>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</si>
  <si>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</si>
  <si>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</si>
  <si>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</si>
  <si>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</si>
  <si>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</si>
  <si>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</si>
  <si>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</si>
  <si>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</si>
  <si>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</si>
  <si>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</si>
  <si>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</si>
  <si>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</si>
  <si>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</si>
  <si>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</si>
  <si>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</si>
  <si>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</si>
  <si>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</si>
  <si>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</si>
  <si>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</si>
  <si>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</si>
  <si>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</si>
  <si>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</si>
  <si>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</si>
  <si>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</si>
  <si>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</si>
  <si>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</si>
  <si>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</si>
  <si>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</si>
  <si>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</si>
  <si>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</si>
  <si>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</si>
  <si>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</si>
  <si>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</si>
  <si>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</si>
  <si>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</si>
  <si>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</si>
  <si>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</si>
  <si>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</si>
  <si>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</si>
  <si>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</si>
  <si>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</si>
  <si>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</si>
  <si>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</si>
  <si>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</si>
  <si>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</si>
  <si>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</si>
  <si>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</si>
  <si>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</si>
  <si>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</si>
  <si>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</si>
  <si>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</si>
  <si>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</si>
  <si>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</si>
  <si>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</si>
  <si>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</si>
  <si>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</si>
  <si>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</si>
  <si>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</si>
  <si>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</si>
  <si>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</si>
  <si>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</si>
  <si>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</si>
  <si>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</si>
  <si>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</si>
  <si>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</si>
  <si>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</si>
  <si>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</si>
  <si>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</si>
  <si>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</si>
  <si>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</si>
  <si>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</si>
  <si>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</si>
  <si>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</si>
  <si>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</si>
  <si>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</si>
  <si>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 (A, B, commercial, standby)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</si>
  <si>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</si>
  <si>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</si>
  <si>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</si>
  <si>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</si>
  <si>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</si>
  <si>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</si>
  <si>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</si>
  <si>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</si>
  <si>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</si>
  <si>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</si>
  <si>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</si>
  <si>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</si>
  <si>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</si>
  <si>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</si>
  <si>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</si>
  <si>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</si>
  <si>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</si>
  <si>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</si>
  <si>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</si>
  <si>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</si>
  <si>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</si>
  <si>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</si>
  <si>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</si>
  <si>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</si>
  <si>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</si>
  <si>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</si>
  <si>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</si>
  <si>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</si>
  <si>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</si>
  <si>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</si>
  <si>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</si>
  <si>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</si>
  <si>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</si>
  <si>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</si>
  <si>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</si>
  <si>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</si>
  <si>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</si>
  <si>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</si>
  <si>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</si>
  <si>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</si>
  <si>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</si>
  <si>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</si>
  <si>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</si>
  <si>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</si>
  <si>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</si>
  <si>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</si>
  <si>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</si>
  <si>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</si>
  <si>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</si>
  <si>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</si>
  <si>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</si>
  <si>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</si>
  <si>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</si>
  <si>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</si>
  <si>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</si>
  <si>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</si>
  <si>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</si>
  <si>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</si>
  <si>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</si>
  <si>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</si>
  <si>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</si>
  <si>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</si>
  <si>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</si>
  <si>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</si>
  <si>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</si>
  <si>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</si>
  <si>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</si>
  <si>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</si>
  <si>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</si>
  <si>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</si>
  <si>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</si>
  <si>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</si>
  <si>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</si>
  <si>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</si>
  <si>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</si>
  <si>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</si>
  <si>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</si>
  <si>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</si>
  <si>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</si>
  <si>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</si>
  <si>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</si>
  <si>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</si>
  <si>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</si>
  <si>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</si>
  <si>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</si>
  <si>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</si>
  <si>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</si>
  <si>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</si>
  <si>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</si>
  <si>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</si>
  <si>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</si>
  <si>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</si>
  <si>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</si>
  <si>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</si>
  <si>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</si>
  <si>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</si>
  <si>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</si>
  <si>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</si>
  <si>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</si>
  <si>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</si>
  <si>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</si>
  <si>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</si>
  <si>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</si>
  <si>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</si>
  <si>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</si>
  <si>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</si>
  <si>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</si>
  <si>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</si>
  <si>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</si>
  <si>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</si>
  <si>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</si>
  <si>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</si>
  <si>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</si>
  <si>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</si>
  <si>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</si>
  <si>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</si>
  <si>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</si>
  <si>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</si>
  <si>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</si>
  <si>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</si>
  <si>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</si>
  <si>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</si>
  <si>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</si>
  <si>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</si>
  <si>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</si>
  <si>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</si>
  <si>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</si>
  <si>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</si>
  <si>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</si>
  <si>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total debt service; ECA equal installments, other tranches sculpted)</t>
  </si>
  <si>
    <t xml:space="preserve">Sculpting rate on the other tranches' scheduled balance (A, B, commercial incl. PRI; plus swap)</t>
  </si>
  <si>
    <t xml:space="preserve">PV of CFADS to final maturity at the sculpting rate</t>
  </si>
  <si>
    <t xml:space="preserve">Sculpted DSCR = PV(CFADS) / (other tranches + PV of ECA debt service), at the sculpting rate</t>
  </si>
  <si>
    <t xml:space="preserve">Debt capacity at the target DSCR (debt x sculpted DSCR / target)</t>
  </si>
  <si>
    <t xml:space="preserve">Debt at the gearing cap (closed form)</t>
  </si>
  <si>
    <t xml:space="preserve">Sculpted debt service (all tranches)</t>
  </si>
  <si>
    <t xml:space="preserve">Sculpted balance of the other tranches, opening</t>
  </si>
  <si>
    <t xml:space="preserve">Sculpted principal of the other tranches</t>
  </si>
  <si>
    <t xml:space="preserve">Sculpted principal less contract principal, other tranches (FC base)</t>
  </si>
  <si>
    <t xml:space="preserve">ECA tests (ECA-covered tranche, contractual schedule):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</si>
  <si>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</si>
  <si>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</si>
  <si>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</si>
  <si>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</si>
  <si>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</si>
  <si>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ECA-covered tranche: contractual schedule (equal semiannual installments, first repayment period to final maturity)</t>
  </si>
  <si>
    <t xml:space="preserve">ECA installment, share of the ECA amount</t>
  </si>
  <si>
    <t xml:space="preserve">ECA remaining profile (this and later installments)</t>
  </si>
  <si>
    <t xml:space="preserve">ECA installment share of remaining balance</t>
  </si>
  <si>
    <t xml:space="preserve">Swap net cost per USD of total scheduled balance (sculpting)</t>
  </si>
  <si>
    <t xml:space="preserve">ECA scheduled debt service in the sculpting (installment, interest, swap share)</t>
  </si>
  <si>
    <t xml:space="preserve">PV of ECA scheduled debt service at the sculpting rate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</si>
  <si>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</si>
  <si>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</si>
  <si>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</si>
  <si>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</si>
  <si>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</si>
  <si>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</si>
  <si>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</si>
  <si>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</si>
  <si>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</si>
  <si>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</si>
  <si>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</si>
  <si>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</si>
  <si>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</si>
  <si>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</si>
  <si>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</si>
  <si>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</si>
  <si>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</si>
  <si>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</si>
  <si>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</si>
  <si>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</si>
  <si>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</si>
  <si>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</si>
  <si>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</si>
  <si>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</si>
  <si>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</si>
  <si>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</si>
  <si>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</si>
  <si>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</si>
  <si>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</si>
  <si>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</si>
  <si>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</si>
  <si>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</si>
  <si>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</si>
  <si>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</si>
  <si>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</si>
  <si>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</si>
  <si>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</si>
  <si>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</si>
  <si>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</si>
  <si>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</si>
  <si>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</si>
  <si>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</si>
  <si>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</si>
  <si>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</si>
  <si>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</si>
  <si>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</si>
  <si>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</si>
  <si>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</si>
  <si>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</si>
  <si>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</si>
  <si>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</si>
  <si>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</si>
  <si>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</si>
  <si>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</si>
  <si>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</si>
  <si>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</si>
  <si>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</si>
  <si>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</si>
  <si>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</si>
  <si>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</si>
  <si>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</si>
  <si>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</si>
  <si>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</si>
  <si>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</si>
  <si>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</si>
  <si>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</si>
  <si>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</si>
  <si>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</si>
  <si>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</si>
  <si>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</si>
  <si>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</si>
  <si>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</si>
  <si>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</si>
  <si>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</si>
  <si>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</si>
  <si>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</si>
  <si>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</si>
  <si>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</si>
  <si>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</si>
  <si>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</si>
  <si>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</si>
  <si>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</si>
  <si>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</si>
  <si>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</si>
  <si>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</si>
  <si>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</si>
  <si>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</si>
  <si>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</si>
  <si>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</si>
  <si>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</si>
  <si>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</si>
  <si>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</si>
  <si>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</si>
  <si>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</si>
  <si>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</si>
  <si>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</si>
  <si>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</si>
  <si>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</si>
  <si>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</si>
  <si>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</si>
  <si>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</si>
  <si>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</si>
  <si>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</si>
  <si>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</si>
  <si>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</si>
  <si>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</si>
  <si>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</si>
  <si>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</si>
  <si>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</si>
  <si>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</si>
  <si>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</si>
  <si>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</si>
  <si>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</si>
  <si>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</si>
  <si>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</si>
  <si>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</si>
  <si>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</si>
  <si>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</si>
  <si>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</si>
  <si>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</si>
  <si>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</si>
  <si>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</si>
  <si>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</si>
  <si>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</si>
  <si>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</si>
  <si>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</si>
  <si>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</si>
  <si>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</si>
  <si>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</si>
  <si>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</si>
  <si>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</si>
  <si>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</si>
  <si>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</si>
  <si>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</si>
  <si>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</si>
  <si>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</si>
  <si>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</si>
  <si>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</si>
  <si>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ECA-covered tranche's contractual schedule (number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</si>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</sst>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4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-3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629.949674778433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224.60221958914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</v>
      </c>
      <c r="Q298" s="6" t="n">
        <v>0.0202905789790784</v>
      </c>
      <c r="R298" s="6" t="n">
        <v>0.0220033295413793</v>
      </c>
      <c r="S298" s="6" t="n">
        <v>0.0230513965167324</v>
      </c>
      <c r="T298" s="6" t="n">
        <v>0.0247856983056876</v>
      </c>
      <c r="U298" s="6" t="n">
        <v>0.026031162687892</v>
      </c>
      <c r="V298" s="6" t="n">
        <v>0.0287443719607247</v>
      </c>
      <c r="W298" s="6" t="n">
        <v>0.030080361718906</v>
      </c>
      <c r="X298" s="6" t="n">
        <v>0.0287176079977811</v>
      </c>
      <c r="Y298" s="6" t="n">
        <v>0.0286335471856579</v>
      </c>
      <c r="Z298" s="6" t="n">
        <v>0.0304390760463362</v>
      </c>
      <c r="AA298" s="6" t="n">
        <v>0.0317693817391132</v>
      </c>
      <c r="AB298" s="6" t="n">
        <v>0.0340319141317788</v>
      </c>
      <c r="AC298" s="6" t="n">
        <v>0.0356865176680828</v>
      </c>
      <c r="AD298" s="6" t="n">
        <v>0.0404984098748</v>
      </c>
      <c r="AE298" s="6" t="n">
        <v>0.0429785947266748</v>
      </c>
      <c r="AF298" s="6" t="n">
        <v>0.0450772391622633</v>
      </c>
      <c r="AG298" s="6" t="n">
        <v>0.0462012594145601</v>
      </c>
      <c r="AH298" s="6" t="n">
        <v>0.0493941072390536</v>
      </c>
      <c r="AI298" s="6" t="n">
        <v>0.0514040257479755</v>
      </c>
      <c r="AJ298" s="6" t="n">
        <v>0.054759172629817</v>
      </c>
      <c r="AK298" s="6" t="n">
        <v>0.0571715121909954</v>
      </c>
      <c r="AL298" s="6" t="n">
        <v>0.0617419621378153</v>
      </c>
      <c r="AM298" s="6" t="n">
        <v>0.0642092021147168</v>
      </c>
      <c r="AN298" s="6" t="n">
        <v>0.052460293683612</v>
      </c>
      <c r="AO298" s="6" t="n">
        <v>0.0509383196542767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0.0191693352831817</v>
      </c>
      <c r="R299" s="6" t="n">
        <v>0.0215356871714391</v>
      </c>
      <c r="S299" s="6" t="n">
        <v>0.0228007314793007</v>
      </c>
      <c r="T299" s="6" t="n">
        <v>0.0245587149365676</v>
      </c>
      <c r="U299" s="6" t="n">
        <v>0.0256370863223741</v>
      </c>
      <c r="V299" s="6" t="n">
        <v>0.0274994325858127</v>
      </c>
      <c r="W299" s="6" t="n">
        <v>0.0298860271381469</v>
      </c>
      <c r="X299" s="6" t="n">
        <v>0.0319657862406089</v>
      </c>
      <c r="Y299" s="6" t="n">
        <v>0.0284181179058688</v>
      </c>
      <c r="Z299" s="6" t="n">
        <v>0.0304704935092369</v>
      </c>
      <c r="AA299" s="6" t="n">
        <v>0.0314057361909549</v>
      </c>
      <c r="AB299" s="6" t="n">
        <v>0.0336946453904792</v>
      </c>
      <c r="AC299" s="6" t="n">
        <v>0.035095023088361</v>
      </c>
      <c r="AD299" s="6" t="n">
        <v>0.037532638887578</v>
      </c>
      <c r="AE299" s="6" t="n">
        <v>0.0419522896652136</v>
      </c>
      <c r="AF299" s="6" t="n">
        <v>0.0451205068143207</v>
      </c>
      <c r="AG299" s="6" t="n">
        <v>0.0455258173841402</v>
      </c>
      <c r="AH299" s="6" t="n">
        <v>0.0487745966648033</v>
      </c>
      <c r="AI299" s="6" t="n">
        <v>0.0508839859967197</v>
      </c>
      <c r="AJ299" s="6" t="n">
        <v>0.0542618641799196</v>
      </c>
      <c r="AK299" s="6" t="n">
        <v>0.0564563260779864</v>
      </c>
      <c r="AL299" s="6" t="n">
        <v>0.0599945797025174</v>
      </c>
      <c r="AM299" s="6" t="n">
        <v>0.0637047616148286</v>
      </c>
      <c r="AN299" s="6" t="n">
        <v>0.0677363345795487</v>
      </c>
      <c r="AO299" s="6" t="n">
        <v>0.0659194811900928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0.0068293531244392</v>
      </c>
      <c r="Y300" s="6" t="n">
        <v>0.0111488984060391</v>
      </c>
      <c r="Z300" s="6" t="n">
        <v>0.0133076445080749</v>
      </c>
      <c r="AA300" s="6" t="n">
        <v>0.0134970931504469</v>
      </c>
      <c r="AB300" s="6" t="n">
        <v>0.0155731831326994</v>
      </c>
      <c r="AC300" s="6" t="n">
        <v>0.0160618521985766</v>
      </c>
      <c r="AD300" s="6" t="n">
        <v>0.0179937411666669</v>
      </c>
      <c r="AE300" s="6" t="n">
        <v>0.0214445833613369</v>
      </c>
      <c r="AF300" s="6" t="n">
        <v>0.0240206256294558</v>
      </c>
      <c r="AG300" s="6" t="n">
        <v>0.0244029291634224</v>
      </c>
      <c r="AH300" s="6" t="n">
        <v>0.0269063399113753</v>
      </c>
      <c r="AI300" s="6" t="n">
        <v>0.0277009622669949</v>
      </c>
      <c r="AJ300" s="6" t="n">
        <v>0.0301452334488105</v>
      </c>
      <c r="AK300" s="6" t="n">
        <v>0.0310216319197811</v>
      </c>
      <c r="AL300" s="6" t="n">
        <v>0.0333759751982395</v>
      </c>
      <c r="AM300" s="6" t="n">
        <v>0.0356516619405533</v>
      </c>
      <c r="AN300" s="6" t="n">
        <v>0.0383179295838969</v>
      </c>
      <c r="AO300" s="6" t="n">
        <v>0.0347719160587027</v>
      </c>
      <c r="AP300" s="6" t="n">
        <v>0.0949241969488583</v>
      </c>
      <c r="AQ300" s="6" t="n">
        <v>0.0859493810530347</v>
      </c>
      <c r="AR300" s="6" t="n">
        <v>0.0904413102207277</v>
      </c>
      <c r="AS300" s="6" t="n">
        <v>0.0925145982753971</v>
      </c>
      <c r="AT300" s="6" t="n">
        <v>0.0969374640921163</v>
      </c>
      <c r="AU300" s="6" t="n">
        <v>0.117061495240357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</v>
      </c>
      <c r="Q301" s="6" t="n">
        <v>491.477094583491</v>
      </c>
      <c r="R301" s="6" t="n">
        <v>478.504230082309</v>
      </c>
      <c r="S301" s="6" t="n">
        <v>464.927155451971</v>
      </c>
      <c r="T301" s="6" t="n">
        <v>450.980352329651</v>
      </c>
      <c r="U301" s="6" t="n">
        <v>436.421736412773</v>
      </c>
      <c r="V301" s="6" t="n">
        <v>421.423755761886</v>
      </c>
      <c r="W301" s="6" t="n">
        <v>405.468631343978</v>
      </c>
      <c r="X301" s="6" t="n">
        <v>389.042207390628</v>
      </c>
      <c r="Y301" s="6" t="n">
        <v>373.096524544578</v>
      </c>
      <c r="Z301" s="6" t="n">
        <v>357.180495984019</v>
      </c>
      <c r="AA301" s="6" t="n">
        <v>340.627527725341</v>
      </c>
      <c r="AB301" s="6" t="n">
        <v>323.605265109304</v>
      </c>
      <c r="AC301" s="6" t="n">
        <v>305.784844828467</v>
      </c>
      <c r="AD301" s="6" t="n">
        <v>287.380727050529</v>
      </c>
      <c r="AE301" s="6" t="n">
        <v>267.279109312177</v>
      </c>
      <c r="AF301" s="6" t="n">
        <v>246.302552255359</v>
      </c>
      <c r="AG301" s="6" t="n">
        <v>224.58565258626</v>
      </c>
      <c r="AH301" s="6" t="n">
        <v>202.472230249609</v>
      </c>
      <c r="AI301" s="6" t="n">
        <v>179.232461182222</v>
      </c>
      <c r="AJ301" s="6" t="n">
        <v>155.283649508983</v>
      </c>
      <c r="AK301" s="6" t="n">
        <v>130.151236571535</v>
      </c>
      <c r="AL301" s="6" t="n">
        <v>104.167818222142</v>
      </c>
      <c r="AM301" s="6" t="n">
        <v>76.5720739372328</v>
      </c>
      <c r="AN301" s="6" t="n">
        <v>48.1059569209315</v>
      </c>
      <c r="AO301" s="6" t="n">
        <v>23.7845236880436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71.666000883489</v>
      </c>
      <c r="L309" s="6" t="n">
        <v>73.1366114029227</v>
      </c>
      <c r="M309" s="6" t="n">
        <v>75.0119143618214</v>
      </c>
      <c r="N309" s="6" t="n">
        <v>77.6643177269848</v>
      </c>
      <c r="O309" s="6" t="n">
        <v>81.4847948659853</v>
      </c>
      <c r="P309" s="6" t="n">
        <v>86.7505709540985</v>
      </c>
      <c r="Q309" s="6" t="n">
        <v>93.6210928639399</v>
      </c>
      <c r="R309" s="6" t="n">
        <v>102.342433752755</v>
      </c>
      <c r="S309" s="6" t="n">
        <v>112.908722473713</v>
      </c>
      <c r="T309" s="6" t="n">
        <v>125.353413462763</v>
      </c>
      <c r="U309" s="6" t="n">
        <v>139.556081148654</v>
      </c>
      <c r="V309" s="6" t="n">
        <v>155.444022995266</v>
      </c>
      <c r="W309" s="6" t="n">
        <v>172.813694943521</v>
      </c>
      <c r="X309" s="6" t="n">
        <v>191.415636638048</v>
      </c>
      <c r="Y309" s="6" t="n">
        <v>211.037368268875</v>
      </c>
      <c r="Z309" s="6" t="n">
        <v>231.338225423894</v>
      </c>
      <c r="AA309" s="6" t="n">
        <v>252.064116968027</v>
      </c>
      <c r="AB309" s="6" t="n">
        <v>273.563349166957</v>
      </c>
      <c r="AC309" s="6" t="n">
        <v>294.070565760396</v>
      </c>
      <c r="AD309" s="6" t="n">
        <v>314.089499494845</v>
      </c>
      <c r="AE309" s="6" t="n">
        <v>333.225742782689</v>
      </c>
      <c r="AF309" s="6" t="n">
        <v>351.279928730799</v>
      </c>
      <c r="AG309" s="6" t="n">
        <v>367.943763265776</v>
      </c>
      <c r="AH309" s="6" t="n">
        <v>383.102103336144</v>
      </c>
      <c r="AI309" s="6" t="n">
        <v>396.573540749146</v>
      </c>
      <c r="AJ309" s="6" t="n">
        <v>408.233416826467</v>
      </c>
      <c r="AK309" s="6" t="n">
        <v>418.144389424975</v>
      </c>
      <c r="AL309" s="6" t="n">
        <v>426.275280583007</v>
      </c>
      <c r="AM309" s="6" t="n">
        <v>432.837085697729</v>
      </c>
      <c r="AN309" s="6" t="n">
        <v>437.993685197286</v>
      </c>
      <c r="AO309" s="6" t="n">
        <v>441.894042737951</v>
      </c>
      <c r="AP309" s="6" t="n">
        <v>445.147260120294</v>
      </c>
      <c r="AQ309" s="6" t="n">
        <v>477.129138268712</v>
      </c>
      <c r="AR309" s="6" t="n">
        <v>501.776794370242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1.34926845936059</v>
      </c>
      <c r="AO313" s="6" t="n">
        <v>1.34926845936059</v>
      </c>
      <c r="AP313" s="6" t="n">
        <v>0.134676482583467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1.34799649865998</v>
      </c>
      <c r="AO314" s="6" t="n">
        <v>1.3486709082997</v>
      </c>
      <c r="AP314" s="6" t="n">
        <v>0.131534499824253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1.33232068980394</v>
      </c>
      <c r="AO315" s="6" t="n">
        <v>1.33253417268624</v>
      </c>
      <c r="AP315" s="6" t="n">
        <v>0.128882022178092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1.34661381813137</v>
      </c>
      <c r="AO316" s="6" t="n">
        <v>1.35047003199614</v>
      </c>
      <c r="AP316" s="6" t="n">
        <v>0.132877769198942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1.32531353024012</v>
      </c>
      <c r="AO317" s="6" t="n">
        <v>1.32557066215596</v>
      </c>
      <c r="AP317" s="6" t="n">
        <v>0.127025440017595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1.35589414560093</v>
      </c>
      <c r="AO318" s="6" t="n">
        <v>1.35589414560093</v>
      </c>
      <c r="AP318" s="6" t="n">
        <v>0.138424069315574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1.32849982233321</v>
      </c>
      <c r="AO319" s="6" t="n">
        <v>1.32849982233321</v>
      </c>
      <c r="AP319" s="6" t="n">
        <v>0.130504508592992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1.34730178293597</v>
      </c>
      <c r="AO320" s="6" t="n">
        <v>1.35292108407425</v>
      </c>
      <c r="AP320" s="6" t="n">
        <v>0.137803618909638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1.34821306022637</v>
      </c>
      <c r="AO321" s="6" t="n">
        <v>1.34880776707761</v>
      </c>
      <c r="AP321" s="6" t="n">
        <v>0.131777880252289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1.32915144551472</v>
      </c>
      <c r="AO322" s="6" t="n">
        <v>1.33196486982629</v>
      </c>
      <c r="AP322" s="6" t="n">
        <v>0.128622872066269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1.34855855995277</v>
      </c>
      <c r="AO323" s="6" t="n">
        <v>1.34855855995277</v>
      </c>
      <c r="AP323" s="6" t="n">
        <v>0.133182225648718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1.34935310785776</v>
      </c>
      <c r="AO324" s="6" t="n">
        <v>1.34935310785776</v>
      </c>
      <c r="AP324" s="6" t="n">
        <v>0.134774860065219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1.3491752813238</v>
      </c>
      <c r="AO325" s="6" t="n">
        <v>1.3491752813238</v>
      </c>
      <c r="AP325" s="6" t="n">
        <v>0.136025363487293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1.32717987252812</v>
      </c>
      <c r="AO326" s="6" t="n">
        <v>1.32747025649311</v>
      </c>
      <c r="AP326" s="6" t="n">
        <v>0.127218525018678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1.34383473275655</v>
      </c>
      <c r="AO327" s="6" t="n">
        <v>1.34384643778647</v>
      </c>
      <c r="AP327" s="6" t="n">
        <v>0.130606689838569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1.34077424435822</v>
      </c>
      <c r="AO328" s="6" t="n">
        <v>1.34099743191748</v>
      </c>
      <c r="AP328" s="6" t="n">
        <v>0.130169504633303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1.34665423995155</v>
      </c>
      <c r="AO329" s="6" t="n">
        <v>1.34665423995155</v>
      </c>
      <c r="AP329" s="6" t="n">
        <v>0.135219334762367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1.30842878725664</v>
      </c>
      <c r="AO330" s="6" t="n">
        <v>1.3137491282984</v>
      </c>
      <c r="AP330" s="6" t="n">
        <v>0.128140221927988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1.33852472659408</v>
      </c>
      <c r="AO331" s="6" t="n">
        <v>1.34791630801348</v>
      </c>
      <c r="AP331" s="6" t="n">
        <v>0.135353625915834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1.34822145924476</v>
      </c>
      <c r="AO332" s="6" t="n">
        <v>1.34902320493899</v>
      </c>
      <c r="AP332" s="6" t="n">
        <v>0.132784765851358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1.33673324295822</v>
      </c>
      <c r="AO333" s="6" t="n">
        <v>1.33751701729119</v>
      </c>
      <c r="AP333" s="6" t="n">
        <v>0.130044109488876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1.35412694430528</v>
      </c>
      <c r="AO334" s="6" t="n">
        <v>1.35543068099778</v>
      </c>
      <c r="AP334" s="6" t="n">
        <v>0.133245684410857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1.33639543523482</v>
      </c>
      <c r="AO335" s="6" t="n">
        <v>1.33692356884637</v>
      </c>
      <c r="AP335" s="6" t="n">
        <v>0.129033427749537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1.3356568825232</v>
      </c>
      <c r="AO336" s="6" t="n">
        <v>1.33589971424474</v>
      </c>
      <c r="AP336" s="6" t="n">
        <v>0.129317450952484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1.31019081885957</v>
      </c>
      <c r="AO337" s="6" t="n">
        <v>1.31999264590323</v>
      </c>
      <c r="AP337" s="6" t="n">
        <v>0.128649372270929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1.36197651893042</v>
      </c>
      <c r="AO338" s="6" t="n">
        <v>1.36220786745891</v>
      </c>
      <c r="AP338" s="6" t="n">
        <v>0.136633868252436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1.33467964376169</v>
      </c>
      <c r="AO339" s="6" t="n">
        <v>1.33476497407221</v>
      </c>
      <c r="AP339" s="6" t="n">
        <v>0.128711199044406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1.32376642938602</v>
      </c>
      <c r="AO340" s="6" t="n">
        <v>1.33523231906407</v>
      </c>
      <c r="AP340" s="6" t="n">
        <v>0.132711228439954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1.33523428666039</v>
      </c>
      <c r="AO341" s="6" t="n">
        <v>1.34481627090218</v>
      </c>
      <c r="AP341" s="6" t="n">
        <v>0.134780197377229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1.34512660460542</v>
      </c>
      <c r="AO342" s="6" t="n">
        <v>1.34529132126854</v>
      </c>
      <c r="AP342" s="6" t="n">
        <v>0.130648229064902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1.34716358589981</v>
      </c>
      <c r="AO343" s="6" t="n">
        <v>1.34773084286982</v>
      </c>
      <c r="AP343" s="6" t="n">
        <v>0.130975491585051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1.3396703503986</v>
      </c>
      <c r="AO344" s="6" t="n">
        <v>1.34000770661664</v>
      </c>
      <c r="AP344" s="6" t="n">
        <v>0.130104111062454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1.35214020707116</v>
      </c>
      <c r="AO345" s="6" t="n">
        <v>1.35214020707116</v>
      </c>
      <c r="AP345" s="6" t="n">
        <v>0.132667691717625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1.34783075902891</v>
      </c>
      <c r="AO346" s="6" t="n">
        <v>1.34856196527287</v>
      </c>
      <c r="AP346" s="6" t="n">
        <v>0.131331000445246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1.36407053047653</v>
      </c>
      <c r="AO347" s="6" t="n">
        <v>1.36431558590669</v>
      </c>
      <c r="AP347" s="6" t="n">
        <v>0.139183571008341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1.32908290931361</v>
      </c>
      <c r="AO348" s="6" t="n">
        <v>1.32938357986512</v>
      </c>
      <c r="AP348" s="6" t="n">
        <v>0.12776186928422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1.33928805103954</v>
      </c>
      <c r="AO349" s="6" t="n">
        <v>1.33939160891076</v>
      </c>
      <c r="AP349" s="6" t="n">
        <v>0.129688721270186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1.32527352801718</v>
      </c>
      <c r="AO350" s="6" t="n">
        <v>1.32717456037913</v>
      </c>
      <c r="AP350" s="6" t="n">
        <v>0.128077004382405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1.34547677417796</v>
      </c>
      <c r="AO351" s="6" t="n">
        <v>1.34632512249514</v>
      </c>
      <c r="AP351" s="6" t="n">
        <v>0.13137306227996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1.34826812145512</v>
      </c>
      <c r="AO352" s="6" t="n">
        <v>1.34834484700374</v>
      </c>
      <c r="AP352" s="6" t="n">
        <v>0.131856116896113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1.33341693809473</v>
      </c>
      <c r="AO353" s="6" t="n">
        <v>1.33464792811878</v>
      </c>
      <c r="AP353" s="6" t="n">
        <v>0.128346894122751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1.34335492664339</v>
      </c>
      <c r="AO354" s="6" t="n">
        <v>1.34511400424178</v>
      </c>
      <c r="AP354" s="6" t="n">
        <v>0.130292965472765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1.33346581188031</v>
      </c>
      <c r="AO355" s="6" t="n">
        <v>1.33421948958579</v>
      </c>
      <c r="AP355" s="6" t="n">
        <v>0.128922098369331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1.3539769572201</v>
      </c>
      <c r="AO356" s="6" t="n">
        <v>1.35741605844438</v>
      </c>
      <c r="AP356" s="6" t="n">
        <v>0.138355040842888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1.32567623280905</v>
      </c>
      <c r="AO357" s="6" t="n">
        <v>1.33285480256011</v>
      </c>
      <c r="AP357" s="6" t="n">
        <v>0.130271170377624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1.34476170195368</v>
      </c>
      <c r="AO358" s="6" t="n">
        <v>1.34547306543669</v>
      </c>
      <c r="AP358" s="6" t="n">
        <v>0.130564927110241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1.3409839712206</v>
      </c>
      <c r="AO359" s="6" t="n">
        <v>1.34156436599432</v>
      </c>
      <c r="AP359" s="6" t="n">
        <v>0.131811943563449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1.32337115607104</v>
      </c>
      <c r="AO360" s="6" t="n">
        <v>1.32528815332161</v>
      </c>
      <c r="AP360" s="6" t="n">
        <v>0.129853521391542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1.34839603987454</v>
      </c>
      <c r="AO361" s="6" t="n">
        <v>1.34883588261207</v>
      </c>
      <c r="AP361" s="6" t="n">
        <v>0.13135194037815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1.33999639470802</v>
      </c>
      <c r="AO362" s="6" t="n">
        <v>1.34050373326177</v>
      </c>
      <c r="AP362" s="6" t="n">
        <v>0.12994420989402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1.34329629473938</v>
      </c>
      <c r="AO363" s="6" t="n">
        <v>1.34365347022994</v>
      </c>
      <c r="AP363" s="6" t="n">
        <v>0.13084384877082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1.33988298317479</v>
      </c>
      <c r="AO364" s="6" t="n">
        <v>1.34186856618574</v>
      </c>
      <c r="AP364" s="6" t="n">
        <v>0.130157302409534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1.31636935418586</v>
      </c>
      <c r="AO365" s="6" t="n">
        <v>1.32625607415435</v>
      </c>
      <c r="AP365" s="6" t="n">
        <v>0.130174826714955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1.34319347394186</v>
      </c>
      <c r="AO366" s="6" t="n">
        <v>1.34354427404865</v>
      </c>
      <c r="AP366" s="6" t="n">
        <v>0.130177854070359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1.34682398599511</v>
      </c>
      <c r="AO367" s="6" t="n">
        <v>1.35469457699247</v>
      </c>
      <c r="AP367" s="6" t="n">
        <v>0.139511948734423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1.31915219047448</v>
      </c>
      <c r="AO368" s="6" t="n">
        <v>1.31995261871452</v>
      </c>
      <c r="AP368" s="6" t="n">
        <v>0.126560343906371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1.34406924027313</v>
      </c>
      <c r="AO369" s="6" t="n">
        <v>1.34489164239242</v>
      </c>
      <c r="AP369" s="6" t="n">
        <v>0.132023236564508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1.31002675102274</v>
      </c>
      <c r="AO370" s="6" t="n">
        <v>1.31702037638342</v>
      </c>
      <c r="AP370" s="6" t="n">
        <v>0.127106607915068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1.31321196604637</v>
      </c>
      <c r="AO371" s="6" t="n">
        <v>1.32709026406509</v>
      </c>
      <c r="AP371" s="6" t="n">
        <v>0.132361913015695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1.34633107440883</v>
      </c>
      <c r="AO372" s="6" t="n">
        <v>1.34734849983842</v>
      </c>
      <c r="AP372" s="6" t="n">
        <v>0.131053852311211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1.35563092254562</v>
      </c>
      <c r="AO373" s="6" t="n">
        <v>1.35572631707851</v>
      </c>
      <c r="AP373" s="6" t="n">
        <v>0.134580783107061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1.34252152432626</v>
      </c>
      <c r="AO374" s="6" t="n">
        <v>1.34377215151061</v>
      </c>
      <c r="AP374" s="6" t="n">
        <v>0.131094065411817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1.31356206697309</v>
      </c>
      <c r="AO375" s="6" t="n">
        <v>1.31392021060582</v>
      </c>
      <c r="AP375" s="6" t="n">
        <v>0.1256981576315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1.34513304299904</v>
      </c>
      <c r="AO376" s="6" t="n">
        <v>1.34717991576944</v>
      </c>
      <c r="AP376" s="6" t="n">
        <v>0.131255751452589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1.33121299852855</v>
      </c>
      <c r="AO377" s="6" t="n">
        <v>1.33604960918206</v>
      </c>
      <c r="AP377" s="6" t="n">
        <v>0.130026210245905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1.32915284347986</v>
      </c>
      <c r="AO378" s="6" t="n">
        <v>1.32920673559501</v>
      </c>
      <c r="AP378" s="6" t="n">
        <v>0.128260264757478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1.34619688476197</v>
      </c>
      <c r="AO379" s="6" t="n">
        <v>1.34644239345908</v>
      </c>
      <c r="AP379" s="6" t="n">
        <v>0.13164827389974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1.32985712131205</v>
      </c>
      <c r="AO380" s="6" t="n">
        <v>1.33852870936049</v>
      </c>
      <c r="AP380" s="6" t="n">
        <v>0.134816425382885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1.34274149513386</v>
      </c>
      <c r="AO381" s="6" t="n">
        <v>1.342981005442</v>
      </c>
      <c r="AP381" s="6" t="n">
        <v>0.130600049894301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1.31872662939684</v>
      </c>
      <c r="AO382" s="6" t="n">
        <v>1.3280880981049</v>
      </c>
      <c r="AP382" s="6" t="n">
        <v>0.129635458191438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1.31994304056832</v>
      </c>
      <c r="AO383" s="6" t="n">
        <v>1.32044285517435</v>
      </c>
      <c r="AP383" s="6" t="n">
        <v>0.128177452378771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1.32390885500493</v>
      </c>
      <c r="AO384" s="6" t="n">
        <v>1.33144066580565</v>
      </c>
      <c r="AP384" s="6" t="n">
        <v>0.130417787760005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1.35170161737241</v>
      </c>
      <c r="AO385" s="6" t="n">
        <v>1.35251061979709</v>
      </c>
      <c r="AP385" s="6" t="n">
        <v>0.13313315061573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1.30884615139121</v>
      </c>
      <c r="AO386" s="6" t="n">
        <v>1.32175204534906</v>
      </c>
      <c r="AP386" s="6" t="n">
        <v>0.129902452665283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1.34332277890067</v>
      </c>
      <c r="AO387" s="6" t="n">
        <v>1.34332277890067</v>
      </c>
      <c r="AP387" s="6" t="n">
        <v>0.13244250163401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1.35608641428336</v>
      </c>
      <c r="AO388" s="6" t="n">
        <v>1.35608641428336</v>
      </c>
      <c r="AP388" s="6" t="n">
        <v>0.133581235043594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1.36700571064257</v>
      </c>
      <c r="AO389" s="6" t="n">
        <v>1.36700571064257</v>
      </c>
      <c r="AP389" s="6" t="n">
        <v>0.144575076891102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1.34793521736538</v>
      </c>
      <c r="AO390" s="6" t="n">
        <v>1.34838997403038</v>
      </c>
      <c r="AP390" s="6" t="n">
        <v>0.131218362156597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1.32674360241073</v>
      </c>
      <c r="AO391" s="6" t="n">
        <v>1.32716435726982</v>
      </c>
      <c r="AP391" s="6" t="n">
        <v>0.128246347679414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1.34553563321709</v>
      </c>
      <c r="AO392" s="6" t="n">
        <v>1.35052225204517</v>
      </c>
      <c r="AP392" s="6" t="n">
        <v>0.133256462820404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1.31356341560464</v>
      </c>
      <c r="AO393" s="6" t="n">
        <v>1.31985548301434</v>
      </c>
      <c r="AP393" s="6" t="n">
        <v>0.131251811117816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1.34780811868069</v>
      </c>
      <c r="AO394" s="6" t="n">
        <v>1.35230591775164</v>
      </c>
      <c r="AP394" s="6" t="n">
        <v>0.133883284309051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1.36356368940622</v>
      </c>
      <c r="AO395" s="6" t="n">
        <v>1.36356368940622</v>
      </c>
      <c r="AP395" s="6" t="n">
        <v>0.141410651699947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1.34042614422326</v>
      </c>
      <c r="AO396" s="6" t="n">
        <v>1.34974446635234</v>
      </c>
      <c r="AP396" s="6" t="n">
        <v>0.135509619063044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1.29131264095001</v>
      </c>
      <c r="AO397" s="6" t="n">
        <v>1.30304368092555</v>
      </c>
      <c r="AP397" s="6" t="n">
        <v>0.12578085518998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1.35611851622086</v>
      </c>
      <c r="AO398" s="6" t="n">
        <v>1.35671824335991</v>
      </c>
      <c r="AP398" s="6" t="n">
        <v>0.133940410052885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1.35277632026863</v>
      </c>
      <c r="AO399" s="6" t="n">
        <v>1.35387705280367</v>
      </c>
      <c r="AP399" s="6" t="n">
        <v>0.13533444472669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1.33443072520078</v>
      </c>
      <c r="AO400" s="6" t="n">
        <v>1.33934007528568</v>
      </c>
      <c r="AP400" s="6" t="n">
        <v>0.130669000393097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1.31502881185939</v>
      </c>
      <c r="AO401" s="6" t="n">
        <v>1.32099436083511</v>
      </c>
      <c r="AP401" s="6" t="n">
        <v>0.128521006126383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1.32069244114826</v>
      </c>
      <c r="AO402" s="6" t="n">
        <v>1.32950688969518</v>
      </c>
      <c r="AP402" s="6" t="n">
        <v>0.130094588034667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1.33602546221817</v>
      </c>
      <c r="AO403" s="6" t="n">
        <v>1.34018848781274</v>
      </c>
      <c r="AP403" s="6" t="n">
        <v>0.130910153572789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1.33951016275591</v>
      </c>
      <c r="AO404" s="6" t="n">
        <v>1.33952782918523</v>
      </c>
      <c r="AP404" s="6" t="n">
        <v>0.129985533978445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1.36285944083028</v>
      </c>
      <c r="AO405" s="6" t="n">
        <v>1.36285944083028</v>
      </c>
      <c r="AP405" s="6" t="n">
        <v>0.146080814882661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1.34828126995069</v>
      </c>
      <c r="AO406" s="6" t="n">
        <v>1.34862309661492</v>
      </c>
      <c r="AP406" s="6" t="n">
        <v>0.131704396518822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1.34907549896445</v>
      </c>
      <c r="AO407" s="6" t="n">
        <v>1.3493592762112</v>
      </c>
      <c r="AP407" s="6" t="n">
        <v>0.131981043649001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1.35191287787634</v>
      </c>
      <c r="AO408" s="6" t="n">
        <v>1.35191287787634</v>
      </c>
      <c r="AP408" s="6" t="n">
        <v>0.134845907127131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1.3514487034041</v>
      </c>
      <c r="AO409" s="6" t="n">
        <v>1.35281918583399</v>
      </c>
      <c r="AP409" s="6" t="n">
        <v>0.135237025545011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1.33394856079341</v>
      </c>
      <c r="AO410" s="6" t="n">
        <v>1.33835262750228</v>
      </c>
      <c r="AP410" s="6" t="n">
        <v>0.130880508609695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1.34385412892811</v>
      </c>
      <c r="AO411" s="6" t="n">
        <v>1.34697766411325</v>
      </c>
      <c r="AP411" s="6" t="n">
        <v>0.131700597041946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1.33129149944181</v>
      </c>
      <c r="AO412" s="6" t="n">
        <v>1.3322172132233</v>
      </c>
      <c r="AP412" s="6" t="n">
        <v>0.128185317398149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1.34575102369309</v>
      </c>
      <c r="AO414" s="6" t="n">
        <v>1.34575102369309</v>
      </c>
      <c r="AP414" s="6" t="n">
        <v>0.131763980248907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1.29462563371748</v>
      </c>
      <c r="AO415" s="6" t="n">
        <v>1.30588293365161</v>
      </c>
      <c r="AP415" s="6" t="n">
        <v>0.129936105040126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1.35533330341472</v>
      </c>
      <c r="AO416" s="6" t="n">
        <v>1.35533330341472</v>
      </c>
      <c r="AP416" s="6" t="n">
        <v>0.137024522262074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1.35572584582173</v>
      </c>
      <c r="AO417" s="6" t="n">
        <v>1.35572584582173</v>
      </c>
      <c r="AP417" s="6" t="n">
        <v>0.137843123619952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1.3425627473817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1.34401456536289</v>
      </c>
      <c r="AO419" s="6" t="n">
        <v>1.34460288549986</v>
      </c>
      <c r="AP419" s="6" t="n">
        <v>0.130344252014907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1.34610485695029</v>
      </c>
      <c r="AO420" s="6" t="n">
        <v>1.34610485695029</v>
      </c>
      <c r="AP420" s="6" t="n">
        <v>0.133352471342866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1.35893143840045</v>
      </c>
      <c r="AO421" s="6" t="n">
        <v>1.35893143840045</v>
      </c>
      <c r="AP421" s="6" t="n">
        <v>0.137051643790805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1.33636779156211</v>
      </c>
      <c r="AO422" s="6" t="n">
        <v>1.33660524398512</v>
      </c>
      <c r="AP422" s="6" t="n">
        <v>0.129174620779086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1.33110666557987</v>
      </c>
      <c r="AO423" s="6" t="n">
        <v>1.33932217467391</v>
      </c>
      <c r="AP423" s="6" t="n">
        <v>0.132360566594648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1.31992719252908</v>
      </c>
      <c r="AO424" s="6" t="n">
        <v>1.32879839581727</v>
      </c>
      <c r="AP424" s="6" t="n">
        <v>0.130184994473109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1.3255450475547</v>
      </c>
      <c r="AO425" s="6" t="n">
        <v>1.33051707803729</v>
      </c>
      <c r="AP425" s="6" t="n">
        <v>0.12890265645334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1.33328073878358</v>
      </c>
      <c r="AO426" s="6" t="n">
        <v>1.33959914140227</v>
      </c>
      <c r="AP426" s="6" t="n">
        <v>0.1317413818986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1.34408948124738</v>
      </c>
      <c r="AO427" s="6" t="n">
        <v>1.34589362501056</v>
      </c>
      <c r="AP427" s="6" t="n">
        <v>0.133320665324839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1.33515776561551</v>
      </c>
      <c r="AO428" s="6" t="n">
        <v>1.33806228079822</v>
      </c>
      <c r="AP428" s="6" t="n">
        <v>0.130478607115311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1.32953469646003</v>
      </c>
      <c r="AO429" s="6" t="n">
        <v>1.33085174545245</v>
      </c>
      <c r="AP429" s="6" t="n">
        <v>0.128338195048921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1.33275568220819</v>
      </c>
      <c r="AO430" s="6" t="n">
        <v>1.33275568220819</v>
      </c>
      <c r="AP430" s="6" t="n">
        <v>0.128405600308892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1.33423727780831</v>
      </c>
      <c r="AO431" s="6" t="n">
        <v>1.34007310025785</v>
      </c>
      <c r="AP431" s="6" t="n">
        <v>0.131250460317081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1.33894991285181</v>
      </c>
      <c r="AO432" s="6" t="n">
        <v>1.34011483595204</v>
      </c>
      <c r="AP432" s="6" t="n">
        <v>0.129835047507916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1.35350026373424</v>
      </c>
      <c r="AO433" s="6" t="n">
        <v>1.35350026373424</v>
      </c>
      <c r="AP433" s="6" t="n">
        <v>0.13391496324046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1.32911329777452</v>
      </c>
      <c r="AO434" s="6" t="n">
        <v>1.32917609204005</v>
      </c>
      <c r="AP434" s="6" t="n">
        <v>0.128186042070478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1.33780556152255</v>
      </c>
      <c r="AO435" s="6" t="n">
        <v>1.33807683296221</v>
      </c>
      <c r="AP435" s="6" t="n">
        <v>0.129594460407353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1.3542798308615</v>
      </c>
      <c r="AO436" s="6" t="n">
        <v>1.3542798308615</v>
      </c>
      <c r="AP436" s="6" t="n">
        <v>0.136518630552684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1.33290338555056</v>
      </c>
      <c r="AO437" s="6" t="n">
        <v>1.33325238760214</v>
      </c>
      <c r="AP437" s="6" t="n">
        <v>0.129072640365833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1.34578258931514</v>
      </c>
      <c r="AO438" s="6" t="n">
        <v>1.34580749338546</v>
      </c>
      <c r="AP438" s="6" t="n">
        <v>0.131959991868293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1.35072305184932</v>
      </c>
      <c r="AO439" s="6" t="n">
        <v>1.35134735787286</v>
      </c>
      <c r="AP439" s="6" t="n">
        <v>0.131992869241976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1.32115369744934</v>
      </c>
      <c r="AO440" s="6" t="n">
        <v>1.32926479964823</v>
      </c>
      <c r="AP440" s="6" t="n">
        <v>0.133760755267063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1.33853041449697</v>
      </c>
      <c r="AO441" s="6" t="n">
        <v>1.33878572808978</v>
      </c>
      <c r="AP441" s="6" t="n">
        <v>0.130120177761369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1.35256351920266</v>
      </c>
      <c r="AO442" s="6" t="n">
        <v>1.3530139143514</v>
      </c>
      <c r="AP442" s="6" t="n">
        <v>0.1355077438592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1.30305233067206</v>
      </c>
      <c r="AO443" s="6" t="n">
        <v>1.30708304469459</v>
      </c>
      <c r="AP443" s="6" t="n">
        <v>0.131978309216715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1.34429452983369</v>
      </c>
      <c r="AO444" s="6" t="n">
        <v>1.34484402880482</v>
      </c>
      <c r="AP444" s="6" t="n">
        <v>0.130946080339529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1.34399479111514</v>
      </c>
      <c r="AO445" s="6" t="n">
        <v>1.34595507624561</v>
      </c>
      <c r="AP445" s="6" t="n">
        <v>0.131805522017163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1.34122139837974</v>
      </c>
      <c r="AO446" s="6" t="n">
        <v>1.34212891190218</v>
      </c>
      <c r="AP446" s="6" t="n">
        <v>0.130350755188216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1.32120823424777</v>
      </c>
      <c r="AO447" s="6" t="n">
        <v>1.32167474762927</v>
      </c>
      <c r="AP447" s="6" t="n">
        <v>0.12629025574306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1.34674579164648</v>
      </c>
      <c r="AO448" s="6" t="n">
        <v>1.34695543767933</v>
      </c>
      <c r="AP448" s="6" t="n">
        <v>0.131160781434414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1.32406530939778</v>
      </c>
      <c r="AO449" s="6" t="n">
        <v>1.32421494158915</v>
      </c>
      <c r="AP449" s="6" t="n">
        <v>0.127011219194382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1.29713287339823</v>
      </c>
      <c r="AO450" s="6" t="n">
        <v>1.30626175703802</v>
      </c>
      <c r="AP450" s="6" t="n">
        <v>0.127117458659853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1.35170387620949</v>
      </c>
      <c r="AO451" s="6" t="n">
        <v>1.35642692772332</v>
      </c>
      <c r="AP451" s="6" t="n">
        <v>0.135624616754654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1.33605893448364</v>
      </c>
      <c r="AO452" s="6" t="n">
        <v>1.33644448306345</v>
      </c>
      <c r="AP452" s="6" t="n">
        <v>0.12929410475707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1.31555971192799</v>
      </c>
      <c r="AO453" s="6" t="n">
        <v>1.32339828641342</v>
      </c>
      <c r="AP453" s="6" t="n">
        <v>0.128984721717969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1.34727637535586</v>
      </c>
      <c r="AO454" s="6" t="n">
        <v>1.34909949011582</v>
      </c>
      <c r="AP454" s="6" t="n">
        <v>0.132958627883877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1.35957407421132</v>
      </c>
      <c r="AO455" s="6" t="n">
        <v>1.36759181221137</v>
      </c>
      <c r="AP455" s="6" t="n">
        <v>0.143683916257907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1.32837230985431</v>
      </c>
      <c r="AO456" s="6" t="n">
        <v>1.33656282948434</v>
      </c>
      <c r="AP456" s="6" t="n">
        <v>0.131785155892962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1.34423774478377</v>
      </c>
      <c r="AO457" s="6" t="n">
        <v>1.34430254870043</v>
      </c>
      <c r="AP457" s="6" t="n">
        <v>0.130736013364608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1.33711309867541</v>
      </c>
      <c r="AO458" s="6" t="n">
        <v>1.33727959323046</v>
      </c>
      <c r="AP458" s="6" t="n">
        <v>0.129668502504761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1.33507519192781</v>
      </c>
      <c r="AO459" s="6" t="n">
        <v>1.33583441184805</v>
      </c>
      <c r="AP459" s="6" t="n">
        <v>0.129009214351724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1.35571442867753</v>
      </c>
      <c r="AO460" s="6" t="n">
        <v>1.35571442867753</v>
      </c>
      <c r="AP460" s="6" t="n">
        <v>0.13478934917909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1.34270728914521</v>
      </c>
      <c r="AO461" s="6" t="n">
        <v>1.35277763224945</v>
      </c>
      <c r="AP461" s="6" t="n">
        <v>0.137081740395786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1.34824055299428</v>
      </c>
      <c r="AO462" s="6" t="n">
        <v>1.34844464966309</v>
      </c>
      <c r="AP462" s="6" t="n">
        <v>0.131381586539897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1.33308523239567</v>
      </c>
      <c r="AO463" s="6" t="n">
        <v>1.33320675977982</v>
      </c>
      <c r="AP463" s="6" t="n">
        <v>0.128080853338391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1.34533235131581</v>
      </c>
      <c r="AO464" s="6" t="n">
        <v>1.34568099740989</v>
      </c>
      <c r="AP464" s="6" t="n">
        <v>0.132202870307638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1.36071250715357</v>
      </c>
      <c r="AO465" s="6" t="n">
        <v>1.36071250715357</v>
      </c>
      <c r="AP465" s="6" t="n">
        <v>0.139664857403388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1.33235935933177</v>
      </c>
      <c r="AO466" s="6" t="n">
        <v>1.33279171321541</v>
      </c>
      <c r="AP466" s="6" t="n">
        <v>0.128976401610322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1.34953873177624</v>
      </c>
      <c r="AO467" s="6" t="n">
        <v>1.35286751042048</v>
      </c>
      <c r="AP467" s="6" t="n">
        <v>0.138547018113875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1.32058984481521</v>
      </c>
      <c r="AO468" s="6" t="n">
        <v>1.3273688888228</v>
      </c>
      <c r="AP468" s="6" t="n">
        <v>0.128647978960742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1.29516666481898</v>
      </c>
      <c r="AO469" s="6" t="n">
        <v>1.29718278390012</v>
      </c>
      <c r="AP469" s="6" t="n">
        <v>0.130489416184782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1.32056921502075</v>
      </c>
      <c r="AO470" s="6" t="n">
        <v>1.32146787156078</v>
      </c>
      <c r="AP470" s="6" t="n">
        <v>0.126605339782838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1.35410510114253</v>
      </c>
      <c r="AO471" s="6" t="n">
        <v>1.35410510114253</v>
      </c>
      <c r="AP471" s="6" t="n">
        <v>0.135724914766251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1.34473249389601</v>
      </c>
      <c r="AO472" s="6" t="n">
        <v>1.34543305857809</v>
      </c>
      <c r="AP472" s="6" t="n">
        <v>0.130572391690061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1.32052746670987</v>
      </c>
      <c r="AO473" s="6" t="n">
        <v>1.32091098829036</v>
      </c>
      <c r="AP473" s="6" t="n">
        <v>0.132737378242654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1.3437473522895</v>
      </c>
      <c r="AO474" s="6" t="n">
        <v>1.34375248542843</v>
      </c>
      <c r="AP474" s="6" t="n">
        <v>0.130790242437145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1.30526045084446</v>
      </c>
      <c r="AO475" s="6" t="n">
        <v>1.31557292305052</v>
      </c>
      <c r="AP475" s="6" t="n">
        <v>0.128861395661034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1.35275341993644</v>
      </c>
      <c r="AO476" s="6" t="n">
        <v>1.35275341993644</v>
      </c>
      <c r="AP476" s="6" t="n">
        <v>0.134114259694711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1.3320587603499</v>
      </c>
      <c r="AO477" s="6" t="n">
        <v>1.33244234121174</v>
      </c>
      <c r="AP477" s="6" t="n">
        <v>0.128254037064705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1.355142759072</v>
      </c>
      <c r="AO478" s="6" t="n">
        <v>1.35608449241488</v>
      </c>
      <c r="AP478" s="6" t="n">
        <v>0.13565821767991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1.3571780680871</v>
      </c>
      <c r="AO479" s="6" t="n">
        <v>1.35753343372625</v>
      </c>
      <c r="AP479" s="6" t="n">
        <v>0.135633931896202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1.34913956872196</v>
      </c>
      <c r="AO480" s="6" t="n">
        <v>1.34986320705061</v>
      </c>
      <c r="AP480" s="6" t="n">
        <v>0.132264575845142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1.32650171894812</v>
      </c>
      <c r="AO481" s="6" t="n">
        <v>1.32756783358861</v>
      </c>
      <c r="AP481" s="6" t="n">
        <v>0.128195028251696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1.34546939308339</v>
      </c>
      <c r="AO482" s="6" t="n">
        <v>1.34600073366601</v>
      </c>
      <c r="AP482" s="6" t="n">
        <v>0.132417400428652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1.34901274403191</v>
      </c>
      <c r="AO483" s="6" t="n">
        <v>1.34911767664968</v>
      </c>
      <c r="AP483" s="6" t="n">
        <v>0.133118178499769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1.35975763894144</v>
      </c>
      <c r="AO484" s="6" t="n">
        <v>1.35976803753006</v>
      </c>
      <c r="AP484" s="6" t="n">
        <v>0.139662516673855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1.33909670444375</v>
      </c>
      <c r="AO485" s="6" t="n">
        <v>1.33911771813959</v>
      </c>
      <c r="AP485" s="6" t="n">
        <v>0.128887257128481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1.33441567231459</v>
      </c>
      <c r="AO486" s="6" t="n">
        <v>1.34161094454846</v>
      </c>
      <c r="AP486" s="6" t="n">
        <v>0.133077220346137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1.32022015773777</v>
      </c>
      <c r="AO487" s="6" t="n">
        <v>1.32396707923988</v>
      </c>
      <c r="AP487" s="6" t="n">
        <v>0.129474962259649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1.33206995695285</v>
      </c>
      <c r="AO488" s="6" t="n">
        <v>1.33234627035637</v>
      </c>
      <c r="AP488" s="6" t="n">
        <v>0.128949198363033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1.34909965047753</v>
      </c>
      <c r="AO489" s="6" t="n">
        <v>1.34941044964254</v>
      </c>
      <c r="AP489" s="6" t="n">
        <v>0.133768957994419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1.33359065158271</v>
      </c>
      <c r="AO490" s="6" t="n">
        <v>1.34205652978539</v>
      </c>
      <c r="AP490" s="6" t="n">
        <v>0.132014902475998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1.32564908808608</v>
      </c>
      <c r="AO491" s="6" t="n">
        <v>1.33015760999319</v>
      </c>
      <c r="AP491" s="6" t="n">
        <v>0.128901795124965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1.33910872394076</v>
      </c>
      <c r="AO492" s="6" t="n">
        <v>1.33953857174352</v>
      </c>
      <c r="AP492" s="6" t="n">
        <v>0.130179955375953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1.33001139575823</v>
      </c>
      <c r="AO493" s="6" t="n">
        <v>1.33717844435606</v>
      </c>
      <c r="AP493" s="6" t="n">
        <v>0.130601070919994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1.33730920478545</v>
      </c>
      <c r="AO494" s="6" t="n">
        <v>1.34242267863482</v>
      </c>
      <c r="AP494" s="6" t="n">
        <v>0.13494470536237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1.34475371429196</v>
      </c>
      <c r="AO495" s="6" t="n">
        <v>1.34499047360979</v>
      </c>
      <c r="AP495" s="6" t="n">
        <v>0.130692377777914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1.34603370016708</v>
      </c>
      <c r="AO496" s="6" t="n">
        <v>1.34603370016708</v>
      </c>
      <c r="AP496" s="6" t="n">
        <v>0.132682998573269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1.32201311042753</v>
      </c>
      <c r="AO497" s="6" t="n">
        <v>1.32963352661119</v>
      </c>
      <c r="AP497" s="6" t="n">
        <v>0.135024418196754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1.35662079788041</v>
      </c>
      <c r="AO498" s="6" t="n">
        <v>1.35662079788041</v>
      </c>
      <c r="AP498" s="6" t="n">
        <v>0.135901873451115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1.33870086255214</v>
      </c>
      <c r="AO499" s="6" t="n">
        <v>1.33933941357148</v>
      </c>
      <c r="AP499" s="6" t="n">
        <v>0.130142451806953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1.35469431717432</v>
      </c>
      <c r="AO500" s="6" t="n">
        <v>1.35532790511718</v>
      </c>
      <c r="AP500" s="6" t="n">
        <v>0.136575149215899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1.34797325775575</v>
      </c>
      <c r="AO501" s="6" t="n">
        <v>1.34797325775575</v>
      </c>
      <c r="AP501" s="6" t="n">
        <v>0.132918320347398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1.34390099911993</v>
      </c>
      <c r="AO502" s="6" t="n">
        <v>1.34755795051687</v>
      </c>
      <c r="AP502" s="6" t="n">
        <v>0.133009366196351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1.33299158206578</v>
      </c>
      <c r="AO503" s="6" t="n">
        <v>1.33826478012192</v>
      </c>
      <c r="AP503" s="6" t="n">
        <v>0.130060538589062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1.3591191025641</v>
      </c>
      <c r="AO504" s="6" t="n">
        <v>1.35984794209868</v>
      </c>
      <c r="AP504" s="6" t="n">
        <v>0.136331909101752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1.31950585118706</v>
      </c>
      <c r="AO505" s="6" t="n">
        <v>1.32867692167899</v>
      </c>
      <c r="AP505" s="6" t="n">
        <v>0.130032516030018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1.34233929294759</v>
      </c>
      <c r="AO506" s="6" t="n">
        <v>1.34290947657076</v>
      </c>
      <c r="AP506" s="6" t="n">
        <v>0.130931789384809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1.3365860831554</v>
      </c>
      <c r="AO507" s="6" t="n">
        <v>1.33943852865388</v>
      </c>
      <c r="AP507" s="6" t="n">
        <v>0.130177916433724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1.35544963589967</v>
      </c>
      <c r="AO508" s="6" t="n">
        <v>1.35607670455608</v>
      </c>
      <c r="AP508" s="6" t="n">
        <v>0.135100316272153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1.35218765742057</v>
      </c>
      <c r="AO509" s="6" t="n">
        <v>1.35218765742057</v>
      </c>
      <c r="AP509" s="6" t="n">
        <v>0.132974654048443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1.33830276029806</v>
      </c>
      <c r="AO510" s="6" t="n">
        <v>1.33860432103739</v>
      </c>
      <c r="AP510" s="6" t="n">
        <v>0.129635619817809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1.34997699323501</v>
      </c>
      <c r="AO511" s="6" t="n">
        <v>1.34997699323501</v>
      </c>
      <c r="AP511" s="6" t="n">
        <v>0.136187224413689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1.32175446811183</v>
      </c>
      <c r="AO512" s="6" t="n">
        <v>1.32544937069651</v>
      </c>
      <c r="AP512" s="6" t="n">
        <v>0.129658538253029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1.33953517452699</v>
      </c>
      <c r="AO513" s="6" t="n">
        <v>1.34081053527151</v>
      </c>
      <c r="AP513" s="6" t="n">
        <v>0.129831040276093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1.32222634860866</v>
      </c>
      <c r="AO514" s="6" t="n">
        <v>1.32288081882066</v>
      </c>
      <c r="AP514" s="6" t="n">
        <v>0.126623942494399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1.34805832069348</v>
      </c>
      <c r="AO515" s="6" t="n">
        <v>1.34829292211406</v>
      </c>
      <c r="AP515" s="6" t="n">
        <v>0.132152090563899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1.35038181204351</v>
      </c>
      <c r="AO516" s="6" t="n">
        <v>1.35115934452934</v>
      </c>
      <c r="AP516" s="6" t="n">
        <v>0.131793566509814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1.34117527024401</v>
      </c>
      <c r="AO517" s="6" t="n">
        <v>1.34243664928648</v>
      </c>
      <c r="AP517" s="6" t="n">
        <v>0.134508969581359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1.34561689825007</v>
      </c>
      <c r="AO518" s="6" t="n">
        <v>1.35050129593428</v>
      </c>
      <c r="AP518" s="6" t="n">
        <v>0.134208654440659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1.35252898903811</v>
      </c>
      <c r="AO519" s="6" t="n">
        <v>1.35252898903811</v>
      </c>
      <c r="AP519" s="6" t="n">
        <v>0.137194620483497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1.32624440801693</v>
      </c>
      <c r="AO520" s="6" t="n">
        <v>1.32659066388099</v>
      </c>
      <c r="AP520" s="6" t="n">
        <v>0.126725991348356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1.35363377022429</v>
      </c>
      <c r="AO521" s="6" t="n">
        <v>1.35363377022429</v>
      </c>
      <c r="AP521" s="6" t="n">
        <v>0.134901814338242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1.33248270736754</v>
      </c>
      <c r="AO522" s="6" t="n">
        <v>1.3331477449891</v>
      </c>
      <c r="AP522" s="6" t="n">
        <v>0.128994737779778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1.35632471859935</v>
      </c>
      <c r="AO523" s="6" t="n">
        <v>1.35632471859935</v>
      </c>
      <c r="AP523" s="6" t="n">
        <v>0.133860050030433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1.35435218554278</v>
      </c>
      <c r="AO524" s="6" t="n">
        <v>1.35550208120298</v>
      </c>
      <c r="AP524" s="6" t="n">
        <v>0.139149089055637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1.32396224455589</v>
      </c>
      <c r="AO525" s="6" t="n">
        <v>1.3254026503293</v>
      </c>
      <c r="AP525" s="6" t="n">
        <v>0.126138229797332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1.33526968738004</v>
      </c>
      <c r="AO526" s="6" t="n">
        <v>1.33562953937038</v>
      </c>
      <c r="AP526" s="6" t="n">
        <v>0.128970792804499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1.35186085779495</v>
      </c>
      <c r="AO527" s="6" t="n">
        <v>1.35238437482961</v>
      </c>
      <c r="AP527" s="6" t="n">
        <v>0.133681447599191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1.34015197853791</v>
      </c>
      <c r="AO528" s="6" t="n">
        <v>1.34258833550826</v>
      </c>
      <c r="AP528" s="6" t="n">
        <v>0.131463210540992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1.34032228255414</v>
      </c>
      <c r="AO529" s="6" t="n">
        <v>1.34568561556622</v>
      </c>
      <c r="AP529" s="6" t="n">
        <v>0.133127062712706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1.34479345496482</v>
      </c>
      <c r="AO530" s="6" t="n">
        <v>1.34546672572168</v>
      </c>
      <c r="AP530" s="6" t="n">
        <v>0.130897924321801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1.34260509179213</v>
      </c>
      <c r="AO531" s="6" t="n">
        <v>1.35169662272968</v>
      </c>
      <c r="AP531" s="6" t="n">
        <v>0.137715579552163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1.32168285035303</v>
      </c>
      <c r="AO532" s="6" t="n">
        <v>1.33004006054534</v>
      </c>
      <c r="AP532" s="6" t="n">
        <v>0.12997787340478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1.34002858581517</v>
      </c>
      <c r="AO533" s="6" t="n">
        <v>1.3408126849032</v>
      </c>
      <c r="AP533" s="6" t="n">
        <v>0.13084437711276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1.31447484398733</v>
      </c>
      <c r="AO534" s="6" t="n">
        <v>1.32476863238185</v>
      </c>
      <c r="AP534" s="6" t="n">
        <v>0.13039531319672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1.34095816224504</v>
      </c>
      <c r="AO535" s="6" t="n">
        <v>1.34442562179737</v>
      </c>
      <c r="AP535" s="6" t="n">
        <v>0.131615360619156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1.29341379157308</v>
      </c>
      <c r="AO536" s="6" t="n">
        <v>1.31214702248939</v>
      </c>
      <c r="AP536" s="6" t="n">
        <v>0.130450677968215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1.3289974005266</v>
      </c>
      <c r="AO537" s="6" t="n">
        <v>1.33385579734157</v>
      </c>
      <c r="AP537" s="6" t="n">
        <v>0.130683303997938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1.34305273275578</v>
      </c>
      <c r="AO538" s="6" t="n">
        <v>1.34340688194838</v>
      </c>
      <c r="AP538" s="6" t="n">
        <v>0.129956362418917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1.35006403495009</v>
      </c>
      <c r="AO539" s="6" t="n">
        <v>1.35006403495009</v>
      </c>
      <c r="AP539" s="6" t="n">
        <v>0.135305568254267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1.33358891806788</v>
      </c>
      <c r="AO540" s="6" t="n">
        <v>1.33383199738248</v>
      </c>
      <c r="AP540" s="6" t="n">
        <v>0.129037307272027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1.34638584276593</v>
      </c>
      <c r="AO541" s="6" t="n">
        <v>1.34661382746552</v>
      </c>
      <c r="AP541" s="6" t="n">
        <v>0.130872363975861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1.32948359638598</v>
      </c>
      <c r="AO542" s="6" t="n">
        <v>1.33081243958863</v>
      </c>
      <c r="AP542" s="6" t="n">
        <v>0.128205529496832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1.32720376400152</v>
      </c>
      <c r="AO543" s="6" t="n">
        <v>1.33441160469593</v>
      </c>
      <c r="AP543" s="6" t="n">
        <v>0.13058038497191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1.32548608070666</v>
      </c>
      <c r="AO544" s="6" t="n">
        <v>1.33066330598678</v>
      </c>
      <c r="AP544" s="6" t="n">
        <v>0.128689511332483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1.33471125686815</v>
      </c>
      <c r="AO545" s="6" t="n">
        <v>1.33497128227952</v>
      </c>
      <c r="AP545" s="6" t="n">
        <v>0.128890255455424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1.33546084074478</v>
      </c>
      <c r="AO546" s="6" t="n">
        <v>1.335496862157</v>
      </c>
      <c r="AP546" s="6" t="n">
        <v>0.128606250596184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1.30693743546095</v>
      </c>
      <c r="AO547" s="6" t="n">
        <v>1.30728041344541</v>
      </c>
      <c r="AP547" s="6" t="n">
        <v>0.124528069357484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1.35058569999911</v>
      </c>
      <c r="AO548" s="6" t="n">
        <v>1.35099341959757</v>
      </c>
      <c r="AP548" s="6" t="n">
        <v>0.134410454079806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1.3499261372989</v>
      </c>
      <c r="AO549" s="6" t="n">
        <v>1.3499261372989</v>
      </c>
      <c r="AP549" s="6" t="n">
        <v>0.13345597174581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1.34529446389209</v>
      </c>
      <c r="AO550" s="6" t="n">
        <v>1.34552580346478</v>
      </c>
      <c r="AP550" s="6" t="n">
        <v>0.132225669933471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1.33847797058285</v>
      </c>
      <c r="AO551" s="6" t="n">
        <v>1.33850253043542</v>
      </c>
      <c r="AP551" s="6" t="n">
        <v>0.129386223681205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1.30901496085828</v>
      </c>
      <c r="AO552" s="6" t="n">
        <v>1.31701428363978</v>
      </c>
      <c r="AP552" s="6" t="n">
        <v>0.128254368673548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1.32984448233942</v>
      </c>
      <c r="AO553" s="6" t="n">
        <v>1.33032454744961</v>
      </c>
      <c r="AP553" s="6" t="n">
        <v>0.128107018046611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1.3364997118014</v>
      </c>
      <c r="AO554" s="6" t="n">
        <v>1.34868222602283</v>
      </c>
      <c r="AP554" s="6" t="n">
        <v>0.13712224905641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1.30077195874711</v>
      </c>
      <c r="AO555" s="6" t="n">
        <v>1.31230018797084</v>
      </c>
      <c r="AP555" s="6" t="n">
        <v>0.126661465513878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1.29310263160771</v>
      </c>
      <c r="AO556" s="6" t="n">
        <v>1.29815087700881</v>
      </c>
      <c r="AP556" s="6" t="n">
        <v>0.129979585090037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1.34986168747716</v>
      </c>
      <c r="AO557" s="6" t="n">
        <v>1.34986168747716</v>
      </c>
      <c r="AP557" s="6" t="n">
        <v>0.132327551720473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1.33765808155131</v>
      </c>
      <c r="AO558" s="6" t="n">
        <v>1.33820421336008</v>
      </c>
      <c r="AP558" s="6" t="n">
        <v>0.130170912007716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1.33115116524274</v>
      </c>
      <c r="AO559" s="6" t="n">
        <v>1.33169836116508</v>
      </c>
      <c r="AP559" s="6" t="n">
        <v>0.128730424154798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1.34336691146945</v>
      </c>
      <c r="AO560" s="6" t="n">
        <v>1.34346016863316</v>
      </c>
      <c r="AP560" s="6" t="n">
        <v>0.131647161720543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1.34846981681581</v>
      </c>
      <c r="AO561" s="6" t="n">
        <v>1.34872829813439</v>
      </c>
      <c r="AP561" s="6" t="n">
        <v>0.131551433990247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1.34943247060206</v>
      </c>
      <c r="AO562" s="6" t="n">
        <v>1.34943247060206</v>
      </c>
      <c r="AP562" s="6" t="n">
        <v>0.134455990674755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1.33548502259163</v>
      </c>
      <c r="AO563" s="6" t="n">
        <v>1.34399055096261</v>
      </c>
      <c r="AP563" s="6" t="n">
        <v>0.134131165911168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1.33048126157046</v>
      </c>
      <c r="AO564" s="6" t="n">
        <v>1.33901760286641</v>
      </c>
      <c r="AP564" s="6" t="n">
        <v>0.132834324835998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1.34860249889238</v>
      </c>
      <c r="AO565" s="6" t="n">
        <v>1.34940574482625</v>
      </c>
      <c r="AP565" s="6" t="n">
        <v>0.132219741134932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1.31678943055267</v>
      </c>
      <c r="AO566" s="6" t="n">
        <v>1.31956674999113</v>
      </c>
      <c r="AP566" s="6" t="n">
        <v>0.132195161679692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1.33103223178746</v>
      </c>
      <c r="AO567" s="6" t="n">
        <v>1.33149973423842</v>
      </c>
      <c r="AP567" s="6" t="n">
        <v>0.128073227899831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1.31924118228516</v>
      </c>
      <c r="AO568" s="6" t="n">
        <v>1.32847014352123</v>
      </c>
      <c r="AP568" s="6" t="n">
        <v>0.129908698715161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1.34878323368629</v>
      </c>
      <c r="AO569" s="6" t="n">
        <v>1.34926951468773</v>
      </c>
      <c r="AP569" s="6" t="n">
        <v>0.131477187599126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1.34191685845254</v>
      </c>
      <c r="AO570" s="6" t="n">
        <v>1.34292609548238</v>
      </c>
      <c r="AP570" s="6" t="n">
        <v>0.13067976254829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1.32467195927224</v>
      </c>
      <c r="AO571" s="6" t="n">
        <v>1.32540251699009</v>
      </c>
      <c r="AP571" s="6" t="n">
        <v>0.127290767176635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1.35091300745712</v>
      </c>
      <c r="AO572" s="6" t="n">
        <v>1.35091300745712</v>
      </c>
      <c r="AP572" s="6" t="n">
        <v>0.133943602596697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1.34892973214034</v>
      </c>
      <c r="AO573" s="6" t="n">
        <v>1.3495881772688</v>
      </c>
      <c r="AP573" s="6" t="n">
        <v>0.131844752989693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1.33447379595438</v>
      </c>
      <c r="AO574" s="6" t="n">
        <v>1.33526003297748</v>
      </c>
      <c r="AP574" s="6" t="n">
        <v>0.129062553096206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1.34510307581951</v>
      </c>
      <c r="AO575" s="6" t="n">
        <v>1.34527271193325</v>
      </c>
      <c r="AP575" s="6" t="n">
        <v>0.131975132544483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1.35598562296836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1.34483420060553</v>
      </c>
      <c r="AO577" s="6" t="n">
        <v>1.34539616896128</v>
      </c>
      <c r="AP577" s="6" t="n">
        <v>0.130988200491796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1.31908202038237</v>
      </c>
      <c r="AO578" s="6" t="n">
        <v>1.32049897199279</v>
      </c>
      <c r="AP578" s="6" t="n">
        <v>0.125614702911289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1.34343544077632</v>
      </c>
      <c r="AO579" s="6" t="n">
        <v>1.34350834847851</v>
      </c>
      <c r="AP579" s="6" t="n">
        <v>0.131029190181184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1.33992411579084</v>
      </c>
      <c r="AO580" s="6" t="n">
        <v>1.34000735831243</v>
      </c>
      <c r="AP580" s="6" t="n">
        <v>0.130065903560361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1.34178844377649</v>
      </c>
      <c r="AO581" s="6" t="n">
        <v>1.34178844377649</v>
      </c>
      <c r="AP581" s="6" t="n">
        <v>0.131373481270716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1.35173524113315</v>
      </c>
      <c r="AO582" s="6" t="n">
        <v>1.35240843860889</v>
      </c>
      <c r="AP582" s="6" t="n">
        <v>0.13280867431684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1.33567567413355</v>
      </c>
      <c r="AO583" s="6" t="n">
        <v>1.33660706158215</v>
      </c>
      <c r="AP583" s="6" t="n">
        <v>0.129226695729146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1.33478469941959</v>
      </c>
      <c r="AO584" s="6" t="n">
        <v>1.33491689880859</v>
      </c>
      <c r="AP584" s="6" t="n">
        <v>0.129214195441612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1.33846377311341</v>
      </c>
      <c r="AO585" s="6" t="n">
        <v>1.34480574145402</v>
      </c>
      <c r="AP585" s="6" t="n">
        <v>0.133397494561041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1.3486514734249</v>
      </c>
      <c r="AO586" s="6" t="n">
        <v>1.35356628784803</v>
      </c>
      <c r="AP586" s="6" t="n">
        <v>0.136839127408866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1.35734738715784</v>
      </c>
      <c r="AO587" s="6" t="n">
        <v>1.35734738715784</v>
      </c>
      <c r="AP587" s="6" t="n">
        <v>0.13431949956327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1.31548177718362</v>
      </c>
      <c r="AO588" s="6" t="n">
        <v>1.32766735133601</v>
      </c>
      <c r="AP588" s="6" t="n">
        <v>0.131606531026504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1.34508573127752</v>
      </c>
      <c r="AO589" s="6" t="n">
        <v>1.34540823179825</v>
      </c>
      <c r="AP589" s="6" t="n">
        <v>0.130951006937914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1.34009078786372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1.34777945722923</v>
      </c>
      <c r="AO591" s="6" t="n">
        <v>1.3481629904982</v>
      </c>
      <c r="AP591" s="6" t="n">
        <v>0.131422523315877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1.34675001804224</v>
      </c>
      <c r="AO592" s="6" t="n">
        <v>1.3470092330025</v>
      </c>
      <c r="AP592" s="6" t="n">
        <v>0.131566055925345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1.35785429760917</v>
      </c>
      <c r="AO593" s="6" t="n">
        <v>1.35870519581098</v>
      </c>
      <c r="AP593" s="6" t="n">
        <v>0.135436665923941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1.34818290222656</v>
      </c>
      <c r="AO594" s="6" t="n">
        <v>1.34818290222656</v>
      </c>
      <c r="AP594" s="6" t="n">
        <v>0.133605837655822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1.33009297541053</v>
      </c>
      <c r="AO595" s="6" t="n">
        <v>1.33029576816668</v>
      </c>
      <c r="AP595" s="6" t="n">
        <v>0.128672884705844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1.36076530064361</v>
      </c>
      <c r="AO596" s="6" t="n">
        <v>1.36139055301977</v>
      </c>
      <c r="AP596" s="6" t="n">
        <v>0.137415259391698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1.33909189426824</v>
      </c>
      <c r="AO597" s="6" t="n">
        <v>1.33958186107705</v>
      </c>
      <c r="AP597" s="6" t="n">
        <v>0.129883054382329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1.35025137509507</v>
      </c>
      <c r="AO598" s="6" t="n">
        <v>1.35025137509507</v>
      </c>
      <c r="AP598" s="6" t="n">
        <v>0.13353114348282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1.3581687322751</v>
      </c>
      <c r="AO599" s="6" t="n">
        <v>1.3581687322751</v>
      </c>
      <c r="AP599" s="6" t="n">
        <v>0.136134569254271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1.3263000623641</v>
      </c>
      <c r="AO600" s="6" t="n">
        <v>1.32840492206777</v>
      </c>
      <c r="AP600" s="6" t="n">
        <v>0.128293784077172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1.34547523316081</v>
      </c>
      <c r="AO601" s="6" t="n">
        <v>1.34554768830518</v>
      </c>
      <c r="AP601" s="6" t="n">
        <v>0.131189077534657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1.33992275762014</v>
      </c>
      <c r="AO602" s="6" t="n">
        <v>1.34617293484377</v>
      </c>
      <c r="AP602" s="6" t="n">
        <v>0.133202329147638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1.34157952864109</v>
      </c>
      <c r="AO603" s="6" t="n">
        <v>1.34157952864109</v>
      </c>
      <c r="AP603" s="6" t="n">
        <v>0.131144826973955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1.34183651652225</v>
      </c>
      <c r="AO604" s="6" t="n">
        <v>1.34231765862655</v>
      </c>
      <c r="AP604" s="6" t="n">
        <v>0.130306434932953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1.34348614445223</v>
      </c>
      <c r="AO605" s="6" t="n">
        <v>1.34348614445223</v>
      </c>
      <c r="AP605" s="6" t="n">
        <v>0.133480525647482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1.31574997506182</v>
      </c>
      <c r="AO606" s="6" t="n">
        <v>1.32836121685003</v>
      </c>
      <c r="AP606" s="6" t="n">
        <v>0.131438609964581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1.33541860723122</v>
      </c>
      <c r="AO607" s="6" t="n">
        <v>1.33559799518584</v>
      </c>
      <c r="AP607" s="6" t="n">
        <v>0.128752232615491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1.33992213875604</v>
      </c>
      <c r="AO608" s="6" t="n">
        <v>1.34032301475856</v>
      </c>
      <c r="AP608" s="6" t="n">
        <v>0.129839255231363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1.34078779530046</v>
      </c>
      <c r="AO609" s="6" t="n">
        <v>1.34087383636812</v>
      </c>
      <c r="AP609" s="6" t="n">
        <v>0.130244175044124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1.33098221484874</v>
      </c>
      <c r="AO610" s="6" t="n">
        <v>1.33142687539452</v>
      </c>
      <c r="AP610" s="6" t="n">
        <v>0.12876914790513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1.3340583611617</v>
      </c>
      <c r="AO611" s="6" t="n">
        <v>1.33406708831708</v>
      </c>
      <c r="AP611" s="6" t="n">
        <v>0.128685230360694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1.34853537868263</v>
      </c>
      <c r="AO612" s="6" t="n">
        <v>1.34932765188214</v>
      </c>
      <c r="AP612" s="6" t="n">
        <v>0.134796932619428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1.32023221756291</v>
      </c>
      <c r="AO613" s="6" t="n">
        <v>1.32714933676396</v>
      </c>
      <c r="AP613" s="6" t="n">
        <v>0.131308011099962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1.33637823875622</v>
      </c>
      <c r="AO614" s="6" t="n">
        <v>1.33740438069338</v>
      </c>
      <c r="AP614" s="6" t="n">
        <v>0.129360241188421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1.34023477520011</v>
      </c>
      <c r="AO615" s="6" t="n">
        <v>1.34077683210901</v>
      </c>
      <c r="AP615" s="6" t="n">
        <v>0.130271933709645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1.35296919354525</v>
      </c>
      <c r="AO616" s="6" t="n">
        <v>1.35546403242956</v>
      </c>
      <c r="AP616" s="6" t="n">
        <v>0.134883349140485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1.325892425088</v>
      </c>
      <c r="AO617" s="6" t="n">
        <v>1.33849114231341</v>
      </c>
      <c r="AP617" s="6" t="n">
        <v>0.134741503002083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1.35539553149794</v>
      </c>
      <c r="AO618" s="6" t="n">
        <v>1.35590488984715</v>
      </c>
      <c r="AP618" s="6" t="n">
        <v>0.13716823816227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1.33388159125456</v>
      </c>
      <c r="AO619" s="6" t="n">
        <v>1.3393381044753</v>
      </c>
      <c r="AP619" s="6" t="n">
        <v>0.131313523431997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1.34573536973599</v>
      </c>
      <c r="AO620" s="6" t="n">
        <v>1.34595547658957</v>
      </c>
      <c r="AP620" s="6" t="n">
        <v>0.131021646555665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1.33370939983726</v>
      </c>
      <c r="AO621" s="6" t="n">
        <v>1.33384036773497</v>
      </c>
      <c r="AP621" s="6" t="n">
        <v>0.129102874614327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1.34963313724372</v>
      </c>
      <c r="AO622" s="6" t="n">
        <v>1.34993362588481</v>
      </c>
      <c r="AP622" s="6" t="n">
        <v>0.131883374647304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1.33379040544859</v>
      </c>
      <c r="AO623" s="6" t="n">
        <v>1.33518144544681</v>
      </c>
      <c r="AP623" s="6" t="n">
        <v>0.128943774485547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1.33864978659545</v>
      </c>
      <c r="AO624" s="6" t="n">
        <v>1.3388851676291</v>
      </c>
      <c r="AP624" s="6" t="n">
        <v>0.130310733518477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1.31830200146029</v>
      </c>
      <c r="AO625" s="6" t="n">
        <v>1.31903013383117</v>
      </c>
      <c r="AP625" s="6" t="n">
        <v>0.126647521074444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1.32831260003881</v>
      </c>
      <c r="AO626" s="6" t="n">
        <v>1.32836550247756</v>
      </c>
      <c r="AP626" s="6" t="n">
        <v>0.128315137466572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1.31344477219321</v>
      </c>
      <c r="AO627" s="6" t="n">
        <v>1.31767988959009</v>
      </c>
      <c r="AP627" s="6" t="n">
        <v>0.127652021196439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1.33929720497088</v>
      </c>
      <c r="AO628" s="6" t="n">
        <v>1.33965263288308</v>
      </c>
      <c r="AP628" s="6" t="n">
        <v>0.130260123089681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1.34523820453157</v>
      </c>
      <c r="AO629" s="6" t="n">
        <v>1.34568009221739</v>
      </c>
      <c r="AP629" s="6" t="n">
        <v>0.131028380403884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1.3442945463347</v>
      </c>
      <c r="AO630" s="6" t="n">
        <v>1.34554552451641</v>
      </c>
      <c r="AP630" s="6" t="n">
        <v>0.131633300226951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1.34187229271054</v>
      </c>
      <c r="AO631" s="6" t="n">
        <v>1.34569481394724</v>
      </c>
      <c r="AP631" s="6" t="n">
        <v>0.131813026165191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1.35858799189228</v>
      </c>
      <c r="AO632" s="6" t="n">
        <v>1.35858799189228</v>
      </c>
      <c r="AP632" s="6" t="n">
        <v>0.140109194651928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1.3534883796747</v>
      </c>
      <c r="AO633" s="6" t="n">
        <v>1.35358466954963</v>
      </c>
      <c r="AP633" s="6" t="n">
        <v>0.133573252266317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1.3467450890918</v>
      </c>
      <c r="AO634" s="6" t="n">
        <v>1.34717416091665</v>
      </c>
      <c r="AP634" s="6" t="n">
        <v>0.131825543211904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1.3508388717255</v>
      </c>
      <c r="AO635" s="6" t="n">
        <v>1.35126267043405</v>
      </c>
      <c r="AP635" s="6" t="n">
        <v>0.13253360964666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1.34794571929856</v>
      </c>
      <c r="AO636" s="6" t="n">
        <v>1.34816901073346</v>
      </c>
      <c r="AP636" s="6" t="n">
        <v>0.131806001867334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1.35598315334093</v>
      </c>
      <c r="AO638" s="6" t="n">
        <v>1.35598315334093</v>
      </c>
      <c r="AP638" s="6" t="n">
        <v>0.140690437498658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1.35211560641356</v>
      </c>
      <c r="AO639" s="6" t="n">
        <v>1.35225347658795</v>
      </c>
      <c r="AP639" s="6" t="n">
        <v>0.132796155624092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1.30907494139372</v>
      </c>
      <c r="AO640" s="6" t="n">
        <v>1.31472102575852</v>
      </c>
      <c r="AP640" s="6" t="n">
        <v>0.130399656729527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1.35197714077595</v>
      </c>
      <c r="AO641" s="6" t="n">
        <v>1.35207656008656</v>
      </c>
      <c r="AP641" s="6" t="n">
        <v>0.132951208407846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1.33666958791114</v>
      </c>
      <c r="AO642" s="6" t="n">
        <v>1.33689611694525</v>
      </c>
      <c r="AP642" s="6" t="n">
        <v>0.129619742453559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1.34805582779222</v>
      </c>
      <c r="AO643" s="6" t="n">
        <v>1.34805582779222</v>
      </c>
      <c r="AP643" s="6" t="n">
        <v>0.132872483846368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1.34837828323584</v>
      </c>
      <c r="AO644" s="6" t="n">
        <v>1.34868918895186</v>
      </c>
      <c r="AP644" s="6" t="n">
        <v>0.131228032820545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1.33095321474883</v>
      </c>
      <c r="AO645" s="6" t="n">
        <v>1.33129212630465</v>
      </c>
      <c r="AP645" s="6" t="n">
        <v>0.127982997622965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1.33796872191813</v>
      </c>
      <c r="AO646" s="6" t="n">
        <v>1.34448228162176</v>
      </c>
      <c r="AP646" s="6" t="n">
        <v>0.133410994045744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1.33551523756082</v>
      </c>
      <c r="AO647" s="6" t="n">
        <v>1.33578096401042</v>
      </c>
      <c r="AP647" s="6" t="n">
        <v>0.129198958125906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1.32356980828852</v>
      </c>
      <c r="AO648" s="6" t="n">
        <v>1.33241316469781</v>
      </c>
      <c r="AP648" s="6" t="n">
        <v>0.130865754519758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1.33564968404104</v>
      </c>
      <c r="AO649" s="6" t="n">
        <v>1.33656717437617</v>
      </c>
      <c r="AP649" s="6" t="n">
        <v>0.129690852452576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1.35021432220243</v>
      </c>
      <c r="AO650" s="6" t="n">
        <v>1.35022010008039</v>
      </c>
      <c r="AP650" s="6" t="n">
        <v>0.131727157108624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1.35272648937198</v>
      </c>
      <c r="AO651" s="6" t="n">
        <v>1.35272648937198</v>
      </c>
      <c r="AP651" s="6" t="n">
        <v>0.132508266472275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1.35033693571792</v>
      </c>
      <c r="AO652" s="6" t="n">
        <v>1.35056204153067</v>
      </c>
      <c r="AP652" s="6" t="n">
        <v>0.131357948467386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1.31838077447307</v>
      </c>
      <c r="AO653" s="6" t="n">
        <v>1.32661460016737</v>
      </c>
      <c r="AP653" s="6" t="n">
        <v>0.131749800449828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1.30392619341063</v>
      </c>
      <c r="AO654" s="6" t="n">
        <v>1.30975812190038</v>
      </c>
      <c r="AP654" s="6" t="n">
        <v>0.130973504507619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1.35508570230662</v>
      </c>
      <c r="AO655" s="6" t="n">
        <v>1.35556872194098</v>
      </c>
      <c r="AP655" s="6" t="n">
        <v>0.134838843090853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1.35117252333065</v>
      </c>
      <c r="AO656" s="6" t="n">
        <v>1.35150306589774</v>
      </c>
      <c r="AP656" s="6" t="n">
        <v>0.133446468400542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1.32198563255849</v>
      </c>
      <c r="AO657" s="6" t="n">
        <v>1.32246104903617</v>
      </c>
      <c r="AP657" s="6" t="n">
        <v>0.127914734789837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1.33244664501169</v>
      </c>
      <c r="AO658" s="6" t="n">
        <v>1.33920239924285</v>
      </c>
      <c r="AP658" s="6" t="n">
        <v>0.131697860759926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1.33823170597388</v>
      </c>
      <c r="AO659" s="6" t="n">
        <v>1.338690613891</v>
      </c>
      <c r="AP659" s="6" t="n">
        <v>0.129993037706326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1.3291172659762</v>
      </c>
      <c r="AO660" s="6" t="n">
        <v>1.32923861423771</v>
      </c>
      <c r="AP660" s="6" t="n">
        <v>0.127981511780985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1.32853020255815</v>
      </c>
      <c r="AO661" s="6" t="n">
        <v>1.32868084156994</v>
      </c>
      <c r="AP661" s="6" t="n">
        <v>0.127979111579589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1.3479956785503</v>
      </c>
      <c r="AO662" s="6" t="n">
        <v>1.34874334710405</v>
      </c>
      <c r="AP662" s="6" t="n">
        <v>0.132299327176155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1.34540762616005</v>
      </c>
      <c r="AO663" s="6" t="n">
        <v>1.34626563286171</v>
      </c>
      <c r="AP663" s="6" t="n">
        <v>0.131339541786559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1.32628757967023</v>
      </c>
      <c r="AO664" s="6" t="n">
        <v>1.32640229753938</v>
      </c>
      <c r="AP664" s="6" t="n">
        <v>0.127831036062912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1.33524465698224</v>
      </c>
      <c r="AO665" s="6" t="n">
        <v>1.33546361546277</v>
      </c>
      <c r="AP665" s="6" t="n">
        <v>0.129408952858147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1.3512845778667</v>
      </c>
      <c r="AO666" s="6" t="n">
        <v>1.3512845778667</v>
      </c>
      <c r="AP666" s="6" t="n">
        <v>0.132505966440418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1.26883038231019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1.3548806726813</v>
      </c>
      <c r="AO668" s="6" t="n">
        <v>1.3548806726813</v>
      </c>
      <c r="AP668" s="6" t="n">
        <v>0.135836610799502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1.34704812653422</v>
      </c>
      <c r="AO669" s="6" t="n">
        <v>1.34968799847852</v>
      </c>
      <c r="AP669" s="6" t="n">
        <v>0.133125456653553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1.34048647374425</v>
      </c>
      <c r="AO670" s="6" t="n">
        <v>1.34106429149042</v>
      </c>
      <c r="AP670" s="6" t="n">
        <v>0.130804439605289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1.34352500875064</v>
      </c>
      <c r="AO671" s="6" t="n">
        <v>1.34352500875064</v>
      </c>
      <c r="AP671" s="6" t="n">
        <v>0.132721794338698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1.36475827532844</v>
      </c>
      <c r="AO672" s="6" t="n">
        <v>1.36475827532844</v>
      </c>
      <c r="AP672" s="6" t="n">
        <v>0.140193114478749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1.31848618031048</v>
      </c>
      <c r="AO673" s="6" t="n">
        <v>1.32634628438877</v>
      </c>
      <c r="AP673" s="6" t="n">
        <v>0.131585634966938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1.35436846941265</v>
      </c>
      <c r="AO674" s="6" t="n">
        <v>1.35455727296668</v>
      </c>
      <c r="AP674" s="6" t="n">
        <v>0.134314153258724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1.32026469218225</v>
      </c>
      <c r="AO675" s="6" t="n">
        <v>1.32174434095453</v>
      </c>
      <c r="AP675" s="6" t="n">
        <v>0.128664123333178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1.33872278999926</v>
      </c>
      <c r="AO676" s="6" t="n">
        <v>1.34537471494937</v>
      </c>
      <c r="AP676" s="6" t="n">
        <v>0.133494580153387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1.34794619236334</v>
      </c>
      <c r="AO677" s="6" t="n">
        <v>1.3482530108765</v>
      </c>
      <c r="AP677" s="6" t="n">
        <v>0.131810076058411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1.35372849153333</v>
      </c>
      <c r="AO678" s="6" t="n">
        <v>1.35407676898829</v>
      </c>
      <c r="AP678" s="6" t="n">
        <v>0.13285702180624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1.32900401137068</v>
      </c>
      <c r="AO679" s="6" t="n">
        <v>1.32988780586803</v>
      </c>
      <c r="AP679" s="6" t="n">
        <v>0.128432353917681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1.34483900993962</v>
      </c>
      <c r="AO680" s="6" t="n">
        <v>1.3465857310949</v>
      </c>
      <c r="AP680" s="6" t="n">
        <v>0.130745989490051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1.33192458395764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1.35266714248893</v>
      </c>
      <c r="AO682" s="6" t="n">
        <v>1.35266714248893</v>
      </c>
      <c r="AP682" s="6" t="n">
        <v>0.135143193729014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1.35276927860838</v>
      </c>
      <c r="AO683" s="6" t="n">
        <v>1.35517090076733</v>
      </c>
      <c r="AP683" s="6" t="n">
        <v>0.133640682631646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1.35593156993605</v>
      </c>
      <c r="AO684" s="6" t="n">
        <v>1.35593156993605</v>
      </c>
      <c r="AP684" s="6" t="n">
        <v>0.135497274066613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1.3592425318483</v>
      </c>
      <c r="AO685" s="6" t="n">
        <v>1.3592425318483</v>
      </c>
      <c r="AP685" s="6" t="n">
        <v>0.142202911695752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1.33364716528131</v>
      </c>
      <c r="AO686" s="6" t="n">
        <v>1.33696808630595</v>
      </c>
      <c r="AP686" s="6" t="n">
        <v>0.12943144268866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1.31792558869182</v>
      </c>
      <c r="AO687" s="6" t="n">
        <v>1.31879955306483</v>
      </c>
      <c r="AP687" s="6" t="n">
        <v>0.125644536521958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1.3452094973364</v>
      </c>
      <c r="AO688" s="6" t="n">
        <v>1.34559327625647</v>
      </c>
      <c r="AP688" s="6" t="n">
        <v>0.131134119592265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1.34845145454133</v>
      </c>
      <c r="AO689" s="6" t="n">
        <v>1.35157138770889</v>
      </c>
      <c r="AP689" s="6" t="n">
        <v>0.132966871326297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1.3381492845899</v>
      </c>
      <c r="AO690" s="6" t="n">
        <v>1.34471495257495</v>
      </c>
      <c r="AP690" s="6" t="n">
        <v>0.132992920802028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1.32946612072579</v>
      </c>
      <c r="AO691" s="6" t="n">
        <v>1.33478302551541</v>
      </c>
      <c r="AP691" s="6" t="n">
        <v>0.131354140218552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1.3357939720809</v>
      </c>
      <c r="AO692" s="6" t="n">
        <v>1.33780927787295</v>
      </c>
      <c r="AP692" s="6" t="n">
        <v>0.128610950972755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1.34763826509246</v>
      </c>
      <c r="AO693" s="6" t="n">
        <v>1.34792570602588</v>
      </c>
      <c r="AP693" s="6" t="n">
        <v>0.131072118409858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1.33005551016245</v>
      </c>
      <c r="AO694" s="6" t="n">
        <v>1.33070667740637</v>
      </c>
      <c r="AP694" s="6" t="n">
        <v>0.128430087017162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1.34357261630721</v>
      </c>
      <c r="AO695" s="6" t="n">
        <v>1.34400326122668</v>
      </c>
      <c r="AP695" s="6" t="n">
        <v>0.131164962691382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1.32223607070363</v>
      </c>
      <c r="AO696" s="6" t="n">
        <v>1.32408951228087</v>
      </c>
      <c r="AP696" s="6" t="n">
        <v>0.130666839666679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1.33671132797067</v>
      </c>
      <c r="AO697" s="6" t="n">
        <v>1.34609787052455</v>
      </c>
      <c r="AP697" s="6" t="n">
        <v>0.133631434400058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1.32498723137187</v>
      </c>
      <c r="AO698" s="6" t="n">
        <v>1.32592877423659</v>
      </c>
      <c r="AP698" s="6" t="n">
        <v>0.127340529378806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1.32981491817164</v>
      </c>
      <c r="AO699" s="6" t="n">
        <v>1.34061565237895</v>
      </c>
      <c r="AP699" s="6" t="n">
        <v>0.133469225996034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1.35133512101834</v>
      </c>
      <c r="AO700" s="6" t="n">
        <v>1.35133512101834</v>
      </c>
      <c r="AP700" s="6" t="n">
        <v>0.134714994021894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1.31487470143379</v>
      </c>
      <c r="AO701" s="6" t="n">
        <v>1.32276011195628</v>
      </c>
      <c r="AP701" s="6" t="n">
        <v>0.128455539993672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1.35325904062878</v>
      </c>
      <c r="AO702" s="6" t="n">
        <v>1.35365113340016</v>
      </c>
      <c r="AP702" s="6" t="n">
        <v>0.133830679209713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1.33666109878578</v>
      </c>
      <c r="AO703" s="6" t="n">
        <v>1.34014376209493</v>
      </c>
      <c r="AP703" s="6" t="n">
        <v>0.130172325989204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1.3169926625156</v>
      </c>
      <c r="AO704" s="6" t="n">
        <v>1.32448783658288</v>
      </c>
      <c r="AP704" s="6" t="n">
        <v>0.131366793018673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1.35354916746734</v>
      </c>
      <c r="AO705" s="6" t="n">
        <v>1.35363334266748</v>
      </c>
      <c r="AP705" s="6" t="n">
        <v>0.133611155131842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1.32826951408096</v>
      </c>
      <c r="AO706" s="6" t="n">
        <v>1.328798526153</v>
      </c>
      <c r="AP706" s="6" t="n">
        <v>0.127700698004424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1.34540232499631</v>
      </c>
      <c r="AO707" s="6" t="n">
        <v>1.34585912654714</v>
      </c>
      <c r="AP707" s="6" t="n">
        <v>0.130915375622184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1.34131712527882</v>
      </c>
      <c r="AO708" s="6" t="n">
        <v>1.34153675413742</v>
      </c>
      <c r="AP708" s="6" t="n">
        <v>0.130417425670128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1.3339789360462</v>
      </c>
      <c r="AO709" s="6" t="n">
        <v>1.3339789360462</v>
      </c>
      <c r="AP709" s="6" t="n">
        <v>0.13128895991176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1.33485431967802</v>
      </c>
      <c r="AO710" s="6" t="n">
        <v>1.33508050571447</v>
      </c>
      <c r="AP710" s="6" t="n">
        <v>0.129452091425356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1.33448394023614</v>
      </c>
      <c r="AO711" s="6" t="n">
        <v>1.33534799884727</v>
      </c>
      <c r="AP711" s="6" t="n">
        <v>0.129477321823512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1.33503187945522</v>
      </c>
      <c r="AO712" s="6" t="n">
        <v>1.33531523830924</v>
      </c>
      <c r="AP712" s="6" t="n">
        <v>0.128510957953521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1.33878999106892</v>
      </c>
      <c r="AO713" s="6" t="n">
        <v>1.33995636717778</v>
      </c>
      <c r="AP713" s="6" t="n">
        <v>0.12976607905801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1.34432257621054</v>
      </c>
      <c r="AO714" s="6" t="n">
        <v>1.34454457924666</v>
      </c>
      <c r="AP714" s="6" t="n">
        <v>0.130541207247912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1.35034070512892</v>
      </c>
      <c r="AO715" s="6" t="n">
        <v>1.35070121251661</v>
      </c>
      <c r="AP715" s="6" t="n">
        <v>0.132219993277727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1.3180349614885</v>
      </c>
      <c r="AO716" s="6" t="n">
        <v>1.31900041906511</v>
      </c>
      <c r="AP716" s="6" t="n">
        <v>0.126838123011713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1.33856602087419</v>
      </c>
      <c r="AO717" s="6" t="n">
        <v>1.33886057298297</v>
      </c>
      <c r="AP717" s="6" t="n">
        <v>0.129341577275194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1.32774005072278</v>
      </c>
      <c r="AO718" s="6" t="n">
        <v>1.32786215785496</v>
      </c>
      <c r="AP718" s="6" t="n">
        <v>0.128236923071417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1.32856231689931</v>
      </c>
      <c r="AO719" s="6" t="n">
        <v>1.33051489712331</v>
      </c>
      <c r="AP719" s="6" t="n">
        <v>0.132258090361413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1.32808779839396</v>
      </c>
      <c r="AO720" s="6" t="n">
        <v>1.33042561908311</v>
      </c>
      <c r="AP720" s="6" t="n">
        <v>0.127969358016903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1.29806049978007</v>
      </c>
      <c r="AO721" s="6" t="n">
        <v>1.29806049978007</v>
      </c>
      <c r="AP721" s="6" t="n">
        <v>0.130717344399333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1.3577314836418</v>
      </c>
      <c r="AO722" s="6" t="n">
        <v>1.3577314836418</v>
      </c>
      <c r="AP722" s="6" t="n">
        <v>0.135896958744963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1.33432689874964</v>
      </c>
      <c r="AO723" s="6" t="n">
        <v>1.33479728297705</v>
      </c>
      <c r="AP723" s="6" t="n">
        <v>0.128675572190511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1.34558417695551</v>
      </c>
      <c r="AO724" s="6" t="n">
        <v>1.34616096773674</v>
      </c>
      <c r="AP724" s="6" t="n">
        <v>0.13010496584014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1.32533236582909</v>
      </c>
      <c r="AO725" s="6" t="n">
        <v>1.33846750697396</v>
      </c>
      <c r="AP725" s="6" t="n">
        <v>0.133519284201319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1.31911636577185</v>
      </c>
      <c r="AO726" s="6" t="n">
        <v>1.32242795409648</v>
      </c>
      <c r="AP726" s="6" t="n">
        <v>0.125872122425596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1.35372964724693</v>
      </c>
      <c r="AO727" s="6" t="n">
        <v>1.35372964724693</v>
      </c>
      <c r="AP727" s="6" t="n">
        <v>0.135336413420391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1.35119087408769</v>
      </c>
      <c r="AO728" s="6" t="n">
        <v>1.35119087408769</v>
      </c>
      <c r="AP728" s="6" t="n">
        <v>0.135042081758044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1.34410198538413</v>
      </c>
      <c r="AO729" s="6" t="n">
        <v>1.34414273526426</v>
      </c>
      <c r="AP729" s="6" t="n">
        <v>0.130651432198984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1.3429442330937</v>
      </c>
      <c r="AO730" s="6" t="n">
        <v>1.34411986004091</v>
      </c>
      <c r="AP730" s="6" t="n">
        <v>0.131123099231364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1.32895774799788</v>
      </c>
      <c r="AO731" s="6" t="n">
        <v>1.33833366379434</v>
      </c>
      <c r="AP731" s="6" t="n">
        <v>0.133189227261184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1.3482093010731</v>
      </c>
      <c r="AO732" s="6" t="n">
        <v>1.3485359388629</v>
      </c>
      <c r="AP732" s="6" t="n">
        <v>0.132105941114267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1.34809025063339</v>
      </c>
      <c r="AO733" s="6" t="n">
        <v>1.34942774047266</v>
      </c>
      <c r="AP733" s="6" t="n">
        <v>0.131380855647495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1.35196680875641</v>
      </c>
      <c r="AO734" s="6" t="n">
        <v>1.35196680875641</v>
      </c>
      <c r="AP734" s="6" t="n">
        <v>0.134124830975387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1.35102162339507</v>
      </c>
      <c r="AO735" s="6" t="n">
        <v>1.35102162339507</v>
      </c>
      <c r="AP735" s="6" t="n">
        <v>0.133265651308145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1.35712591203404</v>
      </c>
      <c r="AO736" s="6" t="n">
        <v>1.35712591203404</v>
      </c>
      <c r="AP736" s="6" t="n">
        <v>0.137342869493563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1.32779247109039</v>
      </c>
      <c r="AO737" s="6" t="n">
        <v>1.33565894204202</v>
      </c>
      <c r="AP737" s="6" t="n">
        <v>0.132099903229293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1.35865924665097</v>
      </c>
      <c r="AO738" s="6" t="n">
        <v>1.35865924665097</v>
      </c>
      <c r="AP738" s="6" t="n">
        <v>0.139414200412491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1.35331331695461</v>
      </c>
      <c r="AO739" s="6" t="n">
        <v>1.35474968090536</v>
      </c>
      <c r="AP739" s="6" t="n">
        <v>0.13458373381925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1.3388775901878</v>
      </c>
      <c r="AO740" s="6" t="n">
        <v>1.33938033046153</v>
      </c>
      <c r="AP740" s="6" t="n">
        <v>0.129514714695347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1.34084827404939</v>
      </c>
      <c r="AO741" s="6" t="n">
        <v>1.3413357247453</v>
      </c>
      <c r="AP741" s="6" t="n">
        <v>0.129241084644692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1.33948741070506</v>
      </c>
      <c r="AO742" s="6" t="n">
        <v>1.33954233615539</v>
      </c>
      <c r="AP742" s="6" t="n">
        <v>0.129642878938191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1.35242689004862</v>
      </c>
      <c r="AO743" s="6" t="n">
        <v>1.35317737108068</v>
      </c>
      <c r="AP743" s="6" t="n">
        <v>0.132799673167349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1.34333530602033</v>
      </c>
      <c r="AO744" s="6" t="n">
        <v>1.34358740098616</v>
      </c>
      <c r="AP744" s="6" t="n">
        <v>0.130458153652201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1.33639331207134</v>
      </c>
      <c r="AO745" s="6" t="n">
        <v>1.34033706717113</v>
      </c>
      <c r="AP745" s="6" t="n">
        <v>0.130760188550519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1.33104201841455</v>
      </c>
      <c r="AO746" s="6" t="n">
        <v>1.33212368245868</v>
      </c>
      <c r="AP746" s="6" t="n">
        <v>0.12839363061137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1.3431539862847</v>
      </c>
      <c r="AO747" s="6" t="n">
        <v>1.34343393275986</v>
      </c>
      <c r="AP747" s="6" t="n">
        <v>0.130333385183358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1.34106207728989</v>
      </c>
      <c r="AO748" s="6" t="n">
        <v>1.34160161347183</v>
      </c>
      <c r="AP748" s="6" t="n">
        <v>0.130479421034279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1.34292221834226</v>
      </c>
      <c r="AO749" s="6" t="n">
        <v>1.34405000337557</v>
      </c>
      <c r="AP749" s="6" t="n">
        <v>0.131130804906058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1.34721356196526</v>
      </c>
      <c r="AO750" s="6" t="n">
        <v>1.34763856058704</v>
      </c>
      <c r="AP750" s="6" t="n">
        <v>0.131298898854726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1.34949975671752</v>
      </c>
      <c r="AO751" s="6" t="n">
        <v>1.34949975671752</v>
      </c>
      <c r="AP751" s="6" t="n">
        <v>0.135319026045517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1.33867821033239</v>
      </c>
      <c r="AO752" s="6" t="n">
        <v>1.34055728369961</v>
      </c>
      <c r="AP752" s="6" t="n">
        <v>0.129174951793183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1.35242756262192</v>
      </c>
      <c r="AO753" s="6" t="n">
        <v>1.35342521566653</v>
      </c>
      <c r="AP753" s="6" t="n">
        <v>0.132112226217906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1.32770077599054</v>
      </c>
      <c r="AO754" s="6" t="n">
        <v>1.32925835664658</v>
      </c>
      <c r="AP754" s="6" t="n">
        <v>0.127253220573424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1.35850024376028</v>
      </c>
      <c r="AO755" s="6" t="n">
        <v>1.35850024376028</v>
      </c>
      <c r="AP755" s="6" t="n">
        <v>0.141941209324087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1.35228172036738</v>
      </c>
      <c r="AO756" s="6" t="n">
        <v>1.35228172036738</v>
      </c>
      <c r="AP756" s="6" t="n">
        <v>0.136313967320201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1.31101890323131</v>
      </c>
      <c r="AO757" s="6" t="n">
        <v>1.31551163595103</v>
      </c>
      <c r="AP757" s="6" t="n">
        <v>0.12745040736876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1.35492487854938</v>
      </c>
      <c r="AO758" s="6" t="n">
        <v>1.35668688682575</v>
      </c>
      <c r="AP758" s="6" t="n">
        <v>0.137123641561301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1.34601185504143</v>
      </c>
      <c r="AO759" s="6" t="n">
        <v>1.34650556714412</v>
      </c>
      <c r="AP759" s="6" t="n">
        <v>0.131652380668713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1.34455401172659</v>
      </c>
      <c r="AO760" s="6" t="n">
        <v>1.34555052914751</v>
      </c>
      <c r="AP760" s="6" t="n">
        <v>0.131553459294693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1.34227474557509</v>
      </c>
      <c r="AO761" s="6" t="n">
        <v>1.34731046457681</v>
      </c>
      <c r="AP761" s="6" t="n">
        <v>0.13312167784429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1.33161811769241</v>
      </c>
      <c r="AO762" s="6" t="n">
        <v>1.33551221917343</v>
      </c>
      <c r="AP762" s="6" t="n">
        <v>0.130311984082893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1.31912341139207</v>
      </c>
      <c r="AO763" s="6" t="n">
        <v>1.32953902990304</v>
      </c>
      <c r="AP763" s="6" t="n">
        <v>0.133417934125542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1.3006088839984</v>
      </c>
      <c r="AO764" s="6" t="n">
        <v>1.30390618799382</v>
      </c>
      <c r="AP764" s="6" t="n">
        <v>0.12746066282552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1.31563046056733</v>
      </c>
      <c r="AO765" s="6" t="n">
        <v>1.32335473307003</v>
      </c>
      <c r="AP765" s="6" t="n">
        <v>0.128082547671336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1.34166958371167</v>
      </c>
      <c r="AO766" s="6" t="n">
        <v>1.34188677984938</v>
      </c>
      <c r="AP766" s="6" t="n">
        <v>0.130160099472867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1.34990383555592</v>
      </c>
      <c r="AO767" s="6" t="n">
        <v>1.34990383555592</v>
      </c>
      <c r="AP767" s="6" t="n">
        <v>0.133916772466791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1.34328337998764</v>
      </c>
      <c r="AO768" s="6" t="n">
        <v>1.34335496571368</v>
      </c>
      <c r="AP768" s="6" t="n">
        <v>0.130242781068836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1.33157373616728</v>
      </c>
      <c r="AO769" s="6" t="n">
        <v>1.33580406404707</v>
      </c>
      <c r="AP769" s="6" t="n">
        <v>0.130411616740786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1.3493680709256</v>
      </c>
      <c r="AO770" s="6" t="n">
        <v>1.3497542062122</v>
      </c>
      <c r="AP770" s="6" t="n">
        <v>0.132418883805055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1.34427625377879</v>
      </c>
      <c r="AO771" s="6" t="n">
        <v>1.34470526488933</v>
      </c>
      <c r="AP771" s="6" t="n">
        <v>0.130631671463623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1.34492709638856</v>
      </c>
      <c r="AO772" s="6" t="n">
        <v>1.34524933391821</v>
      </c>
      <c r="AP772" s="6" t="n">
        <v>0.130953174087207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1.34602045555474</v>
      </c>
      <c r="AO773" s="6" t="n">
        <v>1.34644760865737</v>
      </c>
      <c r="AP773" s="6" t="n">
        <v>0.130623988688524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1.35682027145956</v>
      </c>
      <c r="AO774" s="6" t="n">
        <v>1.3573471611789</v>
      </c>
      <c r="AP774" s="6" t="n">
        <v>0.134579502965517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1.33714923553371</v>
      </c>
      <c r="AO775" s="6" t="n">
        <v>1.33831652487215</v>
      </c>
      <c r="AP775" s="6" t="n">
        <v>0.129764067754208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1.3564262582686</v>
      </c>
      <c r="AO776" s="6" t="n">
        <v>1.35732405152182</v>
      </c>
      <c r="AP776" s="6" t="n">
        <v>0.13443572450232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1.34118826752475</v>
      </c>
      <c r="AO777" s="6" t="n">
        <v>1.34292314948311</v>
      </c>
      <c r="AP777" s="6" t="n">
        <v>0.130331336932536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1.33184592321665</v>
      </c>
      <c r="AO778" s="6" t="n">
        <v>1.33222035761616</v>
      </c>
      <c r="AP778" s="6" t="n">
        <v>0.12879291820625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1.35090102503062</v>
      </c>
      <c r="AO779" s="6" t="n">
        <v>1.35090102503062</v>
      </c>
      <c r="AP779" s="6" t="n">
        <v>0.133971910417323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1.33472982169622</v>
      </c>
      <c r="AO780" s="6" t="n">
        <v>1.33477719571567</v>
      </c>
      <c r="AP780" s="6" t="n">
        <v>0.129643953558047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1.29497912172281</v>
      </c>
      <c r="AO781" s="6" t="n">
        <v>1.30157666410336</v>
      </c>
      <c r="AP781" s="6" t="n">
        <v>0.12590987795792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1.31190787249874</v>
      </c>
      <c r="AO782" s="6" t="n">
        <v>1.32282491604035</v>
      </c>
      <c r="AP782" s="6" t="n">
        <v>0.129516339164434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1.33711372603059</v>
      </c>
      <c r="AO783" s="6" t="n">
        <v>1.33717086287756</v>
      </c>
      <c r="AP783" s="6" t="n">
        <v>0.129526532849933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1.3052850574323</v>
      </c>
      <c r="AO784" s="6" t="n">
        <v>1.30900039943012</v>
      </c>
      <c r="AP784" s="6" t="n">
        <v>0.129841506700739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1.33282763135316</v>
      </c>
      <c r="AO785" s="6" t="n">
        <v>1.33592406771991</v>
      </c>
      <c r="AP785" s="6" t="n">
        <v>0.129541092474936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1.32818838345333</v>
      </c>
      <c r="AO786" s="6" t="n">
        <v>1.3283844976348</v>
      </c>
      <c r="AP786" s="6" t="n">
        <v>0.128171817840792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1.32367249360958</v>
      </c>
      <c r="AO787" s="6" t="n">
        <v>1.32423594590386</v>
      </c>
      <c r="AP787" s="6" t="n">
        <v>0.126766991173683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1.35606305984107</v>
      </c>
      <c r="AO788" s="6" t="n">
        <v>1.35606305984107</v>
      </c>
      <c r="AP788" s="6" t="n">
        <v>0.136709904634541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1.34441018679234</v>
      </c>
      <c r="AO789" s="6" t="n">
        <v>1.34441018679234</v>
      </c>
      <c r="AP789" s="6" t="n">
        <v>0.131870811773217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1.3078457913033</v>
      </c>
      <c r="AO790" s="6" t="n">
        <v>1.31955843959072</v>
      </c>
      <c r="AP790" s="6" t="n">
        <v>0.128917385349928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1.3303331977865</v>
      </c>
      <c r="AO791" s="6" t="n">
        <v>1.33171561059471</v>
      </c>
      <c r="AP791" s="6" t="n">
        <v>0.12852457850488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1.34703248623673</v>
      </c>
      <c r="AO792" s="6" t="n">
        <v>1.3471389852169</v>
      </c>
      <c r="AP792" s="6" t="n">
        <v>0.130866250885616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1.33659055313251</v>
      </c>
      <c r="AO793" s="6" t="n">
        <v>1.33897348730382</v>
      </c>
      <c r="AP793" s="6" t="n">
        <v>0.129770678649121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1.33746095455769</v>
      </c>
      <c r="AO794" s="6" t="n">
        <v>1.3405425669374</v>
      </c>
      <c r="AP794" s="6" t="n">
        <v>0.13038522293803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1.34189153597505</v>
      </c>
      <c r="AO795" s="6" t="n">
        <v>1.34270114308228</v>
      </c>
      <c r="AP795" s="6" t="n">
        <v>0.130455241464543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1.34440375325714</v>
      </c>
      <c r="AO796" s="6" t="n">
        <v>1.34440375325714</v>
      </c>
      <c r="AP796" s="6" t="n">
        <v>0.133275601449806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1.35364655158796</v>
      </c>
      <c r="AO797" s="6" t="n">
        <v>1.35364655158796</v>
      </c>
      <c r="AP797" s="6" t="n">
        <v>0.135186599630445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1.32473589010242</v>
      </c>
      <c r="AO798" s="6" t="n">
        <v>1.32761857586603</v>
      </c>
      <c r="AP798" s="6" t="n">
        <v>0.129802843050262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1.33581231247913</v>
      </c>
      <c r="AO799" s="6" t="n">
        <v>1.33616092182125</v>
      </c>
      <c r="AP799" s="6" t="n">
        <v>0.130003277849771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1.34816059813192</v>
      </c>
      <c r="AO800" s="6" t="n">
        <v>1.35169841457422</v>
      </c>
      <c r="AP800" s="6" t="n">
        <v>0.134235766358268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1.33761748717731</v>
      </c>
      <c r="AO801" s="6" t="n">
        <v>1.33799241695498</v>
      </c>
      <c r="AP801" s="6" t="n">
        <v>0.129320526393287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1.33901787932015</v>
      </c>
      <c r="AO802" s="6" t="n">
        <v>1.3425447120261</v>
      </c>
      <c r="AP802" s="6" t="n">
        <v>0.131665566930522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1.34016720587323</v>
      </c>
      <c r="AO803" s="6" t="n">
        <v>1.34925263043135</v>
      </c>
      <c r="AP803" s="6" t="n">
        <v>0.135769825624602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1.33107252334413</v>
      </c>
      <c r="AO804" s="6" t="n">
        <v>1.33762787881981</v>
      </c>
      <c r="AP804" s="6" t="n">
        <v>0.13273061084441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1.33503173617719</v>
      </c>
      <c r="AO805" s="6" t="n">
        <v>1.33622728907178</v>
      </c>
      <c r="AP805" s="6" t="n">
        <v>0.12860842393934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1.34239565164428</v>
      </c>
      <c r="AO806" s="6" t="n">
        <v>1.34270830827802</v>
      </c>
      <c r="AP806" s="6" t="n">
        <v>0.129885066449162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1.33233944423492</v>
      </c>
      <c r="AO807" s="6" t="n">
        <v>1.34013410513274</v>
      </c>
      <c r="AP807" s="6" t="n">
        <v>0.134141614953868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1.34848542012586</v>
      </c>
      <c r="AO808" s="6" t="n">
        <v>1.34848542012586</v>
      </c>
      <c r="AP808" s="6" t="n">
        <v>0.132805371751174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1.34712949067242</v>
      </c>
      <c r="AO809" s="6" t="n">
        <v>1.3491564498671</v>
      </c>
      <c r="AP809" s="6" t="n">
        <v>0.132600963950183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1.33400029042242</v>
      </c>
      <c r="AO810" s="6" t="n">
        <v>1.334591839221</v>
      </c>
      <c r="AP810" s="6" t="n">
        <v>0.128012552596048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1.34021285111583</v>
      </c>
      <c r="AO811" s="6" t="n">
        <v>1.34953073799409</v>
      </c>
      <c r="AP811" s="6" t="n">
        <v>0.135983678272238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1.32741763857348</v>
      </c>
      <c r="AO812" s="6" t="n">
        <v>1.3275757819038</v>
      </c>
      <c r="AP812" s="6" t="n">
        <v>0.128143644799624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1.30588141530884</v>
      </c>
      <c r="AO813" s="6" t="n">
        <v>1.31626403638857</v>
      </c>
      <c r="AP813" s="6" t="n">
        <v>0.127293760054536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1.3100373179297</v>
      </c>
      <c r="AO814" s="6" t="n">
        <v>1.31841853533594</v>
      </c>
      <c r="AP814" s="6" t="n">
        <v>0.12839400097263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1.33605192328687</v>
      </c>
      <c r="AO815" s="6" t="n">
        <v>1.33622227237956</v>
      </c>
      <c r="AP815" s="6" t="n">
        <v>0.129295886860954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1.34454319164047</v>
      </c>
      <c r="AO816" s="6" t="n">
        <v>1.34528410180398</v>
      </c>
      <c r="AP816" s="6" t="n">
        <v>0.130382133078232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1.35047758274492</v>
      </c>
      <c r="AO817" s="6" t="n">
        <v>1.35087630201945</v>
      </c>
      <c r="AP817" s="6" t="n">
        <v>0.131809687484896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1.33512481946751</v>
      </c>
      <c r="AO818" s="6" t="n">
        <v>1.34379671650957</v>
      </c>
      <c r="AP818" s="6" t="n">
        <v>0.133744177532264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1.33101653406945</v>
      </c>
      <c r="AO819" s="6" t="n">
        <v>1.33922275489795</v>
      </c>
      <c r="AP819" s="6" t="n">
        <v>0.132835001045689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1.35379165999527</v>
      </c>
      <c r="AO820" s="6" t="n">
        <v>1.35409992551871</v>
      </c>
      <c r="AP820" s="6" t="n">
        <v>0.134765858161776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1.32057054773043</v>
      </c>
      <c r="AO821" s="6" t="n">
        <v>1.32075998739212</v>
      </c>
      <c r="AP821" s="6" t="n">
        <v>0.12694235176706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1.35024795670069</v>
      </c>
      <c r="AO822" s="6" t="n">
        <v>1.35118758643482</v>
      </c>
      <c r="AP822" s="6" t="n">
        <v>0.133090808320507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1.34718275669959</v>
      </c>
      <c r="AO823" s="6" t="n">
        <v>1.35171134373087</v>
      </c>
      <c r="AP823" s="6" t="n">
        <v>0.137735314209946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1.33165785718408</v>
      </c>
      <c r="AO824" s="6" t="n">
        <v>1.33210392038968</v>
      </c>
      <c r="AP824" s="6" t="n">
        <v>0.127982624259284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1.31109983287574</v>
      </c>
      <c r="AO825" s="6" t="n">
        <v>1.32127617676234</v>
      </c>
      <c r="AP825" s="6" t="n">
        <v>0.129596537162302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1.33529427218062</v>
      </c>
      <c r="AO826" s="6" t="n">
        <v>1.3445258232438</v>
      </c>
      <c r="AP826" s="6" t="n">
        <v>0.13547056960031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1.33156807602384</v>
      </c>
      <c r="AO827" s="6" t="n">
        <v>1.33559516297265</v>
      </c>
      <c r="AP827" s="6" t="n">
        <v>0.129621682877018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1.3579530034989</v>
      </c>
      <c r="AO828" s="6" t="n">
        <v>1.3579530034989</v>
      </c>
      <c r="AP828" s="6" t="n">
        <v>0.137068389301111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1.35107563212081</v>
      </c>
      <c r="AO829" s="6" t="n">
        <v>1.35151939597447</v>
      </c>
      <c r="AP829" s="6" t="n">
        <v>0.131966129706638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1.31473591563894</v>
      </c>
      <c r="AO830" s="6" t="n">
        <v>1.32245225847151</v>
      </c>
      <c r="AP830" s="6" t="n">
        <v>0.127888281702546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1.34712397708166</v>
      </c>
      <c r="AO831" s="6" t="n">
        <v>1.34749197511761</v>
      </c>
      <c r="AP831" s="6" t="n">
        <v>0.131933590819781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1.34901140290103</v>
      </c>
      <c r="AO832" s="6" t="n">
        <v>1.35011994406971</v>
      </c>
      <c r="AP832" s="6" t="n">
        <v>0.132281667142132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1.34863661160405</v>
      </c>
      <c r="AO833" s="6" t="n">
        <v>1.34941606870551</v>
      </c>
      <c r="AP833" s="6" t="n">
        <v>0.13187547354333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1.33640365313242</v>
      </c>
      <c r="AO834" s="6" t="n">
        <v>1.33647000234013</v>
      </c>
      <c r="AP834" s="6" t="n">
        <v>0.129436316256182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1.34366629613467</v>
      </c>
      <c r="AO835" s="6" t="n">
        <v>1.34403572308026</v>
      </c>
      <c r="AP835" s="6" t="n">
        <v>0.130486388688049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1.34542653306507</v>
      </c>
      <c r="AO836" s="6" t="n">
        <v>1.34570871294662</v>
      </c>
      <c r="AP836" s="6" t="n">
        <v>0.130717663921501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1.33119583122979</v>
      </c>
      <c r="AO837" s="6" t="n">
        <v>1.33147903411641</v>
      </c>
      <c r="AP837" s="6" t="n">
        <v>0.128135530611562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1.33997377138085</v>
      </c>
      <c r="AO838" s="6" t="n">
        <v>1.34096430614027</v>
      </c>
      <c r="AP838" s="6" t="n">
        <v>0.129995974311733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1.35274065899812</v>
      </c>
      <c r="AO839" s="6" t="n">
        <v>1.35274065899812</v>
      </c>
      <c r="AP839" s="6" t="n">
        <v>0.135042697261189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1.35683881288351</v>
      </c>
      <c r="AO840" s="6" t="n">
        <v>1.35735694351965</v>
      </c>
      <c r="AP840" s="6" t="n">
        <v>0.134851609150017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1.33924583521682</v>
      </c>
      <c r="AO841" s="6" t="n">
        <v>1.34431340109111</v>
      </c>
      <c r="AP841" s="6" t="n">
        <v>0.132307819401462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1.34519260528916</v>
      </c>
      <c r="AO842" s="6" t="n">
        <v>1.3476442811115</v>
      </c>
      <c r="AP842" s="6" t="n">
        <v>0.131667732586276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1.31827681169925</v>
      </c>
      <c r="AO843" s="6" t="n">
        <v>1.32031179565813</v>
      </c>
      <c r="AP843" s="6" t="n">
        <v>0.12696716725222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1.34828712043671</v>
      </c>
      <c r="AO844" s="6" t="n">
        <v>1.34917335853926</v>
      </c>
      <c r="AP844" s="6" t="n">
        <v>0.131561488643019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1.347496477299</v>
      </c>
      <c r="AO845" s="6" t="n">
        <v>1.35060616071644</v>
      </c>
      <c r="AP845" s="6" t="n">
        <v>0.135433093015371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1.326548142487</v>
      </c>
      <c r="AO846" s="6" t="n">
        <v>1.3268108111134</v>
      </c>
      <c r="AP846" s="6" t="n">
        <v>0.127291934502606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1.33384164857215</v>
      </c>
      <c r="AO847" s="6" t="n">
        <v>1.33418921913053</v>
      </c>
      <c r="AP847" s="6" t="n">
        <v>0.128718461282189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1.34362729885572</v>
      </c>
      <c r="AO848" s="6" t="n">
        <v>1.34585320525187</v>
      </c>
      <c r="AP848" s="6" t="n">
        <v>0.130253224564739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1.34889945382378</v>
      </c>
      <c r="AO849" s="6" t="n">
        <v>1.34889945382378</v>
      </c>
      <c r="AP849" s="6" t="n">
        <v>0.136633193378499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1.35082977643613</v>
      </c>
      <c r="AO850" s="6" t="n">
        <v>1.351492739551</v>
      </c>
      <c r="AP850" s="6" t="n">
        <v>0.133385420076537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1.3375674669204</v>
      </c>
      <c r="AO851" s="6" t="n">
        <v>1.33789246477885</v>
      </c>
      <c r="AP851" s="6" t="n">
        <v>0.129613343963109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1.35001388949901</v>
      </c>
      <c r="AO852" s="6" t="n">
        <v>1.35001388949901</v>
      </c>
      <c r="AP852" s="6" t="n">
        <v>0.133390003795382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1.34511107975345</v>
      </c>
      <c r="AO853" s="6" t="n">
        <v>1.34521323307924</v>
      </c>
      <c r="AP853" s="6" t="n">
        <v>0.131396117052637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1.33174335723087</v>
      </c>
      <c r="AO854" s="6" t="n">
        <v>1.33629379706382</v>
      </c>
      <c r="AP854" s="6" t="n">
        <v>0.131358509177789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1.33187337359896</v>
      </c>
      <c r="AO855" s="6" t="n">
        <v>1.34420363307505</v>
      </c>
      <c r="AP855" s="6" t="n">
        <v>0.138029458919394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1.32108028114617</v>
      </c>
      <c r="AO856" s="6" t="n">
        <v>1.32651345250839</v>
      </c>
      <c r="AP856" s="6" t="n">
        <v>0.130818315517445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1.28829053546168</v>
      </c>
      <c r="AO857" s="6" t="n">
        <v>1.30118302076339</v>
      </c>
      <c r="AP857" s="6" t="n">
        <v>0.128593946683061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1.35650612614894</v>
      </c>
      <c r="AO858" s="6" t="n">
        <v>1.35650612614894</v>
      </c>
      <c r="AP858" s="6" t="n">
        <v>0.13729427417464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1.33615824559521</v>
      </c>
      <c r="AO859" s="6" t="n">
        <v>1.33628219656425</v>
      </c>
      <c r="AP859" s="6" t="n">
        <v>0.129383195832727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1.3611872787618</v>
      </c>
      <c r="AO860" s="6" t="n">
        <v>1.36258466783268</v>
      </c>
      <c r="AP860" s="6" t="n">
        <v>0.135530822071858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1.32487504815837</v>
      </c>
      <c r="AO861" s="6" t="n">
        <v>1.33102147850389</v>
      </c>
      <c r="AP861" s="6" t="n">
        <v>0.130128636032197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1.32349333412692</v>
      </c>
      <c r="AO862" s="6" t="n">
        <v>1.33311485449392</v>
      </c>
      <c r="AP862" s="6" t="n">
        <v>0.131626837839616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1.34715224251345</v>
      </c>
      <c r="AO863" s="6" t="n">
        <v>1.34718347874032</v>
      </c>
      <c r="AP863" s="6" t="n">
        <v>0.130845283997326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1.29607331241783</v>
      </c>
      <c r="AO864" s="6" t="n">
        <v>1.30810230445747</v>
      </c>
      <c r="AP864" s="6" t="n">
        <v>0.130351105449481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1.31090557482401</v>
      </c>
      <c r="AO865" s="6" t="n">
        <v>1.31743654725315</v>
      </c>
      <c r="AP865" s="6" t="n">
        <v>0.129808402722022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1.35105775656882</v>
      </c>
      <c r="AO866" s="6" t="n">
        <v>1.35105775656882</v>
      </c>
      <c r="AP866" s="6" t="n">
        <v>0.136764217675143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1.32634027303257</v>
      </c>
      <c r="AO867" s="6" t="n">
        <v>1.3266976762651</v>
      </c>
      <c r="AP867" s="6" t="n">
        <v>0.127533142017554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1.3241394983489</v>
      </c>
      <c r="AO868" s="6" t="n">
        <v>1.32623340139945</v>
      </c>
      <c r="AP868" s="6" t="n">
        <v>0.127021613002327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1.35815795936961</v>
      </c>
      <c r="AO869" s="6" t="n">
        <v>1.35815795936961</v>
      </c>
      <c r="AP869" s="6" t="n">
        <v>0.136175884457821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1.35064442723507</v>
      </c>
      <c r="AO870" s="6" t="n">
        <v>1.35064442723507</v>
      </c>
      <c r="AP870" s="6" t="n">
        <v>0.133646227207752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1.33440703209653</v>
      </c>
      <c r="AO871" s="6" t="n">
        <v>1.33444058445451</v>
      </c>
      <c r="AP871" s="6" t="n">
        <v>0.129031873933794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1.34668388160015</v>
      </c>
      <c r="AO872" s="6" t="n">
        <v>1.34718145163454</v>
      </c>
      <c r="AP872" s="6" t="n">
        <v>0.131379239748173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1.3066690010176</v>
      </c>
      <c r="AO873" s="6" t="n">
        <v>1.3160047786627</v>
      </c>
      <c r="AP873" s="6" t="n">
        <v>0.128098495894593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1.35216127737586</v>
      </c>
      <c r="AO874" s="6" t="n">
        <v>1.35243614224851</v>
      </c>
      <c r="AP874" s="6" t="n">
        <v>0.133417759047167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1.35139336855838</v>
      </c>
      <c r="AO875" s="6" t="n">
        <v>1.35139336855838</v>
      </c>
      <c r="AP875" s="6" t="n">
        <v>0.136073735684365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1.33288745429527</v>
      </c>
      <c r="AO876" s="6" t="n">
        <v>1.33393734959531</v>
      </c>
      <c r="AP876" s="6" t="n">
        <v>0.129221370058954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1.35312116789043</v>
      </c>
      <c r="AO877" s="6" t="n">
        <v>1.35312116789043</v>
      </c>
      <c r="AP877" s="6" t="n">
        <v>0.134291333887551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1.33251386386936</v>
      </c>
      <c r="AO878" s="6" t="n">
        <v>1.34044425505935</v>
      </c>
      <c r="AP878" s="6" t="n">
        <v>0.132709091108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1.32187235981884</v>
      </c>
      <c r="AO879" s="6" t="n">
        <v>1.32422116337747</v>
      </c>
      <c r="AP879" s="6" t="n">
        <v>0.127330133513691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1.34483167428901</v>
      </c>
      <c r="AO880" s="6" t="n">
        <v>1.34492254451148</v>
      </c>
      <c r="AP880" s="6" t="n">
        <v>0.130332978405978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1.29806503194619</v>
      </c>
      <c r="AO881" s="6" t="n">
        <v>1.30123455625734</v>
      </c>
      <c r="AP881" s="6" t="n">
        <v>0.124770772736337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1.31424871271721</v>
      </c>
      <c r="AO882" s="6" t="n">
        <v>1.3221650310873</v>
      </c>
      <c r="AP882" s="6" t="n">
        <v>0.127942306933684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1.30779977725501</v>
      </c>
      <c r="AO883" s="6" t="n">
        <v>1.30969745105225</v>
      </c>
      <c r="AP883" s="6" t="n">
        <v>0.127699989043625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1.35655409982705</v>
      </c>
      <c r="AO884" s="6" t="n">
        <v>1.35742806766254</v>
      </c>
      <c r="AP884" s="6" t="n">
        <v>0.134676215097371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1.33133500196544</v>
      </c>
      <c r="AO885" s="6" t="n">
        <v>1.33190933177233</v>
      </c>
      <c r="AP885" s="6" t="n">
        <v>0.128582562297537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1.34784483408314</v>
      </c>
      <c r="AO886" s="6" t="n">
        <v>1.34878092835804</v>
      </c>
      <c r="AP886" s="6" t="n">
        <v>0.133031569986577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1.34095532145804</v>
      </c>
      <c r="AO887" s="6" t="n">
        <v>1.34656204441121</v>
      </c>
      <c r="AP887" s="6" t="n">
        <v>0.133029095250537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1.32570875400855</v>
      </c>
      <c r="AO888" s="6" t="n">
        <v>1.32603672730767</v>
      </c>
      <c r="AP888" s="6" t="n">
        <v>0.127814515998439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1.34953352003047</v>
      </c>
      <c r="AO889" s="6" t="n">
        <v>1.3497127754678</v>
      </c>
      <c r="AP889" s="6" t="n">
        <v>0.131466197601107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1.3550050966039</v>
      </c>
      <c r="AO890" s="6" t="n">
        <v>1.3550050966039</v>
      </c>
      <c r="AP890" s="6" t="n">
        <v>0.135766804194024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1.34510410369999</v>
      </c>
      <c r="AO891" s="6" t="n">
        <v>1.35208394567303</v>
      </c>
      <c r="AP891" s="6" t="n">
        <v>0.136348225744363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1.3383685796786</v>
      </c>
      <c r="AO892" s="6" t="n">
        <v>1.3387783936792</v>
      </c>
      <c r="AP892" s="6" t="n">
        <v>0.129637920845999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1.35823476611724</v>
      </c>
      <c r="AO893" s="6" t="n">
        <v>1.35823476611724</v>
      </c>
      <c r="AP893" s="6" t="n">
        <v>0.136114552061874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1.2957326960857</v>
      </c>
      <c r="AO894" s="6" t="n">
        <v>1.30975048797043</v>
      </c>
      <c r="AP894" s="6" t="n">
        <v>0.128019879922073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1.34916381968526</v>
      </c>
      <c r="AO895" s="6" t="n">
        <v>1.34938383991474</v>
      </c>
      <c r="AP895" s="6" t="n">
        <v>0.131794594890156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1.34089830408654</v>
      </c>
      <c r="AO896" s="6" t="n">
        <v>1.34166139763695</v>
      </c>
      <c r="AP896" s="6" t="n">
        <v>0.130721152726056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1.32505992969148</v>
      </c>
      <c r="AO897" s="6" t="n">
        <v>1.33105516666267</v>
      </c>
      <c r="AP897" s="6" t="n">
        <v>0.129490916693468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1.35854007895009</v>
      </c>
      <c r="AO898" s="6" t="n">
        <v>1.35854007895009</v>
      </c>
      <c r="AP898" s="6" t="n">
        <v>0.135602994572611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1.34438676382709</v>
      </c>
      <c r="AO899" s="6" t="n">
        <v>1.34438676382709</v>
      </c>
      <c r="AP899" s="6" t="n">
        <v>0.132081047491571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1.33039526593465</v>
      </c>
      <c r="AO900" s="6" t="n">
        <v>1.33129262111943</v>
      </c>
      <c r="AP900" s="6" t="n">
        <v>0.128498811907192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1.33907316183937</v>
      </c>
      <c r="AO901" s="6" t="n">
        <v>1.3398384017255</v>
      </c>
      <c r="AP901" s="6" t="n">
        <v>0.129969887368704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1.34507996339919</v>
      </c>
      <c r="AO902" s="6" t="n">
        <v>1.34538327906676</v>
      </c>
      <c r="AP902" s="6" t="n">
        <v>0.1319229080204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1.34623323142518</v>
      </c>
      <c r="AO903" s="6" t="n">
        <v>1.346713948522</v>
      </c>
      <c r="AP903" s="6" t="n">
        <v>0.130811426855884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1.35101184163961</v>
      </c>
      <c r="AO904" s="6" t="n">
        <v>1.35240334849348</v>
      </c>
      <c r="AP904" s="6" t="n">
        <v>0.134014609553599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1.3459077492932</v>
      </c>
      <c r="AO905" s="6" t="n">
        <v>1.34682193550401</v>
      </c>
      <c r="AP905" s="6" t="n">
        <v>0.131705992696039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1.32692667541941</v>
      </c>
      <c r="AO906" s="6" t="n">
        <v>1.32766815739176</v>
      </c>
      <c r="AP906" s="6" t="n">
        <v>0.127223140108935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1.347431669568</v>
      </c>
      <c r="AO907" s="6" t="n">
        <v>1.34767408281214</v>
      </c>
      <c r="AP907" s="6" t="n">
        <v>0.131695672132892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1.33151675109714</v>
      </c>
      <c r="AO908" s="6" t="n">
        <v>1.33269322095409</v>
      </c>
      <c r="AP908" s="6" t="n">
        <v>0.128469954279623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1.33824769723551</v>
      </c>
      <c r="AO909" s="6" t="n">
        <v>1.3394147184925</v>
      </c>
      <c r="AP909" s="6" t="n">
        <v>0.130160557871745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1.35218242035161</v>
      </c>
      <c r="AO910" s="6" t="n">
        <v>1.35239964705338</v>
      </c>
      <c r="AP910" s="6" t="n">
        <v>0.132235081598863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1.34331938997864</v>
      </c>
      <c r="AO911" s="6" t="n">
        <v>1.3455277986654</v>
      </c>
      <c r="AP911" s="6" t="n">
        <v>0.1312175974862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1.35319620878663</v>
      </c>
      <c r="AO912" s="6" t="n">
        <v>1.35394666110599</v>
      </c>
      <c r="AP912" s="6" t="n">
        <v>0.133232234334093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1.32429727343946</v>
      </c>
      <c r="AO913" s="6" t="n">
        <v>1.3250335477946</v>
      </c>
      <c r="AP913" s="6" t="n">
        <v>0.126973999015278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1.33833414346839</v>
      </c>
      <c r="AO915" s="6" t="n">
        <v>1.33859121913041</v>
      </c>
      <c r="AP915" s="6" t="n">
        <v>0.12970241069161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1.34772853116211</v>
      </c>
      <c r="AO916" s="6" t="n">
        <v>1.34772853116211</v>
      </c>
      <c r="AP916" s="6" t="n">
        <v>0.134027465015055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1.30254723301566</v>
      </c>
      <c r="AO917" s="6" t="n">
        <v>1.30842657113539</v>
      </c>
      <c r="AP917" s="6" t="n">
        <v>0.134409567005266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1.33942293206862</v>
      </c>
      <c r="AO918" s="6" t="n">
        <v>1.34212273402222</v>
      </c>
      <c r="AP918" s="6" t="n">
        <v>0.130815303773012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1.34553543985853</v>
      </c>
      <c r="AO919" s="6" t="n">
        <v>1.34642337025141</v>
      </c>
      <c r="AP919" s="6" t="n">
        <v>0.133322985557404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1.35145982872739</v>
      </c>
      <c r="AO920" s="6" t="n">
        <v>1.35202751479028</v>
      </c>
      <c r="AP920" s="6" t="n">
        <v>0.133692177535101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1.34899802861347</v>
      </c>
      <c r="AO921" s="6" t="n">
        <v>1.34899802861347</v>
      </c>
      <c r="AP921" s="6" t="n">
        <v>0.135548353074252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1.337542318894</v>
      </c>
      <c r="AO922" s="6" t="n">
        <v>1.33759858959601</v>
      </c>
      <c r="AP922" s="6" t="n">
        <v>0.129421049209741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1.33047535466187</v>
      </c>
      <c r="AO923" s="6" t="n">
        <v>1.33056028087094</v>
      </c>
      <c r="AP923" s="6" t="n">
        <v>0.128161317672774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1.32941808025395</v>
      </c>
      <c r="AO924" s="6" t="n">
        <v>1.33093003094736</v>
      </c>
      <c r="AP924" s="6" t="n">
        <v>0.132021415722971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1.34770690861984</v>
      </c>
      <c r="AO925" s="6" t="n">
        <v>1.34779090935498</v>
      </c>
      <c r="AP925" s="6" t="n">
        <v>0.132500719559184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1.34310762183999</v>
      </c>
      <c r="AO926" s="6" t="n">
        <v>1.34897316889549</v>
      </c>
      <c r="AP926" s="6" t="n">
        <v>0.134897359204776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1.34773890354115</v>
      </c>
      <c r="AO927" s="6" t="n">
        <v>1.34798189721795</v>
      </c>
      <c r="AP927" s="6" t="n">
        <v>0.13133268533822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1.3575173606026</v>
      </c>
      <c r="AO928" s="6" t="n">
        <v>1.3575173606026</v>
      </c>
      <c r="AP928" s="6" t="n">
        <v>0.137305602976333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1.35845820856186</v>
      </c>
      <c r="AO929" s="6" t="n">
        <v>1.3589579948599</v>
      </c>
      <c r="AP929" s="6" t="n">
        <v>0.134648503807238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1.32002489864873</v>
      </c>
      <c r="AO930" s="6" t="n">
        <v>1.32126426344364</v>
      </c>
      <c r="AP930" s="6" t="n">
        <v>0.126325691809653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1.34307018477703</v>
      </c>
      <c r="AO931" s="6" t="n">
        <v>1.34350264678731</v>
      </c>
      <c r="AP931" s="6" t="n">
        <v>0.130929000553576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1.35016157438672</v>
      </c>
      <c r="AO932" s="6" t="n">
        <v>1.35051238811566</v>
      </c>
      <c r="AP932" s="6" t="n">
        <v>0.132186249416166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1.34324566315383</v>
      </c>
      <c r="AO933" s="6" t="n">
        <v>1.34384174243159</v>
      </c>
      <c r="AP933" s="6" t="n">
        <v>0.13047044909765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1.3453839829022</v>
      </c>
      <c r="AO934" s="6" t="n">
        <v>1.34659314428948</v>
      </c>
      <c r="AP934" s="6" t="n">
        <v>0.130177340660877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1.35337824574911</v>
      </c>
      <c r="AO935" s="6" t="n">
        <v>1.35337824574911</v>
      </c>
      <c r="AP935" s="6" t="n">
        <v>0.133022972217082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1.32726214895793</v>
      </c>
      <c r="AO936" s="6" t="n">
        <v>1.33591832232162</v>
      </c>
      <c r="AP936" s="6" t="n">
        <v>0.132103305132253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1.31940728081896</v>
      </c>
      <c r="AO937" s="6" t="n">
        <v>1.32733608005635</v>
      </c>
      <c r="AP937" s="6" t="n">
        <v>0.129742775651322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1.32605899129558</v>
      </c>
      <c r="AO938" s="6" t="n">
        <v>1.33248146024343</v>
      </c>
      <c r="AP938" s="6" t="n">
        <v>0.129948444821714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1.35131416282157</v>
      </c>
      <c r="AO939" s="6" t="n">
        <v>1.35189167194359</v>
      </c>
      <c r="AP939" s="6" t="n">
        <v>0.134870393639441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1.34745916484932</v>
      </c>
      <c r="AO940" s="6" t="n">
        <v>1.34769188013941</v>
      </c>
      <c r="AP940" s="6" t="n">
        <v>0.131913385253647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1.35009408890124</v>
      </c>
      <c r="AO941" s="6" t="n">
        <v>1.35126433925889</v>
      </c>
      <c r="AP941" s="6" t="n">
        <v>0.132042366709604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1.34468169372638</v>
      </c>
      <c r="AO942" s="6" t="n">
        <v>1.34553810955482</v>
      </c>
      <c r="AP942" s="6" t="n">
        <v>0.131082207816709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1.34070059957821</v>
      </c>
      <c r="AO943" s="6" t="n">
        <v>1.34098031652824</v>
      </c>
      <c r="AP943" s="6" t="n">
        <v>0.130849819017989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1.34547089248968</v>
      </c>
      <c r="AO944" s="6" t="n">
        <v>1.34883081388013</v>
      </c>
      <c r="AP944" s="6" t="n">
        <v>0.132104901411675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1.34039722853628</v>
      </c>
      <c r="AO945" s="6" t="n">
        <v>1.3407547987441</v>
      </c>
      <c r="AP945" s="6" t="n">
        <v>0.130125763249959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1.33881792954941</v>
      </c>
      <c r="AO946" s="6" t="n">
        <v>1.34776033556023</v>
      </c>
      <c r="AP946" s="6" t="n">
        <v>0.135881668156208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1.36024996326256</v>
      </c>
      <c r="AO947" s="6" t="n">
        <v>1.36024996326256</v>
      </c>
      <c r="AP947" s="6" t="n">
        <v>0.140725515278276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1.30746949080506</v>
      </c>
      <c r="AO948" s="6" t="n">
        <v>1.31341122808102</v>
      </c>
      <c r="AP948" s="6" t="n">
        <v>0.128518803439909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1.34528664915135</v>
      </c>
      <c r="AO949" s="6" t="n">
        <v>1.34597587693122</v>
      </c>
      <c r="AP949" s="6" t="n">
        <v>0.132009069947654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1.35102072535728</v>
      </c>
      <c r="AO950" s="6" t="n">
        <v>1.35102072535728</v>
      </c>
      <c r="AP950" s="6" t="n">
        <v>0.132871434191149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1.33435253210045</v>
      </c>
      <c r="AO951" s="6" t="n">
        <v>1.33471428379667</v>
      </c>
      <c r="AP951" s="6" t="n">
        <v>0.128274580027438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1.34314108247012</v>
      </c>
      <c r="AO952" s="6" t="n">
        <v>1.34354210055398</v>
      </c>
      <c r="AP952" s="6" t="n">
        <v>0.130657497775405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1.33524182523963</v>
      </c>
      <c r="AO953" s="6" t="n">
        <v>1.33581618743431</v>
      </c>
      <c r="AP953" s="6" t="n">
        <v>0.129394570943496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1.29505742627178</v>
      </c>
      <c r="AO954" s="6" t="n">
        <v>1.30822064759365</v>
      </c>
      <c r="AP954" s="6" t="n">
        <v>0.131634577373735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1.33289981203572</v>
      </c>
      <c r="AO955" s="6" t="n">
        <v>1.33792214207504</v>
      </c>
      <c r="AP955" s="6" t="n">
        <v>0.130930205646846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1.33279445741984</v>
      </c>
      <c r="AO956" s="6" t="n">
        <v>1.33417176986448</v>
      </c>
      <c r="AP956" s="6" t="n">
        <v>0.128093034261254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1.34551102556182</v>
      </c>
      <c r="AO957" s="6" t="n">
        <v>1.3488459624517</v>
      </c>
      <c r="AP957" s="6" t="n">
        <v>0.14009986969932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1.35305693682721</v>
      </c>
      <c r="AO958" s="6" t="n">
        <v>1.35348820603292</v>
      </c>
      <c r="AP958" s="6" t="n">
        <v>0.133019847074388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1.28354702668445</v>
      </c>
      <c r="AO959" s="6" t="n">
        <v>1.29620141084736</v>
      </c>
      <c r="AP959" s="6" t="n">
        <v>0.125739444443268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1.34351731657247</v>
      </c>
      <c r="AO960" s="6" t="n">
        <v>1.34361926381911</v>
      </c>
      <c r="AP960" s="6" t="n">
        <v>0.131556319959442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1.34107753641361</v>
      </c>
      <c r="AO961" s="6" t="n">
        <v>1.34109236955122</v>
      </c>
      <c r="AP961" s="6" t="n">
        <v>0.130509962232814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1.34467351277897</v>
      </c>
      <c r="AO962" s="6" t="n">
        <v>1.34518737582459</v>
      </c>
      <c r="AP962" s="6" t="n">
        <v>0.129764291677407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1.33532842109708</v>
      </c>
      <c r="AO963" s="6" t="n">
        <v>1.33988050340442</v>
      </c>
      <c r="AP963" s="6" t="n">
        <v>0.131073510749188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1.34658367386933</v>
      </c>
      <c r="AO964" s="6" t="n">
        <v>1.3528406140865</v>
      </c>
      <c r="AP964" s="6" t="n">
        <v>0.137554501948397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1.32394595620226</v>
      </c>
      <c r="AO965" s="6" t="n">
        <v>1.33012142733018</v>
      </c>
      <c r="AP965" s="6" t="n">
        <v>0.132622621907843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1.35533924034107</v>
      </c>
      <c r="AO966" s="6" t="n">
        <v>1.35533924034107</v>
      </c>
      <c r="AP966" s="6" t="n">
        <v>0.135097981999748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1.31691049052179</v>
      </c>
      <c r="AO967" s="6" t="n">
        <v>1.32778084840358</v>
      </c>
      <c r="AP967" s="6" t="n">
        <v>0.130287717816286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1.32333262826073</v>
      </c>
      <c r="AO968" s="6" t="n">
        <v>1.32879772932176</v>
      </c>
      <c r="AP968" s="6" t="n">
        <v>0.132096175049166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1.31167800668176</v>
      </c>
      <c r="AO969" s="6" t="n">
        <v>1.32881367647092</v>
      </c>
      <c r="AP969" s="6" t="n">
        <v>0.134291214590551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1.3433710844625</v>
      </c>
      <c r="AO970" s="6" t="n">
        <v>1.34379184788406</v>
      </c>
      <c r="AP970" s="6" t="n">
        <v>0.130952765326485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1.31224605289877</v>
      </c>
      <c r="AO971" s="6" t="n">
        <v>1.3211865973468</v>
      </c>
      <c r="AP971" s="6" t="n">
        <v>0.129007028204684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1.3074245302132</v>
      </c>
      <c r="AO972" s="6" t="n">
        <v>1.31428066589562</v>
      </c>
      <c r="AP972" s="6" t="n">
        <v>0.13136348751606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1.34823017033491</v>
      </c>
      <c r="AO973" s="6" t="n">
        <v>1.34890362058653</v>
      </c>
      <c r="AP973" s="6" t="n">
        <v>0.131902802393327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1.34177337088634</v>
      </c>
      <c r="AO974" s="6" t="n">
        <v>1.34184239954851</v>
      </c>
      <c r="AP974" s="6" t="n">
        <v>0.130404902252402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1.33745262649437</v>
      </c>
      <c r="AO975" s="6" t="n">
        <v>1.34050236484808</v>
      </c>
      <c r="AP975" s="6" t="n">
        <v>0.13065696949795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1.32443177483287</v>
      </c>
      <c r="AO976" s="6" t="n">
        <v>1.32880235289602</v>
      </c>
      <c r="AP976" s="6" t="n">
        <v>0.130511801944691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1.32589964680304</v>
      </c>
      <c r="AO977" s="6" t="n">
        <v>1.32761485944069</v>
      </c>
      <c r="AP977" s="6" t="n">
        <v>0.12781765598205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1.34817064264933</v>
      </c>
      <c r="AO978" s="6" t="n">
        <v>1.34840633873238</v>
      </c>
      <c r="AP978" s="6" t="n">
        <v>0.131446967768229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1.30917666662882</v>
      </c>
      <c r="AO979" s="6" t="n">
        <v>1.31888264770127</v>
      </c>
      <c r="AP979" s="6" t="n">
        <v>0.139001633220554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1.3334465430199</v>
      </c>
      <c r="AO980" s="6" t="n">
        <v>1.33821206960883</v>
      </c>
      <c r="AP980" s="6" t="n">
        <v>0.129822233503304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1.34003980511068</v>
      </c>
      <c r="AO981" s="6" t="n">
        <v>1.34435147714146</v>
      </c>
      <c r="AP981" s="6" t="n">
        <v>0.132290871755959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1.35674532658291</v>
      </c>
      <c r="AO982" s="6" t="n">
        <v>1.35674532658291</v>
      </c>
      <c r="AP982" s="6" t="n">
        <v>0.135359832229912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1.33974721283496</v>
      </c>
      <c r="AO983" s="6" t="n">
        <v>1.33987715045081</v>
      </c>
      <c r="AP983" s="6" t="n">
        <v>0.129750735592881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1.34020352832065</v>
      </c>
      <c r="AO984" s="6" t="n">
        <v>1.34089184680268</v>
      </c>
      <c r="AP984" s="6" t="n">
        <v>0.130363632013135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1.34851659199692</v>
      </c>
      <c r="AO985" s="6" t="n">
        <v>1.34896477988001</v>
      </c>
      <c r="AP985" s="6" t="n">
        <v>0.13100501528804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1.31895601626166</v>
      </c>
      <c r="AO986" s="6" t="n">
        <v>1.31968957103995</v>
      </c>
      <c r="AP986" s="6" t="n">
        <v>0.130467285114369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1.33275633042749</v>
      </c>
      <c r="AO987" s="6" t="n">
        <v>1.33361649501831</v>
      </c>
      <c r="AP987" s="6" t="n">
        <v>0.128124091758807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1.35177835897821</v>
      </c>
      <c r="AO988" s="6" t="n">
        <v>1.35177835897821</v>
      </c>
      <c r="AP988" s="6" t="n">
        <v>0.134182212261304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1.34668012661694</v>
      </c>
      <c r="AO989" s="6" t="n">
        <v>1.34787004220514</v>
      </c>
      <c r="AP989" s="6" t="n">
        <v>0.132646699614798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1.34447471254938</v>
      </c>
      <c r="AO990" s="6" t="n">
        <v>1.34475607528816</v>
      </c>
      <c r="AP990" s="6" t="n">
        <v>0.13117654869356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1.3568149693658</v>
      </c>
      <c r="AO991" s="6" t="n">
        <v>1.35752514399548</v>
      </c>
      <c r="AP991" s="6" t="n">
        <v>0.136131382976133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1.33447241045721</v>
      </c>
      <c r="AO992" s="6" t="n">
        <v>1.33901549087209</v>
      </c>
      <c r="AP992" s="6" t="n">
        <v>0.131338085467295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1.29291993671606</v>
      </c>
      <c r="AO993" s="6" t="n">
        <v>1.3009501996067</v>
      </c>
      <c r="AP993" s="6" t="n">
        <v>0.129217302880929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1.32061039203272</v>
      </c>
      <c r="AO994" s="6" t="n">
        <v>1.32452550838973</v>
      </c>
      <c r="AP994" s="6" t="n">
        <v>0.126907077895139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1.34474227907727</v>
      </c>
      <c r="AO995" s="6" t="n">
        <v>1.34634315215332</v>
      </c>
      <c r="AP995" s="6" t="n">
        <v>0.131704434149269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1.3052016419678</v>
      </c>
      <c r="AO996" s="6" t="n">
        <v>1.31299560576468</v>
      </c>
      <c r="AP996" s="6" t="n">
        <v>0.126166204440978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1.34557528433257</v>
      </c>
      <c r="AO997" s="6" t="n">
        <v>1.34564598401009</v>
      </c>
      <c r="AP997" s="6" t="n">
        <v>0.131396974584973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1.3502200175736</v>
      </c>
      <c r="AO998" s="6" t="n">
        <v>1.35070430422209</v>
      </c>
      <c r="AP998" s="6" t="n">
        <v>0.134511448467601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1.34736841568007</v>
      </c>
      <c r="AO999" s="6" t="n">
        <v>1.34810545906823</v>
      </c>
      <c r="AP999" s="6" t="n">
        <v>0.130758646087655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1.34813215837158</v>
      </c>
      <c r="AO1000" s="6" t="n">
        <v>1.34815973032115</v>
      </c>
      <c r="AP1000" s="6" t="n">
        <v>0.131606218979113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1.35744521221699</v>
      </c>
      <c r="AO1001" s="6" t="n">
        <v>1.35744521221699</v>
      </c>
      <c r="AP1001" s="6" t="n">
        <v>0.137224711183346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1.34129326365402</v>
      </c>
      <c r="AO1002" s="6" t="n">
        <v>1.34129326365402</v>
      </c>
      <c r="AP1002" s="6" t="n">
        <v>0.130751183367099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1.34024148563649</v>
      </c>
      <c r="AO1003" s="6" t="n">
        <v>1.34030992852667</v>
      </c>
      <c r="AP1003" s="6" t="n">
        <v>0.129764200717442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1.34315164840288</v>
      </c>
      <c r="AO1004" s="6" t="n">
        <v>1.34722296601733</v>
      </c>
      <c r="AP1004" s="6" t="n">
        <v>0.131831787288559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1.33169757663463</v>
      </c>
      <c r="AO1005" s="6" t="n">
        <v>1.3388857854152</v>
      </c>
      <c r="AP1005" s="6" t="n">
        <v>0.13162591426379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1.3448149635929</v>
      </c>
      <c r="AO1006" s="6" t="n">
        <v>1.34536002339246</v>
      </c>
      <c r="AP1006" s="6" t="n">
        <v>0.131463989279863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1.3334578322036</v>
      </c>
      <c r="AO1007" s="6" t="n">
        <v>1.33387348476221</v>
      </c>
      <c r="AP1007" s="6" t="n">
        <v>0.128555166696878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1.3254504147716</v>
      </c>
      <c r="AO1008" s="6" t="n">
        <v>1.33049181207031</v>
      </c>
      <c r="AP1008" s="6" t="n">
        <v>0.132305297451388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1.35171614769136</v>
      </c>
      <c r="AO1009" s="6" t="n">
        <v>1.35334986119435</v>
      </c>
      <c r="AP1009" s="6" t="n">
        <v>0.135651778002548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1.28690135455325</v>
      </c>
      <c r="AO1010" s="6" t="n">
        <v>1.2943425658673</v>
      </c>
      <c r="AP1010" s="6" t="n">
        <v>0.127468538974119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1.32309826046618</v>
      </c>
      <c r="AO1011" s="6" t="n">
        <v>1.33217026926292</v>
      </c>
      <c r="AP1011" s="6" t="n">
        <v>0.131153549033232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1.33548048488102</v>
      </c>
      <c r="AO1012" s="6" t="n">
        <v>1.33771081032838</v>
      </c>
      <c r="AP1012" s="6" t="n">
        <v>0.129923929909254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1.32993864448558</v>
      </c>
      <c r="AO1013" s="6" t="n">
        <v>1.33129412238494</v>
      </c>
      <c r="AP1013" s="6" t="n">
        <v>0.127769525857702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1.3405240397482</v>
      </c>
      <c r="AO1014" s="6" t="n">
        <v>1.34767693475658</v>
      </c>
      <c r="AP1014" s="6" t="n">
        <v>0.134676116257773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1.33055662595342</v>
      </c>
      <c r="AO1015" s="6" t="n">
        <v>1.3316700795233</v>
      </c>
      <c r="AP1015" s="6" t="n">
        <v>0.128183939830463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1.33428309362192</v>
      </c>
      <c r="AO1016" s="6" t="n">
        <v>1.33461641631269</v>
      </c>
      <c r="AP1016" s="6" t="n">
        <v>0.128387785431253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1.35226898818132</v>
      </c>
      <c r="AO1017" s="6" t="n">
        <v>1.35243862248274</v>
      </c>
      <c r="AP1017" s="6" t="n">
        <v>0.132195087493922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1.33609516677091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1.34927019868745</v>
      </c>
      <c r="AO1019" s="6" t="n">
        <v>1.34940663700637</v>
      </c>
      <c r="AP1019" s="6" t="n">
        <v>0.13275879543191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1.33340985993326</v>
      </c>
      <c r="AO1020" s="6" t="n">
        <v>1.33374503724088</v>
      </c>
      <c r="AP1020" s="6" t="n">
        <v>0.128470053316596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1.35003906079029</v>
      </c>
      <c r="AO1021" s="6" t="n">
        <v>1.35100145203452</v>
      </c>
      <c r="AP1021" s="6" t="n">
        <v>0.132346196429634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1.33642780135963</v>
      </c>
      <c r="AO1022" s="6" t="n">
        <v>1.33700383686038</v>
      </c>
      <c r="AP1022" s="6" t="n">
        <v>0.129235259080981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1.32435313391333</v>
      </c>
      <c r="AO1023" s="6" t="n">
        <v>1.32564793896412</v>
      </c>
      <c r="AP1023" s="6" t="n">
        <v>0.127366838849783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1.3401094206979</v>
      </c>
      <c r="AO1024" s="6" t="n">
        <v>1.34234187318621</v>
      </c>
      <c r="AP1024" s="6" t="n">
        <v>0.13045477658255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1.32942745552103</v>
      </c>
      <c r="AO1025" s="6" t="n">
        <v>1.32942745552103</v>
      </c>
      <c r="AP1025" s="6" t="n">
        <v>0.128564003009639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1.34336354176459</v>
      </c>
      <c r="AO1026" s="6" t="n">
        <v>1.34336354176459</v>
      </c>
      <c r="AP1026" s="6" t="n">
        <v>0.131511791907128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1.34538734432686</v>
      </c>
      <c r="AO1027" s="6" t="n">
        <v>1.35019755174876</v>
      </c>
      <c r="AP1027" s="6" t="n">
        <v>0.133280982730719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1.34097750516599</v>
      </c>
      <c r="AO1028" s="6" t="n">
        <v>1.34144810421533</v>
      </c>
      <c r="AP1028" s="6" t="n">
        <v>0.129944094800235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1.34470950955082</v>
      </c>
      <c r="AO1029" s="6" t="n">
        <v>1.34501053337223</v>
      </c>
      <c r="AP1029" s="6" t="n">
        <v>0.130628998821169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1.35882963393505</v>
      </c>
      <c r="AO1030" s="6" t="n">
        <v>1.35882963393505</v>
      </c>
      <c r="AP1030" s="6" t="n">
        <v>0.135604743869975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1.33681530996784</v>
      </c>
      <c r="AO1031" s="6" t="n">
        <v>1.34436245257886</v>
      </c>
      <c r="AP1031" s="6" t="n">
        <v>0.134052262827148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1.35227701340805</v>
      </c>
      <c r="AO1032" s="6" t="n">
        <v>1.35243640139318</v>
      </c>
      <c r="AP1032" s="6" t="n">
        <v>0.132491519970106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1.36078463315656</v>
      </c>
      <c r="AO1033" s="6" t="n">
        <v>1.36078463315656</v>
      </c>
      <c r="AP1033" s="6" t="n">
        <v>0.139226935840134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1.33029928670939</v>
      </c>
      <c r="AO1034" s="6" t="n">
        <v>1.33403159924945</v>
      </c>
      <c r="AP1034" s="6" t="n">
        <v>0.128942379574659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1.32711835900699</v>
      </c>
      <c r="AO1035" s="6" t="n">
        <v>1.33255416886689</v>
      </c>
      <c r="AP1035" s="6" t="n">
        <v>0.129746175552838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1.3202522231877</v>
      </c>
      <c r="AO1036" s="6" t="n">
        <v>1.33049950765283</v>
      </c>
      <c r="AP1036" s="6" t="n">
        <v>0.131033279906989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1.31796566763679</v>
      </c>
      <c r="AO1037" s="6" t="n">
        <v>1.32606301560175</v>
      </c>
      <c r="AP1037" s="6" t="n">
        <v>0.129608194132854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1.33149818936289</v>
      </c>
      <c r="AO1038" s="6" t="n">
        <v>1.33262387342605</v>
      </c>
      <c r="AP1038" s="6" t="n">
        <v>0.127957701979578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1.34652114245743</v>
      </c>
      <c r="AO1039" s="6" t="n">
        <v>1.34652114245743</v>
      </c>
      <c r="AP1039" s="6" t="n">
        <v>0.131949408815562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1.34499713748146</v>
      </c>
      <c r="AO1040" s="6" t="n">
        <v>1.34525600772741</v>
      </c>
      <c r="AP1040" s="6" t="n">
        <v>0.130678249719198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1.30722265380369</v>
      </c>
      <c r="AO1041" s="6" t="n">
        <v>1.31054017904242</v>
      </c>
      <c r="AP1041" s="6" t="n">
        <v>0.131559113615941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1.32791057066451</v>
      </c>
      <c r="AO1042" s="6" t="n">
        <v>1.33358362561659</v>
      </c>
      <c r="AP1042" s="6" t="n">
        <v>0.132403455213773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1.35433729392246</v>
      </c>
      <c r="AO1043" s="6" t="n">
        <v>1.35433729392246</v>
      </c>
      <c r="AP1043" s="6" t="n">
        <v>0.135903515393106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1.31920273637687</v>
      </c>
      <c r="AO1044" s="6" t="n">
        <v>1.32043289785338</v>
      </c>
      <c r="AP1044" s="6" t="n">
        <v>0.126000804228483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1.34314353779105</v>
      </c>
      <c r="AO1045" s="6" t="n">
        <v>1.34328857229506</v>
      </c>
      <c r="AP1045" s="6" t="n">
        <v>0.129884211433887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1.35349794480051</v>
      </c>
      <c r="AO1046" s="6" t="n">
        <v>1.35349794480051</v>
      </c>
      <c r="AP1046" s="6" t="n">
        <v>0.136039634179893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1.33670430757922</v>
      </c>
      <c r="AO1047" s="6" t="n">
        <v>1.33735920021527</v>
      </c>
      <c r="AP1047" s="6" t="n">
        <v>0.129422967424824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1.35485713363007</v>
      </c>
      <c r="AO1048" s="6" t="n">
        <v>1.35486982295254</v>
      </c>
      <c r="AP1048" s="6" t="n">
        <v>0.133295291085874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1.34724533707177</v>
      </c>
      <c r="AO1049" s="6" t="n">
        <v>1.34724533707177</v>
      </c>
      <c r="AP1049" s="6" t="n">
        <v>0.133372939717788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1.30967666853136</v>
      </c>
      <c r="AO1050" s="6" t="n">
        <v>1.31367159680883</v>
      </c>
      <c r="AP1050" s="6" t="n">
        <v>0.129527904325763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1.34036234112578</v>
      </c>
      <c r="AO1051" s="6" t="n">
        <v>1.34087075362549</v>
      </c>
      <c r="AP1051" s="6" t="n">
        <v>0.130301541448954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1.34058017647128</v>
      </c>
      <c r="AO1052" s="6" t="n">
        <v>1.34082484644849</v>
      </c>
      <c r="AP1052" s="6" t="n">
        <v>0.129985085757277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1.32373860841685</v>
      </c>
      <c r="AO1053" s="6" t="n">
        <v>1.32423967544309</v>
      </c>
      <c r="AP1053" s="6" t="n">
        <v>0.1270660202934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1.3512452762343</v>
      </c>
      <c r="AO1054" s="6" t="n">
        <v>1.3515491400537</v>
      </c>
      <c r="AP1054" s="6" t="n">
        <v>0.132702625829604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1.33781072554656</v>
      </c>
      <c r="AO1055" s="6" t="n">
        <v>1.33862694278566</v>
      </c>
      <c r="AP1055" s="6" t="n">
        <v>0.129804759963424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1.34466542619624</v>
      </c>
      <c r="AO1056" s="6" t="n">
        <v>1.34515911731055</v>
      </c>
      <c r="AP1056" s="6" t="n">
        <v>0.131876961241865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1.33426720424398</v>
      </c>
      <c r="AO1057" s="6" t="n">
        <v>1.34116754845033</v>
      </c>
      <c r="AP1057" s="6" t="n">
        <v>0.132029629606267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1.33472123001174</v>
      </c>
      <c r="AO1058" s="6" t="n">
        <v>1.33536283862812</v>
      </c>
      <c r="AP1058" s="6" t="n">
        <v>0.128940702970354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1.34577795362684</v>
      </c>
      <c r="AO1059" s="6" t="n">
        <v>1.34603787348801</v>
      </c>
      <c r="AP1059" s="6" t="n">
        <v>0.131039055164191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1.33409329927112</v>
      </c>
      <c r="AO1060" s="6" t="n">
        <v>1.33615304929618</v>
      </c>
      <c r="AP1060" s="6" t="n">
        <v>0.128879814779275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1.35636498992492</v>
      </c>
      <c r="AO1061" s="6" t="n">
        <v>1.35636498992492</v>
      </c>
      <c r="AP1061" s="6" t="n">
        <v>0.134588057992213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1.31267082333338</v>
      </c>
      <c r="AO1062" s="6" t="n">
        <v>1.32841841259559</v>
      </c>
      <c r="AP1062" s="6" t="n">
        <v>0.13358364907422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1.3639651176631</v>
      </c>
      <c r="AO1063" s="6" t="n">
        <v>1.3639651176631</v>
      </c>
      <c r="AP1063" s="6" t="n">
        <v>0.142022965542695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1.34457638297902</v>
      </c>
      <c r="AO1064" s="6" t="n">
        <v>1.34490728155663</v>
      </c>
      <c r="AP1064" s="6" t="n">
        <v>0.131655993420055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1.34088962883847</v>
      </c>
      <c r="AO1065" s="6" t="n">
        <v>1.34126363349664</v>
      </c>
      <c r="AP1065" s="6" t="n">
        <v>0.130621505696473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1.30549677082863</v>
      </c>
      <c r="AO1066" s="6" t="n">
        <v>1.31442691679018</v>
      </c>
      <c r="AP1066" s="6" t="n">
        <v>0.130472640350104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1.340097064377</v>
      </c>
      <c r="AO1067" s="6" t="n">
        <v>1.34039290121296</v>
      </c>
      <c r="AP1067" s="6" t="n">
        <v>0.129513244162705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1.34142215031864</v>
      </c>
      <c r="AO1068" s="6" t="n">
        <v>1.34147048768393</v>
      </c>
      <c r="AP1068" s="6" t="n">
        <v>0.130176602896703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1.33819380537903</v>
      </c>
      <c r="AO1069" s="6" t="n">
        <v>1.34416307562348</v>
      </c>
      <c r="AP1069" s="6" t="n">
        <v>0.135186859788057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1.35338522965792</v>
      </c>
      <c r="AO1070" s="6" t="n">
        <v>1.35338522965792</v>
      </c>
      <c r="AP1070" s="6" t="n">
        <v>0.135178656359871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1.3530114437121</v>
      </c>
      <c r="AO1071" s="6" t="n">
        <v>1.35339829937946</v>
      </c>
      <c r="AP1071" s="6" t="n">
        <v>0.132860173966624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1.34247788409482</v>
      </c>
      <c r="AO1072" s="6" t="n">
        <v>1.34422713811588</v>
      </c>
      <c r="AP1072" s="6" t="n">
        <v>0.130991785945264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1.34967944763937</v>
      </c>
      <c r="AO1073" s="6" t="n">
        <v>1.34967944763937</v>
      </c>
      <c r="AP1073" s="6" t="n">
        <v>0.134645161872722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1.3605678477834</v>
      </c>
      <c r="AO1074" s="6" t="n">
        <v>1.3605678477834</v>
      </c>
      <c r="AP1074" s="6" t="n">
        <v>0.137487774585759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1.34114790007457</v>
      </c>
      <c r="AO1075" s="6" t="n">
        <v>1.34121560341695</v>
      </c>
      <c r="AP1075" s="6" t="n">
        <v>0.129891786668784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1.35732440607228</v>
      </c>
      <c r="AO1076" s="6" t="n">
        <v>1.35732440607228</v>
      </c>
      <c r="AP1076" s="6" t="n">
        <v>0.136701550604767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1.35608630910628</v>
      </c>
      <c r="AO1077" s="6" t="n">
        <v>1.35608630910628</v>
      </c>
      <c r="AP1077" s="6" t="n">
        <v>0.1354214772382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1.33693176898503</v>
      </c>
      <c r="AO1078" s="6" t="n">
        <v>1.33719584435805</v>
      </c>
      <c r="AP1078" s="6" t="n">
        <v>0.129165417151217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1.35442093393746</v>
      </c>
      <c r="AO1079" s="6" t="n">
        <v>1.35442093393746</v>
      </c>
      <c r="AP1079" s="6" t="n">
        <v>0.134120995109247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1.32963559162536</v>
      </c>
      <c r="AO1080" s="6" t="n">
        <v>1.33679514466395</v>
      </c>
      <c r="AP1080" s="6" t="n">
        <v>0.131500652287684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1.35212128765111</v>
      </c>
      <c r="AO1081" s="6" t="n">
        <v>1.35212128765111</v>
      </c>
      <c r="AP1081" s="6" t="n">
        <v>0.133781575825092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1.33563456572845</v>
      </c>
      <c r="AO1082" s="6" t="n">
        <v>1.33610766190495</v>
      </c>
      <c r="AP1082" s="6" t="n">
        <v>0.129046457415418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1.34169713472548</v>
      </c>
      <c r="AO1083" s="6" t="n">
        <v>1.34219990693805</v>
      </c>
      <c r="AP1083" s="6" t="n">
        <v>0.130146275229375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1.33285668275317</v>
      </c>
      <c r="AO1084" s="6" t="n">
        <v>1.33364091253809</v>
      </c>
      <c r="AP1084" s="6" t="n">
        <v>0.128363138363227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1.32707709791</v>
      </c>
      <c r="AO1085" s="6" t="n">
        <v>1.32746967313286</v>
      </c>
      <c r="AP1085" s="6" t="n">
        <v>0.127761619477309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1.31280292980188</v>
      </c>
      <c r="AO1086" s="6" t="n">
        <v>1.32205941117755</v>
      </c>
      <c r="AP1086" s="6" t="n">
        <v>0.129774215186953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1.302623320308</v>
      </c>
      <c r="AO1087" s="6" t="n">
        <v>1.30992012404183</v>
      </c>
      <c r="AP1087" s="6" t="n">
        <v>0.127431728824792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1.33399420704567</v>
      </c>
      <c r="AO1088" s="6" t="n">
        <v>1.33495798071617</v>
      </c>
      <c r="AP1088" s="6" t="n">
        <v>0.129491554152159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1.35003019315494</v>
      </c>
      <c r="AO1089" s="6" t="n">
        <v>1.35003019315494</v>
      </c>
      <c r="AP1089" s="6" t="n">
        <v>0.134880278171858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1.33359666930869</v>
      </c>
      <c r="AO1090" s="6" t="n">
        <v>1.33413487219825</v>
      </c>
      <c r="AP1090" s="6" t="n">
        <v>0.128624976918745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1.33852878320254</v>
      </c>
      <c r="AO1091" s="6" t="n">
        <v>1.33928976087753</v>
      </c>
      <c r="AP1091" s="6" t="n">
        <v>0.129322007923294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1.3350536152594</v>
      </c>
      <c r="AO1092" s="6" t="n">
        <v>1.33526315552133</v>
      </c>
      <c r="AP1092" s="6" t="n">
        <v>0.128987830552307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1.33522086016845</v>
      </c>
      <c r="AO1093" s="6" t="n">
        <v>1.335771251117</v>
      </c>
      <c r="AP1093" s="6" t="n">
        <v>0.129549505824497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1.3543212328634</v>
      </c>
      <c r="AO1094" s="6" t="n">
        <v>1.35463811296899</v>
      </c>
      <c r="AP1094" s="6" t="n">
        <v>0.133825289860926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1.34206856384306</v>
      </c>
      <c r="AO1095" s="6" t="n">
        <v>1.3422625798634</v>
      </c>
      <c r="AP1095" s="6" t="n">
        <v>0.131331673374717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1.35238762970556</v>
      </c>
      <c r="AO1096" s="6" t="n">
        <v>1.35238762970556</v>
      </c>
      <c r="AP1096" s="6" t="n">
        <v>0.135342019511949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1.30176529236891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1.30705249164139</v>
      </c>
      <c r="AO1098" s="6" t="n">
        <v>1.31379731464603</v>
      </c>
      <c r="AP1098" s="6" t="n">
        <v>0.131296655109656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1.33866409576477</v>
      </c>
      <c r="AO1099" s="6" t="n">
        <v>1.34189072608674</v>
      </c>
      <c r="AP1099" s="6" t="n">
        <v>0.130464603763448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1.35113637903398</v>
      </c>
      <c r="AO1100" s="6" t="n">
        <v>1.35113637903398</v>
      </c>
      <c r="AP1100" s="6" t="n">
        <v>0.134272085553094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1.32731308799348</v>
      </c>
      <c r="AO1101" s="6" t="n">
        <v>1.33315220991589</v>
      </c>
      <c r="AP1101" s="6" t="n">
        <v>0.12994520764553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1.34416526685841</v>
      </c>
      <c r="AO1102" s="6" t="n">
        <v>1.34431346454689</v>
      </c>
      <c r="AP1102" s="6" t="n">
        <v>0.130728103677151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1.34736911531175</v>
      </c>
      <c r="AO1103" s="6" t="n">
        <v>1.34736911531175</v>
      </c>
      <c r="AP1103" s="6" t="n">
        <v>0.132381382638169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1.33208892999998</v>
      </c>
      <c r="AO1104" s="6" t="n">
        <v>1.33270608444958</v>
      </c>
      <c r="AP1104" s="6" t="n">
        <v>0.128894626664902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1.3109792051818</v>
      </c>
      <c r="AO1105" s="6" t="n">
        <v>1.32029741371648</v>
      </c>
      <c r="AP1105" s="6" t="n">
        <v>0.128111748578778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1.34951107701007</v>
      </c>
      <c r="AO1106" s="6" t="n">
        <v>1.3504397844328</v>
      </c>
      <c r="AP1106" s="6" t="n">
        <v>0.133469853436783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1.32874113336248</v>
      </c>
      <c r="AO1107" s="6" t="n">
        <v>1.32907769528853</v>
      </c>
      <c r="AP1107" s="6" t="n">
        <v>0.127452849003839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1.34112589550157</v>
      </c>
      <c r="AO1108" s="6" t="n">
        <v>1.34311929957066</v>
      </c>
      <c r="AP1108" s="6" t="n">
        <v>0.131138867180016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1.29968417357307</v>
      </c>
      <c r="AO1109" s="6" t="n">
        <v>1.31198766823544</v>
      </c>
      <c r="AP1109" s="6" t="n">
        <v>0.128048037603504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1.32668714491595</v>
      </c>
      <c r="AO1110" s="6" t="n">
        <v>1.3320187161236</v>
      </c>
      <c r="AP1110" s="6" t="n">
        <v>0.129532772891276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1.3472425003863</v>
      </c>
      <c r="AO1111" s="6" t="n">
        <v>1.34749350941284</v>
      </c>
      <c r="AP1111" s="6" t="n">
        <v>0.131764813849713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1.35323869326949</v>
      </c>
      <c r="AO1112" s="6" t="n">
        <v>1.35323869326949</v>
      </c>
      <c r="AP1112" s="6" t="n">
        <v>0.1341459504971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1.34749058818585</v>
      </c>
      <c r="AO1113" s="6" t="n">
        <v>1.35351640402679</v>
      </c>
      <c r="AP1113" s="6" t="n">
        <v>0.136899196407554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1.34743319775254</v>
      </c>
      <c r="AO1114" s="6" t="n">
        <v>1.34760614319345</v>
      </c>
      <c r="AP1114" s="6" t="n">
        <v>0.131140118581647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1.3193229122501</v>
      </c>
      <c r="AO1115" s="6" t="n">
        <v>1.32559231859907</v>
      </c>
      <c r="AP1115" s="6" t="n">
        <v>0.129081942953284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1.32913340169971</v>
      </c>
      <c r="AO1116" s="6" t="n">
        <v>1.33360171083994</v>
      </c>
      <c r="AP1116" s="6" t="n">
        <v>0.129539120275002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1.35102537469207</v>
      </c>
      <c r="AO1117" s="6" t="n">
        <v>1.35102537469207</v>
      </c>
      <c r="AP1117" s="6" t="n">
        <v>0.133127022076505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1.3346764286093</v>
      </c>
      <c r="AO1118" s="6" t="n">
        <v>1.33721132197934</v>
      </c>
      <c r="AP1118" s="6" t="n">
        <v>0.129722828080258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1.3422964410162</v>
      </c>
      <c r="AO1119" s="6" t="n">
        <v>1.34237891352878</v>
      </c>
      <c r="AP1119" s="6" t="n">
        <v>0.130542231789564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1.36007845308536</v>
      </c>
      <c r="AO1120" s="6" t="n">
        <v>1.36232945976052</v>
      </c>
      <c r="AP1120" s="6" t="n">
        <v>0.139377084110517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1.29765081914878</v>
      </c>
      <c r="AO1121" s="6" t="n">
        <v>1.31403330212531</v>
      </c>
      <c r="AP1121" s="6" t="n">
        <v>0.131108372820205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1.34670535684717</v>
      </c>
      <c r="AO1122" s="6" t="n">
        <v>1.35123877747949</v>
      </c>
      <c r="AP1122" s="6" t="n">
        <v>0.133677619086526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1.35387500405548</v>
      </c>
      <c r="AO1123" s="6" t="n">
        <v>1.35419211777174</v>
      </c>
      <c r="AP1123" s="6" t="n">
        <v>0.132163348051244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1.34205735116433</v>
      </c>
      <c r="AO1124" s="6" t="n">
        <v>1.34217420054886</v>
      </c>
      <c r="AP1124" s="6" t="n">
        <v>0.130898309533375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1.33805469198309</v>
      </c>
      <c r="AO1125" s="6" t="n">
        <v>1.34278633056479</v>
      </c>
      <c r="AP1125" s="6" t="n">
        <v>0.132360351617546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1.35490426739952</v>
      </c>
      <c r="AO1126" s="6" t="n">
        <v>1.35490426739952</v>
      </c>
      <c r="AP1126" s="6" t="n">
        <v>0.133483528219766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1.32473141976898</v>
      </c>
      <c r="AO1127" s="6" t="n">
        <v>1.33037127080937</v>
      </c>
      <c r="AP1127" s="6" t="n">
        <v>0.129197554674455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1.33607307713421</v>
      </c>
      <c r="AO1128" s="6" t="n">
        <v>1.33845084924645</v>
      </c>
      <c r="AP1128" s="6" t="n">
        <v>0.129942573266813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1.34112917909705</v>
      </c>
      <c r="AO1129" s="6" t="n">
        <v>1.3441465207671</v>
      </c>
      <c r="AP1129" s="6" t="n">
        <v>0.131424471549462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1.347712867486</v>
      </c>
      <c r="AO1130" s="6" t="n">
        <v>1.34836847635102</v>
      </c>
      <c r="AP1130" s="6" t="n">
        <v>0.131308316693754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1.32796246270609</v>
      </c>
      <c r="AO1131" s="6" t="n">
        <v>1.32810483876335</v>
      </c>
      <c r="AP1131" s="6" t="n">
        <v>0.127963533693952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1.35791747282321</v>
      </c>
      <c r="AO1132" s="6" t="n">
        <v>1.35791747282321</v>
      </c>
      <c r="AP1132" s="6" t="n">
        <v>0.13579083785015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1.33500023324053</v>
      </c>
      <c r="AO1133" s="6" t="n">
        <v>1.33505058045678</v>
      </c>
      <c r="AP1133" s="6" t="n">
        <v>0.129571768892815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1.34907895562688</v>
      </c>
      <c r="AO1134" s="6" t="n">
        <v>1.34979024314697</v>
      </c>
      <c r="AP1134" s="6" t="n">
        <v>0.13149461160353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1.31704627994914</v>
      </c>
      <c r="AO1135" s="6" t="n">
        <v>1.32558121675195</v>
      </c>
      <c r="AP1135" s="6" t="n">
        <v>0.131861906223003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1.30543600359504</v>
      </c>
      <c r="AO1136" s="6" t="n">
        <v>1.30973627635601</v>
      </c>
      <c r="AP1136" s="6" t="n">
        <v>0.128974741859586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1.30898373251246</v>
      </c>
      <c r="AO1137" s="6" t="n">
        <v>1.3229812873059</v>
      </c>
      <c r="AP1137" s="6" t="n">
        <v>0.126883216044687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1.34722839606069</v>
      </c>
      <c r="AO1138" s="6" t="n">
        <v>1.34722839606069</v>
      </c>
      <c r="AP1138" s="6" t="n">
        <v>0.133082967304385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1.34102615280036</v>
      </c>
      <c r="AO1139" s="6" t="n">
        <v>1.3505792220376</v>
      </c>
      <c r="AP1139" s="6" t="n">
        <v>0.137272513098947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1.34441816515209</v>
      </c>
      <c r="AO1140" s="6" t="n">
        <v>1.34457660219502</v>
      </c>
      <c r="AP1140" s="6" t="n">
        <v>0.130976545742466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1.33983721931053</v>
      </c>
      <c r="AO1141" s="6" t="n">
        <v>1.3400013812234</v>
      </c>
      <c r="AP1141" s="6" t="n">
        <v>0.13024896748965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1.34120160557967</v>
      </c>
      <c r="AO1142" s="6" t="n">
        <v>1.34194366925795</v>
      </c>
      <c r="AP1142" s="6" t="n">
        <v>0.129938005279453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1.327464945564</v>
      </c>
      <c r="AO1143" s="6" t="n">
        <v>1.32746733378811</v>
      </c>
      <c r="AP1143" s="6" t="n">
        <v>0.128490174919338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1.35025050132309</v>
      </c>
      <c r="AO1144" s="6" t="n">
        <v>1.35045492134795</v>
      </c>
      <c r="AP1144" s="6" t="n">
        <v>0.132047339618447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1.33312206129916</v>
      </c>
      <c r="AO1145" s="6" t="n">
        <v>1.33692008082906</v>
      </c>
      <c r="AP1145" s="6" t="n">
        <v>0.130069089265106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1.32782534847686</v>
      </c>
      <c r="AO1146" s="6" t="n">
        <v>1.32937118364787</v>
      </c>
      <c r="AP1146" s="6" t="n">
        <v>0.12771735030217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1.28027466683509</v>
      </c>
      <c r="AO1147" s="6" t="n">
        <v>1.29410809356345</v>
      </c>
      <c r="AP1147" s="6" t="n">
        <v>0.131720156812955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1.35191329924387</v>
      </c>
      <c r="AO1148" s="6" t="n">
        <v>1.35191329924387</v>
      </c>
      <c r="AP1148" s="6" t="n">
        <v>0.132405805072507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1.32111436104542</v>
      </c>
      <c r="AO1149" s="6" t="n">
        <v>1.33107306751297</v>
      </c>
      <c r="AP1149" s="6" t="n">
        <v>0.130939488287467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1.34836206791546</v>
      </c>
      <c r="AO1150" s="6" t="n">
        <v>1.34854637450147</v>
      </c>
      <c r="AP1150" s="6" t="n">
        <v>0.132893943290422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1.30065055720263</v>
      </c>
      <c r="AO1151" s="6" t="n">
        <v>1.31147757864573</v>
      </c>
      <c r="AP1151" s="6" t="n">
        <v>0.132195817258658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1.30199558007524</v>
      </c>
      <c r="AO1152" s="6" t="n">
        <v>1.31280880079461</v>
      </c>
      <c r="AP1152" s="6" t="n">
        <v>0.128287034612899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1.33954249798962</v>
      </c>
      <c r="AO1153" s="6" t="n">
        <v>1.34607190473477</v>
      </c>
      <c r="AP1153" s="6" t="n">
        <v>0.133253417019934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1.33910585497948</v>
      </c>
      <c r="AO1154" s="6" t="n">
        <v>1.3391441309076</v>
      </c>
      <c r="AP1154" s="6" t="n">
        <v>0.129654357895057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1.34132941937004</v>
      </c>
      <c r="AO1155" s="6" t="n">
        <v>1.34414813208825</v>
      </c>
      <c r="AP1155" s="6" t="n">
        <v>0.131143469709469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1.34225040890201</v>
      </c>
      <c r="AO1156" s="6" t="n">
        <v>1.34265611907758</v>
      </c>
      <c r="AP1156" s="6" t="n">
        <v>0.130961356318368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1.33019972914779</v>
      </c>
      <c r="AO1157" s="6" t="n">
        <v>1.3435367793139</v>
      </c>
      <c r="AP1157" s="6" t="n">
        <v>0.14137926144018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1.34432176974692</v>
      </c>
      <c r="AO1158" s="6" t="n">
        <v>1.3444242467259</v>
      </c>
      <c r="AP1158" s="6" t="n">
        <v>0.130559778689736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1.35559463387146</v>
      </c>
      <c r="AO1159" s="6" t="n">
        <v>1.35559463387146</v>
      </c>
      <c r="AP1159" s="6" t="n">
        <v>0.13396953396586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1.32436263373189</v>
      </c>
      <c r="AO1160" s="6" t="n">
        <v>1.32436263373189</v>
      </c>
      <c r="AP1160" s="6" t="n">
        <v>0.131914852155128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1.34074205587814</v>
      </c>
      <c r="AO1161" s="6" t="n">
        <v>1.34074544257417</v>
      </c>
      <c r="AP1161" s="6" t="n">
        <v>0.130662981947413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1.33389943307377</v>
      </c>
      <c r="AO1162" s="6" t="n">
        <v>1.33498798502276</v>
      </c>
      <c r="AP1162" s="6" t="n">
        <v>0.128216554075165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1.357622028439</v>
      </c>
      <c r="AO1163" s="6" t="n">
        <v>1.36230938237981</v>
      </c>
      <c r="AP1163" s="6" t="n">
        <v>0.138623032012225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1.35375711855975</v>
      </c>
      <c r="AO1164" s="6" t="n">
        <v>1.35451141705601</v>
      </c>
      <c r="AP1164" s="6" t="n">
        <v>0.133219250380591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1.33766201983401</v>
      </c>
      <c r="AO1165" s="6" t="n">
        <v>1.33849558715155</v>
      </c>
      <c r="AP1165" s="6" t="n">
        <v>0.129157734217215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1.35817002502261</v>
      </c>
      <c r="AO1166" s="6" t="n">
        <v>1.35874771340991</v>
      </c>
      <c r="AP1166" s="6" t="n">
        <v>0.134830527390004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1.33805771582312</v>
      </c>
      <c r="AO1167" s="6" t="n">
        <v>1.3384480777855</v>
      </c>
      <c r="AP1167" s="6" t="n">
        <v>0.129356167340975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1.35523910172364</v>
      </c>
      <c r="AO1168" s="6" t="n">
        <v>1.35523910172364</v>
      </c>
      <c r="AP1168" s="6" t="n">
        <v>0.136263767032301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1.34085495665715</v>
      </c>
      <c r="AO1169" s="6" t="n">
        <v>1.34372337613113</v>
      </c>
      <c r="AP1169" s="6" t="n">
        <v>0.131050926254399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1.349158470229</v>
      </c>
      <c r="AO1170" s="6" t="n">
        <v>1.34975549081626</v>
      </c>
      <c r="AP1170" s="6" t="n">
        <v>0.133081688317138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1.33971522293668</v>
      </c>
      <c r="AO1171" s="6" t="n">
        <v>1.33971522293668</v>
      </c>
      <c r="AP1171" s="6" t="n">
        <v>0.130896601092902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1.34147465631485</v>
      </c>
      <c r="AO1172" s="6" t="n">
        <v>1.34454092949738</v>
      </c>
      <c r="AP1172" s="6" t="n">
        <v>0.131669607155719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1.34941387516381</v>
      </c>
      <c r="AO1173" s="6" t="n">
        <v>1.35116496572299</v>
      </c>
      <c r="AP1173" s="6" t="n">
        <v>0.134074562389691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1.32716996419521</v>
      </c>
      <c r="AO1174" s="6" t="n">
        <v>1.33262958400251</v>
      </c>
      <c r="AP1174" s="6" t="n">
        <v>0.129510204541276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1.34413432229897</v>
      </c>
      <c r="AO1175" s="6" t="n">
        <v>1.34472322992104</v>
      </c>
      <c r="AP1175" s="6" t="n">
        <v>0.13063656422472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1.32232454306182</v>
      </c>
      <c r="AO1176" s="6" t="n">
        <v>1.32716872724351</v>
      </c>
      <c r="AP1176" s="6" t="n">
        <v>0.133944500255363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1.34771670624713</v>
      </c>
      <c r="AO1177" s="6" t="n">
        <v>1.34771670624713</v>
      </c>
      <c r="AP1177" s="6" t="n">
        <v>0.137216793180408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1.34386869082956</v>
      </c>
      <c r="AO1178" s="6" t="n">
        <v>1.34678057894498</v>
      </c>
      <c r="AP1178" s="6" t="n">
        <v>0.132315022657538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1.31669458514014</v>
      </c>
      <c r="AO1179" s="6" t="n">
        <v>1.32578358132967</v>
      </c>
      <c r="AP1179" s="6" t="n">
        <v>0.130530062330062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1.34705389821998</v>
      </c>
      <c r="AO1180" s="6" t="n">
        <v>1.34760741005062</v>
      </c>
      <c r="AP1180" s="6" t="n">
        <v>0.131831496830877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1.33272151717258</v>
      </c>
      <c r="AO1181" s="6" t="n">
        <v>1.3340634863062</v>
      </c>
      <c r="AP1181" s="6" t="n">
        <v>0.128867727419948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1.33363739633588</v>
      </c>
      <c r="AO1182" s="6" t="n">
        <v>1.33805058001161</v>
      </c>
      <c r="AP1182" s="6" t="n">
        <v>0.13052511082149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1.34895161503152</v>
      </c>
      <c r="AO1183" s="6" t="n">
        <v>1.34922013511757</v>
      </c>
      <c r="AP1183" s="6" t="n">
        <v>0.132563098142663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1.33882447084559</v>
      </c>
      <c r="AO1184" s="6" t="n">
        <v>1.33976008008203</v>
      </c>
      <c r="AP1184" s="6" t="n">
        <v>0.130305449002642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1.33227400985343</v>
      </c>
      <c r="AO1185" s="6" t="n">
        <v>1.33228490400146</v>
      </c>
      <c r="AP1185" s="6" t="n">
        <v>0.128703564947122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1.34798616728016</v>
      </c>
      <c r="AO1186" s="6" t="n">
        <v>1.34924156048029</v>
      </c>
      <c r="AP1186" s="6" t="n">
        <v>0.133485377385792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1.31979632902118</v>
      </c>
      <c r="AO1187" s="6" t="n">
        <v>1.32790155068758</v>
      </c>
      <c r="AP1187" s="6" t="n">
        <v>0.129592824618855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1.33279025891223</v>
      </c>
      <c r="AO1188" s="6" t="n">
        <v>1.33344967598351</v>
      </c>
      <c r="AP1188" s="6" t="n">
        <v>0.129055857169436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1.35259106660975</v>
      </c>
      <c r="AO1190" s="6" t="n">
        <v>1.35338037418553</v>
      </c>
      <c r="AP1190" s="6" t="n">
        <v>0.135043757677914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1.3336876174983</v>
      </c>
      <c r="AO1191" s="6" t="n">
        <v>1.34086382555815</v>
      </c>
      <c r="AP1191" s="6" t="n">
        <v>0.135528470635961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1.34320797027999</v>
      </c>
      <c r="AO1192" s="6" t="n">
        <v>1.34335942592875</v>
      </c>
      <c r="AP1192" s="6" t="n">
        <v>0.130623964991494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1.35793226174725</v>
      </c>
      <c r="AO1193" s="6" t="n">
        <v>1.35793226174725</v>
      </c>
      <c r="AP1193" s="6" t="n">
        <v>0.137339651870287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1.34227302215937</v>
      </c>
      <c r="AO1194" s="6" t="n">
        <v>1.34310003302687</v>
      </c>
      <c r="AP1194" s="6" t="n">
        <v>0.130764621188187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1.34365353275617</v>
      </c>
      <c r="AO1195" s="6" t="n">
        <v>1.34366427860197</v>
      </c>
      <c r="AP1195" s="6" t="n">
        <v>0.13076125055779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1.34669877702298</v>
      </c>
      <c r="AO1196" s="6" t="n">
        <v>1.34670963917198</v>
      </c>
      <c r="AP1196" s="6" t="n">
        <v>0.131055166057396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1.29963034943609</v>
      </c>
      <c r="AO1197" s="6" t="n">
        <v>1.3021300188452</v>
      </c>
      <c r="AP1197" s="6" t="n">
        <v>0.128635232021813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1.34834757223258</v>
      </c>
      <c r="AO1198" s="6" t="n">
        <v>1.349106303663</v>
      </c>
      <c r="AP1198" s="6" t="n">
        <v>0.133747855507304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1.35799705613858</v>
      </c>
      <c r="AO1199" s="6" t="n">
        <v>1.35799705613858</v>
      </c>
      <c r="AP1199" s="6" t="n">
        <v>0.137864887898029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1.33903299376232</v>
      </c>
      <c r="AO1200" s="6" t="n">
        <v>1.34026208838275</v>
      </c>
      <c r="AP1200" s="6" t="n">
        <v>0.129809048063335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1.35066722771352</v>
      </c>
      <c r="AO1201" s="6" t="n">
        <v>1.35066722771352</v>
      </c>
      <c r="AP1201" s="6" t="n">
        <v>0.136098014837425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1.32209814035579</v>
      </c>
      <c r="AO1202" s="6" t="n">
        <v>1.3304050851206</v>
      </c>
      <c r="AP1202" s="6" t="n">
        <v>0.130387562467807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1.34103977417342</v>
      </c>
      <c r="AO1203" s="6" t="n">
        <v>1.34209553731337</v>
      </c>
      <c r="AP1203" s="6" t="n">
        <v>0.129834017742098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1.35350633997449</v>
      </c>
      <c r="AO1204" s="6" t="n">
        <v>1.35434788637175</v>
      </c>
      <c r="AP1204" s="6" t="n">
        <v>0.135812995484949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1.35686985407157</v>
      </c>
      <c r="AO1205" s="6" t="n">
        <v>1.35686985407157</v>
      </c>
      <c r="AP1205" s="6" t="n">
        <v>0.135643222902013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1.35558236942226</v>
      </c>
      <c r="AO1206" s="6" t="n">
        <v>1.35558236942226</v>
      </c>
      <c r="AP1206" s="6" t="n">
        <v>0.13603141835975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1.35185548738839</v>
      </c>
      <c r="AO1207" s="6" t="n">
        <v>1.35185548738839</v>
      </c>
      <c r="AP1207" s="6" t="n">
        <v>0.133204226370226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1.32144367356101</v>
      </c>
      <c r="AO1208" s="6" t="n">
        <v>1.32848251037944</v>
      </c>
      <c r="AP1208" s="6" t="n">
        <v>0.12940222078497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1.34169682343812</v>
      </c>
      <c r="AO1209" s="6" t="n">
        <v>1.34470236528347</v>
      </c>
      <c r="AP1209" s="6" t="n">
        <v>0.130973932458026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1.33223602172551</v>
      </c>
      <c r="AO1210" s="6" t="n">
        <v>1.33258282404939</v>
      </c>
      <c r="AP1210" s="6" t="n">
        <v>0.127569585009581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1.33492035884764</v>
      </c>
      <c r="AO1211" s="6" t="n">
        <v>1.34316972793517</v>
      </c>
      <c r="AP1211" s="6" t="n">
        <v>0.133273797536701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1.3382743124099</v>
      </c>
      <c r="AO1212" s="6" t="n">
        <v>1.34005255171852</v>
      </c>
      <c r="AP1212" s="6" t="n">
        <v>0.130723807730631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1.33778871795528</v>
      </c>
      <c r="AO1213" s="6" t="n">
        <v>1.33780483324039</v>
      </c>
      <c r="AP1213" s="6" t="n">
        <v>0.129534555666574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1.34693563928197</v>
      </c>
      <c r="AO1214" s="6" t="n">
        <v>1.34748385781398</v>
      </c>
      <c r="AP1214" s="6" t="n">
        <v>0.132238480145349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1.34362750417938</v>
      </c>
      <c r="AO1215" s="6" t="n">
        <v>1.34426745178465</v>
      </c>
      <c r="AP1215" s="6" t="n">
        <v>0.13065360331957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1.32846567109828</v>
      </c>
      <c r="AO1216" s="6" t="n">
        <v>1.33406656602013</v>
      </c>
      <c r="AP1216" s="6" t="n">
        <v>0.130463252450604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1.32864191379379</v>
      </c>
      <c r="AO1217" s="6" t="n">
        <v>1.33618474809212</v>
      </c>
      <c r="AP1217" s="6" t="n">
        <v>0.13162085371282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1.31871222655104</v>
      </c>
      <c r="AO1218" s="6" t="n">
        <v>1.32610247706388</v>
      </c>
      <c r="AP1218" s="6" t="n">
        <v>0.129439107835728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1.33536716648308</v>
      </c>
      <c r="AO1219" s="6" t="n">
        <v>1.33904433470595</v>
      </c>
      <c r="AP1219" s="6" t="n">
        <v>0.130112189763064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1.35801604912841</v>
      </c>
      <c r="AO1220" s="6" t="n">
        <v>1.35801604912841</v>
      </c>
      <c r="AP1220" s="6" t="n">
        <v>0.137402760702499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1.35643641877699</v>
      </c>
      <c r="AO1221" s="6" t="n">
        <v>1.35643641877699</v>
      </c>
      <c r="AP1221" s="6" t="n">
        <v>0.136700066133764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1.33854854893368</v>
      </c>
      <c r="AO1222" s="6" t="n">
        <v>1.35084117596061</v>
      </c>
      <c r="AP1222" s="6" t="n">
        <v>0.138142934497695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1.35140522368539</v>
      </c>
      <c r="AO1223" s="6" t="n">
        <v>1.35140522368539</v>
      </c>
      <c r="AP1223" s="6" t="n">
        <v>0.133012516876605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1.30377553210366</v>
      </c>
      <c r="AO1224" s="6" t="n">
        <v>1.31559788221021</v>
      </c>
      <c r="AP1224" s="6" t="n">
        <v>0.128161316109362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1.35095218650029</v>
      </c>
      <c r="AO1225" s="6" t="n">
        <v>1.35095218650029</v>
      </c>
      <c r="AP1225" s="6" t="n">
        <v>0.134624812465983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1.34349410594385</v>
      </c>
      <c r="AO1226" s="6" t="n">
        <v>1.34353240960236</v>
      </c>
      <c r="AP1226" s="6" t="n">
        <v>0.131215044756739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1.34549637225228</v>
      </c>
      <c r="AO1227" s="6" t="n">
        <v>1.34562774519418</v>
      </c>
      <c r="AP1227" s="6" t="n">
        <v>0.131064993754771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1.31783853148841</v>
      </c>
      <c r="AO1228" s="6" t="n">
        <v>1.33452700095936</v>
      </c>
      <c r="AP1228" s="6" t="n">
        <v>0.128305183451078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1.35352020971828</v>
      </c>
      <c r="AO1229" s="6" t="n">
        <v>1.35352020971828</v>
      </c>
      <c r="AP1229" s="6" t="n">
        <v>0.135675330764531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1.3517046489965</v>
      </c>
      <c r="AO1230" s="6" t="n">
        <v>1.3517046489965</v>
      </c>
      <c r="AP1230" s="6" t="n">
        <v>0.134966835909729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1.34387833608793</v>
      </c>
      <c r="AO1231" s="6" t="n">
        <v>1.34513278547239</v>
      </c>
      <c r="AP1231" s="6" t="n">
        <v>0.129979586665672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1.34111143253057</v>
      </c>
      <c r="AO1232" s="6" t="n">
        <v>1.34202633437385</v>
      </c>
      <c r="AP1232" s="6" t="n">
        <v>0.130628228365899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1.29967260915561</v>
      </c>
      <c r="AO1233" s="6" t="n">
        <v>1.3154444673419</v>
      </c>
      <c r="AP1233" s="6" t="n">
        <v>0.130502395576062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1.35135410920724</v>
      </c>
      <c r="AO1234" s="6" t="n">
        <v>1.35194020564798</v>
      </c>
      <c r="AP1234" s="6" t="n">
        <v>0.13236183081246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1.34482679847752</v>
      </c>
      <c r="AO1235" s="6" t="n">
        <v>1.34482679847752</v>
      </c>
      <c r="AP1235" s="6" t="n">
        <v>0.133135961848303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1.31759207430044</v>
      </c>
      <c r="AO1236" s="6" t="n">
        <v>1.31759207430044</v>
      </c>
      <c r="AP1236" s="6" t="n">
        <v>0.131276755311134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1.31375202529887</v>
      </c>
      <c r="AO1237" s="6" t="n">
        <v>1.32651291957183</v>
      </c>
      <c r="AP1237" s="6" t="n">
        <v>0.131002548820207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1.32416031561882</v>
      </c>
      <c r="AO1238" s="6" t="n">
        <v>1.32490851057508</v>
      </c>
      <c r="AP1238" s="6" t="n">
        <v>0.127174510745031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1.31630568007781</v>
      </c>
      <c r="AO1239" s="6" t="n">
        <v>1.32580715689361</v>
      </c>
      <c r="AP1239" s="6" t="n">
        <v>0.130241535336769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1.32677810936508</v>
      </c>
      <c r="AO1240" s="6" t="n">
        <v>1.32767733409497</v>
      </c>
      <c r="AP1240" s="6" t="n">
        <v>0.12884449803852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1.35063406551182</v>
      </c>
      <c r="AO1241" s="6" t="n">
        <v>1.35173628080533</v>
      </c>
      <c r="AP1241" s="6" t="n">
        <v>0.132981945831756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1.34384373325803</v>
      </c>
      <c r="AO1242" s="6" t="n">
        <v>1.35007619257218</v>
      </c>
      <c r="AP1242" s="6" t="n">
        <v>0.137008029804968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1.31222712184837</v>
      </c>
      <c r="AO1243" s="6" t="n">
        <v>1.31891648950803</v>
      </c>
      <c r="AP1243" s="6" t="n">
        <v>0.129617782935481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1.33695121384537</v>
      </c>
      <c r="AO1244" s="6" t="n">
        <v>1.34028310684385</v>
      </c>
      <c r="AP1244" s="6" t="n">
        <v>0.130595327512871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1.32513297164202</v>
      </c>
      <c r="AO1245" s="6" t="n">
        <v>1.32513297164202</v>
      </c>
      <c r="AP1245" s="6" t="n">
        <v>0.128368060611442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1.34743092490273</v>
      </c>
      <c r="AO1246" s="6" t="n">
        <v>1.34885867955918</v>
      </c>
      <c r="AP1246" s="6" t="n">
        <v>0.131757369483954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1.33943488754864</v>
      </c>
      <c r="AO1247" s="6" t="n">
        <v>1.34013888988849</v>
      </c>
      <c r="AP1247" s="6" t="n">
        <v>0.130292431296147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1.36404628596277</v>
      </c>
      <c r="AO1248" s="6" t="n">
        <v>1.36404628596277</v>
      </c>
      <c r="AP1248" s="6" t="n">
        <v>0.14080597306201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1.34090831954203</v>
      </c>
      <c r="AO1249" s="6" t="n">
        <v>1.34149987750068</v>
      </c>
      <c r="AP1249" s="6" t="n">
        <v>0.130854994179709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1.33950764667033</v>
      </c>
      <c r="AO1250" s="6" t="n">
        <v>1.34016738841534</v>
      </c>
      <c r="AP1250" s="6" t="n">
        <v>0.12997840342168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1.33779960002441</v>
      </c>
      <c r="AO1251" s="6" t="n">
        <v>1.3438692613444</v>
      </c>
      <c r="AP1251" s="6" t="n">
        <v>0.132504759583079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1.30557829679063</v>
      </c>
      <c r="AO1252" s="6" t="n">
        <v>1.32117196972411</v>
      </c>
      <c r="AP1252" s="6" t="n">
        <v>0.133940969756671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1.33718101366453</v>
      </c>
      <c r="AO1253" s="6" t="n">
        <v>1.33851091258675</v>
      </c>
      <c r="AP1253" s="6" t="n">
        <v>0.129621973398283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1.35238828015364</v>
      </c>
      <c r="AO1254" s="6" t="n">
        <v>1.35259260089718</v>
      </c>
      <c r="AP1254" s="6" t="n">
        <v>0.133000789043358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1.34922116214814</v>
      </c>
      <c r="AO1255" s="6" t="n">
        <v>1.35282012587102</v>
      </c>
      <c r="AP1255" s="6" t="n">
        <v>0.133991326615294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1.29990726231279</v>
      </c>
      <c r="AO1256" s="6" t="n">
        <v>1.3135119704015</v>
      </c>
      <c r="AP1256" s="6" t="n">
        <v>0.129921648326744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1.35951307384997</v>
      </c>
      <c r="AO1257" s="6" t="n">
        <v>1.36013380390759</v>
      </c>
      <c r="AP1257" s="6" t="n">
        <v>0.134578137023966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1.33833635649613</v>
      </c>
      <c r="AO1258" s="6" t="n">
        <v>1.33868491749195</v>
      </c>
      <c r="AP1258" s="6" t="n">
        <v>0.129911668639748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1.32987316731508</v>
      </c>
      <c r="AO1259" s="6" t="n">
        <v>1.32987694094776</v>
      </c>
      <c r="AP1259" s="6" t="n">
        <v>0.128567954056555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1.30854806443828</v>
      </c>
      <c r="AO1260" s="6" t="n">
        <v>1.32042331205442</v>
      </c>
      <c r="AP1260" s="6" t="n">
        <v>0.12959489649432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1.33135898061458</v>
      </c>
      <c r="AO1261" s="6" t="n">
        <v>1.33196937321422</v>
      </c>
      <c r="AP1261" s="6" t="n">
        <v>0.12823103278808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1.3518047741003</v>
      </c>
      <c r="AO1262" s="6" t="n">
        <v>1.3518047741003</v>
      </c>
      <c r="AP1262" s="6" t="n">
        <v>0.134357257151375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1.31646773368686</v>
      </c>
      <c r="AO1263" s="6" t="n">
        <v>1.31696352808049</v>
      </c>
      <c r="AP1263" s="6" t="n">
        <v>0.126190837253608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1.36160230858584</v>
      </c>
      <c r="AO1264" s="6" t="n">
        <v>1.36174169675547</v>
      </c>
      <c r="AP1264" s="6" t="n">
        <v>0.137121733404141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1.34073604658733</v>
      </c>
      <c r="AO1265" s="6" t="n">
        <v>1.34379089944866</v>
      </c>
      <c r="AP1265" s="6" t="n">
        <v>0.130992617714037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1.30347786725819</v>
      </c>
      <c r="AO1266" s="6" t="n">
        <v>1.311124400118</v>
      </c>
      <c r="AP1266" s="6" t="n">
        <v>0.130208352186327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1.3542730688518</v>
      </c>
      <c r="AO1267" s="6" t="n">
        <v>1.3542730688518</v>
      </c>
      <c r="AP1267" s="6" t="n">
        <v>0.133607655241521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1.28854663569838</v>
      </c>
      <c r="AO1268" s="6" t="n">
        <v>1.29849520149477</v>
      </c>
      <c r="AP1268" s="6" t="n">
        <v>0.125794367023955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1.34122397914731</v>
      </c>
      <c r="AO1269" s="6" t="n">
        <v>1.3412311183991</v>
      </c>
      <c r="AP1269" s="6" t="n">
        <v>0.130219288975915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1.35519579338578</v>
      </c>
      <c r="AO1270" s="6" t="n">
        <v>1.35519579338578</v>
      </c>
      <c r="AP1270" s="6" t="n">
        <v>0.136244844829778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1.33130645443002</v>
      </c>
      <c r="AO1271" s="6" t="n">
        <v>1.33160477229473</v>
      </c>
      <c r="AP1271" s="6" t="n">
        <v>0.128308484956182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1.30877575062605</v>
      </c>
      <c r="AO1272" s="6" t="n">
        <v>1.31261753021514</v>
      </c>
      <c r="AP1272" s="6" t="n">
        <v>0.133400843190632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1.32353655482836</v>
      </c>
      <c r="AO1273" s="6" t="n">
        <v>1.32971720753283</v>
      </c>
      <c r="AP1273" s="6" t="n">
        <v>0.129581474590396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1.34519278191381</v>
      </c>
      <c r="AO1274" s="6" t="n">
        <v>1.34725373351862</v>
      </c>
      <c r="AP1274" s="6" t="n">
        <v>0.13157741071311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1.34245060187452</v>
      </c>
      <c r="AO1275" s="6" t="n">
        <v>1.34414831858266</v>
      </c>
      <c r="AP1275" s="6" t="n">
        <v>0.131114607377676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1.34309481336065</v>
      </c>
      <c r="AO1276" s="6" t="n">
        <v>1.34315810903048</v>
      </c>
      <c r="AP1276" s="6" t="n">
        <v>0.13008144849445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1.34021889043167</v>
      </c>
      <c r="AO1277" s="6" t="n">
        <v>1.34082714705183</v>
      </c>
      <c r="AP1277" s="6" t="n">
        <v>0.130295829813637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1.3297019612725</v>
      </c>
      <c r="AO1278" s="6" t="n">
        <v>1.33021002023271</v>
      </c>
      <c r="AP1278" s="6" t="n">
        <v>0.128438522295583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1.32726035192007</v>
      </c>
      <c r="AO1279" s="6" t="n">
        <v>1.33096556219933</v>
      </c>
      <c r="AP1279" s="6" t="n">
        <v>0.128469224417484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1.30946979356137</v>
      </c>
      <c r="AO1280" s="6" t="n">
        <v>1.32205116824875</v>
      </c>
      <c r="AP1280" s="6" t="n">
        <v>0.13046131559679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1.33520184450028</v>
      </c>
      <c r="AO1281" s="6" t="n">
        <v>1.33525312265301</v>
      </c>
      <c r="AP1281" s="6" t="n">
        <v>0.129396605838593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1.31100580092691</v>
      </c>
      <c r="AO1282" s="6" t="n">
        <v>1.32130918421125</v>
      </c>
      <c r="AP1282" s="6" t="n">
        <v>0.128141230444547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1.30591967173021</v>
      </c>
      <c r="AO1283" s="6" t="n">
        <v>1.31528102400873</v>
      </c>
      <c r="AP1283" s="6" t="n">
        <v>0.130226700472118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1.33145840192166</v>
      </c>
      <c r="AO1284" s="6" t="n">
        <v>1.33191843659833</v>
      </c>
      <c r="AP1284" s="6" t="n">
        <v>0.128172720490288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1.32882100848933</v>
      </c>
      <c r="AO1285" s="6" t="n">
        <v>1.3338076413022</v>
      </c>
      <c r="AP1285" s="6" t="n">
        <v>0.129321002635058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1.35787456048426</v>
      </c>
      <c r="AO1286" s="6" t="n">
        <v>1.35787456048426</v>
      </c>
      <c r="AP1286" s="6" t="n">
        <v>0.137045662542454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1.35430717341361</v>
      </c>
      <c r="AO1287" s="6" t="n">
        <v>1.35430717341361</v>
      </c>
      <c r="AP1287" s="6" t="n">
        <v>0.133440584054355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1.33145552307287</v>
      </c>
      <c r="AO1288" s="6" t="n">
        <v>1.3319550329128</v>
      </c>
      <c r="AP1288" s="6" t="n">
        <v>0.128892163215154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1.3497812858277</v>
      </c>
      <c r="AO1289" s="6" t="n">
        <v>1.35076870490474</v>
      </c>
      <c r="AP1289" s="6" t="n">
        <v>0.132176910540827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1.35887751838087</v>
      </c>
      <c r="AO1290" s="6" t="n">
        <v>1.35921392979237</v>
      </c>
      <c r="AP1290" s="6" t="n">
        <v>0.137543155380461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1.34056880416025</v>
      </c>
      <c r="AO1291" s="6" t="n">
        <v>1.34276147641608</v>
      </c>
      <c r="AP1291" s="6" t="n">
        <v>0.130494144063183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1.31830356125038</v>
      </c>
      <c r="AO1292" s="6" t="n">
        <v>1.3199454777539</v>
      </c>
      <c r="AP1292" s="6" t="n">
        <v>0.126079665259127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1.34339038475796</v>
      </c>
      <c r="AO1293" s="6" t="n">
        <v>1.34505466654126</v>
      </c>
      <c r="AP1293" s="6" t="n">
        <v>0.131900511443076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1.3232582035195</v>
      </c>
      <c r="AO1294" s="6" t="n">
        <v>1.32494895970619</v>
      </c>
      <c r="AP1294" s="6" t="n">
        <v>0.126953198039097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1.35497798300566</v>
      </c>
      <c r="AO1295" s="6" t="n">
        <v>1.35501794647432</v>
      </c>
      <c r="AP1295" s="6" t="n">
        <v>0.135188924903648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1.3510576615649</v>
      </c>
      <c r="AO1296" s="6" t="n">
        <v>1.35115227939277</v>
      </c>
      <c r="AP1296" s="6" t="n">
        <v>0.132968152030109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1.34560705800583</v>
      </c>
      <c r="AO1297" s="6" t="n">
        <v>1.34560705800583</v>
      </c>
      <c r="AP1297" s="6" t="n">
        <v>0.132025920211831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1.33796930158748</v>
      </c>
      <c r="AO1298" s="6" t="n">
        <v>1.33803989144324</v>
      </c>
      <c r="AP1298" s="6" t="n">
        <v>0.129716022117862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1.34193761951351</v>
      </c>
      <c r="AO1299" s="6" t="n">
        <v>1.34233485916218</v>
      </c>
      <c r="AP1299" s="6" t="n">
        <v>0.132243510834632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1.32969334191563</v>
      </c>
      <c r="AO1300" s="6" t="n">
        <v>1.33524990823768</v>
      </c>
      <c r="AP1300" s="6" t="n">
        <v>0.132047024864174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1.33760187408096</v>
      </c>
      <c r="AO1301" s="6" t="n">
        <v>1.338818938045</v>
      </c>
      <c r="AP1301" s="6" t="n">
        <v>0.12938589378798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1.33561583144768</v>
      </c>
      <c r="AO1302" s="6" t="n">
        <v>1.33603148038138</v>
      </c>
      <c r="AP1302" s="6" t="n">
        <v>0.128904365999306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1.34242900015609</v>
      </c>
      <c r="AO1303" s="6" t="n">
        <v>1.34256552539063</v>
      </c>
      <c r="AP1303" s="6" t="n">
        <v>0.132034181398425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1.31845607115139</v>
      </c>
      <c r="AO1304" s="6" t="n">
        <v>1.31926765698306</v>
      </c>
      <c r="AP1304" s="6" t="n">
        <v>0.12642538138551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1.3466797202617</v>
      </c>
      <c r="AO1305" s="6" t="n">
        <v>1.34774639595065</v>
      </c>
      <c r="AP1305" s="6" t="n">
        <v>0.130733890879053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1.3494248308076</v>
      </c>
      <c r="AO1306" s="6" t="n">
        <v>1.3494248308076</v>
      </c>
      <c r="AP1306" s="6" t="n">
        <v>0.13384530111437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1.35082218855798</v>
      </c>
      <c r="AO1307" s="6" t="n">
        <v>1.35082218855798</v>
      </c>
      <c r="AP1307" s="6" t="n">
        <v>0.13340376847803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1.34815295707096</v>
      </c>
      <c r="AO1308" s="6" t="n">
        <v>1.34871906480337</v>
      </c>
      <c r="AP1308" s="6" t="n">
        <v>0.131785491341094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1.32628421719485</v>
      </c>
      <c r="AO1309" s="6" t="n">
        <v>1.32764100309261</v>
      </c>
      <c r="AP1309" s="6" t="n">
        <v>0.126960705861801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1.34491741918087</v>
      </c>
      <c r="AO1310" s="6" t="n">
        <v>1.34854215407037</v>
      </c>
      <c r="AP1310" s="6" t="n">
        <v>0.132924120723712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1.26610635080343</v>
      </c>
      <c r="AO1311" s="6" t="n">
        <v>1.26964022976925</v>
      </c>
      <c r="AP1311" s="6" t="n">
        <v>0.127234411553482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1.36241993936387</v>
      </c>
      <c r="AO1312" s="6" t="n">
        <v>1.36241993936387</v>
      </c>
      <c r="AP1312" s="6" t="n">
        <v>0.140316287881708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93.8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93.5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92.9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93.2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93.8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92.7333333333333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90.6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91.6666666666667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93.8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93.5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92.9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93.2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93.8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92.1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88.7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90.4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93.8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93.5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92.9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93.2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93.8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92.7333333333333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90.6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91.6666666666667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93.8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93.5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92.9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93.2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93.8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92.1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88.7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90.4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93.8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93.5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92.9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93.2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93.8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92.7333333333333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90.6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91.6666666666667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93.8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93.5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92.9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93.2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93.8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92.1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88.7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90.4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93.8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90.8</v>
      </c>
      <c r="P32" s="13" t="n">
        <f aca="false">IF(Time!P30&gt;0,P31+Inputs!$F$37,0)</f>
        <v>90.8</v>
      </c>
      <c r="Q32" s="13" t="n">
        <f aca="false">IF(Time!Q30&gt;0,Q31+Inputs!$F$37,0)</f>
        <v>90.5</v>
      </c>
      <c r="R32" s="13" t="n">
        <f aca="false">IF(Time!R30&gt;0,R31+Inputs!$F$37,0)</f>
        <v>89.9</v>
      </c>
      <c r="S32" s="13" t="n">
        <f aca="false">IF(Time!S30&gt;0,S31+Inputs!$F$37,0)</f>
        <v>90.2</v>
      </c>
      <c r="T32" s="13" t="n">
        <f aca="false">IF(Time!T30&gt;0,T31+Inputs!$F$37,0)</f>
        <v>90.8</v>
      </c>
      <c r="U32" s="13" t="n">
        <f aca="false">IF(Time!U30&gt;0,U31+Inputs!$F$37,0)</f>
        <v>89.7333333333333</v>
      </c>
      <c r="V32" s="13" t="n">
        <f aca="false">IF(Time!V30&gt;0,V31+Inputs!$F$37,0)</f>
        <v>87.6</v>
      </c>
      <c r="W32" s="13" t="n">
        <f aca="false">IF(Time!W30&gt;0,W31+Inputs!$F$37,0)</f>
        <v>88.6666666666667</v>
      </c>
      <c r="X32" s="13" t="n">
        <f aca="false">IF(Time!X30&gt;0,X31+Inputs!$F$37,0)</f>
        <v>90.8</v>
      </c>
      <c r="Y32" s="13" t="n">
        <f aca="false">IF(Time!Y30&gt;0,Y31+Inputs!$F$37,0)</f>
        <v>90.5</v>
      </c>
      <c r="Z32" s="13" t="n">
        <f aca="false">IF(Time!Z30&gt;0,Z31+Inputs!$F$37,0)</f>
        <v>89.9</v>
      </c>
      <c r="AA32" s="13" t="n">
        <f aca="false">IF(Time!AA30&gt;0,AA31+Inputs!$F$37,0)</f>
        <v>90.2</v>
      </c>
      <c r="AB32" s="13" t="n">
        <f aca="false">IF(Time!AB30&gt;0,AB31+Inputs!$F$37,0)</f>
        <v>90.8</v>
      </c>
      <c r="AC32" s="13" t="n">
        <f aca="false">IF(Time!AC30&gt;0,AC31+Inputs!$F$37,0)</f>
        <v>89.1</v>
      </c>
      <c r="AD32" s="13" t="n">
        <f aca="false">IF(Time!AD30&gt;0,AD31+Inputs!$F$37,0)</f>
        <v>85.7</v>
      </c>
      <c r="AE32" s="13" t="n">
        <f aca="false">IF(Time!AE30&gt;0,AE31+Inputs!$F$37,0)</f>
        <v>87.4</v>
      </c>
      <c r="AF32" s="13" t="n">
        <f aca="false">IF(Time!AF30&gt;0,AF31+Inputs!$F$37,0)</f>
        <v>90.8</v>
      </c>
      <c r="AG32" s="13" t="n">
        <f aca="false">IF(Time!AG30&gt;0,AG31+Inputs!$F$37,0)</f>
        <v>90.5</v>
      </c>
      <c r="AH32" s="13" t="n">
        <f aca="false">IF(Time!AH30&gt;0,AH31+Inputs!$F$37,0)</f>
        <v>89.9</v>
      </c>
      <c r="AI32" s="13" t="n">
        <f aca="false">IF(Time!AI30&gt;0,AI31+Inputs!$F$37,0)</f>
        <v>90.2</v>
      </c>
      <c r="AJ32" s="13" t="n">
        <f aca="false">IF(Time!AJ30&gt;0,AJ31+Inputs!$F$37,0)</f>
        <v>90.8</v>
      </c>
      <c r="AK32" s="13" t="n">
        <f aca="false">IF(Time!AK30&gt;0,AK31+Inputs!$F$37,0)</f>
        <v>89.7333333333333</v>
      </c>
      <c r="AL32" s="13" t="n">
        <f aca="false">IF(Time!AL30&gt;0,AL31+Inputs!$F$37,0)</f>
        <v>87.6</v>
      </c>
      <c r="AM32" s="13" t="n">
        <f aca="false">IF(Time!AM30&gt;0,AM31+Inputs!$F$37,0)</f>
        <v>88.6666666666667</v>
      </c>
      <c r="AN32" s="13" t="n">
        <f aca="false">IF(Time!AN30&gt;0,AN31+Inputs!$F$37,0)</f>
        <v>90.8</v>
      </c>
      <c r="AO32" s="13" t="n">
        <f aca="false">IF(Time!AO30&gt;0,AO31+Inputs!$F$37,0)</f>
        <v>90.5</v>
      </c>
      <c r="AP32" s="13" t="n">
        <f aca="false">IF(Time!AP30&gt;0,AP31+Inputs!$F$37,0)</f>
        <v>89.9</v>
      </c>
      <c r="AQ32" s="13" t="n">
        <f aca="false">IF(Time!AQ30&gt;0,AQ31+Inputs!$F$37,0)</f>
        <v>90.2</v>
      </c>
      <c r="AR32" s="13" t="n">
        <f aca="false">IF(Time!AR30&gt;0,AR31+Inputs!$F$37,0)</f>
        <v>90.8</v>
      </c>
      <c r="AS32" s="13" t="n">
        <f aca="false">IF(Time!AS30&gt;0,AS31+Inputs!$F$37,0)</f>
        <v>89.1</v>
      </c>
      <c r="AT32" s="13" t="n">
        <f aca="false">IF(Time!AT30&gt;0,AT31+Inputs!$F$37,0)</f>
        <v>85.7</v>
      </c>
      <c r="AU32" s="13" t="n">
        <f aca="false">IF(Time!AU30&gt;0,AU31+Inputs!$F$37,0)</f>
        <v>87.4</v>
      </c>
      <c r="AV32" s="13" t="n">
        <f aca="false">IF(Time!AV30&gt;0,AV31+Inputs!$F$37,0)</f>
        <v>90.8</v>
      </c>
      <c r="AW32" s="13" t="n">
        <f aca="false">IF(Time!AW30&gt;0,AW31+Inputs!$F$37,0)</f>
        <v>90.5</v>
      </c>
      <c r="AX32" s="13" t="n">
        <f aca="false">IF(Time!AX30&gt;0,AX31+Inputs!$F$37,0)</f>
        <v>89.9</v>
      </c>
      <c r="AY32" s="13" t="n">
        <f aca="false">IF(Time!AY30&gt;0,AY31+Inputs!$F$37,0)</f>
        <v>90.2</v>
      </c>
      <c r="AZ32" s="13" t="n">
        <f aca="false">IF(Time!AZ30&gt;0,AZ31+Inputs!$F$37,0)</f>
        <v>90.8</v>
      </c>
      <c r="BA32" s="13" t="n">
        <f aca="false">IF(Time!BA30&gt;0,BA31+Inputs!$F$37,0)</f>
        <v>89.7333333333333</v>
      </c>
      <c r="BB32" s="13" t="n">
        <f aca="false">IF(Time!BB30&gt;0,BB31+Inputs!$F$37,0)</f>
        <v>87.6</v>
      </c>
      <c r="BC32" s="13" t="n">
        <f aca="false">IF(Time!BC30&gt;0,BC31+Inputs!$F$37,0)</f>
        <v>88.6666666666667</v>
      </c>
      <c r="BD32" s="13" t="n">
        <f aca="false">IF(Time!BD30&gt;0,BD31+Inputs!$F$37,0)</f>
        <v>90.8</v>
      </c>
      <c r="BE32" s="13" t="n">
        <f aca="false">IF(Time!BE30&gt;0,BE31+Inputs!$F$37,0)</f>
        <v>90.5</v>
      </c>
      <c r="BF32" s="13" t="n">
        <f aca="false">IF(Time!BF30&gt;0,BF31+Inputs!$F$37,0)</f>
        <v>89.9</v>
      </c>
      <c r="BG32" s="13" t="n">
        <f aca="false">IF(Time!BG30&gt;0,BG31+Inputs!$F$37,0)</f>
        <v>90.2</v>
      </c>
      <c r="BH32" s="13" t="n">
        <f aca="false">IF(Time!BH30&gt;0,BH31+Inputs!$F$37,0)</f>
        <v>90.8</v>
      </c>
      <c r="BI32" s="13" t="n">
        <f aca="false">IF(Time!BI30&gt;0,BI31+Inputs!$F$37,0)</f>
        <v>89.1</v>
      </c>
      <c r="BJ32" s="13" t="n">
        <f aca="false">IF(Time!BJ30&gt;0,BJ31+Inputs!$F$37,0)</f>
        <v>85.7</v>
      </c>
      <c r="BK32" s="13" t="n">
        <f aca="false">IF(Time!BK30&gt;0,BK31+Inputs!$F$37,0)</f>
        <v>87.4</v>
      </c>
      <c r="BL32" s="13" t="n">
        <f aca="false">IF(Time!BL30&gt;0,BL31+Inputs!$F$37,0)</f>
        <v>90.8</v>
      </c>
      <c r="BM32" s="13" t="n">
        <f aca="false">IF(Time!BM30&gt;0,BM31+Inputs!$F$37,0)</f>
        <v>90.8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76.5</v>
      </c>
      <c r="R37" s="13" t="n">
        <f aca="false">IF(Inputs!$F$312=1,INDEX(Inputs!$AJ$313:$AJ$1312,Inputs!$F$311),IF(AND(Inputs!$F$55=1,Inputs!R303&gt;0),Inputs!R303,Inputs!$F$38))</f>
        <v>76.5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590681.960847535</v>
      </c>
      <c r="P38" s="15" t="n">
        <f aca="false">$F$34*Inputs!$F$215*Time!P30*P32/100*P37/100*P36</f>
        <v>1771159.74883462</v>
      </c>
      <c r="Q38" s="15" t="n">
        <f aca="false">$F$34*Inputs!$F$215*Time!Q30*Q32/100*Q37/100*Q36</f>
        <v>1763983.09051403</v>
      </c>
      <c r="R38" s="15" t="n">
        <f aca="false">$F$34*Inputs!$F$215*Time!R30*R32/100*R37/100*R36</f>
        <v>1750972.14933027</v>
      </c>
      <c r="S38" s="15" t="n">
        <f aca="false">$F$34*Inputs!$F$215*Time!S30*S32/100*S37/100*S36</f>
        <v>1755494.79815872</v>
      </c>
      <c r="T38" s="15" t="n">
        <f aca="false">$F$34*Inputs!$F$215*Time!T30*T32/100*T37/100*T36</f>
        <v>1765842.94658671</v>
      </c>
      <c r="U38" s="15" t="n">
        <f aca="false">$F$34*Inputs!$F$215*Time!U30*U32/100*U37/100*U36</f>
        <v>1743785.24386879</v>
      </c>
      <c r="V38" s="15" t="n">
        <f aca="false">$F$34*Inputs!$F$215*Time!V30*V32/100*V37/100*V36</f>
        <v>1701045.88306759</v>
      </c>
      <c r="W38" s="15" t="n">
        <f aca="false">$F$34*Inputs!$F$215*Time!W30*W32/100*W37/100*W36</f>
        <v>1720460.79935245</v>
      </c>
      <c r="X38" s="15" t="n">
        <f aca="false">$F$34*Inputs!$F$215*Time!X30*X32/100*X37/100*X36</f>
        <v>1760526.1443388</v>
      </c>
      <c r="Y38" s="15" t="n">
        <f aca="false">$F$34*Inputs!$F$215*Time!Y30*Y32/100*Y37/100*Y36</f>
        <v>1753384.61907272</v>
      </c>
      <c r="Z38" s="15" t="n">
        <f aca="false">$F$34*Inputs!$F$215*Time!Z30*Z32/100*Z37/100*Z36</f>
        <v>1740443.94399796</v>
      </c>
      <c r="AA38" s="15" t="n">
        <f aca="false">$F$34*Inputs!$F$215*Time!AA30*AA32/100*AA37/100*AA36</f>
        <v>1744931.4597719</v>
      </c>
      <c r="AB38" s="15" t="n">
        <f aca="false">$F$34*Inputs!$F$215*Time!AB30*AB32/100*AB37/100*AB36</f>
        <v>1755209.34209089</v>
      </c>
      <c r="AC38" s="15" t="n">
        <f aca="false">$F$34*Inputs!$F$215*Time!AC30*AC32/100*AC37/100*AC36</f>
        <v>1721043.17852672</v>
      </c>
      <c r="AD38" s="15" t="n">
        <f aca="false">$F$34*Inputs!$F$215*Time!AD30*AD32/100*AD37/100*AD36</f>
        <v>1654114.70970117</v>
      </c>
      <c r="AE38" s="15" t="n">
        <f aca="false">$F$34*Inputs!$F$215*Time!AE30*AE32/100*AE37/100*AE36</f>
        <v>1685647.358055</v>
      </c>
      <c r="AF38" s="15" t="n">
        <f aca="false">$F$34*Inputs!$F$215*Time!AF30*AF32/100*AF37/100*AF36</f>
        <v>1749892.53984298</v>
      </c>
      <c r="AG38" s="15" t="n">
        <f aca="false">$F$34*Inputs!$F$215*Time!AG30*AG32/100*AG37/100*AG36</f>
        <v>1742786.1476314</v>
      </c>
      <c r="AH38" s="15" t="n">
        <f aca="false">$F$34*Inputs!$F$215*Time!AH30*AH32/100*AH37/100*AH36</f>
        <v>1729915.73866565</v>
      </c>
      <c r="AI38" s="15" t="n">
        <f aca="false">$F$34*Inputs!$F$215*Time!AI30*AI32/100*AI37/100*AI36</f>
        <v>1734368.12138509</v>
      </c>
      <c r="AJ38" s="15" t="n">
        <f aca="false">$F$34*Inputs!$F$215*Time!AJ30*AJ32/100*AJ37/100*AJ36</f>
        <v>1744575.73759507</v>
      </c>
      <c r="AK38" s="15" t="n">
        <f aca="false">$F$34*Inputs!$F$215*Time!AK30*AK32/100*AK37/100*AK36</f>
        <v>1722767.86993139</v>
      </c>
      <c r="AL38" s="15" t="n">
        <f aca="false">$F$34*Inputs!$F$215*Time!AL30*AL32/100*AL37/100*AL36</f>
        <v>1680528.17923866</v>
      </c>
      <c r="AM38" s="15" t="n">
        <f aca="false">$F$34*Inputs!$F$215*Time!AM30*AM32/100*AM37/100*AM36</f>
        <v>1699693.26046928</v>
      </c>
      <c r="AN38" s="15" t="n">
        <f aca="false">$F$34*Inputs!$F$215*Time!AN30*AN32/100*AN37/100*AN36</f>
        <v>1739258.93534717</v>
      </c>
      <c r="AO38" s="15" t="n">
        <f aca="false">$F$34*Inputs!$F$215*Time!AO30*AO32/100*AO37/100*AO36</f>
        <v>1732187.67619008</v>
      </c>
      <c r="AP38" s="15" t="n">
        <f aca="false">$F$34*Inputs!$F$215*Time!AP30*AP32/100*AP37/100*AP36</f>
        <v>1719387.53333333</v>
      </c>
      <c r="AQ38" s="15" t="n">
        <f aca="false">$F$34*Inputs!$F$215*Time!AQ30*AQ32/100*AQ37/100*AQ36</f>
        <v>1723804.78299828</v>
      </c>
      <c r="AR38" s="15" t="n">
        <f aca="false">$F$34*Inputs!$F$215*Time!AR30*AR32/100*AR37/100*AR36</f>
        <v>1733942.13309926</v>
      </c>
      <c r="AS38" s="15" t="n">
        <f aca="false">$F$34*Inputs!$F$215*Time!AS30*AS32/100*AS37/100*AS36</f>
        <v>1700174.14415277</v>
      </c>
      <c r="AT38" s="15" t="n">
        <f aca="false">$F$34*Inputs!$F$215*Time!AT30*AT32/100*AT37/100*AT36</f>
        <v>1634042.02456259</v>
      </c>
      <c r="AU38" s="15" t="n">
        <f aca="false">$F$34*Inputs!$F$215*Time!AU30*AU32/100*AU37/100*AU36</f>
        <v>1665176.49829873</v>
      </c>
      <c r="AV38" s="15" t="n">
        <f aca="false">$F$34*Inputs!$F$215*Time!AV30*AV32/100*AV37/100*AV36</f>
        <v>1728625.33085135</v>
      </c>
      <c r="AW38" s="15" t="n">
        <f aca="false">$F$34*Inputs!$F$215*Time!AW30*AW32/100*AW37/100*AW36</f>
        <v>1721589.20474877</v>
      </c>
      <c r="AX38" s="15" t="n">
        <f aca="false">$F$34*Inputs!$F$215*Time!AX30*AX32/100*AX37/100*AX36</f>
        <v>1708859.32800102</v>
      </c>
      <c r="AY38" s="15" t="n">
        <f aca="false">$F$34*Inputs!$F$215*Time!AY30*AY32/100*AY37/100*AY36</f>
        <v>1713241.44461146</v>
      </c>
      <c r="AZ38" s="15" t="n">
        <f aca="false">$F$34*Inputs!$F$215*Time!AZ30*AZ32/100*AZ37/100*AZ36</f>
        <v>1723308.52860344</v>
      </c>
      <c r="BA38" s="15" t="n">
        <f aca="false">$F$34*Inputs!$F$215*Time!BA30*BA32/100*BA37/100*BA36</f>
        <v>1701750.49599399</v>
      </c>
      <c r="BB38" s="15" t="n">
        <f aca="false">$F$34*Inputs!$F$215*Time!BB30*BB32/100*BB37/100*BB36</f>
        <v>1660010.47540972</v>
      </c>
      <c r="BC38" s="15" t="n">
        <f aca="false">$F$34*Inputs!$F$215*Time!BC30*BC32/100*BC37/100*BC36</f>
        <v>1678925.72158611</v>
      </c>
      <c r="BD38" s="15" t="n">
        <f aca="false">$F$34*Inputs!$F$215*Time!BD30*BD32/100*BD37/100*BD36</f>
        <v>1717991.72635553</v>
      </c>
      <c r="BE38" s="15" t="n">
        <f aca="false">$F$34*Inputs!$F$215*Time!BE30*BE32/100*BE37/100*BE36</f>
        <v>1710990.73330745</v>
      </c>
      <c r="BF38" s="15" t="n">
        <f aca="false">$F$34*Inputs!$F$215*Time!BF30*BF32/100*BF37/100*BF36</f>
        <v>1698331.12266871</v>
      </c>
      <c r="BG38" s="15" t="n">
        <f aca="false">$F$34*Inputs!$F$215*Time!BG30*BG32/100*BG37/100*BG36</f>
        <v>1702678.10622465</v>
      </c>
      <c r="BH38" s="15" t="n">
        <f aca="false">$F$34*Inputs!$F$215*Time!BH30*BH32/100*BH37/100*BH36</f>
        <v>1712674.92410762</v>
      </c>
      <c r="BI38" s="15" t="n">
        <f aca="false">$F$34*Inputs!$F$215*Time!BI30*BI32/100*BI37/100*BI36</f>
        <v>1679305.10977882</v>
      </c>
      <c r="BJ38" s="15" t="n">
        <f aca="false">$F$34*Inputs!$F$215*Time!BJ30*BJ32/100*BJ37/100*BJ36</f>
        <v>1613969.33942401</v>
      </c>
      <c r="BK38" s="15" t="n">
        <f aca="false">$F$34*Inputs!$F$215*Time!BK30*BK32/100*BK37/100*BK36</f>
        <v>1644705.63854246</v>
      </c>
      <c r="BL38" s="15" t="n">
        <f aca="false">$F$34*Inputs!$F$215*Time!BL30*BL32/100*BL37/100*BL36</f>
        <v>1707358.12185971</v>
      </c>
      <c r="BM38" s="15" t="n">
        <f aca="false">$F$34*Inputs!$F$215*Time!BM30*BM32/100*BM37/100*BM36</f>
        <v>1137500.30314982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6456.243024</v>
      </c>
      <c r="K39" s="13" t="n">
        <f aca="false">$F$35*(1+IF(Inputs!$F$312=1,INDEX(Inputs!$AK$313:$AK$1312,Inputs!$F$311),Inputs!$F$127)/100*K33)*(1+Inputs!$F$128/100)*(1+Inputs!$F$122/100)*Inputs!$F$39</f>
        <v>6456.243024</v>
      </c>
      <c r="L39" s="13" t="n">
        <f aca="false">$F$35*(1+IF(Inputs!$F$312=1,INDEX(Inputs!$AK$313:$AK$1312,Inputs!$F$311),Inputs!$F$127)/100*L33)*(1+Inputs!$F$128/100)*(1+Inputs!$F$122/100)*Inputs!$F$39</f>
        <v>6456.243024</v>
      </c>
      <c r="M39" s="13" t="n">
        <f aca="false">$F$35*(1+IF(Inputs!$F$312=1,INDEX(Inputs!$AK$313:$AK$1312,Inputs!$F$311),Inputs!$F$127)/100*M33)*(1+Inputs!$F$128/100)*(1+Inputs!$F$122/100)*Inputs!$F$39</f>
        <v>6456.243024</v>
      </c>
      <c r="N39" s="13" t="n">
        <f aca="false">$F$35*(1+IF(Inputs!$F$312=1,INDEX(Inputs!$AK$313:$AK$1312,Inputs!$F$311),Inputs!$F$127)/100*N33)*(1+Inputs!$F$128/100)*(1+Inputs!$F$122/100)*Inputs!$F$39</f>
        <v>6456.243024</v>
      </c>
      <c r="O39" s="13" t="n">
        <f aca="false">$F$35*(1+IF(Inputs!$F$312=1,INDEX(Inputs!$AK$313:$AK$1312,Inputs!$F$311),Inputs!$F$127)/100*O33)*(1+Inputs!$F$128/100)*(1+Inputs!$F$122/100)*Inputs!$F$39</f>
        <v>6456.8886483024</v>
      </c>
      <c r="P39" s="13" t="n">
        <f aca="false">$F$35*(1+IF(Inputs!$F$312=1,INDEX(Inputs!$AK$313:$AK$1312,Inputs!$F$311),Inputs!$F$127)/100*P33)*(1+Inputs!$F$128/100)*(1+Inputs!$F$122/100)*Inputs!$F$39</f>
        <v>6459.471145512</v>
      </c>
      <c r="Q39" s="13" t="n">
        <f aca="false">$F$35*(1+IF(Inputs!$F$312=1,INDEX(Inputs!$AK$313:$AK$1312,Inputs!$F$311),Inputs!$F$127)/100*Q33)*(1+Inputs!$F$128/100)*(1+Inputs!$F$122/100)*Inputs!$F$39</f>
        <v>6463.3448913264</v>
      </c>
      <c r="R39" s="13" t="n">
        <f aca="false">$F$35*(1+IF(Inputs!$F$312=1,INDEX(Inputs!$AK$313:$AK$1312,Inputs!$F$311),Inputs!$F$127)/100*R33)*(1+Inputs!$F$128/100)*(1+Inputs!$F$122/100)*Inputs!$F$39</f>
        <v>6467.2186371408</v>
      </c>
      <c r="S39" s="13" t="n">
        <f aca="false">$F$35*(1+IF(Inputs!$F$312=1,INDEX(Inputs!$AK$313:$AK$1312,Inputs!$F$311),Inputs!$F$127)/100*S33)*(1+Inputs!$F$128/100)*(1+Inputs!$F$122/100)*Inputs!$F$39</f>
        <v>6471.0923829552</v>
      </c>
      <c r="T39" s="13" t="n">
        <f aca="false">$F$35*(1+IF(Inputs!$F$312=1,INDEX(Inputs!$AK$313:$AK$1312,Inputs!$F$311),Inputs!$F$127)/100*T33)*(1+Inputs!$F$128/100)*(1+Inputs!$F$122/100)*Inputs!$F$39</f>
        <v>6474.9661287696</v>
      </c>
      <c r="U39" s="13" t="n">
        <f aca="false">$F$35*(1+IF(Inputs!$F$312=1,INDEX(Inputs!$AK$313:$AK$1312,Inputs!$F$311),Inputs!$F$127)/100*U33)*(1+Inputs!$F$128/100)*(1+Inputs!$F$122/100)*Inputs!$F$39</f>
        <v>6478.839874584</v>
      </c>
      <c r="V39" s="13" t="n">
        <f aca="false">$F$35*(1+IF(Inputs!$F$312=1,INDEX(Inputs!$AK$313:$AK$1312,Inputs!$F$311),Inputs!$F$127)/100*V33)*(1+Inputs!$F$128/100)*(1+Inputs!$F$122/100)*Inputs!$F$39</f>
        <v>6482.7136203984</v>
      </c>
      <c r="W39" s="13" t="n">
        <f aca="false">$F$35*(1+IF(Inputs!$F$312=1,INDEX(Inputs!$AK$313:$AK$1312,Inputs!$F$311),Inputs!$F$127)/100*W33)*(1+Inputs!$F$128/100)*(1+Inputs!$F$122/100)*Inputs!$F$39</f>
        <v>6486.5873662128</v>
      </c>
      <c r="X39" s="13" t="n">
        <f aca="false">$F$35*(1+IF(Inputs!$F$312=1,INDEX(Inputs!$AK$313:$AK$1312,Inputs!$F$311),Inputs!$F$127)/100*X33)*(1+Inputs!$F$128/100)*(1+Inputs!$F$122/100)*Inputs!$F$39</f>
        <v>6490.4611120272</v>
      </c>
      <c r="Y39" s="13" t="n">
        <f aca="false">$F$35*(1+IF(Inputs!$F$312=1,INDEX(Inputs!$AK$313:$AK$1312,Inputs!$F$311),Inputs!$F$127)/100*Y33)*(1+Inputs!$F$128/100)*(1+Inputs!$F$122/100)*Inputs!$F$39</f>
        <v>6494.3348578416</v>
      </c>
      <c r="Z39" s="13" t="n">
        <f aca="false">$F$35*(1+IF(Inputs!$F$312=1,INDEX(Inputs!$AK$313:$AK$1312,Inputs!$F$311),Inputs!$F$127)/100*Z33)*(1+Inputs!$F$128/100)*(1+Inputs!$F$122/100)*Inputs!$F$39</f>
        <v>6498.208603656</v>
      </c>
      <c r="AA39" s="13" t="n">
        <f aca="false">$F$35*(1+IF(Inputs!$F$312=1,INDEX(Inputs!$AK$313:$AK$1312,Inputs!$F$311),Inputs!$F$127)/100*AA33)*(1+Inputs!$F$128/100)*(1+Inputs!$F$122/100)*Inputs!$F$39</f>
        <v>6502.0823494704</v>
      </c>
      <c r="AB39" s="13" t="n">
        <f aca="false">$F$35*(1+IF(Inputs!$F$312=1,INDEX(Inputs!$AK$313:$AK$1312,Inputs!$F$311),Inputs!$F$127)/100*AB33)*(1+Inputs!$F$128/100)*(1+Inputs!$F$122/100)*Inputs!$F$39</f>
        <v>6505.9560952848</v>
      </c>
      <c r="AC39" s="13" t="n">
        <f aca="false">$F$35*(1+IF(Inputs!$F$312=1,INDEX(Inputs!$AK$313:$AK$1312,Inputs!$F$311),Inputs!$F$127)/100*AC33)*(1+Inputs!$F$128/100)*(1+Inputs!$F$122/100)*Inputs!$F$39</f>
        <v>6509.8298410992</v>
      </c>
      <c r="AD39" s="13" t="n">
        <f aca="false">$F$35*(1+IF(Inputs!$F$312=1,INDEX(Inputs!$AK$313:$AK$1312,Inputs!$F$311),Inputs!$F$127)/100*AD33)*(1+Inputs!$F$128/100)*(1+Inputs!$F$122/100)*Inputs!$F$39</f>
        <v>6513.7035869136</v>
      </c>
      <c r="AE39" s="13" t="n">
        <f aca="false">$F$35*(1+IF(Inputs!$F$312=1,INDEX(Inputs!$AK$313:$AK$1312,Inputs!$F$311),Inputs!$F$127)/100*AE33)*(1+Inputs!$F$128/100)*(1+Inputs!$F$122/100)*Inputs!$F$39</f>
        <v>6517.577332728</v>
      </c>
      <c r="AF39" s="13" t="n">
        <f aca="false">$F$35*(1+IF(Inputs!$F$312=1,INDEX(Inputs!$AK$313:$AK$1312,Inputs!$F$311),Inputs!$F$127)/100*AF33)*(1+Inputs!$F$128/100)*(1+Inputs!$F$122/100)*Inputs!$F$39</f>
        <v>6521.4510785424</v>
      </c>
      <c r="AG39" s="13" t="n">
        <f aca="false">$F$35*(1+IF(Inputs!$F$312=1,INDEX(Inputs!$AK$313:$AK$1312,Inputs!$F$311),Inputs!$F$127)/100*AG33)*(1+Inputs!$F$128/100)*(1+Inputs!$F$122/100)*Inputs!$F$39</f>
        <v>6525.3248243568</v>
      </c>
      <c r="AH39" s="13" t="n">
        <f aca="false">$F$35*(1+IF(Inputs!$F$312=1,INDEX(Inputs!$AK$313:$AK$1312,Inputs!$F$311),Inputs!$F$127)/100*AH33)*(1+Inputs!$F$128/100)*(1+Inputs!$F$122/100)*Inputs!$F$39</f>
        <v>6529.1985701712</v>
      </c>
      <c r="AI39" s="13" t="n">
        <f aca="false">$F$35*(1+IF(Inputs!$F$312=1,INDEX(Inputs!$AK$313:$AK$1312,Inputs!$F$311),Inputs!$F$127)/100*AI33)*(1+Inputs!$F$128/100)*(1+Inputs!$F$122/100)*Inputs!$F$39</f>
        <v>6533.0723159856</v>
      </c>
      <c r="AJ39" s="13" t="n">
        <f aca="false">$F$35*(1+IF(Inputs!$F$312=1,INDEX(Inputs!$AK$313:$AK$1312,Inputs!$F$311),Inputs!$F$127)/100*AJ33)*(1+Inputs!$F$128/100)*(1+Inputs!$F$122/100)*Inputs!$F$39</f>
        <v>6536.9460618</v>
      </c>
      <c r="AK39" s="13" t="n">
        <f aca="false">$F$35*(1+IF(Inputs!$F$312=1,INDEX(Inputs!$AK$313:$AK$1312,Inputs!$F$311),Inputs!$F$127)/100*AK33)*(1+Inputs!$F$128/100)*(1+Inputs!$F$122/100)*Inputs!$F$39</f>
        <v>6540.8198076144</v>
      </c>
      <c r="AL39" s="13" t="n">
        <f aca="false">$F$35*(1+IF(Inputs!$F$312=1,INDEX(Inputs!$AK$313:$AK$1312,Inputs!$F$311),Inputs!$F$127)/100*AL33)*(1+Inputs!$F$128/100)*(1+Inputs!$F$122/100)*Inputs!$F$39</f>
        <v>6544.6935534288</v>
      </c>
      <c r="AM39" s="13" t="n">
        <f aca="false">$F$35*(1+IF(Inputs!$F$312=1,INDEX(Inputs!$AK$313:$AK$1312,Inputs!$F$311),Inputs!$F$127)/100*AM33)*(1+Inputs!$F$128/100)*(1+Inputs!$F$122/100)*Inputs!$F$39</f>
        <v>6548.5672992432</v>
      </c>
      <c r="AN39" s="13" t="n">
        <f aca="false">$F$35*(1+IF(Inputs!$F$312=1,INDEX(Inputs!$AK$313:$AK$1312,Inputs!$F$311),Inputs!$F$127)/100*AN33)*(1+Inputs!$F$128/100)*(1+Inputs!$F$122/100)*Inputs!$F$39</f>
        <v>6552.4410450576</v>
      </c>
      <c r="AO39" s="13" t="n">
        <f aca="false">$F$35*(1+IF(Inputs!$F$312=1,INDEX(Inputs!$AK$313:$AK$1312,Inputs!$F$311),Inputs!$F$127)/100*AO33)*(1+Inputs!$F$128/100)*(1+Inputs!$F$122/100)*Inputs!$F$39</f>
        <v>6556.314790872</v>
      </c>
      <c r="AP39" s="13" t="n">
        <f aca="false">$F$35*(1+IF(Inputs!$F$312=1,INDEX(Inputs!$AK$313:$AK$1312,Inputs!$F$311),Inputs!$F$127)/100*AP33)*(1+Inputs!$F$128/100)*(1+Inputs!$F$122/100)*Inputs!$F$39</f>
        <v>6560.1885366864</v>
      </c>
      <c r="AQ39" s="13" t="n">
        <f aca="false">$F$35*(1+IF(Inputs!$F$312=1,INDEX(Inputs!$AK$313:$AK$1312,Inputs!$F$311),Inputs!$F$127)/100*AQ33)*(1+Inputs!$F$128/100)*(1+Inputs!$F$122/100)*Inputs!$F$39</f>
        <v>6564.0622825008</v>
      </c>
      <c r="AR39" s="13" t="n">
        <f aca="false">$F$35*(1+IF(Inputs!$F$312=1,INDEX(Inputs!$AK$313:$AK$1312,Inputs!$F$311),Inputs!$F$127)/100*AR33)*(1+Inputs!$F$128/100)*(1+Inputs!$F$122/100)*Inputs!$F$39</f>
        <v>6567.9360283152</v>
      </c>
      <c r="AS39" s="13" t="n">
        <f aca="false">$F$35*(1+IF(Inputs!$F$312=1,INDEX(Inputs!$AK$313:$AK$1312,Inputs!$F$311),Inputs!$F$127)/100*AS33)*(1+Inputs!$F$128/100)*(1+Inputs!$F$122/100)*Inputs!$F$39</f>
        <v>6571.8097741296</v>
      </c>
      <c r="AT39" s="13" t="n">
        <f aca="false">$F$35*(1+IF(Inputs!$F$312=1,INDEX(Inputs!$AK$313:$AK$1312,Inputs!$F$311),Inputs!$F$127)/100*AT33)*(1+Inputs!$F$128/100)*(1+Inputs!$F$122/100)*Inputs!$F$39</f>
        <v>6575.683519944</v>
      </c>
      <c r="AU39" s="13" t="n">
        <f aca="false">$F$35*(1+IF(Inputs!$F$312=1,INDEX(Inputs!$AK$313:$AK$1312,Inputs!$F$311),Inputs!$F$127)/100*AU33)*(1+Inputs!$F$128/100)*(1+Inputs!$F$122/100)*Inputs!$F$39</f>
        <v>6579.5572657584</v>
      </c>
      <c r="AV39" s="13" t="n">
        <f aca="false">$F$35*(1+IF(Inputs!$F$312=1,INDEX(Inputs!$AK$313:$AK$1312,Inputs!$F$311),Inputs!$F$127)/100*AV33)*(1+Inputs!$F$128/100)*(1+Inputs!$F$122/100)*Inputs!$F$39</f>
        <v>6583.4310115728</v>
      </c>
      <c r="AW39" s="13" t="n">
        <f aca="false">$F$35*(1+IF(Inputs!$F$312=1,INDEX(Inputs!$AK$313:$AK$1312,Inputs!$F$311),Inputs!$F$127)/100*AW33)*(1+Inputs!$F$128/100)*(1+Inputs!$F$122/100)*Inputs!$F$39</f>
        <v>6587.3047573872</v>
      </c>
      <c r="AX39" s="13" t="n">
        <f aca="false">$F$35*(1+IF(Inputs!$F$312=1,INDEX(Inputs!$AK$313:$AK$1312,Inputs!$F$311),Inputs!$F$127)/100*AX33)*(1+Inputs!$F$128/100)*(1+Inputs!$F$122/100)*Inputs!$F$39</f>
        <v>6591.1785032016</v>
      </c>
      <c r="AY39" s="13" t="n">
        <f aca="false">$F$35*(1+IF(Inputs!$F$312=1,INDEX(Inputs!$AK$313:$AK$1312,Inputs!$F$311),Inputs!$F$127)/100*AY33)*(1+Inputs!$F$128/100)*(1+Inputs!$F$122/100)*Inputs!$F$39</f>
        <v>6595.052249016</v>
      </c>
      <c r="AZ39" s="13" t="n">
        <f aca="false">$F$35*(1+IF(Inputs!$F$312=1,INDEX(Inputs!$AK$313:$AK$1312,Inputs!$F$311),Inputs!$F$127)/100*AZ33)*(1+Inputs!$F$128/100)*(1+Inputs!$F$122/100)*Inputs!$F$39</f>
        <v>6598.9259948304</v>
      </c>
      <c r="BA39" s="13" t="n">
        <f aca="false">$F$35*(1+IF(Inputs!$F$312=1,INDEX(Inputs!$AK$313:$AK$1312,Inputs!$F$311),Inputs!$F$127)/100*BA33)*(1+Inputs!$F$128/100)*(1+Inputs!$F$122/100)*Inputs!$F$39</f>
        <v>6602.7997406448</v>
      </c>
      <c r="BB39" s="13" t="n">
        <f aca="false">$F$35*(1+IF(Inputs!$F$312=1,INDEX(Inputs!$AK$313:$AK$1312,Inputs!$F$311),Inputs!$F$127)/100*BB33)*(1+Inputs!$F$128/100)*(1+Inputs!$F$122/100)*Inputs!$F$39</f>
        <v>6606.6734864592</v>
      </c>
      <c r="BC39" s="13" t="n">
        <f aca="false">$F$35*(1+IF(Inputs!$F$312=1,INDEX(Inputs!$AK$313:$AK$1312,Inputs!$F$311),Inputs!$F$127)/100*BC33)*(1+Inputs!$F$128/100)*(1+Inputs!$F$122/100)*Inputs!$F$39</f>
        <v>6610.5472322736</v>
      </c>
      <c r="BD39" s="13" t="n">
        <f aca="false">$F$35*(1+IF(Inputs!$F$312=1,INDEX(Inputs!$AK$313:$AK$1312,Inputs!$F$311),Inputs!$F$127)/100*BD33)*(1+Inputs!$F$128/100)*(1+Inputs!$F$122/100)*Inputs!$F$39</f>
        <v>6614.420978088</v>
      </c>
      <c r="BE39" s="13" t="n">
        <f aca="false">$F$35*(1+IF(Inputs!$F$312=1,INDEX(Inputs!$AK$313:$AK$1312,Inputs!$F$311),Inputs!$F$127)/100*BE33)*(1+Inputs!$F$128/100)*(1+Inputs!$F$122/100)*Inputs!$F$39</f>
        <v>6618.2947239024</v>
      </c>
      <c r="BF39" s="13" t="n">
        <f aca="false">$F$35*(1+IF(Inputs!$F$312=1,INDEX(Inputs!$AK$313:$AK$1312,Inputs!$F$311),Inputs!$F$127)/100*BF33)*(1+Inputs!$F$128/100)*(1+Inputs!$F$122/100)*Inputs!$F$39</f>
        <v>6622.1684697168</v>
      </c>
      <c r="BG39" s="13" t="n">
        <f aca="false">$F$35*(1+IF(Inputs!$F$312=1,INDEX(Inputs!$AK$313:$AK$1312,Inputs!$F$311),Inputs!$F$127)/100*BG33)*(1+Inputs!$F$128/100)*(1+Inputs!$F$122/100)*Inputs!$F$39</f>
        <v>6626.0422155312</v>
      </c>
      <c r="BH39" s="13" t="n">
        <f aca="false">$F$35*(1+IF(Inputs!$F$312=1,INDEX(Inputs!$AK$313:$AK$1312,Inputs!$F$311),Inputs!$F$127)/100*BH33)*(1+Inputs!$F$128/100)*(1+Inputs!$F$122/100)*Inputs!$F$39</f>
        <v>6629.9159613456</v>
      </c>
      <c r="BI39" s="13" t="n">
        <f aca="false">$F$35*(1+IF(Inputs!$F$312=1,INDEX(Inputs!$AK$313:$AK$1312,Inputs!$F$311),Inputs!$F$127)/100*BI33)*(1+Inputs!$F$128/100)*(1+Inputs!$F$122/100)*Inputs!$F$39</f>
        <v>6633.78970716</v>
      </c>
      <c r="BJ39" s="13" t="n">
        <f aca="false">$F$35*(1+IF(Inputs!$F$312=1,INDEX(Inputs!$AK$313:$AK$1312,Inputs!$F$311),Inputs!$F$127)/100*BJ33)*(1+Inputs!$F$128/100)*(1+Inputs!$F$122/100)*Inputs!$F$39</f>
        <v>6637.6634529744</v>
      </c>
      <c r="BK39" s="13" t="n">
        <f aca="false">$F$35*(1+IF(Inputs!$F$312=1,INDEX(Inputs!$AK$313:$AK$1312,Inputs!$F$311),Inputs!$F$127)/100*BK33)*(1+Inputs!$F$128/100)*(1+Inputs!$F$122/100)*Inputs!$F$39</f>
        <v>6641.5371987888</v>
      </c>
      <c r="BL39" s="13" t="n">
        <f aca="false">$F$35*(1+IF(Inputs!$F$312=1,INDEX(Inputs!$AK$313:$AK$1312,Inputs!$F$311),Inputs!$F$127)/100*BL33)*(1+Inputs!$F$128/100)*(1+Inputs!$F$122/100)*Inputs!$F$39</f>
        <v>6645.4109446032</v>
      </c>
      <c r="BM39" s="13" t="n">
        <f aca="false">$F$35*(1+IF(Inputs!$F$312=1,INDEX(Inputs!$AK$313:$AK$1312,Inputs!$F$311),Inputs!$F$127)/100*BM33)*(1+Inputs!$F$128/100)*(1+Inputs!$F$122/100)*Inputs!$F$39</f>
        <v>6648.6390661152</v>
      </c>
      <c r="BN39" s="13" t="n">
        <f aca="false">$F$35*(1+IF(Inputs!$F$312=1,INDEX(Inputs!$AK$313:$AK$1312,Inputs!$F$311),Inputs!$F$127)/100*BN33)*(1+Inputs!$F$128/100)*(1+Inputs!$F$122/100)*Inputs!$F$39</f>
        <v>6456.243024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4005357.20730541</v>
      </c>
      <c r="P42" s="15" t="n">
        <f aca="false">P38*P39*(1000*Inputs!$F$123/Inputs!$F$124)</f>
        <v>12014866.3797864</v>
      </c>
      <c r="Q42" s="15" t="n">
        <f aca="false">Q38*Q39*(1000*Inputs!$F$123/Inputs!$F$124)</f>
        <v>11973358.8121178</v>
      </c>
      <c r="R42" s="15" t="n">
        <f aca="false">R38*R39*(1000*Inputs!$F$123/Inputs!$F$124)</f>
        <v>11892167.8533913</v>
      </c>
      <c r="S42" s="15" t="n">
        <f aca="false">S38*S39*(1000*Inputs!$F$123/Inputs!$F$124)</f>
        <v>11930026.1507295</v>
      </c>
      <c r="T42" s="15" t="n">
        <f aca="false">T38*T39*(1000*Inputs!$F$123/Inputs!$F$124)</f>
        <v>12007533.9894813</v>
      </c>
      <c r="U42" s="15" t="n">
        <f aca="false">U38*U39*(1000*Inputs!$F$123/Inputs!$F$124)</f>
        <v>11864638.0388554</v>
      </c>
      <c r="V42" s="15" t="n">
        <f aca="false">V38*V39*(1000*Inputs!$F$123/Inputs!$F$124)</f>
        <v>11580761.3938161</v>
      </c>
      <c r="W42" s="15" t="n">
        <f aca="false">W38*W39*(1000*Inputs!$F$123/Inputs!$F$124)</f>
        <v>11719937.6790801</v>
      </c>
      <c r="X42" s="15" t="n">
        <f aca="false">X38*X39*(1000*Inputs!$F$123/Inputs!$F$124)</f>
        <v>12000028.5634168</v>
      </c>
      <c r="Y42" s="15" t="n">
        <f aca="false">Y38*Y39*(1000*Inputs!$F$123/Inputs!$F$124)</f>
        <v>11958483.7873428</v>
      </c>
      <c r="Z42" s="15" t="n">
        <f aca="false">Z38*Z39*(1000*Inputs!$F$123/Inputs!$F$124)</f>
        <v>11877305.7872416</v>
      </c>
      <c r="AA42" s="15" t="n">
        <f aca="false">AA38*AA39*(1000*Inputs!$F$123/Inputs!$F$124)</f>
        <v>11915028.5430776</v>
      </c>
      <c r="AB42" s="15" t="n">
        <f aca="false">AB38*AB39*(1000*Inputs!$F$123/Inputs!$F$124)</f>
        <v>11992350.1015929</v>
      </c>
      <c r="AC42" s="15" t="n">
        <f aca="false">AC38*AC39*(1000*Inputs!$F$123/Inputs!$F$124)</f>
        <v>11765913.5168787</v>
      </c>
      <c r="AD42" s="15" t="n">
        <f aca="false">AD38*AD39*(1000*Inputs!$F$123/Inputs!$F$124)</f>
        <v>11315086.130844</v>
      </c>
      <c r="AE42" s="15" t="n">
        <f aca="false">AE38*AE39*(1000*Inputs!$F$123/Inputs!$F$124)</f>
        <v>11537644.8350703</v>
      </c>
      <c r="AF42" s="15" t="n">
        <f aca="false">AF38*AF39*(1000*Inputs!$F$123/Inputs!$F$124)</f>
        <v>11984498.6040095</v>
      </c>
      <c r="AG42" s="15" t="n">
        <f aca="false">AG38*AG39*(1000*Inputs!$F$123/Inputs!$F$124)</f>
        <v>11942918.9063464</v>
      </c>
      <c r="AH42" s="15" t="n">
        <f aca="false">AH38*AH39*(1000*Inputs!$F$123/Inputs!$F$124)</f>
        <v>11861758.4385027</v>
      </c>
      <c r="AI42" s="15" t="n">
        <f aca="false">AI38*AI39*(1000*Inputs!$F$123/Inputs!$F$124)</f>
        <v>11899343.3660205</v>
      </c>
      <c r="AJ42" s="15" t="n">
        <f aca="false">AJ38*AJ39*(1000*Inputs!$F$123/Inputs!$F$124)</f>
        <v>11976474.0706668</v>
      </c>
      <c r="AK42" s="15" t="n">
        <f aca="false">AK38*AK39*(1000*Inputs!$F$123/Inputs!$F$124)</f>
        <v>11833771.9912368</v>
      </c>
      <c r="AL42" s="15" t="n">
        <f aca="false">AL38*AL39*(1000*Inputs!$F$123/Inputs!$F$124)</f>
        <v>11550462.2225253</v>
      </c>
      <c r="AM42" s="15" t="n">
        <f aca="false">AM38*AM39*(1000*Inputs!$F$123/Inputs!$F$124)</f>
        <v>11689100.5978001</v>
      </c>
      <c r="AN42" s="15" t="n">
        <f aca="false">AN38*AN39*(1000*Inputs!$F$123/Inputs!$F$124)</f>
        <v>11968276.5015646</v>
      </c>
      <c r="AO42" s="15" t="n">
        <f aca="false">AO38*AO39*(1000*Inputs!$F$123/Inputs!$F$124)</f>
        <v>11926664.1691286</v>
      </c>
      <c r="AP42" s="15" t="n">
        <f aca="false">AP38*AP39*(1000*Inputs!$F$123/Inputs!$F$124)</f>
        <v>11845525.8071749</v>
      </c>
      <c r="AQ42" s="15" t="n">
        <f aca="false">AQ38*AQ39*(1000*Inputs!$F$123/Inputs!$F$124)</f>
        <v>11882970.6195582</v>
      </c>
      <c r="AR42" s="15" t="n">
        <f aca="false">AR38*AR39*(1000*Inputs!$F$123/Inputs!$F$124)</f>
        <v>11959905.896703</v>
      </c>
      <c r="AS42" s="15" t="n">
        <f aca="false">AS38*AS39*(1000*Inputs!$F$123/Inputs!$F$124)</f>
        <v>11733906.9514398</v>
      </c>
      <c r="AT42" s="15" t="n">
        <f aca="false">AT38*AT39*(1000*Inputs!$F$123/Inputs!$F$124)</f>
        <v>11284137.5990354</v>
      </c>
      <c r="AU42" s="15" t="n">
        <f aca="false">AU38*AU39*(1000*Inputs!$F$123/Inputs!$F$124)</f>
        <v>11505915.8319482</v>
      </c>
      <c r="AV42" s="15" t="n">
        <f aca="false">AV38*AV39*(1000*Inputs!$F$123/Inputs!$F$124)</f>
        <v>11951362.2560821</v>
      </c>
      <c r="AW42" s="15" t="n">
        <f aca="false">AW38*AW39*(1000*Inputs!$F$123/Inputs!$F$124)</f>
        <v>11909719.5756893</v>
      </c>
      <c r="AX42" s="15" t="n">
        <f aca="false">AX38*AX39*(1000*Inputs!$F$123/Inputs!$F$124)</f>
        <v>11828607.893258</v>
      </c>
      <c r="AY42" s="15" t="n">
        <f aca="false">AY38*AY39*(1000*Inputs!$F$123/Inputs!$F$124)</f>
        <v>11865910.3036906</v>
      </c>
      <c r="AZ42" s="15" t="n">
        <f aca="false">AZ38*AZ39*(1000*Inputs!$F$123/Inputs!$F$124)</f>
        <v>11942645.5797016</v>
      </c>
      <c r="BA42" s="15" t="n">
        <f aca="false">BA38*BA39*(1000*Inputs!$F$123/Inputs!$F$124)</f>
        <v>11800169.8950758</v>
      </c>
      <c r="BB42" s="15" t="n">
        <f aca="false">BB38*BB39*(1000*Inputs!$F$123/Inputs!$F$124)</f>
        <v>11517492.0499087</v>
      </c>
      <c r="BC42" s="15" t="n">
        <f aca="false">BC38*BC39*(1000*Inputs!$F$123/Inputs!$F$124)</f>
        <v>11655559.9915859</v>
      </c>
      <c r="BD42" s="15" t="n">
        <f aca="false">BD38*BD39*(1000*Inputs!$F$123/Inputs!$F$124)</f>
        <v>11933755.8675618</v>
      </c>
      <c r="BE42" s="15" t="n">
        <f aca="false">BE38*BE39*(1000*Inputs!$F$123/Inputs!$F$124)</f>
        <v>11892085.1260286</v>
      </c>
      <c r="BF42" s="15" t="n">
        <f aca="false">BF38*BF39*(1000*Inputs!$F$123/Inputs!$F$124)</f>
        <v>11811004.696752</v>
      </c>
      <c r="BG42" s="15" t="n">
        <f aca="false">BG38*BG39*(1000*Inputs!$F$123/Inputs!$F$124)</f>
        <v>11848162.4184178</v>
      </c>
      <c r="BH42" s="15" t="n">
        <f aca="false">BH38*BH39*(1000*Inputs!$F$123/Inputs!$F$124)</f>
        <v>11924693.1196626</v>
      </c>
      <c r="BI42" s="15" t="n">
        <f aca="false">BI38*BI39*(1000*Inputs!$F$123/Inputs!$F$124)</f>
        <v>11699183.648351</v>
      </c>
      <c r="BJ42" s="15" t="n">
        <f aca="false">BJ38*BJ39*(1000*Inputs!$F$123/Inputs!$F$124)</f>
        <v>11250575.998578</v>
      </c>
      <c r="BK42" s="15" t="n">
        <f aca="false">BK38*BK39*(1000*Inputs!$F$123/Inputs!$F$124)</f>
        <v>11471521.9256767</v>
      </c>
      <c r="BL42" s="15" t="n">
        <f aca="false">BL38*BL39*(1000*Inputs!$F$123/Inputs!$F$124)</f>
        <v>11915457.336004</v>
      </c>
      <c r="BM42" s="15" t="n">
        <f aca="false">BM38*BM39*(1000*Inputs!$F$123/Inputs!$F$124)</f>
        <v>7942340.95648921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0.998888888888889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0.997037037037037</v>
      </c>
      <c r="V47" s="13" t="n">
        <f aca="false">MIN(1,V32/Inputs!$F$133)</f>
        <v>0.973333333333333</v>
      </c>
      <c r="W47" s="13" t="n">
        <f aca="false">MIN(1,W32/Inputs!$F$133)</f>
        <v>0.985185185185185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0.998888888888889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0.99</v>
      </c>
      <c r="AD47" s="13" t="n">
        <f aca="false">MIN(1,AD32/Inputs!$F$133)</f>
        <v>0.952222222222222</v>
      </c>
      <c r="AE47" s="13" t="n">
        <f aca="false">MIN(1,AE32/Inputs!$F$133)</f>
        <v>0.971111111111111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0.998888888888889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0.997037037037037</v>
      </c>
      <c r="AL47" s="13" t="n">
        <f aca="false">MIN(1,AL32/Inputs!$F$133)</f>
        <v>0.973333333333333</v>
      </c>
      <c r="AM47" s="13" t="n">
        <f aca="false">MIN(1,AM32/Inputs!$F$133)</f>
        <v>0.985185185185185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0.998888888888889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0.99</v>
      </c>
      <c r="AT47" s="13" t="n">
        <f aca="false">MIN(1,AT32/Inputs!$F$133)</f>
        <v>0.952222222222222</v>
      </c>
      <c r="AU47" s="13" t="n">
        <f aca="false">MIN(1,AU32/Inputs!$F$133)</f>
        <v>0.971111111111111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0.998888888888889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0.997037037037037</v>
      </c>
      <c r="BB47" s="13" t="n">
        <f aca="false">MIN(1,BB32/Inputs!$F$133)</f>
        <v>0.973333333333333</v>
      </c>
      <c r="BC47" s="13" t="n">
        <f aca="false">MIN(1,BC32/Inputs!$F$133)</f>
        <v>0.985185185185185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0.998888888888889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0.99</v>
      </c>
      <c r="BJ47" s="13" t="n">
        <f aca="false">MIN(1,BJ32/Inputs!$F$133)</f>
        <v>0.952222222222222</v>
      </c>
      <c r="BK47" s="13" t="n">
        <f aca="false">MIN(1,BK32/Inputs!$F$133)</f>
        <v>0.971111111111111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3310.70625074072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60.8214833629198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61.3813564084673</v>
      </c>
      <c r="V48" s="13" t="n">
        <f aca="false">$F$34*1000*Time!V30*(V45+V46)*V47/1000000</f>
        <v>60.1457534611105</v>
      </c>
      <c r="W48" s="13" t="n">
        <f aca="false">$F$34*1000*Time!W30*(W45+W46)*W47/1000000</f>
        <v>61.1070088944287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62.6685508107159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62.8395025712725</v>
      </c>
      <c r="AD48" s="13" t="n">
        <f aca="false">$F$34*1000*Time!AD30*(AD45+AD46)*AD47/1000000</f>
        <v>60.6803236841801</v>
      </c>
      <c r="AE48" s="13" t="n">
        <f aca="false">$F$34*1000*Time!AE30*(AE45+AE46)*AE47/1000000</f>
        <v>62.1301537929194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64.6836031807699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65.364227000675</v>
      </c>
      <c r="AL48" s="13" t="n">
        <f aca="false">$F$34*1000*Time!AL30*(AL45+AL46)*AL47/1000000</f>
        <v>64.0764720191802</v>
      </c>
      <c r="AM48" s="13" t="n">
        <f aca="false">$F$34*1000*Time!AM30*(AM45+AM46)*AM47/1000000</f>
        <v>65.1291163841496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66.8819181686199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67.153935106719</v>
      </c>
      <c r="AT48" s="13" t="n">
        <f aca="false">$F$34*1000*Time!AT30*(AT45+AT46)*AT47/1000000</f>
        <v>64.8755196088466</v>
      </c>
      <c r="AU48" s="13" t="n">
        <f aca="false">$F$34*1000*Time!AU30*(AU45+AU46)*AU47/1000000</f>
        <v>66.4553748308227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69.2801629277258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70.1045000903037</v>
      </c>
      <c r="BB48" s="13" t="n">
        <f aca="false">$F$34*1000*Time!BB30*(BB45+BB46)*BB47/1000000</f>
        <v>68.7546755842613</v>
      </c>
      <c r="BC48" s="13" t="n">
        <f aca="false">$F$34*1000*Time!BC30*(BC45+BC46)*BC47/1000000</f>
        <v>69.9160878550327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71.8965204362575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72.2888216091346</v>
      </c>
      <c r="BJ48" s="13" t="n">
        <f aca="false">$F$34*1000*Time!BJ30*(BJ45+BJ46)*BJ47/1000000</f>
        <v>69.8684948730501</v>
      </c>
      <c r="BK48" s="13" t="n">
        <f aca="false">$F$34*1000*Time!BK30*(BK45+BK46)*BK47/1000000</f>
        <v>71.6031014310244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470.066567937815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2.4359391470988</v>
      </c>
      <c r="P50" s="13" t="n">
        <f aca="false">P38*P49/1000000</f>
        <v>7.38407176284303</v>
      </c>
      <c r="Q50" s="13" t="n">
        <f aca="false">Q38*Q49/1000000</f>
        <v>7.43460741366207</v>
      </c>
      <c r="R50" s="13" t="n">
        <f aca="false">R38*R49/1000000</f>
        <v>7.46050642930839</v>
      </c>
      <c r="S50" s="13" t="n">
        <f aca="false">S38*S49/1000000</f>
        <v>7.56160636395437</v>
      </c>
      <c r="T50" s="13" t="n">
        <f aca="false">T38*T49/1000000</f>
        <v>7.6893927066426</v>
      </c>
      <c r="U50" s="13" t="n">
        <f aca="false">U38*U49/1000000</f>
        <v>7.67641442098568</v>
      </c>
      <c r="V50" s="13" t="n">
        <f aca="false">V38*V49/1000000</f>
        <v>7.5701919293083</v>
      </c>
      <c r="W50" s="13" t="n">
        <f aca="false">W38*W49/1000000</f>
        <v>7.74035878577768</v>
      </c>
      <c r="X50" s="13" t="n">
        <f aca="false">X38*X49/1000000</f>
        <v>8.00726564908963</v>
      </c>
      <c r="Y50" s="13" t="n">
        <f aca="false">Y38*Y49/1000000</f>
        <v>8.06202978830523</v>
      </c>
      <c r="Z50" s="13" t="n">
        <f aca="false">Z38*Z49/1000000</f>
        <v>8.09007772301092</v>
      </c>
      <c r="AA50" s="13" t="n">
        <f aca="false">AA38*AA49/1000000</f>
        <v>8.19967189046892</v>
      </c>
      <c r="AB50" s="13" t="n">
        <f aca="false">AB38*AB49/1000000</f>
        <v>8.33820313929969</v>
      </c>
      <c r="AC50" s="13" t="n">
        <f aca="false">AC38*AC49/1000000</f>
        <v>8.26534077237946</v>
      </c>
      <c r="AD50" s="13" t="n">
        <f aca="false">AD38*AD49/1000000</f>
        <v>8.03082327868353</v>
      </c>
      <c r="AE50" s="13" t="n">
        <f aca="false">AE38*AE49/1000000</f>
        <v>8.27344944650096</v>
      </c>
      <c r="AF50" s="13" t="n">
        <f aca="false">AF38*AF49/1000000</f>
        <v>8.68273848863357</v>
      </c>
      <c r="AG50" s="13" t="n">
        <f aca="false">AG38*AG49/1000000</f>
        <v>8.74208225464234</v>
      </c>
      <c r="AH50" s="13" t="n">
        <f aca="false">AH38*AH49/1000000</f>
        <v>8.77245576396315</v>
      </c>
      <c r="AI50" s="13" t="n">
        <f aca="false">AI38*AI49/1000000</f>
        <v>8.89125298082688</v>
      </c>
      <c r="AJ50" s="13" t="n">
        <f aca="false">AJ38*AJ49/1000000</f>
        <v>9.04142660362708</v>
      </c>
      <c r="AK50" s="13" t="n">
        <f aca="false">AK38*AK49/1000000</f>
        <v>9.02608344495625</v>
      </c>
      <c r="AL50" s="13" t="n">
        <f aca="false">AL38*AL49/1000000</f>
        <v>8.90110302545761</v>
      </c>
      <c r="AM50" s="13" t="n">
        <f aca="false">AM38*AM49/1000000</f>
        <v>9.10110298890477</v>
      </c>
      <c r="AN50" s="13" t="n">
        <f aca="false">AN38*AN49/1000000</f>
        <v>9.41484485194004</v>
      </c>
      <c r="AO50" s="13" t="n">
        <f aca="false">AO38*AO49/1000000</f>
        <v>9.47914827778147</v>
      </c>
      <c r="AP50" s="13" t="n">
        <f aca="false">AP38*AP49/1000000</f>
        <v>9.51203837538901</v>
      </c>
      <c r="AQ50" s="13" t="n">
        <f aca="false">AQ38*AQ49/1000000</f>
        <v>9.6408061289294</v>
      </c>
      <c r="AR50" s="13" t="n">
        <f aca="false">AR38*AR49/1000000</f>
        <v>9.80359396261396</v>
      </c>
      <c r="AS50" s="13" t="n">
        <f aca="false">AS38*AS49/1000000</f>
        <v>9.71783612577109</v>
      </c>
      <c r="AT50" s="13" t="n">
        <f aca="false">AT38*AT49/1000000</f>
        <v>9.44201820448448</v>
      </c>
      <c r="AU50" s="13" t="n">
        <f aca="false">AU38*AU49/1000000</f>
        <v>9.72718851131247</v>
      </c>
      <c r="AV50" s="13" t="n">
        <f aca="false">AV38*AV49/1000000</f>
        <v>10.2082989619771</v>
      </c>
      <c r="AW50" s="13" t="n">
        <f aca="false">AW38*AW49/1000000</f>
        <v>10.2779733267058</v>
      </c>
      <c r="AX50" s="13" t="n">
        <f aca="false">AX38*AX49/1000000</f>
        <v>10.3135865348622</v>
      </c>
      <c r="AY50" s="13" t="n">
        <f aca="false">AY38*AY49/1000000</f>
        <v>10.4531557919986</v>
      </c>
      <c r="AZ50" s="13" t="n">
        <f aca="false">AZ38*AZ49/1000000</f>
        <v>10.6296101465873</v>
      </c>
      <c r="BA50" s="13" t="n">
        <f aca="false">BA38*BA49/1000000</f>
        <v>10.6114720129486</v>
      </c>
      <c r="BB50" s="13" t="n">
        <f aca="false">BB38*BB49/1000000</f>
        <v>10.4644407578679</v>
      </c>
      <c r="BC50" s="13" t="n">
        <f aca="false">BC38*BC49/1000000</f>
        <v>10.699466556369</v>
      </c>
      <c r="BD50" s="13" t="n">
        <f aca="false">BD38*BD49/1000000</f>
        <v>11.0682040946547</v>
      </c>
      <c r="BE50" s="13" t="n">
        <f aca="false">BE38*BE49/1000000</f>
        <v>11.1436944634152</v>
      </c>
      <c r="BF50" s="13" t="n">
        <f aca="false">BF38*BF49/1000000</f>
        <v>11.182254053951</v>
      </c>
      <c r="BG50" s="13" t="n">
        <f aca="false">BG38*BG49/1000000</f>
        <v>11.3335244596595</v>
      </c>
      <c r="BH50" s="13" t="n">
        <f aca="false">BH38*BH49/1000000</f>
        <v>11.5247847174447</v>
      </c>
      <c r="BI50" s="13" t="n">
        <f aca="false">BI38*BI49/1000000</f>
        <v>11.4238617784607</v>
      </c>
      <c r="BJ50" s="13" t="n">
        <f aca="false">BJ38*BJ49/1000000</f>
        <v>11.0995164299649</v>
      </c>
      <c r="BK50" s="13" t="n">
        <f aca="false">BK38*BK49/1000000</f>
        <v>11.4346376644291</v>
      </c>
      <c r="BL50" s="13" t="n">
        <f aca="false">BL38*BL49/1000000</f>
        <v>12.0000843522139</v>
      </c>
      <c r="BM50" s="13" t="n">
        <f aca="false">BM38*BM49/1000000</f>
        <v>8.08233119775165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4728.44580171515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24.9546275983783</v>
      </c>
      <c r="P51" s="13" t="n">
        <f aca="false">P38*P40*(1000*Inputs!$F$123/Inputs!$F$124)*P41/1000000</f>
        <v>74.8513862445452</v>
      </c>
      <c r="Q51" s="13" t="n">
        <f aca="false">Q38*Q40*(1000*Inputs!$F$123/Inputs!$F$124)*Q41/1000000</f>
        <v>76.0770573788371</v>
      </c>
      <c r="R51" s="13" t="n">
        <f aca="false">R38*R40*(1000*Inputs!$F$123/Inputs!$F$124)*R41/1000000</f>
        <v>75.553644927924</v>
      </c>
      <c r="S51" s="13" t="n">
        <f aca="false">S38*S40*(1000*Inputs!$F$123/Inputs!$F$124)*S41/1000000</f>
        <v>77.302348287402</v>
      </c>
      <c r="T51" s="13" t="n">
        <f aca="false">T38*T40*(1000*Inputs!$F$123/Inputs!$F$124)*T41/1000000</f>
        <v>77.7968285400141</v>
      </c>
      <c r="U51" s="13" t="n">
        <f aca="false">U38*U40*(1000*Inputs!$F$123/Inputs!$F$124)*U41/1000000</f>
        <v>78.4006309391337</v>
      </c>
      <c r="V51" s="13" t="n">
        <f aca="false">V38*V40*(1000*Inputs!$F$123/Inputs!$F$124)*V41/1000000</f>
        <v>76.517196467339</v>
      </c>
      <c r="W51" s="13" t="n">
        <f aca="false">W38*W40*(1000*Inputs!$F$123/Inputs!$F$124)*W41/1000000</f>
        <v>78.9776721089547</v>
      </c>
      <c r="X51" s="13" t="n">
        <f aca="false">X38*X40*(1000*Inputs!$F$123/Inputs!$F$124)*X41/1000000</f>
        <v>80.8571206729624</v>
      </c>
      <c r="Y51" s="13" t="n">
        <f aca="false">Y38*Y40*(1000*Inputs!$F$123/Inputs!$F$124)*Y41/1000000</f>
        <v>82.1805977955198</v>
      </c>
      <c r="Z51" s="13" t="n">
        <f aca="false">Z38*Z40*(1000*Inputs!$F$123/Inputs!$F$124)*Z41/1000000</f>
        <v>81.6146598160697</v>
      </c>
      <c r="AA51" s="13" t="n">
        <f aca="false">AA38*AA40*(1000*Inputs!$F$123/Inputs!$F$124)*AA41/1000000</f>
        <v>83.503100782232</v>
      </c>
      <c r="AB51" s="13" t="n">
        <f aca="false">AB38*AB40*(1000*Inputs!$F$123/Inputs!$F$124)*AB41/1000000</f>
        <v>84.03669578972</v>
      </c>
      <c r="AC51" s="13" t="n">
        <f aca="false">AC38*AC40*(1000*Inputs!$F$123/Inputs!$F$124)*AC41/1000000</f>
        <v>84.0906469378579</v>
      </c>
      <c r="AD51" s="13" t="n">
        <f aca="false">AD38*AD40*(1000*Inputs!$F$123/Inputs!$F$124)*AD41/1000000</f>
        <v>80.8606360595882</v>
      </c>
      <c r="AE51" s="13" t="n">
        <f aca="false">AE38*AE40*(1000*Inputs!$F$123/Inputs!$F$124)*AE41/1000000</f>
        <v>84.0918526356631</v>
      </c>
      <c r="AF51" s="13" t="n">
        <f aca="false">AF38*AF40*(1000*Inputs!$F$123/Inputs!$F$124)*AF41/1000000</f>
        <v>87.3401561943168</v>
      </c>
      <c r="AG51" s="13" t="n">
        <f aca="false">AG38*AG40*(1000*Inputs!$F$123/Inputs!$F$124)*AG41/1000000</f>
        <v>88.7691654924299</v>
      </c>
      <c r="AH51" s="13" t="n">
        <f aca="false">AH38*AH40*(1000*Inputs!$F$123/Inputs!$F$124)*AH41/1000000</f>
        <v>88.1572760407321</v>
      </c>
      <c r="AI51" s="13" t="n">
        <f aca="false">AI38*AI40*(1000*Inputs!$F$123/Inputs!$F$124)*AI41/1000000</f>
        <v>90.1965102970331</v>
      </c>
      <c r="AJ51" s="13" t="n">
        <f aca="false">AJ38*AJ40*(1000*Inputs!$F$123/Inputs!$F$124)*AJ41/1000000</f>
        <v>90.7722797166976</v>
      </c>
      <c r="AK51" s="13" t="n">
        <f aca="false">AK38*AK40*(1000*Inputs!$F$123/Inputs!$F$124)*AK41/1000000</f>
        <v>91.4755870176099</v>
      </c>
      <c r="AL51" s="13" t="n">
        <f aca="false">AL38*AL40*(1000*Inputs!$F$123/Inputs!$F$124)*AL41/1000000</f>
        <v>89.2768770518168</v>
      </c>
      <c r="AM51" s="13" t="n">
        <f aca="false">AM38*AM40*(1000*Inputs!$F$123/Inputs!$F$124)*AM41/1000000</f>
        <v>92.1464393233352</v>
      </c>
      <c r="AN51" s="13" t="n">
        <f aca="false">AN38*AN40*(1000*Inputs!$F$123/Inputs!$F$124)*AN41/1000000</f>
        <v>94.3380263168053</v>
      </c>
      <c r="AO51" s="13" t="n">
        <f aca="false">AO38*AO40*(1000*Inputs!$F$123/Inputs!$F$124)*AO41/1000000</f>
        <v>95.8808973807942</v>
      </c>
      <c r="AP51" s="13" t="n">
        <f aca="false">AP38*AP40*(1000*Inputs!$F$123/Inputs!$F$124)*AP41/1000000</f>
        <v>95.2193570001691</v>
      </c>
      <c r="AQ51" s="13" t="n">
        <f aca="false">AQ38*AQ40*(1000*Inputs!$F$123/Inputs!$F$124)*AQ41/1000000</f>
        <v>97.4213051889137</v>
      </c>
      <c r="AR51" s="13" t="n">
        <f aca="false">AR38*AR40*(1000*Inputs!$F$123/Inputs!$F$124)*AR41/1000000</f>
        <v>98.0425449330926</v>
      </c>
      <c r="AS51" s="13" t="n">
        <f aca="false">AS38*AS40*(1000*Inputs!$F$123/Inputs!$F$124)*AS41/1000000</f>
        <v>98.1041916574511</v>
      </c>
      <c r="AT51" s="13" t="n">
        <f aca="false">AT38*AT40*(1000*Inputs!$F$123/Inputs!$F$124)*AT41/1000000</f>
        <v>94.3346583911719</v>
      </c>
      <c r="AU51" s="13" t="n">
        <f aca="false">AU38*AU40*(1000*Inputs!$F$123/Inputs!$F$124)*AU41/1000000</f>
        <v>98.1030030362282</v>
      </c>
      <c r="AV51" s="13" t="n">
        <f aca="false">AV38*AV40*(1000*Inputs!$F$123/Inputs!$F$124)*AV41/1000000</f>
        <v>101.891180584324</v>
      </c>
      <c r="AW51" s="13" t="n">
        <f aca="false">AW38*AW40*(1000*Inputs!$F$123/Inputs!$F$124)*AW41/1000000</f>
        <v>103.556892911463</v>
      </c>
      <c r="AX51" s="13" t="n">
        <f aca="false">AX38*AX40*(1000*Inputs!$F$123/Inputs!$F$124)*AX41/1000000</f>
        <v>102.841707012067</v>
      </c>
      <c r="AY51" s="13" t="n">
        <f aca="false">AY38*AY40*(1000*Inputs!$F$123/Inputs!$F$124)*AY41/1000000</f>
        <v>105.219221535001</v>
      </c>
      <c r="AZ51" s="13" t="n">
        <f aca="false">AZ38*AZ40*(1000*Inputs!$F$123/Inputs!$F$124)*AZ41/1000000</f>
        <v>105.889481733843</v>
      </c>
      <c r="BA51" s="13" t="n">
        <f aca="false">BA38*BA40*(1000*Inputs!$F$123/Inputs!$F$124)*BA41/1000000</f>
        <v>106.708499021347</v>
      </c>
      <c r="BB51" s="13" t="n">
        <f aca="false">BB38*BB40*(1000*Inputs!$F$123/Inputs!$F$124)*BB41/1000000</f>
        <v>104.142264628721</v>
      </c>
      <c r="BC51" s="13" t="n">
        <f aca="false">BC38*BC40*(1000*Inputs!$F$123/Inputs!$F$124)*BC41/1000000</f>
        <v>107.488202970692</v>
      </c>
      <c r="BD51" s="13" t="n">
        <f aca="false">BD38*BD40*(1000*Inputs!$F$123/Inputs!$F$124)*BD41/1000000</f>
        <v>110.043207925803</v>
      </c>
      <c r="BE51" s="13" t="n">
        <f aca="false">BE38*BE40*(1000*Inputs!$F$123/Inputs!$F$124)*BE41/1000000</f>
        <v>111.8414409517</v>
      </c>
      <c r="BF51" s="13" t="n">
        <f aca="false">BF38*BF40*(1000*Inputs!$F$123/Inputs!$F$124)*BF41/1000000</f>
        <v>111.068296500363</v>
      </c>
      <c r="BG51" s="13" t="n">
        <f aca="false">BG38*BG40*(1000*Inputs!$F$123/Inputs!$F$124)*BG41/1000000</f>
        <v>113.635233399112</v>
      </c>
      <c r="BH51" s="13" t="n">
        <f aca="false">BH38*BH40*(1000*Inputs!$F$123/Inputs!$F$124)*BH41/1000000</f>
        <v>114.358337703189</v>
      </c>
      <c r="BI51" s="13" t="n">
        <f aca="false">BI38*BI40*(1000*Inputs!$F$123/Inputs!$F$124)*BI41/1000000</f>
        <v>114.428712195163</v>
      </c>
      <c r="BJ51" s="13" t="n">
        <f aca="false">BJ38*BJ40*(1000*Inputs!$F$123/Inputs!$F$124)*BJ41/1000000</f>
        <v>110.030455696677</v>
      </c>
      <c r="BK51" s="13" t="n">
        <f aca="false">BK38*BK40*(1000*Inputs!$F$123/Inputs!$F$124)*BK41/1000000</f>
        <v>114.42425972944</v>
      </c>
      <c r="BL51" s="13" t="n">
        <f aca="false">BL38*BL40*(1000*Inputs!$F$123/Inputs!$F$124)*BL41/1000000</f>
        <v>118.841076817823</v>
      </c>
      <c r="BM51" s="13" t="n">
        <f aca="false">BM38*BM40*(1000*Inputs!$F$123/Inputs!$F$124)*BM41/1000000</f>
        <v>80.7923523776842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141.684092682669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0.795779929007636</v>
      </c>
      <c r="P53" s="13" t="n">
        <f aca="false">P42*Inputs!$F$148*(1+Inputs!$F$149/100)^(Time!P26-Inputs!$F$256)/1000000</f>
        <v>2.38710033085287</v>
      </c>
      <c r="Q53" s="13" t="n">
        <f aca="false">Q42*Inputs!$F$148*(1+Inputs!$F$149/100)^(Time!Q26-Inputs!$F$256)/1000000</f>
        <v>2.41453645812992</v>
      </c>
      <c r="R53" s="13" t="n">
        <f aca="false">R42*Inputs!$F$148*(1+Inputs!$F$149/100)^(Time!R26-Inputs!$F$256)/1000000</f>
        <v>2.39816356452574</v>
      </c>
      <c r="S53" s="13" t="n">
        <f aca="false">S42*Inputs!$F$148*(1+Inputs!$F$149/100)^(Time!S26-Inputs!$F$256)/1000000</f>
        <v>2.4418850042396</v>
      </c>
      <c r="T53" s="13" t="n">
        <f aca="false">T42*Inputs!$F$148*(1+Inputs!$F$149/100)^(Time!T26-Inputs!$F$256)/1000000</f>
        <v>2.45774961566357</v>
      </c>
      <c r="U53" s="13" t="n">
        <f aca="false">U42*Inputs!$F$148*(1+Inputs!$F$149/100)^(Time!U26-Inputs!$F$256)/1000000</f>
        <v>2.46492862311377</v>
      </c>
      <c r="V53" s="13" t="n">
        <f aca="false">V42*Inputs!$F$148*(1+Inputs!$F$149/100)^(Time!V26-Inputs!$F$256)/1000000</f>
        <v>2.40595205210509</v>
      </c>
      <c r="W53" s="13" t="n">
        <f aca="false">W42*Inputs!$F$148*(1+Inputs!$F$149/100)^(Time!W26-Inputs!$F$256)/1000000</f>
        <v>2.47138951040406</v>
      </c>
      <c r="X53" s="13" t="n">
        <f aca="false">X42*Inputs!$F$148*(1+Inputs!$F$149/100)^(Time!X26-Inputs!$F$256)/1000000</f>
        <v>2.530452424599</v>
      </c>
      <c r="Y53" s="13" t="n">
        <f aca="false">Y42*Inputs!$F$148*(1+Inputs!$F$149/100)^(Time!Y26-Inputs!$F$256)/1000000</f>
        <v>2.55951723333875</v>
      </c>
      <c r="Z53" s="13" t="n">
        <f aca="false">Z42*Inputs!$F$148*(1+Inputs!$F$149/100)^(Time!Z26-Inputs!$F$256)/1000000</f>
        <v>2.5421424144301</v>
      </c>
      <c r="AA53" s="13" t="n">
        <f aca="false">AA42*Inputs!$F$148*(1+Inputs!$F$149/100)^(Time!AA26-Inputs!$F$256)/1000000</f>
        <v>2.58846959661132</v>
      </c>
      <c r="AB53" s="13" t="n">
        <f aca="false">AB42*Inputs!$F$148*(1+Inputs!$F$149/100)^(Time!AB26-Inputs!$F$256)/1000000</f>
        <v>2.60526724864008</v>
      </c>
      <c r="AC53" s="13" t="n">
        <f aca="false">AC42*Inputs!$F$148*(1+Inputs!$F$149/100)^(Time!AC26-Inputs!$F$256)/1000000</f>
        <v>2.59441636621006</v>
      </c>
      <c r="AD53" s="13" t="n">
        <f aca="false">AD42*Inputs!$F$148*(1+Inputs!$F$149/100)^(Time!AD26-Inputs!$F$256)/1000000</f>
        <v>2.49500768476887</v>
      </c>
      <c r="AE53" s="13" t="n">
        <f aca="false">AE42*Inputs!$F$148*(1+Inputs!$F$149/100)^(Time!AE26-Inputs!$F$256)/1000000</f>
        <v>2.58224372997939</v>
      </c>
      <c r="AF53" s="13" t="n">
        <f aca="false">AF42*Inputs!$F$148*(1+Inputs!$F$149/100)^(Time!AF26-Inputs!$F$256)/1000000</f>
        <v>2.68225420521552</v>
      </c>
      <c r="AG53" s="13" t="n">
        <f aca="false">AG42*Inputs!$F$148*(1+Inputs!$F$149/100)^(Time!AG26-Inputs!$F$256)/1000000</f>
        <v>2.71304246429667</v>
      </c>
      <c r="AH53" s="13" t="n">
        <f aca="false">AH42*Inputs!$F$148*(1+Inputs!$F$149/100)^(Time!AH26-Inputs!$F$256)/1000000</f>
        <v>2.6946054475666</v>
      </c>
      <c r="AI53" s="13" t="n">
        <f aca="false">AI42*Inputs!$F$148*(1+Inputs!$F$149/100)^(Time!AI26-Inputs!$F$256)/1000000</f>
        <v>2.74369067260323</v>
      </c>
      <c r="AJ53" s="13" t="n">
        <f aca="false">AJ42*Inputs!$F$148*(1+Inputs!$F$149/100)^(Time!AJ26-Inputs!$F$256)/1000000</f>
        <v>2.76147508207859</v>
      </c>
      <c r="AK53" s="13" t="n">
        <f aca="false">AK42*Inputs!$F$148*(1+Inputs!$F$149/100)^(Time!AK26-Inputs!$F$256)/1000000</f>
        <v>2.769500128527</v>
      </c>
      <c r="AL53" s="13" t="n">
        <f aca="false">AL42*Inputs!$F$148*(1+Inputs!$F$149/100)^(Time!AL26-Inputs!$F$256)/1000000</f>
        <v>2.70319612660434</v>
      </c>
      <c r="AM53" s="13" t="n">
        <f aca="false">AM42*Inputs!$F$148*(1+Inputs!$F$149/100)^(Time!AM26-Inputs!$F$256)/1000000</f>
        <v>2.77667679556649</v>
      </c>
      <c r="AN53" s="13" t="n">
        <f aca="false">AN42*Inputs!$F$148*(1+Inputs!$F$149/100)^(Time!AN26-Inputs!$F$256)/1000000</f>
        <v>2.84299338231999</v>
      </c>
      <c r="AO53" s="13" t="n">
        <f aca="false">AO42*Inputs!$F$148*(1+Inputs!$F$149/100)^(Time!AO26-Inputs!$F$256)/1000000</f>
        <v>2.87560524784634</v>
      </c>
      <c r="AP53" s="13" t="n">
        <f aca="false">AP42*Inputs!$F$148*(1+Inputs!$F$149/100)^(Time!AP26-Inputs!$F$256)/1000000</f>
        <v>2.85604220019722</v>
      </c>
      <c r="AQ53" s="13" t="n">
        <f aca="false">AQ42*Inputs!$F$148*(1+Inputs!$F$149/100)^(Time!AQ26-Inputs!$F$256)/1000000</f>
        <v>2.90804647233088</v>
      </c>
      <c r="AR53" s="13" t="n">
        <f aca="false">AR42*Inputs!$F$148*(1+Inputs!$F$149/100)^(Time!AR26-Inputs!$F$256)/1000000</f>
        <v>2.92687437054437</v>
      </c>
      <c r="AS53" s="13" t="n">
        <f aca="false">AS42*Inputs!$F$148*(1+Inputs!$F$149/100)^(Time!AS26-Inputs!$F$256)/1000000</f>
        <v>2.91464054119095</v>
      </c>
      <c r="AT53" s="13" t="n">
        <f aca="false">AT42*Inputs!$F$148*(1+Inputs!$F$149/100)^(Time!AT26-Inputs!$F$256)/1000000</f>
        <v>2.80292020847242</v>
      </c>
      <c r="AU53" s="13" t="n">
        <f aca="false">AU42*Inputs!$F$148*(1+Inputs!$F$149/100)^(Time!AU26-Inputs!$F$256)/1000000</f>
        <v>2.90087888197887</v>
      </c>
      <c r="AV53" s="13" t="n">
        <f aca="false">AV42*Inputs!$F$148*(1+Inputs!$F$149/100)^(Time!AV26-Inputs!$F$256)/1000000</f>
        <v>3.01318512023893</v>
      </c>
      <c r="AW53" s="13" t="n">
        <f aca="false">AW42*Inputs!$F$148*(1+Inputs!$F$149/100)^(Time!AW26-Inputs!$F$256)/1000000</f>
        <v>3.04772643305362</v>
      </c>
      <c r="AX53" s="13" t="n">
        <f aca="false">AX42*Inputs!$F$148*(1+Inputs!$F$149/100)^(Time!AX26-Inputs!$F$256)/1000000</f>
        <v>3.02696975469488</v>
      </c>
      <c r="AY53" s="13" t="n">
        <f aca="false">AY42*Inputs!$F$148*(1+Inputs!$F$149/100)^(Time!AY26-Inputs!$F$256)/1000000</f>
        <v>3.08206326595635</v>
      </c>
      <c r="AZ53" s="13" t="n">
        <f aca="false">AZ42*Inputs!$F$148*(1+Inputs!$F$149/100)^(Time!AZ26-Inputs!$F$256)/1000000</f>
        <v>3.10199456236292</v>
      </c>
      <c r="BA53" s="13" t="n">
        <f aca="false">BA42*Inputs!$F$148*(1+Inputs!$F$149/100)^(Time!BA26-Inputs!$F$256)/1000000</f>
        <v>3.1109626040794</v>
      </c>
      <c r="BB53" s="13" t="n">
        <f aca="false">BB42*Inputs!$F$148*(1+Inputs!$F$149/100)^(Time!BB26-Inputs!$F$256)/1000000</f>
        <v>3.03643823594435</v>
      </c>
      <c r="BC53" s="13" t="n">
        <f aca="false">BC42*Inputs!$F$148*(1+Inputs!$F$149/100)^(Time!BC26-Inputs!$F$256)/1000000</f>
        <v>3.11893063910354</v>
      </c>
      <c r="BD53" s="13" t="n">
        <f aca="false">BD42*Inputs!$F$148*(1+Inputs!$F$149/100)^(Time!BD26-Inputs!$F$256)/1000000</f>
        <v>3.19337353518747</v>
      </c>
      <c r="BE53" s="13" t="n">
        <f aca="false">BE42*Inputs!$F$148*(1+Inputs!$F$149/100)^(Time!BE26-Inputs!$F$256)/1000000</f>
        <v>3.22995613419786</v>
      </c>
      <c r="BF53" s="13" t="n">
        <f aca="false">BF42*Inputs!$F$148*(1+Inputs!$F$149/100)^(Time!BF26-Inputs!$F$256)/1000000</f>
        <v>3.20793424088564</v>
      </c>
      <c r="BG53" s="13" t="n">
        <f aca="false">BG42*Inputs!$F$148*(1+Inputs!$F$149/100)^(Time!BG26-Inputs!$F$256)/1000000</f>
        <v>3.26629688098676</v>
      </c>
      <c r="BH53" s="13" t="n">
        <f aca="false">BH42*Inputs!$F$148*(1+Inputs!$F$149/100)^(Time!BH26-Inputs!$F$256)/1000000</f>
        <v>3.28739483541614</v>
      </c>
      <c r="BI53" s="13" t="n">
        <f aca="false">BI42*Inputs!$F$148*(1+Inputs!$F$149/100)^(Time!BI26-Inputs!$F$256)/1000000</f>
        <v>3.2736048677319</v>
      </c>
      <c r="BJ53" s="13" t="n">
        <f aca="false">BJ42*Inputs!$F$148*(1+Inputs!$F$149/100)^(Time!BJ26-Inputs!$F$256)/1000000</f>
        <v>3.1480778027554</v>
      </c>
      <c r="BK53" s="13" t="n">
        <f aca="false">BK42*Inputs!$F$148*(1+Inputs!$F$149/100)^(Time!BK26-Inputs!$F$256)/1000000</f>
        <v>3.25805027189258</v>
      </c>
      <c r="BL53" s="13" t="n">
        <f aca="false">BL42*Inputs!$F$148*(1+Inputs!$F$149/100)^(Time!BL26-Inputs!$F$256)/1000000</f>
        <v>3.38413327061677</v>
      </c>
      <c r="BM53" s="13" t="n">
        <f aca="false">BM42*Inputs!$F$148*(1+Inputs!$F$149/100)^(Time!BM26-Inputs!$F$256)/1000000</f>
        <v>2.28955621360548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3780.77281867853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22.5146638919461</v>
      </c>
      <c r="P55" s="13" t="n">
        <f aca="false">P48+P50</f>
        <v>67.8355366699407</v>
      </c>
      <c r="Q55" s="13" t="n">
        <f aca="false">Q48+Q50</f>
        <v>68.1037183069638</v>
      </c>
      <c r="R55" s="13" t="n">
        <f aca="false">R48+R50</f>
        <v>68.2819897922281</v>
      </c>
      <c r="S55" s="13" t="n">
        <f aca="false">S48+S50</f>
        <v>68.6731785225087</v>
      </c>
      <c r="T55" s="13" t="n">
        <f aca="false">T48+T50</f>
        <v>69.0258325280308</v>
      </c>
      <c r="U55" s="13" t="n">
        <f aca="false">U48+U50</f>
        <v>69.057770829453</v>
      </c>
      <c r="V55" s="13" t="n">
        <f aca="false">V48+V50</f>
        <v>67.7159453904188</v>
      </c>
      <c r="W55" s="13" t="n">
        <f aca="false">W48+W50</f>
        <v>68.8473676802064</v>
      </c>
      <c r="X55" s="13" t="n">
        <f aca="false">X48+X50</f>
        <v>70.2680476088556</v>
      </c>
      <c r="Y55" s="13" t="n">
        <f aca="false">Y48+Y50</f>
        <v>70.5602519459679</v>
      </c>
      <c r="Z55" s="13" t="n">
        <f aca="false">Z48+Z50</f>
        <v>70.7586285337268</v>
      </c>
      <c r="AA55" s="13" t="n">
        <f aca="false">AA48+AA50</f>
        <v>71.1805957612001</v>
      </c>
      <c r="AB55" s="13" t="n">
        <f aca="false">AB48+AB50</f>
        <v>71.5644456731271</v>
      </c>
      <c r="AC55" s="13" t="n">
        <f aca="false">AC48+AC50</f>
        <v>71.1048433436519</v>
      </c>
      <c r="AD55" s="13" t="n">
        <f aca="false">AD48+AD50</f>
        <v>68.7111469628636</v>
      </c>
      <c r="AE55" s="13" t="n">
        <f aca="false">AE48+AE50</f>
        <v>70.4036032394204</v>
      </c>
      <c r="AF55" s="13" t="n">
        <f aca="false">AF48+AF50</f>
        <v>72.9173891446989</v>
      </c>
      <c r="AG55" s="13" t="n">
        <f aca="false">AG48+AG50</f>
        <v>73.2357675410287</v>
      </c>
      <c r="AH55" s="13" t="n">
        <f aca="false">AH48+AH50</f>
        <v>73.456058944733</v>
      </c>
      <c r="AI55" s="13" t="n">
        <f aca="false">AI48+AI50</f>
        <v>73.9115401691137</v>
      </c>
      <c r="AJ55" s="13" t="n">
        <f aca="false">AJ48+AJ50</f>
        <v>74.3293434088401</v>
      </c>
      <c r="AK55" s="13" t="n">
        <f aca="false">AK48+AK50</f>
        <v>74.3903104456312</v>
      </c>
      <c r="AL55" s="13" t="n">
        <f aca="false">AL48+AL50</f>
        <v>72.9775750446379</v>
      </c>
      <c r="AM55" s="13" t="n">
        <f aca="false">AM48+AM50</f>
        <v>74.2302193730544</v>
      </c>
      <c r="AN55" s="13" t="n">
        <f aca="false">AN48+AN50</f>
        <v>75.8028812976793</v>
      </c>
      <c r="AO55" s="13" t="n">
        <f aca="false">AO48+AO50</f>
        <v>76.1497777313598</v>
      </c>
      <c r="AP55" s="13" t="n">
        <f aca="false">AP48+AP50</f>
        <v>76.3939565440089</v>
      </c>
      <c r="AQ55" s="13" t="n">
        <f aca="false">AQ48+AQ50</f>
        <v>76.8859302560864</v>
      </c>
      <c r="AR55" s="13" t="n">
        <f aca="false">AR48+AR50</f>
        <v>77.3406877709687</v>
      </c>
      <c r="AS55" s="13" t="n">
        <f aca="false">AS48+AS50</f>
        <v>76.87177123249</v>
      </c>
      <c r="AT55" s="13" t="n">
        <f aca="false">AT48+AT50</f>
        <v>74.3175378133311</v>
      </c>
      <c r="AU55" s="13" t="n">
        <f aca="false">AU48+AU50</f>
        <v>76.1825633421352</v>
      </c>
      <c r="AV55" s="13" t="n">
        <f aca="false">AV48+AV50</f>
        <v>78.9455648006659</v>
      </c>
      <c r="AW55" s="13" t="n">
        <f aca="false">AW48+AW50</f>
        <v>79.3235331104187</v>
      </c>
      <c r="AX55" s="13" t="n">
        <f aca="false">AX48+AX50</f>
        <v>79.5937494625879</v>
      </c>
      <c r="AY55" s="13" t="n">
        <f aca="false">AY48+AY50</f>
        <v>80.1254587165532</v>
      </c>
      <c r="AZ55" s="13" t="n">
        <f aca="false">AZ48+AZ50</f>
        <v>80.6204364682074</v>
      </c>
      <c r="BA55" s="13" t="n">
        <f aca="false">BA48+BA50</f>
        <v>80.7159721032523</v>
      </c>
      <c r="BB55" s="13" t="n">
        <f aca="false">BB48+BB50</f>
        <v>79.2191163421292</v>
      </c>
      <c r="BC55" s="13" t="n">
        <f aca="false">BC48+BC50</f>
        <v>80.6155544114018</v>
      </c>
      <c r="BD55" s="13" t="n">
        <f aca="false">BD48+BD50</f>
        <v>82.3683542837291</v>
      </c>
      <c r="BE55" s="13" t="n">
        <f aca="false">BE48+BE50</f>
        <v>82.7801769533676</v>
      </c>
      <c r="BF55" s="13" t="n">
        <f aca="false">BF48+BF50</f>
        <v>83.0787744902085</v>
      </c>
      <c r="BG55" s="13" t="n">
        <f aca="false">BG48+BG50</f>
        <v>83.6537503899909</v>
      </c>
      <c r="BH55" s="13" t="n">
        <f aca="false">BH48+BH50</f>
        <v>84.1925027368931</v>
      </c>
      <c r="BI55" s="13" t="n">
        <f aca="false">BI48+BI50</f>
        <v>83.7126833875953</v>
      </c>
      <c r="BJ55" s="13" t="n">
        <f aca="false">BJ48+BJ50</f>
        <v>80.968011303015</v>
      </c>
      <c r="BK55" s="13" t="n">
        <f aca="false">BK48+BK50</f>
        <v>83.0377390954535</v>
      </c>
      <c r="BL55" s="13" t="n">
        <f aca="false">BL48+BL50</f>
        <v>86.0962050894025</v>
      </c>
      <c r="BM55" s="13" t="n">
        <f aca="false">BM48+BM50</f>
        <v>57.7243587933509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9341.24944503245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52.0814105870832</v>
      </c>
      <c r="P56" s="13" t="n">
        <f aca="false">P55+P51+P52+P53+P54</f>
        <v>156.585603685769</v>
      </c>
      <c r="Q56" s="13" t="n">
        <f aca="false">Q55+Q51+Q52+Q53+Q54</f>
        <v>158.089062147266</v>
      </c>
      <c r="R56" s="13" t="n">
        <f aca="false">R55+R51+R52+R53+R54</f>
        <v>157.918052431714</v>
      </c>
      <c r="S56" s="13" t="n">
        <f aca="false">S55+S51+S52+S53+S54</f>
        <v>160.083568067535</v>
      </c>
      <c r="T56" s="13" t="n">
        <f aca="false">T55+T51+T52+T53+T54</f>
        <v>161.13992864295</v>
      </c>
      <c r="U56" s="13" t="n">
        <f aca="false">U55+U51+U52+U53+U54</f>
        <v>161.829899699368</v>
      </c>
      <c r="V56" s="13" t="n">
        <f aca="false">V55+V51+V52+V53+V54</f>
        <v>158.676504638493</v>
      </c>
      <c r="W56" s="13" t="n">
        <f aca="false">W55+W51+W52+W53+W54</f>
        <v>162.315195125709</v>
      </c>
      <c r="X56" s="13" t="n">
        <f aca="false">X55+X51+X52+X53+X54</f>
        <v>165.873592595977</v>
      </c>
      <c r="Y56" s="13" t="n">
        <f aca="false">Y55+Y51+Y52+Y53+Y54</f>
        <v>167.499414288362</v>
      </c>
      <c r="Z56" s="13" t="n">
        <f aca="false">Z55+Z51+Z52+Z53+Z54</f>
        <v>167.31667223213</v>
      </c>
      <c r="AA56" s="13" t="n">
        <f aca="false">AA55+AA51+AA52+AA53+AA54</f>
        <v>169.654199163282</v>
      </c>
      <c r="AB56" s="13" t="n">
        <f aca="false">AB55+AB51+AB52+AB53+AB54</f>
        <v>170.793668801409</v>
      </c>
      <c r="AC56" s="13" t="n">
        <f aca="false">AC55+AC51+AC52+AC53+AC54</f>
        <v>170.427105323868</v>
      </c>
      <c r="AD56" s="13" t="n">
        <f aca="false">AD55+AD51+AD52+AD53+AD54</f>
        <v>164.842859698492</v>
      </c>
      <c r="AE56" s="13" t="n">
        <f aca="false">AE55+AE51+AE52+AE53+AE54</f>
        <v>169.833979576429</v>
      </c>
      <c r="AF56" s="13" t="n">
        <f aca="false">AF55+AF51+AF52+AF53+AF54</f>
        <v>175.907509570371</v>
      </c>
      <c r="AG56" s="13" t="n">
        <f aca="false">AG55+AG51+AG52+AG53+AG54</f>
        <v>177.665599668692</v>
      </c>
      <c r="AH56" s="13" t="n">
        <f aca="false">AH55+AH51+AH52+AH53+AH54</f>
        <v>177.470166109564</v>
      </c>
      <c r="AI56" s="13" t="n">
        <f aca="false">AI55+AI51+AI52+AI53+AI54</f>
        <v>179.993579672251</v>
      </c>
      <c r="AJ56" s="13" t="n">
        <f aca="false">AJ55+AJ51+AJ52+AJ53+AJ54</f>
        <v>181.222757269296</v>
      </c>
      <c r="AK56" s="13" t="n">
        <f aca="false">AK55+AK51+AK52+AK53+AK54</f>
        <v>182.048059648638</v>
      </c>
      <c r="AL56" s="13" t="n">
        <f aca="false">AL55+AL51+AL52+AL53+AL54</f>
        <v>178.517702170664</v>
      </c>
      <c r="AM56" s="13" t="n">
        <f aca="false">AM55+AM51+AM52+AM53+AM54</f>
        <v>182.692386095132</v>
      </c>
      <c r="AN56" s="13" t="n">
        <f aca="false">AN55+AN51+AN52+AN53+AN54</f>
        <v>186.747355753624</v>
      </c>
      <c r="AO56" s="13" t="n">
        <f aca="false">AO55+AO51+AO52+AO53+AO54</f>
        <v>188.648416722223</v>
      </c>
      <c r="AP56" s="13" t="n">
        <f aca="false">AP55+AP51+AP52+AP53+AP54</f>
        <v>188.439262322547</v>
      </c>
      <c r="AQ56" s="13" t="n">
        <f aca="false">AQ55+AQ51+AQ52+AQ53+AQ54</f>
        <v>191.163550324987</v>
      </c>
      <c r="AR56" s="13" t="n">
        <f aca="false">AR55+AR51+AR52+AR53+AR54</f>
        <v>192.48956225145</v>
      </c>
      <c r="AS56" s="13" t="n">
        <f aca="false">AS55+AS51+AS52+AS53+AS54</f>
        <v>192.126314055145</v>
      </c>
      <c r="AT56" s="13" t="n">
        <f aca="false">AT55+AT51+AT52+AT53+AT54</f>
        <v>185.847263417472</v>
      </c>
      <c r="AU56" s="13" t="n">
        <f aca="false">AU55+AU51+AU52+AU53+AU54</f>
        <v>191.55630008062</v>
      </c>
      <c r="AV56" s="13" t="n">
        <f aca="false">AV55+AV51+AV52+AV53+AV54</f>
        <v>198.457959714793</v>
      </c>
      <c r="AW56" s="13" t="n">
        <f aca="false">AW55+AW51+AW52+AW53+AW54</f>
        <v>200.513555097517</v>
      </c>
      <c r="AX56" s="13" t="n">
        <f aca="false">AX55+AX51+AX52+AX53+AX54</f>
        <v>200.289575877057</v>
      </c>
      <c r="AY56" s="13" t="n">
        <f aca="false">AY55+AY51+AY52+AY53+AY54</f>
        <v>203.230927199732</v>
      </c>
      <c r="AZ56" s="13" t="n">
        <f aca="false">AZ55+AZ51+AZ52+AZ53+AZ54</f>
        <v>204.661469656837</v>
      </c>
      <c r="BA56" s="13" t="n">
        <f aca="false">BA55+BA51+BA52+BA53+BA54</f>
        <v>205.644698102252</v>
      </c>
      <c r="BB56" s="13" t="n">
        <f aca="false">BB55+BB51+BB52+BB53+BB54</f>
        <v>201.673119452604</v>
      </c>
      <c r="BC56" s="13" t="n">
        <f aca="false">BC55+BC51+BC52+BC53+BC54</f>
        <v>206.474328155213</v>
      </c>
      <c r="BD56" s="13" t="n">
        <f aca="false">BD55+BD51+BD52+BD53+BD54</f>
        <v>211.109365494216</v>
      </c>
      <c r="BE56" s="13" t="n">
        <f aca="false">BE55+BE51+BE52+BE53+BE54</f>
        <v>213.331988775292</v>
      </c>
      <c r="BF56" s="13" t="n">
        <f aca="false">BF55+BF51+BF52+BF53+BF54</f>
        <v>213.092001427196</v>
      </c>
      <c r="BG56" s="13" t="n">
        <f aca="false">BG55+BG51+BG52+BG53+BG54</f>
        <v>216.267901627156</v>
      </c>
      <c r="BH56" s="13" t="n">
        <f aca="false">BH55+BH51+BH52+BH53+BH54</f>
        <v>217.811286414174</v>
      </c>
      <c r="BI56" s="13" t="n">
        <f aca="false">BI55+BI51+BI52+BI53+BI54</f>
        <v>217.451422933357</v>
      </c>
      <c r="BJ56" s="13" t="n">
        <f aca="false">BJ55+BJ51+BJ52+BJ53+BJ54</f>
        <v>210.359191708203</v>
      </c>
      <c r="BK56" s="13" t="n">
        <f aca="false">BK55+BK51+BK52+BK53+BK54</f>
        <v>216.90758402228</v>
      </c>
      <c r="BL56" s="13" t="n">
        <f aca="false">BL55+BL51+BL52+BL53+BL54</f>
        <v>224.777251787185</v>
      </c>
      <c r="BM56" s="13" t="n">
        <f aca="false">BM55+BM51+BM52+BM53+BM54</f>
        <v>151.699315748868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-14.2934922267267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-0.0424668408671228</v>
      </c>
      <c r="P61" s="13" t="n">
        <f aca="false">IF(Time!P30&gt;0,Inputs!$F$154*MAX(-1,MIN(1,(P32-Inputs!$F$216)/Inputs!$F$217))*P21*Time!P30/12,0)</f>
        <v>-0.128794304255282</v>
      </c>
      <c r="Q61" s="13" t="n">
        <f aca="false">IF(Time!Q30&gt;0,Inputs!$F$154*MAX(-1,MIN(1,(Q32-Inputs!$F$216)/Inputs!$F$217))*Q21*Time!Q30/12,0)</f>
        <v>-0.162754167623248</v>
      </c>
      <c r="R61" s="13" t="n">
        <f aca="false">IF(Time!R30&gt;0,Inputs!$F$154*MAX(-1,MIN(1,(R32-Inputs!$F$216)/Inputs!$F$217))*R21*Time!R30/12,0)</f>
        <v>-0.230348613160568</v>
      </c>
      <c r="S61" s="13" t="n">
        <f aca="false">IF(Time!S30&gt;0,Inputs!$F$154*MAX(-1,MIN(1,(S32-Inputs!$F$216)/Inputs!$F$217))*S21*Time!S30/12,0)</f>
        <v>-0.199601711173151</v>
      </c>
      <c r="T61" s="13" t="n">
        <f aca="false">IF(Time!T30&gt;0,Inputs!$F$154*MAX(-1,MIN(1,(T32-Inputs!$F$216)/Inputs!$F$217))*T21*Time!T30/12,0)</f>
        <v>-0.134523590085774</v>
      </c>
      <c r="U61" s="13" t="n">
        <f aca="false">IF(Time!U30&gt;0,Inputs!$F$154*MAX(-1,MIN(1,(U32-Inputs!$F$216)/Inputs!$F$217))*U21*Time!U30/12,0)</f>
        <v>-0.256880009623876</v>
      </c>
      <c r="V61" s="13" t="n">
        <f aca="false">IF(Time!V30&gt;0,Inputs!$F$154*MAX(-1,MIN(1,(V32-Inputs!$F$216)/Inputs!$F$217))*V21*Time!V30/12,0)</f>
        <v>-0.34370777266915</v>
      </c>
      <c r="W61" s="13" t="n">
        <f aca="false">IF(Time!W30&gt;0,Inputs!$F$154*MAX(-1,MIN(1,(W32-Inputs!$F$216)/Inputs!$F$217))*W21*Time!W30/12,0)</f>
        <v>-0.347467989488296</v>
      </c>
      <c r="X61" s="13" t="n">
        <f aca="false">IF(Time!X30&gt;0,Inputs!$F$154*MAX(-1,MIN(1,(X32-Inputs!$F$216)/Inputs!$F$217))*X21*Time!X30/12,0)</f>
        <v>-0.140507737467149</v>
      </c>
      <c r="Y61" s="13" t="n">
        <f aca="false">IF(Time!Y30&gt;0,Inputs!$F$154*MAX(-1,MIN(1,(Y32-Inputs!$F$216)/Inputs!$F$217))*Y21*Time!Y30/12,0)</f>
        <v>-0.177556142628519</v>
      </c>
      <c r="Z61" s="13" t="n">
        <f aca="false">IF(Time!Z30&gt;0,Inputs!$F$154*MAX(-1,MIN(1,(Z32-Inputs!$F$216)/Inputs!$F$217))*Z21*Time!Z30/12,0)</f>
        <v>-0.251298088459993</v>
      </c>
      <c r="AA61" s="13" t="n">
        <f aca="false">IF(Time!AA30&gt;0,Inputs!$F$154*MAX(-1,MIN(1,(AA32-Inputs!$F$216)/Inputs!$F$217))*AA21*Time!AA30/12,0)</f>
        <v>-0.217754853319615</v>
      </c>
      <c r="AB61" s="13" t="n">
        <f aca="false">IF(Time!AB30&gt;0,Inputs!$F$154*MAX(-1,MIN(1,(AB32-Inputs!$F$216)/Inputs!$F$217))*AB21*Time!AB30/12,0)</f>
        <v>-0.146758083660638</v>
      </c>
      <c r="AC61" s="13" t="n">
        <f aca="false">IF(Time!AC30&gt;0,Inputs!$F$154*MAX(-1,MIN(1,(AC32-Inputs!$F$216)/Inputs!$F$217))*AC21*Time!AC30/12,0)</f>
        <v>-0.358545463482597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-0.379069100357809</v>
      </c>
      <c r="AF61" s="13" t="n">
        <f aca="false">IF(Time!AF30&gt;0,Inputs!$F$154*MAX(-1,MIN(1,(AF32-Inputs!$F$216)/Inputs!$F$217))*AF21*Time!AF30/12,0)</f>
        <v>-0.153286470254197</v>
      </c>
      <c r="AG61" s="13" t="n">
        <f aca="false">IF(Time!AG30&gt;0,Inputs!$F$154*MAX(-1,MIN(1,(AG32-Inputs!$F$216)/Inputs!$F$217))*AG21*Time!AG30/12,0)</f>
        <v>-0.19370431028284</v>
      </c>
      <c r="AH61" s="13" t="n">
        <f aca="false">IF(Time!AH30&gt;0,Inputs!$F$154*MAX(-1,MIN(1,(AH32-Inputs!$F$216)/Inputs!$F$217))*AH21*Time!AH30/12,0)</f>
        <v>-0.274152852049629</v>
      </c>
      <c r="AI61" s="13" t="n">
        <f aca="false">IF(Time!AI30&gt;0,Inputs!$F$154*MAX(-1,MIN(1,(AI32-Inputs!$F$216)/Inputs!$F$217))*AI21*Time!AI30/12,0)</f>
        <v>-0.237558966130875</v>
      </c>
      <c r="AJ61" s="13" t="n">
        <f aca="false">IF(Time!AJ30&gt;0,Inputs!$F$154*MAX(-1,MIN(1,(AJ32-Inputs!$F$216)/Inputs!$F$217))*AJ21*Time!AJ30/12,0)</f>
        <v>-0.160105265596985</v>
      </c>
      <c r="AK61" s="13" t="n">
        <f aca="false">IF(Time!AK30&gt;0,Inputs!$F$154*MAX(-1,MIN(1,(AK32-Inputs!$F$216)/Inputs!$F$217))*AK21*Time!AK30/12,0)</f>
        <v>-0.305729590930209</v>
      </c>
      <c r="AL61" s="13" t="n">
        <f aca="false">IF(Time!AL30&gt;0,Inputs!$F$154*MAX(-1,MIN(1,(AL32-Inputs!$F$216)/Inputs!$F$217))*AL21*Time!AL30/12,0)</f>
        <v>-0.409068953600295</v>
      </c>
      <c r="AM61" s="13" t="n">
        <f aca="false">IF(Time!AM30&gt;0,Inputs!$F$154*MAX(-1,MIN(1,(AM32-Inputs!$F$216)/Inputs!$F$217))*AM21*Time!AM30/12,0)</f>
        <v>-0.413544231967069</v>
      </c>
      <c r="AN61" s="13" t="n">
        <f aca="false">IF(Time!AN30&gt;0,Inputs!$F$154*MAX(-1,MIN(1,(AN32-Inputs!$F$216)/Inputs!$F$217))*AN21*Time!AN30/12,0)</f>
        <v>-0.167227388231801</v>
      </c>
      <c r="AO61" s="13" t="n">
        <f aca="false">IF(Time!AO30&gt;0,Inputs!$F$154*MAX(-1,MIN(1,(AO32-Inputs!$F$216)/Inputs!$F$217))*AO21*Time!AO30/12,0)</f>
        <v>-0.211321102535172</v>
      </c>
      <c r="AP61" s="13" t="n">
        <f aca="false">IF(Time!AP30&gt;0,Inputs!$F$154*MAX(-1,MIN(1,(AP32-Inputs!$F$216)/Inputs!$F$217))*AP21*Time!AP30/12,0)</f>
        <v>-0.299086183852573</v>
      </c>
      <c r="AQ61" s="13" t="n">
        <f aca="false">IF(Time!AQ30&gt;0,Inputs!$F$154*MAX(-1,MIN(1,(AQ32-Inputs!$F$216)/Inputs!$F$217))*AQ21*Time!AQ30/12,0)</f>
        <v>-0.259164200149135</v>
      </c>
      <c r="AR61" s="13" t="n">
        <f aca="false">IF(Time!AR30&gt;0,Inputs!$F$154*MAX(-1,MIN(1,(AR32-Inputs!$F$216)/Inputs!$F$217))*AR21*Time!AR30/12,0)</f>
        <v>-0.174666331369905</v>
      </c>
      <c r="AS61" s="13" t="n">
        <f aca="false">IF(Time!AS30&gt;0,Inputs!$F$154*MAX(-1,MIN(1,(AS32-Inputs!$F$216)/Inputs!$F$217))*AS21*Time!AS30/12,0)</f>
        <v>-0.426728253556669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-0.451154767380948</v>
      </c>
      <c r="AV61" s="13" t="n">
        <f aca="false">IF(Time!AV30&gt;0,Inputs!$F$154*MAX(-1,MIN(1,(AV32-Inputs!$F$216)/Inputs!$F$217))*AV21*Time!AV30/12,0)</f>
        <v>-0.182436188454563</v>
      </c>
      <c r="AW61" s="13" t="n">
        <f aca="false">IF(Time!AW30&gt;0,Inputs!$F$154*MAX(-1,MIN(1,(AW32-Inputs!$F$216)/Inputs!$F$217))*AW21*Time!AW30/12,0)</f>
        <v>-0.230540086131665</v>
      </c>
      <c r="AX61" s="13" t="n">
        <f aca="false">IF(Time!AX30&gt;0,Inputs!$F$154*MAX(-1,MIN(1,(AX32-Inputs!$F$216)/Inputs!$F$217))*AX21*Time!AX30/12,0)</f>
        <v>-0.326287123050983</v>
      </c>
      <c r="AY61" s="13" t="n">
        <f aca="false">IF(Time!AY30&gt;0,Inputs!$F$154*MAX(-1,MIN(1,(AY32-Inputs!$F$216)/Inputs!$F$217))*AY21*Time!AY30/12,0)</f>
        <v>-0.282734361631873</v>
      </c>
      <c r="AZ61" s="13" t="n">
        <f aca="false">IF(Time!AZ30&gt;0,Inputs!$F$154*MAX(-1,MIN(1,(AZ32-Inputs!$F$216)/Inputs!$F$217))*AZ21*Time!AZ30/12,0)</f>
        <v>-0.190551679861776</v>
      </c>
      <c r="BA61" s="13" t="n">
        <f aca="false">IF(Time!BA30&gt;0,Inputs!$F$154*MAX(-1,MIN(1,(BA32-Inputs!$F$216)/Inputs!$F$217))*BA21*Time!BA30/12,0)</f>
        <v>-0.363868651777197</v>
      </c>
      <c r="BB61" s="13" t="n">
        <f aca="false">IF(Time!BB30&gt;0,Inputs!$F$154*MAX(-1,MIN(1,(BB32-Inputs!$F$216)/Inputs!$F$217))*BB21*Time!BB30/12,0)</f>
        <v>-0.486859542046837</v>
      </c>
      <c r="BC61" s="13" t="n">
        <f aca="false">IF(Time!BC30&gt;0,Inputs!$F$154*MAX(-1,MIN(1,(BC32-Inputs!$F$216)/Inputs!$F$217))*BC21*Time!BC30/12,0)</f>
        <v>-0.492185861624509</v>
      </c>
      <c r="BD61" s="13" t="n">
        <f aca="false">IF(Time!BD30&gt;0,Inputs!$F$154*MAX(-1,MIN(1,(BD32-Inputs!$F$216)/Inputs!$F$217))*BD21*Time!BD30/12,0)</f>
        <v>-0.199028180788747</v>
      </c>
      <c r="BE61" s="13" t="n">
        <f aca="false">IF(Time!BE30&gt;0,Inputs!$F$154*MAX(-1,MIN(1,(BE32-Inputs!$F$216)/Inputs!$F$217))*BE21*Time!BE30/12,0)</f>
        <v>-0.251506975290124</v>
      </c>
      <c r="BF61" s="13" t="n">
        <f aca="false">IF(Time!BF30&gt;0,Inputs!$F$154*MAX(-1,MIN(1,(BF32-Inputs!$F$216)/Inputs!$F$217))*BF21*Time!BF30/12,0)</f>
        <v>-0.35596190134067</v>
      </c>
      <c r="BG61" s="13" t="n">
        <f aca="false">IF(Time!BG30&gt;0,Inputs!$F$154*MAX(-1,MIN(1,(BG32-Inputs!$F$216)/Inputs!$F$217))*BG21*Time!BG30/12,0)</f>
        <v>-0.308448154495808</v>
      </c>
      <c r="BH61" s="13" t="n">
        <f aca="false">IF(Time!BH30&gt;0,Inputs!$F$154*MAX(-1,MIN(1,(BH32-Inputs!$F$216)/Inputs!$F$217))*BH21*Time!BH30/12,0)</f>
        <v>-0.207881750382954</v>
      </c>
      <c r="BI61" s="13" t="n">
        <f aca="false">IF(Time!BI30&gt;0,Inputs!$F$154*MAX(-1,MIN(1,(BI32-Inputs!$F$216)/Inputs!$F$217))*BI21*Time!BI30/12,0)</f>
        <v>-0.50787702238593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-0.536948603667333</v>
      </c>
      <c r="BL61" s="13" t="n">
        <f aca="false">IF(Time!BL30&gt;0,Inputs!$F$154*MAX(-1,MIN(1,(BL32-Inputs!$F$216)/Inputs!$F$217))*BL21*Time!BL30/12,0)</f>
        <v>-0.217129162166989</v>
      </c>
      <c r="BM61" s="13" t="n">
        <f aca="false">IF(Time!BM30&gt;0,Inputs!$F$154*MAX(-1,MIN(1,(BM32-Inputs!$F$216)/Inputs!$F$217))*BM21*Time!BM30/12,0)</f>
        <v>-0.146336392786137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2727.08315565032</v>
      </c>
      <c r="P63" s="15" t="n">
        <f aca="false">IF(P31&gt;0,Inputs!$F$258*(Inputs!$F$129*P32/P31*P37/Inputs!$F$131+Inputs!$F$130*Inputs!$F$132)*Time!P30/12,0)</f>
        <v>8181.24946695096</v>
      </c>
      <c r="Q63" s="15" t="n">
        <f aca="false">IF(Q31&gt;0,Inputs!$F$258*(Inputs!$F$129*Q32/Q31*Q37/Inputs!$F$131+Inputs!$F$130*Inputs!$F$132)*Time!Q30/12,0)</f>
        <v>8180.42245989305</v>
      </c>
      <c r="R63" s="15" t="n">
        <f aca="false">IF(R31&gt;0,Inputs!$F$258*(Inputs!$F$129*R32/R31*R37/Inputs!$F$131+Inputs!$F$130*Inputs!$F$132)*Time!R30/12,0)</f>
        <v>8178.7524219591</v>
      </c>
      <c r="S63" s="15" t="n">
        <f aca="false">IF(S31&gt;0,Inputs!$F$258*(Inputs!$F$129*S32/S31*S37/Inputs!$F$131+Inputs!$F$130*Inputs!$F$132)*Time!S30/12,0)</f>
        <v>8179.59012875537</v>
      </c>
      <c r="T63" s="15" t="n">
        <f aca="false">IF(T31&gt;0,Inputs!$F$258*(Inputs!$F$129*T32/T31*T37/Inputs!$F$131+Inputs!$F$130*Inputs!$F$132)*Time!T30/12,0)</f>
        <v>8181.24946695096</v>
      </c>
      <c r="U63" s="15" t="n">
        <f aca="false">IF(U31&gt;0,Inputs!$F$258*(Inputs!$F$129*U32/U31*U37/Inputs!$F$131+Inputs!$F$130*Inputs!$F$132)*Time!U30/12,0)</f>
        <v>8178.28468727534</v>
      </c>
      <c r="V63" s="15" t="n">
        <f aca="false">IF(V31&gt;0,Inputs!$F$258*(Inputs!$F$129*V32/V31*V37/Inputs!$F$131+Inputs!$F$130*Inputs!$F$132)*Time!V30/12,0)</f>
        <v>8172.14569536424</v>
      </c>
      <c r="W63" s="15" t="n">
        <f aca="false">IF(W31&gt;0,Inputs!$F$258*(Inputs!$F$129*W32/W31*W37/Inputs!$F$131+Inputs!$F$130*Inputs!$F$132)*Time!W30/12,0)</f>
        <v>8175.25090909091</v>
      </c>
      <c r="X63" s="15" t="n">
        <f aca="false">IF(X31&gt;0,Inputs!$F$258*(Inputs!$F$129*X32/X31*X37/Inputs!$F$131+Inputs!$F$130*Inputs!$F$132)*Time!X30/12,0)</f>
        <v>8181.24946695096</v>
      </c>
      <c r="Y63" s="15" t="n">
        <f aca="false">IF(Y31&gt;0,Inputs!$F$258*(Inputs!$F$129*Y32/Y31*Y37/Inputs!$F$131+Inputs!$F$130*Inputs!$F$132)*Time!Y30/12,0)</f>
        <v>8180.42245989305</v>
      </c>
      <c r="Z63" s="15" t="n">
        <f aca="false">IF(Z31&gt;0,Inputs!$F$258*(Inputs!$F$129*Z32/Z31*Z37/Inputs!$F$131+Inputs!$F$130*Inputs!$F$132)*Time!Z30/12,0)</f>
        <v>8178.7524219591</v>
      </c>
      <c r="AA63" s="15" t="n">
        <f aca="false">IF(AA31&gt;0,Inputs!$F$258*(Inputs!$F$129*AA32/AA31*AA37/Inputs!$F$131+Inputs!$F$130*Inputs!$F$132)*Time!AA30/12,0)</f>
        <v>8179.59012875537</v>
      </c>
      <c r="AB63" s="15" t="n">
        <f aca="false">IF(AB31&gt;0,Inputs!$F$258*(Inputs!$F$129*AB32/AB31*AB37/Inputs!$F$131+Inputs!$F$130*Inputs!$F$132)*Time!AB30/12,0)</f>
        <v>8181.24946695096</v>
      </c>
      <c r="AC63" s="15" t="n">
        <f aca="false">IF(AC31&gt;0,Inputs!$F$258*(Inputs!$F$129*AC32/AC31*AC37/Inputs!$F$131+Inputs!$F$130*Inputs!$F$132)*Time!AC30/12,0)</f>
        <v>8176.49185667753</v>
      </c>
      <c r="AD63" s="15" t="n">
        <f aca="false">IF(AD31&gt;0,Inputs!$F$258*(Inputs!$F$129*AD32/AD31*AD37/Inputs!$F$131+Inputs!$F$130*Inputs!$F$132)*Time!AD30/12,0)</f>
        <v>8166.42953776776</v>
      </c>
      <c r="AE63" s="15" t="n">
        <f aca="false">IF(AE31&gt;0,Inputs!$F$258*(Inputs!$F$129*AE32/AE31*AE37/Inputs!$F$131+Inputs!$F$130*Inputs!$F$132)*Time!AE30/12,0)</f>
        <v>8171.55530973452</v>
      </c>
      <c r="AF63" s="15" t="n">
        <f aca="false">IF(AF31&gt;0,Inputs!$F$258*(Inputs!$F$129*AF32/AF31*AF37/Inputs!$F$131+Inputs!$F$130*Inputs!$F$132)*Time!AF30/12,0)</f>
        <v>8181.24946695096</v>
      </c>
      <c r="AG63" s="15" t="n">
        <f aca="false">IF(AG31&gt;0,Inputs!$F$258*(Inputs!$F$129*AG32/AG31*AG37/Inputs!$F$131+Inputs!$F$130*Inputs!$F$132)*Time!AG30/12,0)</f>
        <v>8180.42245989305</v>
      </c>
      <c r="AH63" s="15" t="n">
        <f aca="false">IF(AH31&gt;0,Inputs!$F$258*(Inputs!$F$129*AH32/AH31*AH37/Inputs!$F$131+Inputs!$F$130*Inputs!$F$132)*Time!AH30/12,0)</f>
        <v>8178.7524219591</v>
      </c>
      <c r="AI63" s="15" t="n">
        <f aca="false">IF(AI31&gt;0,Inputs!$F$258*(Inputs!$F$129*AI32/AI31*AI37/Inputs!$F$131+Inputs!$F$130*Inputs!$F$132)*Time!AI30/12,0)</f>
        <v>8179.59012875537</v>
      </c>
      <c r="AJ63" s="15" t="n">
        <f aca="false">IF(AJ31&gt;0,Inputs!$F$258*(Inputs!$F$129*AJ32/AJ31*AJ37/Inputs!$F$131+Inputs!$F$130*Inputs!$F$132)*Time!AJ30/12,0)</f>
        <v>8181.24946695096</v>
      </c>
      <c r="AK63" s="15" t="n">
        <f aca="false">IF(AK31&gt;0,Inputs!$F$258*(Inputs!$F$129*AK32/AK31*AK37/Inputs!$F$131+Inputs!$F$130*Inputs!$F$132)*Time!AK30/12,0)</f>
        <v>8178.28468727534</v>
      </c>
      <c r="AL63" s="15" t="n">
        <f aca="false">IF(AL31&gt;0,Inputs!$F$258*(Inputs!$F$129*AL32/AL31*AL37/Inputs!$F$131+Inputs!$F$130*Inputs!$F$132)*Time!AL30/12,0)</f>
        <v>8172.14569536424</v>
      </c>
      <c r="AM63" s="15" t="n">
        <f aca="false">IF(AM31&gt;0,Inputs!$F$258*(Inputs!$F$129*AM32/AM31*AM37/Inputs!$F$131+Inputs!$F$130*Inputs!$F$132)*Time!AM30/12,0)</f>
        <v>8175.25090909091</v>
      </c>
      <c r="AN63" s="15" t="n">
        <f aca="false">IF(AN31&gt;0,Inputs!$F$258*(Inputs!$F$129*AN32/AN31*AN37/Inputs!$F$131+Inputs!$F$130*Inputs!$F$132)*Time!AN30/12,0)</f>
        <v>8181.24946695096</v>
      </c>
      <c r="AO63" s="15" t="n">
        <f aca="false">IF(AO31&gt;0,Inputs!$F$258*(Inputs!$F$129*AO32/AO31*AO37/Inputs!$F$131+Inputs!$F$130*Inputs!$F$132)*Time!AO30/12,0)</f>
        <v>8180.42245989305</v>
      </c>
      <c r="AP63" s="15" t="n">
        <f aca="false">IF(AP31&gt;0,Inputs!$F$258*(Inputs!$F$129*AP32/AP31*AP37/Inputs!$F$131+Inputs!$F$130*Inputs!$F$132)*Time!AP30/12,0)</f>
        <v>8178.7524219591</v>
      </c>
      <c r="AQ63" s="15" t="n">
        <f aca="false">IF(AQ31&gt;0,Inputs!$F$258*(Inputs!$F$129*AQ32/AQ31*AQ37/Inputs!$F$131+Inputs!$F$130*Inputs!$F$132)*Time!AQ30/12,0)</f>
        <v>8179.59012875537</v>
      </c>
      <c r="AR63" s="15" t="n">
        <f aca="false">IF(AR31&gt;0,Inputs!$F$258*(Inputs!$F$129*AR32/AR31*AR37/Inputs!$F$131+Inputs!$F$130*Inputs!$F$132)*Time!AR30/12,0)</f>
        <v>8181.24946695096</v>
      </c>
      <c r="AS63" s="15" t="n">
        <f aca="false">IF(AS31&gt;0,Inputs!$F$258*(Inputs!$F$129*AS32/AS31*AS37/Inputs!$F$131+Inputs!$F$130*Inputs!$F$132)*Time!AS30/12,0)</f>
        <v>8176.49185667753</v>
      </c>
      <c r="AT63" s="15" t="n">
        <f aca="false">IF(AT31&gt;0,Inputs!$F$258*(Inputs!$F$129*AT32/AT31*AT37/Inputs!$F$131+Inputs!$F$130*Inputs!$F$132)*Time!AT30/12,0)</f>
        <v>8166.42953776776</v>
      </c>
      <c r="AU63" s="15" t="n">
        <f aca="false">IF(AU31&gt;0,Inputs!$F$258*(Inputs!$F$129*AU32/AU31*AU37/Inputs!$F$131+Inputs!$F$130*Inputs!$F$132)*Time!AU30/12,0)</f>
        <v>8171.55530973452</v>
      </c>
      <c r="AV63" s="15" t="n">
        <f aca="false">IF(AV31&gt;0,Inputs!$F$258*(Inputs!$F$129*AV32/AV31*AV37/Inputs!$F$131+Inputs!$F$130*Inputs!$F$132)*Time!AV30/12,0)</f>
        <v>8181.24946695096</v>
      </c>
      <c r="AW63" s="15" t="n">
        <f aca="false">IF(AW31&gt;0,Inputs!$F$258*(Inputs!$F$129*AW32/AW31*AW37/Inputs!$F$131+Inputs!$F$130*Inputs!$F$132)*Time!AW30/12,0)</f>
        <v>8180.42245989305</v>
      </c>
      <c r="AX63" s="15" t="n">
        <f aca="false">IF(AX31&gt;0,Inputs!$F$258*(Inputs!$F$129*AX32/AX31*AX37/Inputs!$F$131+Inputs!$F$130*Inputs!$F$132)*Time!AX30/12,0)</f>
        <v>8178.7524219591</v>
      </c>
      <c r="AY63" s="15" t="n">
        <f aca="false">IF(AY31&gt;0,Inputs!$F$258*(Inputs!$F$129*AY32/AY31*AY37/Inputs!$F$131+Inputs!$F$130*Inputs!$F$132)*Time!AY30/12,0)</f>
        <v>8179.59012875537</v>
      </c>
      <c r="AZ63" s="15" t="n">
        <f aca="false">IF(AZ31&gt;0,Inputs!$F$258*(Inputs!$F$129*AZ32/AZ31*AZ37/Inputs!$F$131+Inputs!$F$130*Inputs!$F$132)*Time!AZ30/12,0)</f>
        <v>8181.24946695096</v>
      </c>
      <c r="BA63" s="15" t="n">
        <f aca="false">IF(BA31&gt;0,Inputs!$F$258*(Inputs!$F$129*BA32/BA31*BA37/Inputs!$F$131+Inputs!$F$130*Inputs!$F$132)*Time!BA30/12,0)</f>
        <v>8178.28468727534</v>
      </c>
      <c r="BB63" s="15" t="n">
        <f aca="false">IF(BB31&gt;0,Inputs!$F$258*(Inputs!$F$129*BB32/BB31*BB37/Inputs!$F$131+Inputs!$F$130*Inputs!$F$132)*Time!BB30/12,0)</f>
        <v>8172.14569536424</v>
      </c>
      <c r="BC63" s="15" t="n">
        <f aca="false">IF(BC31&gt;0,Inputs!$F$258*(Inputs!$F$129*BC32/BC31*BC37/Inputs!$F$131+Inputs!$F$130*Inputs!$F$132)*Time!BC30/12,0)</f>
        <v>8175.25090909091</v>
      </c>
      <c r="BD63" s="15" t="n">
        <f aca="false">IF(BD31&gt;0,Inputs!$F$258*(Inputs!$F$129*BD32/BD31*BD37/Inputs!$F$131+Inputs!$F$130*Inputs!$F$132)*Time!BD30/12,0)</f>
        <v>8181.24946695096</v>
      </c>
      <c r="BE63" s="15" t="n">
        <f aca="false">IF(BE31&gt;0,Inputs!$F$258*(Inputs!$F$129*BE32/BE31*BE37/Inputs!$F$131+Inputs!$F$130*Inputs!$F$132)*Time!BE30/12,0)</f>
        <v>8180.42245989305</v>
      </c>
      <c r="BF63" s="15" t="n">
        <f aca="false">IF(BF31&gt;0,Inputs!$F$258*(Inputs!$F$129*BF32/BF31*BF37/Inputs!$F$131+Inputs!$F$130*Inputs!$F$132)*Time!BF30/12,0)</f>
        <v>8178.7524219591</v>
      </c>
      <c r="BG63" s="15" t="n">
        <f aca="false">IF(BG31&gt;0,Inputs!$F$258*(Inputs!$F$129*BG32/BG31*BG37/Inputs!$F$131+Inputs!$F$130*Inputs!$F$132)*Time!BG30/12,0)</f>
        <v>8179.59012875537</v>
      </c>
      <c r="BH63" s="15" t="n">
        <f aca="false">IF(BH31&gt;0,Inputs!$F$258*(Inputs!$F$129*BH32/BH31*BH37/Inputs!$F$131+Inputs!$F$130*Inputs!$F$132)*Time!BH30/12,0)</f>
        <v>8181.24946695096</v>
      </c>
      <c r="BI63" s="15" t="n">
        <f aca="false">IF(BI31&gt;0,Inputs!$F$258*(Inputs!$F$129*BI32/BI31*BI37/Inputs!$F$131+Inputs!$F$130*Inputs!$F$132)*Time!BI30/12,0)</f>
        <v>8176.49185667753</v>
      </c>
      <c r="BJ63" s="15" t="n">
        <f aca="false">IF(BJ31&gt;0,Inputs!$F$258*(Inputs!$F$129*BJ32/BJ31*BJ37/Inputs!$F$131+Inputs!$F$130*Inputs!$F$132)*Time!BJ30/12,0)</f>
        <v>8166.42953776776</v>
      </c>
      <c r="BK63" s="15" t="n">
        <f aca="false">IF(BK31&gt;0,Inputs!$F$258*(Inputs!$F$129*BK32/BK31*BK37/Inputs!$F$131+Inputs!$F$130*Inputs!$F$132)*Time!BK30/12,0)</f>
        <v>8171.55530973452</v>
      </c>
      <c r="BL63" s="15" t="n">
        <f aca="false">IF(BL31&gt;0,Inputs!$F$258*(Inputs!$F$129*BL32/BL31*BL37/Inputs!$F$131+Inputs!$F$130*Inputs!$F$132)*Time!BL30/12,0)</f>
        <v>8181.24946695096</v>
      </c>
      <c r="BM63" s="15" t="n">
        <f aca="false">IF(BM31&gt;0,Inputs!$F$258*(Inputs!$F$129*BM32/BM31*BM37/Inputs!$F$131+Inputs!$F$130*Inputs!$F$132)*Time!BM30/12,0)</f>
        <v>5454.16631130064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280.866139856236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1.40709886778932</v>
      </c>
      <c r="P64" s="13" t="n">
        <f aca="false">P63*Inputs!$F$156*P21/1000000</f>
        <v>4.2674782487911</v>
      </c>
      <c r="Q64" s="13" t="n">
        <f aca="false">Q63*Inputs!$F$156*Q21/1000000</f>
        <v>4.31372902838318</v>
      </c>
      <c r="R64" s="13" t="n">
        <f aca="false">R63*Inputs!$F$156*R21/1000000</f>
        <v>4.36003161429534</v>
      </c>
      <c r="S64" s="13" t="n">
        <f aca="false">S63*Inputs!$F$156*S21/1000000</f>
        <v>4.40818250326539</v>
      </c>
      <c r="T64" s="13" t="n">
        <f aca="false">T63*Inputs!$F$156*T21/1000000</f>
        <v>4.45731275121032</v>
      </c>
      <c r="U64" s="13" t="n">
        <f aca="false">U63*Inputs!$F$156*U21/1000000</f>
        <v>4.50444350602326</v>
      </c>
      <c r="V64" s="13" t="n">
        <f aca="false">V63*Inputs!$F$156*V21/1000000</f>
        <v>4.55030459170791</v>
      </c>
      <c r="W64" s="13" t="n">
        <f aca="false">W63*Inputs!$F$156*W21/1000000</f>
        <v>4.60183355504957</v>
      </c>
      <c r="X64" s="13" t="n">
        <f aca="false">X63*Inputs!$F$156*X21/1000000</f>
        <v>4.65559185163516</v>
      </c>
      <c r="Y64" s="13" t="n">
        <f aca="false">Y63*Inputs!$F$156*Y21/1000000</f>
        <v>4.70604899284301</v>
      </c>
      <c r="Z64" s="13" t="n">
        <f aca="false">Z63*Inputs!$F$156*Z21/1000000</f>
        <v>4.75656265199132</v>
      </c>
      <c r="AA64" s="13" t="n">
        <f aca="false">AA63*Inputs!$F$156*AA21/1000000</f>
        <v>4.8090927114946</v>
      </c>
      <c r="AB64" s="13" t="n">
        <f aca="false">AB63*Inputs!$F$156*AB21/1000000</f>
        <v>4.8626911995633</v>
      </c>
      <c r="AC64" s="13" t="n">
        <f aca="false">AC63*Inputs!$F$156*AC21/1000000</f>
        <v>4.91303108390783</v>
      </c>
      <c r="AD64" s="13" t="n">
        <f aca="false">AD63*Inputs!$F$156*AD21/1000000</f>
        <v>4.96066809355904</v>
      </c>
      <c r="AE64" s="13" t="n">
        <f aca="false">AE63*Inputs!$F$156*AE21/1000000</f>
        <v>5.01808627405193</v>
      </c>
      <c r="AF64" s="13" t="n">
        <f aca="false">AF63*Inputs!$F$156*AF21/1000000</f>
        <v>5.07900315488467</v>
      </c>
      <c r="AG64" s="13" t="n">
        <f aca="false">AG63*Inputs!$F$156*AG21/1000000</f>
        <v>5.13404921294732</v>
      </c>
      <c r="AH64" s="13" t="n">
        <f aca="false">AH63*Inputs!$F$156*AH21/1000000</f>
        <v>5.18915692907775</v>
      </c>
      <c r="AI64" s="13" t="n">
        <f aca="false">AI63*Inputs!$F$156*AI21/1000000</f>
        <v>5.24646443077589</v>
      </c>
      <c r="AJ64" s="13" t="n">
        <f aca="false">AJ63*Inputs!$F$156*AJ21/1000000</f>
        <v>5.30493753122656</v>
      </c>
      <c r="AK64" s="13" t="n">
        <f aca="false">AK63*Inputs!$F$156*AK21/1000000</f>
        <v>5.36103090497834</v>
      </c>
      <c r="AL64" s="13" t="n">
        <f aca="false">AL63*Inputs!$F$156*AL21/1000000</f>
        <v>5.41561316300033</v>
      </c>
      <c r="AM64" s="13" t="n">
        <f aca="false">AM63*Inputs!$F$156*AM21/1000000</f>
        <v>5.47694113050769</v>
      </c>
      <c r="AN64" s="13" t="n">
        <f aca="false">AN63*Inputs!$F$156*AN21/1000000</f>
        <v>5.54092237236564</v>
      </c>
      <c r="AO64" s="13" t="n">
        <f aca="false">AO63*Inputs!$F$156*AO21/1000000</f>
        <v>5.60097469470699</v>
      </c>
      <c r="AP64" s="13" t="n">
        <f aca="false">AP63*Inputs!$F$156*AP21/1000000</f>
        <v>5.66109428272169</v>
      </c>
      <c r="AQ64" s="13" t="n">
        <f aca="false">AQ63*Inputs!$F$156*AQ21/1000000</f>
        <v>5.72361371981994</v>
      </c>
      <c r="AR64" s="13" t="n">
        <f aca="false">AR63*Inputs!$F$156*AR21/1000000</f>
        <v>5.78740476317795</v>
      </c>
      <c r="AS64" s="13" t="n">
        <f aca="false">AS63*Inputs!$F$156*AS21/1000000</f>
        <v>5.84731753050718</v>
      </c>
      <c r="AT64" s="13" t="n">
        <f aca="false">AT63*Inputs!$F$156*AT21/1000000</f>
        <v>5.90401343103727</v>
      </c>
      <c r="AU64" s="13" t="n">
        <f aca="false">AU63*Inputs!$F$156*AU21/1000000</f>
        <v>5.9723505385442</v>
      </c>
      <c r="AV64" s="13" t="n">
        <f aca="false">AV63*Inputs!$F$156*AV21/1000000</f>
        <v>6.04485167666315</v>
      </c>
      <c r="AW64" s="13" t="n">
        <f aca="false">AW63*Inputs!$F$156*AW21/1000000</f>
        <v>6.11036556713076</v>
      </c>
      <c r="AX64" s="13" t="n">
        <f aca="false">AX63*Inputs!$F$156*AX21/1000000</f>
        <v>6.17595284087122</v>
      </c>
      <c r="AY64" s="13" t="n">
        <f aca="false">AY63*Inputs!$F$156*AY21/1000000</f>
        <v>6.24415822235286</v>
      </c>
      <c r="AZ64" s="13" t="n">
        <f aca="false">AZ63*Inputs!$F$156*AZ21/1000000</f>
        <v>6.31375085864783</v>
      </c>
      <c r="BA64" s="13" t="n">
        <f aca="false">BA63*Inputs!$F$156*BA21/1000000</f>
        <v>6.38051122756925</v>
      </c>
      <c r="BB64" s="13" t="n">
        <f aca="false">BB63*Inputs!$F$156*BB21/1000000</f>
        <v>6.4454731194718</v>
      </c>
      <c r="BC64" s="13" t="n">
        <f aca="false">BC63*Inputs!$F$156*BC21/1000000</f>
        <v>6.51846351855369</v>
      </c>
      <c r="BD64" s="13" t="n">
        <f aca="false">BD63*Inputs!$F$156*BD21/1000000</f>
        <v>6.59461175184392</v>
      </c>
      <c r="BE64" s="13" t="n">
        <f aca="false">BE63*Inputs!$F$156*BE21/1000000</f>
        <v>6.66608392272524</v>
      </c>
      <c r="BF64" s="13" t="n">
        <f aca="false">BF63*Inputs!$F$156*BF21/1000000</f>
        <v>6.73763615085517</v>
      </c>
      <c r="BG64" s="13" t="n">
        <f aca="false">BG63*Inputs!$F$156*BG21/1000000</f>
        <v>6.81204459531615</v>
      </c>
      <c r="BH64" s="13" t="n">
        <f aca="false">BH63*Inputs!$F$156*BH21/1000000</f>
        <v>6.88796646101294</v>
      </c>
      <c r="BI64" s="13" t="n">
        <f aca="false">BI63*Inputs!$F$156*BI21/1000000</f>
        <v>6.95927253840637</v>
      </c>
      <c r="BJ64" s="13" t="n">
        <f aca="false">BJ63*Inputs!$F$156*BJ21/1000000</f>
        <v>7.02675001359746</v>
      </c>
      <c r="BK64" s="13" t="n">
        <f aca="false">BK63*Inputs!$F$156*BK21/1000000</f>
        <v>7.10808244563077</v>
      </c>
      <c r="BL64" s="13" t="n">
        <f aca="false">BL63*Inputs!$F$156*BL21/1000000</f>
        <v>7.19437076106464</v>
      </c>
      <c r="BM64" s="13" t="n">
        <f aca="false">BM63*Inputs!$F$156*BM21/1000000</f>
        <v>4.8487188686823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20.7942505027319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0.123830651405703</v>
      </c>
      <c r="P68" s="13" t="n">
        <f aca="false">Inputs!$F$161/100*P55</f>
        <v>0.373095451684674</v>
      </c>
      <c r="Q68" s="13" t="n">
        <f aca="false">Inputs!$F$161/100*Q55</f>
        <v>0.374570450688301</v>
      </c>
      <c r="R68" s="13" t="n">
        <f aca="false">Inputs!$F$161/100*R55</f>
        <v>0.375550943857255</v>
      </c>
      <c r="S68" s="13" t="n">
        <f aca="false">Inputs!$F$161/100*S55</f>
        <v>0.377702481873798</v>
      </c>
      <c r="T68" s="13" t="n">
        <f aca="false">Inputs!$F$161/100*T55</f>
        <v>0.379642078904169</v>
      </c>
      <c r="U68" s="13" t="n">
        <f aca="false">Inputs!$F$161/100*U55</f>
        <v>0.379817739561991</v>
      </c>
      <c r="V68" s="13" t="n">
        <f aca="false">Inputs!$F$161/100*V55</f>
        <v>0.372437699647303</v>
      </c>
      <c r="W68" s="13" t="n">
        <f aca="false">Inputs!$F$161/100*W55</f>
        <v>0.378660522241135</v>
      </c>
      <c r="X68" s="13" t="n">
        <f aca="false">Inputs!$F$161/100*X55</f>
        <v>0.386474261848706</v>
      </c>
      <c r="Y68" s="13" t="n">
        <f aca="false">Inputs!$F$161/100*Y55</f>
        <v>0.388081385702823</v>
      </c>
      <c r="Z68" s="13" t="n">
        <f aca="false">Inputs!$F$161/100*Z55</f>
        <v>0.389172456935497</v>
      </c>
      <c r="AA68" s="13" t="n">
        <f aca="false">Inputs!$F$161/100*AA55</f>
        <v>0.391493276686601</v>
      </c>
      <c r="AB68" s="13" t="n">
        <f aca="false">Inputs!$F$161/100*AB55</f>
        <v>0.393604451202199</v>
      </c>
      <c r="AC68" s="13" t="n">
        <f aca="false">Inputs!$F$161/100*AC55</f>
        <v>0.391076638390086</v>
      </c>
      <c r="AD68" s="13" t="n">
        <f aca="false">Inputs!$F$161/100*AD55</f>
        <v>0.37791130829575</v>
      </c>
      <c r="AE68" s="13" t="n">
        <f aca="false">Inputs!$F$161/100*AE55</f>
        <v>0.387219817816812</v>
      </c>
      <c r="AF68" s="13" t="n">
        <f aca="false">Inputs!$F$161/100*AF55</f>
        <v>0.401045640295844</v>
      </c>
      <c r="AG68" s="13" t="n">
        <f aca="false">Inputs!$F$161/100*AG55</f>
        <v>0.402796721475658</v>
      </c>
      <c r="AH68" s="13" t="n">
        <f aca="false">Inputs!$F$161/100*AH55</f>
        <v>0.404008324196032</v>
      </c>
      <c r="AI68" s="13" t="n">
        <f aca="false">Inputs!$F$161/100*AI55</f>
        <v>0.406513470930125</v>
      </c>
      <c r="AJ68" s="13" t="n">
        <f aca="false">Inputs!$F$161/100*AJ55</f>
        <v>0.40881138874862</v>
      </c>
      <c r="AK68" s="13" t="n">
        <f aca="false">Inputs!$F$161/100*AK55</f>
        <v>0.409146707450972</v>
      </c>
      <c r="AL68" s="13" t="n">
        <f aca="false">Inputs!$F$161/100*AL55</f>
        <v>0.401376662745508</v>
      </c>
      <c r="AM68" s="13" t="n">
        <f aca="false">Inputs!$F$161/100*AM55</f>
        <v>0.408266206551799</v>
      </c>
      <c r="AN68" s="13" t="n">
        <f aca="false">Inputs!$F$161/100*AN55</f>
        <v>0.416915847137236</v>
      </c>
      <c r="AO68" s="13" t="n">
        <f aca="false">Inputs!$F$161/100*AO55</f>
        <v>0.418823777522479</v>
      </c>
      <c r="AP68" s="13" t="n">
        <f aca="false">Inputs!$F$161/100*AP55</f>
        <v>0.420166760992049</v>
      </c>
      <c r="AQ68" s="13" t="n">
        <f aca="false">Inputs!$F$161/100*AQ55</f>
        <v>0.422872616408475</v>
      </c>
      <c r="AR68" s="13" t="n">
        <f aca="false">Inputs!$F$161/100*AR55</f>
        <v>0.425373782740328</v>
      </c>
      <c r="AS68" s="13" t="n">
        <f aca="false">Inputs!$F$161/100*AS55</f>
        <v>0.422794741778695</v>
      </c>
      <c r="AT68" s="13" t="n">
        <f aca="false">Inputs!$F$161/100*AT55</f>
        <v>0.408746457973321</v>
      </c>
      <c r="AU68" s="13" t="n">
        <f aca="false">Inputs!$F$161/100*AU55</f>
        <v>0.419004098381743</v>
      </c>
      <c r="AV68" s="13" t="n">
        <f aca="false">Inputs!$F$161/100*AV55</f>
        <v>0.434200606403662</v>
      </c>
      <c r="AW68" s="13" t="n">
        <f aca="false">Inputs!$F$161/100*AW55</f>
        <v>0.436279432107303</v>
      </c>
      <c r="AX68" s="13" t="n">
        <f aca="false">Inputs!$F$161/100*AX55</f>
        <v>0.437765622044234</v>
      </c>
      <c r="AY68" s="13" t="n">
        <f aca="false">Inputs!$F$161/100*AY55</f>
        <v>0.440690022941043</v>
      </c>
      <c r="AZ68" s="13" t="n">
        <f aca="false">Inputs!$F$161/100*AZ55</f>
        <v>0.443412400575141</v>
      </c>
      <c r="BA68" s="13" t="n">
        <f aca="false">Inputs!$F$161/100*BA55</f>
        <v>0.443937846567888</v>
      </c>
      <c r="BB68" s="13" t="n">
        <f aca="false">Inputs!$F$161/100*BB55</f>
        <v>0.43570513988171</v>
      </c>
      <c r="BC68" s="13" t="n">
        <f aca="false">Inputs!$F$161/100*BC55</f>
        <v>0.44338554926271</v>
      </c>
      <c r="BD68" s="13" t="n">
        <f aca="false">Inputs!$F$161/100*BD55</f>
        <v>0.45302594856051</v>
      </c>
      <c r="BE68" s="13" t="n">
        <f aca="false">Inputs!$F$161/100*BE55</f>
        <v>0.455290973243522</v>
      </c>
      <c r="BF68" s="13" t="n">
        <f aca="false">Inputs!$F$161/100*BF55</f>
        <v>0.456933259696147</v>
      </c>
      <c r="BG68" s="13" t="n">
        <f aca="false">Inputs!$F$161/100*BG55</f>
        <v>0.46009562714495</v>
      </c>
      <c r="BH68" s="13" t="n">
        <f aca="false">Inputs!$F$161/100*BH55</f>
        <v>0.463058765052912</v>
      </c>
      <c r="BI68" s="13" t="n">
        <f aca="false">Inputs!$F$161/100*BI55</f>
        <v>0.460419758631774</v>
      </c>
      <c r="BJ68" s="13" t="n">
        <f aca="false">Inputs!$F$161/100*BJ55</f>
        <v>0.445324062166583</v>
      </c>
      <c r="BK68" s="13" t="n">
        <f aca="false">Inputs!$F$161/100*BK55</f>
        <v>0.456707565024995</v>
      </c>
      <c r="BL68" s="13" t="n">
        <f aca="false">Inputs!$F$161/100*BL55</f>
        <v>0.473529127991714</v>
      </c>
      <c r="BM68" s="13" t="n">
        <f aca="false">Inputs!$F$161/100*BM55</f>
        <v>0.31748397336343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130.499146695983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0.676261622889523</v>
      </c>
      <c r="P69" s="13" t="n">
        <f aca="false">Inputs!$F$162*(Inputs!$F$219*P21+(1-Inputs!$F$219)*P27*Inputs!$F$153/P11)*P38/1000000</f>
        <v>2.04995447436372</v>
      </c>
      <c r="Q69" s="13" t="n">
        <f aca="false">Inputs!$F$162*(Inputs!$F$219*Q21+(1-Inputs!$F$219)*Q27*Inputs!$F$153/Q11)*Q38/1000000</f>
        <v>2.06398410284494</v>
      </c>
      <c r="R69" s="13" t="n">
        <f aca="false">Inputs!$F$162*(Inputs!$F$219*R21+(1-Inputs!$F$219)*R27*Inputs!$F$153/R11)*R38/1000000</f>
        <v>2.07117414713364</v>
      </c>
      <c r="S69" s="13" t="n">
        <f aca="false">Inputs!$F$162*(Inputs!$F$219*S21+(1-Inputs!$F$219)*S27*Inputs!$F$153/S11)*S38/1000000</f>
        <v>2.09924135314704</v>
      </c>
      <c r="T69" s="13" t="n">
        <f aca="false">Inputs!$F$162*(Inputs!$F$219*T21+(1-Inputs!$F$219)*T27*Inputs!$F$153/T11)*T38/1000000</f>
        <v>2.13471719809677</v>
      </c>
      <c r="U69" s="13" t="n">
        <f aca="false">Inputs!$F$162*(Inputs!$F$219*U21+(1-Inputs!$F$219)*U27*Inputs!$F$153/U11)*U38/1000000</f>
        <v>2.13111418669514</v>
      </c>
      <c r="V69" s="13" t="n">
        <f aca="false">Inputs!$F$162*(Inputs!$F$219*V21+(1-Inputs!$F$219)*V27*Inputs!$F$153/V11)*V38/1000000</f>
        <v>2.10162486439632</v>
      </c>
      <c r="W69" s="13" t="n">
        <f aca="false">Inputs!$F$162*(Inputs!$F$219*W21+(1-Inputs!$F$219)*W27*Inputs!$F$153/W11)*W38/1000000</f>
        <v>2.14886632141508</v>
      </c>
      <c r="X69" s="13" t="n">
        <f aca="false">Inputs!$F$162*(Inputs!$F$219*X21+(1-Inputs!$F$219)*X27*Inputs!$F$153/X11)*X38/1000000</f>
        <v>2.22296458809743</v>
      </c>
      <c r="Y69" s="13" t="n">
        <f aca="false">Inputs!$F$162*(Inputs!$F$219*Y21+(1-Inputs!$F$219)*Y27*Inputs!$F$153/Y11)*Y38/1000000</f>
        <v>2.23816812292554</v>
      </c>
      <c r="Z69" s="13" t="n">
        <f aca="false">Inputs!$F$162*(Inputs!$F$219*Z21+(1-Inputs!$F$219)*Z27*Inputs!$F$153/Z11)*Z38/1000000</f>
        <v>2.24595474676849</v>
      </c>
      <c r="AA69" s="13" t="n">
        <f aca="false">Inputs!$F$162*(Inputs!$F$219*AA21+(1-Inputs!$F$219)*AA27*Inputs!$F$153/AA11)*AA38/1000000</f>
        <v>2.27638010843348</v>
      </c>
      <c r="AB69" s="13" t="n">
        <f aca="false">Inputs!$F$162*(Inputs!$F$219*AB21+(1-Inputs!$F$219)*AB27*Inputs!$F$153/AB11)*AB38/1000000</f>
        <v>2.31483893745094</v>
      </c>
      <c r="AC69" s="13" t="n">
        <f aca="false">Inputs!$F$162*(Inputs!$F$219*AC21+(1-Inputs!$F$219)*AC27*Inputs!$F$153/AC11)*AC38/1000000</f>
        <v>2.29461100090345</v>
      </c>
      <c r="AD69" s="13" t="n">
        <f aca="false">Inputs!$F$162*(Inputs!$F$219*AD21+(1-Inputs!$F$219)*AD27*Inputs!$F$153/AD11)*AD38/1000000</f>
        <v>2.22950462044576</v>
      </c>
      <c r="AE69" s="13" t="n">
        <f aca="false">Inputs!$F$162*(Inputs!$F$219*AE21+(1-Inputs!$F$219)*AE27*Inputs!$F$153/AE11)*AE38/1000000</f>
        <v>2.29686211835333</v>
      </c>
      <c r="AF69" s="13" t="n">
        <f aca="false">Inputs!$F$162*(Inputs!$F$219*AF21+(1-Inputs!$F$219)*AF27*Inputs!$F$153/AF11)*AF38/1000000</f>
        <v>2.41048830322464</v>
      </c>
      <c r="AG69" s="13" t="n">
        <f aca="false">Inputs!$F$162*(Inputs!$F$219*AG21+(1-Inputs!$F$219)*AG27*Inputs!$F$153/AG11)*AG38/1000000</f>
        <v>2.4269632268931</v>
      </c>
      <c r="AH69" s="13" t="n">
        <f aca="false">Inputs!$F$162*(Inputs!$F$219*AH21+(1-Inputs!$F$219)*AH27*Inputs!$F$153/AH11)*AH38/1000000</f>
        <v>2.43539547312988</v>
      </c>
      <c r="AI69" s="13" t="n">
        <f aca="false">Inputs!$F$162*(Inputs!$F$219*AI21+(1-Inputs!$F$219)*AI27*Inputs!$F$153/AI11)*AI38/1000000</f>
        <v>2.46837577100255</v>
      </c>
      <c r="AJ69" s="13" t="n">
        <f aca="false">Inputs!$F$162*(Inputs!$F$219*AJ21+(1-Inputs!$F$219)*AJ27*Inputs!$F$153/AJ11)*AJ38/1000000</f>
        <v>2.51006673770466</v>
      </c>
      <c r="AK69" s="13" t="n">
        <f aca="false">Inputs!$F$162*(Inputs!$F$219*AK21+(1-Inputs!$F$219)*AK27*Inputs!$F$153/AK11)*AK38/1000000</f>
        <v>2.50580719394909</v>
      </c>
      <c r="AL69" s="13" t="n">
        <f aca="false">Inputs!$F$162*(Inputs!$F$219*AL21+(1-Inputs!$F$219)*AL27*Inputs!$F$153/AL11)*AL38/1000000</f>
        <v>2.47111032501448</v>
      </c>
      <c r="AM69" s="13" t="n">
        <f aca="false">Inputs!$F$162*(Inputs!$F$219*AM21+(1-Inputs!$F$219)*AM27*Inputs!$F$153/AM11)*AM38/1000000</f>
        <v>2.52663400261525</v>
      </c>
      <c r="AN69" s="13" t="n">
        <f aca="false">Inputs!$F$162*(Inputs!$F$219*AN21+(1-Inputs!$F$219)*AN27*Inputs!$F$153/AN11)*AN38/1000000</f>
        <v>2.6137345287993</v>
      </c>
      <c r="AO69" s="13" t="n">
        <f aca="false">Inputs!$F$162*(Inputs!$F$219*AO21+(1-Inputs!$F$219)*AO27*Inputs!$F$153/AO11)*AO38/1000000</f>
        <v>2.6315863454872</v>
      </c>
      <c r="AP69" s="13" t="n">
        <f aca="false">Inputs!$F$162*(Inputs!$F$219*AP21+(1-Inputs!$F$219)*AP27*Inputs!$F$153/AP11)*AP38/1000000</f>
        <v>2.64071724303509</v>
      </c>
      <c r="AQ69" s="13" t="n">
        <f aca="false">Inputs!$F$162*(Inputs!$F$219*AQ21+(1-Inputs!$F$219)*AQ27*Inputs!$F$153/AQ11)*AQ38/1000000</f>
        <v>2.67646554573337</v>
      </c>
      <c r="AR69" s="13" t="n">
        <f aca="false">Inputs!$F$162*(Inputs!$F$219*AR21+(1-Inputs!$F$219)*AR27*Inputs!$F$153/AR11)*AR38/1000000</f>
        <v>2.72165844996716</v>
      </c>
      <c r="AS69" s="13" t="n">
        <f aca="false">Inputs!$F$162*(Inputs!$F$219*AS21+(1-Inputs!$F$219)*AS27*Inputs!$F$153/AS11)*AS38/1000000</f>
        <v>2.6978504931929</v>
      </c>
      <c r="AT69" s="13" t="n">
        <f aca="false">Inputs!$F$162*(Inputs!$F$219*AT21+(1-Inputs!$F$219)*AT27*Inputs!$F$153/AT11)*AT38/1000000</f>
        <v>2.62127835250809</v>
      </c>
      <c r="AU69" s="13" t="n">
        <f aca="false">Inputs!$F$162*(Inputs!$F$219*AU21+(1-Inputs!$F$219)*AU27*Inputs!$F$153/AU11)*AU38/1000000</f>
        <v>2.70044688786542</v>
      </c>
      <c r="AV69" s="13" t="n">
        <f aca="false">Inputs!$F$162*(Inputs!$F$219*AV21+(1-Inputs!$F$219)*AV27*Inputs!$F$153/AV11)*AV38/1000000</f>
        <v>2.83401202004168</v>
      </c>
      <c r="AW69" s="13" t="n">
        <f aca="false">Inputs!$F$162*(Inputs!$F$219*AW21+(1-Inputs!$F$219)*AW27*Inputs!$F$153/AW11)*AW38/1000000</f>
        <v>2.85335490839803</v>
      </c>
      <c r="AX69" s="13" t="n">
        <f aca="false">Inputs!$F$162*(Inputs!$F$219*AX21+(1-Inputs!$F$219)*AX27*Inputs!$F$153/AX11)*AX38/1000000</f>
        <v>2.86324179164502</v>
      </c>
      <c r="AY69" s="13" t="n">
        <f aca="false">Inputs!$F$162*(Inputs!$F$219*AY21+(1-Inputs!$F$219)*AY27*Inputs!$F$153/AY11)*AY38/1000000</f>
        <v>2.9019887909077</v>
      </c>
      <c r="AZ69" s="13" t="n">
        <f aca="false">Inputs!$F$162*(Inputs!$F$219*AZ21+(1-Inputs!$F$219)*AZ27*Inputs!$F$153/AZ11)*AZ38/1000000</f>
        <v>2.95097577333794</v>
      </c>
      <c r="BA69" s="13" t="n">
        <f aca="false">Inputs!$F$162*(Inputs!$F$219*BA21+(1-Inputs!$F$219)*BA27*Inputs!$F$153/BA11)*BA38/1000000</f>
        <v>2.94594029299547</v>
      </c>
      <c r="BB69" s="13" t="n">
        <f aca="false">Inputs!$F$162*(Inputs!$F$219*BB21+(1-Inputs!$F$219)*BB27*Inputs!$F$153/BB11)*BB38/1000000</f>
        <v>2.9051217055136</v>
      </c>
      <c r="BC69" s="13" t="n">
        <f aca="false">Inputs!$F$162*(Inputs!$F$219*BC21+(1-Inputs!$F$219)*BC27*Inputs!$F$153/BC11)*BC38/1000000</f>
        <v>2.97036920075772</v>
      </c>
      <c r="BD69" s="13" t="n">
        <f aca="false">Inputs!$F$162*(Inputs!$F$219*BD21+(1-Inputs!$F$219)*BD27*Inputs!$F$153/BD11)*BD38/1000000</f>
        <v>3.07273754044237</v>
      </c>
      <c r="BE69" s="13" t="n">
        <f aca="false">Inputs!$F$162*(Inputs!$F$219*BE21+(1-Inputs!$F$219)*BE27*Inputs!$F$153/BE11)*BE38/1000000</f>
        <v>3.09369505875777</v>
      </c>
      <c r="BF69" s="13" t="n">
        <f aca="false">Inputs!$F$162*(Inputs!$F$219*BF21+(1-Inputs!$F$219)*BF27*Inputs!$F$153/BF11)*BF38/1000000</f>
        <v>3.10439991208086</v>
      </c>
      <c r="BG69" s="13" t="n">
        <f aca="false">Inputs!$F$162*(Inputs!$F$219*BG21+(1-Inputs!$F$219)*BG27*Inputs!$F$153/BG11)*BG38/1000000</f>
        <v>3.14639536594162</v>
      </c>
      <c r="BH69" s="13" t="n">
        <f aca="false">Inputs!$F$162*(Inputs!$F$219*BH21+(1-Inputs!$F$219)*BH27*Inputs!$F$153/BH11)*BH38/1000000</f>
        <v>3.19949274010146</v>
      </c>
      <c r="BI69" s="13" t="n">
        <f aca="false">Inputs!$F$162*(Inputs!$F$219*BI21+(1-Inputs!$F$219)*BI27*Inputs!$F$153/BI11)*BI38/1000000</f>
        <v>3.17147467134738</v>
      </c>
      <c r="BJ69" s="13" t="n">
        <f aca="false">Inputs!$F$162*(Inputs!$F$219*BJ21+(1-Inputs!$F$219)*BJ27*Inputs!$F$153/BJ11)*BJ38/1000000</f>
        <v>3.08143042208457</v>
      </c>
      <c r="BK69" s="13" t="n">
        <f aca="false">Inputs!$F$162*(Inputs!$F$219*BK21+(1-Inputs!$F$219)*BK27*Inputs!$F$153/BK11)*BK38/1000000</f>
        <v>3.17446625598602</v>
      </c>
      <c r="BL69" s="13" t="n">
        <f aca="false">Inputs!$F$162*(Inputs!$F$219*BL21+(1-Inputs!$F$219)*BL27*Inputs!$F$153/BL11)*BL38/1000000</f>
        <v>3.33144468264099</v>
      </c>
      <c r="BM69" s="13" t="n">
        <f aca="false">Inputs!$F$162*(Inputs!$F$219*BM21+(1-Inputs!$F$219)*BM27*Inputs!$F$153/BM11)*BM38/1000000</f>
        <v>2.24380416852033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1096.19505223221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5.5850800933531</v>
      </c>
      <c r="P72" s="13" t="n">
        <f aca="false">P60+P61+P62+P64+P65+P66+P67+P68+P69+P70+P71</f>
        <v>16.9319614980175</v>
      </c>
      <c r="Q72" s="13" t="n">
        <f aca="false">Q60+Q61+Q62+Q64+Q65+Q66+Q67+Q68+Q69+Q70+Q71</f>
        <v>17.0701115229812</v>
      </c>
      <c r="R72" s="13" t="n">
        <f aca="false">R60+R61+R62+R64+R65+R66+R67+R68+R69+R70+R71</f>
        <v>17.1685519773625</v>
      </c>
      <c r="S72" s="13" t="n">
        <f aca="false">S60+S61+S62+S64+S65+S66+S67+S68+S69+S70+S71</f>
        <v>17.3904507921922</v>
      </c>
      <c r="T72" s="13" t="n">
        <f aca="false">T60+T61+T62+T64+T65+T66+T67+T68+T69+T70+T71</f>
        <v>17.6560907388375</v>
      </c>
      <c r="U72" s="13" t="n">
        <f aca="false">U60+U61+U62+U64+U65+U66+U67+U68+U69+U70+U71</f>
        <v>17.6927012133674</v>
      </c>
      <c r="V72" s="13" t="n">
        <f aca="false">V60+V61+V62+V64+V65+V66+V67+V68+V69+V70+V71</f>
        <v>17.7313896644101</v>
      </c>
      <c r="W72" s="13" t="n">
        <f aca="false">W60+W61+W62+W64+W65+W66+W67+W68+W69+W70+W71</f>
        <v>17.950421977324</v>
      </c>
      <c r="X72" s="13" t="n">
        <f aca="false">X60+X61+X62+X64+X65+X66+X67+X68+X69+X70+X71</f>
        <v>18.412140561631</v>
      </c>
      <c r="Y72" s="13" t="n">
        <f aca="false">Y60+Y61+Y62+Y64+Y65+Y66+Y67+Y68+Y69+Y70+Y71</f>
        <v>18.5627508274477</v>
      </c>
      <c r="Z72" s="13" t="n">
        <f aca="false">Z60+Z61+Z62+Z64+Z65+Z66+Z67+Z68+Z69+Z70+Z71</f>
        <v>18.6701082018976</v>
      </c>
      <c r="AA72" s="13" t="n">
        <f aca="false">AA60+AA61+AA62+AA64+AA65+AA66+AA67+AA68+AA69+AA70+AA71</f>
        <v>18.9119671482092</v>
      </c>
      <c r="AB72" s="13" t="n">
        <f aca="false">AB60+AB61+AB62+AB64+AB65+AB66+AB67+AB68+AB69+AB70+AB71</f>
        <v>19.2015179507806</v>
      </c>
      <c r="AC72" s="13" t="n">
        <f aca="false">AC60+AC61+AC62+AC64+AC65+AC66+AC67+AC68+AC69+AC70+AC71</f>
        <v>19.143061044541</v>
      </c>
      <c r="AD72" s="13" t="n">
        <f aca="false">AD60+AD61+AD62+AD64+AD65+AD66+AD67+AD68+AD69+AD70+AD71</f>
        <v>19.2231269265894</v>
      </c>
      <c r="AE72" s="13" t="n">
        <f aca="false">AE60+AE61+AE62+AE64+AE65+AE66+AE67+AE68+AE69+AE70+AE71</f>
        <v>19.4816216759526</v>
      </c>
      <c r="AF72" s="13" t="n">
        <f aca="false">AF60+AF61+AF62+AF64+AF65+AF66+AF67+AF68+AF69+AF70+AF71</f>
        <v>20.0256919019696</v>
      </c>
      <c r="AG72" s="13" t="n">
        <f aca="false">AG60+AG61+AG62+AG64+AG65+AG66+AG67+AG68+AG69+AG70+AG71</f>
        <v>20.1898861635755</v>
      </c>
      <c r="AH72" s="13" t="n">
        <f aca="false">AH60+AH61+AH62+AH64+AH65+AH66+AH67+AH68+AH69+AH70+AH71</f>
        <v>20.3069661061967</v>
      </c>
      <c r="AI72" s="13" t="n">
        <f aca="false">AI60+AI61+AI62+AI64+AI65+AI66+AI67+AI68+AI69+AI70+AI71</f>
        <v>20.5705824579959</v>
      </c>
      <c r="AJ72" s="13" t="n">
        <f aca="false">AJ60+AJ61+AJ62+AJ64+AJ65+AJ66+AJ67+AJ68+AJ69+AJ70+AJ71</f>
        <v>20.8861961550261</v>
      </c>
      <c r="AK72" s="13" t="n">
        <f aca="false">AK60+AK61+AK62+AK64+AK65+AK66+AK67+AK68+AK69+AK70+AK71</f>
        <v>20.9299235473976</v>
      </c>
      <c r="AL72" s="13" t="n">
        <f aca="false">AL60+AL61+AL62+AL64+AL65+AL66+AL67+AL68+AL69+AL70+AL71</f>
        <v>20.977382896888</v>
      </c>
      <c r="AM72" s="13" t="n">
        <f aca="false">AM60+AM61+AM62+AM64+AM65+AM66+AM67+AM68+AM69+AM70+AM71</f>
        <v>21.23684939296</v>
      </c>
      <c r="AN72" s="13" t="n">
        <f aca="false">AN60+AN61+AN62+AN64+AN65+AN66+AN67+AN68+AN69+AN70+AN71</f>
        <v>21.7846320471924</v>
      </c>
      <c r="AO72" s="13" t="n">
        <f aca="false">AO60+AO61+AO62+AO64+AO65+AO66+AO67+AO68+AO69+AO70+AO71</f>
        <v>21.9636354007093</v>
      </c>
      <c r="AP72" s="13" t="n">
        <f aca="false">AP60+AP61+AP62+AP64+AP65+AP66+AP67+AP68+AP69+AP70+AP71</f>
        <v>22.0913163471349</v>
      </c>
      <c r="AQ72" s="13" t="n">
        <f aca="false">AQ60+AQ61+AQ62+AQ64+AQ65+AQ66+AQ67+AQ68+AQ69+AQ70+AQ71</f>
        <v>22.3786491944221</v>
      </c>
      <c r="AR72" s="13" t="n">
        <f aca="false">AR60+AR61+AR62+AR64+AR65+AR66+AR67+AR68+AR69+AR70+AR71</f>
        <v>22.7226714921274</v>
      </c>
      <c r="AS72" s="13" t="n">
        <f aca="false">AS60+AS61+AS62+AS64+AS65+AS66+AS67+AS68+AS69+AS70+AS71</f>
        <v>22.653794227809</v>
      </c>
      <c r="AT72" s="13" t="n">
        <f aca="false">AT60+AT61+AT62+AT64+AT65+AT66+AT67+AT68+AT69+AT70+AT71</f>
        <v>22.7516216606879</v>
      </c>
      <c r="AU72" s="13" t="n">
        <f aca="false">AU60+AU61+AU62+AU64+AU65+AU66+AU67+AU68+AU69+AU70+AU71</f>
        <v>23.0574540370468</v>
      </c>
      <c r="AV72" s="13" t="n">
        <f aca="false">AV60+AV61+AV62+AV64+AV65+AV66+AV67+AV68+AV69+AV70+AV71</f>
        <v>23.7020600901813</v>
      </c>
      <c r="AW72" s="13" t="n">
        <f aca="false">AW60+AW61+AW62+AW64+AW65+AW66+AW67+AW68+AW69+AW70+AW71</f>
        <v>23.8972081112928</v>
      </c>
      <c r="AX72" s="13" t="n">
        <f aca="false">AX60+AX61+AX62+AX64+AX65+AX66+AX67+AX68+AX69+AX70+AX71</f>
        <v>24.0364478604985</v>
      </c>
      <c r="AY72" s="13" t="n">
        <f aca="false">AY60+AY61+AY62+AY64+AY65+AY66+AY67+AY68+AY69+AY70+AY71</f>
        <v>24.3496326767334</v>
      </c>
      <c r="AZ72" s="13" t="n">
        <f aca="false">AZ60+AZ61+AZ62+AZ64+AZ65+AZ66+AZ67+AZ68+AZ69+AZ70+AZ71</f>
        <v>24.7246203757259</v>
      </c>
      <c r="BA72" s="13" t="n">
        <f aca="false">BA60+BA61+BA62+BA64+BA65+BA66+BA67+BA68+BA69+BA70+BA71</f>
        <v>24.7768236275667</v>
      </c>
      <c r="BB72" s="13" t="n">
        <f aca="false">BB60+BB61+BB62+BB64+BB65+BB66+BB67+BB68+BB69+BB70+BB71</f>
        <v>24.8347994223536</v>
      </c>
      <c r="BC72" s="13" t="n">
        <f aca="false">BC60+BC61+BC62+BC64+BC65+BC66+BC67+BC68+BC69+BC70+BC71</f>
        <v>25.1422532332296</v>
      </c>
      <c r="BD72" s="13" t="n">
        <f aca="false">BD60+BD61+BD62+BD64+BD65+BD66+BD67+BD68+BD69+BD70+BD71</f>
        <v>25.7922552075811</v>
      </c>
      <c r="BE72" s="13" t="n">
        <f aca="false">BE60+BE61+BE62+BE64+BE65+BE66+BE67+BE68+BE69+BE70+BE71</f>
        <v>26.0050039138945</v>
      </c>
      <c r="BF72" s="13" t="n">
        <f aca="false">BF60+BF61+BF62+BF64+BF65+BF66+BF67+BF68+BF69+BF70+BF71</f>
        <v>26.1568467980601</v>
      </c>
      <c r="BG72" s="13" t="n">
        <f aca="false">BG60+BG61+BG62+BG64+BG65+BG66+BG67+BG68+BG69+BG70+BG71</f>
        <v>26.4982113189231</v>
      </c>
      <c r="BH72" s="13" t="n">
        <f aca="false">BH60+BH61+BH62+BH64+BH65+BH66+BH67+BH68+BH69+BH70+BH71</f>
        <v>26.9069513088418</v>
      </c>
      <c r="BI72" s="13" t="n">
        <f aca="false">BI60+BI61+BI62+BI64+BI65+BI66+BI67+BI68+BI69+BI70+BI71</f>
        <v>26.8257238064861</v>
      </c>
      <c r="BJ72" s="13" t="n">
        <f aca="false">BJ60+BJ61+BJ62+BJ64+BJ65+BJ66+BJ67+BJ68+BJ69+BJ70+BJ71</f>
        <v>26.9448679007249</v>
      </c>
      <c r="BK72" s="13" t="n">
        <f aca="false">BK60+BK61+BK62+BK64+BK65+BK66+BK67+BK68+BK69+BK70+BK71</f>
        <v>27.3068463183917</v>
      </c>
      <c r="BL72" s="13" t="n">
        <f aca="false">BL60+BL61+BL62+BL64+BL65+BL66+BL67+BL68+BL69+BL70+BL71</f>
        <v>28.0707829626874</v>
      </c>
      <c r="BM72" s="13" t="n">
        <f aca="false">BM60+BM61+BM62+BM64+BM65+BM66+BM67+BM68+BM69+BM70+BM71</f>
        <v>18.9134104550042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4732.05212305053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24.908030271926</v>
      </c>
      <c r="P73" s="13" t="n">
        <f aca="false">P42*P41/1000000</f>
        <v>74.716595802</v>
      </c>
      <c r="Q73" s="13" t="n">
        <f aca="false">Q42*Q41/1000000</f>
        <v>75.9476430389301</v>
      </c>
      <c r="R73" s="13" t="n">
        <f aca="false">R42*R41/1000000</f>
        <v>75.4326445286457</v>
      </c>
      <c r="S73" s="13" t="n">
        <f aca="false">S42*S41/1000000</f>
        <v>77.1862373285093</v>
      </c>
      <c r="T73" s="13" t="n">
        <f aca="false">T42*T41/1000000</f>
        <v>77.687706341329</v>
      </c>
      <c r="U73" s="13" t="n">
        <f aca="false">U42*U41/1000000</f>
        <v>78.2984455383205</v>
      </c>
      <c r="V73" s="13" t="n">
        <f aca="false">V42*V41/1000000</f>
        <v>76.4250550515296</v>
      </c>
      <c r="W73" s="13" t="n">
        <f aca="false">W42*W41/1000000</f>
        <v>78.8903932049341</v>
      </c>
      <c r="X73" s="13" t="n">
        <f aca="false">X42*X41/1000000</f>
        <v>80.7757684179683</v>
      </c>
      <c r="Y73" s="13" t="n">
        <f aca="false">Y42*Y41/1000000</f>
        <v>82.1060405123417</v>
      </c>
      <c r="Z73" s="13" t="n">
        <f aca="false">Z42*Z41/1000000</f>
        <v>81.5486785353929</v>
      </c>
      <c r="AA73" s="13" t="n">
        <f aca="false">AA42*AA41/1000000</f>
        <v>83.4438337111832</v>
      </c>
      <c r="AB73" s="13" t="n">
        <f aca="false">AB42*AB41/1000000</f>
        <v>83.9853353322418</v>
      </c>
      <c r="AC73" s="13" t="n">
        <f aca="false">AC42*AC41/1000000</f>
        <v>84.0475359300459</v>
      </c>
      <c r="AD73" s="13" t="n">
        <f aca="false">AD42*AD41/1000000</f>
        <v>80.8271373718173</v>
      </c>
      <c r="AE73" s="13" t="n">
        <f aca="false">AE42*AE41/1000000</f>
        <v>84.0652814404289</v>
      </c>
      <c r="AF73" s="13" t="n">
        <f aca="false">AF42*AF41/1000000</f>
        <v>87.3211355064519</v>
      </c>
      <c r="AG73" s="13" t="n">
        <f aca="false">AG42*AG41/1000000</f>
        <v>88.7585421897445</v>
      </c>
      <c r="AH73" s="13" t="n">
        <f aca="false">AH42*AH41/1000000</f>
        <v>88.1553659590648</v>
      </c>
      <c r="AI73" s="13" t="n">
        <f aca="false">AI42*AI41/1000000</f>
        <v>90.2033871312971</v>
      </c>
      <c r="AJ73" s="13" t="n">
        <f aca="false">AJ42*AJ41/1000000</f>
        <v>90.788079126217</v>
      </c>
      <c r="AK73" s="13" t="n">
        <f aca="false">AK42*AK41/1000000</f>
        <v>91.50044746008</v>
      </c>
      <c r="AL73" s="13" t="n">
        <f aca="false">AL42*AL41/1000000</f>
        <v>89.3098550922276</v>
      </c>
      <c r="AM73" s="13" t="n">
        <f aca="false">AM42*AM41/1000000</f>
        <v>92.1894637326595</v>
      </c>
      <c r="AN73" s="13" t="n">
        <f aca="false">AN42*AN41/1000000</f>
        <v>94.3912650295</v>
      </c>
      <c r="AO73" s="13" t="n">
        <f aca="false">AO42*AO41/1000000</f>
        <v>95.9443389134654</v>
      </c>
      <c r="AP73" s="13" t="n">
        <f aca="false">AP42*AP41/1000000</f>
        <v>95.2916193945976</v>
      </c>
      <c r="AQ73" s="13" t="n">
        <f aca="false">AQ42*AQ41/1000000</f>
        <v>97.504701997075</v>
      </c>
      <c r="AR73" s="13" t="n">
        <f aca="false">AR42*AR41/1000000</f>
        <v>98.1359878523749</v>
      </c>
      <c r="AS73" s="13" t="n">
        <f aca="false">AS42*AS41/1000000</f>
        <v>98.2072042366261</v>
      </c>
      <c r="AT73" s="13" t="n">
        <f aca="false">AT42*AT41/1000000</f>
        <v>94.4428492921259</v>
      </c>
      <c r="AU73" s="13" t="n">
        <f aca="false">AU42*AU41/1000000</f>
        <v>98.2250078620989</v>
      </c>
      <c r="AV73" s="13" t="n">
        <f aca="false">AV42*AV41/1000000</f>
        <v>102.027745440902</v>
      </c>
      <c r="AW73" s="13" t="n">
        <f aca="false">AW42*AW41/1000000</f>
        <v>103.705690391322</v>
      </c>
      <c r="AX73" s="13" t="n">
        <f aca="false">AX42*AX41/1000000</f>
        <v>102.999398108629</v>
      </c>
      <c r="AY73" s="13" t="n">
        <f aca="false">AY42*AY41/1000000</f>
        <v>105.39069879791</v>
      </c>
      <c r="AZ73" s="13" t="n">
        <f aca="false">AZ42*AZ41/1000000</f>
        <v>106.072246538815</v>
      </c>
      <c r="BA73" s="13" t="n">
        <f aca="false">BA42*BA41/1000000</f>
        <v>106.902941429204</v>
      </c>
      <c r="BB73" s="13" t="n">
        <f aca="false">BB42*BB41/1000000</f>
        <v>104.342038205442</v>
      </c>
      <c r="BC73" s="13" t="n">
        <f aca="false">BC42*BC41/1000000</f>
        <v>107.704713690397</v>
      </c>
      <c r="BD73" s="13" t="n">
        <f aca="false">BD42*BD41/1000000</f>
        <v>110.275418761064</v>
      </c>
      <c r="BE73" s="13" t="n">
        <f aca="false">BE42*BE41/1000000</f>
        <v>112.088161967119</v>
      </c>
      <c r="BF73" s="13" t="n">
        <f aca="false">BF42*BF41/1000000</f>
        <v>111.323943060779</v>
      </c>
      <c r="BG73" s="13" t="n">
        <f aca="false">BG42*BG41/1000000</f>
        <v>113.907654442101</v>
      </c>
      <c r="BH73" s="13" t="n">
        <f aca="false">BH42*BH41/1000000</f>
        <v>114.643416863627</v>
      </c>
      <c r="BI73" s="13" t="n">
        <f aca="false">BI42*BI41/1000000</f>
        <v>114.724887424187</v>
      </c>
      <c r="BJ73" s="13" t="n">
        <f aca="false">BJ42*BJ41/1000000</f>
        <v>110.325737563411</v>
      </c>
      <c r="BK73" s="13" t="n">
        <f aca="false">BK42*BK41/1000000</f>
        <v>114.742231858776</v>
      </c>
      <c r="BL73" s="13" t="n">
        <f aca="false">BL42*BL41/1000000</f>
        <v>119.182631320341</v>
      </c>
      <c r="BM73" s="13" t="n">
        <f aca="false">BM42*BM41/1000000</f>
        <v>81.0309540533551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5564.0829476893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29.5201493686849</v>
      </c>
      <c r="P74" s="13" t="n">
        <f aca="false">P73+P52+P53+P54</f>
        <v>88.6152765732829</v>
      </c>
      <c r="Q74" s="13" t="n">
        <f aca="false">Q73+Q52+Q53+Q54</f>
        <v>89.8559295003948</v>
      </c>
      <c r="R74" s="13" t="n">
        <f aca="false">R73+R52+R53+R54</f>
        <v>89.5150622402079</v>
      </c>
      <c r="S74" s="13" t="n">
        <f aca="false">S73+S52+S53+S54</f>
        <v>91.2942785861337</v>
      </c>
      <c r="T74" s="13" t="n">
        <f aca="false">T73+T52+T53+T54</f>
        <v>92.0049739162346</v>
      </c>
      <c r="U74" s="13" t="n">
        <f aca="false">U73+U52+U53+U54</f>
        <v>92.6699434691015</v>
      </c>
      <c r="V74" s="13" t="n">
        <f aca="false">V73+V52+V53+V54</f>
        <v>90.8684178322653</v>
      </c>
      <c r="W74" s="13" t="n">
        <f aca="false">W73+W52+W53+W54</f>
        <v>93.3805485414815</v>
      </c>
      <c r="X74" s="13" t="n">
        <f aca="false">X73+X52+X53+X54</f>
        <v>95.5241927321274</v>
      </c>
      <c r="Y74" s="13" t="n">
        <f aca="false">Y73+Y52+Y53+Y54</f>
        <v>96.864605059216</v>
      </c>
      <c r="Z74" s="13" t="n">
        <f aca="false">Z73+Z52+Z53+Z54</f>
        <v>96.4920624177264</v>
      </c>
      <c r="AA74" s="13" t="n">
        <f aca="false">AA73+AA52+AA53+AA54</f>
        <v>98.414336331033</v>
      </c>
      <c r="AB74" s="13" t="n">
        <f aca="false">AB73+AB52+AB53+AB54</f>
        <v>99.1778626708039</v>
      </c>
      <c r="AC74" s="13" t="n">
        <f aca="false">AC73+AC52+AC53+AC54</f>
        <v>99.2791509724043</v>
      </c>
      <c r="AD74" s="13" t="n">
        <f aca="false">AD73+AD52+AD53+AD54</f>
        <v>96.0982140478571</v>
      </c>
      <c r="AE74" s="13" t="n">
        <f aca="false">AE73+AE52+AE53+AE54</f>
        <v>99.4038051417742</v>
      </c>
      <c r="AF74" s="13" t="n">
        <f aca="false">AF73+AF52+AF53+AF54</f>
        <v>102.971099737807</v>
      </c>
      <c r="AG74" s="13" t="n">
        <f aca="false">AG73+AG52+AG53+AG54</f>
        <v>104.419208824978</v>
      </c>
      <c r="AH74" s="13" t="n">
        <f aca="false">AH73+AH52+AH53+AH54</f>
        <v>104.012197083163</v>
      </c>
      <c r="AI74" s="13" t="n">
        <f aca="false">AI73+AI52+AI53+AI54</f>
        <v>106.088916337401</v>
      </c>
      <c r="AJ74" s="13" t="n">
        <f aca="false">AJ73+AJ52+AJ53+AJ54</f>
        <v>106.909213269976</v>
      </c>
      <c r="AK74" s="13" t="n">
        <f aca="false">AK73+AK52+AK53+AK54</f>
        <v>107.682609645477</v>
      </c>
      <c r="AL74" s="13" t="n">
        <f aca="false">AL73+AL52+AL53+AL54</f>
        <v>105.573105166437</v>
      </c>
      <c r="AM74" s="13" t="n">
        <f aca="false">AM73+AM52+AM53+AM54</f>
        <v>108.505191131401</v>
      </c>
      <c r="AN74" s="13" t="n">
        <f aca="false">AN73+AN52+AN53+AN54</f>
        <v>110.997713168639</v>
      </c>
      <c r="AO74" s="13" t="n">
        <f aca="false">AO73+AO52+AO53+AO54</f>
        <v>112.562080523535</v>
      </c>
      <c r="AP74" s="13" t="n">
        <f aca="false">AP73+AP52+AP53+AP54</f>
        <v>112.117568172966</v>
      </c>
      <c r="AQ74" s="13" t="n">
        <f aca="false">AQ73+AQ52+AQ53+AQ54</f>
        <v>114.361016877062</v>
      </c>
      <c r="AR74" s="13" t="n">
        <f aca="false">AR73+AR52+AR53+AR54</f>
        <v>115.242317399763</v>
      </c>
      <c r="AS74" s="13" t="n">
        <f aca="false">AS73+AS52+AS53+AS54</f>
        <v>115.35755540183</v>
      </c>
      <c r="AT74" s="13" t="n">
        <f aca="false">AT73+AT52+AT53+AT54</f>
        <v>111.637916505095</v>
      </c>
      <c r="AU74" s="13" t="n">
        <f aca="false">AU73+AU52+AU53+AU54</f>
        <v>115.495741564356</v>
      </c>
      <c r="AV74" s="13" t="n">
        <f aca="false">AV73+AV52+AV53+AV54</f>
        <v>119.648959770705</v>
      </c>
      <c r="AW74" s="13" t="n">
        <f aca="false">AW73+AW52+AW53+AW54</f>
        <v>121.338819466958</v>
      </c>
      <c r="AX74" s="13" t="n">
        <f aca="false">AX73+AX52+AX53+AX54</f>
        <v>120.853517511032</v>
      </c>
      <c r="AY74" s="13" t="n">
        <f aca="false">AY73+AY52+AY53+AY54</f>
        <v>123.276945746088</v>
      </c>
      <c r="AZ74" s="13" t="n">
        <f aca="false">AZ73+AZ52+AZ53+AZ54</f>
        <v>124.223797993601</v>
      </c>
      <c r="BA74" s="13" t="n">
        <f aca="false">BA73+BA52+BA53+BA54</f>
        <v>125.123168406856</v>
      </c>
      <c r="BB74" s="13" t="n">
        <f aca="false">BB73+BB52+BB53+BB54</f>
        <v>122.653776687196</v>
      </c>
      <c r="BC74" s="13" t="n">
        <f aca="false">BC73+BC52+BC53+BC54</f>
        <v>126.075284463516</v>
      </c>
      <c r="BD74" s="13" t="n">
        <f aca="false">BD73+BD52+BD53+BD54</f>
        <v>128.973222045749</v>
      </c>
      <c r="BE74" s="13" t="n">
        <f aca="false">BE73+BE52+BE53+BE54</f>
        <v>130.798532837343</v>
      </c>
      <c r="BF74" s="13" t="n">
        <f aca="false">BF73+BF52+BF53+BF54</f>
        <v>130.268873497404</v>
      </c>
      <c r="BG74" s="13" t="n">
        <f aca="false">BG73+BG52+BG53+BG54</f>
        <v>132.886572280154</v>
      </c>
      <c r="BH74" s="13" t="n">
        <f aca="false">BH73+BH52+BH53+BH54</f>
        <v>133.903862837718</v>
      </c>
      <c r="BI74" s="13" t="n">
        <f aca="false">BI73+BI52+BI53+BI54</f>
        <v>134.034914774786</v>
      </c>
      <c r="BJ74" s="13" t="n">
        <f aca="false">BJ73+BJ52+BJ53+BJ54</f>
        <v>129.686462271922</v>
      </c>
      <c r="BK74" s="13" t="n">
        <f aca="false">BK73+BK52+BK53+BK54</f>
        <v>134.187817056163</v>
      </c>
      <c r="BL74" s="13" t="n">
        <f aca="false">BL73+BL52+BL53+BL54</f>
        <v>139.022601200299</v>
      </c>
      <c r="BM74" s="13" t="n">
        <f aca="false">BM73+BM52+BM53+BM54</f>
        <v>94.2135586311879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6731.15665243134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35.105229462038</v>
      </c>
      <c r="P83" s="13" t="n">
        <f aca="false">P72+P74+P75+P76+P79+P82</f>
        <v>105.645883804488</v>
      </c>
      <c r="Q83" s="13" t="n">
        <f aca="false">Q72+Q74+Q75+Q76+Q79+Q82</f>
        <v>106.938792452505</v>
      </c>
      <c r="R83" s="13" t="n">
        <f aca="false">R72+R74+R75+R76+R79+R82</f>
        <v>106.68361421757</v>
      </c>
      <c r="S83" s="13" t="n">
        <f aca="false">S72+S74+S75+S76+S79+S82</f>
        <v>108.684729378326</v>
      </c>
      <c r="T83" s="13" t="n">
        <f aca="false">T72+T74+T75+T76+T79+T82</f>
        <v>109.661064655072</v>
      </c>
      <c r="U83" s="13" t="n">
        <f aca="false">U72+U74+U75+U76+U79+U82</f>
        <v>110.362644682469</v>
      </c>
      <c r="V83" s="13" t="n">
        <f aca="false">V72+V74+V75+V76+V79+V82</f>
        <v>111.097417311405</v>
      </c>
      <c r="W83" s="13" t="n">
        <f aca="false">W72+W74+W75+W76+W79+W82</f>
        <v>111.330970518805</v>
      </c>
      <c r="X83" s="13" t="n">
        <f aca="false">X72+X74+X75+X76+X79+X82</f>
        <v>113.936333293758</v>
      </c>
      <c r="Y83" s="13" t="n">
        <f aca="false">Y72+Y74+Y75+Y76+Y79+Y82</f>
        <v>115.427355886664</v>
      </c>
      <c r="Z83" s="13" t="n">
        <f aca="false">Z72+Z74+Z75+Z76+Z79+Z82</f>
        <v>115.162170619624</v>
      </c>
      <c r="AA83" s="13" t="n">
        <f aca="false">AA72+AA74+AA75+AA76+AA79+AA82</f>
        <v>117.326303479242</v>
      </c>
      <c r="AB83" s="13" t="n">
        <f aca="false">AB72+AB74+AB75+AB76+AB79+AB82</f>
        <v>118.379380621585</v>
      </c>
      <c r="AC83" s="13" t="n">
        <f aca="false">AC72+AC74+AC75+AC76+AC79+AC82</f>
        <v>118.422212016945</v>
      </c>
      <c r="AD83" s="13" t="n">
        <f aca="false">AD72+AD74+AD75+AD76+AD79+AD82</f>
        <v>127.157796236247</v>
      </c>
      <c r="AE83" s="13" t="n">
        <f aca="false">AE72+AE74+AE75+AE76+AE79+AE82</f>
        <v>118.885426817727</v>
      </c>
      <c r="AF83" s="13" t="n">
        <f aca="false">AF72+AF74+AF75+AF76+AF79+AF82</f>
        <v>122.996791639777</v>
      </c>
      <c r="AG83" s="13" t="n">
        <f aca="false">AG72+AG74+AG75+AG76+AG79+AG82</f>
        <v>124.609094988553</v>
      </c>
      <c r="AH83" s="13" t="n">
        <f aca="false">AH72+AH74+AH75+AH76+AH79+AH82</f>
        <v>124.31916318936</v>
      </c>
      <c r="AI83" s="13" t="n">
        <f aca="false">AI72+AI74+AI75+AI76+AI79+AI82</f>
        <v>126.659498795397</v>
      </c>
      <c r="AJ83" s="13" t="n">
        <f aca="false">AJ72+AJ74+AJ75+AJ76+AJ79+AJ82</f>
        <v>127.795409425002</v>
      </c>
      <c r="AK83" s="13" t="n">
        <f aca="false">AK72+AK74+AK75+AK76+AK79+AK82</f>
        <v>128.612533192875</v>
      </c>
      <c r="AL83" s="13" t="n">
        <f aca="false">AL72+AL74+AL75+AL76+AL79+AL82</f>
        <v>129.523055792821</v>
      </c>
      <c r="AM83" s="13" t="n">
        <f aca="false">AM72+AM74+AM75+AM76+AM79+AM82</f>
        <v>129.742040524361</v>
      </c>
      <c r="AN83" s="13" t="n">
        <f aca="false">AN72+AN74+AN75+AN76+AN79+AN82</f>
        <v>132.782345215832</v>
      </c>
      <c r="AO83" s="13" t="n">
        <f aca="false">AO72+AO74+AO75+AO76+AO79+AO82</f>
        <v>134.525715924244</v>
      </c>
      <c r="AP83" s="13" t="n">
        <f aca="false">AP72+AP74+AP75+AP76+AP79+AP82</f>
        <v>134.208884520101</v>
      </c>
      <c r="AQ83" s="13" t="n">
        <f aca="false">AQ72+AQ74+AQ75+AQ76+AQ79+AQ82</f>
        <v>136.739666071484</v>
      </c>
      <c r="AR83" s="13" t="n">
        <f aca="false">AR72+AR74+AR75+AR76+AR79+AR82</f>
        <v>137.964988891891</v>
      </c>
      <c r="AS83" s="13" t="n">
        <f aca="false">AS72+AS74+AS75+AS76+AS79+AS82</f>
        <v>138.011349629639</v>
      </c>
      <c r="AT83" s="13" t="n">
        <f aca="false">AT72+AT74+AT75+AT76+AT79+AT82</f>
        <v>148.476872678705</v>
      </c>
      <c r="AU83" s="13" t="n">
        <f aca="false">AU72+AU74+AU75+AU76+AU79+AU82</f>
        <v>138.553195601402</v>
      </c>
      <c r="AV83" s="13" t="n">
        <f aca="false">AV72+AV74+AV75+AV76+AV79+AV82</f>
        <v>143.351019860887</v>
      </c>
      <c r="AW83" s="13" t="n">
        <f aca="false">AW72+AW74+AW75+AW76+AW79+AW82</f>
        <v>145.23602757825</v>
      </c>
      <c r="AX83" s="13" t="n">
        <f aca="false">AX72+AX74+AX75+AX76+AX79+AX82</f>
        <v>144.88996537153</v>
      </c>
      <c r="AY83" s="13" t="n">
        <f aca="false">AY72+AY74+AY75+AY76+AY79+AY82</f>
        <v>147.626578422821</v>
      </c>
      <c r="AZ83" s="13" t="n">
        <f aca="false">AZ72+AZ74+AZ75+AZ76+AZ79+AZ82</f>
        <v>148.948418369327</v>
      </c>
      <c r="BA83" s="13" t="n">
        <f aca="false">BA72+BA74+BA75+BA76+BA79+BA82</f>
        <v>149.899992034423</v>
      </c>
      <c r="BB83" s="13" t="n">
        <f aca="false">BB72+BB74+BB75+BB76+BB79+BB82</f>
        <v>151.02642211509</v>
      </c>
      <c r="BC83" s="13" t="n">
        <f aca="false">BC72+BC74+BC75+BC76+BC79+BC82</f>
        <v>151.217537696746</v>
      </c>
      <c r="BD83" s="13" t="n">
        <f aca="false">BD72+BD74+BD75+BD76+BD79+BD82</f>
        <v>154.76547725333</v>
      </c>
      <c r="BE83" s="13" t="n">
        <f aca="false">BE72+BE74+BE75+BE76+BE79+BE82</f>
        <v>156.803536751238</v>
      </c>
      <c r="BF83" s="13" t="n">
        <f aca="false">BF72+BF74+BF75+BF76+BF79+BF82</f>
        <v>156.425720295464</v>
      </c>
      <c r="BG83" s="13" t="n">
        <f aca="false">BG72+BG74+BG75+BG76+BG79+BG82</f>
        <v>159.384783599077</v>
      </c>
      <c r="BH83" s="13" t="n">
        <f aca="false">BH72+BH74+BH75+BH76+BH79+BH82</f>
        <v>160.81081414656</v>
      </c>
      <c r="BI83" s="13" t="n">
        <f aca="false">BI72+BI74+BI75+BI76+BI79+BI82</f>
        <v>160.860638581272</v>
      </c>
      <c r="BJ83" s="13" t="n">
        <f aca="false">BJ72+BJ74+BJ75+BJ76+BJ79+BJ82</f>
        <v>173.397582339325</v>
      </c>
      <c r="BK83" s="13" t="n">
        <f aca="false">BK72+BK74+BK75+BK76+BK79+BK82</f>
        <v>161.494663374555</v>
      </c>
      <c r="BL83" s="13" t="n">
        <f aca="false">BL72+BL74+BL75+BL76+BL79+BL82</f>
        <v>167.093384162986</v>
      </c>
      <c r="BM83" s="13" t="n">
        <f aca="false">BM72+BM74+BM75+BM76+BM79+BM82</f>
        <v>132.196158942546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2610.0927926011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16.9761811250453</v>
      </c>
      <c r="P84" s="13" t="n">
        <f aca="false">P56-P83+P58</f>
        <v>50.9397198812807</v>
      </c>
      <c r="Q84" s="13" t="n">
        <f aca="false">Q56-Q83+Q58</f>
        <v>51.1502696947609</v>
      </c>
      <c r="R84" s="13" t="n">
        <f aca="false">R56-R83+R58</f>
        <v>51.234438214144</v>
      </c>
      <c r="S84" s="13" t="n">
        <f aca="false">S56-S83+S58</f>
        <v>51.3988386892092</v>
      </c>
      <c r="T84" s="13" t="n">
        <f aca="false">T56-T83+T58</f>
        <v>51.4788639878784</v>
      </c>
      <c r="U84" s="13" t="n">
        <f aca="false">U56-U83+U58</f>
        <v>51.4672550168988</v>
      </c>
      <c r="V84" s="13" t="n">
        <f aca="false">V56-V83+V58</f>
        <v>47.5790873270889</v>
      </c>
      <c r="W84" s="13" t="n">
        <f aca="false">W56-W83+W58</f>
        <v>50.984224606903</v>
      </c>
      <c r="X84" s="13" t="n">
        <f aca="false">X56-X83+X58</f>
        <v>51.9372593022188</v>
      </c>
      <c r="Y84" s="13" t="n">
        <f aca="false">Y56-Y83+Y58</f>
        <v>52.0720584016982</v>
      </c>
      <c r="Z84" s="13" t="n">
        <f aca="false">Z56-Z83+Z58</f>
        <v>52.1545016125061</v>
      </c>
      <c r="AA84" s="13" t="n">
        <f aca="false">AA56-AA83+AA58</f>
        <v>52.3278956840398</v>
      </c>
      <c r="AB84" s="13" t="n">
        <f aca="false">AB56-AB83+AB58</f>
        <v>52.4142881798247</v>
      </c>
      <c r="AC84" s="13" t="n">
        <f aca="false">AC56-AC83+AC58</f>
        <v>52.0048933069229</v>
      </c>
      <c r="AD84" s="13" t="n">
        <f aca="false">AD56-AD83+AD58</f>
        <v>37.6850634622443</v>
      </c>
      <c r="AE84" s="13" t="n">
        <f aca="false">AE56-AE83+AE58</f>
        <v>50.9485527587019</v>
      </c>
      <c r="AF84" s="13" t="n">
        <f aca="false">AF56-AF83+AF58</f>
        <v>52.9107179305942</v>
      </c>
      <c r="AG84" s="13" t="n">
        <f aca="false">AG56-AG83+AG58</f>
        <v>53.0565046801386</v>
      </c>
      <c r="AH84" s="13" t="n">
        <f aca="false">AH56-AH83+AH58</f>
        <v>53.1510029202036</v>
      </c>
      <c r="AI84" s="13" t="n">
        <f aca="false">AI56-AI83+AI58</f>
        <v>53.3340808768538</v>
      </c>
      <c r="AJ84" s="13" t="n">
        <f aca="false">AJ56-AJ83+AJ58</f>
        <v>53.4273478442946</v>
      </c>
      <c r="AK84" s="13" t="n">
        <f aca="false">AK56-AK83+AK58</f>
        <v>53.4355264557635</v>
      </c>
      <c r="AL84" s="13" t="n">
        <f aca="false">AL56-AL83+AL58</f>
        <v>48.9946463778435</v>
      </c>
      <c r="AM84" s="13" t="n">
        <f aca="false">AM56-AM83+AM58</f>
        <v>52.9503455707701</v>
      </c>
      <c r="AN84" s="13" t="n">
        <f aca="false">AN56-AN83+AN58</f>
        <v>53.9650105377922</v>
      </c>
      <c r="AO84" s="13" t="n">
        <f aca="false">AO56-AO83+AO58</f>
        <v>54.1227007979793</v>
      </c>
      <c r="AP84" s="13" t="n">
        <f aca="false">AP56-AP83+AP58</f>
        <v>54.2303778024455</v>
      </c>
      <c r="AQ84" s="13" t="n">
        <f aca="false">AQ56-AQ83+AQ58</f>
        <v>54.423884253503</v>
      </c>
      <c r="AR84" s="13" t="n">
        <f aca="false">AR56-AR83+AR58</f>
        <v>54.524573359559</v>
      </c>
      <c r="AS84" s="13" t="n">
        <f aca="false">AS56-AS83+AS58</f>
        <v>54.1149644255061</v>
      </c>
      <c r="AT84" s="13" t="n">
        <f aca="false">AT56-AT83+AT58</f>
        <v>37.3703907387674</v>
      </c>
      <c r="AU84" s="13" t="n">
        <f aca="false">AU56-AU83+AU58</f>
        <v>53.0031044792177</v>
      </c>
      <c r="AV84" s="13" t="n">
        <f aca="false">AV56-AV83+AV58</f>
        <v>55.1069398539067</v>
      </c>
      <c r="AW84" s="13" t="n">
        <f aca="false">AW56-AW83+AW58</f>
        <v>55.2775275192669</v>
      </c>
      <c r="AX84" s="13" t="n">
        <f aca="false">AX56-AX83+AX58</f>
        <v>55.3996105055268</v>
      </c>
      <c r="AY84" s="13" t="n">
        <f aca="false">AY56-AY83+AY58</f>
        <v>55.6043487769106</v>
      </c>
      <c r="AZ84" s="13" t="n">
        <f aca="false">AZ56-AZ83+AZ58</f>
        <v>55.7130512875102</v>
      </c>
      <c r="BA84" s="13" t="n">
        <f aca="false">BA56-BA83+BA58</f>
        <v>55.7447060678288</v>
      </c>
      <c r="BB84" s="13" t="n">
        <f aca="false">BB56-BB83+BB58</f>
        <v>50.6466973375141</v>
      </c>
      <c r="BC84" s="13" t="n">
        <f aca="false">BC56-BC83+BC58</f>
        <v>55.2567904584672</v>
      </c>
      <c r="BD84" s="13" t="n">
        <f aca="false">BD56-BD83+BD58</f>
        <v>56.3438882408863</v>
      </c>
      <c r="BE84" s="13" t="n">
        <f aca="false">BE56-BE83+BE58</f>
        <v>56.5284520240542</v>
      </c>
      <c r="BF84" s="13" t="n">
        <f aca="false">BF56-BF83+BF58</f>
        <v>56.6662811317319</v>
      </c>
      <c r="BG84" s="13" t="n">
        <f aca="false">BG56-BG83+BG58</f>
        <v>56.8831180280789</v>
      </c>
      <c r="BH84" s="13" t="n">
        <f aca="false">BH56-BH83+BH58</f>
        <v>57.0004722676139</v>
      </c>
      <c r="BI84" s="13" t="n">
        <f aca="false">BI56-BI83+BI58</f>
        <v>56.5907843520851</v>
      </c>
      <c r="BJ84" s="13" t="n">
        <f aca="false">BJ56-BJ83+BJ58</f>
        <v>36.9616093688782</v>
      </c>
      <c r="BK84" s="13" t="n">
        <f aca="false">BK56-BK83+BK58</f>
        <v>55.4129206477255</v>
      </c>
      <c r="BL84" s="13" t="n">
        <f aca="false">BL56-BL83+BL58</f>
        <v>57.6838676241981</v>
      </c>
      <c r="BM84" s="13" t="n">
        <f aca="false">BM56-BM83+BM58</f>
        <v>19.5031568063217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38.4207127281762</v>
      </c>
      <c r="P88" s="13" t="n">
        <f aca="false">(1-P86)*(P56/MAX(Time!P31,1)*Inputs!$F$168+P55/MAX(Time!P31,1)*P87)</f>
        <v>38.2953922057586</v>
      </c>
      <c r="Q88" s="13" t="n">
        <f aca="false">(1-Q86)*(Q56/MAX(Time!Q31,1)*Inputs!$F$168+Q55/MAX(Time!Q31,1)*Q87)</f>
        <v>39.3039104786019</v>
      </c>
      <c r="R88" s="13" t="n">
        <f aca="false">(1-R86)*(R56/MAX(Time!R31,1)*Inputs!$F$168+R55/MAX(Time!R31,1)*R87)</f>
        <v>38.6212628229736</v>
      </c>
      <c r="S88" s="13" t="n">
        <f aca="false">(1-S86)*(S56/MAX(Time!S31,1)*Inputs!$F$168+S55/MAX(Time!S31,1)*S87)</f>
        <v>39.799782116238</v>
      </c>
      <c r="T88" s="13" t="n">
        <f aca="false">(1-T86)*(T56/MAX(Time!T31,1)*Inputs!$F$168+T55/MAX(Time!T31,1)*T87)</f>
        <v>39.4092216789825</v>
      </c>
      <c r="U88" s="13" t="n">
        <f aca="false">(1-U86)*(U56/MAX(Time!U31,1)*Inputs!$F$168+U55/MAX(Time!U31,1)*U87)</f>
        <v>40.0128872883052</v>
      </c>
      <c r="V88" s="13" t="n">
        <f aca="false">(1-V86)*(V56/MAX(Time!V31,1)*Inputs!$F$168+V55/MAX(Time!V31,1)*V87)</f>
        <v>38.8067538518055</v>
      </c>
      <c r="W88" s="13" t="n">
        <f aca="false">(1-W86)*(W56/MAX(Time!W31,1)*Inputs!$F$168+W55/MAX(Time!W31,1)*W87)</f>
        <v>40.3546065229662</v>
      </c>
      <c r="X88" s="13" t="n">
        <f aca="false">(1-X86)*(X56/MAX(Time!X31,1)*Inputs!$F$168+X55/MAX(Time!X31,1)*X87)</f>
        <v>40.5669112327118</v>
      </c>
      <c r="Y88" s="13" t="n">
        <f aca="false">(1-Y86)*(Y56/MAX(Time!Y31,1)*Inputs!$F$168+Y55/MAX(Time!Y31,1)*Y87)</f>
        <v>41.6435007899242</v>
      </c>
      <c r="Z88" s="13" t="n">
        <f aca="false">(1-Z86)*(Z56/MAX(Time!Z31,1)*Inputs!$F$168+Z55/MAX(Time!Z31,1)*Z87)</f>
        <v>40.9198383176405</v>
      </c>
      <c r="AA88" s="13" t="n">
        <f aca="false">(1-AA86)*(AA56/MAX(Time!AA31,1)*Inputs!$F$168+AA55/MAX(Time!AA31,1)*AA87)</f>
        <v>42.1792207864513</v>
      </c>
      <c r="AB88" s="13" t="n">
        <f aca="false">(1-AB86)*(AB56/MAX(Time!AB31,1)*Inputs!$F$168+AB55/MAX(Time!AB31,1)*AB87)</f>
        <v>41.7701907394751</v>
      </c>
      <c r="AC88" s="13" t="n">
        <f aca="false">(1-AC86)*(AC56/MAX(Time!AC31,1)*Inputs!$F$168+AC55/MAX(Time!AC31,1)*AC87)</f>
        <v>42.1385699976597</v>
      </c>
      <c r="AD88" s="13" t="n">
        <f aca="false">(1-AD86)*(AD56/MAX(Time!AD31,1)*Inputs!$F$168+AD55/MAX(Time!AD31,1)*AD87)</f>
        <v>40.3148298175659</v>
      </c>
      <c r="AE88" s="13" t="n">
        <f aca="false">(1-AE86)*(AE56/MAX(Time!AE31,1)*Inputs!$F$168+AE55/MAX(Time!AE31,1)*AE87)</f>
        <v>42.2239175742502</v>
      </c>
      <c r="AF88" s="13" t="n">
        <f aca="false">(1-AF86)*(AF56/MAX(Time!AF31,1)*Inputs!$F$168+AF55/MAX(Time!AF31,1)*AF87)</f>
        <v>43.0208583188408</v>
      </c>
      <c r="AG88" s="13" t="n">
        <f aca="false">(1-AG86)*(AG56/MAX(Time!AG31,1)*Inputs!$F$168+AG55/MAX(Time!AG31,1)*AG87)</f>
        <v>44.1710054424924</v>
      </c>
      <c r="AH88" s="13" t="n">
        <f aca="false">(1-AH86)*(AH56/MAX(Time!AH31,1)*Inputs!$F$168+AH55/MAX(Time!AH31,1)*AH87)</f>
        <v>43.4030297550563</v>
      </c>
      <c r="AI88" s="13" t="n">
        <f aca="false">(1-AI86)*(AI56/MAX(Time!AI31,1)*Inputs!$F$168+AI55/MAX(Time!AI31,1)*AI87)</f>
        <v>44.7497850013882</v>
      </c>
      <c r="AJ88" s="13" t="n">
        <f aca="false">(1-AJ86)*(AJ56/MAX(Time!AJ31,1)*Inputs!$F$168+AJ55/MAX(Time!AJ31,1)*AJ87)</f>
        <v>44.320783027817</v>
      </c>
      <c r="AK88" s="13" t="n">
        <f aca="false">(1-AK86)*(AK56/MAX(Time!AK31,1)*Inputs!$F$168+AK55/MAX(Time!AK31,1)*AK87)</f>
        <v>45.0118828801579</v>
      </c>
      <c r="AL88" s="13" t="n">
        <f aca="false">(1-AL86)*(AL56/MAX(Time!AL31,1)*Inputs!$F$168+AL55/MAX(Time!AL31,1)*AL87)</f>
        <v>43.6592206395646</v>
      </c>
      <c r="AM88" s="13" t="n">
        <f aca="false">(1-AM86)*(AM56/MAX(Time!AM31,1)*Inputs!$F$168+AM55/MAX(Time!AM31,1)*AM87)</f>
        <v>45.4207589739277</v>
      </c>
      <c r="AN88" s="13" t="n">
        <f aca="false">(1-AN86)*(AN56/MAX(Time!AN31,1)*Inputs!$F$168+AN55/MAX(Time!AN31,1)*AN87)</f>
        <v>45.6719076571363</v>
      </c>
      <c r="AO88" s="13" t="n">
        <f aca="false">(1-AO86)*(AO56/MAX(Time!AO31,1)*Inputs!$F$168+AO55/MAX(Time!AO31,1)*AO87)</f>
        <v>46.9015400690611</v>
      </c>
      <c r="AP88" s="13" t="n">
        <f aca="false">(1-AP86)*(AP56/MAX(Time!AP31,1)*Inputs!$F$168+AP55/MAX(Time!AP31,1)*AP87)</f>
        <v>46.0856891549707</v>
      </c>
      <c r="AQ88" s="13" t="n">
        <f aca="false">(1-AQ86)*(AQ56/MAX(Time!AQ31,1)*Inputs!$F$168+AQ55/MAX(Time!AQ31,1)*AQ87)</f>
        <v>47.5268495283118</v>
      </c>
      <c r="AR88" s="13" t="n">
        <f aca="false">(1-AR86)*(AR56/MAX(Time!AR31,1)*Inputs!$F$168+AR55/MAX(Time!AR31,1)*AR87)</f>
        <v>47.0762516375828</v>
      </c>
      <c r="AS88" s="13" t="n">
        <f aca="false">(1-AS86)*(AS56/MAX(Time!AS31,1)*Inputs!$F$168+AS55/MAX(Time!AS31,1)*AS87)</f>
        <v>47.5037589696788</v>
      </c>
      <c r="AT88" s="13" t="n">
        <f aca="false">(1-AT86)*(AT56/MAX(Time!AT31,1)*Inputs!$F$168+AT55/MAX(Time!AT31,1)*AT87)</f>
        <v>45.4517763792731</v>
      </c>
      <c r="AU88" s="13" t="n">
        <f aca="false">(1-AU86)*(AU56/MAX(Time!AU31,1)*Inputs!$F$168+AU55/MAX(Time!AU31,1)*AU87)</f>
        <v>47.6244944951818</v>
      </c>
      <c r="AV88" s="13" t="n">
        <f aca="false">(1-AV86)*(AV56/MAX(Time!AV31,1)*Inputs!$F$168+AV55/MAX(Time!AV31,1)*AV87)</f>
        <v>48.5359140606831</v>
      </c>
      <c r="AW88" s="13" t="n">
        <f aca="false">(1-AW86)*(AW56/MAX(Time!AW31,1)*Inputs!$F$168+AW55/MAX(Time!AW31,1)*AW87)</f>
        <v>49.8514363502115</v>
      </c>
      <c r="AX88" s="13" t="n">
        <f aca="false">(1-AX86)*(AX56/MAX(Time!AX31,1)*Inputs!$F$168+AX55/MAX(Time!AX31,1)*AX87)</f>
        <v>48.9838636655846</v>
      </c>
      <c r="AY88" s="13" t="n">
        <f aca="false">(1-AY86)*(AY56/MAX(Time!AY31,1)*Inputs!$F$168+AY55/MAX(Time!AY31,1)*AY87)</f>
        <v>50.5270260993808</v>
      </c>
      <c r="AZ88" s="13" t="n">
        <f aca="false">(1-AZ86)*(AZ56/MAX(Time!AZ31,1)*Inputs!$F$168+AZ55/MAX(Time!AZ31,1)*AZ87)</f>
        <v>50.0530768182482</v>
      </c>
      <c r="BA88" s="13" t="n">
        <f aca="false">(1-BA86)*(BA56/MAX(Time!BA31,1)*Inputs!$F$168+BA55/MAX(Time!BA31,1)*BA87)</f>
        <v>50.8462165637435</v>
      </c>
      <c r="BB88" s="13" t="n">
        <f aca="false">(1-BB86)*(BB56/MAX(Time!BB31,1)*Inputs!$F$168+BB55/MAX(Time!BB31,1)*BB87)</f>
        <v>49.3222303009087</v>
      </c>
      <c r="BC88" s="13" t="n">
        <f aca="false">(1-BC86)*(BC56/MAX(Time!BC31,1)*Inputs!$F$168+BC55/MAX(Time!BC31,1)*BC87)</f>
        <v>51.3333965026773</v>
      </c>
      <c r="BD88" s="13" t="n">
        <f aca="false">(1-BD86)*(BD56/MAX(Time!BD31,1)*Inputs!$F$168+BD55/MAX(Time!BD31,1)*BD87)</f>
        <v>51.6300078654333</v>
      </c>
      <c r="BE88" s="13" t="n">
        <f aca="false">(1-BE86)*(BE56/MAX(Time!BE31,1)*Inputs!$F$168+BE55/MAX(Time!BE31,1)*BE87)</f>
        <v>53.0383397507632</v>
      </c>
      <c r="BF88" s="13" t="n">
        <f aca="false">(1-BF86)*(BF56/MAX(Time!BF31,1)*Inputs!$F$168+BF55/MAX(Time!BF31,1)*BF87)</f>
        <v>52.1148916533904</v>
      </c>
      <c r="BG88" s="13" t="n">
        <f aca="false">(1-BG86)*(BG56/MAX(Time!BG31,1)*Inputs!$F$168+BG55/MAX(Time!BG31,1)*BG87)</f>
        <v>53.7682628354808</v>
      </c>
      <c r="BH88" s="13" t="n">
        <f aca="false">(1-BH86)*(BH56/MAX(Time!BH31,1)*Inputs!$F$168+BH55/MAX(Time!BH31,1)*BH87)</f>
        <v>53.2690646121621</v>
      </c>
      <c r="BI88" s="13" t="n">
        <f aca="false">(1-BI86)*(BI56/MAX(Time!BI31,1)*Inputs!$F$168+BI55/MAX(Time!BI31,1)*BI87)</f>
        <v>53.7654617142916</v>
      </c>
      <c r="BJ88" s="13" t="n">
        <f aca="false">(1-BJ86)*(BJ56/MAX(Time!BJ31,1)*Inputs!$F$168+BJ55/MAX(Time!BJ31,1)*BJ87)</f>
        <v>51.4465414503758</v>
      </c>
      <c r="BK88" s="13" t="n">
        <f aca="false">(1-BK86)*(BK56/MAX(Time!BK31,1)*Inputs!$F$168+BK55/MAX(Time!BK31,1)*BK87)</f>
        <v>53.927299895042</v>
      </c>
      <c r="BL88" s="13" t="n">
        <f aca="false">(1-BL86)*(BL56/MAX(Time!BL31,1)*Inputs!$F$168+BL55/MAX(Time!BL31,1)*BL87)</f>
        <v>54.9726974479527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18.3747764301093</v>
      </c>
      <c r="P90" s="13" t="n">
        <f aca="false">(1-P86)*(P73+P54)/MAX(Time!P31,1)*Inputs!$F$169</f>
        <v>18.2730804950544</v>
      </c>
      <c r="Q90" s="13" t="n">
        <f aca="false">(1-Q86)*(Q73+Q54)/MAX(Time!Q31,1)*Inputs!$F$169</f>
        <v>18.8820107002865</v>
      </c>
      <c r="R90" s="13" t="n">
        <f aca="false">(1-R86)*(R73+R54)/MAX(Time!R31,1)*Inputs!$F$169</f>
        <v>18.4482011075492</v>
      </c>
      <c r="S90" s="13" t="n">
        <f aca="false">(1-S86)*(S73+S54)/MAX(Time!S31,1)*Inputs!$F$169</f>
        <v>19.1899485070879</v>
      </c>
      <c r="T90" s="13" t="n">
        <f aca="false">(1-T86)*(T73+T54)/MAX(Time!T31,1)*Inputs!$F$169</f>
        <v>18.9997107899989</v>
      </c>
      <c r="U90" s="13" t="n">
        <f aca="false">(1-U86)*(U73+U54)/MAX(Time!U31,1)*Inputs!$F$169</f>
        <v>19.3595057649693</v>
      </c>
      <c r="V90" s="13" t="n">
        <f aca="false">(1-V86)*(V73+V54)/MAX(Time!V31,1)*Inputs!$F$169</f>
        <v>18.6909102028197</v>
      </c>
      <c r="W90" s="13" t="n">
        <f aca="false">(1-W86)*(W73+W54)/MAX(Time!W31,1)*Inputs!$F$169</f>
        <v>19.613633669735</v>
      </c>
      <c r="X90" s="13" t="n">
        <f aca="false">(1-X86)*(X73+X54)/MAX(Time!X31,1)*Inputs!$F$169</f>
        <v>19.7549433630901</v>
      </c>
      <c r="Y90" s="13" t="n">
        <f aca="false">(1-Y86)*(Y73+Y54)/MAX(Time!Y31,1)*Inputs!$F$169</f>
        <v>20.4131039947811</v>
      </c>
      <c r="Z90" s="13" t="n">
        <f aca="false">(1-Z86)*(Z73+Z54)/MAX(Time!Z31,1)*Inputs!$F$169</f>
        <v>19.943970293982</v>
      </c>
      <c r="AA90" s="13" t="n">
        <f aca="false">(1-AA86)*(AA73+AA54)/MAX(Time!AA31,1)*Inputs!$F$169</f>
        <v>20.7457045138301</v>
      </c>
      <c r="AB90" s="13" t="n">
        <f aca="false">(1-AB86)*(AB73+AB54)/MAX(Time!AB31,1)*Inputs!$F$169</f>
        <v>20.5398917932113</v>
      </c>
      <c r="AC90" s="13" t="n">
        <f aca="false">(1-AC86)*(AC73+AC54)/MAX(Time!AC31,1)*Inputs!$F$169</f>
        <v>20.7809841585278</v>
      </c>
      <c r="AD90" s="13" t="n">
        <f aca="false">(1-AD86)*(AD73+AD54)/MAX(Time!AD31,1)*Inputs!$F$169</f>
        <v>19.7675064224553</v>
      </c>
      <c r="AE90" s="13" t="n">
        <f aca="false">(1-AE86)*(AE73+AE54)/MAX(Time!AE31,1)*Inputs!$F$169</f>
        <v>20.9002080929243</v>
      </c>
      <c r="AF90" s="13" t="n">
        <f aca="false">(1-AF86)*(AF73+AF54)/MAX(Time!AF31,1)*Inputs!$F$169</f>
        <v>21.355712487991</v>
      </c>
      <c r="AG90" s="13" t="n">
        <f aca="false">(1-AG86)*(AG73+AG54)/MAX(Time!AG31,1)*Inputs!$F$169</f>
        <v>22.0670408759033</v>
      </c>
      <c r="AH90" s="13" t="n">
        <f aca="false">(1-AH86)*(AH73+AH54)/MAX(Time!AH31,1)*Inputs!$F$169</f>
        <v>21.5597362399887</v>
      </c>
      <c r="AI90" s="13" t="n">
        <f aca="false">(1-AI86)*(AI73+AI54)/MAX(Time!AI31,1)*Inputs!$F$169</f>
        <v>22.426256469107</v>
      </c>
      <c r="AJ90" s="13" t="n">
        <f aca="false">(1-AJ86)*(AJ73+AJ54)/MAX(Time!AJ31,1)*Inputs!$F$169</f>
        <v>22.2036063080422</v>
      </c>
      <c r="AK90" s="13" t="n">
        <f aca="false">(1-AK86)*(AK73+AK54)/MAX(Time!AK31,1)*Inputs!$F$169</f>
        <v>22.6237370093604</v>
      </c>
      <c r="AL90" s="13" t="n">
        <f aca="false">(1-AL86)*(AL73+AL54)/MAX(Time!AL31,1)*Inputs!$F$169</f>
        <v>21.8420841258165</v>
      </c>
      <c r="AM90" s="13" t="n">
        <f aca="false">(1-AM86)*(AM73+AM54)/MAX(Time!AM31,1)*Inputs!$F$169</f>
        <v>22.920032419722</v>
      </c>
      <c r="AN90" s="13" t="n">
        <f aca="false">(1-AN86)*(AN73+AN54)/MAX(Time!AN31,1)*Inputs!$F$169</f>
        <v>23.0848202517799</v>
      </c>
      <c r="AO90" s="13" t="n">
        <f aca="false">(1-AO86)*(AO73+AO54)/MAX(Time!AO31,1)*Inputs!$F$169</f>
        <v>23.8535649232373</v>
      </c>
      <c r="AP90" s="13" t="n">
        <f aca="false">(1-AP86)*(AP73+AP54)/MAX(Time!AP31,1)*Inputs!$F$169</f>
        <v>23.3050156128092</v>
      </c>
      <c r="AQ90" s="13" t="n">
        <f aca="false">(1-AQ86)*(AQ73+AQ54)/MAX(Time!AQ31,1)*Inputs!$F$169</f>
        <v>24.2415004965104</v>
      </c>
      <c r="AR90" s="13" t="n">
        <f aca="false">(1-AR86)*(AR73+AR54)/MAX(Time!AR31,1)*Inputs!$F$169</f>
        <v>24.0006492030265</v>
      </c>
      <c r="AS90" s="13" t="n">
        <f aca="false">(1-AS86)*(AS73+AS54)/MAX(Time!AS31,1)*Inputs!$F$169</f>
        <v>24.2820010475174</v>
      </c>
      <c r="AT90" s="13" t="n">
        <f aca="false">(1-AT86)*(AT73+AT54)/MAX(Time!AT31,1)*Inputs!$F$169</f>
        <v>23.097435968183</v>
      </c>
      <c r="AU90" s="13" t="n">
        <f aca="false">(1-AU86)*(AU73+AU54)/MAX(Time!AU31,1)*Inputs!$F$169</f>
        <v>24.4205820651627</v>
      </c>
      <c r="AV90" s="13" t="n">
        <f aca="false">(1-AV86)*(AV73+AV54)/MAX(Time!AV31,1)*Inputs!$F$169</f>
        <v>24.9524377436989</v>
      </c>
      <c r="AW90" s="13" t="n">
        <f aca="false">(1-AW86)*(AW73+AW54)/MAX(Time!AW31,1)*Inputs!$F$169</f>
        <v>25.7831826939751</v>
      </c>
      <c r="AX90" s="13" t="n">
        <f aca="false">(1-AX86)*(AX73+AX54)/MAX(Time!AX31,1)*Inputs!$F$169</f>
        <v>25.1900701896104</v>
      </c>
      <c r="AY90" s="13" t="n">
        <f aca="false">(1-AY86)*(AY73+AY54)/MAX(Time!AY31,1)*Inputs!$F$169</f>
        <v>26.2021074359446</v>
      </c>
      <c r="AZ90" s="13" t="n">
        <f aca="false">(1-AZ86)*(AZ73+AZ54)/MAX(Time!AZ31,1)*Inputs!$F$169</f>
        <v>25.9415820339493</v>
      </c>
      <c r="BA90" s="13" t="n">
        <f aca="false">(1-BA86)*(BA73+BA54)/MAX(Time!BA31,1)*Inputs!$F$169</f>
        <v>26.4320459577702</v>
      </c>
      <c r="BB90" s="13" t="n">
        <f aca="false">(1-BB86)*(BB73+BB54)/MAX(Time!BB31,1)*Inputs!$F$169</f>
        <v>25.5184332567658</v>
      </c>
      <c r="BC90" s="13" t="n">
        <f aca="false">(1-BC86)*(BC73+BC54)/MAX(Time!BC31,1)*Inputs!$F$169</f>
        <v>26.7774150058998</v>
      </c>
      <c r="BD90" s="13" t="n">
        <f aca="false">(1-BD86)*(BD73+BD54)/MAX(Time!BD31,1)*Inputs!$F$169</f>
        <v>26.9695317622168</v>
      </c>
      <c r="BE90" s="13" t="n">
        <f aca="false">(1-BE86)*(BE73+BE54)/MAX(Time!BE31,1)*Inputs!$F$169</f>
        <v>27.8672225885103</v>
      </c>
      <c r="BF90" s="13" t="n">
        <f aca="false">(1-BF86)*(BF73+BF54)/MAX(Time!BF31,1)*Inputs!$F$169</f>
        <v>27.2259643355167</v>
      </c>
      <c r="BG90" s="13" t="n">
        <f aca="false">(1-BG86)*(BG73+BG54)/MAX(Time!BG31,1)*Inputs!$F$169</f>
        <v>28.3195825961025</v>
      </c>
      <c r="BH90" s="13" t="n">
        <f aca="false">(1-BH86)*(BH73+BH54)/MAX(Time!BH31,1)*Inputs!$F$169</f>
        <v>28.0377921677348</v>
      </c>
      <c r="BI90" s="13" t="n">
        <f aca="false">(1-BI86)*(BI73+BI54)/MAX(Time!BI31,1)*Inputs!$F$169</f>
        <v>28.3660435938924</v>
      </c>
      <c r="BJ90" s="13" t="n">
        <f aca="false">(1-BJ86)*(BJ73+BJ54)/MAX(Time!BJ31,1)*Inputs!$F$169</f>
        <v>26.9818379910517</v>
      </c>
      <c r="BK90" s="13" t="n">
        <f aca="false">(1-BK86)*(BK73+BK54)/MAX(Time!BK31,1)*Inputs!$F$169</f>
        <v>28.5270742190328</v>
      </c>
      <c r="BL90" s="13" t="n">
        <f aca="false">(1-BL86)*(BL73+BL54)/MAX(Time!BL31,1)*Inputs!$F$169</f>
        <v>29.1479261381268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2.26825529348798</v>
      </c>
      <c r="P91" s="13" t="n">
        <f aca="false">(1-P86)*(P52+P53)/MAX(Time!P31,1)*Inputs!$F$170</f>
        <v>2.26608925618742</v>
      </c>
      <c r="Q91" s="13" t="n">
        <f aca="false">(1-Q86)*(Q52+Q53)/MAX(Time!Q31,1)*Inputs!$F$170</f>
        <v>2.30524084996652</v>
      </c>
      <c r="R91" s="13" t="n">
        <f aca="false">(1-R86)*(R52+R53)/MAX(Time!R31,1)*Inputs!$F$170</f>
        <v>2.29604636601557</v>
      </c>
      <c r="S91" s="13" t="n">
        <f aca="false">(1-S86)*(S52+S53)/MAX(Time!S31,1)*Inputs!$F$170</f>
        <v>2.33834937971675</v>
      </c>
      <c r="T91" s="13" t="n">
        <f aca="false">(1-T86)*(T52+T53)/MAX(Time!T31,1)*Inputs!$F$170</f>
        <v>2.33433710460417</v>
      </c>
      <c r="U91" s="13" t="n">
        <f aca="false">(1-U86)*(U52+U53)/MAX(Time!U31,1)*Inputs!$F$170</f>
        <v>2.36892823034852</v>
      </c>
      <c r="V91" s="13" t="n">
        <f aca="false">(1-V86)*(V52+V53)/MAX(Time!V31,1)*Inputs!$F$170</f>
        <v>2.35489610555474</v>
      </c>
      <c r="W91" s="13" t="n">
        <f aca="false">(1-W86)*(W52+W53)/MAX(Time!W31,1)*Inputs!$F$170</f>
        <v>2.40168320495261</v>
      </c>
      <c r="X91" s="13" t="n">
        <f aca="false">(1-X86)*(X52+X53)/MAX(Time!X31,1)*Inputs!$F$170</f>
        <v>2.40463439904768</v>
      </c>
      <c r="Y91" s="13" t="n">
        <f aca="false">(1-Y86)*(Y52+Y53)/MAX(Time!Y31,1)*Inputs!$F$170</f>
        <v>2.44617091937142</v>
      </c>
      <c r="Z91" s="13" t="n">
        <f aca="false">(1-Z86)*(Z52+Z53)/MAX(Time!Z31,1)*Inputs!$F$170</f>
        <v>2.43642128516308</v>
      </c>
      <c r="AA91" s="13" t="n">
        <f aca="false">(1-AA86)*(AA52+AA53)/MAX(Time!AA31,1)*Inputs!$F$170</f>
        <v>2.48129877677069</v>
      </c>
      <c r="AB91" s="13" t="n">
        <f aca="false">(1-AB86)*(AB52+AB53)/MAX(Time!AB31,1)*Inputs!$F$170</f>
        <v>2.47704250085252</v>
      </c>
      <c r="AC91" s="13" t="n">
        <f aca="false">(1-AC86)*(AC52+AC53)/MAX(Time!AC31,1)*Inputs!$F$170</f>
        <v>2.51070577621293</v>
      </c>
      <c r="AD91" s="13" t="n">
        <f aca="false">(1-AD86)*(AD52+AD53)/MAX(Time!AD31,1)*Inputs!$F$170</f>
        <v>2.48984945804996</v>
      </c>
      <c r="AE91" s="13" t="n">
        <f aca="false">(1-AE86)*(AE52+AE53)/MAX(Time!AE31,1)*Inputs!$F$170</f>
        <v>2.54229674607933</v>
      </c>
      <c r="AF91" s="13" t="n">
        <f aca="false">(1-AF86)*(AF52+AF53)/MAX(Time!AF31,1)*Inputs!$F$170</f>
        <v>2.55162460293839</v>
      </c>
      <c r="AG91" s="13" t="n">
        <f aca="false">(1-AG86)*(AG52+AG53)/MAX(Time!AG31,1)*Inputs!$F$170</f>
        <v>2.59569060252482</v>
      </c>
      <c r="AH91" s="13" t="n">
        <f aca="false">(1-AH86)*(AH52+AH53)/MAX(Time!AH31,1)*Inputs!$F$170</f>
        <v>2.58535290066825</v>
      </c>
      <c r="AI91" s="13" t="n">
        <f aca="false">(1-AI86)*(AI52+AI53)/MAX(Time!AI31,1)*Inputs!$F$170</f>
        <v>2.63296064189563</v>
      </c>
      <c r="AJ91" s="13" t="n">
        <f aca="false">(1-AJ86)*(AJ52+AJ53)/MAX(Time!AJ31,1)*Inputs!$F$170</f>
        <v>2.62844578430847</v>
      </c>
      <c r="AK91" s="13" t="n">
        <f aca="false">(1-AK86)*(AK52+AK53)/MAX(Time!AK31,1)*Inputs!$F$170</f>
        <v>2.66738937121934</v>
      </c>
      <c r="AL91" s="13" t="n">
        <f aca="false">(1-AL86)*(AL52+AL53)/MAX(Time!AL31,1)*Inputs!$F$170</f>
        <v>2.65161685992547</v>
      </c>
      <c r="AM91" s="13" t="n">
        <f aca="false">(1-AM86)*(AM52+AM53)/MAX(Time!AM31,1)*Inputs!$F$170</f>
        <v>2.70426420973624</v>
      </c>
      <c r="AN91" s="13" t="n">
        <f aca="false">(1-AN86)*(AN52+AN53)/MAX(Time!AN31,1)*Inputs!$F$170</f>
        <v>2.70757306616401</v>
      </c>
      <c r="AO91" s="13" t="n">
        <f aca="false">(1-AO86)*(AO52+AO53)/MAX(Time!AO31,1)*Inputs!$F$170</f>
        <v>2.75432181382367</v>
      </c>
      <c r="AP91" s="13" t="n">
        <f aca="false">(1-AP86)*(AP52+AP53)/MAX(Time!AP31,1)*Inputs!$F$170</f>
        <v>2.74336121386447</v>
      </c>
      <c r="AQ91" s="13" t="n">
        <f aca="false">(1-AQ86)*(AQ52+AQ53)/MAX(Time!AQ31,1)*Inputs!$F$170</f>
        <v>2.79386434474928</v>
      </c>
      <c r="AR91" s="13" t="n">
        <f aca="false">(1-AR86)*(AR52+AR53)/MAX(Time!AR31,1)*Inputs!$F$170</f>
        <v>2.78907546968291</v>
      </c>
      <c r="AS91" s="13" t="n">
        <f aca="false">(1-AS86)*(AS52+AS53)/MAX(Time!AS31,1)*Inputs!$F$170</f>
        <v>2.82698096129738</v>
      </c>
      <c r="AT91" s="13" t="n">
        <f aca="false">(1-AT86)*(AT52+AT53)/MAX(Time!AT31,1)*Inputs!$F$170</f>
        <v>2.80354356733194</v>
      </c>
      <c r="AU91" s="13" t="n">
        <f aca="false">(1-AU86)*(AU52+AU53)/MAX(Time!AU31,1)*Inputs!$F$170</f>
        <v>2.86255254733537</v>
      </c>
      <c r="AV91" s="13" t="n">
        <f aca="false">(1-AV86)*(AV52+AV53)/MAX(Time!AV31,1)*Inputs!$F$170</f>
        <v>2.87302407551139</v>
      </c>
      <c r="AW91" s="13" t="n">
        <f aca="false">(1-AW86)*(AW52+AW53)/MAX(Time!AW31,1)*Inputs!$F$170</f>
        <v>2.92261807883464</v>
      </c>
      <c r="AX91" s="13" t="n">
        <f aca="false">(1-AX86)*(AX52+AX53)/MAX(Time!AX31,1)*Inputs!$F$170</f>
        <v>2.91099772865259</v>
      </c>
      <c r="AY91" s="13" t="n">
        <f aca="false">(1-AY86)*(AY52+AY53)/MAX(Time!AY31,1)*Inputs!$F$170</f>
        <v>2.96457131737742</v>
      </c>
      <c r="AZ91" s="13" t="n">
        <f aca="false">(1-AZ86)*(AZ52+AZ53)/MAX(Time!AZ31,1)*Inputs!$F$170</f>
        <v>2.95949208501949</v>
      </c>
      <c r="BA91" s="13" t="n">
        <f aca="false">(1-BA86)*(BA52+BA53)/MAX(Time!BA31,1)*Inputs!$F$170</f>
        <v>3.00333411719539</v>
      </c>
      <c r="BB91" s="13" t="n">
        <f aca="false">(1-BB86)*(BB52+BB53)/MAX(Time!BB31,1)*Inputs!$F$170</f>
        <v>2.98560953506859</v>
      </c>
      <c r="BC91" s="13" t="n">
        <f aca="false">(1-BC86)*(BC52+BC53)/MAX(Time!BC31,1)*Inputs!$F$170</f>
        <v>3.04484598449493</v>
      </c>
      <c r="BD91" s="13" t="n">
        <f aca="false">(1-BD86)*(BD52+BD53)/MAX(Time!BD31,1)*Inputs!$F$170</f>
        <v>3.04855488337244</v>
      </c>
      <c r="BE91" s="13" t="n">
        <f aca="false">(1-BE86)*(BE52+BE53)/MAX(Time!BE31,1)*Inputs!$F$170</f>
        <v>3.10116644257856</v>
      </c>
      <c r="BF91" s="13" t="n">
        <f aca="false">(1-BF86)*(BF52+BF53)/MAX(Time!BF31,1)*Inputs!$F$170</f>
        <v>3.08884735379754</v>
      </c>
      <c r="BG91" s="13" t="n">
        <f aca="false">(1-BG86)*(BG52+BG53)/MAX(Time!BG31,1)*Inputs!$F$170</f>
        <v>3.14567698973259</v>
      </c>
      <c r="BH91" s="13" t="n">
        <f aca="false">(1-BH86)*(BH52+BH53)/MAX(Time!BH31,1)*Inputs!$F$170</f>
        <v>3.14029010447144</v>
      </c>
      <c r="BI91" s="13" t="n">
        <f aca="false">(1-BI86)*(BI52+BI53)/MAX(Time!BI31,1)*Inputs!$F$170</f>
        <v>3.18297154130748</v>
      </c>
      <c r="BJ91" s="13" t="n">
        <f aca="false">(1-BJ86)*(BJ52+BJ53)/MAX(Time!BJ31,1)*Inputs!$F$170</f>
        <v>3.15663989812677</v>
      </c>
      <c r="BK91" s="13" t="n">
        <f aca="false">(1-BK86)*(BK52+BK53)/MAX(Time!BK31,1)*Inputs!$F$170</f>
        <v>3.22302517083753</v>
      </c>
      <c r="BL91" s="13" t="n">
        <f aca="false">(1-BL86)*(BL52+BL53)/MAX(Time!BL31,1)*Inputs!$F$170</f>
        <v>3.23477769781933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1.58887757310739</v>
      </c>
      <c r="P92" s="13" t="n">
        <f aca="false">(1-P86)*(P60+P61+P62+P64)/MAX(Time!P31,1)*Inputs!$F$171</f>
        <v>1.59753046771053</v>
      </c>
      <c r="Q92" s="13" t="n">
        <f aca="false">(1-Q86)*(Q60+Q61+Q62+Q64)/MAX(Time!Q31,1)*Inputs!$F$171</f>
        <v>1.63630833687557</v>
      </c>
      <c r="R92" s="13" t="n">
        <f aca="false">(1-R86)*(R60+R61+R62+R64)/MAX(Time!R31,1)*Inputs!$F$171</f>
        <v>1.61636331351416</v>
      </c>
      <c r="S92" s="13" t="n">
        <f aca="false">(1-S86)*(S60+S61+S62+S64)/MAX(Time!S31,1)*Inputs!$F$171</f>
        <v>1.66671891328057</v>
      </c>
      <c r="T92" s="13" t="n">
        <f aca="false">(1-T86)*(T60+T61+T62+T64)/MAX(Time!T31,1)*Inputs!$F$171</f>
        <v>1.66859501303617</v>
      </c>
      <c r="U92" s="13" t="n">
        <f aca="false">(1-U86)*(U60+U61+U62+U64)/MAX(Time!U31,1)*Inputs!$F$171</f>
        <v>1.68519129573022</v>
      </c>
      <c r="V92" s="13" t="n">
        <f aca="false">(1-V86)*(V60+V61+V62+V64)/MAX(Time!V31,1)*Inputs!$F$171</f>
        <v>1.67085404294842</v>
      </c>
      <c r="W92" s="13" t="n">
        <f aca="false">(1-W86)*(W60+W61+W62+W64)/MAX(Time!W31,1)*Inputs!$F$171</f>
        <v>1.71741984496264</v>
      </c>
      <c r="X92" s="13" t="n">
        <f aca="false">(1-X86)*(X60+X61+X62+X64)/MAX(Time!X31,1)*Inputs!$F$171</f>
        <v>1.74282079359607</v>
      </c>
      <c r="Y92" s="13" t="n">
        <f aca="false">(1-Y86)*(Y60+Y61+Y62+Y64)/MAX(Time!Y31,1)*Inputs!$F$171</f>
        <v>1.78512538689063</v>
      </c>
      <c r="Z92" s="13" t="n">
        <f aca="false">(1-Z86)*(Z60+Z61+Z62+Z64)/MAX(Time!Z31,1)*Inputs!$F$171</f>
        <v>1.7633664269549</v>
      </c>
      <c r="AA92" s="13" t="n">
        <f aca="false">(1-AA86)*(AA60+AA61+AA62+AA64)/MAX(Time!AA31,1)*Inputs!$F$171</f>
        <v>1.81830170870429</v>
      </c>
      <c r="AB92" s="13" t="n">
        <f aca="false">(1-AB86)*(AB60+AB61+AB62+AB64)/MAX(Time!AB31,1)*Inputs!$F$171</f>
        <v>1.82034843377839</v>
      </c>
      <c r="AC92" s="13" t="n">
        <f aca="false">(1-AC86)*(AC60+AC61+AC62+AC64)/MAX(Time!AC31,1)*Inputs!$F$171</f>
        <v>1.82536943165191</v>
      </c>
      <c r="AD92" s="13" t="n">
        <f aca="false">(1-AD86)*(AD60+AD61+AD62+AD64)/MAX(Time!AD31,1)*Inputs!$F$171</f>
        <v>1.82224678606395</v>
      </c>
      <c r="AE92" s="13" t="n">
        <f aca="false">(1-AE86)*(AE60+AE61+AE62+AE64)/MAX(Time!AE31,1)*Inputs!$F$171</f>
        <v>1.87323757930149</v>
      </c>
      <c r="AF92" s="13" t="n">
        <f aca="false">(1-AF86)*(AF60+AF61+AF62+AF64)/MAX(Time!AF31,1)*Inputs!$F$171</f>
        <v>1.90132481350659</v>
      </c>
      <c r="AG92" s="13" t="n">
        <f aca="false">(1-AG86)*(AG60+AG61+AG62+AG64)/MAX(Time!AG31,1)*Inputs!$F$171</f>
        <v>1.94747687529735</v>
      </c>
      <c r="AH92" s="13" t="n">
        <f aca="false">(1-AH86)*(AH60+AH61+AH62+AH64)/MAX(Time!AH31,1)*Inputs!$F$171</f>
        <v>1.92373900701283</v>
      </c>
      <c r="AI92" s="13" t="n">
        <f aca="false">(1-AI86)*(AI60+AI61+AI62+AI64)/MAX(Time!AI31,1)*Inputs!$F$171</f>
        <v>1.9836704782868</v>
      </c>
      <c r="AJ92" s="13" t="n">
        <f aca="false">(1-AJ86)*(AJ60+AJ61+AJ62+AJ64)/MAX(Time!AJ31,1)*Inputs!$F$171</f>
        <v>1.98590334651062</v>
      </c>
      <c r="AK92" s="13" t="n">
        <f aca="false">(1-AK86)*(AK60+AK61+AK62+AK64)/MAX(Time!AK31,1)*Inputs!$F$171</f>
        <v>2.00565566093339</v>
      </c>
      <c r="AL92" s="13" t="n">
        <f aca="false">(1-AL86)*(AL60+AL61+AL62+AL64)/MAX(Time!AL31,1)*Inputs!$F$171</f>
        <v>1.9885919647958</v>
      </c>
      <c r="AM92" s="13" t="n">
        <f aca="false">(1-AM86)*(AM60+AM61+AM62+AM64)/MAX(Time!AM31,1)*Inputs!$F$171</f>
        <v>2.04401295151247</v>
      </c>
      <c r="AN92" s="13" t="n">
        <f aca="false">(1-AN86)*(AN60+AN61+AN62+AN64)/MAX(Time!AN31,1)*Inputs!$F$171</f>
        <v>2.0742442709768</v>
      </c>
      <c r="AO92" s="13" t="n">
        <f aca="false">(1-AO86)*(AO60+AO61+AO62+AO64)/MAX(Time!AO31,1)*Inputs!$F$171</f>
        <v>2.12459371631259</v>
      </c>
      <c r="AP92" s="13" t="n">
        <f aca="false">(1-AP86)*(AP60+AP61+AP62+AP64)/MAX(Time!AP31,1)*Inputs!$F$171</f>
        <v>2.09869696424552</v>
      </c>
      <c r="AQ92" s="13" t="n">
        <f aca="false">(1-AQ86)*(AQ60+AQ61+AQ62+AQ64)/MAX(Time!AQ31,1)*Inputs!$F$171</f>
        <v>2.16407901262471</v>
      </c>
      <c r="AR92" s="13" t="n">
        <f aca="false">(1-AR86)*(AR60+AR61+AR62+AR64)/MAX(Time!AR31,1)*Inputs!$F$171</f>
        <v>2.16651495312693</v>
      </c>
      <c r="AS92" s="13" t="n">
        <f aca="false">(1-AS86)*(AS60+AS61+AS62+AS64)/MAX(Time!AS31,1)*Inputs!$F$171</f>
        <v>2.17249076894919</v>
      </c>
      <c r="AT92" s="13" t="n">
        <f aca="false">(1-AT86)*(AT60+AT61+AT62+AT64)/MAX(Time!AT31,1)*Inputs!$F$171</f>
        <v>2.16877430553257</v>
      </c>
      <c r="AU92" s="13" t="n">
        <f aca="false">(1-AU86)*(AU60+AU61+AU62+AU64)/MAX(Time!AU31,1)*Inputs!$F$171</f>
        <v>2.22946176182994</v>
      </c>
      <c r="AV92" s="13" t="n">
        <f aca="false">(1-AV86)*(AV60+AV61+AV62+AV64)/MAX(Time!AV31,1)*Inputs!$F$171</f>
        <v>2.26289020430182</v>
      </c>
      <c r="AW92" s="13" t="n">
        <f aca="false">(1-AW86)*(AW60+AW61+AW62+AW64)/MAX(Time!AW31,1)*Inputs!$F$171</f>
        <v>2.31781877189466</v>
      </c>
      <c r="AX92" s="13" t="n">
        <f aca="false">(1-AX86)*(AX60+AX61+AX62+AX64)/MAX(Time!AX31,1)*Inputs!$F$171</f>
        <v>2.28956679241675</v>
      </c>
      <c r="AY92" s="13" t="n">
        <f aca="false">(1-AY86)*(AY60+AY61+AY62+AY64)/MAX(Time!AY31,1)*Inputs!$F$171</f>
        <v>2.36089513059014</v>
      </c>
      <c r="AZ92" s="13" t="n">
        <f aca="false">(1-AZ86)*(AZ60+AZ61+AZ62+AZ64)/MAX(Time!AZ31,1)*Inputs!$F$171</f>
        <v>2.36355261214999</v>
      </c>
      <c r="BA92" s="13" t="n">
        <f aca="false">(1-BA86)*(BA60+BA61+BA62+BA64)/MAX(Time!BA31,1)*Inputs!$F$171</f>
        <v>2.38706112500485</v>
      </c>
      <c r="BB92" s="13" t="n">
        <f aca="false">(1-BB86)*(BB60+BB61+BB62+BB64)/MAX(Time!BB31,1)*Inputs!$F$171</f>
        <v>2.36675251147146</v>
      </c>
      <c r="BC92" s="13" t="n">
        <f aca="false">(1-BC86)*(BC60+BC61+BC62+BC64)/MAX(Time!BC31,1)*Inputs!$F$171</f>
        <v>2.43271262889222</v>
      </c>
      <c r="BD92" s="13" t="n">
        <f aca="false">(1-BD86)*(BD60+BD61+BD62+BD64)/MAX(Time!BD31,1)*Inputs!$F$171</f>
        <v>2.46869288654887</v>
      </c>
      <c r="BE92" s="13" t="n">
        <f aca="false">(1-BE86)*(BE60+BE61+BE62+BE64)/MAX(Time!BE31,1)*Inputs!$F$171</f>
        <v>2.52861703303506</v>
      </c>
      <c r="BF92" s="13" t="n">
        <f aca="false">(1-BF86)*(BF60+BF61+BF62+BF64)/MAX(Time!BF31,1)*Inputs!$F$171</f>
        <v>2.49779562568818</v>
      </c>
      <c r="BG92" s="13" t="n">
        <f aca="false">(1-BG86)*(BG60+BG61+BG62+BG64)/MAX(Time!BG31,1)*Inputs!$F$171</f>
        <v>2.57561104984056</v>
      </c>
      <c r="BH92" s="13" t="n">
        <f aca="false">(1-BH86)*(BH60+BH61+BH62+BH64)/MAX(Time!BH31,1)*Inputs!$F$171</f>
        <v>2.5785102209141</v>
      </c>
      <c r="BI92" s="13" t="n">
        <f aca="false">(1-BI86)*(BI60+BI61+BI62+BI64)/MAX(Time!BI31,1)*Inputs!$F$171</f>
        <v>2.58562242761905</v>
      </c>
      <c r="BJ92" s="13" t="n">
        <f aca="false">(1-BJ86)*(BJ60+BJ61+BJ62+BJ64)/MAX(Time!BJ31,1)*Inputs!$F$171</f>
        <v>2.58119922301962</v>
      </c>
      <c r="BK92" s="13" t="n">
        <f aca="false">(1-BK86)*(BK60+BK61+BK62+BK64)/MAX(Time!BK31,1)*Inputs!$F$171</f>
        <v>2.65342730809155</v>
      </c>
      <c r="BL92" s="13" t="n">
        <f aca="false">(1-BL86)*(BL60+BL61+BL62+BL64)/MAX(Time!BL31,1)*Inputs!$F$171</f>
        <v>2.69321266958125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1.15788312854167</v>
      </c>
      <c r="P93" s="13" t="n">
        <f aca="false">(1-P86)*(P65+P66+P67+P68+P69+P70+P71)/MAX(Time!P31,1)*Inputs!$F$172</f>
        <v>1.16311542870536</v>
      </c>
      <c r="Q93" s="13" t="n">
        <f aca="false">(1-Q86)*(Q65+Q66+Q67+Q68+Q69+Q70+Q71)/MAX(Time!Q31,1)*Inputs!$F$172</f>
        <v>1.19299191555225</v>
      </c>
      <c r="R93" s="13" t="n">
        <f aca="false">(1-R86)*(R65+R66+R67+R68+R69+R70+R71)/MAX(Time!R31,1)*Inputs!$F$172</f>
        <v>1.18285711757755</v>
      </c>
      <c r="S93" s="13" t="n">
        <f aca="false">(1-S86)*(S65+S66+S67+S68+S69+S70+S71)/MAX(Time!S31,1)*Inputs!$F$172</f>
        <v>1.21567624564631</v>
      </c>
      <c r="T93" s="13" t="n">
        <f aca="false">(1-T86)*(T65+T66+T67+T68+T69+T70+T71)/MAX(Time!T31,1)*Inputs!$F$172</f>
        <v>1.21011543351342</v>
      </c>
      <c r="U93" s="13" t="n">
        <f aca="false">(1-U86)*(U65+U66+U67+U68+U69+U70+U71)/MAX(Time!U31,1)*Inputs!$F$172</f>
        <v>1.23118802515451</v>
      </c>
      <c r="V93" s="13" t="n">
        <f aca="false">(1-V86)*(V65+V66+V67+V68+V69+V70+V71)/MAX(Time!V31,1)*Inputs!$F$172</f>
        <v>1.22013340233583</v>
      </c>
      <c r="W93" s="13" t="n">
        <f aca="false">(1-W86)*(W65+W66+W67+W68+W69+W70+W71)/MAX(Time!W31,1)*Inputs!$F$172</f>
        <v>1.25778821757725</v>
      </c>
      <c r="X93" s="13" t="n">
        <f aca="false">(1-X86)*(X65+X66+X67+X68+X69+X70+X71)/MAX(Time!X31,1)*Inputs!$F$172</f>
        <v>1.25915864580029</v>
      </c>
      <c r="Y93" s="13" t="n">
        <f aca="false">(1-Y86)*(Y65+Y66+Y67+Y68+Y69+Y70+Y71)/MAX(Time!Y31,1)*Inputs!$F$172</f>
        <v>1.29157364528302</v>
      </c>
      <c r="Z93" s="13" t="n">
        <f aca="false">(1-Z86)*(Z65+Z66+Z67+Z68+Z69+Z70+Z71)/MAX(Time!Z31,1)*Inputs!$F$172</f>
        <v>1.28067295378927</v>
      </c>
      <c r="AA93" s="13" t="n">
        <f aca="false">(1-AA86)*(AA65+AA66+AA67+AA68+AA69+AA70+AA71)/MAX(Time!AA31,1)*Inputs!$F$172</f>
        <v>1.31627848160663</v>
      </c>
      <c r="AB93" s="13" t="n">
        <f aca="false">(1-AB86)*(AB65+AB66+AB67+AB68+AB69+AB70+AB71)/MAX(Time!AB31,1)*Inputs!$F$172</f>
        <v>1.3103338408054</v>
      </c>
      <c r="AC93" s="13" t="n">
        <f aca="false">(1-AC86)*(AC65+AC66+AC67+AC68+AC69+AC70+AC71)/MAX(Time!AC31,1)*Inputs!$F$172</f>
        <v>1.33008019107463</v>
      </c>
      <c r="AD93" s="13" t="n">
        <f aca="false">(1-AD86)*(AD65+AD66+AD67+AD68+AD69+AD70+AD71)/MAX(Time!AD31,1)*Inputs!$F$172</f>
        <v>1.31195869109736</v>
      </c>
      <c r="AE93" s="13" t="n">
        <f aca="false">(1-AE86)*(AE65+AE66+AE67+AE68+AE69+AE70+AE71)/MAX(Time!AE31,1)*Inputs!$F$172</f>
        <v>1.35576048853596</v>
      </c>
      <c r="AF93" s="13" t="n">
        <f aca="false">(1-AF86)*(AF65+AF66+AF67+AF68+AF69+AF70+AF71)/MAX(Time!AF31,1)*Inputs!$F$172</f>
        <v>1.36373364877107</v>
      </c>
      <c r="AG93" s="13" t="n">
        <f aca="false">(1-AG86)*(AG65+AG66+AG67+AG68+AG69+AG70+AG71)/MAX(Time!AG31,1)*Inputs!$F$172</f>
        <v>1.398913096566</v>
      </c>
      <c r="AH93" s="13" t="n">
        <f aca="false">(1-AH86)*(AH65+AH66+AH67+AH68+AH69+AH70+AH71)/MAX(Time!AH31,1)*Inputs!$F$172</f>
        <v>1.38717937986707</v>
      </c>
      <c r="AI93" s="13" t="n">
        <f aca="false">(1-AI86)*(AI65+AI66+AI67+AI68+AI69+AI70+AI71)/MAX(Time!AI31,1)*Inputs!$F$172</f>
        <v>1.42581832690589</v>
      </c>
      <c r="AJ93" s="13" t="n">
        <f aca="false">(1-AJ86)*(AJ65+AJ66+AJ67+AJ68+AJ69+AJ70+AJ71)/MAX(Time!AJ31,1)*Inputs!$F$172</f>
        <v>1.41945472224363</v>
      </c>
      <c r="AK93" s="13" t="n">
        <f aca="false">(1-AK86)*(AK65+AK66+AK67+AK68+AK69+AK70+AK71)/MAX(Time!AK31,1)*Inputs!$F$172</f>
        <v>1.44433173698929</v>
      </c>
      <c r="AL93" s="13" t="n">
        <f aca="false">(1-AL86)*(AL65+AL66+AL67+AL68+AL69+AL70+AL71)/MAX(Time!AL31,1)*Inputs!$F$172</f>
        <v>1.43163350752289</v>
      </c>
      <c r="AM93" s="13" t="n">
        <f aca="false">(1-AM86)*(AM65+AM66+AM67+AM68+AM69+AM70+AM71)/MAX(Time!AM31,1)*Inputs!$F$172</f>
        <v>1.47590683737592</v>
      </c>
      <c r="AN93" s="13" t="n">
        <f aca="false">(1-AN86)*(AN65+AN66+AN67+AN68+AN69+AN70+AN71)/MAX(Time!AN31,1)*Inputs!$F$172</f>
        <v>1.47759791063065</v>
      </c>
      <c r="AO93" s="13" t="n">
        <f aca="false">(1-AO86)*(AO65+AO66+AO67+AO68+AO69+AO70+AO71)/MAX(Time!AO31,1)*Inputs!$F$172</f>
        <v>1.51578784181603</v>
      </c>
      <c r="AP93" s="13" t="n">
        <f aca="false">(1-AP86)*(AP65+AP66+AP67+AP68+AP69+AP70+AP71)/MAX(Time!AP31,1)*Inputs!$F$172</f>
        <v>1.50314809235257</v>
      </c>
      <c r="AQ93" s="13" t="n">
        <f aca="false">(1-AQ86)*(AQ65+AQ66+AQ67+AQ68+AQ69+AQ70+AQ71)/MAX(Time!AQ31,1)*Inputs!$F$172</f>
        <v>1.54508936214139</v>
      </c>
      <c r="AR93" s="13" t="n">
        <f aca="false">(1-AR86)*(AR65+AR66+AR67+AR68+AR69+AR70+AR71)/MAX(Time!AR31,1)*Inputs!$F$172</f>
        <v>1.53826844232863</v>
      </c>
      <c r="AS93" s="13" t="n">
        <f aca="false">(1-AS86)*(AS65+AS66+AS67+AS68+AS69+AS70+AS71)/MAX(Time!AS31,1)*Inputs!$F$172</f>
        <v>1.56165113673361</v>
      </c>
      <c r="AT93" s="13" t="n">
        <f aca="false">(1-AT86)*(AT65+AT66+AT67+AT68+AT69+AT70+AT71)/MAX(Time!AT31,1)*Inputs!$F$172</f>
        <v>1.54072922610133</v>
      </c>
      <c r="AU93" s="13" t="n">
        <f aca="false">(1-AU86)*(AU65+AU66+AU67+AU68+AU69+AU70+AU71)/MAX(Time!AU31,1)*Inputs!$F$172</f>
        <v>1.59221570287395</v>
      </c>
      <c r="AV93" s="13" t="n">
        <f aca="false">(1-AV86)*(AV65+AV66+AV67+AV68+AV69+AV70+AV71)/MAX(Time!AV31,1)*Inputs!$F$172</f>
        <v>1.60157611474948</v>
      </c>
      <c r="AW93" s="13" t="n">
        <f aca="false">(1-AW86)*(AW65+AW66+AW67+AW68+AW69+AW70+AW71)/MAX(Time!AW31,1)*Inputs!$F$172</f>
        <v>1.64304445097155</v>
      </c>
      <c r="AX93" s="13" t="n">
        <f aca="false">(1-AX86)*(AX65+AX66+AX67+AX68+AX69+AX70+AX71)/MAX(Time!AX31,1)*Inputs!$F$172</f>
        <v>1.62941927179496</v>
      </c>
      <c r="AY93" s="13" t="n">
        <f aca="false">(1-AY86)*(AY65+AY66+AY67+AY68+AY69+AY70+AY71)/MAX(Time!AY31,1)*Inputs!$F$172</f>
        <v>1.67495558931043</v>
      </c>
      <c r="AZ93" s="13" t="n">
        <f aca="false">(1-AZ86)*(AZ65+AZ66+AZ67+AZ68+AZ69+AZ70+AZ71)/MAX(Time!AZ31,1)*Inputs!$F$172</f>
        <v>1.66763549258793</v>
      </c>
      <c r="BA93" s="13" t="n">
        <f aca="false">(1-BA86)*(BA65+BA66+BA67+BA68+BA69+BA70+BA71)/MAX(Time!BA31,1)*Inputs!$F$172</f>
        <v>1.69703068173692</v>
      </c>
      <c r="BB93" s="13" t="n">
        <f aca="false">(1-BB86)*(BB65+BB66+BB67+BB68+BB69+BB70+BB71)/MAX(Time!BB31,1)*Inputs!$F$172</f>
        <v>1.68239956826011</v>
      </c>
      <c r="BC93" s="13" t="n">
        <f aca="false">(1-BC86)*(BC65+BC66+BC67+BC68+BC69+BC70+BC71)/MAX(Time!BC31,1)*Inputs!$F$172</f>
        <v>1.73451166390826</v>
      </c>
      <c r="BD93" s="13" t="n">
        <f aca="false">(1-BD86)*(BD65+BD66+BD67+BD68+BD69+BD70+BD71)/MAX(Time!BD31,1)*Inputs!$F$172</f>
        <v>1.73656611468719</v>
      </c>
      <c r="BE93" s="13" t="n">
        <f aca="false">(1-BE86)*(BE65+BE66+BE67+BE68+BE69+BE70+BE71)/MAX(Time!BE31,1)*Inputs!$F$172</f>
        <v>1.78160461015188</v>
      </c>
      <c r="BF93" s="13" t="n">
        <f aca="false">(1-BF86)*(BF65+BF66+BF67+BF68+BF69+BF70+BF71)/MAX(Time!BF31,1)*Inputs!$F$172</f>
        <v>1.76690765660423</v>
      </c>
      <c r="BG93" s="13" t="n">
        <f aca="false">(1-BG86)*(BG65+BG66+BG67+BG68+BG69+BG70+BG71)/MAX(Time!BG31,1)*Inputs!$F$172</f>
        <v>1.81635767705277</v>
      </c>
      <c r="BH93" s="13" t="n">
        <f aca="false">(1-BH86)*(BH65+BH66+BH67+BH68+BH69+BH70+BH71)/MAX(Time!BH31,1)*Inputs!$F$172</f>
        <v>1.80849270987533</v>
      </c>
      <c r="BI93" s="13" t="n">
        <f aca="false">(1-BI86)*(BI65+BI66+BI67+BI68+BI69+BI70+BI71)/MAX(Time!BI31,1)*Inputs!$F$172</f>
        <v>1.8362001778457</v>
      </c>
      <c r="BJ93" s="13" t="n">
        <f aca="false">(1-BJ86)*(BJ65+BJ66+BJ67+BJ68+BJ69+BJ70+BJ71)/MAX(Time!BJ31,1)*Inputs!$F$172</f>
        <v>1.81198576079422</v>
      </c>
      <c r="BK93" s="13" t="n">
        <f aca="false">(1-BK86)*(BK65+BK66+BK67+BK68+BK69+BK70+BK71)/MAX(Time!BK31,1)*Inputs!$F$172</f>
        <v>1.87256931926619</v>
      </c>
      <c r="BL93" s="13" t="n">
        <f aca="false">(1-BL86)*(BL65+BL66+BL67+BL68+BL69+BL70+BL71)/MAX(Time!BL31,1)*Inputs!$F$172</f>
        <v>1.88354542216126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15.0309203029298</v>
      </c>
      <c r="P95" s="13" t="n">
        <f aca="false">P88+P89-P90-P91-P92-P93-P94</f>
        <v>14.995576558101</v>
      </c>
      <c r="Q95" s="13" t="n">
        <f aca="false">Q88+Q89-Q90-Q91-Q92-Q93-Q94</f>
        <v>15.2873586759211</v>
      </c>
      <c r="R95" s="13" t="n">
        <f aca="false">R88+R89-R90-R91-R92-R93-R94</f>
        <v>15.0777949183171</v>
      </c>
      <c r="S95" s="13" t="n">
        <f aca="false">S88+S89-S90-S91-S92-S93-S94</f>
        <v>15.3890890705064</v>
      </c>
      <c r="T95" s="13" t="n">
        <f aca="false">T88+T89-T90-T91-T92-T93-T94</f>
        <v>15.1964633378298</v>
      </c>
      <c r="U95" s="13" t="n">
        <f aca="false">U88+U89-U90-U91-U92-U93-U94</f>
        <v>15.3680739721026</v>
      </c>
      <c r="V95" s="13" t="n">
        <f aca="false">V88+V89-V90-V91-V92-V93-V94</f>
        <v>14.8699600981467</v>
      </c>
      <c r="W95" s="13" t="n">
        <f aca="false">W88+W89-W90-W91-W92-W93-W94</f>
        <v>15.3640815857387</v>
      </c>
      <c r="X95" s="13" t="n">
        <f aca="false">X88+X89-X90-X91-X92-X93-X94</f>
        <v>15.4053540311777</v>
      </c>
      <c r="Y95" s="13" t="n">
        <f aca="false">Y88+Y89-Y90-Y91-Y92-Y93-Y94</f>
        <v>15.7075268435981</v>
      </c>
      <c r="Z95" s="13" t="n">
        <f aca="false">Z88+Z89-Z90-Z91-Z92-Z93-Z94</f>
        <v>15.4954073577513</v>
      </c>
      <c r="AA95" s="13" t="n">
        <f aca="false">AA88+AA89-AA90-AA91-AA92-AA93-AA94</f>
        <v>15.8176373055396</v>
      </c>
      <c r="AB95" s="13" t="n">
        <f aca="false">AB88+AB89-AB90-AB91-AB92-AB93-AB94</f>
        <v>15.6225741708275</v>
      </c>
      <c r="AC95" s="13" t="n">
        <f aca="false">AC88+AC89-AC90-AC91-AC92-AC93-AC94</f>
        <v>15.6914304401924</v>
      </c>
      <c r="AD95" s="13" t="n">
        <f aca="false">AD88+AD89-AD90-AD91-AD92-AD93-AD94</f>
        <v>14.9232684598993</v>
      </c>
      <c r="AE95" s="13" t="n">
        <f aca="false">AE88+AE89-AE90-AE91-AE92-AE93-AE94</f>
        <v>15.5524146674091</v>
      </c>
      <c r="AF95" s="13" t="n">
        <f aca="false">AF88+AF89-AF90-AF91-AF92-AF93-AF94</f>
        <v>15.8484627656338</v>
      </c>
      <c r="AG95" s="13" t="n">
        <f aca="false">AG88+AG89-AG90-AG91-AG92-AG93-AG94</f>
        <v>16.1618839922009</v>
      </c>
      <c r="AH95" s="13" t="n">
        <f aca="false">AH88+AH89-AH90-AH91-AH92-AH93-AH94</f>
        <v>15.9470222275195</v>
      </c>
      <c r="AI95" s="13" t="n">
        <f aca="false">AI88+AI89-AI90-AI91-AI92-AI93-AI94</f>
        <v>16.2810790851929</v>
      </c>
      <c r="AJ95" s="13" t="n">
        <f aca="false">AJ88+AJ89-AJ90-AJ91-AJ92-AJ93-AJ94</f>
        <v>16.0833728667121</v>
      </c>
      <c r="AK95" s="13" t="n">
        <f aca="false">AK88+AK89-AK90-AK91-AK92-AK93-AK94</f>
        <v>16.2707691016554</v>
      </c>
      <c r="AL95" s="13" t="n">
        <f aca="false">AL88+AL89-AL90-AL91-AL92-AL93-AL94</f>
        <v>15.7452941815039</v>
      </c>
      <c r="AM95" s="13" t="n">
        <f aca="false">AM88+AM89-AM90-AM91-AM92-AM93-AM94</f>
        <v>16.2765425555811</v>
      </c>
      <c r="AN95" s="13" t="n">
        <f aca="false">AN88+AN89-AN90-AN91-AN92-AN93-AN94</f>
        <v>16.3276721575849</v>
      </c>
      <c r="AO95" s="13" t="n">
        <f aca="false">AO88+AO89-AO90-AO91-AO92-AO93-AO94</f>
        <v>16.6532717738715</v>
      </c>
      <c r="AP95" s="13" t="n">
        <f aca="false">AP88+AP89-AP90-AP91-AP92-AP93-AP94</f>
        <v>16.4354672716989</v>
      </c>
      <c r="AQ95" s="13" t="n">
        <f aca="false">AQ88+AQ89-AQ90-AQ91-AQ92-AQ93-AQ94</f>
        <v>16.7823163122861</v>
      </c>
      <c r="AR95" s="13" t="n">
        <f aca="false">AR88+AR89-AR90-AR91-AR92-AR93-AR94</f>
        <v>16.5817435694179</v>
      </c>
      <c r="AS95" s="13" t="n">
        <f aca="false">AS88+AS89-AS90-AS91-AS92-AS93-AS94</f>
        <v>16.6606350551811</v>
      </c>
      <c r="AT95" s="13" t="n">
        <f aca="false">AT88+AT89-AT90-AT91-AT92-AT93-AT94</f>
        <v>15.8412933121243</v>
      </c>
      <c r="AU95" s="13" t="n">
        <f aca="false">AU88+AU89-AU90-AU91-AU92-AU93-AU94</f>
        <v>16.5196824179798</v>
      </c>
      <c r="AV95" s="13" t="n">
        <f aca="false">AV88+AV89-AV90-AV91-AV92-AV93-AV94</f>
        <v>16.8459859224216</v>
      </c>
      <c r="AW95" s="13" t="n">
        <f aca="false">AW88+AW89-AW90-AW91-AW92-AW93-AW94</f>
        <v>17.1847723545356</v>
      </c>
      <c r="AX95" s="13" t="n">
        <f aca="false">AX88+AX89-AX90-AX91-AX92-AX93-AX94</f>
        <v>16.9638096831099</v>
      </c>
      <c r="AY95" s="13" t="n">
        <f aca="false">AY88+AY89-AY90-AY91-AY92-AY93-AY94</f>
        <v>17.3244966261582</v>
      </c>
      <c r="AZ95" s="13" t="n">
        <f aca="false">AZ88+AZ89-AZ90-AZ91-AZ92-AZ93-AZ94</f>
        <v>17.1208145945415</v>
      </c>
      <c r="BA95" s="13" t="n">
        <f aca="false">BA88+BA89-BA90-BA91-BA92-BA93-BA94</f>
        <v>17.3267446820361</v>
      </c>
      <c r="BB95" s="13" t="n">
        <f aca="false">BB88+BB89-BB90-BB91-BB92-BB93-BB94</f>
        <v>16.7690354293428</v>
      </c>
      <c r="BC95" s="13" t="n">
        <f aca="false">BC88+BC89-BC90-BC91-BC92-BC93-BC94</f>
        <v>17.3439112194821</v>
      </c>
      <c r="BD95" s="13" t="n">
        <f aca="false">BD88+BD89-BD90-BD91-BD92-BD93-BD94</f>
        <v>17.406662218608</v>
      </c>
      <c r="BE95" s="13" t="n">
        <f aca="false">BE88+BE89-BE90-BE91-BE92-BE93-BE94</f>
        <v>17.7597290764874</v>
      </c>
      <c r="BF95" s="13" t="n">
        <f aca="false">BF88+BF89-BF90-BF91-BF92-BF93-BF94</f>
        <v>17.5353766817838</v>
      </c>
      <c r="BG95" s="13" t="n">
        <f aca="false">BG88+BG89-BG90-BG91-BG92-BG93-BG94</f>
        <v>17.9110345227525</v>
      </c>
      <c r="BH95" s="13" t="n">
        <f aca="false">BH88+BH89-BH90-BH91-BH92-BH93-BH94</f>
        <v>17.7039794091664</v>
      </c>
      <c r="BI95" s="13" t="n">
        <f aca="false">BI88+BI89-BI90-BI91-BI92-BI93-BI94</f>
        <v>17.7946239736269</v>
      </c>
      <c r="BJ95" s="13" t="n">
        <f aca="false">BJ88+BJ89-BJ90-BJ91-BJ92-BJ93-BJ94</f>
        <v>16.9148785773835</v>
      </c>
      <c r="BK95" s="13" t="n">
        <f aca="false">BK88+BK89-BK90-BK91-BK92-BK93-BK94</f>
        <v>17.6512038778139</v>
      </c>
      <c r="BL95" s="13" t="n">
        <f aca="false">BL88+BL89-BL90-BL91-BL92-BL93-BL94</f>
        <v>18.0132355202641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15.0309203029298</v>
      </c>
      <c r="P96" s="13" t="n">
        <f aca="false">P95-O95</f>
        <v>-0.0353437448288112</v>
      </c>
      <c r="Q96" s="13" t="n">
        <f aca="false">Q95-P95</f>
        <v>0.291782117820111</v>
      </c>
      <c r="R96" s="13" t="n">
        <f aca="false">R95-Q95</f>
        <v>-0.209563757603965</v>
      </c>
      <c r="S96" s="13" t="n">
        <f aca="false">S95-R95</f>
        <v>0.311294152189305</v>
      </c>
      <c r="T96" s="13" t="n">
        <f aca="false">T95-S95</f>
        <v>-0.192625732676673</v>
      </c>
      <c r="U96" s="13" t="n">
        <f aca="false">U95-T95</f>
        <v>0.171610634272831</v>
      </c>
      <c r="V96" s="13" t="n">
        <f aca="false">V95-U95</f>
        <v>-0.498113873955845</v>
      </c>
      <c r="W96" s="13" t="n">
        <f aca="false">W95-V95</f>
        <v>0.494121487591972</v>
      </c>
      <c r="X96" s="13" t="n">
        <f aca="false">X95-W95</f>
        <v>0.0412724454389863</v>
      </c>
      <c r="Y96" s="13" t="n">
        <f aca="false">Y95-X95</f>
        <v>0.30217281242037</v>
      </c>
      <c r="Z96" s="13" t="n">
        <f aca="false">Z95-Y95</f>
        <v>-0.212119485846758</v>
      </c>
      <c r="AA96" s="13" t="n">
        <f aca="false">AA95-Z95</f>
        <v>0.322229947788335</v>
      </c>
      <c r="AB96" s="13" t="n">
        <f aca="false">AB95-AA95</f>
        <v>-0.19506313471218</v>
      </c>
      <c r="AC96" s="13" t="n">
        <f aca="false">AC95-AB95</f>
        <v>0.0688562693649608</v>
      </c>
      <c r="AD96" s="13" t="n">
        <f aca="false">AD95-AC95</f>
        <v>-0.768161980293163</v>
      </c>
      <c r="AE96" s="13" t="n">
        <f aca="false">AE95-AD95</f>
        <v>0.629146207509884</v>
      </c>
      <c r="AF96" s="13" t="n">
        <f aca="false">AF95-AE95</f>
        <v>0.296048098224633</v>
      </c>
      <c r="AG96" s="13" t="n">
        <f aca="false">AG95-AF95</f>
        <v>0.313421226567128</v>
      </c>
      <c r="AH96" s="13" t="n">
        <f aca="false">AH95-AG95</f>
        <v>-0.21486176468138</v>
      </c>
      <c r="AI96" s="13" t="n">
        <f aca="false">AI95-AH95</f>
        <v>0.334056857673378</v>
      </c>
      <c r="AJ96" s="13" t="n">
        <f aca="false">AJ95-AI95</f>
        <v>-0.197706218480807</v>
      </c>
      <c r="AK96" s="13" t="n">
        <f aca="false">AK95-AJ95</f>
        <v>0.187396234943293</v>
      </c>
      <c r="AL96" s="13" t="n">
        <f aca="false">AL95-AK95</f>
        <v>-0.525474920151487</v>
      </c>
      <c r="AM96" s="13" t="n">
        <f aca="false">AM95-AL95</f>
        <v>0.531248374077231</v>
      </c>
      <c r="AN96" s="13" t="n">
        <f aca="false">AN95-AM95</f>
        <v>0.0511296020037833</v>
      </c>
      <c r="AO96" s="13" t="n">
        <f aca="false">AO95-AN95</f>
        <v>0.32559961628662</v>
      </c>
      <c r="AP96" s="13" t="n">
        <f aca="false">AP95-AO95</f>
        <v>-0.217804502172619</v>
      </c>
      <c r="AQ96" s="13" t="n">
        <f aca="false">AQ95-AP95</f>
        <v>0.346849040587152</v>
      </c>
      <c r="AR96" s="13" t="n">
        <f aca="false">AR95-AQ95</f>
        <v>-0.200572742868168</v>
      </c>
      <c r="AS96" s="13" t="n">
        <f aca="false">AS95-AR95</f>
        <v>0.0788914857632435</v>
      </c>
      <c r="AT96" s="13" t="n">
        <f aca="false">AT95-AS95</f>
        <v>-0.819341743056882</v>
      </c>
      <c r="AU96" s="13" t="n">
        <f aca="false">AU95-AT95</f>
        <v>0.678389105855572</v>
      </c>
      <c r="AV96" s="13" t="n">
        <f aca="false">AV95-AU95</f>
        <v>0.326303504441729</v>
      </c>
      <c r="AW96" s="13" t="n">
        <f aca="false">AW95-AV95</f>
        <v>0.338786432114016</v>
      </c>
      <c r="AX96" s="13" t="n">
        <f aca="false">AX95-AW95</f>
        <v>-0.220962671425692</v>
      </c>
      <c r="AY96" s="13" t="n">
        <f aca="false">AY95-AX95</f>
        <v>0.360686943048318</v>
      </c>
      <c r="AZ96" s="13" t="n">
        <f aca="false">AZ95-AY95</f>
        <v>-0.203682031616687</v>
      </c>
      <c r="BA96" s="13" t="n">
        <f aca="false">BA95-AZ95</f>
        <v>0.205930087494625</v>
      </c>
      <c r="BB96" s="13" t="n">
        <f aca="false">BB95-BA95</f>
        <v>-0.557709252693396</v>
      </c>
      <c r="BC96" s="13" t="n">
        <f aca="false">BC95-BB95</f>
        <v>0.574875790139355</v>
      </c>
      <c r="BD96" s="13" t="n">
        <f aca="false">BD95-BC95</f>
        <v>0.0627509991258641</v>
      </c>
      <c r="BE96" s="13" t="n">
        <f aca="false">BE95-BD95</f>
        <v>0.353066857879409</v>
      </c>
      <c r="BF96" s="13" t="n">
        <f aca="false">BF95-BE95</f>
        <v>-0.224352394703626</v>
      </c>
      <c r="BG96" s="13" t="n">
        <f aca="false">BG95-BF95</f>
        <v>0.375657840968696</v>
      </c>
      <c r="BH96" s="13" t="n">
        <f aca="false">BH95-BG95</f>
        <v>-0.207055113586016</v>
      </c>
      <c r="BI96" s="13" t="n">
        <f aca="false">BI95-BH95</f>
        <v>0.0906445644605007</v>
      </c>
      <c r="BJ96" s="13" t="n">
        <f aca="false">BJ95-BI95</f>
        <v>-0.879745396243443</v>
      </c>
      <c r="BK96" s="13" t="n">
        <f aca="false">BK95-BJ95</f>
        <v>0.73632530043043</v>
      </c>
      <c r="BL96" s="13" t="n">
        <f aca="false">BL95-BK95</f>
        <v>0.362031642450219</v>
      </c>
      <c r="BM96" s="13" t="n">
        <f aca="false">BM95-BL95</f>
        <v>-18.0132355202641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-3.60632133538007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0.0465973264523072</v>
      </c>
      <c r="P98" s="13" t="n">
        <f aca="false">P51-P73</f>
        <v>0.134790442545125</v>
      </c>
      <c r="Q98" s="13" t="n">
        <f aca="false">Q51-Q73</f>
        <v>0.129414339906944</v>
      </c>
      <c r="R98" s="13" t="n">
        <f aca="false">R51-R73</f>
        <v>0.12100039927833</v>
      </c>
      <c r="S98" s="13" t="n">
        <f aca="false">S51-S73</f>
        <v>0.116110958892733</v>
      </c>
      <c r="T98" s="13" t="n">
        <f aca="false">T51-T73</f>
        <v>0.109122198685114</v>
      </c>
      <c r="U98" s="13" t="n">
        <f aca="false">U51-U73</f>
        <v>0.102185400813198</v>
      </c>
      <c r="V98" s="13" t="n">
        <f aca="false">V51-V73</f>
        <v>0.0921414158093654</v>
      </c>
      <c r="W98" s="13" t="n">
        <f aca="false">W51-W73</f>
        <v>0.0872789040205646</v>
      </c>
      <c r="X98" s="13" t="n">
        <f aca="false">X51-X73</f>
        <v>0.0813522549941581</v>
      </c>
      <c r="Y98" s="13" t="n">
        <f aca="false">Y51-Y73</f>
        <v>0.0745572831780947</v>
      </c>
      <c r="Z98" s="13" t="n">
        <f aca="false">Z51-Z73</f>
        <v>0.0659812806768656</v>
      </c>
      <c r="AA98" s="13" t="n">
        <f aca="false">AA51-AA73</f>
        <v>0.0592670710488648</v>
      </c>
      <c r="AB98" s="13" t="n">
        <f aca="false">AB51-AB73</f>
        <v>0.0513604574782107</v>
      </c>
      <c r="AC98" s="13" t="n">
        <f aca="false">AC51-AC73</f>
        <v>0.0431110078120014</v>
      </c>
      <c r="AD98" s="13" t="n">
        <f aca="false">AD51-AD73</f>
        <v>0.0334986877708445</v>
      </c>
      <c r="AE98" s="13" t="n">
        <f aca="false">AE51-AE73</f>
        <v>0.0265711952341974</v>
      </c>
      <c r="AF98" s="13" t="n">
        <f aca="false">AF51-AF73</f>
        <v>0.0190206878648951</v>
      </c>
      <c r="AG98" s="13" t="n">
        <f aca="false">AG51-AG73</f>
        <v>0.0106233026853602</v>
      </c>
      <c r="AH98" s="13" t="n">
        <f aca="false">AH51-AH73</f>
        <v>0.00191008166730455</v>
      </c>
      <c r="AI98" s="13" t="n">
        <f aca="false">AI51-AI73</f>
        <v>-0.00687683426399133</v>
      </c>
      <c r="AJ98" s="13" t="n">
        <f aca="false">AJ51-AJ73</f>
        <v>-0.0157994095194169</v>
      </c>
      <c r="AK98" s="13" t="n">
        <f aca="false">AK51-AK73</f>
        <v>-0.0248604424701568</v>
      </c>
      <c r="AL98" s="13" t="n">
        <f aca="false">AL51-AL73</f>
        <v>-0.0329780404108249</v>
      </c>
      <c r="AM98" s="13" t="n">
        <f aca="false">AM51-AM73</f>
        <v>-0.0430244093242465</v>
      </c>
      <c r="AN98" s="13" t="n">
        <f aca="false">AN51-AN73</f>
        <v>-0.0532387126947214</v>
      </c>
      <c r="AO98" s="13" t="n">
        <f aca="false">AO51-AO73</f>
        <v>-0.0634415326711917</v>
      </c>
      <c r="AP98" s="13" t="n">
        <f aca="false">AP51-AP73</f>
        <v>-0.0722623944284493</v>
      </c>
      <c r="AQ98" s="13" t="n">
        <f aca="false">AQ51-AQ73</f>
        <v>-0.083396808161325</v>
      </c>
      <c r="AR98" s="13" t="n">
        <f aca="false">AR51-AR73</f>
        <v>-0.0934429192822819</v>
      </c>
      <c r="AS98" s="13" t="n">
        <f aca="false">AS51-AS73</f>
        <v>-0.103012579174973</v>
      </c>
      <c r="AT98" s="13" t="n">
        <f aca="false">AT51-AT73</f>
        <v>-0.108190900954085</v>
      </c>
      <c r="AU98" s="13" t="n">
        <f aca="false">AU51-AU73</f>
        <v>-0.122004825870675</v>
      </c>
      <c r="AV98" s="13" t="n">
        <f aca="false">AV51-AV73</f>
        <v>-0.136564856577877</v>
      </c>
      <c r="AW98" s="13" t="n">
        <f aca="false">AW51-AW73</f>
        <v>-0.148797479858928</v>
      </c>
      <c r="AX98" s="13" t="n">
        <f aca="false">AX51-AX73</f>
        <v>-0.157691096562658</v>
      </c>
      <c r="AY98" s="13" t="n">
        <f aca="false">AY51-AY73</f>
        <v>-0.171477262909093</v>
      </c>
      <c r="AZ98" s="13" t="n">
        <f aca="false">AZ51-AZ73</f>
        <v>-0.18276480497137</v>
      </c>
      <c r="BA98" s="13" t="n">
        <f aca="false">BA51-BA73</f>
        <v>-0.194442407856741</v>
      </c>
      <c r="BB98" s="13" t="n">
        <f aca="false">BB51-BB73</f>
        <v>-0.199773576721071</v>
      </c>
      <c r="BC98" s="13" t="n">
        <f aca="false">BC51-BC73</f>
        <v>-0.216510719704928</v>
      </c>
      <c r="BD98" s="13" t="n">
        <f aca="false">BD51-BD73</f>
        <v>-0.232210835261611</v>
      </c>
      <c r="BE98" s="13" t="n">
        <f aca="false">BE51-BE73</f>
        <v>-0.246721015418885</v>
      </c>
      <c r="BF98" s="13" t="n">
        <f aca="false">BF51-BF73</f>
        <v>-0.255646560416452</v>
      </c>
      <c r="BG98" s="13" t="n">
        <f aca="false">BG51-BG73</f>
        <v>-0.27242104298891</v>
      </c>
      <c r="BH98" s="13" t="n">
        <f aca="false">BH51-BH73</f>
        <v>-0.28507916043732</v>
      </c>
      <c r="BI98" s="13" t="n">
        <f aca="false">BI51-BI73</f>
        <v>-0.296175229024044</v>
      </c>
      <c r="BJ98" s="13" t="n">
        <f aca="false">BJ51-BJ73</f>
        <v>-0.295281866734001</v>
      </c>
      <c r="BK98" s="13" t="n">
        <f aca="false">BK51-BK73</f>
        <v>-0.317972129336383</v>
      </c>
      <c r="BL98" s="13" t="n">
        <f aca="false">BL51-BL73</f>
        <v>-0.341554502517056</v>
      </c>
      <c r="BM98" s="13" t="n">
        <f aca="false">BM51-BM73</f>
        <v>-0.238601675670878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2</v>
      </c>
      <c r="P7" s="9" t="n">
        <f aca="false">MAX(0,MIN(Time!P33,Inputs!$F$228*12)-MIN(Time!P32,Inputs!$F$228*12))</f>
        <v>6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4</v>
      </c>
      <c r="Z7" s="9" t="n">
        <f aca="false">MAX(0,MIN(Time!Z33,Inputs!$F$228*12)-MIN(Time!Z32,Inputs!$F$228*12))</f>
        <v>0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2</v>
      </c>
      <c r="Z8" s="9" t="n">
        <f aca="false">MAX(0,MIN(Time!Z33,Inputs!$F$229*12)-MIN(MAX(Time!Z32,Inputs!$F$228*12),Inputs!$F$229*12))</f>
        <v>6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4</v>
      </c>
      <c r="AF8" s="9" t="n">
        <f aca="false">MAX(0,MIN(Time!AF33,Inputs!$F$229*12)-MIN(MAX(Time!AF32,Inputs!$F$228*12),Inputs!$F$229*12))</f>
        <v>0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836.452563962178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7.5280730756596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22.5842192269788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22.5842192269788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22.5842192269788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22.5842192269788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22.5842192269788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22.5842192269788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22.5842192269788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22.5842192269788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22.5842192269788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21.7477666630166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20.0748615350923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20.0748615350923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20.0748615350923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20.0748615350923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20.0748615350923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20.0748615350923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20.0748615350923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20.0748615350923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20.0748615350923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20.0748615350923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20.0748615350923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20.0748615350923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20.0748615350923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20.0748615350923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20.0748615350923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20.0748615350923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20.0748615350923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20.0748615350923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20.0748615350923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20.0748615350923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20.0748615350923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20.0748615350923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20.0748615350923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20.0748615350923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20.0748615350923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20.0748615350923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20.0748615350923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20.0748615350923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20.0748615350923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13.6620585447156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0.836452563962178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0.836452563962178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0.836452563962178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0.836452563962178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0.836452563962178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0.836452563962178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0.836452563962178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0.836452563962178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0.836452563962178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0.557635042641452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225.842192269788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7.5280730756596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22.5842192269788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22.5842192269788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22.5842192269788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22.5842192269788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22.5842192269788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22.5842192269788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22.5842192269788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22.5842192269788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22.5842192269788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15.0561461513192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610.61037169239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6.69162051169743</v>
      </c>
      <c r="Z12" s="13" t="n">
        <f aca="false">Z10-Z11</f>
        <v>20.0748615350923</v>
      </c>
      <c r="AA12" s="13" t="n">
        <f aca="false">AA10-AA11</f>
        <v>20.0748615350923</v>
      </c>
      <c r="AB12" s="13" t="n">
        <f aca="false">AB10-AB11</f>
        <v>20.0748615350923</v>
      </c>
      <c r="AC12" s="13" t="n">
        <f aca="false">AC10-AC11</f>
        <v>20.0748615350923</v>
      </c>
      <c r="AD12" s="13" t="n">
        <f aca="false">AD10-AD11</f>
        <v>20.0748615350923</v>
      </c>
      <c r="AE12" s="13" t="n">
        <f aca="false">AE10-AE11</f>
        <v>20.0748615350923</v>
      </c>
      <c r="AF12" s="13" t="n">
        <f aca="false">AF10-AF11</f>
        <v>20.0748615350923</v>
      </c>
      <c r="AG12" s="13" t="n">
        <f aca="false">AG10-AG11</f>
        <v>20.0748615350923</v>
      </c>
      <c r="AH12" s="13" t="n">
        <f aca="false">AH10-AH11</f>
        <v>20.0748615350923</v>
      </c>
      <c r="AI12" s="13" t="n">
        <f aca="false">AI10-AI11</f>
        <v>20.0748615350923</v>
      </c>
      <c r="AJ12" s="13" t="n">
        <f aca="false">AJ10-AJ11</f>
        <v>20.0748615350923</v>
      </c>
      <c r="AK12" s="13" t="n">
        <f aca="false">AK10-AK11</f>
        <v>20.0748615350923</v>
      </c>
      <c r="AL12" s="13" t="n">
        <f aca="false">AL10-AL11</f>
        <v>20.0748615350923</v>
      </c>
      <c r="AM12" s="13" t="n">
        <f aca="false">AM10-AM11</f>
        <v>20.0748615350923</v>
      </c>
      <c r="AN12" s="13" t="n">
        <f aca="false">AN10-AN11</f>
        <v>20.0748615350923</v>
      </c>
      <c r="AO12" s="13" t="n">
        <f aca="false">AO10-AO11</f>
        <v>20.0748615350923</v>
      </c>
      <c r="AP12" s="13" t="n">
        <f aca="false">AP10-AP11</f>
        <v>20.0748615350923</v>
      </c>
      <c r="AQ12" s="13" t="n">
        <f aca="false">AQ10-AQ11</f>
        <v>20.0748615350923</v>
      </c>
      <c r="AR12" s="13" t="n">
        <f aca="false">AR10-AR11</f>
        <v>20.0748615350923</v>
      </c>
      <c r="AS12" s="13" t="n">
        <f aca="false">AS10-AS11</f>
        <v>20.0748615350923</v>
      </c>
      <c r="AT12" s="13" t="n">
        <f aca="false">AT10-AT11</f>
        <v>20.0748615350923</v>
      </c>
      <c r="AU12" s="13" t="n">
        <f aca="false">AU10-AU11</f>
        <v>20.0748615350923</v>
      </c>
      <c r="AV12" s="13" t="n">
        <f aca="false">AV10-AV11</f>
        <v>20.0748615350923</v>
      </c>
      <c r="AW12" s="13" t="n">
        <f aca="false">AW10-AW11</f>
        <v>20.0748615350923</v>
      </c>
      <c r="AX12" s="13" t="n">
        <f aca="false">AX10-AX11</f>
        <v>20.0748615350923</v>
      </c>
      <c r="AY12" s="13" t="n">
        <f aca="false">AY10-AY11</f>
        <v>20.0748615350923</v>
      </c>
      <c r="AZ12" s="13" t="n">
        <f aca="false">AZ10-AZ11</f>
        <v>20.0748615350923</v>
      </c>
      <c r="BA12" s="13" t="n">
        <f aca="false">BA10-BA11</f>
        <v>20.0748615350923</v>
      </c>
      <c r="BB12" s="13" t="n">
        <f aca="false">BB10-BB11</f>
        <v>20.0748615350923</v>
      </c>
      <c r="BC12" s="13" t="n">
        <f aca="false">BC10-BC11</f>
        <v>13.6620585447156</v>
      </c>
      <c r="BD12" s="13" t="n">
        <f aca="false">BD10-BD11</f>
        <v>0.836452563962178</v>
      </c>
      <c r="BE12" s="13" t="n">
        <f aca="false">BE10-BE11</f>
        <v>0.836452563962178</v>
      </c>
      <c r="BF12" s="13" t="n">
        <f aca="false">BF10-BF11</f>
        <v>0.836452563962178</v>
      </c>
      <c r="BG12" s="13" t="n">
        <f aca="false">BG10-BG11</f>
        <v>0.836452563962178</v>
      </c>
      <c r="BH12" s="13" t="n">
        <f aca="false">BH10-BH11</f>
        <v>0.836452563962178</v>
      </c>
      <c r="BI12" s="13" t="n">
        <f aca="false">BI10-BI11</f>
        <v>0.836452563962178</v>
      </c>
      <c r="BJ12" s="13" t="n">
        <f aca="false">BJ10-BJ11</f>
        <v>0.836452563962178</v>
      </c>
      <c r="BK12" s="13" t="n">
        <f aca="false">BK10-BK11</f>
        <v>0.836452563962178</v>
      </c>
      <c r="BL12" s="13" t="n">
        <f aca="false">BL10-BL11</f>
        <v>0.836452563962178</v>
      </c>
      <c r="BM12" s="13" t="n">
        <f aca="false">BM10-BM11</f>
        <v>0.557635042641452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196.65887878716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3.24168077909851</v>
      </c>
      <c r="P13" s="13" t="n">
        <f aca="false">IF(Time!P20&gt;=Time!$F$12,Waterfall!P33*Inputs!$F$104/100*Time!P31/Inputs!$F$248,0)</f>
        <v>9.9334300698582</v>
      </c>
      <c r="Q13" s="13" t="n">
        <f aca="false">IF(Time!Q20&gt;=Time!$F$12,Waterfall!Q33*Inputs!$F$104/100*Time!Q31/Inputs!$F$248,0)</f>
        <v>9.51643904641039</v>
      </c>
      <c r="R13" s="13" t="n">
        <f aca="false">IF(Time!R20&gt;=Time!$F$12,Waterfall!R33*Inputs!$F$104/100*Time!R31/Inputs!$F$248,0)</f>
        <v>9.51608406645694</v>
      </c>
      <c r="S13" s="13" t="n">
        <f aca="false">IF(Time!S20&gt;=Time!$F$12,Waterfall!S33*Inputs!$F$104/100*Time!S31/Inputs!$F$248,0)</f>
        <v>9.16409077773526</v>
      </c>
      <c r="T13" s="13" t="n">
        <f aca="false">IF(Time!T20&gt;=Time!$F$12,Waterfall!T33*Inputs!$F$104/100*Time!T31/Inputs!$F$248,0)</f>
        <v>9.1361069495686</v>
      </c>
      <c r="U13" s="13" t="n">
        <f aca="false">IF(Time!U20&gt;=Time!$F$12,Waterfall!U33*Inputs!$F$104/100*Time!U31/Inputs!$F$248,0)</f>
        <v>8.82134332572169</v>
      </c>
      <c r="V13" s="13" t="n">
        <f aca="false">IF(Time!V20&gt;=Time!$F$12,Waterfall!V33*Inputs!$F$104/100*Time!V31/Inputs!$F$248,0)</f>
        <v>8.73772892653295</v>
      </c>
      <c r="W13" s="13" t="n">
        <f aca="false">IF(Time!W20&gt;=Time!$F$12,Waterfall!W33*Inputs!$F$104/100*Time!W31/Inputs!$F$248,0)</f>
        <v>8.41559682903389</v>
      </c>
      <c r="X13" s="13" t="n">
        <f aca="false">IF(Time!X20&gt;=Time!$F$12,Waterfall!X33*Inputs!$F$104/100*Time!X31/Inputs!$F$248,0)</f>
        <v>8.3085558537113</v>
      </c>
      <c r="Y13" s="13" t="n">
        <f aca="false">IF(Time!Y20&gt;=Time!$F$12,Waterfall!Y33*Inputs!$F$104/100*Time!Y31/Inputs!$F$248,0)</f>
        <v>7.93545553801741</v>
      </c>
      <c r="Z13" s="13" t="n">
        <f aca="false">IF(Time!Z20&gt;=Time!$F$12,Waterfall!Z33*Inputs!$F$104/100*Time!Z31/Inputs!$F$248,0)</f>
        <v>7.83362567151519</v>
      </c>
      <c r="AA13" s="13" t="n">
        <f aca="false">IF(Time!AA20&gt;=Time!$F$12,Waterfall!AA33*Inputs!$F$104/100*Time!AA31/Inputs!$F$248,0)</f>
        <v>7.44057418731513</v>
      </c>
      <c r="AB13" s="13" t="n">
        <f aca="false">IF(Time!AB20&gt;=Time!$F$12,Waterfall!AB33*Inputs!$F$104/100*Time!AB31/Inputs!$F$248,0)</f>
        <v>7.61679063003249</v>
      </c>
      <c r="AC13" s="13" t="n">
        <f aca="false">IF(Time!AC20&gt;=Time!$F$12,Waterfall!AC33*Inputs!$F$104/100*Time!AC31/Inputs!$F$248,0)</f>
        <v>7.54729194943911</v>
      </c>
      <c r="AD13" s="13" t="n">
        <f aca="false">IF(Time!AD20&gt;=Time!$F$12,Waterfall!AD33*Inputs!$F$104/100*Time!AD31/Inputs!$F$248,0)</f>
        <v>7.66733395578383</v>
      </c>
      <c r="AE13" s="13" t="n">
        <f aca="false">IF(Time!AE20&gt;=Time!$F$12,Waterfall!AE33*Inputs!$F$104/100*Time!AE31/Inputs!$F$248,0)</f>
        <v>7.55917363950139</v>
      </c>
      <c r="AF13" s="13" t="n">
        <f aca="false">IF(Time!AF20&gt;=Time!$F$12,Waterfall!AF33*Inputs!$F$104/100*Time!AF31/Inputs!$F$248,0)</f>
        <v>7.67388545503173</v>
      </c>
      <c r="AG13" s="13" t="n">
        <f aca="false">IF(Time!AG20&gt;=Time!$F$12,Waterfall!AG33*Inputs!$F$104/100*Time!AG31/Inputs!$F$248,0)</f>
        <v>7.4676059071474</v>
      </c>
      <c r="AH13" s="13" t="n">
        <f aca="false">IF(Time!AH20&gt;=Time!$F$12,Waterfall!AH33*Inputs!$F$104/100*Time!AH31/Inputs!$F$248,0)</f>
        <v>7.46490419219757</v>
      </c>
      <c r="AI13" s="13" t="n">
        <f aca="false">IF(Time!AI20&gt;=Time!$F$12,Waterfall!AI33*Inputs!$F$104/100*Time!AI31/Inputs!$F$248,0)</f>
        <v>7.15332557914937</v>
      </c>
      <c r="AJ13" s="13" t="n">
        <f aca="false">IF(Time!AJ20&gt;=Time!$F$12,Waterfall!AJ33*Inputs!$F$104/100*Time!AJ31/Inputs!$F$248,0)</f>
        <v>7.01969396742448</v>
      </c>
      <c r="AK13" s="13" t="n">
        <f aca="false">IF(Time!AK20&gt;=Time!$F$12,Waterfall!AK33*Inputs!$F$104/100*Time!AK31/Inputs!$F$248,0)</f>
        <v>6.595622547816</v>
      </c>
      <c r="AL13" s="13" t="n">
        <f aca="false">IF(Time!AL20&gt;=Time!$F$12,Waterfall!AL33*Inputs!$F$104/100*Time!AL31/Inputs!$F$248,0)</f>
        <v>5.67883253611146</v>
      </c>
      <c r="AM13" s="13" t="n">
        <f aca="false">IF(Time!AM20&gt;=Time!$F$12,Waterfall!AM33*Inputs!$F$104/100*Time!AM31/Inputs!$F$248,0)</f>
        <v>4.34447512827659</v>
      </c>
      <c r="AN13" s="13" t="n">
        <f aca="false">IF(Time!AN20&gt;=Time!$F$12,Waterfall!AN33*Inputs!$F$104/100*Time!AN31/Inputs!$F$248,0)</f>
        <v>3.03374691775663</v>
      </c>
      <c r="AO13" s="13" t="n">
        <f aca="false">IF(Time!AO20&gt;=Time!$F$12,Waterfall!AO33*Inputs!$F$104/100*Time!AO31/Inputs!$F$248,0)</f>
        <v>1.83548436051644</v>
      </c>
      <c r="AP13" s="13" t="n">
        <f aca="false">IF(Time!AP20&gt;=Time!$F$12,Waterfall!AP33*Inputs!$F$104/100*Time!AP31/Inputs!$F$248,0)</f>
        <v>0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0.660017763342715</v>
      </c>
      <c r="P14" s="3" t="n">
        <f aca="false">IF(Waterfall!P33&gt;0,MIN(1,Inputs!$F$183*(Waterfall!$F$32+MAX(0,Waterfall!O43))/Waterfall!P33),1)</f>
        <v>0.791893163073621</v>
      </c>
      <c r="Q14" s="3" t="n">
        <f aca="false">IF(Waterfall!Q33&gt;0,MIN(1,Inputs!$F$183*(Waterfall!$F$32+MAX(0,Waterfall!P43))/Waterfall!Q33),1)</f>
        <v>0.926775489048352</v>
      </c>
      <c r="R14" s="3" t="n">
        <f aca="false">IF(Waterfall!R33&gt;0,MIN(1,Inputs!$F$183*(Waterfall!$F$32+MAX(0,Waterfall!Q43))/Waterfall!R33),1)</f>
        <v>1</v>
      </c>
      <c r="S14" s="3" t="n">
        <f aca="false">IF(Waterfall!S33&gt;0,MIN(1,Inputs!$F$183*(Waterfall!$F$32+MAX(0,Waterfall!R43))/Waterfall!S33),1)</f>
        <v>1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192.792713598511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2.13956689729167</v>
      </c>
      <c r="P15" s="13" t="n">
        <f aca="false">P13*P14</f>
        <v>7.86621535819063</v>
      </c>
      <c r="Q15" s="13" t="n">
        <f aca="false">Q13*Q14</f>
        <v>8.81960245123583</v>
      </c>
      <c r="R15" s="13" t="n">
        <f aca="false">R13*R14</f>
        <v>9.51608406645694</v>
      </c>
      <c r="S15" s="13" t="n">
        <f aca="false">S13*S14</f>
        <v>9.16409077773526</v>
      </c>
      <c r="T15" s="13" t="n">
        <f aca="false">T13*T14</f>
        <v>9.1361069495686</v>
      </c>
      <c r="U15" s="13" t="n">
        <f aca="false">U13*U14</f>
        <v>8.82134332572169</v>
      </c>
      <c r="V15" s="13" t="n">
        <f aca="false">V13*V14</f>
        <v>8.73772892653295</v>
      </c>
      <c r="W15" s="13" t="n">
        <f aca="false">W13*W14</f>
        <v>8.41559682903389</v>
      </c>
      <c r="X15" s="13" t="n">
        <f aca="false">X13*X14</f>
        <v>8.3085558537113</v>
      </c>
      <c r="Y15" s="13" t="n">
        <f aca="false">Y13*Y14</f>
        <v>7.93545553801741</v>
      </c>
      <c r="Z15" s="13" t="n">
        <f aca="false">Z13*Z14</f>
        <v>7.83362567151519</v>
      </c>
      <c r="AA15" s="13" t="n">
        <f aca="false">AA13*AA14</f>
        <v>7.44057418731513</v>
      </c>
      <c r="AB15" s="13" t="n">
        <f aca="false">AB13*AB14</f>
        <v>7.61679063003249</v>
      </c>
      <c r="AC15" s="13" t="n">
        <f aca="false">AC13*AC14</f>
        <v>7.54729194943911</v>
      </c>
      <c r="AD15" s="13" t="n">
        <f aca="false">AD13*AD14</f>
        <v>7.66733395578383</v>
      </c>
      <c r="AE15" s="13" t="n">
        <f aca="false">AE13*AE14</f>
        <v>7.55917363950139</v>
      </c>
      <c r="AF15" s="13" t="n">
        <f aca="false">AF13*AF14</f>
        <v>7.67388545503173</v>
      </c>
      <c r="AG15" s="13" t="n">
        <f aca="false">AG13*AG14</f>
        <v>7.4676059071474</v>
      </c>
      <c r="AH15" s="13" t="n">
        <f aca="false">AH13*AH14</f>
        <v>7.46490419219757</v>
      </c>
      <c r="AI15" s="13" t="n">
        <f aca="false">AI13*AI14</f>
        <v>7.15332557914937</v>
      </c>
      <c r="AJ15" s="13" t="n">
        <f aca="false">AJ13*AJ14</f>
        <v>7.01969396742448</v>
      </c>
      <c r="AK15" s="13" t="n">
        <f aca="false">AK13*AK14</f>
        <v>6.595622547816</v>
      </c>
      <c r="AL15" s="13" t="n">
        <f aca="false">AL13*AL14</f>
        <v>5.67883253611146</v>
      </c>
      <c r="AM15" s="13" t="n">
        <f aca="false">AM13*AM14</f>
        <v>4.34447512827659</v>
      </c>
      <c r="AN15" s="13" t="n">
        <f aca="false">AN13*AN14</f>
        <v>3.03374691775663</v>
      </c>
      <c r="AO15" s="13" t="n">
        <f aca="false">AO13*AO14</f>
        <v>1.83548436051644</v>
      </c>
      <c r="AP15" s="13" t="n">
        <f aca="false">AP13*AP14</f>
        <v>0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317.252684333494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21.6425891669588</v>
      </c>
      <c r="Q16" s="13" t="n">
        <f aca="false">Debt!Q112+Debt!Q110+Debt!Q104-Debt!Q103</f>
        <v>20.9409358208775</v>
      </c>
      <c r="R16" s="13" t="n">
        <f aca="false">Debt!R112+Debt!R110+Debt!R104-Debt!R103</f>
        <v>20.6534417915168</v>
      </c>
      <c r="S16" s="13" t="n">
        <f aca="false">Debt!S112+Debt!S110+Debt!S104-Debt!S103</f>
        <v>19.8998085813131</v>
      </c>
      <c r="T16" s="13" t="n">
        <f aca="false">Debt!T112+Debt!T110+Debt!T104-Debt!T103</f>
        <v>19.5529478768634</v>
      </c>
      <c r="U16" s="13" t="n">
        <f aca="false">Debt!U112+Debt!U110+Debt!U104-Debt!U103</f>
        <v>18.8232169322933</v>
      </c>
      <c r="V16" s="13" t="n">
        <f aca="false">Debt!V112+Debt!V110+Debt!V104-Debt!V103</f>
        <v>18.3440147032268</v>
      </c>
      <c r="W16" s="13" t="n">
        <f aca="false">Debt!W112+Debt!W110+Debt!W104-Debt!W103</f>
        <v>17.490197474483</v>
      </c>
      <c r="X16" s="13" t="n">
        <f aca="false">Debt!X112+Debt!X110+Debt!X104-Debt!X103</f>
        <v>16.994691507521</v>
      </c>
      <c r="Y16" s="13" t="n">
        <f aca="false">Debt!Y112+Debt!Y110+Debt!Y104-Debt!Y103</f>
        <v>16.6753563344659</v>
      </c>
      <c r="Z16" s="13" t="n">
        <f aca="false">Debt!Z112+Debt!Z110+Debt!Z104-Debt!Z103</f>
        <v>16.1801527753508</v>
      </c>
      <c r="AA16" s="13" t="n">
        <f aca="false">Debt!AA112+Debt!AA110+Debt!AA104-Debt!AA103</f>
        <v>15.2964590748274</v>
      </c>
      <c r="AB16" s="13" t="n">
        <f aca="false">Debt!AB112+Debt!AB110+Debt!AB104-Debt!AB103</f>
        <v>14.4183755560433</v>
      </c>
      <c r="AC16" s="13" t="n">
        <f aca="false">Debt!AC112+Debt!AC110+Debt!AC104-Debt!AC103</f>
        <v>13.1995567617233</v>
      </c>
      <c r="AD16" s="13" t="n">
        <f aca="false">Debt!AD112+Debt!AD110+Debt!AD104-Debt!AD103</f>
        <v>12.1897646436494</v>
      </c>
      <c r="AE16" s="13" t="n">
        <f aca="false">Debt!AE112+Debt!AE110+Debt!AE104-Debt!AE103</f>
        <v>10.8820128147758</v>
      </c>
      <c r="AF16" s="13" t="n">
        <f aca="false">Debt!AF112+Debt!AF110+Debt!AF104-Debt!AF103</f>
        <v>9.76676088986284</v>
      </c>
      <c r="AG16" s="13" t="n">
        <f aca="false">Debt!AG112+Debt!AG110+Debt!AG104-Debt!AG103</f>
        <v>8.59193209900288</v>
      </c>
      <c r="AH16" s="13" t="n">
        <f aca="false">Debt!AH112+Debt!AH110+Debt!AH104-Debt!AH103</f>
        <v>7.31000993865892</v>
      </c>
      <c r="AI16" s="13" t="n">
        <f aca="false">Debt!AI112+Debt!AI110+Debt!AI104-Debt!AI103</f>
        <v>5.82697319260319</v>
      </c>
      <c r="AJ16" s="13" t="n">
        <f aca="false">Debt!AJ112+Debt!AJ110+Debt!AJ104-Debt!AJ103</f>
        <v>4.45223156000728</v>
      </c>
      <c r="AK16" s="13" t="n">
        <f aca="false">Debt!AK112+Debt!AK110+Debt!AK104-Debt!AK103</f>
        <v>2.97497781381903</v>
      </c>
      <c r="AL16" s="13" t="n">
        <f aca="false">Debt!AL112+Debt!AL110+Debt!AL104-Debt!AL103</f>
        <v>2.11935205908034</v>
      </c>
      <c r="AM16" s="13" t="n">
        <f aca="false">Debt!AM112+Debt!AM110+Debt!AM104-Debt!AM103</f>
        <v>1.55397310986932</v>
      </c>
      <c r="AN16" s="13" t="n">
        <f aca="false">Debt!AN112+Debt!AN110+Debt!AN104-Debt!AN103</f>
        <v>0.98674880028185</v>
      </c>
      <c r="AO16" s="13" t="n">
        <f aca="false">Debt!AO112+Debt!AO110+Debt!AO104-Debt!AO103</f>
        <v>0.48620305441918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1251.25012273567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2.46212833137421</v>
      </c>
      <c r="Z18" s="13" t="n">
        <f aca="false">(Operations!Z84-Z16-Z15)*Z17-Z12</f>
        <v>8.06586163054776</v>
      </c>
      <c r="AA18" s="13" t="n">
        <f aca="false">(Operations!AA84-AA16-AA15)*AA17-AA12</f>
        <v>9.51600088680501</v>
      </c>
      <c r="AB18" s="13" t="n">
        <f aca="false">(Operations!AB84-AB16-AB15)*AB17-AB12</f>
        <v>10.3042604586566</v>
      </c>
      <c r="AC18" s="13" t="n">
        <f aca="false">(Operations!AC84-AC16-AC15)*AC17-AC12</f>
        <v>11.1831830606682</v>
      </c>
      <c r="AD18" s="13" t="n">
        <f aca="false">(Operations!AD84-AD16-AD15)*AD17-AD12</f>
        <v>-2.24689667228125</v>
      </c>
      <c r="AE18" s="13" t="n">
        <f aca="false">(Operations!AE84-AE16-AE15)*AE17-AE12</f>
        <v>12.4325047693324</v>
      </c>
      <c r="AF18" s="13" t="n">
        <f aca="false">(Operations!AF84-AF16-AF15)*AF17-AF12</f>
        <v>15.3952100506074</v>
      </c>
      <c r="AG18" s="13" t="n">
        <f aca="false">(Operations!AG84-AG16-AG15)*AG17-AG12</f>
        <v>16.922105138896</v>
      </c>
      <c r="AH18" s="13" t="n">
        <f aca="false">(Operations!AH84-AH16-AH15)*AH17-AH12</f>
        <v>18.3012272542548</v>
      </c>
      <c r="AI18" s="13" t="n">
        <f aca="false">(Operations!AI84-AI16-AI15)*AI17-AI12</f>
        <v>20.278920570009</v>
      </c>
      <c r="AJ18" s="13" t="n">
        <f aca="false">(Operations!AJ84-AJ16-AJ15)*AJ17-AJ12</f>
        <v>21.8805607817706</v>
      </c>
      <c r="AK18" s="13" t="n">
        <f aca="false">(Operations!AK84-AK16-AK15)*AK17-AK12</f>
        <v>23.7900645590362</v>
      </c>
      <c r="AL18" s="13" t="n">
        <f aca="false">(Operations!AL84-AL16-AL15)*AL17-AL12</f>
        <v>21.1216002475595</v>
      </c>
      <c r="AM18" s="13" t="n">
        <f aca="false">(Operations!AM84-AM16-AM15)*AM17-AM12</f>
        <v>26.977035797532</v>
      </c>
      <c r="AN18" s="13" t="n">
        <f aca="false">(Operations!AN84-AN16-AN15)*AN17-AN12</f>
        <v>29.8696532846615</v>
      </c>
      <c r="AO18" s="13" t="n">
        <f aca="false">(Operations!AO84-AO16-AO15)*AO17-AO12</f>
        <v>31.7261518479514</v>
      </c>
      <c r="AP18" s="13" t="n">
        <f aca="false">(Operations!AP84-AP16-AP15)*AP17-AP12</f>
        <v>34.1555162673532</v>
      </c>
      <c r="AQ18" s="13" t="n">
        <f aca="false">(Operations!AQ84-AQ16-AQ15)*AQ17-AQ12</f>
        <v>34.3490227184107</v>
      </c>
      <c r="AR18" s="13" t="n">
        <f aca="false">(Operations!AR84-AR16-AR15)*AR17-AR12</f>
        <v>34.4497118244667</v>
      </c>
      <c r="AS18" s="13" t="n">
        <f aca="false">(Operations!AS84-AS16-AS15)*AS17-AS12</f>
        <v>34.0401028904138</v>
      </c>
      <c r="AT18" s="13" t="n">
        <f aca="false">(Operations!AT84-AT16-AT15)*AT17-AT12</f>
        <v>17.2955292036751</v>
      </c>
      <c r="AU18" s="13" t="n">
        <f aca="false">(Operations!AU84-AU16-AU15)*AU17-AU12</f>
        <v>32.9282429441255</v>
      </c>
      <c r="AV18" s="13" t="n">
        <f aca="false">(Operations!AV84-AV16-AV15)*AV17-AV12</f>
        <v>35.0320783188144</v>
      </c>
      <c r="AW18" s="13" t="n">
        <f aca="false">(Operations!AW84-AW16-AW15)*AW17-AW12</f>
        <v>35.2026659841746</v>
      </c>
      <c r="AX18" s="13" t="n">
        <f aca="false">(Operations!AX84-AX16-AX15)*AX17-AX12</f>
        <v>35.3247489704345</v>
      </c>
      <c r="AY18" s="13" t="n">
        <f aca="false">(Operations!AY84-AY16-AY15)*AY17-AY12</f>
        <v>35.5294872418183</v>
      </c>
      <c r="AZ18" s="13" t="n">
        <f aca="false">(Operations!AZ84-AZ16-AZ15)*AZ17-AZ12</f>
        <v>35.6381897524179</v>
      </c>
      <c r="BA18" s="13" t="n">
        <f aca="false">(Operations!BA84-BA16-BA15)*BA17-BA12</f>
        <v>35.6698445327366</v>
      </c>
      <c r="BB18" s="13" t="n">
        <f aca="false">(Operations!BB84-BB16-BB15)*BB17-BB12</f>
        <v>30.5718358024218</v>
      </c>
      <c r="BC18" s="13" t="n">
        <f aca="false">(Operations!BC84-BC16-BC15)*BC17-BC12</f>
        <v>41.5947319137517</v>
      </c>
      <c r="BD18" s="13" t="n">
        <f aca="false">(Operations!BD84-BD16-BD15)*BD17-BD12</f>
        <v>55.5074356769242</v>
      </c>
      <c r="BE18" s="13" t="n">
        <f aca="false">(Operations!BE84-BE16-BE15)*BE17-BE12</f>
        <v>55.691999460092</v>
      </c>
      <c r="BF18" s="13" t="n">
        <f aca="false">(Operations!BF84-BF16-BF15)*BF17-BF12</f>
        <v>55.8298285677697</v>
      </c>
      <c r="BG18" s="13" t="n">
        <f aca="false">(Operations!BG84-BG16-BG15)*BG17-BG12</f>
        <v>56.0466654641167</v>
      </c>
      <c r="BH18" s="13" t="n">
        <f aca="false">(Operations!BH84-BH16-BH15)*BH17-BH12</f>
        <v>56.1640197036517</v>
      </c>
      <c r="BI18" s="13" t="n">
        <f aca="false">(Operations!BI84-BI16-BI15)*BI17-BI12</f>
        <v>55.7543317881229</v>
      </c>
      <c r="BJ18" s="13" t="n">
        <f aca="false">(Operations!BJ84-BJ16-BJ15)*BJ17-BJ12</f>
        <v>36.125156804916</v>
      </c>
      <c r="BK18" s="13" t="n">
        <f aca="false">(Operations!BK84-BK16-BK15)*BK17-BK12</f>
        <v>54.5764680837633</v>
      </c>
      <c r="BL18" s="13" t="n">
        <f aca="false">(Operations!BL84-BL16-BL15)*BL17-BL12</f>
        <v>56.8474150602359</v>
      </c>
      <c r="BM18" s="13" t="n">
        <f aca="false">(Operations!BM84-BM16-BM15)*BM17-BM12</f>
        <v>18.9455217636802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2.24689667228125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2.24689667228125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225.842192269788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2.46212833137421</v>
      </c>
      <c r="Z20" s="13" t="n">
        <f aca="false">MIN(Y21,MAX(0,Z18-Z19))</f>
        <v>8.06586163054776</v>
      </c>
      <c r="AA20" s="13" t="n">
        <f aca="false">MIN(Z21,MAX(0,AA18-AA19))</f>
        <v>9.51600088680501</v>
      </c>
      <c r="AB20" s="13" t="n">
        <f aca="false">MIN(AA21,MAX(0,AB18-AB19))</f>
        <v>10.3042604586566</v>
      </c>
      <c r="AC20" s="13" t="n">
        <f aca="false">MIN(AB21,MAX(0,AC18-AC19))</f>
        <v>11.1831830606682</v>
      </c>
      <c r="AD20" s="13" t="n">
        <f aca="false">MIN(AC21,MAX(0,AD18-AD19))</f>
        <v>0</v>
      </c>
      <c r="AE20" s="13" t="n">
        <f aca="false">MIN(AD21,MAX(0,AE18-AE19))</f>
        <v>10.1856080970512</v>
      </c>
      <c r="AF20" s="13" t="n">
        <f aca="false">MIN(AE21,MAX(0,AF18-AF19))</f>
        <v>15.3952100506074</v>
      </c>
      <c r="AG20" s="13" t="n">
        <f aca="false">MIN(AF21,MAX(0,AG18-AG19))</f>
        <v>16.922105138896</v>
      </c>
      <c r="AH20" s="13" t="n">
        <f aca="false">MIN(AG21,MAX(0,AH18-AH19))</f>
        <v>18.3012272542548</v>
      </c>
      <c r="AI20" s="13" t="n">
        <f aca="false">MIN(AH21,MAX(0,AI18-AI19))</f>
        <v>20.278920570009</v>
      </c>
      <c r="AJ20" s="13" t="n">
        <f aca="false">MIN(AI21,MAX(0,AJ18-AJ19))</f>
        <v>21.8805607817706</v>
      </c>
      <c r="AK20" s="13" t="n">
        <f aca="false">MIN(AJ21,MAX(0,AK18-AK19))</f>
        <v>23.7900645590362</v>
      </c>
      <c r="AL20" s="13" t="n">
        <f aca="false">MIN(AK21,MAX(0,AL18-AL19))</f>
        <v>21.1216002475595</v>
      </c>
      <c r="AM20" s="13" t="n">
        <f aca="false">MIN(AL21,MAX(0,AM18-AM19))</f>
        <v>26.977035797532</v>
      </c>
      <c r="AN20" s="13" t="n">
        <f aca="false">MIN(AM21,MAX(0,AN18-AN19))</f>
        <v>9.45842540501983</v>
      </c>
      <c r="AO20" s="13" t="n">
        <f aca="false">MIN(AN21,MAX(0,AO18-AO19))</f>
        <v>0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7.5280730756596</v>
      </c>
      <c r="P21" s="13" t="n">
        <f aca="false">O21+P11-P20</f>
        <v>30.1122923026384</v>
      </c>
      <c r="Q21" s="13" t="n">
        <f aca="false">P21+Q11-Q20</f>
        <v>52.6965115296172</v>
      </c>
      <c r="R21" s="13" t="n">
        <f aca="false">Q21+R11-R20</f>
        <v>75.280730756596</v>
      </c>
      <c r="S21" s="13" t="n">
        <f aca="false">R21+S11-S20</f>
        <v>97.8649499835749</v>
      </c>
      <c r="T21" s="13" t="n">
        <f aca="false">S21+T11-T20</f>
        <v>120.449169210554</v>
      </c>
      <c r="U21" s="13" t="n">
        <f aca="false">T21+U11-U20</f>
        <v>143.033388437533</v>
      </c>
      <c r="V21" s="13" t="n">
        <f aca="false">U21+V11-V20</f>
        <v>165.617607664511</v>
      </c>
      <c r="W21" s="13" t="n">
        <f aca="false">V21+W11-W20</f>
        <v>188.20182689149</v>
      </c>
      <c r="X21" s="13" t="n">
        <f aca="false">W21+X11-X20</f>
        <v>210.786046118469</v>
      </c>
      <c r="Y21" s="13" t="n">
        <f aca="false">X21+Y11-Y20</f>
        <v>223.380063938414</v>
      </c>
      <c r="Z21" s="13" t="n">
        <f aca="false">Y21+Z11-Z20</f>
        <v>215.314202307866</v>
      </c>
      <c r="AA21" s="13" t="n">
        <f aca="false">Z21+AA11-AA20</f>
        <v>205.798201421061</v>
      </c>
      <c r="AB21" s="13" t="n">
        <f aca="false">AA21+AB11-AB20</f>
        <v>195.493940962404</v>
      </c>
      <c r="AC21" s="13" t="n">
        <f aca="false">AB21+AC11-AC20</f>
        <v>184.310757901736</v>
      </c>
      <c r="AD21" s="13" t="n">
        <f aca="false">AC21+AD11-AD20</f>
        <v>184.310757901736</v>
      </c>
      <c r="AE21" s="13" t="n">
        <f aca="false">AD21+AE11-AE20</f>
        <v>174.125149804685</v>
      </c>
      <c r="AF21" s="13" t="n">
        <f aca="false">AE21+AF11-AF20</f>
        <v>158.729939754078</v>
      </c>
      <c r="AG21" s="13" t="n">
        <f aca="false">AF21+AG11-AG20</f>
        <v>141.807834615182</v>
      </c>
      <c r="AH21" s="13" t="n">
        <f aca="false">AG21+AH11-AH20</f>
        <v>123.506607360927</v>
      </c>
      <c r="AI21" s="13" t="n">
        <f aca="false">AH21+AI11-AI20</f>
        <v>103.227686790918</v>
      </c>
      <c r="AJ21" s="13" t="n">
        <f aca="false">AI21+AJ11-AJ20</f>
        <v>81.3471260091474</v>
      </c>
      <c r="AK21" s="13" t="n">
        <f aca="false">AJ21+AK11-AK20</f>
        <v>57.5570614501113</v>
      </c>
      <c r="AL21" s="13" t="n">
        <f aca="false">AK21+AL11-AL20</f>
        <v>36.4354612025518</v>
      </c>
      <c r="AM21" s="13" t="n">
        <f aca="false">AL21+AM11-AM20</f>
        <v>9.45842540501983</v>
      </c>
      <c r="AN21" s="13" t="n">
        <f aca="false">AM21+AN11-AN20</f>
        <v>0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2.24689667228125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1025.40793046588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20.4112278796417</v>
      </c>
      <c r="AO23" s="13" t="n">
        <f aca="false">MAX(0,AO18-AO19-AO20)</f>
        <v>31.7261518479514</v>
      </c>
      <c r="AP23" s="13" t="n">
        <f aca="false">MAX(0,AP18-AP19-AP20)</f>
        <v>34.1555162673532</v>
      </c>
      <c r="AQ23" s="13" t="n">
        <f aca="false">MAX(0,AQ18-AQ19-AQ20)</f>
        <v>34.3490227184107</v>
      </c>
      <c r="AR23" s="13" t="n">
        <f aca="false">MAX(0,AR18-AR19-AR20)</f>
        <v>34.4497118244667</v>
      </c>
      <c r="AS23" s="13" t="n">
        <f aca="false">MAX(0,AS18-AS19-AS20)</f>
        <v>34.0401028904138</v>
      </c>
      <c r="AT23" s="13" t="n">
        <f aca="false">MAX(0,AT18-AT19-AT20)</f>
        <v>17.2955292036751</v>
      </c>
      <c r="AU23" s="13" t="n">
        <f aca="false">MAX(0,AU18-AU19-AU20)</f>
        <v>32.9282429441255</v>
      </c>
      <c r="AV23" s="13" t="n">
        <f aca="false">MAX(0,AV18-AV19-AV20)</f>
        <v>35.0320783188144</v>
      </c>
      <c r="AW23" s="13" t="n">
        <f aca="false">MAX(0,AW18-AW19-AW20)</f>
        <v>35.2026659841746</v>
      </c>
      <c r="AX23" s="13" t="n">
        <f aca="false">MAX(0,AX18-AX19-AX20)</f>
        <v>35.3247489704345</v>
      </c>
      <c r="AY23" s="13" t="n">
        <f aca="false">MAX(0,AY18-AY19-AY20)</f>
        <v>35.5294872418183</v>
      </c>
      <c r="AZ23" s="13" t="n">
        <f aca="false">MAX(0,AZ18-AZ19-AZ20)</f>
        <v>35.6381897524179</v>
      </c>
      <c r="BA23" s="13" t="n">
        <f aca="false">MAX(0,BA18-BA19-BA20)</f>
        <v>35.6698445327366</v>
      </c>
      <c r="BB23" s="13" t="n">
        <f aca="false">MAX(0,BB18-BB19-BB20)</f>
        <v>30.5718358024218</v>
      </c>
      <c r="BC23" s="13" t="n">
        <f aca="false">MAX(0,BC18-BC19-BC20)</f>
        <v>41.5947319137517</v>
      </c>
      <c r="BD23" s="13" t="n">
        <f aca="false">MAX(0,BD18-BD19-BD20)</f>
        <v>55.5074356769242</v>
      </c>
      <c r="BE23" s="13" t="n">
        <f aca="false">MAX(0,BE18-BE19-BE20)</f>
        <v>55.691999460092</v>
      </c>
      <c r="BF23" s="13" t="n">
        <f aca="false">MAX(0,BF18-BF19-BF20)</f>
        <v>55.8298285677697</v>
      </c>
      <c r="BG23" s="13" t="n">
        <f aca="false">MAX(0,BG18-BG19-BG20)</f>
        <v>56.0466654641167</v>
      </c>
      <c r="BH23" s="13" t="n">
        <f aca="false">MAX(0,BH18-BH19-BH20)</f>
        <v>56.1640197036517</v>
      </c>
      <c r="BI23" s="13" t="n">
        <f aca="false">MAX(0,BI18-BI19-BI20)</f>
        <v>55.7543317881229</v>
      </c>
      <c r="BJ23" s="13" t="n">
        <f aca="false">MAX(0,BJ18-BJ19-BJ20)</f>
        <v>36.125156804916</v>
      </c>
      <c r="BK23" s="13" t="n">
        <f aca="false">MAX(0,BK18-BK19-BK20)</f>
        <v>54.5764680837633</v>
      </c>
      <c r="BL23" s="13" t="n">
        <f aca="false">MAX(0,BL18-BL19-BL20)</f>
        <v>56.8474150602359</v>
      </c>
      <c r="BM23" s="13" t="n">
        <f aca="false">MAX(0,BM18-BM19-BM20)</f>
        <v>18.9455217636802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0.15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0.2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307.622379139764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6.1233683638925</v>
      </c>
      <c r="AO25" s="13" t="n">
        <f aca="false">AO23*AO24</f>
        <v>9.51784555438541</v>
      </c>
      <c r="AP25" s="13" t="n">
        <f aca="false">AP23*AP24</f>
        <v>10.246654880206</v>
      </c>
      <c r="AQ25" s="13" t="n">
        <f aca="false">AQ23*AQ24</f>
        <v>10.3047068155232</v>
      </c>
      <c r="AR25" s="13" t="n">
        <f aca="false">AR23*AR24</f>
        <v>10.33491354734</v>
      </c>
      <c r="AS25" s="13" t="n">
        <f aca="false">AS23*AS24</f>
        <v>10.2120308671241</v>
      </c>
      <c r="AT25" s="13" t="n">
        <f aca="false">AT23*AT24</f>
        <v>5.18865876110253</v>
      </c>
      <c r="AU25" s="13" t="n">
        <f aca="false">AU23*AU24</f>
        <v>9.87847288323764</v>
      </c>
      <c r="AV25" s="13" t="n">
        <f aca="false">AV23*AV24</f>
        <v>10.5096234956443</v>
      </c>
      <c r="AW25" s="13" t="n">
        <f aca="false">AW23*AW24</f>
        <v>10.5607997952524</v>
      </c>
      <c r="AX25" s="13" t="n">
        <f aca="false">AX23*AX24</f>
        <v>10.5974246911304</v>
      </c>
      <c r="AY25" s="13" t="n">
        <f aca="false">AY23*AY24</f>
        <v>10.6588461725455</v>
      </c>
      <c r="AZ25" s="13" t="n">
        <f aca="false">AZ23*AZ24</f>
        <v>10.6914569257254</v>
      </c>
      <c r="BA25" s="13" t="n">
        <f aca="false">BA23*BA24</f>
        <v>10.700953359821</v>
      </c>
      <c r="BB25" s="13" t="n">
        <f aca="false">BB23*BB24</f>
        <v>9.17155074072655</v>
      </c>
      <c r="BC25" s="13" t="n">
        <f aca="false">BC23*BC24</f>
        <v>12.4784195741255</v>
      </c>
      <c r="BD25" s="13" t="n">
        <f aca="false">BD23*BD24</f>
        <v>16.6522307030773</v>
      </c>
      <c r="BE25" s="13" t="n">
        <f aca="false">BE23*BE24</f>
        <v>16.7075998380276</v>
      </c>
      <c r="BF25" s="13" t="n">
        <f aca="false">BF23*BF24</f>
        <v>16.7489485703309</v>
      </c>
      <c r="BG25" s="13" t="n">
        <f aca="false">BG23*BG24</f>
        <v>16.813999639235</v>
      </c>
      <c r="BH25" s="13" t="n">
        <f aca="false">BH23*BH24</f>
        <v>16.8492059110955</v>
      </c>
      <c r="BI25" s="13" t="n">
        <f aca="false">BI23*BI24</f>
        <v>16.7262995364369</v>
      </c>
      <c r="BJ25" s="13" t="n">
        <f aca="false">BJ23*BJ24</f>
        <v>10.8375470414748</v>
      </c>
      <c r="BK25" s="13" t="n">
        <f aca="false">BK23*BK24</f>
        <v>16.372940425129</v>
      </c>
      <c r="BL25" s="13" t="n">
        <f aca="false">BL23*BL24</f>
        <v>17.0542245180708</v>
      </c>
      <c r="BM25" s="13" t="n">
        <f aca="false">BM23*BM24</f>
        <v>5.68365652910407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15.46704299747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0.117600419909946</v>
      </c>
      <c r="Z26" s="13" t="n">
        <f aca="false">IF(Time!Z30&gt;0,Inputs!$F$176/100*Operations!Z55*(Z8+Z9)/Time!Z30,0)</f>
        <v>0.353793142668634</v>
      </c>
      <c r="AA26" s="13" t="n">
        <f aca="false">IF(Time!AA30&gt;0,Inputs!$F$176/100*Operations!AA55*(AA8+AA9)/Time!AA30,0)</f>
        <v>0.355902978806001</v>
      </c>
      <c r="AB26" s="13" t="n">
        <f aca="false">IF(Time!AB30&gt;0,Inputs!$F$176/100*Operations!AB55*(AB8+AB9)/Time!AB30,0)</f>
        <v>0.357822228365636</v>
      </c>
      <c r="AC26" s="13" t="n">
        <f aca="false">IF(Time!AC30&gt;0,Inputs!$F$176/100*Operations!AC55*(AC8+AC9)/Time!AC30,0)</f>
        <v>0.35552421671826</v>
      </c>
      <c r="AD26" s="13" t="n">
        <f aca="false">IF(Time!AD30&gt;0,Inputs!$F$176/100*Operations!AD55*(AD8+AD9)/Time!AD30,0)</f>
        <v>0.343555734814318</v>
      </c>
      <c r="AE26" s="13" t="n">
        <f aca="false">IF(Time!AE30&gt;0,Inputs!$F$176/100*Operations!AE55*(AE8+AE9)/Time!AE30,0)</f>
        <v>0.352018016197102</v>
      </c>
      <c r="AF26" s="13" t="n">
        <f aca="false">IF(Time!AF30&gt;0,Inputs!$F$176/100*Operations!AF55*(AF8+AF9)/Time!AF30,0)</f>
        <v>0.364586945723495</v>
      </c>
      <c r="AG26" s="13" t="n">
        <f aca="false">IF(Time!AG30&gt;0,Inputs!$F$176/100*Operations!AG55*(AG8+AG9)/Time!AG30,0)</f>
        <v>0.366178837705143</v>
      </c>
      <c r="AH26" s="13" t="n">
        <f aca="false">IF(Time!AH30&gt;0,Inputs!$F$176/100*Operations!AH55*(AH8+AH9)/Time!AH30,0)</f>
        <v>0.367280294723665</v>
      </c>
      <c r="AI26" s="13" t="n">
        <f aca="false">IF(Time!AI30&gt;0,Inputs!$F$176/100*Operations!AI55*(AI8+AI9)/Time!AI30,0)</f>
        <v>0.369557700845569</v>
      </c>
      <c r="AJ26" s="13" t="n">
        <f aca="false">IF(Time!AJ30&gt;0,Inputs!$F$176/100*Operations!AJ55*(AJ8+AJ9)/Time!AJ30,0)</f>
        <v>0.3716467170442</v>
      </c>
      <c r="AK26" s="13" t="n">
        <f aca="false">IF(Time!AK30&gt;0,Inputs!$F$176/100*Operations!AK55*(AK8+AK9)/Time!AK30,0)</f>
        <v>0.371951552228156</v>
      </c>
      <c r="AL26" s="13" t="n">
        <f aca="false">IF(Time!AL30&gt;0,Inputs!$F$176/100*Operations!AL55*(AL8+AL9)/Time!AL30,0)</f>
        <v>0.364887875223189</v>
      </c>
      <c r="AM26" s="13" t="n">
        <f aca="false">IF(Time!AM30&gt;0,Inputs!$F$176/100*Operations!AM55*(AM8+AM9)/Time!AM30,0)</f>
        <v>0.371151096865272</v>
      </c>
      <c r="AN26" s="13" t="n">
        <f aca="false">IF(Time!AN30&gt;0,Inputs!$F$176/100*Operations!AN55*(AN8+AN9)/Time!AN30,0)</f>
        <v>0.379014406488397</v>
      </c>
      <c r="AO26" s="13" t="n">
        <f aca="false">IF(Time!AO30&gt;0,Inputs!$F$176/100*Operations!AO55*(AO8+AO9)/Time!AO30,0)</f>
        <v>0.380748888656799</v>
      </c>
      <c r="AP26" s="13" t="n">
        <f aca="false">IF(Time!AP30&gt;0,Inputs!$F$176/100*Operations!AP55*(AP8+AP9)/Time!AP30,0)</f>
        <v>0.381969782720044</v>
      </c>
      <c r="AQ26" s="13" t="n">
        <f aca="false">IF(Time!AQ30&gt;0,Inputs!$F$176/100*Operations!AQ55*(AQ8+AQ9)/Time!AQ30,0)</f>
        <v>0.384429651280432</v>
      </c>
      <c r="AR26" s="13" t="n">
        <f aca="false">IF(Time!AR30&gt;0,Inputs!$F$176/100*Operations!AR55*(AR8+AR9)/Time!AR30,0)</f>
        <v>0.386703438854844</v>
      </c>
      <c r="AS26" s="13" t="n">
        <f aca="false">IF(Time!AS30&gt;0,Inputs!$F$176/100*Operations!AS55*(AS8+AS9)/Time!AS30,0)</f>
        <v>0.38435885616245</v>
      </c>
      <c r="AT26" s="13" t="n">
        <f aca="false">IF(Time!AT30&gt;0,Inputs!$F$176/100*Operations!AT55*(AT8+AT9)/Time!AT30,0)</f>
        <v>0.371587689066655</v>
      </c>
      <c r="AU26" s="13" t="n">
        <f aca="false">IF(Time!AU30&gt;0,Inputs!$F$176/100*Operations!AU55*(AU8+AU9)/Time!AU30,0)</f>
        <v>0.380912816710676</v>
      </c>
      <c r="AV26" s="13" t="n">
        <f aca="false">IF(Time!AV30&gt;0,Inputs!$F$176/100*Operations!AV55*(AV8+AV9)/Time!AV30,0)</f>
        <v>0.394727824003329</v>
      </c>
      <c r="AW26" s="13" t="n">
        <f aca="false">IF(Time!AW30&gt;0,Inputs!$F$176/100*Operations!AW55*(AW8+AW9)/Time!AW30,0)</f>
        <v>0.396617665552094</v>
      </c>
      <c r="AX26" s="13" t="n">
        <f aca="false">IF(Time!AX30&gt;0,Inputs!$F$176/100*Operations!AX55*(AX8+AX9)/Time!AX30,0)</f>
        <v>0.39796874731294</v>
      </c>
      <c r="AY26" s="13" t="n">
        <f aca="false">IF(Time!AY30&gt;0,Inputs!$F$176/100*Operations!AY55*(AY8+AY9)/Time!AY30,0)</f>
        <v>0.400627293582766</v>
      </c>
      <c r="AZ26" s="13" t="n">
        <f aca="false">IF(Time!AZ30&gt;0,Inputs!$F$176/100*Operations!AZ55*(AZ8+AZ9)/Time!AZ30,0)</f>
        <v>0.403102182341037</v>
      </c>
      <c r="BA26" s="13" t="n">
        <f aca="false">IF(Time!BA30&gt;0,Inputs!$F$176/100*Operations!BA55*(BA8+BA9)/Time!BA30,0)</f>
        <v>0.403579860516262</v>
      </c>
      <c r="BB26" s="13" t="n">
        <f aca="false">IF(Time!BB30&gt;0,Inputs!$F$176/100*Operations!BB55*(BB8+BB9)/Time!BB30,0)</f>
        <v>0.396095581710646</v>
      </c>
      <c r="BC26" s="13" t="n">
        <f aca="false">IF(Time!BC30&gt;0,Inputs!$F$176/100*Operations!BC55*(BC8+BC9)/Time!BC30,0)</f>
        <v>0.403077772057009</v>
      </c>
      <c r="BD26" s="13" t="n">
        <f aca="false">IF(Time!BD30&gt;0,Inputs!$F$176/100*Operations!BD55*(BD8+BD9)/Time!BD30,0)</f>
        <v>0.411841771418645</v>
      </c>
      <c r="BE26" s="13" t="n">
        <f aca="false">IF(Time!BE30&gt;0,Inputs!$F$176/100*Operations!BE55*(BE8+BE9)/Time!BE30,0)</f>
        <v>0.413900884766838</v>
      </c>
      <c r="BF26" s="13" t="n">
        <f aca="false">IF(Time!BF30&gt;0,Inputs!$F$176/100*Operations!BF55*(BF8+BF9)/Time!BF30,0)</f>
        <v>0.415393872451042</v>
      </c>
      <c r="BG26" s="13" t="n">
        <f aca="false">IF(Time!BG30&gt;0,Inputs!$F$176/100*Operations!BG55*(BG8+BG9)/Time!BG30,0)</f>
        <v>0.418268751949954</v>
      </c>
      <c r="BH26" s="13" t="n">
        <f aca="false">IF(Time!BH30&gt;0,Inputs!$F$176/100*Operations!BH55*(BH8+BH9)/Time!BH30,0)</f>
        <v>0.420962513684465</v>
      </c>
      <c r="BI26" s="13" t="n">
        <f aca="false">IF(Time!BI30&gt;0,Inputs!$F$176/100*Operations!BI55*(BI8+BI9)/Time!BI30,0)</f>
        <v>0.418563416937976</v>
      </c>
      <c r="BJ26" s="13" t="n">
        <f aca="false">IF(Time!BJ30&gt;0,Inputs!$F$176/100*Operations!BJ55*(BJ8+BJ9)/Time!BJ30,0)</f>
        <v>0.404840056515075</v>
      </c>
      <c r="BK26" s="13" t="n">
        <f aca="false">IF(Time!BK30&gt;0,Inputs!$F$176/100*Operations!BK55*(BK8+BK9)/Time!BK30,0)</f>
        <v>0.415188695477268</v>
      </c>
      <c r="BL26" s="13" t="n">
        <f aca="false">IF(Time!BL30&gt;0,Inputs!$F$176/100*Operations!BL55*(BL8+BL9)/Time!BL30,0)</f>
        <v>0.430481025447013</v>
      </c>
      <c r="BM26" s="13" t="n">
        <f aca="false">IF(Time!BM30&gt;0,Inputs!$F$176/100*Operations!BM55*(BM8+BM9)/Time!BM30,0)</f>
        <v>0.288621793966755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312.805836897603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0.117600419909946</v>
      </c>
      <c r="Z27" s="13" t="n">
        <f aca="false">MAX(Z25,Z26)</f>
        <v>0.353793142668634</v>
      </c>
      <c r="AA27" s="13" t="n">
        <f aca="false">MAX(AA25,AA26)</f>
        <v>0.355902978806001</v>
      </c>
      <c r="AB27" s="13" t="n">
        <f aca="false">MAX(AB25,AB26)</f>
        <v>0.357822228365636</v>
      </c>
      <c r="AC27" s="13" t="n">
        <f aca="false">MAX(AC25,AC26)</f>
        <v>0.35552421671826</v>
      </c>
      <c r="AD27" s="13" t="n">
        <f aca="false">MAX(AD25,AD26)</f>
        <v>0.343555734814318</v>
      </c>
      <c r="AE27" s="13" t="n">
        <f aca="false">MAX(AE25,AE26)</f>
        <v>0.352018016197102</v>
      </c>
      <c r="AF27" s="13" t="n">
        <f aca="false">MAX(AF25,AF26)</f>
        <v>0.364586945723495</v>
      </c>
      <c r="AG27" s="13" t="n">
        <f aca="false">MAX(AG25,AG26)</f>
        <v>0.366178837705143</v>
      </c>
      <c r="AH27" s="13" t="n">
        <f aca="false">MAX(AH25,AH26)</f>
        <v>0.367280294723665</v>
      </c>
      <c r="AI27" s="13" t="n">
        <f aca="false">MAX(AI25,AI26)</f>
        <v>0.369557700845569</v>
      </c>
      <c r="AJ27" s="13" t="n">
        <f aca="false">MAX(AJ25,AJ26)</f>
        <v>0.3716467170442</v>
      </c>
      <c r="AK27" s="13" t="n">
        <f aca="false">MAX(AK25,AK26)</f>
        <v>0.371951552228156</v>
      </c>
      <c r="AL27" s="13" t="n">
        <f aca="false">MAX(AL25,AL26)</f>
        <v>0.364887875223189</v>
      </c>
      <c r="AM27" s="13" t="n">
        <f aca="false">MAX(AM25,AM26)</f>
        <v>0.371151096865272</v>
      </c>
      <c r="AN27" s="13" t="n">
        <f aca="false">MAX(AN25,AN26)</f>
        <v>6.1233683638925</v>
      </c>
      <c r="AO27" s="13" t="n">
        <f aca="false">MAX(AO25,AO26)</f>
        <v>9.51784555438541</v>
      </c>
      <c r="AP27" s="13" t="n">
        <f aca="false">MAX(AP25,AP26)</f>
        <v>10.246654880206</v>
      </c>
      <c r="AQ27" s="13" t="n">
        <f aca="false">MAX(AQ25,AQ26)</f>
        <v>10.3047068155232</v>
      </c>
      <c r="AR27" s="13" t="n">
        <f aca="false">MAX(AR25,AR26)</f>
        <v>10.33491354734</v>
      </c>
      <c r="AS27" s="13" t="n">
        <f aca="false">MAX(AS25,AS26)</f>
        <v>10.2120308671241</v>
      </c>
      <c r="AT27" s="13" t="n">
        <f aca="false">MAX(AT25,AT26)</f>
        <v>5.18865876110253</v>
      </c>
      <c r="AU27" s="13" t="n">
        <f aca="false">MAX(AU25,AU26)</f>
        <v>9.87847288323764</v>
      </c>
      <c r="AV27" s="13" t="n">
        <f aca="false">MAX(AV25,AV26)</f>
        <v>10.5096234956443</v>
      </c>
      <c r="AW27" s="13" t="n">
        <f aca="false">MAX(AW25,AW26)</f>
        <v>10.5607997952524</v>
      </c>
      <c r="AX27" s="13" t="n">
        <f aca="false">MAX(AX25,AX26)</f>
        <v>10.5974246911304</v>
      </c>
      <c r="AY27" s="13" t="n">
        <f aca="false">MAX(AY25,AY26)</f>
        <v>10.6588461725455</v>
      </c>
      <c r="AZ27" s="13" t="n">
        <f aca="false">MAX(AZ25,AZ26)</f>
        <v>10.6914569257254</v>
      </c>
      <c r="BA27" s="13" t="n">
        <f aca="false">MAX(BA25,BA26)</f>
        <v>10.700953359821</v>
      </c>
      <c r="BB27" s="13" t="n">
        <f aca="false">MAX(BB25,BB26)</f>
        <v>9.17155074072655</v>
      </c>
      <c r="BC27" s="13" t="n">
        <f aca="false">MAX(BC25,BC26)</f>
        <v>12.4784195741255</v>
      </c>
      <c r="BD27" s="13" t="n">
        <f aca="false">MAX(BD25,BD26)</f>
        <v>16.6522307030773</v>
      </c>
      <c r="BE27" s="13" t="n">
        <f aca="false">MAX(BE25,BE26)</f>
        <v>16.7075998380276</v>
      </c>
      <c r="BF27" s="13" t="n">
        <f aca="false">MAX(BF25,BF26)</f>
        <v>16.7489485703309</v>
      </c>
      <c r="BG27" s="13" t="n">
        <f aca="false">MAX(BG25,BG26)</f>
        <v>16.813999639235</v>
      </c>
      <c r="BH27" s="13" t="n">
        <f aca="false">MAX(BH25,BH26)</f>
        <v>16.8492059110955</v>
      </c>
      <c r="BI27" s="13" t="n">
        <f aca="false">MAX(BI25,BI26)</f>
        <v>16.7262995364369</v>
      </c>
      <c r="BJ27" s="13" t="n">
        <f aca="false">MAX(BJ25,BJ26)</f>
        <v>10.8375470414748</v>
      </c>
      <c r="BK27" s="13" t="n">
        <f aca="false">MAX(BK25,BK26)</f>
        <v>16.372940425129</v>
      </c>
      <c r="BL27" s="13" t="n">
        <f aca="false">MAX(BL25,BL26)</f>
        <v>17.0542245180708</v>
      </c>
      <c r="BM27" s="13" t="n">
        <f aca="false">MAX(BM25,BM26)</f>
        <v>5.68365652910407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3.86616518864898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1.10211388180684</v>
      </c>
      <c r="P28" s="13" t="n">
        <f aca="false">P13-P15</f>
        <v>2.06721471166757</v>
      </c>
      <c r="Q28" s="13" t="n">
        <f aca="false">Q13-Q15</f>
        <v>0.696836595174569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0.737169596054362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0.0189009569442893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INDEX(Debt!$J$147:$BN$147,1,Time!$F$13)+(INDEX(Operations!$J$9:$BN$9,1,Time!$F$13)+Inputs!$F$79)/100*INDEX(Time!$J$25:$BN$25,1,Time!$F$13)/Inputs!$F$247*1</f>
        <v>0.0611548717948718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0.0533498458331782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0.0520720680554004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0.0649505899562968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0.0585427347220671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-0.533357391069809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1.51002625517172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2.14062706031037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3.44745782588311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5.33410794934764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7.67964360693815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10.4071551792036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13.325841006207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16.364372892976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19.3723699912657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22.2491036708912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24.8877559827669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27.2421289293623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29.226503031434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30.7476696759807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31.8103196422269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32.3291122287791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33.4586851862891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31.8281340999287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30.7462748283309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29.2412827344445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27.2499270232917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24.9245397583223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22.2238443449102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19.3366237349415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16.3518820802236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13.2859039634098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10.3800534644947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7.6295049130782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5.24803521023919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3.45750254279185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2.04064566872095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49.6741456937634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-0.554061941775933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0.0104723626025187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84.5896854095922</v>
      </c>
      <c r="L22" s="13" t="n">
        <f aca="false">K22+Construction!L14*$F$9/$F$10*(L21+(L19-L20)*K22)</f>
        <v>86.531291347942</v>
      </c>
      <c r="M22" s="13" t="n">
        <f aca="false">L22+Construction!M14*$F$9/$F$10*(M21+(M19-M20)*L22)</f>
        <v>89.4745733449277</v>
      </c>
      <c r="N22" s="13" t="n">
        <f aca="false">M22+Construction!N14*$F$9/$F$10*(N21+(N19-N20)*M22)</f>
        <v>93.8883149078812</v>
      </c>
      <c r="O22" s="13" t="n">
        <f aca="false">N22+Construction!O14*$F$9/$F$10*(O21+(O19-O20)*N22)</f>
        <v>100.138160889131</v>
      </c>
      <c r="P22" s="13" t="n">
        <f aca="false">O22+Construction!P14*$F$9/$F$10*(P21+(P19-P20)*O22)</f>
        <v>108.472149096942</v>
      </c>
      <c r="Q22" s="13" t="n">
        <f aca="false">P22+Construction!Q14*$F$9/$F$10*(Q21+(Q19-Q20)*P22)</f>
        <v>119.11635083998</v>
      </c>
      <c r="R22" s="13" t="n">
        <f aca="false">Q22+Construction!R14*$F$9/$F$10*(R21+(R19-R20)*Q22)</f>
        <v>132.121542162023</v>
      </c>
      <c r="S22" s="13" t="n">
        <f aca="false">R22+Construction!S14*$F$9/$F$10*(S21+(S19-S20)*R22)</f>
        <v>147.501268838778</v>
      </c>
      <c r="T22" s="13" t="n">
        <f aca="false">S22+Construction!T14*$F$9/$F$10*(T21+(T19-T20)*S22)</f>
        <v>165.131676430101</v>
      </c>
      <c r="U22" s="13" t="n">
        <f aca="false">T22+Construction!U14*$F$9/$F$10*(U21+(U19-U20)*T22)</f>
        <v>184.890187331836</v>
      </c>
      <c r="V22" s="13" t="n">
        <f aca="false">U22+Construction!V14*$F$9/$F$10*(V21+(V19-V20)*U22)</f>
        <v>206.533520120704</v>
      </c>
      <c r="W22" s="13" t="n">
        <f aca="false">V22+Construction!W14*$F$9/$F$10*(W21+(W19-W20)*V22)</f>
        <v>229.759131640423</v>
      </c>
      <c r="X22" s="13" t="n">
        <f aca="false">W22+Construction!X14*$F$9/$F$10*(X21+(X19-X20)*W22)</f>
        <v>254.267399249958</v>
      </c>
      <c r="Y22" s="13" t="n">
        <f aca="false">X22+Construction!Y14*$F$9/$F$10*(Y21+(Y19-Y20)*X22)</f>
        <v>279.65437434536</v>
      </c>
      <c r="Z22" s="13" t="n">
        <f aca="false">Y22+Construction!Z14*$F$9/$F$10*(Z21+(Z19-Z20)*Y22)</f>
        <v>305.567435001255</v>
      </c>
      <c r="AA22" s="13" t="n">
        <f aca="false">Z22+Construction!AA14*$F$9/$F$10*(AA21+(AA19-AA20)*Z22)</f>
        <v>332.463913963228</v>
      </c>
      <c r="AB22" s="13" t="n">
        <f aca="false">AA22+Construction!AB14*$F$9/$F$10*(AB21+(AB19-AB20)*AA22)</f>
        <v>358.127815889949</v>
      </c>
      <c r="AC22" s="13" t="n">
        <f aca="false">AB22+Construction!AC14*$F$9/$F$10*(AC21+(AC19-AC20)*AB22)</f>
        <v>383.14111132012</v>
      </c>
      <c r="AD22" s="13" t="n">
        <f aca="false">AC22+Construction!AD14*$F$9/$F$10*(AD21+(AD19-AD20)*AC22)</f>
        <v>407.046056259641</v>
      </c>
      <c r="AE22" s="13" t="n">
        <f aca="false">AD22+Construction!AE14*$F$9/$F$10*(AE21+(AE19-AE20)*AD22)</f>
        <v>429.559502982512</v>
      </c>
      <c r="AF22" s="13" t="n">
        <f aca="false">AE22+Construction!AF14*$F$9/$F$10*(AF21+(AF19-AF20)*AE22)</f>
        <v>450.318541698837</v>
      </c>
      <c r="AG22" s="13" t="n">
        <f aca="false">AF22+Construction!AG14*$F$9/$F$10*(AG21+(AG19-AG20)*AF22)</f>
        <v>469.14685607825</v>
      </c>
      <c r="AH22" s="13" t="n">
        <f aca="false">AG22+Construction!AH14*$F$9/$F$10*(AH21+(AH19-AH20)*AG22)</f>
        <v>485.828460124566</v>
      </c>
      <c r="AI22" s="13" t="n">
        <f aca="false">AH22+Construction!AI14*$F$9/$F$10*(AI21+(AI19-AI20)*AH22)</f>
        <v>500.219400659652</v>
      </c>
      <c r="AJ22" s="13" t="n">
        <f aca="false">AI22+Construction!AJ14*$F$9/$F$10*(AJ21+(AJ19-AJ20)*AI22)</f>
        <v>512.369700711054</v>
      </c>
      <c r="AK22" s="13" t="n">
        <f aca="false">AJ22+Construction!AK14*$F$9/$F$10*(AK21+(AK19-AK20)*AJ22)</f>
        <v>522.269129373934</v>
      </c>
      <c r="AL22" s="13" t="n">
        <f aca="false">AK22+Construction!AL14*$F$9/$F$10*(AL21+(AL19-AL20)*AK22)</f>
        <v>530.15633584987</v>
      </c>
      <c r="AM22" s="13" t="n">
        <f aca="false">AL22+Construction!AM14*$F$9/$F$10*(AM21+(AM19-AM20)*AL22)</f>
        <v>536.254253290161</v>
      </c>
      <c r="AN22" s="13" t="n">
        <f aca="false">AM22+Construction!AN14*$F$9/$F$10*(AN21+(AN19-AN20)*AM22)</f>
        <v>540.797420284993</v>
      </c>
      <c r="AO22" s="13" t="n">
        <f aca="false">AN22+Construction!AO14*$F$9/$F$10*(AO21+(AO19-AO20)*AN22)</f>
        <v>544.471016465894</v>
      </c>
      <c r="AP22" s="13" t="n">
        <f aca="false">AO22+Construction!AP14*$F$9/$F$10*(AP21+(AP19-AP20)*AO22)</f>
        <v>584.709640559661</v>
      </c>
      <c r="AQ22" s="13" t="n">
        <f aca="false">AP22+Construction!AQ14*$F$9/$F$10*(AQ21+(AQ19-AQ20)*AP22)</f>
        <v>586.559418596172</v>
      </c>
      <c r="AR22" s="13" t="n">
        <f aca="false">AQ22+Construction!AR14*$F$9/$F$10*(AR21+(AR19-AR20)*AQ22)</f>
        <v>588.776749064848</v>
      </c>
      <c r="AS22" s="13" t="n">
        <f aca="false">AR22+Construction!AS14*$F$9/$F$10*(AS21+(AS19-AS20)*AR22)</f>
        <v>588.776749064848</v>
      </c>
      <c r="AT22" s="13" t="n">
        <f aca="false">AS22+Construction!AT14*$F$9/$F$10*(AT21+(AT19-AT20)*AS22)</f>
        <v>588.776749064848</v>
      </c>
      <c r="AU22" s="13" t="n">
        <f aca="false">AT22+Construction!AU14*$F$9/$F$10*(AU21+(AU19-AU20)*AT22)</f>
        <v>588.776749064848</v>
      </c>
      <c r="AV22" s="13" t="n">
        <f aca="false">AU22+Construction!AV14*$F$9/$F$10*(AV21+(AV19-AV20)*AU22)</f>
        <v>588.776749064848</v>
      </c>
      <c r="AW22" s="13" t="n">
        <f aca="false">AV22+Construction!AW14*$F$9/$F$10*(AW21+(AW19-AW20)*AV22)</f>
        <v>588.776749064848</v>
      </c>
      <c r="AX22" s="13" t="n">
        <f aca="false">AW22+Construction!AX14*$F$9/$F$10*(AX21+(AX19-AX20)*AW22)</f>
        <v>588.776749064848</v>
      </c>
      <c r="AY22" s="13" t="n">
        <f aca="false">AX22+Construction!AY14*$F$9/$F$10*(AY21+(AY19-AY20)*AX22)</f>
        <v>588.776749064848</v>
      </c>
      <c r="AZ22" s="13" t="n">
        <f aca="false">AY22+Construction!AZ14*$F$9/$F$10*(AZ21+(AZ19-AZ20)*AY22)</f>
        <v>588.776749064848</v>
      </c>
      <c r="BA22" s="13" t="n">
        <f aca="false">AZ22+Construction!BA14*$F$9/$F$10*(BA21+(BA19-BA20)*AZ22)</f>
        <v>588.776749064848</v>
      </c>
      <c r="BB22" s="13" t="n">
        <f aca="false">BA22+Construction!BB14*$F$9/$F$10*(BB21+(BB19-BB20)*BA22)</f>
        <v>588.776749064848</v>
      </c>
      <c r="BC22" s="13" t="n">
        <f aca="false">BB22+Construction!BC14*$F$9/$F$10*(BC21+(BC19-BC20)*BB22)</f>
        <v>588.776749064848</v>
      </c>
      <c r="BD22" s="13" t="n">
        <f aca="false">BC22+Construction!BD14*$F$9/$F$10*(BD21+(BD19-BD20)*BC22)</f>
        <v>588.776749064848</v>
      </c>
      <c r="BE22" s="13" t="n">
        <f aca="false">BD22+Construction!BE14*$F$9/$F$10*(BE21+(BE19-BE20)*BD22)</f>
        <v>588.776749064848</v>
      </c>
      <c r="BF22" s="13" t="n">
        <f aca="false">BE22+Construction!BF14*$F$9/$F$10*(BF21+(BF19-BF20)*BE22)</f>
        <v>588.776749064848</v>
      </c>
      <c r="BG22" s="13" t="n">
        <f aca="false">BF22+Construction!BG14*$F$9/$F$10*(BG21+(BG19-BG20)*BF22)</f>
        <v>588.776749064848</v>
      </c>
      <c r="BH22" s="13" t="n">
        <f aca="false">BG22+Construction!BH14*$F$9/$F$10*(BH21+(BH19-BH20)*BG22)</f>
        <v>588.776749064848</v>
      </c>
      <c r="BI22" s="13" t="n">
        <f aca="false">BH22+Construction!BI14*$F$9/$F$10*(BI21+(BI19-BI20)*BH22)</f>
        <v>588.776749064848</v>
      </c>
      <c r="BJ22" s="13" t="n">
        <f aca="false">BI22+Construction!BJ14*$F$9/$F$10*(BJ21+(BJ19-BJ20)*BI22)</f>
        <v>588.776749064848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0.0626130449025142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0.0633332969656531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0.0633332969656531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0.0633332969656531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0.0633332969656531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0.0633332969656531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0.0633332969656531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0.0633332969656531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0.0633332969656531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0.0633332969656531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0.0633332969656531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0.0633332969656531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0.0633332969656531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0.0633332969656531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0.0633332969656531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0.0633332969656531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0.0633332969656531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0.0633332969656531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0.0633332969656531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0.0633332969656531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857.441822157784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629.949674778433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0.737169596054362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26.8747503432208</v>
      </c>
      <c r="L28" s="13" t="n">
        <f aca="false">K61</f>
        <v>27.4262292883657</v>
      </c>
      <c r="M28" s="13" t="n">
        <f aca="false">L61</f>
        <v>28.1294678983684</v>
      </c>
      <c r="N28" s="13" t="n">
        <f aca="false">M61</f>
        <v>29.1241191608456</v>
      </c>
      <c r="O28" s="13" t="n">
        <f aca="false">N61</f>
        <v>30.5567980886864</v>
      </c>
      <c r="P28" s="13" t="n">
        <f aca="false">O61</f>
        <v>32.5314641226389</v>
      </c>
      <c r="Q28" s="13" t="n">
        <f aca="false">P61</f>
        <v>35.1079098400082</v>
      </c>
      <c r="R28" s="13" t="n">
        <f aca="false">Q61</f>
        <v>38.378412674755</v>
      </c>
      <c r="S28" s="13" t="n">
        <f aca="false">R61</f>
        <v>42.3407709468494</v>
      </c>
      <c r="T28" s="13" t="n">
        <f aca="false">S61</f>
        <v>47.0075300697603</v>
      </c>
      <c r="U28" s="13" t="n">
        <f aca="false">T61</f>
        <v>52.3335304542721</v>
      </c>
      <c r="V28" s="13" t="n">
        <f aca="false">U61</f>
        <v>58.2915086492807</v>
      </c>
      <c r="W28" s="13" t="n">
        <f aca="false">V61</f>
        <v>64.8051356326372</v>
      </c>
      <c r="X28" s="13" t="n">
        <f aca="false">W61</f>
        <v>71.780863771057</v>
      </c>
      <c r="Y28" s="13" t="n">
        <f aca="false">X61</f>
        <v>79.1390131357357</v>
      </c>
      <c r="Z28" s="13" t="n">
        <f aca="false">Y61</f>
        <v>86.7518345721194</v>
      </c>
      <c r="AA28" s="13" t="n">
        <f aca="false">Z61</f>
        <v>94.5240439044738</v>
      </c>
      <c r="AB28" s="13" t="n">
        <f aca="false">AA61</f>
        <v>102.586255982479</v>
      </c>
      <c r="AC28" s="13" t="n">
        <f aca="false">AB61</f>
        <v>110.27646220834</v>
      </c>
      <c r="AD28" s="13" t="n">
        <f aca="false">AC61</f>
        <v>117.783562361957</v>
      </c>
      <c r="AE28" s="13" t="n">
        <f aca="false">AD61</f>
        <v>124.959653598004</v>
      </c>
      <c r="AF28" s="13" t="n">
        <f aca="false">AE61</f>
        <v>131.729973331462</v>
      </c>
      <c r="AG28" s="13" t="n">
        <f aca="false">AF61</f>
        <v>137.978911284829</v>
      </c>
      <c r="AH28" s="13" t="n">
        <f aca="false">AG61</f>
        <v>143.66328881369</v>
      </c>
      <c r="AI28" s="13" t="n">
        <f aca="false">AH61</f>
        <v>148.71507784579</v>
      </c>
      <c r="AJ28" s="13" t="n">
        <f aca="false">AI61</f>
        <v>153.087531376783</v>
      </c>
      <c r="AK28" s="13" t="n">
        <f aca="false">AJ61</f>
        <v>156.804146102918</v>
      </c>
      <c r="AL28" s="13" t="n">
        <f aca="false">AK61</f>
        <v>159.853230288654</v>
      </c>
      <c r="AM28" s="13" t="n">
        <f aca="false">AL61</f>
        <v>162.313907207868</v>
      </c>
      <c r="AN28" s="13" t="n">
        <f aca="false">AM61</f>
        <v>164.24763202117</v>
      </c>
      <c r="AO28" s="13" t="n">
        <f aca="false">AN61</f>
        <v>165.710266099846</v>
      </c>
      <c r="AP28" s="13" t="n">
        <f aca="false">AO61</f>
        <v>166.930222618908</v>
      </c>
      <c r="AQ28" s="13" t="n">
        <f aca="false">AP61</f>
        <v>178.923426929643</v>
      </c>
      <c r="AR28" s="13" t="n">
        <f aca="false">AQ61</f>
        <v>188.166297974259</v>
      </c>
      <c r="AS28" s="13" t="n">
        <f aca="false">AR61</f>
        <v>188.98490243353</v>
      </c>
      <c r="AT28" s="13" t="n">
        <f aca="false">AS61</f>
        <v>188.98490243353</v>
      </c>
      <c r="AU28" s="13" t="n">
        <f aca="false">AT61</f>
        <v>188.98490243353</v>
      </c>
      <c r="AV28" s="13" t="n">
        <f aca="false">AU61</f>
        <v>188.98490243353</v>
      </c>
      <c r="AW28" s="13" t="n">
        <f aca="false">AV61</f>
        <v>188.98490243353</v>
      </c>
      <c r="AX28" s="13" t="n">
        <f aca="false">AW61</f>
        <v>188.98490243353</v>
      </c>
      <c r="AY28" s="13" t="n">
        <f aca="false">AX61</f>
        <v>188.98490243353</v>
      </c>
      <c r="AZ28" s="13" t="n">
        <f aca="false">AY61</f>
        <v>188.98490243353</v>
      </c>
      <c r="BA28" s="13" t="n">
        <f aca="false">AZ61</f>
        <v>188.98490243353</v>
      </c>
      <c r="BB28" s="13" t="n">
        <f aca="false">BA61</f>
        <v>188.98490243353</v>
      </c>
      <c r="BC28" s="13" t="n">
        <f aca="false">BB61</f>
        <v>188.98490243353</v>
      </c>
      <c r="BD28" s="13" t="n">
        <f aca="false">BC61</f>
        <v>188.98490243353</v>
      </c>
      <c r="BE28" s="13" t="n">
        <f aca="false">BD61</f>
        <v>188.98490243353</v>
      </c>
      <c r="BF28" s="13" t="n">
        <f aca="false">BE61</f>
        <v>188.98490243353</v>
      </c>
      <c r="BG28" s="13" t="n">
        <f aca="false">BF61</f>
        <v>188.98490243353</v>
      </c>
      <c r="BH28" s="13" t="n">
        <f aca="false">BG61</f>
        <v>188.98490243353</v>
      </c>
      <c r="BI28" s="13" t="n">
        <f aca="false">BH61</f>
        <v>188.98490243353</v>
      </c>
      <c r="BJ28" s="13" t="n">
        <f aca="false">BI61</f>
        <v>188.98490243353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19.7081502516953</v>
      </c>
      <c r="L29" s="13" t="n">
        <f aca="false">K62</f>
        <v>20.1125681448015</v>
      </c>
      <c r="M29" s="13" t="n">
        <f aca="false">L62</f>
        <v>20.6282764588035</v>
      </c>
      <c r="N29" s="13" t="n">
        <f aca="false">M62</f>
        <v>21.3576873846201</v>
      </c>
      <c r="O29" s="13" t="n">
        <f aca="false">N62</f>
        <v>22.40831859837</v>
      </c>
      <c r="P29" s="13" t="n">
        <f aca="false">O62</f>
        <v>23.8564070232685</v>
      </c>
      <c r="Q29" s="13" t="n">
        <f aca="false">P62</f>
        <v>25.7458005493393</v>
      </c>
      <c r="R29" s="13" t="n">
        <f aca="false">Q62</f>
        <v>28.1441692948204</v>
      </c>
      <c r="S29" s="13" t="n">
        <f aca="false">R62</f>
        <v>31.0498986943562</v>
      </c>
      <c r="T29" s="13" t="n">
        <f aca="false">S62</f>
        <v>34.4721887178242</v>
      </c>
      <c r="U29" s="13" t="n">
        <f aca="false">T62</f>
        <v>38.3779223331329</v>
      </c>
      <c r="V29" s="13" t="n">
        <f aca="false">U62</f>
        <v>42.7471063428058</v>
      </c>
      <c r="W29" s="13" t="n">
        <f aca="false">V62</f>
        <v>47.5237661306006</v>
      </c>
      <c r="X29" s="13" t="n">
        <f aca="false">W62</f>
        <v>52.6393000987751</v>
      </c>
      <c r="Y29" s="13" t="n">
        <f aca="false">X62</f>
        <v>58.0352762995395</v>
      </c>
      <c r="Z29" s="13" t="n">
        <f aca="false">Y62</f>
        <v>63.6180120195542</v>
      </c>
      <c r="AA29" s="13" t="n">
        <f aca="false">Z62</f>
        <v>69.3176321966141</v>
      </c>
      <c r="AB29" s="13" t="n">
        <f aca="false">AA62</f>
        <v>75.2299210538178</v>
      </c>
      <c r="AC29" s="13" t="n">
        <f aca="false">AB62</f>
        <v>80.8694056194494</v>
      </c>
      <c r="AD29" s="13" t="n">
        <f aca="false">AC62</f>
        <v>86.3746123987684</v>
      </c>
      <c r="AE29" s="13" t="n">
        <f aca="false">AD62</f>
        <v>91.6370793052029</v>
      </c>
      <c r="AF29" s="13" t="n">
        <f aca="false">AE62</f>
        <v>96.601980443072</v>
      </c>
      <c r="AG29" s="13" t="n">
        <f aca="false">AF62</f>
        <v>101.184534942208</v>
      </c>
      <c r="AH29" s="13" t="n">
        <f aca="false">AG62</f>
        <v>105.353078463373</v>
      </c>
      <c r="AI29" s="13" t="n">
        <f aca="false">AH62</f>
        <v>109.057723753579</v>
      </c>
      <c r="AJ29" s="13" t="n">
        <f aca="false">AI62</f>
        <v>112.264189676307</v>
      </c>
      <c r="AK29" s="13" t="n">
        <f aca="false">AJ62</f>
        <v>114.98970714214</v>
      </c>
      <c r="AL29" s="13" t="n">
        <f aca="false">AK62</f>
        <v>117.225702211679</v>
      </c>
      <c r="AM29" s="13" t="n">
        <f aca="false">AL62</f>
        <v>119.030198619104</v>
      </c>
      <c r="AN29" s="13" t="n">
        <f aca="false">AM62</f>
        <v>120.448263482191</v>
      </c>
      <c r="AO29" s="13" t="n">
        <f aca="false">AN62</f>
        <v>121.520861806554</v>
      </c>
      <c r="AP29" s="13" t="n">
        <f aca="false">AO62</f>
        <v>122.415496587199</v>
      </c>
      <c r="AQ29" s="13" t="n">
        <f aca="false">AP62</f>
        <v>131.210513081738</v>
      </c>
      <c r="AR29" s="13" t="n">
        <f aca="false">AQ62</f>
        <v>137.988618514457</v>
      </c>
      <c r="AS29" s="13" t="n">
        <f aca="false">AR62</f>
        <v>138.588928451255</v>
      </c>
      <c r="AT29" s="13" t="n">
        <f aca="false">AS62</f>
        <v>138.588928451255</v>
      </c>
      <c r="AU29" s="13" t="n">
        <f aca="false">AT62</f>
        <v>138.588928451255</v>
      </c>
      <c r="AV29" s="13" t="n">
        <f aca="false">AU62</f>
        <v>138.588928451255</v>
      </c>
      <c r="AW29" s="13" t="n">
        <f aca="false">AV62</f>
        <v>138.588928451255</v>
      </c>
      <c r="AX29" s="13" t="n">
        <f aca="false">AW62</f>
        <v>138.588928451255</v>
      </c>
      <c r="AY29" s="13" t="n">
        <f aca="false">AX62</f>
        <v>138.588928451255</v>
      </c>
      <c r="AZ29" s="13" t="n">
        <f aca="false">AY62</f>
        <v>138.588928451255</v>
      </c>
      <c r="BA29" s="13" t="n">
        <f aca="false">AZ62</f>
        <v>138.588928451255</v>
      </c>
      <c r="BB29" s="13" t="n">
        <f aca="false">BA62</f>
        <v>138.588928451255</v>
      </c>
      <c r="BC29" s="13" t="n">
        <f aca="false">BB62</f>
        <v>138.588928451255</v>
      </c>
      <c r="BD29" s="13" t="n">
        <f aca="false">BC62</f>
        <v>138.588928451255</v>
      </c>
      <c r="BE29" s="13" t="n">
        <f aca="false">BD62</f>
        <v>138.588928451255</v>
      </c>
      <c r="BF29" s="13" t="n">
        <f aca="false">BE62</f>
        <v>138.588928451255</v>
      </c>
      <c r="BG29" s="13" t="n">
        <f aca="false">BF62</f>
        <v>138.588928451255</v>
      </c>
      <c r="BH29" s="13" t="n">
        <f aca="false">BG62</f>
        <v>138.588928451255</v>
      </c>
      <c r="BI29" s="13" t="n">
        <f aca="false">BH62</f>
        <v>138.588928451255</v>
      </c>
      <c r="BJ29" s="13" t="n">
        <f aca="false">BI62</f>
        <v>138.588928451255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8.95825011440694</v>
      </c>
      <c r="L30" s="13" t="n">
        <f aca="false">K63</f>
        <v>9.14207642945523</v>
      </c>
      <c r="M30" s="13" t="n">
        <f aca="false">L63</f>
        <v>9.37648929945613</v>
      </c>
      <c r="N30" s="13" t="n">
        <f aca="false">M63</f>
        <v>9.70803972028188</v>
      </c>
      <c r="O30" s="13" t="n">
        <f aca="false">N63</f>
        <v>10.1855993628955</v>
      </c>
      <c r="P30" s="13" t="n">
        <f aca="false">O63</f>
        <v>10.843821374213</v>
      </c>
      <c r="Q30" s="13" t="n">
        <f aca="false">P63</f>
        <v>11.7026366133361</v>
      </c>
      <c r="R30" s="13" t="n">
        <f aca="false">Q63</f>
        <v>12.7928042249184</v>
      </c>
      <c r="S30" s="13" t="n">
        <f aca="false">R63</f>
        <v>14.1135903156165</v>
      </c>
      <c r="T30" s="13" t="n">
        <f aca="false">S63</f>
        <v>15.6691766899201</v>
      </c>
      <c r="U30" s="13" t="n">
        <f aca="false">T63</f>
        <v>17.444510151424</v>
      </c>
      <c r="V30" s="13" t="n">
        <f aca="false">U63</f>
        <v>19.4305028830936</v>
      </c>
      <c r="W30" s="13" t="n">
        <f aca="false">V63</f>
        <v>21.6017118775457</v>
      </c>
      <c r="X30" s="13" t="n">
        <f aca="false">W63</f>
        <v>23.9269545903523</v>
      </c>
      <c r="Y30" s="13" t="n">
        <f aca="false">X63</f>
        <v>26.3796710452452</v>
      </c>
      <c r="Z30" s="13" t="n">
        <f aca="false">Y63</f>
        <v>28.9172781907065</v>
      </c>
      <c r="AA30" s="13" t="n">
        <f aca="false">Z63</f>
        <v>31.5080146348246</v>
      </c>
      <c r="AB30" s="13" t="n">
        <f aca="false">AA63</f>
        <v>34.1954186608262</v>
      </c>
      <c r="AC30" s="13" t="n">
        <f aca="false">AB63</f>
        <v>36.7588207361134</v>
      </c>
      <c r="AD30" s="13" t="n">
        <f aca="false">AC63</f>
        <v>39.2611874539856</v>
      </c>
      <c r="AE30" s="13" t="n">
        <f aca="false">AD63</f>
        <v>41.6532178660013</v>
      </c>
      <c r="AF30" s="13" t="n">
        <f aca="false">AE63</f>
        <v>43.9099911104873</v>
      </c>
      <c r="AG30" s="13" t="n">
        <f aca="false">AF63</f>
        <v>45.9929704282762</v>
      </c>
      <c r="AH30" s="13" t="n">
        <f aca="false">AG63</f>
        <v>47.8877629378968</v>
      </c>
      <c r="AI30" s="13" t="n">
        <f aca="false">AH63</f>
        <v>49.5716926152633</v>
      </c>
      <c r="AJ30" s="13" t="n">
        <f aca="false">AI63</f>
        <v>51.0291771255943</v>
      </c>
      <c r="AK30" s="13" t="n">
        <f aca="false">AJ63</f>
        <v>52.2680487009725</v>
      </c>
      <c r="AL30" s="13" t="n">
        <f aca="false">AK63</f>
        <v>53.2844100962179</v>
      </c>
      <c r="AM30" s="13" t="n">
        <f aca="false">AL63</f>
        <v>54.1046357359561</v>
      </c>
      <c r="AN30" s="13" t="n">
        <f aca="false">AM63</f>
        <v>54.7492106737234</v>
      </c>
      <c r="AO30" s="13" t="n">
        <f aca="false">AN63</f>
        <v>55.2367553666154</v>
      </c>
      <c r="AP30" s="13" t="n">
        <f aca="false">AO63</f>
        <v>55.6434075396361</v>
      </c>
      <c r="AQ30" s="13" t="n">
        <f aca="false">AP63</f>
        <v>59.6411423098811</v>
      </c>
      <c r="AR30" s="13" t="n">
        <f aca="false">AQ63</f>
        <v>62.722099324753</v>
      </c>
      <c r="AS30" s="13" t="n">
        <f aca="false">AR63</f>
        <v>62.9949674778433</v>
      </c>
      <c r="AT30" s="13" t="n">
        <f aca="false">AS63</f>
        <v>62.9949674778433</v>
      </c>
      <c r="AU30" s="13" t="n">
        <f aca="false">AT63</f>
        <v>62.9949674778433</v>
      </c>
      <c r="AV30" s="13" t="n">
        <f aca="false">AU63</f>
        <v>62.9949674778433</v>
      </c>
      <c r="AW30" s="13" t="n">
        <f aca="false">AV63</f>
        <v>62.9949674778433</v>
      </c>
      <c r="AX30" s="13" t="n">
        <f aca="false">AW63</f>
        <v>62.9949674778433</v>
      </c>
      <c r="AY30" s="13" t="n">
        <f aca="false">AX63</f>
        <v>62.9949674778433</v>
      </c>
      <c r="AZ30" s="13" t="n">
        <f aca="false">AY63</f>
        <v>62.9949674778433</v>
      </c>
      <c r="BA30" s="13" t="n">
        <f aca="false">AZ63</f>
        <v>62.9949674778433</v>
      </c>
      <c r="BB30" s="13" t="n">
        <f aca="false">BA63</f>
        <v>62.9949674778433</v>
      </c>
      <c r="BC30" s="13" t="n">
        <f aca="false">BB63</f>
        <v>62.9949674778433</v>
      </c>
      <c r="BD30" s="13" t="n">
        <f aca="false">BC63</f>
        <v>62.9949674778433</v>
      </c>
      <c r="BE30" s="13" t="n">
        <f aca="false">BD63</f>
        <v>62.9949674778433</v>
      </c>
      <c r="BF30" s="13" t="n">
        <f aca="false">BE63</f>
        <v>62.9949674778433</v>
      </c>
      <c r="BG30" s="13" t="n">
        <f aca="false">BF63</f>
        <v>62.9949674778433</v>
      </c>
      <c r="BH30" s="13" t="n">
        <f aca="false">BG63</f>
        <v>62.9949674778433</v>
      </c>
      <c r="BI30" s="13" t="n">
        <f aca="false">BH63</f>
        <v>62.9949674778433</v>
      </c>
      <c r="BJ30" s="13" t="n">
        <f aca="false">BI63</f>
        <v>62.9949674778433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34.0413504347464</v>
      </c>
      <c r="L31" s="13" t="n">
        <f aca="false">K64</f>
        <v>34.7398904319299</v>
      </c>
      <c r="M31" s="13" t="n">
        <f aca="false">L64</f>
        <v>35.6306593379333</v>
      </c>
      <c r="N31" s="13" t="n">
        <f aca="false">M64</f>
        <v>36.8905509370711</v>
      </c>
      <c r="O31" s="13" t="n">
        <f aca="false">N64</f>
        <v>38.7052775790027</v>
      </c>
      <c r="P31" s="13" t="n">
        <f aca="false">O64</f>
        <v>41.2065212220093</v>
      </c>
      <c r="Q31" s="13" t="n">
        <f aca="false">P64</f>
        <v>44.470019130677</v>
      </c>
      <c r="R31" s="13" t="n">
        <f aca="false">Q64</f>
        <v>48.6126560546897</v>
      </c>
      <c r="S31" s="13" t="n">
        <f aca="false">R64</f>
        <v>53.6316431993426</v>
      </c>
      <c r="T31" s="13" t="n">
        <f aca="false">S64</f>
        <v>59.5428714216964</v>
      </c>
      <c r="U31" s="13" t="n">
        <f aca="false">T64</f>
        <v>66.2891385754113</v>
      </c>
      <c r="V31" s="13" t="n">
        <f aca="false">U64</f>
        <v>73.8359109557555</v>
      </c>
      <c r="W31" s="13" t="n">
        <f aca="false">V64</f>
        <v>82.0865051346738</v>
      </c>
      <c r="X31" s="13" t="n">
        <f aca="false">W64</f>
        <v>90.9224274433389</v>
      </c>
      <c r="Y31" s="13" t="n">
        <f aca="false">X64</f>
        <v>100.242749971932</v>
      </c>
      <c r="Z31" s="13" t="n">
        <f aca="false">Y64</f>
        <v>109.885657124685</v>
      </c>
      <c r="AA31" s="13" t="n">
        <f aca="false">Z64</f>
        <v>119.730455612333</v>
      </c>
      <c r="AB31" s="13" t="n">
        <f aca="false">AA64</f>
        <v>129.94259091114</v>
      </c>
      <c r="AC31" s="13" t="n">
        <f aca="false">AB64</f>
        <v>139.683518797231</v>
      </c>
      <c r="AD31" s="13" t="n">
        <f aca="false">AC64</f>
        <v>149.192512325145</v>
      </c>
      <c r="AE31" s="13" t="n">
        <f aca="false">AD64</f>
        <v>158.282227890805</v>
      </c>
      <c r="AF31" s="13" t="n">
        <f aca="false">AE64</f>
        <v>166.857966219852</v>
      </c>
      <c r="AG31" s="13" t="n">
        <f aca="false">AF64</f>
        <v>174.77328762745</v>
      </c>
      <c r="AH31" s="13" t="n">
        <f aca="false">AG64</f>
        <v>181.973499164008</v>
      </c>
      <c r="AI31" s="13" t="n">
        <f aca="false">AH64</f>
        <v>188.372431938001</v>
      </c>
      <c r="AJ31" s="13" t="n">
        <f aca="false">AI64</f>
        <v>193.910873077258</v>
      </c>
      <c r="AK31" s="13" t="n">
        <f aca="false">AJ64</f>
        <v>198.618585063696</v>
      </c>
      <c r="AL31" s="13" t="n">
        <f aca="false">AK64</f>
        <v>202.480758365628</v>
      </c>
      <c r="AM31" s="13" t="n">
        <f aca="false">AL64</f>
        <v>205.597615796633</v>
      </c>
      <c r="AN31" s="13" t="n">
        <f aca="false">AM64</f>
        <v>208.047000560149</v>
      </c>
      <c r="AO31" s="13" t="n">
        <f aca="false">AN64</f>
        <v>209.899670393138</v>
      </c>
      <c r="AP31" s="13" t="n">
        <f aca="false">AO64</f>
        <v>211.444948650617</v>
      </c>
      <c r="AQ31" s="13" t="n">
        <f aca="false">AP64</f>
        <v>226.636340777548</v>
      </c>
      <c r="AR31" s="13" t="n">
        <f aca="false">AQ64</f>
        <v>238.343977434061</v>
      </c>
      <c r="AS31" s="13" t="n">
        <f aca="false">AR64</f>
        <v>239.380876415805</v>
      </c>
      <c r="AT31" s="13" t="n">
        <f aca="false">AS64</f>
        <v>239.380876415805</v>
      </c>
      <c r="AU31" s="13" t="n">
        <f aca="false">AT64</f>
        <v>239.380876415805</v>
      </c>
      <c r="AV31" s="13" t="n">
        <f aca="false">AU64</f>
        <v>239.380876415805</v>
      </c>
      <c r="AW31" s="13" t="n">
        <f aca="false">AV64</f>
        <v>239.380876415805</v>
      </c>
      <c r="AX31" s="13" t="n">
        <f aca="false">AW64</f>
        <v>239.380876415805</v>
      </c>
      <c r="AY31" s="13" t="n">
        <f aca="false">AX64</f>
        <v>239.380876415805</v>
      </c>
      <c r="AZ31" s="13" t="n">
        <f aca="false">AY64</f>
        <v>239.380876415805</v>
      </c>
      <c r="BA31" s="13" t="n">
        <f aca="false">AZ64</f>
        <v>239.380876415805</v>
      </c>
      <c r="BB31" s="13" t="n">
        <f aca="false">BA64</f>
        <v>239.380876415805</v>
      </c>
      <c r="BC31" s="13" t="n">
        <f aca="false">BB64</f>
        <v>239.380876415805</v>
      </c>
      <c r="BD31" s="13" t="n">
        <f aca="false">BC64</f>
        <v>239.380876415805</v>
      </c>
      <c r="BE31" s="13" t="n">
        <f aca="false">BD64</f>
        <v>239.380876415805</v>
      </c>
      <c r="BF31" s="13" t="n">
        <f aca="false">BE64</f>
        <v>239.380876415805</v>
      </c>
      <c r="BG31" s="13" t="n">
        <f aca="false">BF64</f>
        <v>239.380876415805</v>
      </c>
      <c r="BH31" s="13" t="n">
        <f aca="false">BG64</f>
        <v>239.380876415805</v>
      </c>
      <c r="BI31" s="13" t="n">
        <f aca="false">BH64</f>
        <v>239.380876415805</v>
      </c>
      <c r="BJ31" s="13" t="n">
        <f aca="false">BI64</f>
        <v>239.380876415805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1.63349334059149E-011</v>
      </c>
      <c r="AT32" s="13" t="n">
        <f aca="false">AS65</f>
        <v>1.63349334059149E-011</v>
      </c>
      <c r="AU32" s="13" t="n">
        <f aca="false">AT65</f>
        <v>1.63349334059149E-011</v>
      </c>
      <c r="AV32" s="13" t="n">
        <f aca="false">AU65</f>
        <v>1.63349334059149E-011</v>
      </c>
      <c r="AW32" s="13" t="n">
        <f aca="false">AV65</f>
        <v>1.63349334059149E-011</v>
      </c>
      <c r="AX32" s="13" t="n">
        <f aca="false">AW65</f>
        <v>1.63349334059149E-011</v>
      </c>
      <c r="AY32" s="13" t="n">
        <f aca="false">AX65</f>
        <v>1.63349334059149E-011</v>
      </c>
      <c r="AZ32" s="13" t="n">
        <f aca="false">AY65</f>
        <v>1.63349334059149E-011</v>
      </c>
      <c r="BA32" s="13" t="n">
        <f aca="false">AZ65</f>
        <v>1.63349334059149E-011</v>
      </c>
      <c r="BB32" s="13" t="n">
        <f aca="false">BA65</f>
        <v>1.63349334059149E-011</v>
      </c>
      <c r="BC32" s="13" t="n">
        <f aca="false">BB65</f>
        <v>1.63349334059149E-011</v>
      </c>
      <c r="BD32" s="13" t="n">
        <f aca="false">BC65</f>
        <v>1.63349334059149E-011</v>
      </c>
      <c r="BE32" s="13" t="n">
        <f aca="false">BD65</f>
        <v>1.63349334059149E-011</v>
      </c>
      <c r="BF32" s="13" t="n">
        <f aca="false">BE65</f>
        <v>1.63349334059149E-011</v>
      </c>
      <c r="BG32" s="13" t="n">
        <f aca="false">BF65</f>
        <v>1.63349334059149E-011</v>
      </c>
      <c r="BH32" s="13" t="n">
        <f aca="false">BG65</f>
        <v>1.63349334059149E-011</v>
      </c>
      <c r="BI32" s="13" t="n">
        <f aca="false">BH65</f>
        <v>1.63349334059149E-011</v>
      </c>
      <c r="BJ32" s="13" t="n">
        <f aca="false">BI65</f>
        <v>1.63349334059149E-011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12.3698124591525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0.0866710698568871</v>
      </c>
      <c r="L33" s="13" t="n">
        <f aca="false">Construction!L14*L28*(Construction!L17+Inputs!$F$79)/100*Construction!L11/Inputs!$F$247*1</f>
        <v>0.0913979091034787</v>
      </c>
      <c r="M33" s="13" t="n">
        <f aca="false">Construction!M14*M28*(Construction!M17+Inputs!$F$79)/100*Construction!M11/Inputs!$F$247*1</f>
        <v>0.0907175339722381</v>
      </c>
      <c r="N33" s="13" t="n">
        <f aca="false">Construction!N14*N28*(Construction!N17+Inputs!$F$79)/100*Construction!N11/Inputs!$F$247*1</f>
        <v>0.097056127103518</v>
      </c>
      <c r="O33" s="13" t="n">
        <f aca="false">Construction!O14*O28*(Construction!O17+Inputs!$F$79)/100*Construction!O11/Inputs!$F$247*1</f>
        <v>0.108934985186167</v>
      </c>
      <c r="P33" s="13" t="n">
        <f aca="false">Construction!P14*P28*(Construction!P17+Inputs!$F$79)/100*Construction!P11/Inputs!$F$247*1</f>
        <v>0.104751314474897</v>
      </c>
      <c r="Q33" s="13" t="n">
        <f aca="false">Construction!Q14*Q28*(Construction!Q17+Inputs!$F$79)/100*Construction!Q11/Inputs!$F$247*1</f>
        <v>0.125159698579629</v>
      </c>
      <c r="R33" s="13" t="n">
        <f aca="false">Construction!R14*R28*(Construction!R17+Inputs!$F$79)/100*Construction!R11/Inputs!$F$247*1</f>
        <v>0.132405523727905</v>
      </c>
      <c r="S33" s="13" t="n">
        <f aca="false">Construction!S14*S28*(Construction!S17+Inputs!$F$79)/100*Construction!S11/Inputs!$F$247*1</f>
        <v>0.150944848425518</v>
      </c>
      <c r="T33" s="13" t="n">
        <f aca="false">Construction!T14*T28*(Construction!T17+Inputs!$F$79)/100*Construction!T11/Inputs!$F$247*1</f>
        <v>0.162175978740673</v>
      </c>
      <c r="U33" s="13" t="n">
        <f aca="false">Construction!U14*U28*(Construction!U17+Inputs!$F$79)/100*Construction!U11/Inputs!$F$247*1</f>
        <v>0.193328783753157</v>
      </c>
      <c r="V33" s="13" t="n">
        <f aca="false">Construction!V14*V28*(Construction!V17+Inputs!$F$79)/100*Construction!V11/Inputs!$F$247*1</f>
        <v>0.215338548201884</v>
      </c>
      <c r="W33" s="13" t="n">
        <f aca="false">Construction!W14*W28*(Construction!W17+Inputs!$F$79)/100*Construction!W11/Inputs!$F$247*1</f>
        <v>0.231678359886678</v>
      </c>
      <c r="X33" s="13" t="n">
        <f aca="false">Construction!X14*X28*(Construction!X17+Inputs!$F$79)/100*Construction!X11/Inputs!$F$247*1</f>
        <v>0.26517047424758</v>
      </c>
      <c r="Y33" s="13" t="n">
        <f aca="false">Construction!Y14*Y28*(Construction!Y17+Inputs!$F$79)/100*Construction!Y11/Inputs!$F$247*1</f>
        <v>0.282921971960255</v>
      </c>
      <c r="Z33" s="13" t="n">
        <f aca="false">Construction!Z14*Z28*(Construction!Z17+Inputs!$F$79)/100*Construction!Z11/Inputs!$F$247*1</f>
        <v>0.320475735548504</v>
      </c>
      <c r="AA33" s="13" t="n">
        <f aca="false">Construction!AA14*AA28*(Construction!AA17+Inputs!$F$79)/100*Construction!AA11/Inputs!$F$247*1</f>
        <v>0.355699228548307</v>
      </c>
      <c r="AB33" s="13" t="n">
        <f aca="false">Construction!AB14*AB28*(Construction!AB17+Inputs!$F$79)/100*Construction!AB11/Inputs!$F$247*1</f>
        <v>0.361132117240542</v>
      </c>
      <c r="AC33" s="13" t="n">
        <f aca="false">Construction!AC14*AC28*(Construction!AC17+Inputs!$F$79)/100*Construction!AC11/Inputs!$F$247*1</f>
        <v>0.414976453760107</v>
      </c>
      <c r="AD33" s="13" t="n">
        <f aca="false">Construction!AD14*AD28*(Construction!AD17+Inputs!$F$79)/100*Construction!AD11/Inputs!$F$247*1</f>
        <v>0.428928472934793</v>
      </c>
      <c r="AE33" s="13" t="n">
        <f aca="false">Construction!AE14*AE28*(Construction!AE17+Inputs!$F$79)/100*Construction!AE11/Inputs!$F$247*1</f>
        <v>0.470230118692267</v>
      </c>
      <c r="AF33" s="13" t="n">
        <f aca="false">Construction!AF14*AF28*(Construction!AF17+Inputs!$F$79)/100*Construction!AF11/Inputs!$F$247*1</f>
        <v>0.479716652882073</v>
      </c>
      <c r="AG33" s="13" t="n">
        <f aca="false">Construction!AG14*AG28*(Construction!AG17+Inputs!$F$79)/100*Construction!AG11/Inputs!$F$247*1</f>
        <v>0.523974915604137</v>
      </c>
      <c r="AH33" s="13" t="n">
        <f aca="false">Construction!AH14*AH28*(Construction!AH17+Inputs!$F$79)/100*Construction!AH11/Inputs!$F$247*1</f>
        <v>0.545561339269989</v>
      </c>
      <c r="AI33" s="13" t="n">
        <f aca="false">Construction!AI14*AI28*(Construction!AI17+Inputs!$F$79)/100*Construction!AI11/Inputs!$F$247*1</f>
        <v>0.546527911083278</v>
      </c>
      <c r="AJ33" s="13" t="n">
        <f aca="false">Construction!AJ14*AJ28*(Construction!AJ17+Inputs!$F$79)/100*Construction!AJ11/Inputs!$F$247*1</f>
        <v>0.581349900403333</v>
      </c>
      <c r="AK33" s="13" t="n">
        <f aca="false">Construction!AK14*AK28*(Construction!AK17+Inputs!$F$79)/100*Construction!AK11/Inputs!$F$247*1</f>
        <v>0.576255236928222</v>
      </c>
      <c r="AL33" s="13" t="n">
        <f aca="false">Construction!AL14*AL28*(Construction!AL17+Inputs!$F$79)/100*Construction!AL11/Inputs!$F$247*1</f>
        <v>0.607042642021162</v>
      </c>
      <c r="AM33" s="13" t="n">
        <f aca="false">Construction!AM14*AM28*(Construction!AM17+Inputs!$F$79)/100*Construction!AM11/Inputs!$F$247*1</f>
        <v>0.620580171891417</v>
      </c>
      <c r="AN33" s="13" t="n">
        <f aca="false">Construction!AN14*AN28*(Construction!AN17+Inputs!$F$79)/100*Construction!AN11/Inputs!$F$247*1</f>
        <v>0.567201822579774</v>
      </c>
      <c r="AO33" s="13" t="n">
        <f aca="false">Construction!AO14*AO28*(Construction!AO17+Inputs!$F$79)/100*Construction!AO11/Inputs!$F$247*1</f>
        <v>0.633565584055078</v>
      </c>
      <c r="AP33" s="13" t="n">
        <f aca="false">Construction!AP14*AP28*(Construction!AP17+Inputs!$F$79)/100*Construction!AP11/Inputs!$F$247*1</f>
        <v>0.617641823689961</v>
      </c>
      <c r="AQ33" s="13" t="n">
        <f aca="false">Construction!AQ14*AQ28*(Construction!AQ17+Inputs!$F$79)/100*Construction!AQ11/Inputs!$F$247*1</f>
        <v>0.684083902294336</v>
      </c>
      <c r="AR33" s="13" t="n">
        <f aca="false">Construction!AR14*AR28*(Construction!AR17+Inputs!$F$79)/100*Construction!AR11/Inputs!$F$247*1</f>
        <v>0.696215302504758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13.8563561263673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0.1013327392108</v>
      </c>
      <c r="L34" s="13" t="n">
        <f aca="false">Construction!L14*L29*(Construction!L17+Inputs!$F$80)/100*Construction!L11/Inputs!$F$247*1</f>
        <v>0.106859191918227</v>
      </c>
      <c r="M34" s="13" t="n">
        <f aca="false">Construction!M14*M29*(Construction!M17+Inputs!$F$80)/100*Construction!M11/Inputs!$F$247*1</f>
        <v>0.106063721459015</v>
      </c>
      <c r="N34" s="13" t="n">
        <f aca="false">Construction!N14*N29*(Construction!N17+Inputs!$F$80)/100*Construction!N11/Inputs!$F$247*1</f>
        <v>0.113474579612675</v>
      </c>
      <c r="O34" s="13" t="n">
        <f aca="false">Construction!O14*O29*(Construction!O17+Inputs!$F$80)/100*Construction!O11/Inputs!$F$247*1</f>
        <v>0.12426657569385</v>
      </c>
      <c r="P34" s="13" t="n">
        <f aca="false">Construction!P14*P29*(Construction!P17+Inputs!$F$80)/100*Construction!P11/Inputs!$F$247*1</f>
        <v>0.119494092067661</v>
      </c>
      <c r="Q34" s="13" t="n">
        <f aca="false">Construction!Q14*Q29*(Construction!Q17+Inputs!$F$80)/100*Construction!Q11/Inputs!$F$247*1</f>
        <v>0.142774767268614</v>
      </c>
      <c r="R34" s="13" t="n">
        <f aca="false">Construction!R14*R29*(Construction!R17+Inputs!$F$80)/100*Construction!R11/Inputs!$F$247*1</f>
        <v>0.151040375215536</v>
      </c>
      <c r="S34" s="13" t="n">
        <f aca="false">Construction!S14*S29*(Construction!S17+Inputs!$F$80)/100*Construction!S11/Inputs!$F$247*1</f>
        <v>0.172188938203924</v>
      </c>
      <c r="T34" s="13" t="n">
        <f aca="false">Construction!T14*T29*(Construction!T17+Inputs!$F$80)/100*Construction!T11/Inputs!$F$247*1</f>
        <v>0.18500074611899</v>
      </c>
      <c r="U34" s="13" t="n">
        <f aca="false">Construction!U14*U29*(Construction!U17+Inputs!$F$80)/100*Construction!U11/Inputs!$F$247*1</f>
        <v>0.217784048706548</v>
      </c>
      <c r="V34" s="13" t="n">
        <f aca="false">Construction!V14*V29*(Construction!V17+Inputs!$F$80)/100*Construction!V11/Inputs!$F$247*1</f>
        <v>0.242577954299217</v>
      </c>
      <c r="W34" s="13" t="n">
        <f aca="false">Construction!W14*W29*(Construction!W17+Inputs!$F$80)/100*Construction!W11/Inputs!$F$247*1</f>
        <v>0.260984682333882</v>
      </c>
      <c r="X34" s="13" t="n">
        <f aca="false">Construction!X14*X29*(Construction!X17+Inputs!$F$80)/100*Construction!X11/Inputs!$F$247*1</f>
        <v>0.298713406032744</v>
      </c>
      <c r="Y34" s="13" t="n">
        <f aca="false">Construction!Y14*Y29*(Construction!Y17+Inputs!$F$80)/100*Construction!Y11/Inputs!$F$247*1</f>
        <v>0.318710392344971</v>
      </c>
      <c r="Z34" s="13" t="n">
        <f aca="false">Construction!Z14*Z29*(Construction!Z17+Inputs!$F$80)/100*Construction!Z11/Inputs!$F$247*1</f>
        <v>0.361014546540965</v>
      </c>
      <c r="AA34" s="13" t="n">
        <f aca="false">Construction!AA14*AA29*(Construction!AA17+Inputs!$F$80)/100*Construction!AA11/Inputs!$F$247*1</f>
        <v>0.398133522480386</v>
      </c>
      <c r="AB34" s="13" t="n">
        <f aca="false">Construction!AB14*AB29*(Construction!AB17+Inputs!$F$80)/100*Construction!AB11/Inputs!$F$247*1</f>
        <v>0.404214545262221</v>
      </c>
      <c r="AC34" s="13" t="n">
        <f aca="false">Construction!AC14*AC29*(Construction!AC17+Inputs!$F$80)/100*Construction!AC11/Inputs!$F$247*1</f>
        <v>0.464482416664821</v>
      </c>
      <c r="AD34" s="13" t="n">
        <f aca="false">Construction!AD14*AD29*(Construction!AD17+Inputs!$F$80)/100*Construction!AD11/Inputs!$F$247*1</f>
        <v>0.480098887249821</v>
      </c>
      <c r="AE34" s="13" t="n">
        <f aca="false">Construction!AE14*AE29*(Construction!AE17+Inputs!$F$80)/100*Construction!AE11/Inputs!$F$247*1</f>
        <v>0.526327746887134</v>
      </c>
      <c r="AF34" s="13" t="n">
        <f aca="false">Construction!AF14*AF29*(Construction!AF17+Inputs!$F$80)/100*Construction!AF11/Inputs!$F$247*1</f>
        <v>0.536946007962742</v>
      </c>
      <c r="AG34" s="13" t="n">
        <f aca="false">Construction!AG14*AG29*(Construction!AG17+Inputs!$F$80)/100*Construction!AG11/Inputs!$F$247*1</f>
        <v>0.584649864259128</v>
      </c>
      <c r="AH34" s="13" t="n">
        <f aca="false">Construction!AH14*AH29*(Construction!AH17+Inputs!$F$80)/100*Construction!AH11/Inputs!$F$247*1</f>
        <v>0.608735940310172</v>
      </c>
      <c r="AI34" s="13" t="n">
        <f aca="false">Construction!AI14*AI29*(Construction!AI17+Inputs!$F$80)/100*Construction!AI11/Inputs!$F$247*1</f>
        <v>0.609814438655431</v>
      </c>
      <c r="AJ34" s="13" t="n">
        <f aca="false">Construction!AJ14*AJ29*(Construction!AJ17+Inputs!$F$80)/100*Construction!AJ11/Inputs!$F$247*1</f>
        <v>0.648668724849131</v>
      </c>
      <c r="AK34" s="13" t="n">
        <f aca="false">Construction!AK14*AK29*(Construction!AK17+Inputs!$F$80)/100*Construction!AK11/Inputs!$F$247*1</f>
        <v>0.642984112436464</v>
      </c>
      <c r="AL34" s="13" t="n">
        <f aca="false">Construction!AL14*AL29*(Construction!AL17+Inputs!$F$80)/100*Construction!AL11/Inputs!$F$247*1</f>
        <v>0.677336619918095</v>
      </c>
      <c r="AM34" s="13" t="n">
        <f aca="false">Construction!AM14*AM29*(Construction!AM17+Inputs!$F$80)/100*Construction!AM11/Inputs!$F$247*1</f>
        <v>0.690838047207652</v>
      </c>
      <c r="AN34" s="13" t="n">
        <f aca="false">Construction!AN14*AN29*(Construction!AN17+Inputs!$F$80)/100*Construction!AN11/Inputs!$F$247*1</f>
        <v>0.631416563454422</v>
      </c>
      <c r="AO34" s="13" t="n">
        <f aca="false">Construction!AO14*AO29*(Construction!AO17+Inputs!$F$80)/100*Construction!AO11/Inputs!$F$247*1</f>
        <v>0.70529357960726</v>
      </c>
      <c r="AP34" s="13" t="n">
        <f aca="false">Construction!AP14*AP29*(Construction!AP17+Inputs!$F$80)/100*Construction!AP11/Inputs!$F$247*1</f>
        <v>0.68756703916477</v>
      </c>
      <c r="AQ34" s="13" t="n">
        <f aca="false">Construction!AQ14*AQ29*(Construction!AQ17+Inputs!$F$80)/100*Construction!AQ11/Inputs!$F$247*1</f>
        <v>0.761531238980511</v>
      </c>
      <c r="AR34" s="13" t="n">
        <f aca="false">Construction!AR14*AR29*(Construction!AR17+Inputs!$F$80)/100*Construction!AR11/Inputs!$F$247*1</f>
        <v>0.775036073989532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6.06192272922878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0.0441940338977409</v>
      </c>
      <c r="L35" s="13" t="n">
        <f aca="false">Construction!L14*L30*(Construction!L17+Inputs!$F$81)/100*Construction!L11/Inputs!$F$247*1</f>
        <v>0.0466042740648229</v>
      </c>
      <c r="M35" s="13" t="n">
        <f aca="false">Construction!M14*M30*(Construction!M17+Inputs!$F$81)/100*Construction!M11/Inputs!$F$247*1</f>
        <v>0.0462573472106503</v>
      </c>
      <c r="N35" s="13" t="n">
        <f aca="false">Construction!N14*N30*(Construction!N17+Inputs!$F$81)/100*Construction!N11/Inputs!$F$247*1</f>
        <v>0.049489429151837</v>
      </c>
      <c r="O35" s="13" t="n">
        <f aca="false">Construction!O14*O30*(Construction!O17+Inputs!$F$81)/100*Construction!O11/Inputs!$F$247*1</f>
        <v>0.0542920739373891</v>
      </c>
      <c r="P35" s="13" t="n">
        <f aca="false">Construction!P14*P30*(Construction!P17+Inputs!$F$81)/100*Construction!P11/Inputs!$F$247*1</f>
        <v>0.0522069755716276</v>
      </c>
      <c r="Q35" s="13" t="n">
        <f aca="false">Construction!Q14*Q30*(Construction!Q17+Inputs!$F$81)/100*Construction!Q11/Inputs!$F$247*1</f>
        <v>0.0623783038814738</v>
      </c>
      <c r="R35" s="13" t="n">
        <f aca="false">Construction!R14*R30*(Construction!R17+Inputs!$F$81)/100*Construction!R11/Inputs!$F$247*1</f>
        <v>0.0659895484602038</v>
      </c>
      <c r="S35" s="13" t="n">
        <f aca="false">Construction!S14*S30*(Construction!S17+Inputs!$F$81)/100*Construction!S11/Inputs!$F$247*1</f>
        <v>0.0752293568239902</v>
      </c>
      <c r="T35" s="13" t="n">
        <f aca="false">Construction!T14*T30*(Construction!T17+Inputs!$F$81)/100*Construction!T11/Inputs!$F$247*1</f>
        <v>0.0808268364255045</v>
      </c>
      <c r="U35" s="13" t="n">
        <f aca="false">Construction!U14*U30*(Construction!U17+Inputs!$F$81)/100*Construction!U11/Inputs!$F$247*1</f>
        <v>0.0952373340322466</v>
      </c>
      <c r="V35" s="13" t="n">
        <f aca="false">Construction!V14*V30*(Construction!V17+Inputs!$F$81)/100*Construction!V11/Inputs!$F$247*1</f>
        <v>0.106079751017867</v>
      </c>
      <c r="W35" s="13" t="n">
        <f aca="false">Construction!W14*W30*(Construction!W17+Inputs!$F$81)/100*Construction!W11/Inputs!$F$247*1</f>
        <v>0.1141290444197</v>
      </c>
      <c r="X35" s="13" t="n">
        <f aca="false">Construction!X14*X30*(Construction!X17+Inputs!$F$81)/100*Construction!X11/Inputs!$F$247*1</f>
        <v>0.130627879310774</v>
      </c>
      <c r="Y35" s="13" t="n">
        <f aca="false">Construction!Y14*Y30*(Construction!Y17+Inputs!$F$81)/100*Construction!Y11/Inputs!$F$247*1</f>
        <v>0.139372595355712</v>
      </c>
      <c r="Z35" s="13" t="n">
        <f aca="false">Construction!Z14*Z30*(Construction!Z17+Inputs!$F$81)/100*Construction!Z11/Inputs!$F$247*1</f>
        <v>0.157872273766707</v>
      </c>
      <c r="AA35" s="13" t="n">
        <f aca="false">Construction!AA14*AA30*(Construction!AA17+Inputs!$F$81)/100*Construction!AA11/Inputs!$F$247*1</f>
        <v>0.174186807572855</v>
      </c>
      <c r="AB35" s="13" t="n">
        <f aca="false">Construction!AB14*AB30*(Construction!AB17+Inputs!$F$81)/100*Construction!AB11/Inputs!$F$247*1</f>
        <v>0.176847306840906</v>
      </c>
      <c r="AC35" s="13" t="n">
        <f aca="false">Construction!AC14*AC30*(Construction!AC17+Inputs!$F$81)/100*Construction!AC11/Inputs!$F$247*1</f>
        <v>0.20321501396948</v>
      </c>
      <c r="AD35" s="13" t="n">
        <f aca="false">Construction!AD14*AD30*(Construction!AD17+Inputs!$F$81)/100*Construction!AD11/Inputs!$F$247*1</f>
        <v>0.210047352878823</v>
      </c>
      <c r="AE35" s="13" t="n">
        <f aca="false">Construction!AE14*AE30*(Construction!AE17+Inputs!$F$81)/100*Construction!AE11/Inputs!$F$247*1</f>
        <v>0.230272872769211</v>
      </c>
      <c r="AF35" s="13" t="n">
        <f aca="false">Construction!AF14*AF30*(Construction!AF17+Inputs!$F$81)/100*Construction!AF11/Inputs!$F$247*1</f>
        <v>0.234918452441107</v>
      </c>
      <c r="AG35" s="13" t="n">
        <f aca="false">Construction!AG14*AG30*(Construction!AG17+Inputs!$F$81)/100*Construction!AG11/Inputs!$F$247*1</f>
        <v>0.255848673832405</v>
      </c>
      <c r="AH35" s="13" t="n">
        <f aca="false">Construction!AH14*AH30*(Construction!AH17+Inputs!$F$81)/100*Construction!AH11/Inputs!$F$247*1</f>
        <v>0.266388983498423</v>
      </c>
      <c r="AI35" s="13" t="n">
        <f aca="false">Construction!AI14*AI30*(Construction!AI17+Inputs!$F$81)/100*Construction!AI11/Inputs!$F$247*1</f>
        <v>0.266860945245501</v>
      </c>
      <c r="AJ35" s="13" t="n">
        <f aca="false">Construction!AJ14*AJ30*(Construction!AJ17+Inputs!$F$81)/100*Construction!AJ11/Inputs!$F$247*1</f>
        <v>0.283863972532542</v>
      </c>
      <c r="AK35" s="13" t="n">
        <f aca="false">Construction!AK14*AK30*(Construction!AK17+Inputs!$F$81)/100*Construction!AK11/Inputs!$F$247*1</f>
        <v>0.281376328840235</v>
      </c>
      <c r="AL35" s="13" t="n">
        <f aca="false">Construction!AL14*AL30*(Construction!AL17+Inputs!$F$81)/100*Construction!AL11/Inputs!$F$247*1</f>
        <v>0.296409332385239</v>
      </c>
      <c r="AM35" s="13" t="n">
        <f aca="false">Construction!AM14*AM30*(Construction!AM17+Inputs!$F$81)/100*Construction!AM11/Inputs!$F$247*1</f>
        <v>0.302369768436584</v>
      </c>
      <c r="AN35" s="13" t="n">
        <f aca="false">Construction!AN14*AN30*(Construction!AN17+Inputs!$F$81)/100*Construction!AN11/Inputs!$F$247*1</f>
        <v>0.276361848989695</v>
      </c>
      <c r="AO35" s="13" t="n">
        <f aca="false">Construction!AO14*AO30*(Construction!AO17+Inputs!$F$81)/100*Construction!AO11/Inputs!$F$247*1</f>
        <v>0.308696744783593</v>
      </c>
      <c r="AP35" s="13" t="n">
        <f aca="false">Construction!AP14*AP30*(Construction!AP17+Inputs!$F$81)/100*Construction!AP11/Inputs!$F$247*1</f>
        <v>0.300938095776865</v>
      </c>
      <c r="AQ35" s="13" t="n">
        <f aca="false">Construction!AQ14*AQ30*(Construction!AQ17+Inputs!$F$81)/100*Construction!AQ11/Inputs!$F$247*1</f>
        <v>0.33331115059236</v>
      </c>
      <c r="AR35" s="13" t="n">
        <f aca="false">Construction!AR14*AR30*(Construction!AR17+Inputs!$F$81)/100*Construction!AR11/Inputs!$F$247*1</f>
        <v>0.339222020514706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28.3898060379361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0.208660870257427</v>
      </c>
      <c r="L36" s="13" t="n">
        <f aca="false">Construction!L14*L31*(Construction!L17+Inputs!$F$82)/100*Construction!L11/Inputs!$F$247*(1/(1-Inputs!$F$93/100))</f>
        <v>0.220040750445699</v>
      </c>
      <c r="M36" s="13" t="n">
        <f aca="false">Construction!M14*M31*(Construction!M17+Inputs!$F$82)/100*Construction!M11/Inputs!$F$247*(1/(1-Inputs!$F$93/100))</f>
        <v>0.218402745201036</v>
      </c>
      <c r="N36" s="13" t="n">
        <f aca="false">Construction!N14*N31*(Construction!N17+Inputs!$F$82)/100*Construction!N11/Inputs!$F$247*(1/(1-Inputs!$F$93/100))</f>
        <v>0.233662927879807</v>
      </c>
      <c r="O36" s="13" t="n">
        <f aca="false">Construction!O14*O31*(Construction!O17+Inputs!$F$82)/100*Construction!O11/Inputs!$F$247*(1/(1-Inputs!$F$93/100))</f>
        <v>0.255156180188247</v>
      </c>
      <c r="P36" s="13" t="n">
        <f aca="false">Construction!P14*P31*(Construction!P17+Inputs!$F$82)/100*Construction!P11/Inputs!$F$247*(1/(1-Inputs!$F$93/100))</f>
        <v>0.245356854140433</v>
      </c>
      <c r="Q36" s="13" t="n">
        <f aca="false">Construction!Q14*Q31*(Construction!Q17+Inputs!$F$82)/100*Construction!Q11/Inputs!$F$247*(1/(1-Inputs!$F$93/100))</f>
        <v>0.293158993398806</v>
      </c>
      <c r="R36" s="13" t="n">
        <f aca="false">Construction!R14*R31*(Construction!R17+Inputs!$F$82)/100*Construction!R11/Inputs!$F$247*(1/(1-Inputs!$F$93/100))</f>
        <v>0.310130740941493</v>
      </c>
      <c r="S36" s="13" t="n">
        <f aca="false">Construction!S14*S31*(Construction!S17+Inputs!$F$82)/100*Construction!S11/Inputs!$F$247*(1/(1-Inputs!$F$93/100))</f>
        <v>0.353555020708259</v>
      </c>
      <c r="T36" s="13" t="n">
        <f aca="false">Construction!T14*T31*(Construction!T17+Inputs!$F$82)/100*Construction!T11/Inputs!$F$247*(1/(1-Inputs!$F$93/100))</f>
        <v>0.379861466755081</v>
      </c>
      <c r="U36" s="13" t="n">
        <f aca="false">Construction!U14*U31*(Construction!U17+Inputs!$F$82)/100*Construction!U11/Inputs!$F$247*(1/(1-Inputs!$F$93/100))</f>
        <v>0.446510543293141</v>
      </c>
      <c r="V36" s="13" t="n">
        <f aca="false">Construction!V14*V31*(Construction!V17+Inputs!$F$82)/100*Construction!V11/Inputs!$F$247*(1/(1-Inputs!$F$93/100))</f>
        <v>0.497344111326669</v>
      </c>
      <c r="W36" s="13" t="n">
        <f aca="false">Construction!W14*W31*(Construction!W17+Inputs!$F$82)/100*Construction!W11/Inputs!$F$247*(1/(1-Inputs!$F$93/100))</f>
        <v>0.535082403840837</v>
      </c>
      <c r="X36" s="13" t="n">
        <f aca="false">Construction!X14*X31*(Construction!X17+Inputs!$F$82)/100*Construction!X11/Inputs!$F$247*(1/(1-Inputs!$F$93/100))</f>
        <v>0.612435511272663</v>
      </c>
      <c r="Y36" s="13" t="n">
        <f aca="false">Construction!Y14*Y31*(Construction!Y17+Inputs!$F$82)/100*Construction!Y11/Inputs!$F$247*(1/(1-Inputs!$F$93/100))</f>
        <v>0.65343422203926</v>
      </c>
      <c r="Z36" s="13" t="n">
        <f aca="false">Construction!Z14*Z31*(Construction!Z17+Inputs!$F$82)/100*Construction!Z11/Inputs!$F$247*(1/(1-Inputs!$F$93/100))</f>
        <v>0.740168080583061</v>
      </c>
      <c r="AA36" s="13" t="n">
        <f aca="false">Construction!AA14*AA31*(Construction!AA17+Inputs!$F$82)/100*Construction!AA11/Inputs!$F$247*(1/(1-Inputs!$F$93/100))</f>
        <v>0.815645251936859</v>
      </c>
      <c r="AB36" s="13" t="n">
        <f aca="false">Construction!AB14*AB31*(Construction!AB17+Inputs!$F$82)/100*Construction!AB11/Inputs!$F$247*(1/(1-Inputs!$F$93/100))</f>
        <v>0.828103276892967</v>
      </c>
      <c r="AC36" s="13" t="n">
        <f aca="false">Construction!AC14*AC31*(Construction!AC17+Inputs!$F$82)/100*Construction!AC11/Inputs!$F$247*(1/(1-Inputs!$F$93/100))</f>
        <v>0.951572415707555</v>
      </c>
      <c r="AD36" s="13" t="n">
        <f aca="false">Construction!AD14*AD31*(Construction!AD17+Inputs!$F$82)/100*Construction!AD11/Inputs!$F$247*(1/(1-Inputs!$F$93/100))</f>
        <v>0.983565451625033</v>
      </c>
      <c r="AE36" s="13" t="n">
        <f aca="false">Construction!AE14*AE31*(Construction!AE17+Inputs!$F$82)/100*Construction!AE11/Inputs!$F$247*(1/(1-Inputs!$F$93/100))</f>
        <v>1.07827325123637</v>
      </c>
      <c r="AF36" s="13" t="n">
        <f aca="false">Construction!AF14*AF31*(Construction!AF17+Inputs!$F$82)/100*Construction!AF11/Inputs!$F$247*(1/(1-Inputs!$F$93/100))</f>
        <v>1.10002659211606</v>
      </c>
      <c r="AG36" s="13" t="n">
        <f aca="false">Construction!AG14*AG31*(Construction!AG17+Inputs!$F$82)/100*Construction!AG11/Inputs!$F$247*(1/(1-Inputs!$F$93/100))</f>
        <v>1.19730490499348</v>
      </c>
      <c r="AH36" s="13" t="n">
        <f aca="false">Construction!AH14*AH31*(Construction!AH17+Inputs!$F$82)/100*Construction!AH11/Inputs!$F$247*(1/(1-Inputs!$F$93/100))</f>
        <v>1.24663079859393</v>
      </c>
      <c r="AI36" s="13" t="n">
        <f aca="false">Construction!AI14*AI31*(Construction!AI17+Inputs!$F$82)/100*Construction!AI11/Inputs!$F$247*(1/(1-Inputs!$F$93/100))</f>
        <v>1.24883945618156</v>
      </c>
      <c r="AJ36" s="13" t="n">
        <f aca="false">Construction!AJ14*AJ31*(Construction!AJ17+Inputs!$F$82)/100*Construction!AJ11/Inputs!$F$247*(1/(1-Inputs!$F$93/100))</f>
        <v>1.32840917864902</v>
      </c>
      <c r="AK36" s="13" t="n">
        <f aca="false">Construction!AK14*AK31*(Construction!AK17+Inputs!$F$82)/100*Construction!AK11/Inputs!$F$247*(1/(1-Inputs!$F$93/100))</f>
        <v>1.31676765653339</v>
      </c>
      <c r="AL36" s="13" t="n">
        <f aca="false">Construction!AL14*AL31*(Construction!AL17+Inputs!$F$82)/100*Construction!AL11/Inputs!$F$247*(1/(1-Inputs!$F$93/100))</f>
        <v>1.387118182927</v>
      </c>
      <c r="AM36" s="13" t="n">
        <f aca="false">Construction!AM14*AM31*(Construction!AM17+Inputs!$F$82)/100*Construction!AM11/Inputs!$F$247*(1/(1-Inputs!$F$93/100))</f>
        <v>1.41437199336147</v>
      </c>
      <c r="AN36" s="13" t="n">
        <f aca="false">Construction!AN14*AN31*(Construction!AN17+Inputs!$F$82)/100*Construction!AN11/Inputs!$F$247*(1/(1-Inputs!$F$93/100))</f>
        <v>1.29271673311016</v>
      </c>
      <c r="AO36" s="13" t="n">
        <f aca="false">Construction!AO14*AO31*(Construction!AO17+Inputs!$F$82)/100*Construction!AO11/Inputs!$F$247*(1/(1-Inputs!$F$93/100))</f>
        <v>1.44396720783724</v>
      </c>
      <c r="AP36" s="13" t="n">
        <f aca="false">Construction!AP14*AP31*(Construction!AP17+Inputs!$F$82)/100*Construction!AP11/Inputs!$F$247*(1/(1-Inputs!$F$93/100))</f>
        <v>1.4076751674055</v>
      </c>
      <c r="AQ36" s="13" t="n">
        <f aca="false">Construction!AQ14*AQ31*(Construction!AQ17+Inputs!$F$82)/100*Construction!AQ11/Inputs!$F$247*(1/(1-Inputs!$F$93/100))</f>
        <v>1.55910413567616</v>
      </c>
      <c r="AR36" s="13" t="n">
        <f aca="false">Construction!AR14*AR31*(Construction!AR17+Inputs!$F$82)/100*Construction!AR11/Inputs!$F$247*(1/(1-Inputs!$F$93/100))</f>
        <v>1.58675296088047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3.66842427749926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0.0289584638629829</v>
      </c>
      <c r="L38" s="13" t="n">
        <f aca="false">Construction!L14*(Inputs!$F$95/100*Inputs!$F$96/100)*L31*Construction!L11/Inputs!$F$248</f>
        <v>0.0305377913563964</v>
      </c>
      <c r="M38" s="13" t="n">
        <f aca="false">Construction!M14*(Inputs!$F$95/100*Inputs!$F$96/100)*M31*Construction!M11/Inputs!$F$248</f>
        <v>0.0303104649984337</v>
      </c>
      <c r="N38" s="13" t="n">
        <f aca="false">Construction!N14*(Inputs!$F$95/100*Inputs!$F$96/100)*N31*Construction!N11/Inputs!$F$248</f>
        <v>0.032428310323724</v>
      </c>
      <c r="O38" s="13" t="n">
        <f aca="false">Construction!O14*(Inputs!$F$95/100*Inputs!$F$96/100)*O31*Construction!O11/Inputs!$F$248</f>
        <v>0.0340235296197891</v>
      </c>
      <c r="P38" s="13" t="n">
        <f aca="false">Construction!P14*(Inputs!$F$95/100*Inputs!$F$96/100)*P31*Construction!P11/Inputs!$F$248</f>
        <v>0.0327168489044885</v>
      </c>
      <c r="Q38" s="13" t="n">
        <f aca="false">Construction!Q14*(Inputs!$F$95/100*Inputs!$F$96/100)*Q31*Construction!Q11/Inputs!$F$248</f>
        <v>0.0390909743508979</v>
      </c>
      <c r="R38" s="13" t="n">
        <f aca="false">Construction!R14*(Inputs!$F$95/100*Inputs!$F$96/100)*R31*Construction!R11/Inputs!$F$248</f>
        <v>0.0413540539862497</v>
      </c>
      <c r="S38" s="13" t="n">
        <f aca="false">Construction!S14*(Inputs!$F$95/100*Inputs!$F$96/100)*S31*Construction!S11/Inputs!$F$248</f>
        <v>0.0471444184123536</v>
      </c>
      <c r="T38" s="13" t="n">
        <f aca="false">Construction!T14*(Inputs!$F$95/100*Inputs!$F$96/100)*T31*Construction!T11/Inputs!$F$248</f>
        <v>0.0506522234970869</v>
      </c>
      <c r="U38" s="13" t="n">
        <f aca="false">Construction!U14*(Inputs!$F$95/100*Inputs!$F$96/100)*U31*Construction!U11/Inputs!$F$248</f>
        <v>0.0582708770189608</v>
      </c>
      <c r="V38" s="13" t="n">
        <f aca="false">Construction!V14*(Inputs!$F$95/100*Inputs!$F$96/100)*V31*Construction!V11/Inputs!$F$248</f>
        <v>0.0649048000826141</v>
      </c>
      <c r="W38" s="13" t="n">
        <f aca="false">Construction!W14*(Inputs!$F$95/100*Inputs!$F$96/100)*W31*Construction!W11/Inputs!$F$248</f>
        <v>0.0698297529981266</v>
      </c>
      <c r="X38" s="13" t="n">
        <f aca="false">Construction!X14*(Inputs!$F$95/100*Inputs!$F$96/100)*X31*Construction!X11/Inputs!$F$248</f>
        <v>0.079924550260809</v>
      </c>
      <c r="Y38" s="13" t="n">
        <f aca="false">Construction!Y14*(Inputs!$F$95/100*Inputs!$F$96/100)*Y31*Construction!Y11/Inputs!$F$248</f>
        <v>0.0852749968939311</v>
      </c>
      <c r="Z38" s="13" t="n">
        <f aca="false">Construction!Z14*(Inputs!$F$95/100*Inputs!$F$96/100)*Z31*Construction!Z11/Inputs!$F$248</f>
        <v>0.0965940084615207</v>
      </c>
      <c r="AA38" s="13" t="n">
        <f aca="false">Construction!AA14*(Inputs!$F$95/100*Inputs!$F$96/100)*AA31*Construction!AA11/Inputs!$F$248</f>
        <v>0.105247990912924</v>
      </c>
      <c r="AB38" s="13" t="n">
        <f aca="false">Construction!AB14*(Inputs!$F$95/100*Inputs!$F$96/100)*AB31*Construction!AB11/Inputs!$F$248</f>
        <v>0.106855530580763</v>
      </c>
      <c r="AC38" s="13" t="n">
        <f aca="false">Construction!AC14*(Inputs!$F$95/100*Inputs!$F$96/100)*AC31*Construction!AC11/Inputs!$F$248</f>
        <v>0.122787553441347</v>
      </c>
      <c r="AD38" s="13" t="n">
        <f aca="false">Construction!AD14*(Inputs!$F$95/100*Inputs!$F$96/100)*AD31*Construction!AD11/Inputs!$F$248</f>
        <v>0.126915822128651</v>
      </c>
      <c r="AE38" s="13" t="n">
        <f aca="false">Construction!AE14*(Inputs!$F$95/100*Inputs!$F$96/100)*AE31*Construction!AE11/Inputs!$F$248</f>
        <v>0.139136583065109</v>
      </c>
      <c r="AF38" s="13" t="n">
        <f aca="false">Construction!AF14*(Inputs!$F$95/100*Inputs!$F$96/100)*AF31*Construction!AF11/Inputs!$F$248</f>
        <v>0.141943557565107</v>
      </c>
      <c r="AG38" s="13" t="n">
        <f aca="false">Construction!AG14*(Inputs!$F$95/100*Inputs!$F$96/100)*AG31*Construction!AG11/Inputs!$F$248</f>
        <v>0.153632902288403</v>
      </c>
      <c r="AH38" s="13" t="n">
        <f aca="false">Construction!AH14*(Inputs!$F$95/100*Inputs!$F$96/100)*AH31*Construction!AH11/Inputs!$F$248</f>
        <v>0.159962184128142</v>
      </c>
      <c r="AI38" s="13" t="n">
        <f aca="false">Construction!AI14*(Inputs!$F$95/100*Inputs!$F$96/100)*AI31*Construction!AI11/Inputs!$F$248</f>
        <v>0.160245589360957</v>
      </c>
      <c r="AJ38" s="13" t="n">
        <f aca="false">Construction!AJ14*(Inputs!$F$95/100*Inputs!$F$96/100)*AJ31*Construction!AJ11/Inputs!$F$248</f>
        <v>0.170455626374899</v>
      </c>
      <c r="AK38" s="13" t="n">
        <f aca="false">Construction!AK14*(Inputs!$F$95/100*Inputs!$F$96/100)*AK31*Construction!AK11/Inputs!$F$248</f>
        <v>0.168961837430897</v>
      </c>
      <c r="AL38" s="13" t="n">
        <f aca="false">Construction!AL14*(Inputs!$F$95/100*Inputs!$F$96/100)*AL31*Construction!AL11/Inputs!$F$248</f>
        <v>0.177988907730443</v>
      </c>
      <c r="AM38" s="13" t="n">
        <f aca="false">Construction!AM14*(Inputs!$F$95/100*Inputs!$F$96/100)*AM31*Construction!AM11/Inputs!$F$248</f>
        <v>0.180728753502328</v>
      </c>
      <c r="AN38" s="13" t="n">
        <f aca="false">Construction!AN14*(Inputs!$F$95/100*Inputs!$F$96/100)*AN31*Construction!AN11/Inputs!$F$248</f>
        <v>0.165183618526935</v>
      </c>
      <c r="AO38" s="13" t="n">
        <f aca="false">Construction!AO14*(Inputs!$F$95/100*Inputs!$F$96/100)*AO31*Construction!AO11/Inputs!$F$248</f>
        <v>0.184510436289421</v>
      </c>
      <c r="AP38" s="13" t="n">
        <f aca="false">Construction!AP14*(Inputs!$F$95/100*Inputs!$F$96/100)*AP31*Construction!AP11/Inputs!$F$248</f>
        <v>0.179873031660319</v>
      </c>
      <c r="AQ38" s="13" t="n">
        <f aca="false">Construction!AQ14*(Inputs!$F$95/100*Inputs!$F$96/100)*AQ31*Construction!AQ11/Inputs!$F$248</f>
        <v>0.199222657365688</v>
      </c>
      <c r="AR38" s="13" t="n">
        <f aca="false">Construction!AR14*(Inputs!$F$95/100*Inputs!$F$96/100)*AR31*Construction!AR11/Inputs!$F$248</f>
        <v>0.202755630118565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-0.77615527737324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0.0255011519810415</v>
      </c>
      <c r="L39" s="13" t="n">
        <f aca="false">Construction!L14*Inputs!L309*(Inputs!$F$97/100/12-Construction!L17/100*Construction!L11/Inputs!$F$247)</f>
        <v>0.0209048814260021</v>
      </c>
      <c r="M39" s="13" t="n">
        <f aca="false">Construction!M14*Inputs!M309*(Inputs!$F$97/100/12-Construction!M17/100*Construction!M11/Inputs!$F$247)</f>
        <v>0.0266917395270815</v>
      </c>
      <c r="N39" s="13" t="n">
        <f aca="false">Construction!N14*Inputs!N309*(Inputs!$F$97/100/12-Construction!N17/100*Construction!N11/Inputs!$F$247)</f>
        <v>0.0221990508169632</v>
      </c>
      <c r="O39" s="13" t="n">
        <f aca="false">Construction!O14*Inputs!O309*(Inputs!$F$97/100/12-Construction!O17/100*Construction!O11/Inputs!$F$247)</f>
        <v>0.00434585572618587</v>
      </c>
      <c r="P39" s="13" t="n">
        <f aca="false">Construction!P14*Inputs!P309*(Inputs!$F$97/100/12-Construction!P17/100*Construction!P11/Inputs!$F$247)</f>
        <v>0.0247962048643798</v>
      </c>
      <c r="Q39" s="13" t="n">
        <f aca="false">Construction!Q14*Inputs!Q309*(Inputs!$F$97/100/12-Construction!Q17/100*Construction!Q11/Inputs!$F$247)</f>
        <v>0.00499312495274345</v>
      </c>
      <c r="R39" s="13" t="n">
        <f aca="false">Construction!R14*Inputs!R309*(Inputs!$F$97/100/12-Construction!R17/100*Construction!R11/Inputs!$F$247)</f>
        <v>0.0133898017493188</v>
      </c>
      <c r="S39" s="13" t="n">
        <f aca="false">Construction!S14*Inputs!S309*(Inputs!$F$97/100/12-Construction!S17/100*Construction!S11/Inputs!$F$247)</f>
        <v>0.00602179853193136</v>
      </c>
      <c r="T39" s="13" t="n">
        <f aca="false">Construction!T14*Inputs!T309*(Inputs!$F$97/100/12-Construction!T17/100*Construction!T11/Inputs!$F$247)</f>
        <v>0.0164004049280448</v>
      </c>
      <c r="U39" s="13" t="n">
        <f aca="false">Construction!U14*Inputs!U309*(Inputs!$F$97/100/12-Construction!U17/100*Construction!U11/Inputs!$F$247)</f>
        <v>-0.0105830028204396</v>
      </c>
      <c r="V39" s="13" t="n">
        <f aca="false">Construction!V14*Inputs!V309*(Inputs!$F$97/100/12-Construction!V17/100*Construction!V11/Inputs!$F$247)</f>
        <v>-0.0117878384104743</v>
      </c>
      <c r="W39" s="13" t="n">
        <f aca="false">Construction!W14*Inputs!W309*(Inputs!$F$97/100/12-Construction!W17/100*Construction!W11/Inputs!$F$247)</f>
        <v>0.00100807988717055</v>
      </c>
      <c r="X39" s="13" t="n">
        <f aca="false">Construction!X14*Inputs!X309*(Inputs!$F$97/100/12-Construction!X17/100*Construction!X11/Inputs!$F$247)</f>
        <v>-0.0145156857783852</v>
      </c>
      <c r="Y39" s="13" t="n">
        <f aca="false">Construction!Y14*Inputs!Y309*(Inputs!$F$97/100/12-Construction!Y17/100*Construction!Y11/Inputs!$F$247)</f>
        <v>0.00123105131490178</v>
      </c>
      <c r="Z39" s="13" t="n">
        <f aca="false">Construction!Z14*Inputs!Z309*(Inputs!$F$97/100/12-Construction!Z17/100*Construction!Z11/Inputs!$F$247)</f>
        <v>-0.0175431487613119</v>
      </c>
      <c r="AA39" s="13" t="n">
        <f aca="false">Construction!AA14*Inputs!AA309*(Inputs!$F$97/100/12-Construction!AA17/100*Construction!AA11/Inputs!$F$247)</f>
        <v>-0.0364792791500951</v>
      </c>
      <c r="AB39" s="13" t="n">
        <f aca="false">Construction!AB14*Inputs!AB309*(Inputs!$F$97/100/12-Construction!AB17/100*Construction!AB11/Inputs!$F$247)</f>
        <v>0.00630715499468266</v>
      </c>
      <c r="AC39" s="13" t="n">
        <f aca="false">Construction!AC14*Inputs!AC309*(Inputs!$F$97/100/12-Construction!AC17/100*Construction!AC11/Inputs!$F$247)</f>
        <v>-0.0425585457669907</v>
      </c>
      <c r="AD39" s="13" t="n">
        <f aca="false">Construction!AD14*Inputs!AD309*(Inputs!$F$97/100/12-Construction!AD17/100*Construction!AD11/Inputs!$F$247)</f>
        <v>-0.0191071112192697</v>
      </c>
      <c r="AE39" s="13" t="n">
        <f aca="false">Construction!AE14*Inputs!AE309*(Inputs!$F$97/100/12-Construction!AE17/100*Construction!AE11/Inputs!$F$247)</f>
        <v>-0.0482251699971614</v>
      </c>
      <c r="AF39" s="13" t="n">
        <f aca="false">Construction!AF14*Inputs!AF309*(Inputs!$F$97/100/12-Construction!AF17/100*Construction!AF11/Inputs!$F$247)</f>
        <v>-0.0213695289977903</v>
      </c>
      <c r="AG39" s="13" t="n">
        <f aca="false">Construction!AG14*Inputs!AG309*(Inputs!$F$97/100/12-Construction!AG17/100*Construction!AG11/Inputs!$F$247)</f>
        <v>-0.0659232575851183</v>
      </c>
      <c r="AH39" s="13" t="n">
        <f aca="false">Construction!AH14*Inputs!AH309*(Inputs!$F$97/100/12-Construction!AH17/100*Construction!AH11/Inputs!$F$247)</f>
        <v>-0.0686391268477259</v>
      </c>
      <c r="AI39" s="13" t="n">
        <f aca="false">Construction!AI14*Inputs!AI309*(Inputs!$F$97/100/12-Construction!AI17/100*Construction!AI11/Inputs!$F$247)</f>
        <v>-0.0373440084205447</v>
      </c>
      <c r="AJ39" s="13" t="n">
        <f aca="false">Construction!AJ14*Inputs!AJ309*(Inputs!$F$97/100/12-Construction!AJ17/100*Construction!AJ11/Inputs!$F$247)</f>
        <v>-0.073141820514742</v>
      </c>
      <c r="AK39" s="13" t="n">
        <f aca="false">Construction!AK14*Inputs!AK309*(Inputs!$F$97/100/12-Construction!AK17/100*Construction!AK11/Inputs!$F$247)</f>
        <v>-0.0393752633375186</v>
      </c>
      <c r="AL39" s="13" t="n">
        <f aca="false">Construction!AL14*Inputs!AL309*(Inputs!$F$97/100/12-Construction!AL17/100*Construction!AL11/Inputs!$F$247)</f>
        <v>-0.0763743211044555</v>
      </c>
      <c r="AM39" s="13" t="n">
        <f aca="false">Construction!AM14*Inputs!AM309*(Inputs!$F$97/100/12-Construction!AM17/100*Construction!AM11/Inputs!$F$247)</f>
        <v>-0.0887316025680341</v>
      </c>
      <c r="AN39" s="13" t="n">
        <f aca="false">Construction!AN14*Inputs!AN309*(Inputs!$F$97/100/12-Construction!AN17/100*Construction!AN11/Inputs!$F$247)</f>
        <v>0.0229946684728575</v>
      </c>
      <c r="AO39" s="13" t="n">
        <f aca="false">Construction!AO14*Inputs!AO309*(Inputs!$F$97/100/12-Construction!AO17/100*Construction!AO11/Inputs!$F$247)</f>
        <v>-0.0905882787612797</v>
      </c>
      <c r="AP39" s="13" t="n">
        <f aca="false">Construction!AP14*Inputs!AP309*(Inputs!$F$97/100/12-Construction!AP17/100*Construction!AP11/Inputs!$F$247)</f>
        <v>-0.0530467151643351</v>
      </c>
      <c r="AQ39" s="13" t="n">
        <f aca="false">Construction!AQ14*Inputs!AQ309*(Inputs!$F$97/100/12-Construction!AQ17/100*Construction!AQ11/Inputs!$F$247)</f>
        <v>-0.0978114733450857</v>
      </c>
      <c r="AR39" s="13" t="n">
        <f aca="false">Construction!AR14*Inputs!AR309*(Inputs!$F$97/100/12-Construction!AR17/100*Construction!AR11/Inputs!$F$247)</f>
        <v>-0.0597950679957872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9.25444184477304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0.546904809040559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0.453998487048471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0.467535840945703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0.45048458082875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0.462622304866772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0.458476264705057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0.408946109457512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0.445305768695968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0.421781841596658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0.424374538362131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0.397615518936535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0.39545641760316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0.378214580371452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0.347772335801834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0.339177635663395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0.307629515527878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0.29585303236612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0.273360978207299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0.233898735667273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0.22777493819316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0.199403308500444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0.185283141866231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0.160345609779737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0.147606615607384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0.13115655337011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0.112777880970443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0.103883668007573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0.0901239959236763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0.0843043618102219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0.0771833906464697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0.0646595600771067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0.0673546424907613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0.0617653560808379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0.0291169784901462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0.0022925472662138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9.90280888751697</v>
      </c>
      <c r="J42" s="13" t="n">
        <f aca="false">IF(Construction!J8=1,Inputs!$F$75*$F$25*Inputs!$F$89/100+Inputs!$F$76*$F$25*Inputs!$F$90/100+Inputs!$F$77*$F$25*Inputs!$F$91/100+Inputs!$F$78*$F$25*Inputs!$F$92/100,0)</f>
        <v>9.90280888751697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37.2458954365948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37.2458954365948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118.606330363224</v>
      </c>
      <c r="K45" s="13" t="n">
        <f aca="false">Construction!K14*(Construction!K32+Construction!K38)+K33+K34+K35+K36+K37+K38+K39+K40+K41+K42+K43+K44</f>
        <v>2.43384191930603</v>
      </c>
      <c r="L45" s="13" t="n">
        <f aca="false">Construction!L14*(Construction!L32+Construction!L38)+L33+L34+L35+L36+L37+L38+L39+L40+L41+L42+L43+L44</f>
        <v>3.1036028181447</v>
      </c>
      <c r="M45" s="13" t="n">
        <f aca="false">Construction!M14*(Construction!M32+Construction!M38)+M33+M34+M35+M36+M37+M38+M39+M40+M41+M42+M43+M44</f>
        <v>4.38969421955323</v>
      </c>
      <c r="N45" s="13" t="n">
        <f aca="false">Construction!N14*(Construction!N32+Construction!N38)+N33+N34+N35+N36+N37+N38+N39+N40+N41+N42+N43+N44</f>
        <v>6.32284162828597</v>
      </c>
      <c r="O45" s="13" t="n">
        <f aca="false">Construction!O14*(Construction!O32+Construction!O38)+O33+O34+O35+O36+O37+O38+O39+O40+O41+O42+O43+O44</f>
        <v>8.71479321626865</v>
      </c>
      <c r="P45" s="13" t="n">
        <f aca="false">Construction!P14*(Construction!P32+Construction!P38)+P33+P34+P35+P36+P37+P38+P39+P40+P41+P42+P43+P44</f>
        <v>11.3706273738202</v>
      </c>
      <c r="Q45" s="13" t="n">
        <f aca="false">Construction!Q14*(Construction!Q32+Construction!Q38)+Q33+Q34+Q35+Q36+Q37+Q38+Q39+Q40+Q41+Q42+Q43+Q44</f>
        <v>14.4337095123824</v>
      </c>
      <c r="R45" s="13" t="n">
        <f aca="false">Construction!R14*(Construction!R32+Construction!R38)+R33+R34+R35+R36+R37+R38+R39+R40+R41+R42+R43+R44</f>
        <v>17.4870749769041</v>
      </c>
      <c r="S45" s="13" t="n">
        <f aca="false">Construction!S14*(Construction!S32+Construction!S38)+S33+S34+S35+S36+S37+S38+S39+S40+S41+S42+S43+S44</f>
        <v>20.5958071122019</v>
      </c>
      <c r="T45" s="13" t="n">
        <f aca="false">Construction!T14*(Construction!T32+Construction!T38)+T33+T34+T35+T36+T37+T38+T39+T40+T41+T42+T43+T44</f>
        <v>23.5052364413651</v>
      </c>
      <c r="U45" s="13" t="n">
        <f aca="false">Construction!U14*(Construction!U32+Construction!U38)+U33+U34+U35+U36+U37+U38+U39+U40+U41+U42+U43+U44</f>
        <v>26.2943439871741</v>
      </c>
      <c r="V45" s="13" t="n">
        <f aca="false">Construction!V14*(Construction!V32+Construction!V38)+V33+V34+V35+V36+V37+V38+V39+V40+V41+V42+V43+V44</f>
        <v>28.746588674662</v>
      </c>
      <c r="W45" s="13" t="n">
        <f aca="false">Construction!W14*(Construction!W32+Construction!W38)+W33+W34+W35+W36+W37+W38+W39+W40+W41+W42+W43+W44</f>
        <v>30.785979610715</v>
      </c>
      <c r="X45" s="13" t="n">
        <f aca="false">Construction!X14*(Construction!X32+Construction!X38)+X33+X34+X35+X36+X37+X38+X39+X40+X41+X42+X43+X44</f>
        <v>32.4737191327687</v>
      </c>
      <c r="Y45" s="13" t="n">
        <f aca="false">Construction!Y14*(Construction!Y32+Construction!Y38)+Y33+Y34+Y35+Y36+Y37+Y38+Y39+Y40+Y41+Y42+Y43+Y44</f>
        <v>33.5976633363489</v>
      </c>
      <c r="Z45" s="13" t="n">
        <f aca="false">Construction!Z14*(Construction!Z32+Construction!Z38)+Z33+Z34+Z35+Z36+Z37+Z38+Z39+Z40+Z41+Z42+Z43+Z44</f>
        <v>34.301089906046</v>
      </c>
      <c r="AA45" s="13" t="n">
        <f aca="false">Construction!AA14*(Construction!AA32+Construction!AA38)+AA33+AA34+AA35+AA36+AA37+AA38+AA39+AA40+AA41+AA42+AA43+AA44</f>
        <v>35.5809589659477</v>
      </c>
      <c r="AB45" s="13" t="n">
        <f aca="false">Construction!AB14*(Construction!AB32+Construction!AB38)+AB33+AB34+AB35+AB36+AB37+AB38+AB39+AB40+AB41+AB42+AB43+AB44</f>
        <v>33.9391856124134</v>
      </c>
      <c r="AC45" s="13" t="n">
        <f aca="false">Construction!AC14*(Construction!AC32+Construction!AC38)+AC33+AC34+AC35+AC36+AC37+AC38+AC39+AC40+AC41+AC42+AC43+AC44</f>
        <v>33.1310836200673</v>
      </c>
      <c r="AD45" s="13" t="n">
        <f aca="false">Construction!AD14*(Construction!AD32+Construction!AD38)+AD33+AD34+AD35+AD36+AD37+AD38+AD39+AD40+AD41+AD42+AD43+AD44</f>
        <v>31.6702420297621</v>
      </c>
      <c r="AE45" s="13" t="n">
        <f aca="false">Construction!AE14*(Construction!AE32+Construction!AE38)+AE33+AE34+AE35+AE36+AE37+AE38+AE39+AE40+AE41+AE42+AE43+AE44</f>
        <v>29.879450737808</v>
      </c>
      <c r="AF45" s="13" t="n">
        <f aca="false">Construction!AF14*(Construction!AF32+Construction!AF38)+AF33+AF34+AF35+AF36+AF37+AF38+AF39+AF40+AF41+AF42+AF43+AF44</f>
        <v>27.5784366310691</v>
      </c>
      <c r="AG45" s="13" t="n">
        <f aca="false">Construction!AG14*(Construction!AG32+Construction!AG38)+AG33+AG34+AG35+AG36+AG37+AG38+AG39+AG40+AG41+AG42+AG43+AG44</f>
        <v>25.0868622214952</v>
      </c>
      <c r="AH45" s="13" t="n">
        <f aca="false">Construction!AH14*(Construction!AH32+Construction!AH38)+AH33+AH34+AH35+AH36+AH37+AH38+AH39+AH40+AH41+AH42+AH43+AH44</f>
        <v>22.2950595341123</v>
      </c>
      <c r="AI45" s="13" t="n">
        <f aca="false">Construction!AI14*(Construction!AI32+Construction!AI38)+AI33+AI34+AI35+AI36+AI37+AI38+AI39+AI40+AI41+AI42+AI43+AI44</f>
        <v>19.2969483017208</v>
      </c>
      <c r="AJ45" s="13" t="n">
        <f aca="false">Construction!AJ14*(Construction!AJ32+Construction!AJ38)+AJ33+AJ34+AJ35+AJ36+AJ37+AJ38+AJ39+AJ40+AJ41+AJ42+AJ43+AJ44</f>
        <v>16.4025350342263</v>
      </c>
      <c r="AK45" s="13" t="n">
        <f aca="false">Construction!AK14*(Construction!AK32+Construction!AK38)+AK33+AK34+AK35+AK36+AK37+AK38+AK39+AK40+AK41+AK42+AK43+AK44</f>
        <v>13.4565226325876</v>
      </c>
      <c r="AL45" s="13" t="n">
        <f aca="false">Construction!AL14*(Construction!AL32+Construction!AL38)+AL33+AL34+AL35+AL36+AL37+AL38+AL39+AL40+AL41+AL42+AL43+AL44</f>
        <v>10.8597049598704</v>
      </c>
      <c r="AM45" s="13" t="n">
        <f aca="false">Construction!AM14*(Construction!AM32+Construction!AM38)+AM33+AM34+AM35+AM36+AM37+AM38+AM39+AM40+AM41+AM42+AM43+AM44</f>
        <v>8.53410733528511</v>
      </c>
      <c r="AN45" s="13" t="n">
        <f aca="false">Construction!AN14*(Construction!AN32+Construction!AN38)+AN33+AN34+AN35+AN36+AN37+AN38+AN39+AN40+AN41+AN42+AN43+AN44</f>
        <v>6.45504268952994</v>
      </c>
      <c r="AO45" s="13" t="n">
        <f aca="false">Construction!AO14*(Construction!AO32+Construction!AO38)+AO33+AO34+AO35+AO36+AO37+AO38+AO39+AO40+AO41+AO42+AO43+AO44</f>
        <v>5.3840338637843</v>
      </c>
      <c r="AP45" s="13" t="n">
        <f aca="false">Construction!AP14*(Construction!AP32+Construction!AP38)+AP33+AP34+AP35+AP36+AP37+AP38+AP39+AP40+AP41+AP42+AP43+AP44</f>
        <v>52.9296062075416</v>
      </c>
      <c r="AQ45" s="13" t="n">
        <f aca="false">Construction!AQ14*(Construction!AQ32+Construction!AQ38)+AQ33+AQ34+AQ35+AQ36+AQ37+AQ38+AQ39+AQ40+AQ41+AQ42+AQ43+AQ44</f>
        <v>40.7915609492879</v>
      </c>
      <c r="AR45" s="13" t="n">
        <f aca="false">Construction!AR14*(Construction!AR32+Construction!AR38)+AR33+AR34+AR35+AR36+AR37+AR38+AR39+AR40+AR41+AR42+AR43+AR44</f>
        <v>3.61274689787676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629.949674778433</v>
      </c>
      <c r="K46" s="13" t="n">
        <f aca="false">$F$25-K28-K29-K30-K31</f>
        <v>540.367173634364</v>
      </c>
      <c r="L46" s="13" t="n">
        <f aca="false">$F$25-L28-L29-L30-L31</f>
        <v>538.528910483881</v>
      </c>
      <c r="M46" s="13" t="n">
        <f aca="false">$F$25-M28-M29-M30-M31</f>
        <v>536.184781783872</v>
      </c>
      <c r="N46" s="13" t="n">
        <f aca="false">$F$25-N28-N29-N30-N31</f>
        <v>532.869277575615</v>
      </c>
      <c r="O46" s="13" t="n">
        <f aca="false">$F$25-O28-O29-O30-O31</f>
        <v>528.093681149479</v>
      </c>
      <c r="P46" s="13" t="n">
        <f aca="false">$F$25-P28-P29-P30-P31</f>
        <v>521.511461036304</v>
      </c>
      <c r="Q46" s="13" t="n">
        <f aca="false">$F$25-Q28-Q29-Q30-Q31</f>
        <v>512.923308645073</v>
      </c>
      <c r="R46" s="13" t="n">
        <f aca="false">$F$25-R28-R29-R30-R31</f>
        <v>502.02163252925</v>
      </c>
      <c r="S46" s="13" t="n">
        <f aca="false">$F$25-S28-S29-S30-S31</f>
        <v>488.813771622269</v>
      </c>
      <c r="T46" s="13" t="n">
        <f aca="false">$F$25-T28-T29-T30-T31</f>
        <v>473.257907879232</v>
      </c>
      <c r="U46" s="13" t="n">
        <f aca="false">$F$25-U28-U29-U30-U31</f>
        <v>455.504573264193</v>
      </c>
      <c r="V46" s="13" t="n">
        <f aca="false">$F$25-V28-V29-V30-V31</f>
        <v>435.644645947498</v>
      </c>
      <c r="W46" s="13" t="n">
        <f aca="false">$F$25-W28-W29-W30-W31</f>
        <v>413.932556002976</v>
      </c>
      <c r="X46" s="13" t="n">
        <f aca="false">$F$25-X28-X29-X30-X31</f>
        <v>390.68012887491</v>
      </c>
      <c r="Y46" s="13" t="n">
        <f aca="false">$F$25-Y28-Y29-Y30-Y31</f>
        <v>366.152964325981</v>
      </c>
      <c r="Z46" s="13" t="n">
        <f aca="false">$F$25-Z28-Z29-Z30-Z31</f>
        <v>340.776892871369</v>
      </c>
      <c r="AA46" s="13" t="n">
        <f aca="false">$F$25-AA28-AA29-AA30-AA31</f>
        <v>314.869528430187</v>
      </c>
      <c r="AB46" s="13" t="n">
        <f aca="false">$F$25-AB28-AB29-AB30-AB31</f>
        <v>287.995488170171</v>
      </c>
      <c r="AC46" s="13" t="n">
        <f aca="false">$F$25-AC28-AC29-AC30-AC31</f>
        <v>262.3614674173</v>
      </c>
      <c r="AD46" s="13" t="n">
        <f aca="false">$F$25-AD28-AD29-AD30-AD31</f>
        <v>237.337800238577</v>
      </c>
      <c r="AE46" s="13" t="n">
        <f aca="false">$F$25-AE28-AE29-AE30-AE31</f>
        <v>213.41749611842</v>
      </c>
      <c r="AF46" s="13" t="n">
        <f aca="false">$F$25-AF28-AF29-AF30-AF31</f>
        <v>190.849763673561</v>
      </c>
      <c r="AG46" s="13" t="n">
        <f aca="false">$F$25-AG28-AG29-AG30-AG31</f>
        <v>170.019970495671</v>
      </c>
      <c r="AH46" s="13" t="n">
        <f aca="false">$F$25-AH28-AH29-AH30-AH31</f>
        <v>151.072045399465</v>
      </c>
      <c r="AI46" s="13" t="n">
        <f aca="false">$F$25-AI28-AI29-AI30-AI31</f>
        <v>134.2327486258</v>
      </c>
      <c r="AJ46" s="13" t="n">
        <f aca="false">$F$25-AJ28-AJ29-AJ30-AJ31</f>
        <v>119.657903522491</v>
      </c>
      <c r="AK46" s="13" t="n">
        <f aca="false">$F$25-AK28-AK29-AK30-AK31</f>
        <v>107.269187768708</v>
      </c>
      <c r="AL46" s="13" t="n">
        <f aca="false">$F$25-AL28-AL29-AL30-AL31</f>
        <v>97.1055738162547</v>
      </c>
      <c r="AM46" s="13" t="n">
        <f aca="false">$F$25-AM28-AM29-AM30-AM31</f>
        <v>88.9033174188719</v>
      </c>
      <c r="AN46" s="13" t="n">
        <f aca="false">$F$25-AN28-AN29-AN30-AN31</f>
        <v>82.4575680411994</v>
      </c>
      <c r="AO46" s="13" t="n">
        <f aca="false">$F$25-AO28-AO29-AO30-AO31</f>
        <v>77.5821211122795</v>
      </c>
      <c r="AP46" s="13" t="n">
        <f aca="false">$F$25-AP28-AP29-AP30-AP31</f>
        <v>73.5155993820724</v>
      </c>
      <c r="AQ46" s="13" t="n">
        <f aca="false">$F$25-AQ28-AQ29-AQ30-AQ31</f>
        <v>33.5382516796226</v>
      </c>
      <c r="AR46" s="13" t="n">
        <f aca="false">$F$25-AR28-AR29-AR30-AR31</f>
        <v>2.72868153090315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629.949674778433</v>
      </c>
      <c r="J47" s="13" t="n">
        <f aca="false">MIN($F$26*J45/(1-Inputs!$F$94/100*Inputs!$F$75*$F$26),J46)</f>
        <v>89.5825011440694</v>
      </c>
      <c r="K47" s="13" t="n">
        <f aca="false">MIN($F$26*K45/(1-Inputs!$F$94/100*Inputs!$F$75*$F$26),K46)</f>
        <v>1.83826315048291</v>
      </c>
      <c r="L47" s="13" t="n">
        <f aca="false">MIN($F$26*L45/(1-Inputs!$F$94/100*Inputs!$F$75*$F$26),L46)</f>
        <v>2.34412870000902</v>
      </c>
      <c r="M47" s="13" t="n">
        <f aca="false">MIN($F$26*M45/(1-Inputs!$F$94/100*Inputs!$F$75*$F$26),M46)</f>
        <v>3.31550420825744</v>
      </c>
      <c r="N47" s="13" t="n">
        <f aca="false">MIN($F$26*N45/(1-Inputs!$F$94/100*Inputs!$F$75*$F$26),N46)</f>
        <v>4.77559642613582</v>
      </c>
      <c r="O47" s="13" t="n">
        <f aca="false">MIN($F$26*O45/(1-Inputs!$F$94/100*Inputs!$F$75*$F$26),O46)</f>
        <v>6.58222011317518</v>
      </c>
      <c r="P47" s="13" t="n">
        <f aca="false">MIN($F$26*P45/(1-Inputs!$F$94/100*Inputs!$F$75*$F$26),P46)</f>
        <v>8.58815239123082</v>
      </c>
      <c r="Q47" s="13" t="n">
        <f aca="false">MIN($F$26*Q45/(1-Inputs!$F$94/100*Inputs!$F$75*$F$26),Q46)</f>
        <v>10.9016761158229</v>
      </c>
      <c r="R47" s="13" t="n">
        <f aca="false">MIN($F$26*R45/(1-Inputs!$F$94/100*Inputs!$F$75*$F$26),R46)</f>
        <v>13.2078609069813</v>
      </c>
      <c r="S47" s="13" t="n">
        <f aca="false">MIN($F$26*S45/(1-Inputs!$F$94/100*Inputs!$F$75*$F$26),S46)</f>
        <v>15.5558637430362</v>
      </c>
      <c r="T47" s="13" t="n">
        <f aca="false">MIN($F$26*T45/(1-Inputs!$F$94/100*Inputs!$F$75*$F$26),T46)</f>
        <v>17.7533346150393</v>
      </c>
      <c r="U47" s="13" t="n">
        <f aca="false">MIN($F$26*U45/(1-Inputs!$F$94/100*Inputs!$F$75*$F$26),U46)</f>
        <v>19.8599273166953</v>
      </c>
      <c r="V47" s="13" t="n">
        <f aca="false">MIN($F$26*V45/(1-Inputs!$F$94/100*Inputs!$F$75*$F$26),V46)</f>
        <v>21.7120899445219</v>
      </c>
      <c r="W47" s="13" t="n">
        <f aca="false">MIN($F$26*W45/(1-Inputs!$F$94/100*Inputs!$F$75*$F$26),W46)</f>
        <v>23.2524271280659</v>
      </c>
      <c r="X47" s="13" t="n">
        <f aca="false">MIN($F$26*X45/(1-Inputs!$F$94/100*Inputs!$F$75*$F$26),X46)</f>
        <v>24.5271645489291</v>
      </c>
      <c r="Y47" s="13" t="n">
        <f aca="false">MIN($F$26*Y45/(1-Inputs!$F$94/100*Inputs!$F$75*$F$26),Y46)</f>
        <v>25.3760714546124</v>
      </c>
      <c r="Z47" s="13" t="n">
        <f aca="false">MIN($F$26*Z45/(1-Inputs!$F$94/100*Inputs!$F$75*$F$26),Z46)</f>
        <v>25.9073644411813</v>
      </c>
      <c r="AA47" s="13" t="n">
        <f aca="false">MIN($F$26*AA45/(1-Inputs!$F$94/100*Inputs!$F$75*$F$26),AA46)</f>
        <v>26.8740402600165</v>
      </c>
      <c r="AB47" s="13" t="n">
        <f aca="false">MIN($F$26*AB45/(1-Inputs!$F$94/100*Inputs!$F$75*$F$26),AB46)</f>
        <v>25.6340207528713</v>
      </c>
      <c r="AC47" s="13" t="n">
        <f aca="false">MIN($F$26*AC45/(1-Inputs!$F$94/100*Inputs!$F$75*$F$26),AC46)</f>
        <v>25.0236671787226</v>
      </c>
      <c r="AD47" s="13" t="n">
        <f aca="false">MIN($F$26*AD45/(1-Inputs!$F$94/100*Inputs!$F$75*$F$26),AD46)</f>
        <v>23.9203041201569</v>
      </c>
      <c r="AE47" s="13" t="n">
        <f aca="false">MIN($F$26*AE45/(1-Inputs!$F$94/100*Inputs!$F$75*$F$26),AE46)</f>
        <v>22.5677324448594</v>
      </c>
      <c r="AF47" s="13" t="n">
        <f aca="false">MIN($F$26*AF45/(1-Inputs!$F$94/100*Inputs!$F$75*$F$26),AF46)</f>
        <v>20.8297931778895</v>
      </c>
      <c r="AG47" s="13" t="n">
        <f aca="false">MIN($F$26*AG45/(1-Inputs!$F$94/100*Inputs!$F$75*$F$26),AG46)</f>
        <v>18.9479250962057</v>
      </c>
      <c r="AH47" s="13" t="n">
        <f aca="false">MIN($F$26*AH45/(1-Inputs!$F$94/100*Inputs!$F$75*$F$26),AH46)</f>
        <v>16.8392967736652</v>
      </c>
      <c r="AI47" s="13" t="n">
        <f aca="false">MIN($F$26*AI45/(1-Inputs!$F$94/100*Inputs!$F$75*$F$26),AI46)</f>
        <v>14.5748451033096</v>
      </c>
      <c r="AJ47" s="13" t="n">
        <f aca="false">MIN($F$26*AJ45/(1-Inputs!$F$94/100*Inputs!$F$75*$F$26),AJ46)</f>
        <v>12.3887157537825</v>
      </c>
      <c r="AK47" s="13" t="n">
        <f aca="false">MIN($F$26*AK45/(1-Inputs!$F$94/100*Inputs!$F$75*$F$26),AK46)</f>
        <v>10.1636139524535</v>
      </c>
      <c r="AL47" s="13" t="n">
        <f aca="false">MIN($F$26*AL45/(1-Inputs!$F$94/100*Inputs!$F$75*$F$26),AL46)</f>
        <v>8.20225639738271</v>
      </c>
      <c r="AM47" s="13" t="n">
        <f aca="false">MIN($F$26*AM45/(1-Inputs!$F$94/100*Inputs!$F$75*$F$26),AM46)</f>
        <v>6.44574937767265</v>
      </c>
      <c r="AN47" s="13" t="n">
        <f aca="false">MIN($F$26*AN45/(1-Inputs!$F$94/100*Inputs!$F$75*$F$26),AN46)</f>
        <v>4.87544692891983</v>
      </c>
      <c r="AO47" s="13" t="n">
        <f aca="false">MIN($F$26*AO45/(1-Inputs!$F$94/100*Inputs!$F$75*$F$26),AO46)</f>
        <v>4.06652173020704</v>
      </c>
      <c r="AP47" s="13" t="n">
        <f aca="false">MIN($F$26*AP45/(1-Inputs!$F$94/100*Inputs!$F$75*$F$26),AP46)</f>
        <v>39.9773477024498</v>
      </c>
      <c r="AQ47" s="13" t="n">
        <f aca="false">MIN($F$26*AQ45/(1-Inputs!$F$94/100*Inputs!$F$75*$F$26),AQ46)</f>
        <v>30.8095701487195</v>
      </c>
      <c r="AR47" s="13" t="n">
        <f aca="false">MIN($F$26*AR45/(1-Inputs!$F$94/100*Inputs!$F$75*$F$26),AR46)</f>
        <v>2.72868153090315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20.504861914038</v>
      </c>
      <c r="J48" s="13" t="n">
        <f aca="false">Inputs!$F$94/100*Inputs!$F$75*J47</f>
        <v>2.91591041223946</v>
      </c>
      <c r="K48" s="13" t="n">
        <f aca="false">Inputs!$F$94/100*Inputs!$F$75*K47</f>
        <v>0.0598354655482186</v>
      </c>
      <c r="L48" s="13" t="n">
        <f aca="false">Inputs!$F$94/100*Inputs!$F$75*L47</f>
        <v>0.0763013891852935</v>
      </c>
      <c r="M48" s="13" t="n">
        <f aca="false">Inputs!$F$94/100*Inputs!$F$75*M47</f>
        <v>0.10791966197878</v>
      </c>
      <c r="N48" s="13" t="n">
        <f aca="false">Inputs!$F$94/100*Inputs!$F$75*N47</f>
        <v>0.155445663670721</v>
      </c>
      <c r="O48" s="13" t="n">
        <f aca="false">Inputs!$F$94/100*Inputs!$F$75*O47</f>
        <v>0.214251264683852</v>
      </c>
      <c r="P48" s="13" t="n">
        <f aca="false">Inputs!$F$94/100*Inputs!$F$75*P47</f>
        <v>0.279544360334563</v>
      </c>
      <c r="Q48" s="13" t="n">
        <f aca="false">Inputs!$F$94/100*Inputs!$F$75*Q47</f>
        <v>0.354849557570036</v>
      </c>
      <c r="R48" s="13" t="n">
        <f aca="false">Inputs!$F$94/100*Inputs!$F$75*R47</f>
        <v>0.429915872522241</v>
      </c>
      <c r="S48" s="13" t="n">
        <f aca="false">Inputs!$F$94/100*Inputs!$F$75*S47</f>
        <v>0.506343364835829</v>
      </c>
      <c r="T48" s="13" t="n">
        <f aca="false">Inputs!$F$94/100*Inputs!$F$75*T47</f>
        <v>0.577871041719529</v>
      </c>
      <c r="U48" s="13" t="n">
        <f aca="false">Inputs!$F$94/100*Inputs!$F$75*U47</f>
        <v>0.646440634158431</v>
      </c>
      <c r="V48" s="13" t="n">
        <f aca="false">Inputs!$F$94/100*Inputs!$F$75*V47</f>
        <v>0.706728527694187</v>
      </c>
      <c r="W48" s="13" t="n">
        <f aca="false">Inputs!$F$94/100*Inputs!$F$75*W47</f>
        <v>0.756866503018544</v>
      </c>
      <c r="X48" s="13" t="n">
        <f aca="false">Inputs!$F$94/100*Inputs!$F$75*X47</f>
        <v>0.79835920606764</v>
      </c>
      <c r="Y48" s="13" t="n">
        <f aca="false">Inputs!$F$94/100*Inputs!$F$75*Y47</f>
        <v>0.825991125847633</v>
      </c>
      <c r="Z48" s="13" t="n">
        <f aca="false">Inputs!$F$94/100*Inputs!$F$75*Z47</f>
        <v>0.843284712560451</v>
      </c>
      <c r="AA48" s="13" t="n">
        <f aca="false">Inputs!$F$94/100*Inputs!$F$75*AA47</f>
        <v>0.874750010463536</v>
      </c>
      <c r="AB48" s="13" t="n">
        <f aca="false">Inputs!$F$94/100*Inputs!$F$75*AB47</f>
        <v>0.834387375505962</v>
      </c>
      <c r="AC48" s="13" t="n">
        <f aca="false">Inputs!$F$94/100*Inputs!$F$75*AC47</f>
        <v>0.81452036666742</v>
      </c>
      <c r="AD48" s="13" t="n">
        <f aca="false">Inputs!$F$94/100*Inputs!$F$75*AD47</f>
        <v>0.778605899111105</v>
      </c>
      <c r="AE48" s="13" t="n">
        <f aca="false">Inputs!$F$94/100*Inputs!$F$75*AE47</f>
        <v>0.734579691080174</v>
      </c>
      <c r="AF48" s="13" t="n">
        <f aca="false">Inputs!$F$94/100*Inputs!$F$75*AF47</f>
        <v>0.678009767940303</v>
      </c>
      <c r="AG48" s="13" t="n">
        <f aca="false">Inputs!$F$94/100*Inputs!$F$75*AG47</f>
        <v>0.616754961881496</v>
      </c>
      <c r="AH48" s="13" t="n">
        <f aca="false">Inputs!$F$94/100*Inputs!$F$75*AH47</f>
        <v>0.548119109982802</v>
      </c>
      <c r="AI48" s="13" t="n">
        <f aca="false">Inputs!$F$94/100*Inputs!$F$75*AI47</f>
        <v>0.474411208112726</v>
      </c>
      <c r="AJ48" s="13" t="n">
        <f aca="false">Inputs!$F$94/100*Inputs!$F$75*AJ47</f>
        <v>0.403252697785621</v>
      </c>
      <c r="AK48" s="13" t="n">
        <f aca="false">Inputs!$F$94/100*Inputs!$F$75*AK47</f>
        <v>0.33082563415236</v>
      </c>
      <c r="AL48" s="13" t="n">
        <f aca="false">Inputs!$F$94/100*Inputs!$F$75*AL47</f>
        <v>0.266983445734807</v>
      </c>
      <c r="AM48" s="13" t="n">
        <f aca="false">Inputs!$F$94/100*Inputs!$F$75*AM47</f>
        <v>0.209809142243245</v>
      </c>
      <c r="AN48" s="13" t="n">
        <f aca="false">Inputs!$F$94/100*Inputs!$F$75*AN47</f>
        <v>0.158695797536341</v>
      </c>
      <c r="AO48" s="13" t="n">
        <f aca="false">Inputs!$F$94/100*Inputs!$F$75*AO47</f>
        <v>0.132365282318239</v>
      </c>
      <c r="AP48" s="13" t="n">
        <f aca="false">Inputs!$F$94/100*Inputs!$F$75*AP47</f>
        <v>1.30126266771474</v>
      </c>
      <c r="AQ48" s="13" t="n">
        <f aca="false">Inputs!$F$94/100*Inputs!$F$75*AQ47</f>
        <v>1.00285150834082</v>
      </c>
      <c r="AR48" s="13" t="n">
        <f aca="false">Inputs!$F$94/100*Inputs!$F$75*AR47</f>
        <v>0.0888185838308974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854.551894367595</v>
      </c>
      <c r="J49" s="13" t="n">
        <f aca="false">J45+J48</f>
        <v>121.522240775464</v>
      </c>
      <c r="K49" s="13" t="n">
        <f aca="false">K45+K48</f>
        <v>2.49367738485425</v>
      </c>
      <c r="L49" s="13" t="n">
        <f aca="false">L45+L48</f>
        <v>3.17990420732999</v>
      </c>
      <c r="M49" s="13" t="n">
        <f aca="false">M45+M48</f>
        <v>4.49761388153201</v>
      </c>
      <c r="N49" s="13" t="n">
        <f aca="false">N45+N48</f>
        <v>6.47828729195669</v>
      </c>
      <c r="O49" s="13" t="n">
        <f aca="false">O45+O48</f>
        <v>8.9290444809525</v>
      </c>
      <c r="P49" s="13" t="n">
        <f aca="false">P45+P48</f>
        <v>11.6501717341548</v>
      </c>
      <c r="Q49" s="13" t="n">
        <f aca="false">Q45+Q48</f>
        <v>14.7885590699524</v>
      </c>
      <c r="R49" s="13" t="n">
        <f aca="false">R45+R48</f>
        <v>17.9169908494263</v>
      </c>
      <c r="S49" s="13" t="n">
        <f aca="false">S45+S48</f>
        <v>21.1021504770377</v>
      </c>
      <c r="T49" s="13" t="n">
        <f aca="false">T45+T48</f>
        <v>24.0831074830847</v>
      </c>
      <c r="U49" s="13" t="n">
        <f aca="false">U45+U48</f>
        <v>26.9407846213326</v>
      </c>
      <c r="V49" s="13" t="n">
        <f aca="false">V45+V48</f>
        <v>29.4533172023562</v>
      </c>
      <c r="W49" s="13" t="n">
        <f aca="false">W45+W48</f>
        <v>31.5428461137336</v>
      </c>
      <c r="X49" s="13" t="n">
        <f aca="false">X45+X48</f>
        <v>33.2720783388363</v>
      </c>
      <c r="Y49" s="13" t="n">
        <f aca="false">Y45+Y48</f>
        <v>34.4236544621966</v>
      </c>
      <c r="Z49" s="13" t="n">
        <f aca="false">Z45+Z48</f>
        <v>35.1443746186065</v>
      </c>
      <c r="AA49" s="13" t="n">
        <f aca="false">AA45+AA48</f>
        <v>36.4557089764113</v>
      </c>
      <c r="AB49" s="13" t="n">
        <f aca="false">AB45+AB48</f>
        <v>34.7735729879193</v>
      </c>
      <c r="AC49" s="13" t="n">
        <f aca="false">AC45+AC48</f>
        <v>33.9456039867348</v>
      </c>
      <c r="AD49" s="13" t="n">
        <f aca="false">AD45+AD48</f>
        <v>32.4488479288732</v>
      </c>
      <c r="AE49" s="13" t="n">
        <f aca="false">AE45+AE48</f>
        <v>30.6140304288882</v>
      </c>
      <c r="AF49" s="13" t="n">
        <f aca="false">AF45+AF48</f>
        <v>28.2564463990094</v>
      </c>
      <c r="AG49" s="13" t="n">
        <f aca="false">AG45+AG48</f>
        <v>25.7036171833767</v>
      </c>
      <c r="AH49" s="13" t="n">
        <f aca="false">AH45+AH48</f>
        <v>22.8431786440951</v>
      </c>
      <c r="AI49" s="13" t="n">
        <f aca="false">AI45+AI48</f>
        <v>19.7713595098335</v>
      </c>
      <c r="AJ49" s="13" t="n">
        <f aca="false">AJ45+AJ48</f>
        <v>16.8057877320119</v>
      </c>
      <c r="AK49" s="13" t="n">
        <f aca="false">AK45+AK48</f>
        <v>13.7873482667399</v>
      </c>
      <c r="AL49" s="13" t="n">
        <f aca="false">AL45+AL48</f>
        <v>11.1266884056052</v>
      </c>
      <c r="AM49" s="13" t="n">
        <f aca="false">AM45+AM48</f>
        <v>8.74391647752835</v>
      </c>
      <c r="AN49" s="13" t="n">
        <f aca="false">AN45+AN48</f>
        <v>6.61373848706628</v>
      </c>
      <c r="AO49" s="13" t="n">
        <f aca="false">AO45+AO48</f>
        <v>5.51639914610254</v>
      </c>
      <c r="AP49" s="13" t="n">
        <f aca="false">AP45+AP48</f>
        <v>54.2308688752564</v>
      </c>
      <c r="AQ49" s="13" t="n">
        <f aca="false">AQ45+AQ48</f>
        <v>41.7944124576287</v>
      </c>
      <c r="AR49" s="13" t="n">
        <f aca="false">AR45+AR48</f>
        <v>3.70156548170766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854.551894367573</v>
      </c>
      <c r="J50" s="13" t="n">
        <f aca="false">J47/$F$26</f>
        <v>121.522240775464</v>
      </c>
      <c r="K50" s="13" t="n">
        <f aca="false">K47/$F$26</f>
        <v>2.49367738485425</v>
      </c>
      <c r="L50" s="13" t="n">
        <f aca="false">L47/$F$26</f>
        <v>3.17990420732999</v>
      </c>
      <c r="M50" s="13" t="n">
        <f aca="false">M47/$F$26</f>
        <v>4.49761388153201</v>
      </c>
      <c r="N50" s="13" t="n">
        <f aca="false">N47/$F$26</f>
        <v>6.47828729195669</v>
      </c>
      <c r="O50" s="13" t="n">
        <f aca="false">O47/$F$26</f>
        <v>8.9290444809525</v>
      </c>
      <c r="P50" s="13" t="n">
        <f aca="false">P47/$F$26</f>
        <v>11.6501717341548</v>
      </c>
      <c r="Q50" s="13" t="n">
        <f aca="false">Q47/$F$26</f>
        <v>14.7885590699524</v>
      </c>
      <c r="R50" s="13" t="n">
        <f aca="false">R47/$F$26</f>
        <v>17.9169908494263</v>
      </c>
      <c r="S50" s="13" t="n">
        <f aca="false">S47/$F$26</f>
        <v>21.1021504770377</v>
      </c>
      <c r="T50" s="13" t="n">
        <f aca="false">T47/$F$26</f>
        <v>24.0831074830847</v>
      </c>
      <c r="U50" s="13" t="n">
        <f aca="false">U47/$F$26</f>
        <v>26.9407846213326</v>
      </c>
      <c r="V50" s="13" t="n">
        <f aca="false">V47/$F$26</f>
        <v>29.4533172023562</v>
      </c>
      <c r="W50" s="13" t="n">
        <f aca="false">W47/$F$26</f>
        <v>31.5428461137336</v>
      </c>
      <c r="X50" s="13" t="n">
        <f aca="false">X47/$F$26</f>
        <v>33.2720783388363</v>
      </c>
      <c r="Y50" s="13" t="n">
        <f aca="false">Y47/$F$26</f>
        <v>34.4236544621966</v>
      </c>
      <c r="Z50" s="13" t="n">
        <f aca="false">Z47/$F$26</f>
        <v>35.1443746186065</v>
      </c>
      <c r="AA50" s="13" t="n">
        <f aca="false">AA47/$F$26</f>
        <v>36.4557089764113</v>
      </c>
      <c r="AB50" s="13" t="n">
        <f aca="false">AB47/$F$26</f>
        <v>34.7735729879193</v>
      </c>
      <c r="AC50" s="13" t="n">
        <f aca="false">AC47/$F$26</f>
        <v>33.9456039867348</v>
      </c>
      <c r="AD50" s="13" t="n">
        <f aca="false">AD47/$F$26</f>
        <v>32.4488479288732</v>
      </c>
      <c r="AE50" s="13" t="n">
        <f aca="false">AE47/$F$26</f>
        <v>30.6140304288882</v>
      </c>
      <c r="AF50" s="13" t="n">
        <f aca="false">AF47/$F$26</f>
        <v>28.2564463990094</v>
      </c>
      <c r="AG50" s="13" t="n">
        <f aca="false">AG47/$F$26</f>
        <v>25.7036171833766</v>
      </c>
      <c r="AH50" s="13" t="n">
        <f aca="false">AH47/$F$26</f>
        <v>22.8431786440951</v>
      </c>
      <c r="AI50" s="13" t="n">
        <f aca="false">AI47/$F$26</f>
        <v>19.7713595098335</v>
      </c>
      <c r="AJ50" s="13" t="n">
        <f aca="false">AJ47/$F$26</f>
        <v>16.8057877320119</v>
      </c>
      <c r="AK50" s="13" t="n">
        <f aca="false">AK47/$F$26</f>
        <v>13.7873482667399</v>
      </c>
      <c r="AL50" s="13" t="n">
        <f aca="false">AL47/$F$26</f>
        <v>11.1266884056052</v>
      </c>
      <c r="AM50" s="13" t="n">
        <f aca="false">AM47/$F$26</f>
        <v>8.74391647752835</v>
      </c>
      <c r="AN50" s="13" t="n">
        <f aca="false">AN47/$F$26</f>
        <v>6.61373848706628</v>
      </c>
      <c r="AO50" s="13" t="n">
        <f aca="false">AO47/$F$26</f>
        <v>5.51639914610254</v>
      </c>
      <c r="AP50" s="13" t="n">
        <f aca="false">AP47/$F$26</f>
        <v>54.2308688752564</v>
      </c>
      <c r="AQ50" s="13" t="n">
        <f aca="false">AQ47/$F$26</f>
        <v>41.7944124576287</v>
      </c>
      <c r="AR50" s="13" t="n">
        <f aca="false">AR47/$F$26</f>
        <v>3.70156548168588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2.17799112078865E-011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1.63349334059149E-011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1.63349334059149E-011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5.44497780197162E-012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5.44497780197162E-012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188.98490243353</v>
      </c>
      <c r="J57" s="13" t="n">
        <f aca="false">Inputs!$F$75*J47</f>
        <v>26.8747503432208</v>
      </c>
      <c r="K57" s="13" t="n">
        <f aca="false">Inputs!$F$75*K47</f>
        <v>0.551478945144872</v>
      </c>
      <c r="L57" s="13" t="n">
        <f aca="false">Inputs!$F$75*L47</f>
        <v>0.703238610002705</v>
      </c>
      <c r="M57" s="13" t="n">
        <f aca="false">Inputs!$F$75*M47</f>
        <v>0.994651262477232</v>
      </c>
      <c r="N57" s="13" t="n">
        <f aca="false">Inputs!$F$75*N47</f>
        <v>1.43267892784075</v>
      </c>
      <c r="O57" s="13" t="n">
        <f aca="false">Inputs!$F$75*O47</f>
        <v>1.97466603395255</v>
      </c>
      <c r="P57" s="13" t="n">
        <f aca="false">Inputs!$F$75*P47</f>
        <v>2.57644571736924</v>
      </c>
      <c r="Q57" s="13" t="n">
        <f aca="false">Inputs!$F$75*Q47</f>
        <v>3.27050283474687</v>
      </c>
      <c r="R57" s="13" t="n">
        <f aca="false">Inputs!$F$75*R47</f>
        <v>3.96235827209439</v>
      </c>
      <c r="S57" s="13" t="n">
        <f aca="false">Inputs!$F$75*S47</f>
        <v>4.66675912291087</v>
      </c>
      <c r="T57" s="13" t="n">
        <f aca="false">Inputs!$F$75*T47</f>
        <v>5.32600038451179</v>
      </c>
      <c r="U57" s="13" t="n">
        <f aca="false">Inputs!$F$75*U47</f>
        <v>5.95797819500858</v>
      </c>
      <c r="V57" s="13" t="n">
        <f aca="false">Inputs!$F$75*V47</f>
        <v>6.51362698335656</v>
      </c>
      <c r="W57" s="13" t="n">
        <f aca="false">Inputs!$F$75*W47</f>
        <v>6.97572813841976</v>
      </c>
      <c r="X57" s="13" t="n">
        <f aca="false">Inputs!$F$75*X47</f>
        <v>7.35814936467872</v>
      </c>
      <c r="Y57" s="13" t="n">
        <f aca="false">Inputs!$F$75*Y47</f>
        <v>7.61282143638371</v>
      </c>
      <c r="Z57" s="13" t="n">
        <f aca="false">Inputs!$F$75*Z47</f>
        <v>7.77220933235438</v>
      </c>
      <c r="AA57" s="13" t="n">
        <f aca="false">Inputs!$F$75*AA47</f>
        <v>8.06221207800494</v>
      </c>
      <c r="AB57" s="13" t="n">
        <f aca="false">Inputs!$F$75*AB47</f>
        <v>7.6902062258614</v>
      </c>
      <c r="AC57" s="13" t="n">
        <f aca="false">Inputs!$F$75*AC47</f>
        <v>7.50710015361678</v>
      </c>
      <c r="AD57" s="13" t="n">
        <f aca="false">Inputs!$F$75*AD47</f>
        <v>7.17609123604705</v>
      </c>
      <c r="AE57" s="13" t="n">
        <f aca="false">Inputs!$F$75*AE47</f>
        <v>6.77031973345783</v>
      </c>
      <c r="AF57" s="13" t="n">
        <f aca="false">Inputs!$F$75*AF47</f>
        <v>6.24893795336685</v>
      </c>
      <c r="AG57" s="13" t="n">
        <f aca="false">Inputs!$F$75*AG47</f>
        <v>5.68437752886171</v>
      </c>
      <c r="AH57" s="13" t="n">
        <f aca="false">Inputs!$F$75*AH47</f>
        <v>5.05178903209956</v>
      </c>
      <c r="AI57" s="13" t="n">
        <f aca="false">Inputs!$F$75*AI47</f>
        <v>4.37245353099287</v>
      </c>
      <c r="AJ57" s="13" t="n">
        <f aca="false">Inputs!$F$75*AJ47</f>
        <v>3.71661472613476</v>
      </c>
      <c r="AK57" s="13" t="n">
        <f aca="false">Inputs!$F$75*AK47</f>
        <v>3.04908418573604</v>
      </c>
      <c r="AL57" s="13" t="n">
        <f aca="false">Inputs!$F$75*AL47</f>
        <v>2.46067691921481</v>
      </c>
      <c r="AM57" s="13" t="n">
        <f aca="false">Inputs!$F$75*AM47</f>
        <v>1.9337248133018</v>
      </c>
      <c r="AN57" s="13" t="n">
        <f aca="false">Inputs!$F$75*AN47</f>
        <v>1.46263407867595</v>
      </c>
      <c r="AO57" s="13" t="n">
        <f aca="false">Inputs!$F$75*AO47</f>
        <v>1.21995651906211</v>
      </c>
      <c r="AP57" s="13" t="n">
        <f aca="false">Inputs!$F$75*AP47</f>
        <v>11.9932043107349</v>
      </c>
      <c r="AQ57" s="13" t="n">
        <f aca="false">Inputs!$F$75*AQ47</f>
        <v>9.24287104461585</v>
      </c>
      <c r="AR57" s="13" t="n">
        <f aca="false">Inputs!$F$75*AR47</f>
        <v>0.818604459270944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138.588928451255</v>
      </c>
      <c r="J58" s="13" t="n">
        <f aca="false">Inputs!$F$76*J47</f>
        <v>19.7081502516953</v>
      </c>
      <c r="K58" s="13" t="n">
        <f aca="false">Inputs!$F$76*K47</f>
        <v>0.404417893106239</v>
      </c>
      <c r="L58" s="13" t="n">
        <f aca="false">Inputs!$F$76*L47</f>
        <v>0.515708314001984</v>
      </c>
      <c r="M58" s="13" t="n">
        <f aca="false">Inputs!$F$76*M47</f>
        <v>0.729410925816637</v>
      </c>
      <c r="N58" s="13" t="n">
        <f aca="false">Inputs!$F$76*N47</f>
        <v>1.05063121374988</v>
      </c>
      <c r="O58" s="13" t="n">
        <f aca="false">Inputs!$F$76*O47</f>
        <v>1.44808842489854</v>
      </c>
      <c r="P58" s="13" t="n">
        <f aca="false">Inputs!$F$76*P47</f>
        <v>1.88939352607078</v>
      </c>
      <c r="Q58" s="13" t="n">
        <f aca="false">Inputs!$F$76*Q47</f>
        <v>2.39836874548104</v>
      </c>
      <c r="R58" s="13" t="n">
        <f aca="false">Inputs!$F$76*R47</f>
        <v>2.90572939953588</v>
      </c>
      <c r="S58" s="13" t="n">
        <f aca="false">Inputs!$F$76*S47</f>
        <v>3.42229002346797</v>
      </c>
      <c r="T58" s="13" t="n">
        <f aca="false">Inputs!$F$76*T47</f>
        <v>3.90573361530864</v>
      </c>
      <c r="U58" s="13" t="n">
        <f aca="false">Inputs!$F$76*U47</f>
        <v>4.36918400967296</v>
      </c>
      <c r="V58" s="13" t="n">
        <f aca="false">Inputs!$F$76*V47</f>
        <v>4.77665978779481</v>
      </c>
      <c r="W58" s="13" t="n">
        <f aca="false">Inputs!$F$76*W47</f>
        <v>5.11553396817449</v>
      </c>
      <c r="X58" s="13" t="n">
        <f aca="false">Inputs!$F$76*X47</f>
        <v>5.39597620076439</v>
      </c>
      <c r="Y58" s="13" t="n">
        <f aca="false">Inputs!$F$76*Y47</f>
        <v>5.58273572001472</v>
      </c>
      <c r="Z58" s="13" t="n">
        <f aca="false">Inputs!$F$76*Z47</f>
        <v>5.69962017705988</v>
      </c>
      <c r="AA58" s="13" t="n">
        <f aca="false">Inputs!$F$76*AA47</f>
        <v>5.91228885720362</v>
      </c>
      <c r="AB58" s="13" t="n">
        <f aca="false">Inputs!$F$76*AB47</f>
        <v>5.63948456563169</v>
      </c>
      <c r="AC58" s="13" t="n">
        <f aca="false">Inputs!$F$76*AC47</f>
        <v>5.50520677931897</v>
      </c>
      <c r="AD58" s="13" t="n">
        <f aca="false">Inputs!$F$76*AD47</f>
        <v>5.26246690643451</v>
      </c>
      <c r="AE58" s="13" t="n">
        <f aca="false">Inputs!$F$76*AE47</f>
        <v>4.96490113786907</v>
      </c>
      <c r="AF58" s="13" t="n">
        <f aca="false">Inputs!$F$76*AF47</f>
        <v>4.58255449913569</v>
      </c>
      <c r="AG58" s="13" t="n">
        <f aca="false">Inputs!$F$76*AG47</f>
        <v>4.16854352116526</v>
      </c>
      <c r="AH58" s="13" t="n">
        <f aca="false">Inputs!$F$76*AH47</f>
        <v>3.70464529020634</v>
      </c>
      <c r="AI58" s="13" t="n">
        <f aca="false">Inputs!$F$76*AI47</f>
        <v>3.2064659227281</v>
      </c>
      <c r="AJ58" s="13" t="n">
        <f aca="false">Inputs!$F$76*AJ47</f>
        <v>2.72551746583216</v>
      </c>
      <c r="AK58" s="13" t="n">
        <f aca="false">Inputs!$F$76*AK47</f>
        <v>2.23599506953976</v>
      </c>
      <c r="AL58" s="13" t="n">
        <f aca="false">Inputs!$F$76*AL47</f>
        <v>1.8044964074242</v>
      </c>
      <c r="AM58" s="13" t="n">
        <f aca="false">Inputs!$F$76*AM47</f>
        <v>1.41806486308798</v>
      </c>
      <c r="AN58" s="13" t="n">
        <f aca="false">Inputs!$F$76*AN47</f>
        <v>1.07259832436236</v>
      </c>
      <c r="AO58" s="13" t="n">
        <f aca="false">Inputs!$F$76*AO47</f>
        <v>0.894634780645548</v>
      </c>
      <c r="AP58" s="13" t="n">
        <f aca="false">Inputs!$F$76*AP47</f>
        <v>8.79501649453895</v>
      </c>
      <c r="AQ58" s="13" t="n">
        <f aca="false">Inputs!$F$76*AQ47</f>
        <v>6.77810543271829</v>
      </c>
      <c r="AR58" s="13" t="n">
        <f aca="false">Inputs!$F$76*AR47</f>
        <v>0.600309936798692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62.9949674778433</v>
      </c>
      <c r="J59" s="13" t="n">
        <f aca="false">Inputs!$F$77*J47</f>
        <v>8.95825011440694</v>
      </c>
      <c r="K59" s="13" t="n">
        <f aca="false">Inputs!$F$77*K47</f>
        <v>0.183826315048291</v>
      </c>
      <c r="L59" s="13" t="n">
        <f aca="false">Inputs!$F$77*L47</f>
        <v>0.234412870000902</v>
      </c>
      <c r="M59" s="13" t="n">
        <f aca="false">Inputs!$F$77*M47</f>
        <v>0.331550420825744</v>
      </c>
      <c r="N59" s="13" t="n">
        <f aca="false">Inputs!$F$77*N47</f>
        <v>0.477559642613582</v>
      </c>
      <c r="O59" s="13" t="n">
        <f aca="false">Inputs!$F$77*O47</f>
        <v>0.658222011317518</v>
      </c>
      <c r="P59" s="13" t="n">
        <f aca="false">Inputs!$F$77*P47</f>
        <v>0.858815239123082</v>
      </c>
      <c r="Q59" s="13" t="n">
        <f aca="false">Inputs!$F$77*Q47</f>
        <v>1.09016761158229</v>
      </c>
      <c r="R59" s="13" t="n">
        <f aca="false">Inputs!$F$77*R47</f>
        <v>1.32078609069813</v>
      </c>
      <c r="S59" s="13" t="n">
        <f aca="false">Inputs!$F$77*S47</f>
        <v>1.55558637430362</v>
      </c>
      <c r="T59" s="13" t="n">
        <f aca="false">Inputs!$F$77*T47</f>
        <v>1.77533346150393</v>
      </c>
      <c r="U59" s="13" t="n">
        <f aca="false">Inputs!$F$77*U47</f>
        <v>1.98599273166953</v>
      </c>
      <c r="V59" s="13" t="n">
        <f aca="false">Inputs!$F$77*V47</f>
        <v>2.17120899445219</v>
      </c>
      <c r="W59" s="13" t="n">
        <f aca="false">Inputs!$F$77*W47</f>
        <v>2.32524271280659</v>
      </c>
      <c r="X59" s="13" t="n">
        <f aca="false">Inputs!$F$77*X47</f>
        <v>2.45271645489291</v>
      </c>
      <c r="Y59" s="13" t="n">
        <f aca="false">Inputs!$F$77*Y47</f>
        <v>2.53760714546124</v>
      </c>
      <c r="Z59" s="13" t="n">
        <f aca="false">Inputs!$F$77*Z47</f>
        <v>2.59073644411813</v>
      </c>
      <c r="AA59" s="13" t="n">
        <f aca="false">Inputs!$F$77*AA47</f>
        <v>2.68740402600165</v>
      </c>
      <c r="AB59" s="13" t="n">
        <f aca="false">Inputs!$F$77*AB47</f>
        <v>2.56340207528713</v>
      </c>
      <c r="AC59" s="13" t="n">
        <f aca="false">Inputs!$F$77*AC47</f>
        <v>2.50236671787226</v>
      </c>
      <c r="AD59" s="13" t="n">
        <f aca="false">Inputs!$F$77*AD47</f>
        <v>2.39203041201569</v>
      </c>
      <c r="AE59" s="13" t="n">
        <f aca="false">Inputs!$F$77*AE47</f>
        <v>2.25677324448594</v>
      </c>
      <c r="AF59" s="13" t="n">
        <f aca="false">Inputs!$F$77*AF47</f>
        <v>2.08297931778895</v>
      </c>
      <c r="AG59" s="13" t="n">
        <f aca="false">Inputs!$F$77*AG47</f>
        <v>1.89479250962057</v>
      </c>
      <c r="AH59" s="13" t="n">
        <f aca="false">Inputs!$F$77*AH47</f>
        <v>1.68392967736652</v>
      </c>
      <c r="AI59" s="13" t="n">
        <f aca="false">Inputs!$F$77*AI47</f>
        <v>1.45748451033096</v>
      </c>
      <c r="AJ59" s="13" t="n">
        <f aca="false">Inputs!$F$77*AJ47</f>
        <v>1.23887157537825</v>
      </c>
      <c r="AK59" s="13" t="n">
        <f aca="false">Inputs!$F$77*AK47</f>
        <v>1.01636139524535</v>
      </c>
      <c r="AL59" s="13" t="n">
        <f aca="false">Inputs!$F$77*AL47</f>
        <v>0.820225639738271</v>
      </c>
      <c r="AM59" s="13" t="n">
        <f aca="false">Inputs!$F$77*AM47</f>
        <v>0.644574937767265</v>
      </c>
      <c r="AN59" s="13" t="n">
        <f aca="false">Inputs!$F$77*AN47</f>
        <v>0.487544692891983</v>
      </c>
      <c r="AO59" s="13" t="n">
        <f aca="false">Inputs!$F$77*AO47</f>
        <v>0.406652173020704</v>
      </c>
      <c r="AP59" s="13" t="n">
        <f aca="false">Inputs!$F$77*AP47</f>
        <v>3.99773477024498</v>
      </c>
      <c r="AQ59" s="13" t="n">
        <f aca="false">Inputs!$F$77*AQ47</f>
        <v>3.08095701487195</v>
      </c>
      <c r="AR59" s="13" t="n">
        <f aca="false">Inputs!$F$77*AR47</f>
        <v>0.272868153090315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239.380876415805</v>
      </c>
      <c r="J60" s="13" t="n">
        <f aca="false">Inputs!$F$78*J47</f>
        <v>34.0413504347464</v>
      </c>
      <c r="K60" s="13" t="n">
        <f aca="false">Inputs!$F$78*K47</f>
        <v>0.698539997183504</v>
      </c>
      <c r="L60" s="13" t="n">
        <f aca="false">Inputs!$F$78*L47</f>
        <v>0.890768906003426</v>
      </c>
      <c r="M60" s="13" t="n">
        <f aca="false">Inputs!$F$78*M47</f>
        <v>1.25989159913783</v>
      </c>
      <c r="N60" s="13" t="n">
        <f aca="false">Inputs!$F$78*N47</f>
        <v>1.81472664193161</v>
      </c>
      <c r="O60" s="13" t="n">
        <f aca="false">Inputs!$F$78*O47</f>
        <v>2.50124364300657</v>
      </c>
      <c r="P60" s="13" t="n">
        <f aca="false">Inputs!$F$78*P47</f>
        <v>3.26349790866771</v>
      </c>
      <c r="Q60" s="13" t="n">
        <f aca="false">Inputs!$F$78*Q47</f>
        <v>4.14263692401271</v>
      </c>
      <c r="R60" s="13" t="n">
        <f aca="false">Inputs!$F$78*R47</f>
        <v>5.01898714465289</v>
      </c>
      <c r="S60" s="13" t="n">
        <f aca="false">Inputs!$F$78*S47</f>
        <v>5.91122822235377</v>
      </c>
      <c r="T60" s="13" t="n">
        <f aca="false">Inputs!$F$78*T47</f>
        <v>6.74626715371493</v>
      </c>
      <c r="U60" s="13" t="n">
        <f aca="false">Inputs!$F$78*U47</f>
        <v>7.5467723803442</v>
      </c>
      <c r="V60" s="13" t="n">
        <f aca="false">Inputs!$F$78*V47</f>
        <v>8.25059417891831</v>
      </c>
      <c r="W60" s="13" t="n">
        <f aca="false">Inputs!$F$78*W47</f>
        <v>8.83592230866503</v>
      </c>
      <c r="X60" s="13" t="n">
        <f aca="false">Inputs!$F$78*X47</f>
        <v>9.32032252859304</v>
      </c>
      <c r="Y60" s="13" t="n">
        <f aca="false">Inputs!$F$78*Y47</f>
        <v>9.6429071527527</v>
      </c>
      <c r="Z60" s="13" t="n">
        <f aca="false">Inputs!$F$78*Z47</f>
        <v>9.84479848764889</v>
      </c>
      <c r="AA60" s="13" t="n">
        <f aca="false">Inputs!$F$78*AA47</f>
        <v>10.2121352988063</v>
      </c>
      <c r="AB60" s="13" t="n">
        <f aca="false">Inputs!$F$78*AB47</f>
        <v>9.74092788609111</v>
      </c>
      <c r="AC60" s="13" t="n">
        <f aca="false">Inputs!$F$78*AC47</f>
        <v>9.50899352791458</v>
      </c>
      <c r="AD60" s="13" t="n">
        <f aca="false">Inputs!$F$78*AD47</f>
        <v>9.0897155656596</v>
      </c>
      <c r="AE60" s="13" t="n">
        <f aca="false">Inputs!$F$78*AE47</f>
        <v>8.57573832904658</v>
      </c>
      <c r="AF60" s="13" t="n">
        <f aca="false">Inputs!$F$78*AF47</f>
        <v>7.91532140759801</v>
      </c>
      <c r="AG60" s="13" t="n">
        <f aca="false">Inputs!$F$78*AG47</f>
        <v>7.20021153655817</v>
      </c>
      <c r="AH60" s="13" t="n">
        <f aca="false">Inputs!$F$78*AH47</f>
        <v>6.39893277399277</v>
      </c>
      <c r="AI60" s="13" t="n">
        <f aca="false">Inputs!$F$78*AI47</f>
        <v>5.53844113925763</v>
      </c>
      <c r="AJ60" s="13" t="n">
        <f aca="false">Inputs!$F$78*AJ47</f>
        <v>4.70771198643736</v>
      </c>
      <c r="AK60" s="13" t="n">
        <f aca="false">Inputs!$F$78*AK47</f>
        <v>3.86217330193232</v>
      </c>
      <c r="AL60" s="13" t="n">
        <f aca="false">Inputs!$F$78*AL47</f>
        <v>3.11685743100543</v>
      </c>
      <c r="AM60" s="13" t="n">
        <f aca="false">Inputs!$F$78*AM47</f>
        <v>2.44938476351561</v>
      </c>
      <c r="AN60" s="13" t="n">
        <f aca="false">Inputs!$F$78*AN47</f>
        <v>1.85266983298954</v>
      </c>
      <c r="AO60" s="13" t="n">
        <f aca="false">Inputs!$F$78*AO47</f>
        <v>1.54527825747867</v>
      </c>
      <c r="AP60" s="13" t="n">
        <f aca="false">Inputs!$F$78*AP47</f>
        <v>15.1913921269309</v>
      </c>
      <c r="AQ60" s="13" t="n">
        <f aca="false">Inputs!$F$78*AQ47</f>
        <v>11.7076366565134</v>
      </c>
      <c r="AR60" s="13" t="n">
        <f aca="false">Inputs!$F$78*AR47</f>
        <v>1.0368989817432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26.8747503432208</v>
      </c>
      <c r="K61" s="13" t="n">
        <f aca="false">K28+K57</f>
        <v>27.4262292883657</v>
      </c>
      <c r="L61" s="13" t="n">
        <f aca="false">L28+L57</f>
        <v>28.1294678983684</v>
      </c>
      <c r="M61" s="13" t="n">
        <f aca="false">M28+M57</f>
        <v>29.1241191608456</v>
      </c>
      <c r="N61" s="13" t="n">
        <f aca="false">N28+N57</f>
        <v>30.5567980886864</v>
      </c>
      <c r="O61" s="13" t="n">
        <f aca="false">O28+O57</f>
        <v>32.5314641226389</v>
      </c>
      <c r="P61" s="13" t="n">
        <f aca="false">P28+P57</f>
        <v>35.1079098400082</v>
      </c>
      <c r="Q61" s="13" t="n">
        <f aca="false">Q28+Q57</f>
        <v>38.378412674755</v>
      </c>
      <c r="R61" s="13" t="n">
        <f aca="false">R28+R57</f>
        <v>42.3407709468494</v>
      </c>
      <c r="S61" s="13" t="n">
        <f aca="false">S28+S57</f>
        <v>47.0075300697603</v>
      </c>
      <c r="T61" s="13" t="n">
        <f aca="false">T28+T57</f>
        <v>52.3335304542721</v>
      </c>
      <c r="U61" s="13" t="n">
        <f aca="false">U28+U57</f>
        <v>58.2915086492807</v>
      </c>
      <c r="V61" s="13" t="n">
        <f aca="false">V28+V57</f>
        <v>64.8051356326372</v>
      </c>
      <c r="W61" s="13" t="n">
        <f aca="false">W28+W57</f>
        <v>71.780863771057</v>
      </c>
      <c r="X61" s="13" t="n">
        <f aca="false">X28+X57</f>
        <v>79.1390131357357</v>
      </c>
      <c r="Y61" s="13" t="n">
        <f aca="false">Y28+Y57</f>
        <v>86.7518345721194</v>
      </c>
      <c r="Z61" s="13" t="n">
        <f aca="false">Z28+Z57</f>
        <v>94.5240439044738</v>
      </c>
      <c r="AA61" s="13" t="n">
        <f aca="false">AA28+AA57</f>
        <v>102.586255982479</v>
      </c>
      <c r="AB61" s="13" t="n">
        <f aca="false">AB28+AB57</f>
        <v>110.27646220834</v>
      </c>
      <c r="AC61" s="13" t="n">
        <f aca="false">AC28+AC57</f>
        <v>117.783562361957</v>
      </c>
      <c r="AD61" s="13" t="n">
        <f aca="false">AD28+AD57</f>
        <v>124.959653598004</v>
      </c>
      <c r="AE61" s="13" t="n">
        <f aca="false">AE28+AE57</f>
        <v>131.729973331462</v>
      </c>
      <c r="AF61" s="13" t="n">
        <f aca="false">AF28+AF57</f>
        <v>137.978911284829</v>
      </c>
      <c r="AG61" s="13" t="n">
        <f aca="false">AG28+AG57</f>
        <v>143.66328881369</v>
      </c>
      <c r="AH61" s="13" t="n">
        <f aca="false">AH28+AH57</f>
        <v>148.71507784579</v>
      </c>
      <c r="AI61" s="13" t="n">
        <f aca="false">AI28+AI57</f>
        <v>153.087531376783</v>
      </c>
      <c r="AJ61" s="13" t="n">
        <f aca="false">AJ28+AJ57</f>
        <v>156.804146102918</v>
      </c>
      <c r="AK61" s="13" t="n">
        <f aca="false">AK28+AK57</f>
        <v>159.853230288654</v>
      </c>
      <c r="AL61" s="13" t="n">
        <f aca="false">AL28+AL57</f>
        <v>162.313907207868</v>
      </c>
      <c r="AM61" s="13" t="n">
        <f aca="false">AM28+AM57</f>
        <v>164.24763202117</v>
      </c>
      <c r="AN61" s="13" t="n">
        <f aca="false">AN28+AN57</f>
        <v>165.710266099846</v>
      </c>
      <c r="AO61" s="13" t="n">
        <f aca="false">AO28+AO57</f>
        <v>166.930222618908</v>
      </c>
      <c r="AP61" s="13" t="n">
        <f aca="false">AP28+AP57</f>
        <v>178.923426929643</v>
      </c>
      <c r="AQ61" s="13" t="n">
        <f aca="false">AQ28+AQ57</f>
        <v>188.166297974259</v>
      </c>
      <c r="AR61" s="13" t="n">
        <f aca="false">AR28+AR57</f>
        <v>188.98490243353</v>
      </c>
      <c r="AS61" s="13" t="n">
        <f aca="false">AS28+AS57</f>
        <v>188.98490243353</v>
      </c>
      <c r="AT61" s="13" t="n">
        <f aca="false">AT28+AT57</f>
        <v>188.98490243353</v>
      </c>
      <c r="AU61" s="13" t="n">
        <f aca="false">AU28+AU57</f>
        <v>188.98490243353</v>
      </c>
      <c r="AV61" s="13" t="n">
        <f aca="false">AV28+AV57</f>
        <v>188.98490243353</v>
      </c>
      <c r="AW61" s="13" t="n">
        <f aca="false">AW28+AW57</f>
        <v>188.98490243353</v>
      </c>
      <c r="AX61" s="13" t="n">
        <f aca="false">AX28+AX57</f>
        <v>188.98490243353</v>
      </c>
      <c r="AY61" s="13" t="n">
        <f aca="false">AY28+AY57</f>
        <v>188.98490243353</v>
      </c>
      <c r="AZ61" s="13" t="n">
        <f aca="false">AZ28+AZ57</f>
        <v>188.98490243353</v>
      </c>
      <c r="BA61" s="13" t="n">
        <f aca="false">BA28+BA57</f>
        <v>188.98490243353</v>
      </c>
      <c r="BB61" s="13" t="n">
        <f aca="false">BB28+BB57</f>
        <v>188.98490243353</v>
      </c>
      <c r="BC61" s="13" t="n">
        <f aca="false">BC28+BC57</f>
        <v>188.98490243353</v>
      </c>
      <c r="BD61" s="13" t="n">
        <f aca="false">BD28+BD57</f>
        <v>188.98490243353</v>
      </c>
      <c r="BE61" s="13" t="n">
        <f aca="false">BE28+BE57</f>
        <v>188.98490243353</v>
      </c>
      <c r="BF61" s="13" t="n">
        <f aca="false">BF28+BF57</f>
        <v>188.98490243353</v>
      </c>
      <c r="BG61" s="13" t="n">
        <f aca="false">BG28+BG57</f>
        <v>188.98490243353</v>
      </c>
      <c r="BH61" s="13" t="n">
        <f aca="false">BH28+BH57</f>
        <v>188.98490243353</v>
      </c>
      <c r="BI61" s="13" t="n">
        <f aca="false">BI28+BI57</f>
        <v>188.98490243353</v>
      </c>
      <c r="BJ61" s="13" t="n">
        <f aca="false">BJ28+BJ57</f>
        <v>188.98490243353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19.7081502516953</v>
      </c>
      <c r="K62" s="13" t="n">
        <f aca="false">K29+K58</f>
        <v>20.1125681448015</v>
      </c>
      <c r="L62" s="13" t="n">
        <f aca="false">L29+L58</f>
        <v>20.6282764588035</v>
      </c>
      <c r="M62" s="13" t="n">
        <f aca="false">M29+M58</f>
        <v>21.3576873846201</v>
      </c>
      <c r="N62" s="13" t="n">
        <f aca="false">N29+N58</f>
        <v>22.40831859837</v>
      </c>
      <c r="O62" s="13" t="n">
        <f aca="false">O29+O58</f>
        <v>23.8564070232685</v>
      </c>
      <c r="P62" s="13" t="n">
        <f aca="false">P29+P58</f>
        <v>25.7458005493393</v>
      </c>
      <c r="Q62" s="13" t="n">
        <f aca="false">Q29+Q58</f>
        <v>28.1441692948204</v>
      </c>
      <c r="R62" s="13" t="n">
        <f aca="false">R29+R58</f>
        <v>31.0498986943562</v>
      </c>
      <c r="S62" s="13" t="n">
        <f aca="false">S29+S58</f>
        <v>34.4721887178242</v>
      </c>
      <c r="T62" s="13" t="n">
        <f aca="false">T29+T58</f>
        <v>38.3779223331329</v>
      </c>
      <c r="U62" s="13" t="n">
        <f aca="false">U29+U58</f>
        <v>42.7471063428058</v>
      </c>
      <c r="V62" s="13" t="n">
        <f aca="false">V29+V58</f>
        <v>47.5237661306006</v>
      </c>
      <c r="W62" s="13" t="n">
        <f aca="false">W29+W58</f>
        <v>52.6393000987751</v>
      </c>
      <c r="X62" s="13" t="n">
        <f aca="false">X29+X58</f>
        <v>58.0352762995395</v>
      </c>
      <c r="Y62" s="13" t="n">
        <f aca="false">Y29+Y58</f>
        <v>63.6180120195542</v>
      </c>
      <c r="Z62" s="13" t="n">
        <f aca="false">Z29+Z58</f>
        <v>69.3176321966141</v>
      </c>
      <c r="AA62" s="13" t="n">
        <f aca="false">AA29+AA58</f>
        <v>75.2299210538178</v>
      </c>
      <c r="AB62" s="13" t="n">
        <f aca="false">AB29+AB58</f>
        <v>80.8694056194494</v>
      </c>
      <c r="AC62" s="13" t="n">
        <f aca="false">AC29+AC58</f>
        <v>86.3746123987684</v>
      </c>
      <c r="AD62" s="13" t="n">
        <f aca="false">AD29+AD58</f>
        <v>91.6370793052029</v>
      </c>
      <c r="AE62" s="13" t="n">
        <f aca="false">AE29+AE58</f>
        <v>96.601980443072</v>
      </c>
      <c r="AF62" s="13" t="n">
        <f aca="false">AF29+AF58</f>
        <v>101.184534942208</v>
      </c>
      <c r="AG62" s="13" t="n">
        <f aca="false">AG29+AG58</f>
        <v>105.353078463373</v>
      </c>
      <c r="AH62" s="13" t="n">
        <f aca="false">AH29+AH58</f>
        <v>109.057723753579</v>
      </c>
      <c r="AI62" s="13" t="n">
        <f aca="false">AI29+AI58</f>
        <v>112.264189676307</v>
      </c>
      <c r="AJ62" s="13" t="n">
        <f aca="false">AJ29+AJ58</f>
        <v>114.98970714214</v>
      </c>
      <c r="AK62" s="13" t="n">
        <f aca="false">AK29+AK58</f>
        <v>117.225702211679</v>
      </c>
      <c r="AL62" s="13" t="n">
        <f aca="false">AL29+AL58</f>
        <v>119.030198619104</v>
      </c>
      <c r="AM62" s="13" t="n">
        <f aca="false">AM29+AM58</f>
        <v>120.448263482191</v>
      </c>
      <c r="AN62" s="13" t="n">
        <f aca="false">AN29+AN58</f>
        <v>121.520861806554</v>
      </c>
      <c r="AO62" s="13" t="n">
        <f aca="false">AO29+AO58</f>
        <v>122.415496587199</v>
      </c>
      <c r="AP62" s="13" t="n">
        <f aca="false">AP29+AP58</f>
        <v>131.210513081738</v>
      </c>
      <c r="AQ62" s="13" t="n">
        <f aca="false">AQ29+AQ58</f>
        <v>137.988618514457</v>
      </c>
      <c r="AR62" s="13" t="n">
        <f aca="false">AR29+AR58</f>
        <v>138.588928451255</v>
      </c>
      <c r="AS62" s="13" t="n">
        <f aca="false">AS29+AS58</f>
        <v>138.588928451255</v>
      </c>
      <c r="AT62" s="13" t="n">
        <f aca="false">AT29+AT58</f>
        <v>138.588928451255</v>
      </c>
      <c r="AU62" s="13" t="n">
        <f aca="false">AU29+AU58</f>
        <v>138.588928451255</v>
      </c>
      <c r="AV62" s="13" t="n">
        <f aca="false">AV29+AV58</f>
        <v>138.588928451255</v>
      </c>
      <c r="AW62" s="13" t="n">
        <f aca="false">AW29+AW58</f>
        <v>138.588928451255</v>
      </c>
      <c r="AX62" s="13" t="n">
        <f aca="false">AX29+AX58</f>
        <v>138.588928451255</v>
      </c>
      <c r="AY62" s="13" t="n">
        <f aca="false">AY29+AY58</f>
        <v>138.588928451255</v>
      </c>
      <c r="AZ62" s="13" t="n">
        <f aca="false">AZ29+AZ58</f>
        <v>138.588928451255</v>
      </c>
      <c r="BA62" s="13" t="n">
        <f aca="false">BA29+BA58</f>
        <v>138.588928451255</v>
      </c>
      <c r="BB62" s="13" t="n">
        <f aca="false">BB29+BB58</f>
        <v>138.588928451255</v>
      </c>
      <c r="BC62" s="13" t="n">
        <f aca="false">BC29+BC58</f>
        <v>138.588928451255</v>
      </c>
      <c r="BD62" s="13" t="n">
        <f aca="false">BD29+BD58</f>
        <v>138.588928451255</v>
      </c>
      <c r="BE62" s="13" t="n">
        <f aca="false">BE29+BE58</f>
        <v>138.588928451255</v>
      </c>
      <c r="BF62" s="13" t="n">
        <f aca="false">BF29+BF58</f>
        <v>138.588928451255</v>
      </c>
      <c r="BG62" s="13" t="n">
        <f aca="false">BG29+BG58</f>
        <v>138.588928451255</v>
      </c>
      <c r="BH62" s="13" t="n">
        <f aca="false">BH29+BH58</f>
        <v>138.588928451255</v>
      </c>
      <c r="BI62" s="13" t="n">
        <f aca="false">BI29+BI58</f>
        <v>138.588928451255</v>
      </c>
      <c r="BJ62" s="13" t="n">
        <f aca="false">BJ29+BJ58</f>
        <v>138.588928451255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8.95825011440694</v>
      </c>
      <c r="K63" s="13" t="n">
        <f aca="false">K30+K59</f>
        <v>9.14207642945523</v>
      </c>
      <c r="L63" s="13" t="n">
        <f aca="false">L30+L59</f>
        <v>9.37648929945613</v>
      </c>
      <c r="M63" s="13" t="n">
        <f aca="false">M30+M59</f>
        <v>9.70803972028188</v>
      </c>
      <c r="N63" s="13" t="n">
        <f aca="false">N30+N59</f>
        <v>10.1855993628955</v>
      </c>
      <c r="O63" s="13" t="n">
        <f aca="false">O30+O59</f>
        <v>10.843821374213</v>
      </c>
      <c r="P63" s="13" t="n">
        <f aca="false">P30+P59</f>
        <v>11.7026366133361</v>
      </c>
      <c r="Q63" s="13" t="n">
        <f aca="false">Q30+Q59</f>
        <v>12.7928042249184</v>
      </c>
      <c r="R63" s="13" t="n">
        <f aca="false">R30+R59</f>
        <v>14.1135903156165</v>
      </c>
      <c r="S63" s="13" t="n">
        <f aca="false">S30+S59</f>
        <v>15.6691766899201</v>
      </c>
      <c r="T63" s="13" t="n">
        <f aca="false">T30+T59</f>
        <v>17.444510151424</v>
      </c>
      <c r="U63" s="13" t="n">
        <f aca="false">U30+U59</f>
        <v>19.4305028830936</v>
      </c>
      <c r="V63" s="13" t="n">
        <f aca="false">V30+V59</f>
        <v>21.6017118775457</v>
      </c>
      <c r="W63" s="13" t="n">
        <f aca="false">W30+W59</f>
        <v>23.9269545903523</v>
      </c>
      <c r="X63" s="13" t="n">
        <f aca="false">X30+X59</f>
        <v>26.3796710452452</v>
      </c>
      <c r="Y63" s="13" t="n">
        <f aca="false">Y30+Y59</f>
        <v>28.9172781907065</v>
      </c>
      <c r="Z63" s="13" t="n">
        <f aca="false">Z30+Z59</f>
        <v>31.5080146348246</v>
      </c>
      <c r="AA63" s="13" t="n">
        <f aca="false">AA30+AA59</f>
        <v>34.1954186608262</v>
      </c>
      <c r="AB63" s="13" t="n">
        <f aca="false">AB30+AB59</f>
        <v>36.7588207361134</v>
      </c>
      <c r="AC63" s="13" t="n">
        <f aca="false">AC30+AC59</f>
        <v>39.2611874539856</v>
      </c>
      <c r="AD63" s="13" t="n">
        <f aca="false">AD30+AD59</f>
        <v>41.6532178660013</v>
      </c>
      <c r="AE63" s="13" t="n">
        <f aca="false">AE30+AE59</f>
        <v>43.9099911104873</v>
      </c>
      <c r="AF63" s="13" t="n">
        <f aca="false">AF30+AF59</f>
        <v>45.9929704282762</v>
      </c>
      <c r="AG63" s="13" t="n">
        <f aca="false">AG30+AG59</f>
        <v>47.8877629378968</v>
      </c>
      <c r="AH63" s="13" t="n">
        <f aca="false">AH30+AH59</f>
        <v>49.5716926152633</v>
      </c>
      <c r="AI63" s="13" t="n">
        <f aca="false">AI30+AI59</f>
        <v>51.0291771255943</v>
      </c>
      <c r="AJ63" s="13" t="n">
        <f aca="false">AJ30+AJ59</f>
        <v>52.2680487009725</v>
      </c>
      <c r="AK63" s="13" t="n">
        <f aca="false">AK30+AK59</f>
        <v>53.2844100962179</v>
      </c>
      <c r="AL63" s="13" t="n">
        <f aca="false">AL30+AL59</f>
        <v>54.1046357359561</v>
      </c>
      <c r="AM63" s="13" t="n">
        <f aca="false">AM30+AM59</f>
        <v>54.7492106737234</v>
      </c>
      <c r="AN63" s="13" t="n">
        <f aca="false">AN30+AN59</f>
        <v>55.2367553666154</v>
      </c>
      <c r="AO63" s="13" t="n">
        <f aca="false">AO30+AO59</f>
        <v>55.6434075396361</v>
      </c>
      <c r="AP63" s="13" t="n">
        <f aca="false">AP30+AP59</f>
        <v>59.6411423098811</v>
      </c>
      <c r="AQ63" s="13" t="n">
        <f aca="false">AQ30+AQ59</f>
        <v>62.722099324753</v>
      </c>
      <c r="AR63" s="13" t="n">
        <f aca="false">AR30+AR59</f>
        <v>62.9949674778433</v>
      </c>
      <c r="AS63" s="13" t="n">
        <f aca="false">AS30+AS59</f>
        <v>62.9949674778433</v>
      </c>
      <c r="AT63" s="13" t="n">
        <f aca="false">AT30+AT59</f>
        <v>62.9949674778433</v>
      </c>
      <c r="AU63" s="13" t="n">
        <f aca="false">AU30+AU59</f>
        <v>62.9949674778433</v>
      </c>
      <c r="AV63" s="13" t="n">
        <f aca="false">AV30+AV59</f>
        <v>62.9949674778433</v>
      </c>
      <c r="AW63" s="13" t="n">
        <f aca="false">AW30+AW59</f>
        <v>62.9949674778433</v>
      </c>
      <c r="AX63" s="13" t="n">
        <f aca="false">AX30+AX59</f>
        <v>62.9949674778433</v>
      </c>
      <c r="AY63" s="13" t="n">
        <f aca="false">AY30+AY59</f>
        <v>62.9949674778433</v>
      </c>
      <c r="AZ63" s="13" t="n">
        <f aca="false">AZ30+AZ59</f>
        <v>62.9949674778433</v>
      </c>
      <c r="BA63" s="13" t="n">
        <f aca="false">BA30+BA59</f>
        <v>62.9949674778433</v>
      </c>
      <c r="BB63" s="13" t="n">
        <f aca="false">BB30+BB59</f>
        <v>62.9949674778433</v>
      </c>
      <c r="BC63" s="13" t="n">
        <f aca="false">BC30+BC59</f>
        <v>62.9949674778433</v>
      </c>
      <c r="BD63" s="13" t="n">
        <f aca="false">BD30+BD59</f>
        <v>62.9949674778433</v>
      </c>
      <c r="BE63" s="13" t="n">
        <f aca="false">BE30+BE59</f>
        <v>62.9949674778433</v>
      </c>
      <c r="BF63" s="13" t="n">
        <f aca="false">BF30+BF59</f>
        <v>62.9949674778433</v>
      </c>
      <c r="BG63" s="13" t="n">
        <f aca="false">BG30+BG59</f>
        <v>62.9949674778433</v>
      </c>
      <c r="BH63" s="13" t="n">
        <f aca="false">BH30+BH59</f>
        <v>62.9949674778433</v>
      </c>
      <c r="BI63" s="13" t="n">
        <f aca="false">BI30+BI59</f>
        <v>62.9949674778433</v>
      </c>
      <c r="BJ63" s="13" t="n">
        <f aca="false">BJ30+BJ59</f>
        <v>62.9949674778433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34.0413504347464</v>
      </c>
      <c r="K64" s="13" t="n">
        <f aca="false">K31+K60</f>
        <v>34.7398904319299</v>
      </c>
      <c r="L64" s="13" t="n">
        <f aca="false">L31+L60</f>
        <v>35.6306593379333</v>
      </c>
      <c r="M64" s="13" t="n">
        <f aca="false">M31+M60</f>
        <v>36.8905509370711</v>
      </c>
      <c r="N64" s="13" t="n">
        <f aca="false">N31+N60</f>
        <v>38.7052775790027</v>
      </c>
      <c r="O64" s="13" t="n">
        <f aca="false">O31+O60</f>
        <v>41.2065212220093</v>
      </c>
      <c r="P64" s="13" t="n">
        <f aca="false">P31+P60</f>
        <v>44.470019130677</v>
      </c>
      <c r="Q64" s="13" t="n">
        <f aca="false">Q31+Q60</f>
        <v>48.6126560546897</v>
      </c>
      <c r="R64" s="13" t="n">
        <f aca="false">R31+R60</f>
        <v>53.6316431993426</v>
      </c>
      <c r="S64" s="13" t="n">
        <f aca="false">S31+S60</f>
        <v>59.5428714216964</v>
      </c>
      <c r="T64" s="13" t="n">
        <f aca="false">T31+T60</f>
        <v>66.2891385754113</v>
      </c>
      <c r="U64" s="13" t="n">
        <f aca="false">U31+U60</f>
        <v>73.8359109557555</v>
      </c>
      <c r="V64" s="13" t="n">
        <f aca="false">V31+V60</f>
        <v>82.0865051346738</v>
      </c>
      <c r="W64" s="13" t="n">
        <f aca="false">W31+W60</f>
        <v>90.9224274433389</v>
      </c>
      <c r="X64" s="13" t="n">
        <f aca="false">X31+X60</f>
        <v>100.242749971932</v>
      </c>
      <c r="Y64" s="13" t="n">
        <f aca="false">Y31+Y60</f>
        <v>109.885657124685</v>
      </c>
      <c r="Z64" s="13" t="n">
        <f aca="false">Z31+Z60</f>
        <v>119.730455612333</v>
      </c>
      <c r="AA64" s="13" t="n">
        <f aca="false">AA31+AA60</f>
        <v>129.94259091114</v>
      </c>
      <c r="AB64" s="13" t="n">
        <f aca="false">AB31+AB60</f>
        <v>139.683518797231</v>
      </c>
      <c r="AC64" s="13" t="n">
        <f aca="false">AC31+AC60</f>
        <v>149.192512325145</v>
      </c>
      <c r="AD64" s="13" t="n">
        <f aca="false">AD31+AD60</f>
        <v>158.282227890805</v>
      </c>
      <c r="AE64" s="13" t="n">
        <f aca="false">AE31+AE60</f>
        <v>166.857966219852</v>
      </c>
      <c r="AF64" s="13" t="n">
        <f aca="false">AF31+AF60</f>
        <v>174.77328762745</v>
      </c>
      <c r="AG64" s="13" t="n">
        <f aca="false">AG31+AG60</f>
        <v>181.973499164008</v>
      </c>
      <c r="AH64" s="13" t="n">
        <f aca="false">AH31+AH60</f>
        <v>188.372431938001</v>
      </c>
      <c r="AI64" s="13" t="n">
        <f aca="false">AI31+AI60</f>
        <v>193.910873077258</v>
      </c>
      <c r="AJ64" s="13" t="n">
        <f aca="false">AJ31+AJ60</f>
        <v>198.618585063696</v>
      </c>
      <c r="AK64" s="13" t="n">
        <f aca="false">AK31+AK60</f>
        <v>202.480758365628</v>
      </c>
      <c r="AL64" s="13" t="n">
        <f aca="false">AL31+AL60</f>
        <v>205.597615796633</v>
      </c>
      <c r="AM64" s="13" t="n">
        <f aca="false">AM31+AM60</f>
        <v>208.047000560149</v>
      </c>
      <c r="AN64" s="13" t="n">
        <f aca="false">AN31+AN60</f>
        <v>209.899670393138</v>
      </c>
      <c r="AO64" s="13" t="n">
        <f aca="false">AO31+AO60</f>
        <v>211.444948650617</v>
      </c>
      <c r="AP64" s="13" t="n">
        <f aca="false">AP31+AP60</f>
        <v>226.636340777548</v>
      </c>
      <c r="AQ64" s="13" t="n">
        <f aca="false">AQ31+AQ60</f>
        <v>238.343977434061</v>
      </c>
      <c r="AR64" s="13" t="n">
        <f aca="false">AR31+AR60</f>
        <v>239.380876415805</v>
      </c>
      <c r="AS64" s="13" t="n">
        <f aca="false">AS31+AS60</f>
        <v>239.380876415805</v>
      </c>
      <c r="AT64" s="13" t="n">
        <f aca="false">AT31+AT60</f>
        <v>239.380876415805</v>
      </c>
      <c r="AU64" s="13" t="n">
        <f aca="false">AU31+AU60</f>
        <v>239.380876415805</v>
      </c>
      <c r="AV64" s="13" t="n">
        <f aca="false">AV31+AV60</f>
        <v>239.380876415805</v>
      </c>
      <c r="AW64" s="13" t="n">
        <f aca="false">AW31+AW60</f>
        <v>239.380876415805</v>
      </c>
      <c r="AX64" s="13" t="n">
        <f aca="false">AX31+AX60</f>
        <v>239.380876415805</v>
      </c>
      <c r="AY64" s="13" t="n">
        <f aca="false">AY31+AY60</f>
        <v>239.380876415805</v>
      </c>
      <c r="AZ64" s="13" t="n">
        <f aca="false">AZ31+AZ60</f>
        <v>239.380876415805</v>
      </c>
      <c r="BA64" s="13" t="n">
        <f aca="false">BA31+BA60</f>
        <v>239.380876415805</v>
      </c>
      <c r="BB64" s="13" t="n">
        <f aca="false">BB31+BB60</f>
        <v>239.380876415805</v>
      </c>
      <c r="BC64" s="13" t="n">
        <f aca="false">BC31+BC60</f>
        <v>239.380876415805</v>
      </c>
      <c r="BD64" s="13" t="n">
        <f aca="false">BD31+BD60</f>
        <v>239.380876415805</v>
      </c>
      <c r="BE64" s="13" t="n">
        <f aca="false">BE31+BE60</f>
        <v>239.380876415805</v>
      </c>
      <c r="BF64" s="13" t="n">
        <f aca="false">BF31+BF60</f>
        <v>239.380876415805</v>
      </c>
      <c r="BG64" s="13" t="n">
        <f aca="false">BG31+BG60</f>
        <v>239.380876415805</v>
      </c>
      <c r="BH64" s="13" t="n">
        <f aca="false">BH31+BH60</f>
        <v>239.380876415805</v>
      </c>
      <c r="BI64" s="13" t="n">
        <f aca="false">BI31+BI60</f>
        <v>239.380876415805</v>
      </c>
      <c r="BJ64" s="13" t="n">
        <f aca="false">BJ31+BJ60</f>
        <v>239.380876415805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1.63349334059149E-011</v>
      </c>
      <c r="AS65" s="13" t="n">
        <f aca="false">AS32+AS55</f>
        <v>1.63349334059149E-011</v>
      </c>
      <c r="AT65" s="13" t="n">
        <f aca="false">AT32+AT55</f>
        <v>1.63349334059149E-011</v>
      </c>
      <c r="AU65" s="13" t="n">
        <f aca="false">AU32+AU55</f>
        <v>1.63349334059149E-011</v>
      </c>
      <c r="AV65" s="13" t="n">
        <f aca="false">AV32+AV55</f>
        <v>1.63349334059149E-011</v>
      </c>
      <c r="AW65" s="13" t="n">
        <f aca="false">AW32+AW55</f>
        <v>1.63349334059149E-011</v>
      </c>
      <c r="AX65" s="13" t="n">
        <f aca="false">AX32+AX55</f>
        <v>1.63349334059149E-011</v>
      </c>
      <c r="AY65" s="13" t="n">
        <f aca="false">AY32+AY55</f>
        <v>1.63349334059149E-011</v>
      </c>
      <c r="AZ65" s="13" t="n">
        <f aca="false">AZ32+AZ55</f>
        <v>1.63349334059149E-011</v>
      </c>
      <c r="BA65" s="13" t="n">
        <f aca="false">BA32+BA55</f>
        <v>1.63349334059149E-011</v>
      </c>
      <c r="BB65" s="13" t="n">
        <f aca="false">BB32+BB55</f>
        <v>1.63349334059149E-011</v>
      </c>
      <c r="BC65" s="13" t="n">
        <f aca="false">BC32+BC55</f>
        <v>1.63349334059149E-011</v>
      </c>
      <c r="BD65" s="13" t="n">
        <f aca="false">BD32+BD55</f>
        <v>1.63349334059149E-011</v>
      </c>
      <c r="BE65" s="13" t="n">
        <f aca="false">BE32+BE55</f>
        <v>1.63349334059149E-011</v>
      </c>
      <c r="BF65" s="13" t="n">
        <f aca="false">BF32+BF55</f>
        <v>1.63349334059149E-011</v>
      </c>
      <c r="BG65" s="13" t="n">
        <f aca="false">BG32+BG55</f>
        <v>1.63349334059149E-011</v>
      </c>
      <c r="BH65" s="13" t="n">
        <f aca="false">BH32+BH55</f>
        <v>1.63349334059149E-011</v>
      </c>
      <c r="BI65" s="13" t="n">
        <f aca="false">BI32+BI55</f>
        <v>1.63349334059149E-011</v>
      </c>
      <c r="BJ65" s="13" t="n">
        <f aca="false">BJ32+BJ55</f>
        <v>1.63349334059149E-011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224.602219589145</v>
      </c>
      <c r="J67" s="13" t="n">
        <f aca="false">J50-J47+J56</f>
        <v>31.9397396313942</v>
      </c>
      <c r="K67" s="13" t="n">
        <f aca="false">K50-K47+K56</f>
        <v>0.655414234371347</v>
      </c>
      <c r="L67" s="13" t="n">
        <f aca="false">L50-L47+L56</f>
        <v>0.835775507320978</v>
      </c>
      <c r="M67" s="13" t="n">
        <f aca="false">M50-M47+M56</f>
        <v>1.18210967327457</v>
      </c>
      <c r="N67" s="13" t="n">
        <f aca="false">N50-N47+N56</f>
        <v>1.70269086582087</v>
      </c>
      <c r="O67" s="13" t="n">
        <f aca="false">O50-O47+O56</f>
        <v>2.34682436777732</v>
      </c>
      <c r="P67" s="13" t="n">
        <f aca="false">P50-P47+P56</f>
        <v>3.06201934292396</v>
      </c>
      <c r="Q67" s="13" t="n">
        <f aca="false">Q50-Q47+Q56</f>
        <v>3.88688295412954</v>
      </c>
      <c r="R67" s="13" t="n">
        <f aca="false">R50-R47+R56</f>
        <v>4.70912994244503</v>
      </c>
      <c r="S67" s="13" t="n">
        <f aca="false">S50-S47+S56</f>
        <v>5.54628673400146</v>
      </c>
      <c r="T67" s="13" t="n">
        <f aca="false">T50-T47+T56</f>
        <v>6.32977286804537</v>
      </c>
      <c r="U67" s="13" t="n">
        <f aca="false">U50-U47+U56</f>
        <v>7.08085730463728</v>
      </c>
      <c r="V67" s="13" t="n">
        <f aca="false">V50-V47+V56</f>
        <v>7.7412272578343</v>
      </c>
      <c r="W67" s="13" t="n">
        <f aca="false">W50-W47+W56</f>
        <v>8.29041898566771</v>
      </c>
      <c r="X67" s="13" t="n">
        <f aca="false">X50-X47+X56</f>
        <v>8.74491378990728</v>
      </c>
      <c r="Y67" s="13" t="n">
        <f aca="false">Y50-Y47+Y56</f>
        <v>9.04758300758421</v>
      </c>
      <c r="Z67" s="13" t="n">
        <f aca="false">Z50-Z47+Z56</f>
        <v>9.23701017742518</v>
      </c>
      <c r="AA67" s="13" t="n">
        <f aca="false">AA50-AA47+AA56</f>
        <v>9.58166871639481</v>
      </c>
      <c r="AB67" s="13" t="n">
        <f aca="false">AB50-AB47+AB56</f>
        <v>9.13955223504797</v>
      </c>
      <c r="AC67" s="13" t="n">
        <f aca="false">AC50-AC47+AC56</f>
        <v>8.92193680801217</v>
      </c>
      <c r="AD67" s="13" t="n">
        <f aca="false">AD50-AD47+AD56</f>
        <v>8.52854380871634</v>
      </c>
      <c r="AE67" s="13" t="n">
        <f aca="false">AE50-AE47+AE56</f>
        <v>8.04629798402875</v>
      </c>
      <c r="AF67" s="13" t="n">
        <f aca="false">AF50-AF47+AF56</f>
        <v>7.42665322111993</v>
      </c>
      <c r="AG67" s="13" t="n">
        <f aca="false">AG50-AG47+AG56</f>
        <v>6.75569208717094</v>
      </c>
      <c r="AH67" s="13" t="n">
        <f aca="false">AH50-AH47+AH56</f>
        <v>6.00388187042989</v>
      </c>
      <c r="AI67" s="13" t="n">
        <f aca="false">AI50-AI47+AI56</f>
        <v>5.19651440652399</v>
      </c>
      <c r="AJ67" s="13" t="n">
        <f aca="false">AJ50-AJ47+AJ56</f>
        <v>4.41707197822934</v>
      </c>
      <c r="AK67" s="13" t="n">
        <f aca="false">AK50-AK47+AK56</f>
        <v>3.62373431428645</v>
      </c>
      <c r="AL67" s="13" t="n">
        <f aca="false">AL50-AL47+AL56</f>
        <v>2.92443200822246</v>
      </c>
      <c r="AM67" s="13" t="n">
        <f aca="false">AM50-AM47+AM56</f>
        <v>2.2981670998557</v>
      </c>
      <c r="AN67" s="13" t="n">
        <f aca="false">AN50-AN47+AN56</f>
        <v>1.73829155814645</v>
      </c>
      <c r="AO67" s="13" t="n">
        <f aca="false">AO50-AO47+AO56</f>
        <v>1.44987741589551</v>
      </c>
      <c r="AP67" s="13" t="n">
        <f aca="false">AP50-AP47+AP56</f>
        <v>14.2535211728066</v>
      </c>
      <c r="AQ67" s="13" t="n">
        <f aca="false">AQ50-AQ47+AQ56</f>
        <v>10.9848423089092</v>
      </c>
      <c r="AR67" s="13" t="n">
        <f aca="false">AR50-AR47+AR56</f>
        <v>0.972883950788176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210.402219589145</v>
      </c>
      <c r="J68" s="13" t="n">
        <f aca="false">J67-IF(Construction!J8=1,Inputs!$F$68,0)</f>
        <v>17.7397396313942</v>
      </c>
      <c r="K68" s="13" t="n">
        <f aca="false">K67-IF(Construction!K8=1,Inputs!$F$68,0)</f>
        <v>0.655414234371347</v>
      </c>
      <c r="L68" s="13" t="n">
        <f aca="false">L67-IF(Construction!L8=1,Inputs!$F$68,0)</f>
        <v>0.835775507320978</v>
      </c>
      <c r="M68" s="13" t="n">
        <f aca="false">M67-IF(Construction!M8=1,Inputs!$F$68,0)</f>
        <v>1.18210967327457</v>
      </c>
      <c r="N68" s="13" t="n">
        <f aca="false">N67-IF(Construction!N8=1,Inputs!$F$68,0)</f>
        <v>1.70269086582087</v>
      </c>
      <c r="O68" s="13" t="n">
        <f aca="false">O67-IF(Construction!O8=1,Inputs!$F$68,0)</f>
        <v>2.34682436777732</v>
      </c>
      <c r="P68" s="13" t="n">
        <f aca="false">P67-IF(Construction!P8=1,Inputs!$F$68,0)</f>
        <v>3.06201934292396</v>
      </c>
      <c r="Q68" s="13" t="n">
        <f aca="false">Q67-IF(Construction!Q8=1,Inputs!$F$68,0)</f>
        <v>3.88688295412954</v>
      </c>
      <c r="R68" s="13" t="n">
        <f aca="false">R67-IF(Construction!R8=1,Inputs!$F$68,0)</f>
        <v>4.70912994244503</v>
      </c>
      <c r="S68" s="13" t="n">
        <f aca="false">S67-IF(Construction!S8=1,Inputs!$F$68,0)</f>
        <v>5.54628673400146</v>
      </c>
      <c r="T68" s="13" t="n">
        <f aca="false">T67-IF(Construction!T8=1,Inputs!$F$68,0)</f>
        <v>6.32977286804537</v>
      </c>
      <c r="U68" s="13" t="n">
        <f aca="false">U67-IF(Construction!U8=1,Inputs!$F$68,0)</f>
        <v>7.08085730463728</v>
      </c>
      <c r="V68" s="13" t="n">
        <f aca="false">V67-IF(Construction!V8=1,Inputs!$F$68,0)</f>
        <v>7.7412272578343</v>
      </c>
      <c r="W68" s="13" t="n">
        <f aca="false">W67-IF(Construction!W8=1,Inputs!$F$68,0)</f>
        <v>8.29041898566771</v>
      </c>
      <c r="X68" s="13" t="n">
        <f aca="false">X67-IF(Construction!X8=1,Inputs!$F$68,0)</f>
        <v>8.74491378990728</v>
      </c>
      <c r="Y68" s="13" t="n">
        <f aca="false">Y67-IF(Construction!Y8=1,Inputs!$F$68,0)</f>
        <v>9.04758300758421</v>
      </c>
      <c r="Z68" s="13" t="n">
        <f aca="false">Z67-IF(Construction!Z8=1,Inputs!$F$68,0)</f>
        <v>9.23701017742518</v>
      </c>
      <c r="AA68" s="13" t="n">
        <f aca="false">AA67-IF(Construction!AA8=1,Inputs!$F$68,0)</f>
        <v>9.58166871639481</v>
      </c>
      <c r="AB68" s="13" t="n">
        <f aca="false">AB67-IF(Construction!AB8=1,Inputs!$F$68,0)</f>
        <v>9.13955223504797</v>
      </c>
      <c r="AC68" s="13" t="n">
        <f aca="false">AC67-IF(Construction!AC8=1,Inputs!$F$68,0)</f>
        <v>8.92193680801217</v>
      </c>
      <c r="AD68" s="13" t="n">
        <f aca="false">AD67-IF(Construction!AD8=1,Inputs!$F$68,0)</f>
        <v>8.52854380871634</v>
      </c>
      <c r="AE68" s="13" t="n">
        <f aca="false">AE67-IF(Construction!AE8=1,Inputs!$F$68,0)</f>
        <v>8.04629798402875</v>
      </c>
      <c r="AF68" s="13" t="n">
        <f aca="false">AF67-IF(Construction!AF8=1,Inputs!$F$68,0)</f>
        <v>7.42665322111993</v>
      </c>
      <c r="AG68" s="13" t="n">
        <f aca="false">AG67-IF(Construction!AG8=1,Inputs!$F$68,0)</f>
        <v>6.75569208717094</v>
      </c>
      <c r="AH68" s="13" t="n">
        <f aca="false">AH67-IF(Construction!AH8=1,Inputs!$F$68,0)</f>
        <v>6.00388187042989</v>
      </c>
      <c r="AI68" s="13" t="n">
        <f aca="false">AI67-IF(Construction!AI8=1,Inputs!$F$68,0)</f>
        <v>5.19651440652399</v>
      </c>
      <c r="AJ68" s="13" t="n">
        <f aca="false">AJ67-IF(Construction!AJ8=1,Inputs!$F$68,0)</f>
        <v>4.41707197822934</v>
      </c>
      <c r="AK68" s="13" t="n">
        <f aca="false">AK67-IF(Construction!AK8=1,Inputs!$F$68,0)</f>
        <v>3.62373431428645</v>
      </c>
      <c r="AL68" s="13" t="n">
        <f aca="false">AL67-IF(Construction!AL8=1,Inputs!$F$68,0)</f>
        <v>2.92443200822246</v>
      </c>
      <c r="AM68" s="13" t="n">
        <f aca="false">AM67-IF(Construction!AM8=1,Inputs!$F$68,0)</f>
        <v>2.2981670998557</v>
      </c>
      <c r="AN68" s="13" t="n">
        <f aca="false">AN67-IF(Construction!AN8=1,Inputs!$F$68,0)</f>
        <v>1.73829155814645</v>
      </c>
      <c r="AO68" s="13" t="n">
        <f aca="false">AO67-IF(Construction!AO8=1,Inputs!$F$68,0)</f>
        <v>1.44987741589551</v>
      </c>
      <c r="AP68" s="13" t="n">
        <f aca="false">AP67-IF(Construction!AP8=1,Inputs!$F$68,0)</f>
        <v>14.2535211728066</v>
      </c>
      <c r="AQ68" s="13" t="n">
        <f aca="false">AQ67-IF(Construction!AQ8=1,Inputs!$F$68,0)</f>
        <v>10.9848423089092</v>
      </c>
      <c r="AR68" s="13" t="n">
        <f aca="false">AR67-IF(Construction!AR8=1,Inputs!$F$68,0)</f>
        <v>0.972883950788176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44.920443917829</v>
      </c>
      <c r="J69" s="13" t="n">
        <f aca="false">(1-Inputs!$F$53)*J67</f>
        <v>6.38794792627885</v>
      </c>
      <c r="K69" s="13" t="n">
        <f aca="false">(1-Inputs!$F$53)*K67</f>
        <v>0.131082846874269</v>
      </c>
      <c r="L69" s="13" t="n">
        <f aca="false">(1-Inputs!$F$53)*L67</f>
        <v>0.167155101464196</v>
      </c>
      <c r="M69" s="13" t="n">
        <f aca="false">(1-Inputs!$F$53)*M67</f>
        <v>0.236421934654914</v>
      </c>
      <c r="N69" s="13" t="n">
        <f aca="false">(1-Inputs!$F$53)*N67</f>
        <v>0.340538173164175</v>
      </c>
      <c r="O69" s="13" t="n">
        <f aca="false">(1-Inputs!$F$53)*O67</f>
        <v>0.469364873555464</v>
      </c>
      <c r="P69" s="13" t="n">
        <f aca="false">(1-Inputs!$F$53)*P67</f>
        <v>0.612403868584792</v>
      </c>
      <c r="Q69" s="13" t="n">
        <f aca="false">(1-Inputs!$F$53)*Q67</f>
        <v>0.777376590825907</v>
      </c>
      <c r="R69" s="13" t="n">
        <f aca="false">(1-Inputs!$F$53)*R67</f>
        <v>0.941825988489005</v>
      </c>
      <c r="S69" s="13" t="n">
        <f aca="false">(1-Inputs!$F$53)*S67</f>
        <v>1.10925734680029</v>
      </c>
      <c r="T69" s="13" t="n">
        <f aca="false">(1-Inputs!$F$53)*T67</f>
        <v>1.26595457360907</v>
      </c>
      <c r="U69" s="13" t="n">
        <f aca="false">(1-Inputs!$F$53)*U67</f>
        <v>1.41617146092746</v>
      </c>
      <c r="V69" s="13" t="n">
        <f aca="false">(1-Inputs!$F$53)*V67</f>
        <v>1.54824545156686</v>
      </c>
      <c r="W69" s="13" t="n">
        <f aca="false">(1-Inputs!$F$53)*W67</f>
        <v>1.65808379713354</v>
      </c>
      <c r="X69" s="13" t="n">
        <f aca="false">(1-Inputs!$F$53)*X67</f>
        <v>1.74898275798146</v>
      </c>
      <c r="Y69" s="13" t="n">
        <f aca="false">(1-Inputs!$F$53)*Y67</f>
        <v>1.80951660151684</v>
      </c>
      <c r="Z69" s="13" t="n">
        <f aca="false">(1-Inputs!$F$53)*Z67</f>
        <v>1.84740203548504</v>
      </c>
      <c r="AA69" s="13" t="n">
        <f aca="false">(1-Inputs!$F$53)*AA67</f>
        <v>1.91633374327896</v>
      </c>
      <c r="AB69" s="13" t="n">
        <f aca="false">(1-Inputs!$F$53)*AB67</f>
        <v>1.82791044700959</v>
      </c>
      <c r="AC69" s="13" t="n">
        <f aca="false">(1-Inputs!$F$53)*AC67</f>
        <v>1.78438736160243</v>
      </c>
      <c r="AD69" s="13" t="n">
        <f aca="false">(1-Inputs!$F$53)*AD67</f>
        <v>1.70570876174327</v>
      </c>
      <c r="AE69" s="13" t="n">
        <f aca="false">(1-Inputs!$F$53)*AE67</f>
        <v>1.60925959680575</v>
      </c>
      <c r="AF69" s="13" t="n">
        <f aca="false">(1-Inputs!$F$53)*AF67</f>
        <v>1.48533064422399</v>
      </c>
      <c r="AG69" s="13" t="n">
        <f aca="false">(1-Inputs!$F$53)*AG67</f>
        <v>1.35113841743419</v>
      </c>
      <c r="AH69" s="13" t="n">
        <f aca="false">(1-Inputs!$F$53)*AH67</f>
        <v>1.20077637408598</v>
      </c>
      <c r="AI69" s="13" t="n">
        <f aca="false">(1-Inputs!$F$53)*AI67</f>
        <v>1.0393028813048</v>
      </c>
      <c r="AJ69" s="13" t="n">
        <f aca="false">(1-Inputs!$F$53)*AJ67</f>
        <v>0.883414395645867</v>
      </c>
      <c r="AK69" s="13" t="n">
        <f aca="false">(1-Inputs!$F$53)*AK67</f>
        <v>0.72474686285729</v>
      </c>
      <c r="AL69" s="13" t="n">
        <f aca="false">(1-Inputs!$F$53)*AL67</f>
        <v>0.584886401644491</v>
      </c>
      <c r="AM69" s="13" t="n">
        <f aca="false">(1-Inputs!$F$53)*AM67</f>
        <v>0.45963341997114</v>
      </c>
      <c r="AN69" s="13" t="n">
        <f aca="false">(1-Inputs!$F$53)*AN67</f>
        <v>0.347658311629289</v>
      </c>
      <c r="AO69" s="13" t="n">
        <f aca="false">(1-Inputs!$F$53)*AO67</f>
        <v>0.289975483179101</v>
      </c>
      <c r="AP69" s="13" t="n">
        <f aca="false">(1-Inputs!$F$53)*AP67</f>
        <v>2.85070423456132</v>
      </c>
      <c r="AQ69" s="13" t="n">
        <f aca="false">(1-Inputs!$F$53)*AQ67</f>
        <v>2.19696846178183</v>
      </c>
      <c r="AR69" s="13" t="n">
        <f aca="false">(1-Inputs!$F$53)*AR67</f>
        <v>0.194576790157635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179.681775671316</v>
      </c>
      <c r="J70" s="13" t="n">
        <f aca="false">Inputs!$F$53*J67</f>
        <v>25.5517917051154</v>
      </c>
      <c r="K70" s="13" t="n">
        <f aca="false">Inputs!$F$53*K67</f>
        <v>0.524331387497077</v>
      </c>
      <c r="L70" s="13" t="n">
        <f aca="false">Inputs!$F$53*L67</f>
        <v>0.668620405856782</v>
      </c>
      <c r="M70" s="13" t="n">
        <f aca="false">Inputs!$F$53*M67</f>
        <v>0.945687738619655</v>
      </c>
      <c r="N70" s="13" t="n">
        <f aca="false">Inputs!$F$53*N67</f>
        <v>1.3621526926567</v>
      </c>
      <c r="O70" s="13" t="n">
        <f aca="false">Inputs!$F$53*O67</f>
        <v>1.87745949422186</v>
      </c>
      <c r="P70" s="13" t="n">
        <f aca="false">Inputs!$F$53*P67</f>
        <v>2.44961547433917</v>
      </c>
      <c r="Q70" s="13" t="n">
        <f aca="false">Inputs!$F$53*Q67</f>
        <v>3.10950636330363</v>
      </c>
      <c r="R70" s="13" t="n">
        <f aca="false">Inputs!$F$53*R67</f>
        <v>3.76730395395602</v>
      </c>
      <c r="S70" s="13" t="n">
        <f aca="false">Inputs!$F$53*S67</f>
        <v>4.43702938720117</v>
      </c>
      <c r="T70" s="13" t="n">
        <f aca="false">Inputs!$F$53*T67</f>
        <v>5.06381829443629</v>
      </c>
      <c r="U70" s="13" t="n">
        <f aca="false">Inputs!$F$53*U67</f>
        <v>5.66468584370983</v>
      </c>
      <c r="V70" s="13" t="n">
        <f aca="false">Inputs!$F$53*V67</f>
        <v>6.19298180626744</v>
      </c>
      <c r="W70" s="13" t="n">
        <f aca="false">Inputs!$F$53*W67</f>
        <v>6.63233518853417</v>
      </c>
      <c r="X70" s="13" t="n">
        <f aca="false">Inputs!$F$53*X67</f>
        <v>6.99593103192582</v>
      </c>
      <c r="Y70" s="13" t="n">
        <f aca="false">Inputs!$F$53*Y67</f>
        <v>7.23806640606736</v>
      </c>
      <c r="Z70" s="13" t="n">
        <f aca="false">Inputs!$F$53*Z67</f>
        <v>7.38960814194015</v>
      </c>
      <c r="AA70" s="13" t="n">
        <f aca="false">Inputs!$F$53*AA67</f>
        <v>7.66533497311585</v>
      </c>
      <c r="AB70" s="13" t="n">
        <f aca="false">Inputs!$F$53*AB67</f>
        <v>7.31164178803838</v>
      </c>
      <c r="AC70" s="13" t="n">
        <f aca="false">Inputs!$F$53*AC67</f>
        <v>7.13754944640974</v>
      </c>
      <c r="AD70" s="13" t="n">
        <f aca="false">Inputs!$F$53*AD67</f>
        <v>6.82283504697307</v>
      </c>
      <c r="AE70" s="13" t="n">
        <f aca="false">Inputs!$F$53*AE67</f>
        <v>6.437038387223</v>
      </c>
      <c r="AF70" s="13" t="n">
        <f aca="false">Inputs!$F$53*AF67</f>
        <v>5.94132257689595</v>
      </c>
      <c r="AG70" s="13" t="n">
        <f aca="false">Inputs!$F$53*AG67</f>
        <v>5.40455366973675</v>
      </c>
      <c r="AH70" s="13" t="n">
        <f aca="false">Inputs!$F$53*AH67</f>
        <v>4.80310549634392</v>
      </c>
      <c r="AI70" s="13" t="n">
        <f aca="false">Inputs!$F$53*AI67</f>
        <v>4.15721152521919</v>
      </c>
      <c r="AJ70" s="13" t="n">
        <f aca="false">Inputs!$F$53*AJ67</f>
        <v>3.53365758258347</v>
      </c>
      <c r="AK70" s="13" t="n">
        <f aca="false">Inputs!$F$53*AK67</f>
        <v>2.89898745142916</v>
      </c>
      <c r="AL70" s="13" t="n">
        <f aca="false">Inputs!$F$53*AL67</f>
        <v>2.33954560657797</v>
      </c>
      <c r="AM70" s="13" t="n">
        <f aca="false">Inputs!$F$53*AM67</f>
        <v>1.83853367988456</v>
      </c>
      <c r="AN70" s="13" t="n">
        <f aca="false">Inputs!$F$53*AN67</f>
        <v>1.39063324651716</v>
      </c>
      <c r="AO70" s="13" t="n">
        <f aca="false">Inputs!$F$53*AO67</f>
        <v>1.15990193271641</v>
      </c>
      <c r="AP70" s="13" t="n">
        <f aca="false">Inputs!$F$53*AP67</f>
        <v>11.4028169382453</v>
      </c>
      <c r="AQ70" s="13" t="n">
        <f aca="false">Inputs!$F$53*AQ67</f>
        <v>8.78787384712734</v>
      </c>
      <c r="AR70" s="13" t="n">
        <f aca="false">Inputs!$F$53*AR67</f>
        <v>0.778307160630541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24.4965650311781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0.199513990026244</v>
      </c>
      <c r="L71" s="13" t="n">
        <f aca="false">IF(Construction!L8&lt;=Time!$F$11,K72*Inputs!$F$104/100*Construction!L11/Inputs!$F$248,0)</f>
        <v>0.212004797831154</v>
      </c>
      <c r="M71" s="13" t="n">
        <f aca="false">IF(Construction!M8&lt;=Time!$F$11,L72*Inputs!$F$104/100*Construction!M11/Inputs!$F$248,0)</f>
        <v>0.212042047989126</v>
      </c>
      <c r="N71" s="13" t="n">
        <f aca="false">IF(Construction!N8&lt;=Time!$F$11,M72*Inputs!$F$104/100*Construction!N11/Inputs!$F$248,0)</f>
        <v>0.228451251109027</v>
      </c>
      <c r="O71" s="13" t="n">
        <f aca="false">IF(Construction!O8&lt;=Time!$F$11,N72*Inputs!$F$104/100*Construction!O11/Inputs!$F$248,0)</f>
        <v>0.241285028134753</v>
      </c>
      <c r="P71" s="13" t="n">
        <f aca="false">IF(Construction!P8&lt;=Time!$F$11,O72*Inputs!$F$104/100*Construction!P11/Inputs!$F$248,0)</f>
        <v>0.233375577627106</v>
      </c>
      <c r="Q71" s="13" t="n">
        <f aca="false">IF(Construction!Q8&lt;=Time!$F$11,P72*Inputs!$F$104/100*Construction!Q11/Inputs!$F$248,0)</f>
        <v>0.280027798727578</v>
      </c>
      <c r="R71" s="13" t="n">
        <f aca="false">IF(Construction!R8&lt;=Time!$F$11,Q72*Inputs!$F$104/100*Construction!R11/Inputs!$F$248,0)</f>
        <v>0.297460869578651</v>
      </c>
      <c r="S71" s="13" t="n">
        <f aca="false">IF(Construction!S8&lt;=Time!$F$11,R72*Inputs!$F$104/100*Construction!S11/Inputs!$F$248,0)</f>
        <v>0.340172759035774</v>
      </c>
      <c r="T71" s="13" t="n">
        <f aca="false">IF(Construction!T8&lt;=Time!$F$11,S72*Inputs!$F$104/100*Construction!T11/Inputs!$F$248,0)</f>
        <v>0.366500885643991</v>
      </c>
      <c r="U71" s="13" t="n">
        <f aca="false">IF(Construction!U8&lt;=Time!$F$11,T72*Inputs!$F$104/100*Construction!U11/Inputs!$F$248,0)</f>
        <v>0.422532074942635</v>
      </c>
      <c r="V71" s="13" t="n">
        <f aca="false">IF(Construction!V8&lt;=Time!$F$11,U72*Inputs!$F$104/100*Construction!V11/Inputs!$F$248,0)</f>
        <v>0.471646751026009</v>
      </c>
      <c r="W71" s="13" t="n">
        <f aca="false">IF(Construction!W8&lt;=Time!$F$11,V72*Inputs!$F$104/100*Construction!W11/Inputs!$F$248,0)</f>
        <v>0.508471220218442</v>
      </c>
      <c r="X71" s="13" t="n">
        <f aca="false">IF(Construction!X8&lt;=Time!$F$11,W72*Inputs!$F$104/100*Construction!X11/Inputs!$F$248,0)</f>
        <v>0.583035808491777</v>
      </c>
      <c r="Y71" s="13" t="n">
        <f aca="false">IF(Construction!Y8&lt;=Time!$F$11,X72*Inputs!$F$104/100*Construction!Y11/Inputs!$F$248,0)</f>
        <v>0.623406435999634</v>
      </c>
      <c r="Z71" s="13" t="n">
        <f aca="false">IF(Construction!Z8&lt;=Time!$F$11,Y72*Inputs!$F$104/100*Construction!Z11/Inputs!$F$248,0)</f>
        <v>0.707616890313468</v>
      </c>
      <c r="AA71" s="13" t="n">
        <f aca="false">IF(Construction!AA8&lt;=Time!$F$11,Z72*Inputs!$F$104/100*Construction!AA11/Inputs!$F$248,0)</f>
        <v>0.772949295025761</v>
      </c>
      <c r="AB71" s="13" t="n">
        <f aca="false">IF(Construction!AB8&lt;=Time!$F$11,AA72*Inputs!$F$104/100*Construction!AB11/Inputs!$F$248,0)</f>
        <v>0.786773305856678</v>
      </c>
      <c r="AC71" s="13" t="n">
        <f aca="false">IF(Construction!AC8&lt;=Time!$F$11,AB72*Inputs!$F$104/100*Construction!AC11/Inputs!$F$248,0)</f>
        <v>0.906375540563289</v>
      </c>
      <c r="AD71" s="13" t="n">
        <f aca="false">IF(Construction!AD8&lt;=Time!$F$11,AC72*Inputs!$F$104/100*Construction!AD11/Inputs!$F$248,0)</f>
        <v>0.939946349250295</v>
      </c>
      <c r="AE71" s="13" t="n">
        <f aca="false">IF(Construction!AE8&lt;=Time!$F$11,AD72*Inputs!$F$104/100*Construction!AE11/Inputs!$F$248,0)</f>
        <v>1.033911842751</v>
      </c>
      <c r="AF71" s="13" t="n">
        <f aca="false">IF(Construction!AF8&lt;=Time!$F$11,AE72*Inputs!$F$104/100*Construction!AF11/Inputs!$F$248,0)</f>
        <v>1.05889466468773</v>
      </c>
      <c r="AG71" s="13" t="n">
        <f aca="false">IF(Construction!AG8&lt;=Time!$F$11,AF72*Inputs!$F$104/100*Construction!AG11/Inputs!$F$248,0)</f>
        <v>1.15067235837767</v>
      </c>
      <c r="AH71" s="13" t="n">
        <f aca="false">IF(Construction!AH8&lt;=Time!$F$11,AG72*Inputs!$F$104/100*Construction!AH11/Inputs!$F$248,0)</f>
        <v>1.20356315468671</v>
      </c>
      <c r="AI71" s="13" t="n">
        <f aca="false">IF(Construction!AI8&lt;=Time!$F$11,AH72*Inputs!$F$104/100*Construction!AI11/Inputs!$F$248,0)</f>
        <v>1.21163992215095</v>
      </c>
      <c r="AJ71" s="13" t="n">
        <f aca="false">IF(Construction!AJ8&lt;=Time!$F$11,AI72*Inputs!$F$104/100*Construction!AJ11/Inputs!$F$248,0)</f>
        <v>1.29534646068613</v>
      </c>
      <c r="AK71" s="13" t="n">
        <f aca="false">IF(Construction!AK8&lt;=Time!$F$11,AJ72*Inputs!$F$104/100*Construction!AK11/Inputs!$F$248,0)</f>
        <v>1.29126701296827</v>
      </c>
      <c r="AL71" s="13" t="n">
        <f aca="false">IF(Construction!AL8&lt;=Time!$F$11,AK72*Inputs!$F$104/100*Construction!AL11/Inputs!$F$248,0)</f>
        <v>1.3681182861795</v>
      </c>
      <c r="AM71" s="13" t="n">
        <f aca="false">IF(Construction!AM8&lt;=Time!$F$11,AL72*Inputs!$F$104/100*Construction!AM11/Inputs!$F$248,0)</f>
        <v>1.39803354690326</v>
      </c>
      <c r="AN71" s="13" t="n">
        <f aca="false">IF(Construction!AN8&lt;=Time!$F$11,AM72*Inputs!$F$104/100*Construction!AN11/Inputs!$F$248,0)</f>
        <v>1.28632701572004</v>
      </c>
      <c r="AO71" s="13" t="n">
        <f aca="false">IF(Construction!AO8&lt;=Time!$F$11,AN72*Inputs!$F$104/100*Construction!AO11/Inputs!$F$248,0)</f>
        <v>1.44574680294484</v>
      </c>
      <c r="AP71" s="13" t="n">
        <f aca="false">IF(Construction!AP8&lt;=Time!$F$11,AO72*Inputs!$F$104/100*Construction!AP11/Inputs!$F$248,0)</f>
        <v>1.4194552857306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25.5517917051154</v>
      </c>
      <c r="K72" s="13" t="n">
        <f aca="false">J72+K71+K70</f>
        <v>26.2756370826387</v>
      </c>
      <c r="L72" s="13" t="n">
        <f aca="false">K72+L71+L70</f>
        <v>27.1562622863267</v>
      </c>
      <c r="M72" s="13" t="n">
        <f aca="false">L72+M71+M70</f>
        <v>28.3139920729354</v>
      </c>
      <c r="N72" s="13" t="n">
        <f aca="false">M72+N71+N70</f>
        <v>29.9045960167012</v>
      </c>
      <c r="O72" s="13" t="n">
        <f aca="false">N72+O71+O70</f>
        <v>32.0233405390578</v>
      </c>
      <c r="P72" s="13" t="n">
        <f aca="false">O72+P71+P70</f>
        <v>34.706331591024</v>
      </c>
      <c r="Q72" s="13" t="n">
        <f aca="false">P72+Q71+Q70</f>
        <v>38.0958657530553</v>
      </c>
      <c r="R72" s="13" t="n">
        <f aca="false">Q72+R71+R70</f>
        <v>42.1606305765899</v>
      </c>
      <c r="S72" s="13" t="n">
        <f aca="false">R72+S71+S70</f>
        <v>46.9378327228269</v>
      </c>
      <c r="T72" s="13" t="n">
        <f aca="false">S72+T71+T70</f>
        <v>52.3681519029072</v>
      </c>
      <c r="U72" s="13" t="n">
        <f aca="false">T72+U71+U70</f>
        <v>58.4553698215596</v>
      </c>
      <c r="V72" s="13" t="n">
        <f aca="false">U72+V71+V70</f>
        <v>65.1199983788531</v>
      </c>
      <c r="W72" s="13" t="n">
        <f aca="false">V72+W71+W70</f>
        <v>72.2608047876057</v>
      </c>
      <c r="X72" s="13" t="n">
        <f aca="false">W72+X71+X70</f>
        <v>79.8397716280233</v>
      </c>
      <c r="Y72" s="13" t="n">
        <f aca="false">X72+Y71+Y70</f>
        <v>87.7012444700903</v>
      </c>
      <c r="Z72" s="13" t="n">
        <f aca="false">Y72+Z71+Z70</f>
        <v>95.7984695023439</v>
      </c>
      <c r="AA72" s="13" t="n">
        <f aca="false">Z72+AA71+AA70</f>
        <v>104.236753770485</v>
      </c>
      <c r="AB72" s="13" t="n">
        <f aca="false">AA72+AB71+AB70</f>
        <v>112.335168864381</v>
      </c>
      <c r="AC72" s="13" t="n">
        <f aca="false">AB72+AC71+AC70</f>
        <v>120.379093851354</v>
      </c>
      <c r="AD72" s="13" t="n">
        <f aca="false">AC72+AD71+AD70</f>
        <v>128.141875247577</v>
      </c>
      <c r="AE72" s="13" t="n">
        <f aca="false">AD72+AE71+AE70</f>
        <v>135.612825477551</v>
      </c>
      <c r="AF72" s="13" t="n">
        <f aca="false">AE72+AF71+AF70</f>
        <v>142.613042719135</v>
      </c>
      <c r="AG72" s="13" t="n">
        <f aca="false">AF72+AG71+AG70</f>
        <v>149.168268747249</v>
      </c>
      <c r="AH72" s="13" t="n">
        <f aca="false">AG72+AH71+AH70</f>
        <v>155.17493739828</v>
      </c>
      <c r="AI72" s="13" t="n">
        <f aca="false">AH72+AI71+AI70</f>
        <v>160.54378884565</v>
      </c>
      <c r="AJ72" s="13" t="n">
        <f aca="false">AI72+AJ71+AJ70</f>
        <v>165.372792888919</v>
      </c>
      <c r="AK72" s="13" t="n">
        <f aca="false">AJ72+AK71+AK70</f>
        <v>169.563047353317</v>
      </c>
      <c r="AL72" s="13" t="n">
        <f aca="false">AK72+AL71+AL70</f>
        <v>173.270711246074</v>
      </c>
      <c r="AM72" s="13" t="n">
        <f aca="false">AL72+AM71+AM70</f>
        <v>176.507278472862</v>
      </c>
      <c r="AN72" s="13" t="n">
        <f aca="false">AM72+AN71+AN70</f>
        <v>179.184238735099</v>
      </c>
      <c r="AO72" s="13" t="n">
        <f aca="false">AN72+AO71+AO70</f>
        <v>181.789887470761</v>
      </c>
      <c r="AP72" s="13" t="n">
        <f aca="false">AO72+AP71+AP70</f>
        <v>194.612159694736</v>
      </c>
      <c r="AQ72" s="13" t="n">
        <f aca="false">AP72+AQ71+AQ70</f>
        <v>203.400033541864</v>
      </c>
      <c r="AR72" s="13" t="n">
        <f aca="false">AQ72+AR71+AR70</f>
        <v>204.178340702494</v>
      </c>
      <c r="AS72" s="13" t="n">
        <f aca="false">AR72+AS71+AS70</f>
        <v>204.178340702494</v>
      </c>
      <c r="AT72" s="13" t="n">
        <f aca="false">AS72+AT71+AT70</f>
        <v>204.178340702494</v>
      </c>
      <c r="AU72" s="13" t="n">
        <f aca="false">AT72+AU71+AU70</f>
        <v>204.178340702494</v>
      </c>
      <c r="AV72" s="13" t="n">
        <f aca="false">AU72+AV71+AV70</f>
        <v>204.178340702494</v>
      </c>
      <c r="AW72" s="13" t="n">
        <f aca="false">AV72+AW71+AW70</f>
        <v>204.178340702494</v>
      </c>
      <c r="AX72" s="13" t="n">
        <f aca="false">AW72+AX71+AX70</f>
        <v>204.178340702494</v>
      </c>
      <c r="AY72" s="13" t="n">
        <f aca="false">AX72+AY71+AY70</f>
        <v>204.178340702494</v>
      </c>
      <c r="AZ72" s="13" t="n">
        <f aca="false">AY72+AZ71+AZ70</f>
        <v>204.178340702494</v>
      </c>
      <c r="BA72" s="13" t="n">
        <f aca="false">AZ72+BA71+BA70</f>
        <v>204.178340702494</v>
      </c>
      <c r="BB72" s="13" t="n">
        <f aca="false">BA72+BB71+BB70</f>
        <v>204.178340702494</v>
      </c>
      <c r="BC72" s="13" t="n">
        <f aca="false">BB72+BC71+BC70</f>
        <v>204.178340702494</v>
      </c>
      <c r="BD72" s="13" t="n">
        <f aca="false">BC72+BD71+BD70</f>
        <v>204.178340702494</v>
      </c>
      <c r="BE72" s="13" t="n">
        <f aca="false">BD72+BE71+BE70</f>
        <v>204.178340702494</v>
      </c>
      <c r="BF72" s="13" t="n">
        <f aca="false">BE72+BF71+BF70</f>
        <v>204.178340702494</v>
      </c>
      <c r="BG72" s="13" t="n">
        <f aca="false">BF72+BG71+BG70</f>
        <v>204.178340702494</v>
      </c>
      <c r="BH72" s="13" t="n">
        <f aca="false">BG72+BH71+BH70</f>
        <v>204.178340702494</v>
      </c>
      <c r="BI72" s="13" t="n">
        <f aca="false">BH72+BI71+BI70</f>
        <v>204.178340702494</v>
      </c>
      <c r="BJ72" s="13" t="n">
        <f aca="false">BI72+BJ71+BJ70</f>
        <v>204.178340702494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629.94967477845</v>
      </c>
      <c r="J73" s="13" t="n">
        <f aca="false">J47+J55</f>
        <v>89.5825011440694</v>
      </c>
      <c r="K73" s="13" t="n">
        <f aca="false">K47+K55</f>
        <v>1.83826315048291</v>
      </c>
      <c r="L73" s="13" t="n">
        <f aca="false">L47+L55</f>
        <v>2.34412870000902</v>
      </c>
      <c r="M73" s="13" t="n">
        <f aca="false">M47+M55</f>
        <v>3.31550420825744</v>
      </c>
      <c r="N73" s="13" t="n">
        <f aca="false">N47+N55</f>
        <v>4.77559642613582</v>
      </c>
      <c r="O73" s="13" t="n">
        <f aca="false">O47+O55</f>
        <v>6.58222011317518</v>
      </c>
      <c r="P73" s="13" t="n">
        <f aca="false">P47+P55</f>
        <v>8.58815239123082</v>
      </c>
      <c r="Q73" s="13" t="n">
        <f aca="false">Q47+Q55</f>
        <v>10.9016761158229</v>
      </c>
      <c r="R73" s="13" t="n">
        <f aca="false">R47+R55</f>
        <v>13.2078609069813</v>
      </c>
      <c r="S73" s="13" t="n">
        <f aca="false">S47+S55</f>
        <v>15.5558637430362</v>
      </c>
      <c r="T73" s="13" t="n">
        <f aca="false">T47+T55</f>
        <v>17.7533346150393</v>
      </c>
      <c r="U73" s="13" t="n">
        <f aca="false">U47+U55</f>
        <v>19.8599273166953</v>
      </c>
      <c r="V73" s="13" t="n">
        <f aca="false">V47+V55</f>
        <v>21.7120899445219</v>
      </c>
      <c r="W73" s="13" t="n">
        <f aca="false">W47+W55</f>
        <v>23.2524271280659</v>
      </c>
      <c r="X73" s="13" t="n">
        <f aca="false">X47+X55</f>
        <v>24.5271645489291</v>
      </c>
      <c r="Y73" s="13" t="n">
        <f aca="false">Y47+Y55</f>
        <v>25.3760714546124</v>
      </c>
      <c r="Z73" s="13" t="n">
        <f aca="false">Z47+Z55</f>
        <v>25.9073644411813</v>
      </c>
      <c r="AA73" s="13" t="n">
        <f aca="false">AA47+AA55</f>
        <v>26.8740402600165</v>
      </c>
      <c r="AB73" s="13" t="n">
        <f aca="false">AB47+AB55</f>
        <v>25.6340207528713</v>
      </c>
      <c r="AC73" s="13" t="n">
        <f aca="false">AC47+AC55</f>
        <v>25.0236671787226</v>
      </c>
      <c r="AD73" s="13" t="n">
        <f aca="false">AD47+AD55</f>
        <v>23.9203041201569</v>
      </c>
      <c r="AE73" s="13" t="n">
        <f aca="false">AE47+AE55</f>
        <v>22.5677324448594</v>
      </c>
      <c r="AF73" s="13" t="n">
        <f aca="false">AF47+AF55</f>
        <v>20.8297931778895</v>
      </c>
      <c r="AG73" s="13" t="n">
        <f aca="false">AG47+AG55</f>
        <v>18.9479250962057</v>
      </c>
      <c r="AH73" s="13" t="n">
        <f aca="false">AH47+AH55</f>
        <v>16.8392967736652</v>
      </c>
      <c r="AI73" s="13" t="n">
        <f aca="false">AI47+AI55</f>
        <v>14.5748451033096</v>
      </c>
      <c r="AJ73" s="13" t="n">
        <f aca="false">AJ47+AJ55</f>
        <v>12.3887157537825</v>
      </c>
      <c r="AK73" s="13" t="n">
        <f aca="false">AK47+AK55</f>
        <v>10.1636139524535</v>
      </c>
      <c r="AL73" s="13" t="n">
        <f aca="false">AL47+AL55</f>
        <v>8.20225639738271</v>
      </c>
      <c r="AM73" s="13" t="n">
        <f aca="false">AM47+AM55</f>
        <v>6.44574937767265</v>
      </c>
      <c r="AN73" s="13" t="n">
        <f aca="false">AN47+AN55</f>
        <v>4.87544692891983</v>
      </c>
      <c r="AO73" s="13" t="n">
        <f aca="false">AO47+AO55</f>
        <v>4.06652173020704</v>
      </c>
      <c r="AP73" s="13" t="n">
        <f aca="false">AP47+AP55</f>
        <v>39.9773477024498</v>
      </c>
      <c r="AQ73" s="13" t="n">
        <f aca="false">AQ47+AQ55</f>
        <v>30.8095701487195</v>
      </c>
      <c r="AR73" s="13" t="n">
        <f aca="false">AR47+AR55</f>
        <v>2.72868153091948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106.315998931</v>
      </c>
      <c r="J74" s="13" t="n">
        <f aca="false">J33+J34+J35+J36+J37+J38+J39+J40+J41+J42+J43+J48+Construction!J14*Construction!J38</f>
        <v>13.4106407754637</v>
      </c>
      <c r="K74" s="13" t="n">
        <f aca="false">K33+K34+K35+K36+K37+K38+K39+K40+K41+K42+K43+K48+Construction!K14*Construction!K38</f>
        <v>1.07284800576334</v>
      </c>
      <c r="L74" s="13" t="n">
        <f aca="false">L33+L34+L35+L36+L37+L38+L39+L40+L41+L42+L43+L48+Construction!L14*Construction!L38</f>
        <v>1.12522973732999</v>
      </c>
      <c r="M74" s="13" t="n">
        <f aca="false">M33+M34+M35+M36+M37+M38+M39+M40+M41+M42+M43+M48+Construction!M14*Construction!M38</f>
        <v>1.14061964425928</v>
      </c>
      <c r="N74" s="13" t="n">
        <f aca="false">N33+N34+N35+N36+N37+N38+N39+N40+N41+N42+N43+N48+Construction!N14*Construction!N38</f>
        <v>1.2321254910476</v>
      </c>
      <c r="O74" s="13" t="n">
        <f aca="false">O33+O34+O35+O36+O37+O38+O39+O40+O41+O42+O43+O48+Construction!O14*Construction!O38</f>
        <v>1.32065024367977</v>
      </c>
      <c r="P74" s="13" t="n">
        <f aca="false">P33+P34+P35+P36+P37+P38+P39+P40+P41+P42+P43+P48+Construction!P14*Construction!P38</f>
        <v>1.33201243506387</v>
      </c>
      <c r="Q74" s="13" t="n">
        <f aca="false">Q33+Q34+Q35+Q36+Q37+Q38+Q39+Q40+Q41+Q42+Q43+Q48+Construction!Q14*Construction!Q38</f>
        <v>1.53925271631608</v>
      </c>
      <c r="R74" s="13" t="n">
        <f aca="false">R33+R34+R35+R36+R37+R38+R39+R40+R41+R42+R43+R48+Construction!R14*Construction!R38</f>
        <v>1.63945092488086</v>
      </c>
      <c r="S74" s="13" t="n">
        <f aca="false">S33+S34+S35+S36+S37+S38+S39+S40+S41+S42+S43+S48+Construction!S14*Construction!S38</f>
        <v>1.81554693067405</v>
      </c>
      <c r="T74" s="13" t="n">
        <f aca="false">T33+T34+T35+T36+T37+T38+T39+T40+T41+T42+T43+T48+Construction!T14*Construction!T38</f>
        <v>1.91482771853919</v>
      </c>
      <c r="U74" s="13" t="n">
        <f aca="false">U33+U34+U35+U36+U37+U38+U39+U40+U41+U42+U43+U48+Construction!U14*Construction!U38</f>
        <v>2.11468417315073</v>
      </c>
      <c r="V74" s="13" t="n">
        <f aca="false">V33+V34+V35+V36+V37+V38+V39+V40+V41+V42+V43+V48+Construction!V14*Construction!V38</f>
        <v>2.27858879781072</v>
      </c>
      <c r="W74" s="13" t="n">
        <f aca="false">W33+W34+W35+W36+W37+W38+W39+W40+W41+W42+W43+W48+Construction!W14*Construction!W38</f>
        <v>2.40165196373358</v>
      </c>
      <c r="X74" s="13" t="n">
        <f aca="false">X33+X34+X35+X36+X37+X38+X39+X40+X41+X42+X43+X48+Construction!X14*Construction!X38</f>
        <v>2.60347211610906</v>
      </c>
      <c r="Y74" s="13" t="n">
        <f aca="false">Y33+Y34+Y35+Y36+Y37+Y38+Y39+Y40+Y41+Y42+Y43+Y48+Construction!Y14*Construction!Y38</f>
        <v>2.71245036310567</v>
      </c>
      <c r="Z74" s="13" t="n">
        <f aca="false">Z33+Z34+Z35+Z36+Z37+Z38+Z39+Z40+Z41+Z42+Z43+Z48+Construction!Z14*Construction!Z38</f>
        <v>2.90445095587918</v>
      </c>
      <c r="AA74" s="13" t="n">
        <f aca="false">AA33+AA34+AA35+AA36+AA37+AA38+AA39+AA40+AA41+AA42+AA43+AA48+Construction!AA14*Construction!AA38</f>
        <v>3.072785313684</v>
      </c>
      <c r="AB74" s="13" t="n">
        <f aca="false">AB33+AB34+AB35+AB36+AB37+AB38+AB39+AB40+AB41+AB42+AB43+AB48+Construction!AB14*Construction!AB38</f>
        <v>3.0623688888284</v>
      </c>
      <c r="AC74" s="13" t="n">
        <f aca="false">AC33+AC34+AC35+AC36+AC37+AC38+AC39+AC40+AC41+AC42+AC43+AC48+Construction!AC14*Construction!AC38</f>
        <v>3.27699776400748</v>
      </c>
      <c r="AD74" s="13" t="n">
        <f aca="false">AD33+AD34+AD35+AD36+AD37+AD38+AD39+AD40+AD41+AD42+AD43+AD48+Construction!AD14*Construction!AD38</f>
        <v>3.30765377887319</v>
      </c>
      <c r="AE74" s="13" t="n">
        <f aca="false">AE33+AE34+AE35+AE36+AE37+AE38+AE39+AE40+AE41+AE42+AE43+AE48+Construction!AE14*Construction!AE38</f>
        <v>3.4393020243427</v>
      </c>
      <c r="AF74" s="13" t="n">
        <f aca="false">AF33+AF34+AF35+AF36+AF37+AF38+AF39+AF40+AF41+AF42+AF43+AF48+Construction!AF14*Construction!AF38</f>
        <v>3.43034595082761</v>
      </c>
      <c r="AG74" s="13" t="n">
        <f aca="false">AG33+AG34+AG35+AG36+AG37+AG38+AG39+AG40+AG41+AG42+AG43+AG48+Construction!AG14*Construction!AG38</f>
        <v>3.53533741883119</v>
      </c>
      <c r="AH74" s="13" t="n">
        <f aca="false">AH33+AH34+AH35+AH36+AH37+AH38+AH39+AH40+AH41+AH42+AH43+AH48+Construction!AH14*Construction!AH38</f>
        <v>3.55657509773144</v>
      </c>
      <c r="AI74" s="13" t="n">
        <f aca="false">AI33+AI34+AI35+AI36+AI37+AI38+AI39+AI40+AI41+AI42+AI43+AI48+Construction!AI14*Construction!AI38</f>
        <v>3.49381958528808</v>
      </c>
      <c r="AJ74" s="13" t="n">
        <f aca="false">AJ33+AJ34+AJ35+AJ36+AJ37+AJ38+AJ39+AJ40+AJ41+AJ42+AJ43+AJ48+Construction!AJ14*Construction!AJ38</f>
        <v>3.55648137837551</v>
      </c>
      <c r="AK74" s="13" t="n">
        <f aca="false">AK33+AK34+AK35+AK36+AK37+AK38+AK39+AK40+AK41+AK42+AK43+AK48+Construction!AK14*Construction!AK38</f>
        <v>3.46918896764901</v>
      </c>
      <c r="AL74" s="13" t="n">
        <f aca="false">AL33+AL34+AL35+AL36+AL37+AL38+AL39+AL40+AL41+AL42+AL43+AL48+Construction!AL14*Construction!AL38</f>
        <v>3.51829416833244</v>
      </c>
      <c r="AM74" s="13" t="n">
        <f aca="false">AM33+AM34+AM35+AM36+AM37+AM38+AM39+AM40+AM41+AM42+AM43+AM48+Construction!AM14*Construction!AM38</f>
        <v>3.49775467661926</v>
      </c>
      <c r="AN74" s="13" t="n">
        <f aca="false">AN33+AN34+AN35+AN36+AN37+AN38+AN39+AN40+AN41+AN42+AN43+AN48+Construction!AN14*Construction!AN38</f>
        <v>3.25674424979355</v>
      </c>
      <c r="AO74" s="13" t="n">
        <f aca="false">AO33+AO34+AO35+AO36+AO37+AO38+AO39+AO40+AO41+AO42+AO43+AO48+Construction!AO14*Construction!AO38</f>
        <v>3.46172467610254</v>
      </c>
      <c r="AP74" s="13" t="n">
        <f aca="false">AP33+AP34+AP35+AP36+AP37+AP38+AP39+AP40+AP41+AP42+AP43+AP48+Construction!AP14*Construction!AP38</f>
        <v>4.57203949616543</v>
      </c>
      <c r="AQ74" s="13" t="n">
        <f aca="false">AQ33+AQ34+AQ35+AQ36+AQ37+AQ38+AQ39+AQ40+AQ41+AQ42+AQ43+AQ48+Construction!AQ14*Construction!AQ38</f>
        <v>4.5485170210339</v>
      </c>
      <c r="AR74" s="13" t="n">
        <f aca="false">AR33+AR34+AR35+AR36+AR37+AR38+AR39+AR40+AR41+AR42+AR43+AR48+Construction!AR14*Construction!AR38</f>
        <v>3.70156548170766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854.551894367595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836.452563962178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0.0189009569442893</v>
      </c>
      <c r="Q17" s="11" t="n">
        <f aca="false">IF(Inputs!$F$47=1,Inputs!Q298,Inputs!Q299)</f>
        <v>0.0202905789790784</v>
      </c>
      <c r="R17" s="11" t="n">
        <f aca="false">IF(Inputs!$F$47=1,Inputs!R298,Inputs!R299)</f>
        <v>0.0220033295413793</v>
      </c>
      <c r="S17" s="11" t="n">
        <f aca="false">IF(Inputs!$F$47=1,Inputs!S298,Inputs!S299)</f>
        <v>0.0230513965167324</v>
      </c>
      <c r="T17" s="11" t="n">
        <f aca="false">IF(Inputs!$F$47=1,Inputs!T298,Inputs!T299)</f>
        <v>0.0247856983056876</v>
      </c>
      <c r="U17" s="11" t="n">
        <f aca="false">IF(Inputs!$F$47=1,Inputs!U298,Inputs!U299)</f>
        <v>0.026031162687892</v>
      </c>
      <c r="V17" s="11" t="n">
        <f aca="false">IF(Inputs!$F$47=1,Inputs!V298,Inputs!V299)</f>
        <v>0.0287443719607247</v>
      </c>
      <c r="W17" s="11" t="n">
        <f aca="false">IF(Inputs!$F$47=1,Inputs!W298,Inputs!W299)</f>
        <v>0.030080361718906</v>
      </c>
      <c r="X17" s="11" t="n">
        <f aca="false">IF(Inputs!$F$47=1,Inputs!X298,Inputs!X299)</f>
        <v>0.0287176079977811</v>
      </c>
      <c r="Y17" s="11" t="n">
        <f aca="false">IF(Inputs!$F$47=1,Inputs!Y298,Inputs!Y299)</f>
        <v>0.0286335471856579</v>
      </c>
      <c r="Z17" s="11" t="n">
        <f aca="false">IF(Inputs!$F$47=1,Inputs!Z298,Inputs!Z299)</f>
        <v>0.0304390760463362</v>
      </c>
      <c r="AA17" s="11" t="n">
        <f aca="false">IF(Inputs!$F$47=1,Inputs!AA298,Inputs!AA299)</f>
        <v>0.0317693817391132</v>
      </c>
      <c r="AB17" s="11" t="n">
        <f aca="false">IF(Inputs!$F$47=1,Inputs!AB298,Inputs!AB299)</f>
        <v>0.0340319141317788</v>
      </c>
      <c r="AC17" s="11" t="n">
        <f aca="false">IF(Inputs!$F$47=1,Inputs!AC298,Inputs!AC299)</f>
        <v>0.0356865176680828</v>
      </c>
      <c r="AD17" s="11" t="n">
        <f aca="false">IF(Inputs!$F$47=1,Inputs!AD298,Inputs!AD299)</f>
        <v>0.0404984098748</v>
      </c>
      <c r="AE17" s="11" t="n">
        <f aca="false">IF(Inputs!$F$47=1,Inputs!AE298,Inputs!AE299)</f>
        <v>0.0429785947266748</v>
      </c>
      <c r="AF17" s="11" t="n">
        <f aca="false">IF(Inputs!$F$47=1,Inputs!AF298,Inputs!AF299)</f>
        <v>0.0450772391622633</v>
      </c>
      <c r="AG17" s="11" t="n">
        <f aca="false">IF(Inputs!$F$47=1,Inputs!AG298,Inputs!AG299)</f>
        <v>0.0462012594145601</v>
      </c>
      <c r="AH17" s="11" t="n">
        <f aca="false">IF(Inputs!$F$47=1,Inputs!AH298,Inputs!AH299)</f>
        <v>0.0493941072390536</v>
      </c>
      <c r="AI17" s="11" t="n">
        <f aca="false">IF(Inputs!$F$47=1,Inputs!AI298,Inputs!AI299)</f>
        <v>0.0514040257479755</v>
      </c>
      <c r="AJ17" s="11" t="n">
        <f aca="false">IF(Inputs!$F$47=1,Inputs!AJ298,Inputs!AJ299)</f>
        <v>0.054759172629817</v>
      </c>
      <c r="AK17" s="11" t="n">
        <f aca="false">IF(Inputs!$F$47=1,Inputs!AK298,Inputs!AK299)</f>
        <v>0.0571715121909954</v>
      </c>
      <c r="AL17" s="11" t="n">
        <f aca="false">IF(Inputs!$F$47=1,Inputs!AL298,Inputs!AL299)</f>
        <v>0.0617419621378153</v>
      </c>
      <c r="AM17" s="11" t="n">
        <f aca="false">IF(Inputs!$F$47=1,Inputs!AM298,Inputs!AM299)</f>
        <v>0.0642092021147168</v>
      </c>
      <c r="AN17" s="11" t="n">
        <f aca="false">IF(Inputs!$F$47=1,Inputs!AN298,Inputs!AN299)</f>
        <v>0.052460293683612</v>
      </c>
      <c r="AO17" s="11" t="n">
        <f aca="false">IF(Inputs!$F$47=1,Inputs!AO298,Inputs!AO299)</f>
        <v>0.0509383196542767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0.981099043055711</v>
      </c>
      <c r="R18" s="11" t="n">
        <f aca="false">SUM(R17:BN17)</f>
        <v>0.960808464076633</v>
      </c>
      <c r="S18" s="11" t="n">
        <f aca="false">SUM(S17:BN17)</f>
        <v>0.938805134535253</v>
      </c>
      <c r="T18" s="11" t="n">
        <f aca="false">SUM(T17:BN17)</f>
        <v>0.915753738018521</v>
      </c>
      <c r="U18" s="11" t="n">
        <f aca="false">SUM(U17:BN17)</f>
        <v>0.890968039712833</v>
      </c>
      <c r="V18" s="11" t="n">
        <f aca="false">SUM(V17:BN17)</f>
        <v>0.864936877024941</v>
      </c>
      <c r="W18" s="11" t="n">
        <f aca="false">SUM(W17:BN17)</f>
        <v>0.836192505064217</v>
      </c>
      <c r="X18" s="11" t="n">
        <f aca="false">SUM(X17:BN17)</f>
        <v>0.806112143345311</v>
      </c>
      <c r="Y18" s="11" t="n">
        <f aca="false">SUM(Y17:BN17)</f>
        <v>0.777394535347529</v>
      </c>
      <c r="Z18" s="11" t="n">
        <f aca="false">SUM(Z17:BN17)</f>
        <v>0.748760988161872</v>
      </c>
      <c r="AA18" s="11" t="n">
        <f aca="false">SUM(AA17:BN17)</f>
        <v>0.718321912115535</v>
      </c>
      <c r="AB18" s="11" t="n">
        <f aca="false">SUM(AB17:BN17)</f>
        <v>0.686552530376422</v>
      </c>
      <c r="AC18" s="11" t="n">
        <f aca="false">SUM(AC17:BN17)</f>
        <v>0.652520616244643</v>
      </c>
      <c r="AD18" s="11" t="n">
        <f aca="false">SUM(AD17:BN17)</f>
        <v>0.616834098576561</v>
      </c>
      <c r="AE18" s="11" t="n">
        <f aca="false">SUM(AE17:BN17)</f>
        <v>0.576335688701761</v>
      </c>
      <c r="AF18" s="11" t="n">
        <f aca="false">SUM(AF17:BN17)</f>
        <v>0.533357093975086</v>
      </c>
      <c r="AG18" s="11" t="n">
        <f aca="false">SUM(AG17:BN17)</f>
        <v>0.488279854812822</v>
      </c>
      <c r="AH18" s="11" t="n">
        <f aca="false">SUM(AH17:BN17)</f>
        <v>0.442078595398262</v>
      </c>
      <c r="AI18" s="11" t="n">
        <f aca="false">SUM(AI17:BN17)</f>
        <v>0.392684488159209</v>
      </c>
      <c r="AJ18" s="11" t="n">
        <f aca="false">SUM(AJ17:BN17)</f>
        <v>0.341280462411233</v>
      </c>
      <c r="AK18" s="11" t="n">
        <f aca="false">SUM(AK17:BN17)</f>
        <v>0.286521289781416</v>
      </c>
      <c r="AL18" s="11" t="n">
        <f aca="false">SUM(AL17:BN17)</f>
        <v>0.229349777590421</v>
      </c>
      <c r="AM18" s="11" t="n">
        <f aca="false">SUM(AM17:BN17)</f>
        <v>0.167607815452605</v>
      </c>
      <c r="AN18" s="11" t="n">
        <f aca="false">SUM(AN17:BN17)</f>
        <v>0.103398613337889</v>
      </c>
      <c r="AO18" s="11" t="n">
        <f aca="false">SUM(AO17:BN17)</f>
        <v>0.0509383196542767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0.0189009569442893</v>
      </c>
      <c r="Q19" s="11" t="n">
        <f aca="false">IF(Q18&gt;Inputs!$F$253,Q17/Q18,0)</f>
        <v>0.0206814787178691</v>
      </c>
      <c r="R19" s="11" t="n">
        <f aca="false">IF(R18&gt;Inputs!$F$253,R17/R18,0)</f>
        <v>0.0229008489871342</v>
      </c>
      <c r="S19" s="11" t="n">
        <f aca="false">IF(S18&gt;Inputs!$F$253,S17/S18,0)</f>
        <v>0.0245539736296221</v>
      </c>
      <c r="T19" s="11" t="n">
        <f aca="false">IF(T18&gt;Inputs!$F$253,T17/T18,0)</f>
        <v>0.0270658991349772</v>
      </c>
      <c r="U19" s="11" t="n">
        <f aca="false">IF(U18&gt;Inputs!$F$253,U17/U18,0)</f>
        <v>0.0292167188132608</v>
      </c>
      <c r="V19" s="11" t="n">
        <f aca="false">IF(V18&gt;Inputs!$F$253,V17/V18,0)</f>
        <v>0.0332329129723253</v>
      </c>
      <c r="W19" s="11" t="n">
        <f aca="false">IF(W18&gt;Inputs!$F$253,W17/W18,0)</f>
        <v>0.0359730104452394</v>
      </c>
      <c r="X19" s="11" t="n">
        <f aca="false">IF(X18&gt;Inputs!$F$253,X17/X18,0)</f>
        <v>0.0356248299133728</v>
      </c>
      <c r="Y19" s="11" t="n">
        <f aca="false">IF(Y18&gt;Inputs!$F$253,Y17/Y18,0)</f>
        <v>0.0368327096264672</v>
      </c>
      <c r="Z19" s="11" t="n">
        <f aca="false">IF(Z18&gt;Inputs!$F$253,Z17/Z18,0)</f>
        <v>0.0406525934545026</v>
      </c>
      <c r="AA19" s="11" t="n">
        <f aca="false">IF(AA18&gt;Inputs!$F$253,AA17/AA18,0)</f>
        <v>0.0442272206976799</v>
      </c>
      <c r="AB19" s="11" t="n">
        <f aca="false">IF(AB18&gt;Inputs!$F$253,AB17/AB18,0)</f>
        <v>0.0495692792991671</v>
      </c>
      <c r="AC19" s="11" t="n">
        <f aca="false">IF(AC18&gt;Inputs!$F$253,AC17/AC18,0)</f>
        <v>0.0546902531194558</v>
      </c>
      <c r="AD19" s="11" t="n">
        <f aca="false">IF(AD18&gt;Inputs!$F$253,AD17/AD18,0)</f>
        <v>0.065655270952524</v>
      </c>
      <c r="AE19" s="11" t="n">
        <f aca="false">IF(AE18&gt;Inputs!$F$253,AE17/AE18,0)</f>
        <v>0.074572155723147</v>
      </c>
      <c r="AF19" s="11" t="n">
        <f aca="false">IF(AF18&gt;Inputs!$F$253,AF17/AF18,0)</f>
        <v>0.0845160581371567</v>
      </c>
      <c r="AG19" s="11" t="n">
        <f aca="false">IF(AG18&gt;Inputs!$F$253,AG17/AG18,0)</f>
        <v>0.0946204496441307</v>
      </c>
      <c r="AH19" s="11" t="n">
        <f aca="false">IF(AH18&gt;Inputs!$F$253,AH17/AH18,0)</f>
        <v>0.111731506010951</v>
      </c>
      <c r="AI19" s="11" t="n">
        <f aca="false">IF(AI18&gt;Inputs!$F$253,AI17/AI18,0)</f>
        <v>0.130904141360263</v>
      </c>
      <c r="AJ19" s="11" t="n">
        <f aca="false">IF(AJ18&gt;Inputs!$F$253,AJ17/AJ18,0)</f>
        <v>0.160452116839416</v>
      </c>
      <c r="AK19" s="11" t="n">
        <f aca="false">IF(AK18&gt;Inputs!$F$253,AK17/AK18,0)</f>
        <v>0.199536698423391</v>
      </c>
      <c r="AL19" s="11" t="n">
        <f aca="false">IF(AL18&gt;Inputs!$F$253,AL17/AL18,0)</f>
        <v>0.269204368918447</v>
      </c>
      <c r="AM19" s="11" t="n">
        <f aca="false">IF(AM18&gt;Inputs!$F$253,AM17/AM18,0)</f>
        <v>0.383091933638818</v>
      </c>
      <c r="AN19" s="11" t="n">
        <f aca="false">IF(AN18&gt;Inputs!$F$253,AN17/AN18,0)</f>
        <v>0.507359741007173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188.98490243353</v>
      </c>
      <c r="Q21" s="13" t="n">
        <f aca="false">Time!Q35*P33</f>
        <v>181.716252339933</v>
      </c>
      <c r="R21" s="13" t="n">
        <f aca="false">Time!R35*Q33</f>
        <v>174.447602246335</v>
      </c>
      <c r="S21" s="13" t="n">
        <f aca="false">Time!S35*R33</f>
        <v>167.178952152738</v>
      </c>
      <c r="T21" s="13" t="n">
        <f aca="false">Time!T35*S33</f>
        <v>159.910302059141</v>
      </c>
      <c r="U21" s="13" t="n">
        <f aca="false">Time!U35*T33</f>
        <v>152.641651965544</v>
      </c>
      <c r="V21" s="13" t="n">
        <f aca="false">Time!V35*U33</f>
        <v>145.373001871946</v>
      </c>
      <c r="W21" s="13" t="n">
        <f aca="false">Time!W35*V33</f>
        <v>138.104351778349</v>
      </c>
      <c r="X21" s="13" t="n">
        <f aca="false">Time!X35*W33</f>
        <v>130.835701684752</v>
      </c>
      <c r="Y21" s="13" t="n">
        <f aca="false">Time!Y35*X33</f>
        <v>123.567051591154</v>
      </c>
      <c r="Z21" s="13" t="n">
        <f aca="false">Time!Z35*Y33</f>
        <v>116.298401497557</v>
      </c>
      <c r="AA21" s="13" t="n">
        <f aca="false">Time!AA35*Z33</f>
        <v>109.02975140396</v>
      </c>
      <c r="AB21" s="13" t="n">
        <f aca="false">Time!AB35*AA33</f>
        <v>101.761101310362</v>
      </c>
      <c r="AC21" s="13" t="n">
        <f aca="false">Time!AC35*AB33</f>
        <v>94.492451216765</v>
      </c>
      <c r="AD21" s="13" t="n">
        <f aca="false">Time!AD35*AC33</f>
        <v>87.2238011231677</v>
      </c>
      <c r="AE21" s="13" t="n">
        <f aca="false">Time!AE35*AD33</f>
        <v>79.9551510295704</v>
      </c>
      <c r="AF21" s="13" t="n">
        <f aca="false">Time!AF35*AE33</f>
        <v>72.6865009359731</v>
      </c>
      <c r="AG21" s="13" t="n">
        <f aca="false">Time!AG35*AF33</f>
        <v>65.4178508423758</v>
      </c>
      <c r="AH21" s="13" t="n">
        <f aca="false">Time!AH35*AG33</f>
        <v>58.1492007487785</v>
      </c>
      <c r="AI21" s="13" t="n">
        <f aca="false">Time!AI35*AH33</f>
        <v>50.8805506551812</v>
      </c>
      <c r="AJ21" s="13" t="n">
        <f aca="false">Time!AJ35*AI33</f>
        <v>43.6119005615839</v>
      </c>
      <c r="AK21" s="13" t="n">
        <f aca="false">Time!AK35*AJ33</f>
        <v>36.3432504679866</v>
      </c>
      <c r="AL21" s="13" t="n">
        <f aca="false">Time!AL35*AK33</f>
        <v>29.0746003743892</v>
      </c>
      <c r="AM21" s="13" t="n">
        <f aca="false">Time!AM35*AL33</f>
        <v>21.8059502807919</v>
      </c>
      <c r="AN21" s="13" t="n">
        <f aca="false">Time!AN35*AM33</f>
        <v>14.5373001871946</v>
      </c>
      <c r="AO21" s="13" t="n">
        <f aca="false">Time!AO35*AN33</f>
        <v>7.26865009359731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57.8192020154597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4.28869738589157</v>
      </c>
      <c r="Q23" s="13" t="n">
        <f aca="false">Q21*Q10</f>
        <v>4.07478505177595</v>
      </c>
      <c r="R23" s="13" t="n">
        <f aca="false">R21*R10</f>
        <v>3.9766300085398</v>
      </c>
      <c r="S23" s="13" t="n">
        <f aca="false">S21*S10</f>
        <v>3.75720763383933</v>
      </c>
      <c r="T23" s="13" t="n">
        <f aca="false">T21*T10</f>
        <v>3.65341736771117</v>
      </c>
      <c r="U23" s="13" t="n">
        <f aca="false">U21*U10</f>
        <v>3.44944693166801</v>
      </c>
      <c r="V23" s="13" t="n">
        <f aca="false">V21*V10</f>
        <v>3.32128851610106</v>
      </c>
      <c r="W23" s="13" t="n">
        <f aca="false">W21*W10</f>
        <v>3.10378021925858</v>
      </c>
      <c r="X23" s="13" t="n">
        <f aca="false">X21*X10</f>
        <v>2.98915966449096</v>
      </c>
      <c r="Y23" s="13" t="n">
        <f aca="false">Y21*Y10</f>
        <v>2.7770665119682</v>
      </c>
      <c r="Z23" s="13" t="n">
        <f aca="false">Z21*Z10</f>
        <v>2.65703081288085</v>
      </c>
      <c r="AA23" s="13" t="n">
        <f aca="false">AA21*AA10</f>
        <v>2.45035280467782</v>
      </c>
      <c r="AB23" s="13" t="n">
        <f aca="false">AB21*AB10</f>
        <v>2.32490196127075</v>
      </c>
      <c r="AC23" s="13" t="n">
        <f aca="false">AC21*AC10</f>
        <v>2.1353719100802</v>
      </c>
      <c r="AD23" s="13" t="n">
        <f aca="false">AD21*AD10</f>
        <v>1.99277310966064</v>
      </c>
      <c r="AE23" s="13" t="n">
        <f aca="false">AE21*AE10</f>
        <v>1.79692539009707</v>
      </c>
      <c r="AF23" s="13" t="n">
        <f aca="false">AF21*AF10</f>
        <v>1.66064425805053</v>
      </c>
      <c r="AG23" s="13" t="n">
        <f aca="false">AG21*AG10</f>
        <v>1.47021168280669</v>
      </c>
      <c r="AH23" s="13" t="n">
        <f aca="false">AH21*AH10</f>
        <v>1.32851540644043</v>
      </c>
      <c r="AI23" s="13" t="n">
        <f aca="false">AI21*AI10</f>
        <v>1.14349797551632</v>
      </c>
      <c r="AJ23" s="13" t="n">
        <f aca="false">AJ21*AJ10</f>
        <v>0.996386554830319</v>
      </c>
      <c r="AK23" s="13" t="n">
        <f aca="false">AK21*AK10</f>
        <v>0.821296888492383</v>
      </c>
      <c r="AL23" s="13" t="n">
        <f aca="false">AL21*AL10</f>
        <v>0.664257703220213</v>
      </c>
      <c r="AM23" s="13" t="n">
        <f aca="false">AM21*AM10</f>
        <v>0.490070560935565</v>
      </c>
      <c r="AN23" s="13" t="n">
        <f aca="false">AN21*AN10</f>
        <v>0.332128851610106</v>
      </c>
      <c r="AO23" s="13" t="n">
        <f aca="false">AO21*AO10</f>
        <v>0.163356853645188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188.98490243353</v>
      </c>
      <c r="J24" s="13" t="n">
        <f aca="false">Time!J35*(J21-J22)*J147</f>
        <v>0</v>
      </c>
      <c r="K24" s="13" t="n">
        <f aca="false">Time!K35*(K21-K22)*K147</f>
        <v>0</v>
      </c>
      <c r="L24" s="13" t="n">
        <f aca="false">Time!L35*(L21-L22)*L147</f>
        <v>0</v>
      </c>
      <c r="M24" s="13" t="n">
        <f aca="false">Time!M35*(M21-M22)*M147</f>
        <v>0</v>
      </c>
      <c r="N24" s="13" t="n">
        <f aca="false">Time!N35*(N21-N22)*N147</f>
        <v>0</v>
      </c>
      <c r="O24" s="13" t="n">
        <f aca="false">Time!O35*(O21-O22)*O147</f>
        <v>0</v>
      </c>
      <c r="P24" s="13" t="n">
        <f aca="false">Time!P35*(P21-P22)*P147</f>
        <v>7.26865009359731</v>
      </c>
      <c r="Q24" s="13" t="n">
        <f aca="false">Time!Q35*(Q21-Q22)*Q147</f>
        <v>7.26865009359731</v>
      </c>
      <c r="R24" s="13" t="n">
        <f aca="false">Time!R35*(R21-R22)*R147</f>
        <v>7.26865009359731</v>
      </c>
      <c r="S24" s="13" t="n">
        <f aca="false">Time!S35*(S21-S22)*S147</f>
        <v>7.26865009359731</v>
      </c>
      <c r="T24" s="13" t="n">
        <f aca="false">Time!T35*(T21-T22)*T147</f>
        <v>7.26865009359731</v>
      </c>
      <c r="U24" s="13" t="n">
        <f aca="false">Time!U35*(U21-U22)*U147</f>
        <v>7.26865009359731</v>
      </c>
      <c r="V24" s="13" t="n">
        <f aca="false">Time!V35*(V21-V22)*V147</f>
        <v>7.26865009359731</v>
      </c>
      <c r="W24" s="13" t="n">
        <f aca="false">Time!W35*(W21-W22)*W147</f>
        <v>7.26865009359731</v>
      </c>
      <c r="X24" s="13" t="n">
        <f aca="false">Time!X35*(X21-X22)*X147</f>
        <v>7.26865009359731</v>
      </c>
      <c r="Y24" s="13" t="n">
        <f aca="false">Time!Y35*(Y21-Y22)*Y147</f>
        <v>7.26865009359731</v>
      </c>
      <c r="Z24" s="13" t="n">
        <f aca="false">Time!Z35*(Z21-Z22)*Z147</f>
        <v>7.26865009359731</v>
      </c>
      <c r="AA24" s="13" t="n">
        <f aca="false">Time!AA35*(AA21-AA22)*AA147</f>
        <v>7.26865009359731</v>
      </c>
      <c r="AB24" s="13" t="n">
        <f aca="false">Time!AB35*(AB21-AB22)*AB147</f>
        <v>7.26865009359731</v>
      </c>
      <c r="AC24" s="13" t="n">
        <f aca="false">Time!AC35*(AC21-AC22)*AC147</f>
        <v>7.26865009359731</v>
      </c>
      <c r="AD24" s="13" t="n">
        <f aca="false">Time!AD35*(AD21-AD22)*AD147</f>
        <v>7.26865009359731</v>
      </c>
      <c r="AE24" s="13" t="n">
        <f aca="false">Time!AE35*(AE21-AE22)*AE147</f>
        <v>7.26865009359731</v>
      </c>
      <c r="AF24" s="13" t="n">
        <f aca="false">Time!AF35*(AF21-AF22)*AF147</f>
        <v>7.26865009359731</v>
      </c>
      <c r="AG24" s="13" t="n">
        <f aca="false">Time!AG35*(AG21-AG22)*AG147</f>
        <v>7.26865009359731</v>
      </c>
      <c r="AH24" s="13" t="n">
        <f aca="false">Time!AH35*(AH21-AH22)*AH147</f>
        <v>7.26865009359731</v>
      </c>
      <c r="AI24" s="13" t="n">
        <f aca="false">Time!AI35*(AI21-AI22)*AI147</f>
        <v>7.26865009359731</v>
      </c>
      <c r="AJ24" s="13" t="n">
        <f aca="false">Time!AJ35*(AJ21-AJ22)*AJ147</f>
        <v>7.26865009359731</v>
      </c>
      <c r="AK24" s="13" t="n">
        <f aca="false">Time!AK35*(AK21-AK22)*AK147</f>
        <v>7.26865009359731</v>
      </c>
      <c r="AL24" s="13" t="n">
        <f aca="false">Time!AL35*(AL21-AL22)*AL147</f>
        <v>7.26865009359731</v>
      </c>
      <c r="AM24" s="13" t="n">
        <f aca="false">Time!AM35*(AM21-AM22)*AM147</f>
        <v>7.26865009359731</v>
      </c>
      <c r="AN24" s="13" t="n">
        <f aca="false">Time!AN35*(AN21-AN22)*AN147</f>
        <v>7.26865009359731</v>
      </c>
      <c r="AO24" s="13" t="n">
        <f aca="false">Time!AO35*(AO21-AO22)*AO147</f>
        <v>7.26865009359731</v>
      </c>
      <c r="AP24" s="13" t="n">
        <f aca="false">Time!AP35*(AP21-AP22)*AP147</f>
        <v>0</v>
      </c>
      <c r="AQ24" s="13" t="n">
        <f aca="false">Time!AQ35*(AQ21-AQ22)*AQ147</f>
        <v>0</v>
      </c>
      <c r="AR24" s="13" t="n">
        <f aca="false">Time!AR35*(AR21-AR22)*AR147</f>
        <v>0</v>
      </c>
      <c r="AS24" s="13" t="n">
        <f aca="false">Time!AS35*(AS21-AS22)*AS147</f>
        <v>0</v>
      </c>
      <c r="AT24" s="13" t="n">
        <f aca="false">Time!AT35*(AT21-AT22)*AT147</f>
        <v>0</v>
      </c>
      <c r="AU24" s="13" t="n">
        <f aca="false">Time!AU35*(AU21-AU22)*AU147</f>
        <v>0</v>
      </c>
      <c r="AV24" s="13" t="n">
        <f aca="false">Time!AV35*(AV21-AV22)*AV147</f>
        <v>0</v>
      </c>
      <c r="AW24" s="13" t="n">
        <f aca="false">Time!AW35*(AW21-AW22)*AW147</f>
        <v>0</v>
      </c>
      <c r="AX24" s="13" t="n">
        <f aca="false">Time!AX35*(AX21-AX22)*AX147</f>
        <v>0</v>
      </c>
      <c r="AY24" s="13" t="n">
        <f aca="false">Time!AY35*(AY21-AY22)*AY147</f>
        <v>0</v>
      </c>
      <c r="AZ24" s="13" t="n">
        <f aca="false">Time!AZ35*(AZ21-AZ22)*AZ147</f>
        <v>0</v>
      </c>
      <c r="BA24" s="13" t="n">
        <f aca="false">Time!BA35*(BA21-BA22)*BA147</f>
        <v>0</v>
      </c>
      <c r="BB24" s="13" t="n">
        <f aca="false">Time!BB35*(BB21-BB22)*BB147</f>
        <v>0</v>
      </c>
      <c r="BC24" s="13" t="n">
        <f aca="false">Time!BC35*(BC21-BC22)*BC147</f>
        <v>0</v>
      </c>
      <c r="BD24" s="13" t="n">
        <f aca="false">Time!BD35*(BD21-BD22)*BD147</f>
        <v>0</v>
      </c>
      <c r="BE24" s="13" t="n">
        <f aca="false">Time!BE35*(BE21-BE22)*BE147</f>
        <v>0</v>
      </c>
      <c r="BF24" s="13" t="n">
        <f aca="false">Time!BF35*(BF21-BF22)*BF147</f>
        <v>0</v>
      </c>
      <c r="BG24" s="13" t="n">
        <f aca="false">Time!BG35*(BG21-BG22)*BG147</f>
        <v>0</v>
      </c>
      <c r="BH24" s="13" t="n">
        <f aca="false">Time!BH35*(BH21-BH22)*BH147</f>
        <v>0</v>
      </c>
      <c r="BI24" s="13" t="n">
        <f aca="false">Time!BI35*(BI21-BI22)*BI147</f>
        <v>0</v>
      </c>
      <c r="BJ24" s="13" t="n">
        <f aca="false">Time!BJ35*(BJ21-BJ22)*BJ147</f>
        <v>0</v>
      </c>
      <c r="BK24" s="13" t="n">
        <f aca="false">Time!BK35*(BK21-BK22)*BK147</f>
        <v>0</v>
      </c>
      <c r="BL24" s="13" t="n">
        <f aca="false">Time!BL35*(BL21-BL22)*BL147</f>
        <v>0</v>
      </c>
      <c r="BM24" s="13" t="n">
        <f aca="false">Time!BM35*(BM21-BM22)*BM147</f>
        <v>0</v>
      </c>
      <c r="BN24" s="13" t="n">
        <f aca="false">Time!BN35*(BN21-BN22)*BN147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188.98490243353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7.26865009359731</v>
      </c>
      <c r="Q27" s="13" t="n">
        <f aca="false">Q24-Q25+Q26</f>
        <v>7.26865009359731</v>
      </c>
      <c r="R27" s="13" t="n">
        <f aca="false">R24-R25+R26</f>
        <v>7.26865009359731</v>
      </c>
      <c r="S27" s="13" t="n">
        <f aca="false">S24-S25+S26</f>
        <v>7.26865009359731</v>
      </c>
      <c r="T27" s="13" t="n">
        <f aca="false">T24-T25+T26</f>
        <v>7.26865009359731</v>
      </c>
      <c r="U27" s="13" t="n">
        <f aca="false">U24-U25+U26</f>
        <v>7.26865009359731</v>
      </c>
      <c r="V27" s="13" t="n">
        <f aca="false">V24-V25+V26</f>
        <v>7.26865009359731</v>
      </c>
      <c r="W27" s="13" t="n">
        <f aca="false">W24-W25+W26</f>
        <v>7.26865009359731</v>
      </c>
      <c r="X27" s="13" t="n">
        <f aca="false">X24-X25+X26</f>
        <v>7.26865009359731</v>
      </c>
      <c r="Y27" s="13" t="n">
        <f aca="false">Y24-Y25+Y26</f>
        <v>7.26865009359731</v>
      </c>
      <c r="Z27" s="13" t="n">
        <f aca="false">Z24-Z25+Z26</f>
        <v>7.26865009359731</v>
      </c>
      <c r="AA27" s="13" t="n">
        <f aca="false">AA24-AA25+AA26</f>
        <v>7.26865009359731</v>
      </c>
      <c r="AB27" s="13" t="n">
        <f aca="false">AB24-AB25+AB26</f>
        <v>7.26865009359731</v>
      </c>
      <c r="AC27" s="13" t="n">
        <f aca="false">AC24-AC25+AC26</f>
        <v>7.26865009359731</v>
      </c>
      <c r="AD27" s="13" t="n">
        <f aca="false">AD24-AD25+AD26</f>
        <v>7.26865009359731</v>
      </c>
      <c r="AE27" s="13" t="n">
        <f aca="false">AE24-AE25+AE26</f>
        <v>7.26865009359731</v>
      </c>
      <c r="AF27" s="13" t="n">
        <f aca="false">AF24-AF25+AF26</f>
        <v>7.26865009359731</v>
      </c>
      <c r="AG27" s="13" t="n">
        <f aca="false">AG24-AG25+AG26</f>
        <v>7.26865009359731</v>
      </c>
      <c r="AH27" s="13" t="n">
        <f aca="false">AH24-AH25+AH26</f>
        <v>7.26865009359731</v>
      </c>
      <c r="AI27" s="13" t="n">
        <f aca="false">AI24-AI25+AI26</f>
        <v>7.26865009359731</v>
      </c>
      <c r="AJ27" s="13" t="n">
        <f aca="false">AJ24-AJ25+AJ26</f>
        <v>7.26865009359731</v>
      </c>
      <c r="AK27" s="13" t="n">
        <f aca="false">AK24-AK25+AK26</f>
        <v>7.26865009359731</v>
      </c>
      <c r="AL27" s="13" t="n">
        <f aca="false">AL24-AL25+AL26</f>
        <v>7.26865009359731</v>
      </c>
      <c r="AM27" s="13" t="n">
        <f aca="false">AM24-AM25+AM26</f>
        <v>7.26865009359731</v>
      </c>
      <c r="AN27" s="13" t="n">
        <f aca="false">AN24-AN25+AN26</f>
        <v>7.26865009359731</v>
      </c>
      <c r="AO27" s="13" t="n">
        <f aca="false">AO24-AO25+AO26</f>
        <v>7.26865009359731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181.716252339933</v>
      </c>
      <c r="Q31" s="13" t="n">
        <f aca="false">Q21-Q27-Q28-Q29</f>
        <v>174.447602246335</v>
      </c>
      <c r="R31" s="13" t="n">
        <f aca="false">R21-R27-R28-R29</f>
        <v>167.178952152738</v>
      </c>
      <c r="S31" s="13" t="n">
        <f aca="false">S21-S27-S28-S29</f>
        <v>159.910302059141</v>
      </c>
      <c r="T31" s="13" t="n">
        <f aca="false">T21-T27-T28-T29</f>
        <v>152.641651965544</v>
      </c>
      <c r="U31" s="13" t="n">
        <f aca="false">U21-U27-U28-U29</f>
        <v>145.373001871946</v>
      </c>
      <c r="V31" s="13" t="n">
        <f aca="false">V21-V27-V28-V29</f>
        <v>138.104351778349</v>
      </c>
      <c r="W31" s="13" t="n">
        <f aca="false">W21-W27-W28-W29</f>
        <v>130.835701684752</v>
      </c>
      <c r="X31" s="13" t="n">
        <f aca="false">X21-X27-X28-X29</f>
        <v>123.567051591154</v>
      </c>
      <c r="Y31" s="13" t="n">
        <f aca="false">Y21-Y27-Y28-Y29</f>
        <v>116.298401497557</v>
      </c>
      <c r="Z31" s="13" t="n">
        <f aca="false">Z21-Z27-Z28-Z29</f>
        <v>109.02975140396</v>
      </c>
      <c r="AA31" s="13" t="n">
        <f aca="false">AA21-AA27-AA28-AA29</f>
        <v>101.761101310362</v>
      </c>
      <c r="AB31" s="13" t="n">
        <f aca="false">AB21-AB27-AB28-AB29</f>
        <v>94.492451216765</v>
      </c>
      <c r="AC31" s="13" t="n">
        <f aca="false">AC21-AC27-AC28-AC29</f>
        <v>87.2238011231677</v>
      </c>
      <c r="AD31" s="13" t="n">
        <f aca="false">AD21-AD27-AD28-AD29</f>
        <v>79.9551510295704</v>
      </c>
      <c r="AE31" s="13" t="n">
        <f aca="false">AE21-AE27-AE28-AE29</f>
        <v>72.6865009359731</v>
      </c>
      <c r="AF31" s="13" t="n">
        <f aca="false">AF21-AF27-AF28-AF29</f>
        <v>65.4178508423758</v>
      </c>
      <c r="AG31" s="13" t="n">
        <f aca="false">AG21-AG27-AG28-AG29</f>
        <v>58.1492007487785</v>
      </c>
      <c r="AH31" s="13" t="n">
        <f aca="false">AH21-AH27-AH28-AH29</f>
        <v>50.8805506551812</v>
      </c>
      <c r="AI31" s="13" t="n">
        <f aca="false">AI21-AI27-AI28-AI29</f>
        <v>43.6119005615839</v>
      </c>
      <c r="AJ31" s="13" t="n">
        <f aca="false">AJ21-AJ27-AJ28-AJ29</f>
        <v>36.3432504679866</v>
      </c>
      <c r="AK31" s="13" t="n">
        <f aca="false">AK21-AK27-AK28-AK29</f>
        <v>29.0746003743892</v>
      </c>
      <c r="AL31" s="13" t="n">
        <f aca="false">AL21-AL27-AL28-AL29</f>
        <v>21.8059502807919</v>
      </c>
      <c r="AM31" s="13" t="n">
        <f aca="false">AM21-AM27-AM28-AM29</f>
        <v>14.5373001871946</v>
      </c>
      <c r="AN31" s="13" t="n">
        <f aca="false">AN21-AN27-AN28-AN29</f>
        <v>7.26865009359731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188.98490243353</v>
      </c>
      <c r="P33" s="13" t="n">
        <f aca="false">IF(Time!P34=1,INDEX(Funding!$J$61:$BJ$61,1,Time!$F$14),Time!P35*(P31-P32))</f>
        <v>181.716252339933</v>
      </c>
      <c r="Q33" s="13" t="n">
        <f aca="false">IF(Time!Q34=1,INDEX(Funding!$J$61:$BJ$61,1,Time!$F$14),Time!Q35*(Q31-Q32))</f>
        <v>174.447602246335</v>
      </c>
      <c r="R33" s="13" t="n">
        <f aca="false">IF(Time!R34=1,INDEX(Funding!$J$61:$BJ$61,1,Time!$F$14),Time!R35*(R31-R32))</f>
        <v>167.178952152738</v>
      </c>
      <c r="S33" s="13" t="n">
        <f aca="false">IF(Time!S34=1,INDEX(Funding!$J$61:$BJ$61,1,Time!$F$14),Time!S35*(S31-S32))</f>
        <v>159.910302059141</v>
      </c>
      <c r="T33" s="13" t="n">
        <f aca="false">IF(Time!T34=1,INDEX(Funding!$J$61:$BJ$61,1,Time!$F$14),Time!T35*(T31-T32))</f>
        <v>152.641651965544</v>
      </c>
      <c r="U33" s="13" t="n">
        <f aca="false">IF(Time!U34=1,INDEX(Funding!$J$61:$BJ$61,1,Time!$F$14),Time!U35*(U31-U32))</f>
        <v>145.373001871946</v>
      </c>
      <c r="V33" s="13" t="n">
        <f aca="false">IF(Time!V34=1,INDEX(Funding!$J$61:$BJ$61,1,Time!$F$14),Time!V35*(V31-V32))</f>
        <v>138.104351778349</v>
      </c>
      <c r="W33" s="13" t="n">
        <f aca="false">IF(Time!W34=1,INDEX(Funding!$J$61:$BJ$61,1,Time!$F$14),Time!W35*(W31-W32))</f>
        <v>130.835701684752</v>
      </c>
      <c r="X33" s="13" t="n">
        <f aca="false">IF(Time!X34=1,INDEX(Funding!$J$61:$BJ$61,1,Time!$F$14),Time!X35*(X31-X32))</f>
        <v>123.567051591154</v>
      </c>
      <c r="Y33" s="13" t="n">
        <f aca="false">IF(Time!Y34=1,INDEX(Funding!$J$61:$BJ$61,1,Time!$F$14),Time!Y35*(Y31-Y32))</f>
        <v>116.298401497557</v>
      </c>
      <c r="Z33" s="13" t="n">
        <f aca="false">IF(Time!Z34=1,INDEX(Funding!$J$61:$BJ$61,1,Time!$F$14),Time!Z35*(Z31-Z32))</f>
        <v>109.02975140396</v>
      </c>
      <c r="AA33" s="13" t="n">
        <f aca="false">IF(Time!AA34=1,INDEX(Funding!$J$61:$BJ$61,1,Time!$F$14),Time!AA35*(AA31-AA32))</f>
        <v>101.761101310362</v>
      </c>
      <c r="AB33" s="13" t="n">
        <f aca="false">IF(Time!AB34=1,INDEX(Funding!$J$61:$BJ$61,1,Time!$F$14),Time!AB35*(AB31-AB32))</f>
        <v>94.492451216765</v>
      </c>
      <c r="AC33" s="13" t="n">
        <f aca="false">IF(Time!AC34=1,INDEX(Funding!$J$61:$BJ$61,1,Time!$F$14),Time!AC35*(AC31-AC32))</f>
        <v>87.2238011231677</v>
      </c>
      <c r="AD33" s="13" t="n">
        <f aca="false">IF(Time!AD34=1,INDEX(Funding!$J$61:$BJ$61,1,Time!$F$14),Time!AD35*(AD31-AD32))</f>
        <v>79.9551510295704</v>
      </c>
      <c r="AE33" s="13" t="n">
        <f aca="false">IF(Time!AE34=1,INDEX(Funding!$J$61:$BJ$61,1,Time!$F$14),Time!AE35*(AE31-AE32))</f>
        <v>72.6865009359731</v>
      </c>
      <c r="AF33" s="13" t="n">
        <f aca="false">IF(Time!AF34=1,INDEX(Funding!$J$61:$BJ$61,1,Time!$F$14),Time!AF35*(AF31-AF32))</f>
        <v>65.4178508423758</v>
      </c>
      <c r="AG33" s="13" t="n">
        <f aca="false">IF(Time!AG34=1,INDEX(Funding!$J$61:$BJ$61,1,Time!$F$14),Time!AG35*(AG31-AG32))</f>
        <v>58.1492007487785</v>
      </c>
      <c r="AH33" s="13" t="n">
        <f aca="false">IF(Time!AH34=1,INDEX(Funding!$J$61:$BJ$61,1,Time!$F$14),Time!AH35*(AH31-AH32))</f>
        <v>50.8805506551812</v>
      </c>
      <c r="AI33" s="13" t="n">
        <f aca="false">IF(Time!AI34=1,INDEX(Funding!$J$61:$BJ$61,1,Time!$F$14),Time!AI35*(AI31-AI32))</f>
        <v>43.6119005615839</v>
      </c>
      <c r="AJ33" s="13" t="n">
        <f aca="false">IF(Time!AJ34=1,INDEX(Funding!$J$61:$BJ$61,1,Time!$F$14),Time!AJ35*(AJ31-AJ32))</f>
        <v>36.3432504679866</v>
      </c>
      <c r="AK33" s="13" t="n">
        <f aca="false">IF(Time!AK34=1,INDEX(Funding!$J$61:$BJ$61,1,Time!$F$14),Time!AK35*(AK31-AK32))</f>
        <v>29.0746003743892</v>
      </c>
      <c r="AL33" s="13" t="n">
        <f aca="false">IF(Time!AL34=1,INDEX(Funding!$J$61:$BJ$61,1,Time!$F$14),Time!AL35*(AL31-AL32))</f>
        <v>21.8059502807919</v>
      </c>
      <c r="AM33" s="13" t="n">
        <f aca="false">IF(Time!AM34=1,INDEX(Funding!$J$61:$BJ$61,1,Time!$F$14),Time!AM35*(AM31-AM32))</f>
        <v>14.5373001871946</v>
      </c>
      <c r="AN33" s="13" t="n">
        <f aca="false">IF(Time!AN34=1,INDEX(Funding!$J$61:$BJ$61,1,Time!$F$14),Time!AN35*(AN31-AN32))</f>
        <v>7.26865009359731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138.588928451255</v>
      </c>
      <c r="Q35" s="13" t="n">
        <f aca="false">Time!Q35*P47</f>
        <v>135.969465081643</v>
      </c>
      <c r="R35" s="13" t="n">
        <f aca="false">Time!R35*Q47</f>
        <v>133.157415483277</v>
      </c>
      <c r="S35" s="13" t="n">
        <f aca="false">Time!S35*R47</f>
        <v>130.107997619777</v>
      </c>
      <c r="T35" s="13" t="n">
        <f aca="false">Time!T35*S47</f>
        <v>126.913329277218</v>
      </c>
      <c r="U35" s="13" t="n">
        <f aca="false">Time!U35*T47</f>
        <v>123.478305908117</v>
      </c>
      <c r="V35" s="13" t="n">
        <f aca="false">Time!V35*U47</f>
        <v>119.870674964862</v>
      </c>
      <c r="W35" s="13" t="n">
        <f aca="false">Time!W35*V47</f>
        <v>115.887023255821</v>
      </c>
      <c r="X35" s="13" t="n">
        <f aca="false">Time!X35*W47</f>
        <v>111.718218157771</v>
      </c>
      <c r="Y35" s="13" t="n">
        <f aca="false">Time!Y35*X47</f>
        <v>107.738275637676</v>
      </c>
      <c r="Z35" s="13" t="n">
        <f aca="false">Time!Z35*Y47</f>
        <v>103.769983015457</v>
      </c>
      <c r="AA35" s="13" t="n">
        <f aca="false">Time!AA35*Z47</f>
        <v>99.5514640831488</v>
      </c>
      <c r="AB35" s="13" t="n">
        <f aca="false">Time!AB35*AA47</f>
        <v>95.1485795103663</v>
      </c>
      <c r="AC35" s="13" t="n">
        <f aca="false">Time!AC35*AB47</f>
        <v>90.4321329976979</v>
      </c>
      <c r="AD35" s="13" t="n">
        <f aca="false">Time!AD35*AC47</f>
        <v>85.4863767539215</v>
      </c>
      <c r="AE35" s="13" t="n">
        <f aca="false">Time!AE35*AD47</f>
        <v>79.8737455253932</v>
      </c>
      <c r="AF35" s="13" t="n">
        <f aca="false">Time!AF35*AE47</f>
        <v>73.9173881358826</v>
      </c>
      <c r="AG35" s="13" t="n">
        <f aca="false">Time!AG35*AF47</f>
        <v>67.6701818628436</v>
      </c>
      <c r="AH35" s="13" t="n">
        <f aca="false">Time!AH35*AG47</f>
        <v>61.2671988274812</v>
      </c>
      <c r="AI35" s="13" t="n">
        <f aca="false">Time!AI35*AH47</f>
        <v>54.4217224334144</v>
      </c>
      <c r="AJ35" s="13" t="n">
        <f aca="false">Time!AJ35*AI47</f>
        <v>47.2976935869217</v>
      </c>
      <c r="AK35" s="13" t="n">
        <f aca="false">Time!AK35*AJ47</f>
        <v>39.7086785292781</v>
      </c>
      <c r="AL35" s="13" t="n">
        <f aca="false">Time!AL35*AK47</f>
        <v>31.7853399167901</v>
      </c>
      <c r="AM35" s="13" t="n">
        <f aca="false">Time!AM35*AL47</f>
        <v>23.2285875436323</v>
      </c>
      <c r="AN35" s="13" t="n">
        <f aca="false">Time!AN35*AM47</f>
        <v>14.3299030258437</v>
      </c>
      <c r="AO35" s="13" t="n">
        <f aca="false">Time!AO35*AN47</f>
        <v>7.05948713799373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76.1670631374144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4.77423459744747</v>
      </c>
      <c r="Q37" s="13" t="n">
        <f aca="false">Q35*Q11</f>
        <v>4.6212999637582</v>
      </c>
      <c r="R37" s="13" t="n">
        <f aca="false">R35*R11</f>
        <v>4.60073665763109</v>
      </c>
      <c r="S37" s="13" t="n">
        <f aca="false">S35*S11</f>
        <v>4.42862325120407</v>
      </c>
      <c r="T37" s="13" t="n">
        <f aca="false">T35*T11</f>
        <v>4.39148322261237</v>
      </c>
      <c r="U37" s="13" t="n">
        <f aca="false">U35*U11</f>
        <v>4.22618221782298</v>
      </c>
      <c r="V37" s="13" t="n">
        <f aca="false">V35*V11</f>
        <v>4.14779173306192</v>
      </c>
      <c r="W37" s="13" t="n">
        <f aca="false">W35*W11</f>
        <v>3.94456893574958</v>
      </c>
      <c r="X37" s="13" t="n">
        <f aca="false">X35*X11</f>
        <v>3.8656986109659</v>
      </c>
      <c r="Y37" s="13" t="n">
        <f aca="false">Y35*Y11</f>
        <v>3.66720141161496</v>
      </c>
      <c r="Z37" s="13" t="n">
        <f aca="false">Z35*Z11</f>
        <v>3.59067201229706</v>
      </c>
      <c r="AA37" s="13" t="n">
        <f aca="false">AA35*AA11</f>
        <v>3.38853826509911</v>
      </c>
      <c r="AB37" s="13" t="n">
        <f aca="false">AB35*AB11</f>
        <v>3.29235229234647</v>
      </c>
      <c r="AC37" s="13" t="n">
        <f aca="false">AC35*AC11</f>
        <v>3.09514023199399</v>
      </c>
      <c r="AD37" s="13" t="n">
        <f aca="false">AD35*AD11</f>
        <v>2.9580186054118</v>
      </c>
      <c r="AE37" s="13" t="n">
        <f aca="false">AE35*AE11</f>
        <v>2.71874698762364</v>
      </c>
      <c r="AF37" s="13" t="n">
        <f aca="false">AF35*AF11</f>
        <v>2.55770589036406</v>
      </c>
      <c r="AG37" s="13" t="n">
        <f aca="false">AG35*AG11</f>
        <v>2.30336140970202</v>
      </c>
      <c r="AH37" s="13" t="n">
        <f aca="false">AH35*AH11</f>
        <v>2.11998122876158</v>
      </c>
      <c r="AI37" s="13" t="n">
        <f aca="false">AI35*AI11</f>
        <v>1.85240961161758</v>
      </c>
      <c r="AJ37" s="13" t="n">
        <f aca="false">AJ35*AJ11</f>
        <v>1.63660530409324</v>
      </c>
      <c r="AK37" s="13" t="n">
        <f aca="false">AK35*AK11</f>
        <v>1.35907364341846</v>
      </c>
      <c r="AL37" s="13" t="n">
        <f aca="false">AL35*AL11</f>
        <v>1.09984339520964</v>
      </c>
      <c r="AM37" s="13" t="n">
        <f aca="false">AM35*AM11</f>
        <v>0.790655953287243</v>
      </c>
      <c r="AN37" s="13" t="n">
        <f aca="false">AN35*AN11</f>
        <v>0.495846488923137</v>
      </c>
      <c r="AO37" s="13" t="n">
        <f aca="false">AO35*AO11</f>
        <v>0.24029121539676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138.588928451255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2.61946336961237</v>
      </c>
      <c r="Q38" s="13" t="n">
        <f aca="false">Time!Q35*(Q35-Q36)*Q19</f>
        <v>2.81204959836604</v>
      </c>
      <c r="R38" s="13" t="n">
        <f aca="false">Time!R35*(R35-R36)*R19</f>
        <v>3.04941786349961</v>
      </c>
      <c r="S38" s="13" t="n">
        <f aca="false">Time!S35*(S35-S36)*S19</f>
        <v>3.19466834255894</v>
      </c>
      <c r="T38" s="13" t="n">
        <f aca="false">Time!T35*(T35-T36)*T19</f>
        <v>3.43502336910134</v>
      </c>
      <c r="U38" s="13" t="n">
        <f aca="false">Time!U35*(U35-U36)*U19</f>
        <v>3.60763094325525</v>
      </c>
      <c r="V38" s="13" t="n">
        <f aca="false">Time!V35*(V35-V36)*V19</f>
        <v>3.98365170904115</v>
      </c>
      <c r="W38" s="13" t="n">
        <f aca="false">Time!W35*(W35-W36)*W19</f>
        <v>4.16880509804934</v>
      </c>
      <c r="X38" s="13" t="n">
        <f aca="false">Time!X35*(X35-X36)*X19</f>
        <v>3.97994252009568</v>
      </c>
      <c r="Y38" s="13" t="n">
        <f aca="false">Time!Y35*(Y35-Y36)*Y19</f>
        <v>3.96829262221879</v>
      </c>
      <c r="Z38" s="13" t="n">
        <f aca="false">Time!Z35*(Z35-Z36)*Z19</f>
        <v>4.218518932308</v>
      </c>
      <c r="AA38" s="13" t="n">
        <f aca="false">Time!AA35*(AA35-AA36)*AA19</f>
        <v>4.40288457278258</v>
      </c>
      <c r="AB38" s="13" t="n">
        <f aca="false">Time!AB35*(AB35-AB36)*AB19</f>
        <v>4.71644651266835</v>
      </c>
      <c r="AC38" s="13" t="n">
        <f aca="false">Time!AC35*(AC35-AC36)*AC19</f>
        <v>4.94575624377639</v>
      </c>
      <c r="AD38" s="13" t="n">
        <f aca="false">Time!AD35*(AD35-AD36)*AD19</f>
        <v>5.61263122852827</v>
      </c>
      <c r="AE38" s="13" t="n">
        <f aca="false">Time!AE35*(AE35-AE36)*AE19</f>
        <v>5.95635738951064</v>
      </c>
      <c r="AF38" s="13" t="n">
        <f aca="false">Time!AF35*(AF35-AF36)*AF19</f>
        <v>6.24720627303903</v>
      </c>
      <c r="AG38" s="13" t="n">
        <f aca="false">Time!AG35*(AG35-AG36)*AG19</f>
        <v>6.40298303536236</v>
      </c>
      <c r="AH38" s="13" t="n">
        <f aca="false">Time!AH35*(AH35-AH36)*AH19</f>
        <v>6.84547639406682</v>
      </c>
      <c r="AI38" s="13" t="n">
        <f aca="false">Time!AI35*(AI35-AI36)*AI19</f>
        <v>7.12402884649266</v>
      </c>
      <c r="AJ38" s="13" t="n">
        <f aca="false">Time!AJ35*(AJ35-AJ36)*AJ19</f>
        <v>7.58901505764364</v>
      </c>
      <c r="AK38" s="13" t="n">
        <f aca="false">Time!AK35*(AK35-AK36)*AK19</f>
        <v>7.92333861248794</v>
      </c>
      <c r="AL38" s="13" t="n">
        <f aca="false">Time!AL35*(AL35-AL36)*AL19</f>
        <v>8.5567523731578</v>
      </c>
      <c r="AM38" s="13" t="n">
        <f aca="false">Time!AM35*(AM35-AM36)*AM19</f>
        <v>8.89868451778867</v>
      </c>
      <c r="AN38" s="13" t="n">
        <f aca="false">Time!AN35*(AN35-AN36)*AN19</f>
        <v>7.27041588784994</v>
      </c>
      <c r="AO38" s="13" t="n">
        <f aca="false">Time!AO35*(AO35-AO36)*AO19</f>
        <v>7.05948713799373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138.588928451255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2.61946336961237</v>
      </c>
      <c r="Q41" s="13" t="n">
        <f aca="false">Q38-Q39+Q40</f>
        <v>2.81204959836604</v>
      </c>
      <c r="R41" s="13" t="n">
        <f aca="false">R38-R39+R40</f>
        <v>3.04941786349961</v>
      </c>
      <c r="S41" s="13" t="n">
        <f aca="false">S38-S39+S40</f>
        <v>3.19466834255894</v>
      </c>
      <c r="T41" s="13" t="n">
        <f aca="false">T38-T39+T40</f>
        <v>3.43502336910134</v>
      </c>
      <c r="U41" s="13" t="n">
        <f aca="false">U38-U39+U40</f>
        <v>3.60763094325525</v>
      </c>
      <c r="V41" s="13" t="n">
        <f aca="false">V38-V39+V40</f>
        <v>3.98365170904115</v>
      </c>
      <c r="W41" s="13" t="n">
        <f aca="false">W38-W39+W40</f>
        <v>4.16880509804934</v>
      </c>
      <c r="X41" s="13" t="n">
        <f aca="false">X38-X39+X40</f>
        <v>3.97994252009568</v>
      </c>
      <c r="Y41" s="13" t="n">
        <f aca="false">Y38-Y39+Y40</f>
        <v>3.96829262221879</v>
      </c>
      <c r="Z41" s="13" t="n">
        <f aca="false">Z38-Z39+Z40</f>
        <v>4.218518932308</v>
      </c>
      <c r="AA41" s="13" t="n">
        <f aca="false">AA38-AA39+AA40</f>
        <v>4.40288457278258</v>
      </c>
      <c r="AB41" s="13" t="n">
        <f aca="false">AB38-AB39+AB40</f>
        <v>4.71644651266835</v>
      </c>
      <c r="AC41" s="13" t="n">
        <f aca="false">AC38-AC39+AC40</f>
        <v>4.94575624377639</v>
      </c>
      <c r="AD41" s="13" t="n">
        <f aca="false">AD38-AD39+AD40</f>
        <v>5.61263122852827</v>
      </c>
      <c r="AE41" s="13" t="n">
        <f aca="false">AE38-AE39+AE40</f>
        <v>5.95635738951064</v>
      </c>
      <c r="AF41" s="13" t="n">
        <f aca="false">AF38-AF39+AF40</f>
        <v>6.24720627303903</v>
      </c>
      <c r="AG41" s="13" t="n">
        <f aca="false">AG38-AG39+AG40</f>
        <v>6.40298303536236</v>
      </c>
      <c r="AH41" s="13" t="n">
        <f aca="false">AH38-AH39+AH40</f>
        <v>6.84547639406682</v>
      </c>
      <c r="AI41" s="13" t="n">
        <f aca="false">AI38-AI39+AI40</f>
        <v>7.12402884649266</v>
      </c>
      <c r="AJ41" s="13" t="n">
        <f aca="false">AJ38-AJ39+AJ40</f>
        <v>7.58901505764364</v>
      </c>
      <c r="AK41" s="13" t="n">
        <f aca="false">AK38-AK39+AK40</f>
        <v>7.92333861248794</v>
      </c>
      <c r="AL41" s="13" t="n">
        <f aca="false">AL38-AL39+AL40</f>
        <v>8.5567523731578</v>
      </c>
      <c r="AM41" s="13" t="n">
        <f aca="false">AM38-AM39+AM40</f>
        <v>8.89868451778867</v>
      </c>
      <c r="AN41" s="13" t="n">
        <f aca="false">AN38-AN39+AN40</f>
        <v>7.27041588784994</v>
      </c>
      <c r="AO41" s="13" t="n">
        <f aca="false">AO38-AO39+AO40</f>
        <v>7.05948713799373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135.969465081643</v>
      </c>
      <c r="Q45" s="13" t="n">
        <f aca="false">Q35-Q41-Q42-Q43</f>
        <v>133.157415483277</v>
      </c>
      <c r="R45" s="13" t="n">
        <f aca="false">R35-R41-R42-R43</f>
        <v>130.107997619777</v>
      </c>
      <c r="S45" s="13" t="n">
        <f aca="false">S35-S41-S42-S43</f>
        <v>126.913329277218</v>
      </c>
      <c r="T45" s="13" t="n">
        <f aca="false">T35-T41-T42-T43</f>
        <v>123.478305908117</v>
      </c>
      <c r="U45" s="13" t="n">
        <f aca="false">U35-U41-U42-U43</f>
        <v>119.870674964862</v>
      </c>
      <c r="V45" s="13" t="n">
        <f aca="false">V35-V41-V42-V43</f>
        <v>115.887023255821</v>
      </c>
      <c r="W45" s="13" t="n">
        <f aca="false">W35-W41-W42-W43</f>
        <v>111.718218157771</v>
      </c>
      <c r="X45" s="13" t="n">
        <f aca="false">X35-X41-X42-X43</f>
        <v>107.738275637676</v>
      </c>
      <c r="Y45" s="13" t="n">
        <f aca="false">Y35-Y41-Y42-Y43</f>
        <v>103.769983015457</v>
      </c>
      <c r="Z45" s="13" t="n">
        <f aca="false">Z35-Z41-Z42-Z43</f>
        <v>99.5514640831488</v>
      </c>
      <c r="AA45" s="13" t="n">
        <f aca="false">AA35-AA41-AA42-AA43</f>
        <v>95.1485795103663</v>
      </c>
      <c r="AB45" s="13" t="n">
        <f aca="false">AB35-AB41-AB42-AB43</f>
        <v>90.4321329976979</v>
      </c>
      <c r="AC45" s="13" t="n">
        <f aca="false">AC35-AC41-AC42-AC43</f>
        <v>85.4863767539215</v>
      </c>
      <c r="AD45" s="13" t="n">
        <f aca="false">AD35-AD41-AD42-AD43</f>
        <v>79.8737455253932</v>
      </c>
      <c r="AE45" s="13" t="n">
        <f aca="false">AE35-AE41-AE42-AE43</f>
        <v>73.9173881358826</v>
      </c>
      <c r="AF45" s="13" t="n">
        <f aca="false">AF35-AF41-AF42-AF43</f>
        <v>67.6701818628436</v>
      </c>
      <c r="AG45" s="13" t="n">
        <f aca="false">AG35-AG41-AG42-AG43</f>
        <v>61.2671988274812</v>
      </c>
      <c r="AH45" s="13" t="n">
        <f aca="false">AH35-AH41-AH42-AH43</f>
        <v>54.4217224334144</v>
      </c>
      <c r="AI45" s="13" t="n">
        <f aca="false">AI35-AI41-AI42-AI43</f>
        <v>47.2976935869217</v>
      </c>
      <c r="AJ45" s="13" t="n">
        <f aca="false">AJ35-AJ41-AJ42-AJ43</f>
        <v>39.7086785292781</v>
      </c>
      <c r="AK45" s="13" t="n">
        <f aca="false">AK35-AK41-AK42-AK43</f>
        <v>31.7853399167901</v>
      </c>
      <c r="AL45" s="13" t="n">
        <f aca="false">AL35-AL41-AL42-AL43</f>
        <v>23.2285875436323</v>
      </c>
      <c r="AM45" s="13" t="n">
        <f aca="false">AM35-AM41-AM42-AM43</f>
        <v>14.3299030258437</v>
      </c>
      <c r="AN45" s="13" t="n">
        <f aca="false">AN35-AN41-AN42-AN43</f>
        <v>7.05948713799373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138.588928451255</v>
      </c>
      <c r="P47" s="13" t="n">
        <f aca="false">IF(Time!P34=1,INDEX(Funding!$J$62:$BJ$62,1,Time!$F$14),Time!P35*(P45-P46))</f>
        <v>135.969465081643</v>
      </c>
      <c r="Q47" s="13" t="n">
        <f aca="false">IF(Time!Q34=1,INDEX(Funding!$J$62:$BJ$62,1,Time!$F$14),Time!Q35*(Q45-Q46))</f>
        <v>133.157415483277</v>
      </c>
      <c r="R47" s="13" t="n">
        <f aca="false">IF(Time!R34=1,INDEX(Funding!$J$62:$BJ$62,1,Time!$F$14),Time!R35*(R45-R46))</f>
        <v>130.107997619777</v>
      </c>
      <c r="S47" s="13" t="n">
        <f aca="false">IF(Time!S34=1,INDEX(Funding!$J$62:$BJ$62,1,Time!$F$14),Time!S35*(S45-S46))</f>
        <v>126.913329277218</v>
      </c>
      <c r="T47" s="13" t="n">
        <f aca="false">IF(Time!T34=1,INDEX(Funding!$J$62:$BJ$62,1,Time!$F$14),Time!T35*(T45-T46))</f>
        <v>123.478305908117</v>
      </c>
      <c r="U47" s="13" t="n">
        <f aca="false">IF(Time!U34=1,INDEX(Funding!$J$62:$BJ$62,1,Time!$F$14),Time!U35*(U45-U46))</f>
        <v>119.870674964862</v>
      </c>
      <c r="V47" s="13" t="n">
        <f aca="false">IF(Time!V34=1,INDEX(Funding!$J$62:$BJ$62,1,Time!$F$14),Time!V35*(V45-V46))</f>
        <v>115.887023255821</v>
      </c>
      <c r="W47" s="13" t="n">
        <f aca="false">IF(Time!W34=1,INDEX(Funding!$J$62:$BJ$62,1,Time!$F$14),Time!W35*(W45-W46))</f>
        <v>111.718218157771</v>
      </c>
      <c r="X47" s="13" t="n">
        <f aca="false">IF(Time!X34=1,INDEX(Funding!$J$62:$BJ$62,1,Time!$F$14),Time!X35*(X45-X46))</f>
        <v>107.738275637676</v>
      </c>
      <c r="Y47" s="13" t="n">
        <f aca="false">IF(Time!Y34=1,INDEX(Funding!$J$62:$BJ$62,1,Time!$F$14),Time!Y35*(Y45-Y46))</f>
        <v>103.769983015457</v>
      </c>
      <c r="Z47" s="13" t="n">
        <f aca="false">IF(Time!Z34=1,INDEX(Funding!$J$62:$BJ$62,1,Time!$F$14),Time!Z35*(Z45-Z46))</f>
        <v>99.5514640831488</v>
      </c>
      <c r="AA47" s="13" t="n">
        <f aca="false">IF(Time!AA34=1,INDEX(Funding!$J$62:$BJ$62,1,Time!$F$14),Time!AA35*(AA45-AA46))</f>
        <v>95.1485795103663</v>
      </c>
      <c r="AB47" s="13" t="n">
        <f aca="false">IF(Time!AB34=1,INDEX(Funding!$J$62:$BJ$62,1,Time!$F$14),Time!AB35*(AB45-AB46))</f>
        <v>90.4321329976979</v>
      </c>
      <c r="AC47" s="13" t="n">
        <f aca="false">IF(Time!AC34=1,INDEX(Funding!$J$62:$BJ$62,1,Time!$F$14),Time!AC35*(AC45-AC46))</f>
        <v>85.4863767539215</v>
      </c>
      <c r="AD47" s="13" t="n">
        <f aca="false">IF(Time!AD34=1,INDEX(Funding!$J$62:$BJ$62,1,Time!$F$14),Time!AD35*(AD45-AD46))</f>
        <v>79.8737455253932</v>
      </c>
      <c r="AE47" s="13" t="n">
        <f aca="false">IF(Time!AE34=1,INDEX(Funding!$J$62:$BJ$62,1,Time!$F$14),Time!AE35*(AE45-AE46))</f>
        <v>73.9173881358826</v>
      </c>
      <c r="AF47" s="13" t="n">
        <f aca="false">IF(Time!AF34=1,INDEX(Funding!$J$62:$BJ$62,1,Time!$F$14),Time!AF35*(AF45-AF46))</f>
        <v>67.6701818628436</v>
      </c>
      <c r="AG47" s="13" t="n">
        <f aca="false">IF(Time!AG34=1,INDEX(Funding!$J$62:$BJ$62,1,Time!$F$14),Time!AG35*(AG45-AG46))</f>
        <v>61.2671988274812</v>
      </c>
      <c r="AH47" s="13" t="n">
        <f aca="false">IF(Time!AH34=1,INDEX(Funding!$J$62:$BJ$62,1,Time!$F$14),Time!AH35*(AH45-AH46))</f>
        <v>54.4217224334144</v>
      </c>
      <c r="AI47" s="13" t="n">
        <f aca="false">IF(Time!AI34=1,INDEX(Funding!$J$62:$BJ$62,1,Time!$F$14),Time!AI35*(AI45-AI46))</f>
        <v>47.2976935869217</v>
      </c>
      <c r="AJ47" s="13" t="n">
        <f aca="false">IF(Time!AJ34=1,INDEX(Funding!$J$62:$BJ$62,1,Time!$F$14),Time!AJ35*(AJ45-AJ46))</f>
        <v>39.7086785292781</v>
      </c>
      <c r="AK47" s="13" t="n">
        <f aca="false">IF(Time!AK34=1,INDEX(Funding!$J$62:$BJ$62,1,Time!$F$14),Time!AK35*(AK45-AK46))</f>
        <v>31.7853399167901</v>
      </c>
      <c r="AL47" s="13" t="n">
        <f aca="false">IF(Time!AL34=1,INDEX(Funding!$J$62:$BJ$62,1,Time!$F$14),Time!AL35*(AL45-AL46))</f>
        <v>23.2285875436323</v>
      </c>
      <c r="AM47" s="13" t="n">
        <f aca="false">IF(Time!AM34=1,INDEX(Funding!$J$62:$BJ$62,1,Time!$F$14),Time!AM35*(AM45-AM46))</f>
        <v>14.3299030258437</v>
      </c>
      <c r="AN47" s="13" t="n">
        <f aca="false">IF(Time!AN34=1,INDEX(Funding!$J$62:$BJ$62,1,Time!$F$14),Time!AN35*(AN45-AN46))</f>
        <v>7.05948713799373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62.9949674778433</v>
      </c>
      <c r="Q49" s="13" t="n">
        <f aca="false">Time!Q35*P61</f>
        <v>61.8043023098377</v>
      </c>
      <c r="R49" s="13" t="n">
        <f aca="false">Time!R35*Q61</f>
        <v>60.526097946944</v>
      </c>
      <c r="S49" s="13" t="n">
        <f aca="false">Time!S35*R61</f>
        <v>59.1399989180806</v>
      </c>
      <c r="T49" s="13" t="n">
        <f aca="false">Time!T35*S61</f>
        <v>57.6878769441902</v>
      </c>
      <c r="U49" s="13" t="n">
        <f aca="false">Time!U35*T61</f>
        <v>56.1265026855077</v>
      </c>
      <c r="V49" s="13" t="n">
        <f aca="false">Time!V35*U61</f>
        <v>54.4866704385735</v>
      </c>
      <c r="W49" s="13" t="n">
        <f aca="false">Time!W35*V61</f>
        <v>52.6759196617366</v>
      </c>
      <c r="X49" s="13" t="n">
        <f aca="false">Time!X35*W61</f>
        <v>50.7810082535324</v>
      </c>
      <c r="Y49" s="13" t="n">
        <f aca="false">Time!Y35*X61</f>
        <v>48.9719434716707</v>
      </c>
      <c r="Z49" s="13" t="n">
        <f aca="false">Time!Z35*Y61</f>
        <v>47.1681740979349</v>
      </c>
      <c r="AA49" s="13" t="n">
        <f aca="false">Time!AA35*Z61</f>
        <v>45.2506654923404</v>
      </c>
      <c r="AB49" s="13" t="n">
        <f aca="false">Time!AB35*AA61</f>
        <v>43.2493543228937</v>
      </c>
      <c r="AC49" s="13" t="n">
        <f aca="false">Time!AC35*AB61</f>
        <v>41.1055149989536</v>
      </c>
      <c r="AD49" s="13" t="n">
        <f aca="false">Time!AD35*AC61</f>
        <v>38.8574439790552</v>
      </c>
      <c r="AE49" s="13" t="n">
        <f aca="false">Time!AE35*AD61</f>
        <v>36.3062479660878</v>
      </c>
      <c r="AF49" s="13" t="n">
        <f aca="false">Time!AF35*AE61</f>
        <v>33.5988127890375</v>
      </c>
      <c r="AG49" s="13" t="n">
        <f aca="false">Time!AG35*AF61</f>
        <v>30.7591735740198</v>
      </c>
      <c r="AH49" s="13" t="n">
        <f aca="false">Time!AH35*AG61</f>
        <v>27.8487267397642</v>
      </c>
      <c r="AI49" s="13" t="n">
        <f aca="false">Time!AI35*AH61</f>
        <v>24.7371465606429</v>
      </c>
      <c r="AJ49" s="13" t="n">
        <f aca="false">Time!AJ35*AI61</f>
        <v>21.498951630419</v>
      </c>
      <c r="AK49" s="13" t="n">
        <f aca="false">Time!AK35*AJ61</f>
        <v>18.04939933149</v>
      </c>
      <c r="AL49" s="13" t="n">
        <f aca="false">Time!AL35*AK61</f>
        <v>14.4478817803592</v>
      </c>
      <c r="AM49" s="13" t="n">
        <f aca="false">Time!AM35*AL61</f>
        <v>10.5584488834692</v>
      </c>
      <c r="AN49" s="13" t="n">
        <f aca="false">Time!AN35*AM61</f>
        <v>6.5135922844744</v>
      </c>
      <c r="AO49" s="13" t="n">
        <f aca="false">Time!AO35*AN61</f>
        <v>3.20885778999715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33.342320972462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2.08961306564837</v>
      </c>
      <c r="Q51" s="13" t="n">
        <f aca="false">Q49*Q12</f>
        <v>2.02290631818625</v>
      </c>
      <c r="R51" s="13" t="n">
        <f aca="false">R49*R12</f>
        <v>2.01390503235465</v>
      </c>
      <c r="S51" s="13" t="n">
        <f aca="false">S49*S12</f>
        <v>1.93867487564459</v>
      </c>
      <c r="T51" s="13" t="n">
        <f aca="false">T49*T12</f>
        <v>1.92241645034461</v>
      </c>
      <c r="U51" s="13" t="n">
        <f aca="false">U49*U12</f>
        <v>1.85005425407586</v>
      </c>
      <c r="V51" s="13" t="n">
        <f aca="false">V49*V12</f>
        <v>1.815738021993</v>
      </c>
      <c r="W51" s="13" t="n">
        <f aca="false">W49*W12</f>
        <v>1.72677517531135</v>
      </c>
      <c r="X51" s="13" t="n">
        <f aca="false">X49*X12</f>
        <v>1.69224888837772</v>
      </c>
      <c r="Y51" s="13" t="n">
        <f aca="false">Y49*Y12</f>
        <v>1.60535472027189</v>
      </c>
      <c r="Z51" s="13" t="n">
        <f aca="false">Z49*Z12</f>
        <v>1.57185319727252</v>
      </c>
      <c r="AA51" s="13" t="n">
        <f aca="false">AA49*AA12</f>
        <v>1.48336709335613</v>
      </c>
      <c r="AB51" s="13" t="n">
        <f aca="false">AB49*AB12</f>
        <v>1.44126070539137</v>
      </c>
      <c r="AC51" s="13" t="n">
        <f aca="false">AC49*AC12</f>
        <v>1.3549291199544</v>
      </c>
      <c r="AD51" s="13" t="n">
        <f aca="false">AD49*AD12</f>
        <v>1.29490273313314</v>
      </c>
      <c r="AE51" s="13" t="n">
        <f aca="false">AE49*AE12</f>
        <v>1.19015914860388</v>
      </c>
      <c r="AF51" s="13" t="n">
        <f aca="false">AF49*AF12</f>
        <v>1.11966177018757</v>
      </c>
      <c r="AG51" s="13" t="n">
        <f aca="false">AG49*AG12</f>
        <v>1.0083198866159</v>
      </c>
      <c r="AH51" s="13" t="n">
        <f aca="false">AH49*AH12</f>
        <v>0.928043347087786</v>
      </c>
      <c r="AI51" s="13" t="n">
        <f aca="false">AI49*AI12</f>
        <v>0.810911149976275</v>
      </c>
      <c r="AJ51" s="13" t="n">
        <f aca="false">AJ49*AJ12</f>
        <v>0.716440619221695</v>
      </c>
      <c r="AK51" s="13" t="n">
        <f aca="false">AK49*AK12</f>
        <v>0.594948311742204</v>
      </c>
      <c r="AL51" s="13" t="n">
        <f aca="false">AL49*AL12</f>
        <v>0.48146763372948</v>
      </c>
      <c r="AM51" s="13" t="n">
        <f aca="false">AM49*AM12</f>
        <v>0.346117686009992</v>
      </c>
      <c r="AN51" s="13" t="n">
        <f aca="false">AN49*AN12</f>
        <v>0.217061844217729</v>
      </c>
      <c r="AO51" s="13" t="n">
        <f aca="false">AO49*AO12</f>
        <v>0.105189923753651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62.9949674778433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1.19066516800562</v>
      </c>
      <c r="Q52" s="13" t="n">
        <f aca="false">Time!Q35*(Q49-Q50)*Q19</f>
        <v>1.27820436289365</v>
      </c>
      <c r="R52" s="13" t="n">
        <f aca="false">Time!R35*(R49-R50)*R19</f>
        <v>1.38609902886346</v>
      </c>
      <c r="S52" s="13" t="n">
        <f aca="false">Time!S35*(S49-S50)*S19</f>
        <v>1.45212197389043</v>
      </c>
      <c r="T52" s="13" t="n">
        <f aca="false">Time!T35*(T49-T50)*T19</f>
        <v>1.56137425868243</v>
      </c>
      <c r="U52" s="13" t="n">
        <f aca="false">Time!U35*(U49-U50)*U19</f>
        <v>1.6398322469342</v>
      </c>
      <c r="V52" s="13" t="n">
        <f aca="false">Time!V35*(V49-V50)*V19</f>
        <v>1.81075077683689</v>
      </c>
      <c r="W52" s="13" t="n">
        <f aca="false">Time!W35*(W49-W50)*W19</f>
        <v>1.89491140820424</v>
      </c>
      <c r="X52" s="13" t="n">
        <f aca="false">Time!X35*(X49-X50)*X19</f>
        <v>1.80906478186167</v>
      </c>
      <c r="Y52" s="13" t="n">
        <f aca="false">Time!Y35*(Y49-Y50)*Y19</f>
        <v>1.80376937373581</v>
      </c>
      <c r="Z52" s="13" t="n">
        <f aca="false">Time!Z35*(Z49-Z50)*Z19</f>
        <v>1.91750860559455</v>
      </c>
      <c r="AA52" s="13" t="n">
        <f aca="false">Time!AA35*(AA49-AA50)*AA19</f>
        <v>2.00131116944663</v>
      </c>
      <c r="AB52" s="13" t="n">
        <f aca="false">Time!AB35*(AB49-AB50)*AB19</f>
        <v>2.14383932394016</v>
      </c>
      <c r="AC52" s="13" t="n">
        <f aca="false">Time!AC35*(AC49-AC50)*AC19</f>
        <v>2.24807101989836</v>
      </c>
      <c r="AD52" s="13" t="n">
        <f aca="false">Time!AD35*(AD49-AD50)*AD19</f>
        <v>2.55119601296739</v>
      </c>
      <c r="AE52" s="13" t="n">
        <f aca="false">Time!AE35*(AE49-AE50)*AE19</f>
        <v>2.70743517705029</v>
      </c>
      <c r="AF52" s="13" t="n">
        <f aca="false">Time!AF35*(AF49-AF50)*AF19</f>
        <v>2.83963921501774</v>
      </c>
      <c r="AG52" s="13" t="n">
        <f aca="false">Time!AG35*(AG49-AG50)*AG19</f>
        <v>2.91044683425562</v>
      </c>
      <c r="AH52" s="13" t="n">
        <f aca="false">Time!AH35*(AH49-AH50)*AH19</f>
        <v>3.11158017912128</v>
      </c>
      <c r="AI52" s="13" t="n">
        <f aca="false">Time!AI35*(AI49-AI50)*AI19</f>
        <v>3.23819493022394</v>
      </c>
      <c r="AJ52" s="13" t="n">
        <f aca="false">Time!AJ35*(AJ49-AJ50)*AJ19</f>
        <v>3.44955229892893</v>
      </c>
      <c r="AK52" s="13" t="n">
        <f aca="false">Time!AK35*(AK49-AK50)*AK19</f>
        <v>3.60151755113088</v>
      </c>
      <c r="AL52" s="13" t="n">
        <f aca="false">Time!AL35*(AL49-AL50)*AL19</f>
        <v>3.88943289688991</v>
      </c>
      <c r="AM52" s="13" t="n">
        <f aca="false">Time!AM35*(AM49-AM50)*AM19</f>
        <v>4.04485659899485</v>
      </c>
      <c r="AN52" s="13" t="n">
        <f aca="false">Time!AN35*(AN49-AN50)*AN19</f>
        <v>3.30473449447725</v>
      </c>
      <c r="AO52" s="13" t="n">
        <f aca="false">Time!AO35*(AO49-AO50)*AO19</f>
        <v>3.20885778999715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62.9949674778433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1.19066516800562</v>
      </c>
      <c r="Q55" s="13" t="n">
        <f aca="false">Q52-Q53+Q54</f>
        <v>1.27820436289365</v>
      </c>
      <c r="R55" s="13" t="n">
        <f aca="false">R52-R53+R54</f>
        <v>1.38609902886346</v>
      </c>
      <c r="S55" s="13" t="n">
        <f aca="false">S52-S53+S54</f>
        <v>1.45212197389043</v>
      </c>
      <c r="T55" s="13" t="n">
        <f aca="false">T52-T53+T54</f>
        <v>1.56137425868243</v>
      </c>
      <c r="U55" s="13" t="n">
        <f aca="false">U52-U53+U54</f>
        <v>1.6398322469342</v>
      </c>
      <c r="V55" s="13" t="n">
        <f aca="false">V52-V53+V54</f>
        <v>1.81075077683689</v>
      </c>
      <c r="W55" s="13" t="n">
        <f aca="false">W52-W53+W54</f>
        <v>1.89491140820424</v>
      </c>
      <c r="X55" s="13" t="n">
        <f aca="false">X52-X53+X54</f>
        <v>1.80906478186167</v>
      </c>
      <c r="Y55" s="13" t="n">
        <f aca="false">Y52-Y53+Y54</f>
        <v>1.80376937373581</v>
      </c>
      <c r="Z55" s="13" t="n">
        <f aca="false">Z52-Z53+Z54</f>
        <v>1.91750860559455</v>
      </c>
      <c r="AA55" s="13" t="n">
        <f aca="false">AA52-AA53+AA54</f>
        <v>2.00131116944663</v>
      </c>
      <c r="AB55" s="13" t="n">
        <f aca="false">AB52-AB53+AB54</f>
        <v>2.14383932394016</v>
      </c>
      <c r="AC55" s="13" t="n">
        <f aca="false">AC52-AC53+AC54</f>
        <v>2.24807101989836</v>
      </c>
      <c r="AD55" s="13" t="n">
        <f aca="false">AD52-AD53+AD54</f>
        <v>2.55119601296739</v>
      </c>
      <c r="AE55" s="13" t="n">
        <f aca="false">AE52-AE53+AE54</f>
        <v>2.70743517705029</v>
      </c>
      <c r="AF55" s="13" t="n">
        <f aca="false">AF52-AF53+AF54</f>
        <v>2.83963921501774</v>
      </c>
      <c r="AG55" s="13" t="n">
        <f aca="false">AG52-AG53+AG54</f>
        <v>2.91044683425562</v>
      </c>
      <c r="AH55" s="13" t="n">
        <f aca="false">AH52-AH53+AH54</f>
        <v>3.11158017912128</v>
      </c>
      <c r="AI55" s="13" t="n">
        <f aca="false">AI52-AI53+AI54</f>
        <v>3.23819493022394</v>
      </c>
      <c r="AJ55" s="13" t="n">
        <f aca="false">AJ52-AJ53+AJ54</f>
        <v>3.44955229892893</v>
      </c>
      <c r="AK55" s="13" t="n">
        <f aca="false">AK52-AK53+AK54</f>
        <v>3.60151755113088</v>
      </c>
      <c r="AL55" s="13" t="n">
        <f aca="false">AL52-AL53+AL54</f>
        <v>3.88943289688991</v>
      </c>
      <c r="AM55" s="13" t="n">
        <f aca="false">AM52-AM53+AM54</f>
        <v>4.04485659899485</v>
      </c>
      <c r="AN55" s="13" t="n">
        <f aca="false">AN52-AN53+AN54</f>
        <v>3.30473449447725</v>
      </c>
      <c r="AO55" s="13" t="n">
        <f aca="false">AO52-AO53+AO54</f>
        <v>3.20885778999715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61.8043023098377</v>
      </c>
      <c r="Q59" s="13" t="n">
        <f aca="false">Q49-Q55-Q56-Q57</f>
        <v>60.526097946944</v>
      </c>
      <c r="R59" s="13" t="n">
        <f aca="false">R49-R55-R56-R57</f>
        <v>59.1399989180806</v>
      </c>
      <c r="S59" s="13" t="n">
        <f aca="false">S49-S55-S56-S57</f>
        <v>57.6878769441902</v>
      </c>
      <c r="T59" s="13" t="n">
        <f aca="false">T49-T55-T56-T57</f>
        <v>56.1265026855077</v>
      </c>
      <c r="U59" s="13" t="n">
        <f aca="false">U49-U55-U56-U57</f>
        <v>54.4866704385735</v>
      </c>
      <c r="V59" s="13" t="n">
        <f aca="false">V49-V55-V56-V57</f>
        <v>52.6759196617366</v>
      </c>
      <c r="W59" s="13" t="n">
        <f aca="false">W49-W55-W56-W57</f>
        <v>50.7810082535324</v>
      </c>
      <c r="X59" s="13" t="n">
        <f aca="false">X49-X55-X56-X57</f>
        <v>48.9719434716707</v>
      </c>
      <c r="Y59" s="13" t="n">
        <f aca="false">Y49-Y55-Y56-Y57</f>
        <v>47.1681740979349</v>
      </c>
      <c r="Z59" s="13" t="n">
        <f aca="false">Z49-Z55-Z56-Z57</f>
        <v>45.2506654923404</v>
      </c>
      <c r="AA59" s="13" t="n">
        <f aca="false">AA49-AA55-AA56-AA57</f>
        <v>43.2493543228937</v>
      </c>
      <c r="AB59" s="13" t="n">
        <f aca="false">AB49-AB55-AB56-AB57</f>
        <v>41.1055149989536</v>
      </c>
      <c r="AC59" s="13" t="n">
        <f aca="false">AC49-AC55-AC56-AC57</f>
        <v>38.8574439790552</v>
      </c>
      <c r="AD59" s="13" t="n">
        <f aca="false">AD49-AD55-AD56-AD57</f>
        <v>36.3062479660878</v>
      </c>
      <c r="AE59" s="13" t="n">
        <f aca="false">AE49-AE55-AE56-AE57</f>
        <v>33.5988127890375</v>
      </c>
      <c r="AF59" s="13" t="n">
        <f aca="false">AF49-AF55-AF56-AF57</f>
        <v>30.7591735740198</v>
      </c>
      <c r="AG59" s="13" t="n">
        <f aca="false">AG49-AG55-AG56-AG57</f>
        <v>27.8487267397642</v>
      </c>
      <c r="AH59" s="13" t="n">
        <f aca="false">AH49-AH55-AH56-AH57</f>
        <v>24.7371465606429</v>
      </c>
      <c r="AI59" s="13" t="n">
        <f aca="false">AI49-AI55-AI56-AI57</f>
        <v>21.498951630419</v>
      </c>
      <c r="AJ59" s="13" t="n">
        <f aca="false">AJ49-AJ55-AJ56-AJ57</f>
        <v>18.04939933149</v>
      </c>
      <c r="AK59" s="13" t="n">
        <f aca="false">AK49-AK55-AK56-AK57</f>
        <v>14.4478817803592</v>
      </c>
      <c r="AL59" s="13" t="n">
        <f aca="false">AL49-AL55-AL56-AL57</f>
        <v>10.5584488834692</v>
      </c>
      <c r="AM59" s="13" t="n">
        <f aca="false">AM49-AM55-AM56-AM57</f>
        <v>6.5135922844744</v>
      </c>
      <c r="AN59" s="13" t="n">
        <f aca="false">AN49-AN55-AN56-AN57</f>
        <v>3.20885778999715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62.9949674778433</v>
      </c>
      <c r="P61" s="13" t="n">
        <f aca="false">IF(Time!P34=1,INDEX(Funding!$J$63:$BJ$63,1,Time!$F$14),Time!P35*(P59-P60))</f>
        <v>61.8043023098377</v>
      </c>
      <c r="Q61" s="13" t="n">
        <f aca="false">IF(Time!Q34=1,INDEX(Funding!$J$63:$BJ$63,1,Time!$F$14),Time!Q35*(Q59-Q60))</f>
        <v>60.526097946944</v>
      </c>
      <c r="R61" s="13" t="n">
        <f aca="false">IF(Time!R34=1,INDEX(Funding!$J$63:$BJ$63,1,Time!$F$14),Time!R35*(R59-R60))</f>
        <v>59.1399989180806</v>
      </c>
      <c r="S61" s="13" t="n">
        <f aca="false">IF(Time!S34=1,INDEX(Funding!$J$63:$BJ$63,1,Time!$F$14),Time!S35*(S59-S60))</f>
        <v>57.6878769441902</v>
      </c>
      <c r="T61" s="13" t="n">
        <f aca="false">IF(Time!T34=1,INDEX(Funding!$J$63:$BJ$63,1,Time!$F$14),Time!T35*(T59-T60))</f>
        <v>56.1265026855077</v>
      </c>
      <c r="U61" s="13" t="n">
        <f aca="false">IF(Time!U34=1,INDEX(Funding!$J$63:$BJ$63,1,Time!$F$14),Time!U35*(U59-U60))</f>
        <v>54.4866704385735</v>
      </c>
      <c r="V61" s="13" t="n">
        <f aca="false">IF(Time!V34=1,INDEX(Funding!$J$63:$BJ$63,1,Time!$F$14),Time!V35*(V59-V60))</f>
        <v>52.6759196617366</v>
      </c>
      <c r="W61" s="13" t="n">
        <f aca="false">IF(Time!W34=1,INDEX(Funding!$J$63:$BJ$63,1,Time!$F$14),Time!W35*(W59-W60))</f>
        <v>50.7810082535324</v>
      </c>
      <c r="X61" s="13" t="n">
        <f aca="false">IF(Time!X34=1,INDEX(Funding!$J$63:$BJ$63,1,Time!$F$14),Time!X35*(X59-X60))</f>
        <v>48.9719434716707</v>
      </c>
      <c r="Y61" s="13" t="n">
        <f aca="false">IF(Time!Y34=1,INDEX(Funding!$J$63:$BJ$63,1,Time!$F$14),Time!Y35*(Y59-Y60))</f>
        <v>47.1681740979349</v>
      </c>
      <c r="Z61" s="13" t="n">
        <f aca="false">IF(Time!Z34=1,INDEX(Funding!$J$63:$BJ$63,1,Time!$F$14),Time!Z35*(Z59-Z60))</f>
        <v>45.2506654923404</v>
      </c>
      <c r="AA61" s="13" t="n">
        <f aca="false">IF(Time!AA34=1,INDEX(Funding!$J$63:$BJ$63,1,Time!$F$14),Time!AA35*(AA59-AA60))</f>
        <v>43.2493543228937</v>
      </c>
      <c r="AB61" s="13" t="n">
        <f aca="false">IF(Time!AB34=1,INDEX(Funding!$J$63:$BJ$63,1,Time!$F$14),Time!AB35*(AB59-AB60))</f>
        <v>41.1055149989536</v>
      </c>
      <c r="AC61" s="13" t="n">
        <f aca="false">IF(Time!AC34=1,INDEX(Funding!$J$63:$BJ$63,1,Time!$F$14),Time!AC35*(AC59-AC60))</f>
        <v>38.8574439790552</v>
      </c>
      <c r="AD61" s="13" t="n">
        <f aca="false">IF(Time!AD34=1,INDEX(Funding!$J$63:$BJ$63,1,Time!$F$14),Time!AD35*(AD59-AD60))</f>
        <v>36.3062479660878</v>
      </c>
      <c r="AE61" s="13" t="n">
        <f aca="false">IF(Time!AE34=1,INDEX(Funding!$J$63:$BJ$63,1,Time!$F$14),Time!AE35*(AE59-AE60))</f>
        <v>33.5988127890375</v>
      </c>
      <c r="AF61" s="13" t="n">
        <f aca="false">IF(Time!AF34=1,INDEX(Funding!$J$63:$BJ$63,1,Time!$F$14),Time!AF35*(AF59-AF60))</f>
        <v>30.7591735740198</v>
      </c>
      <c r="AG61" s="13" t="n">
        <f aca="false">IF(Time!AG34=1,INDEX(Funding!$J$63:$BJ$63,1,Time!$F$14),Time!AG35*(AG59-AG60))</f>
        <v>27.8487267397642</v>
      </c>
      <c r="AH61" s="13" t="n">
        <f aca="false">IF(Time!AH34=1,INDEX(Funding!$J$63:$BJ$63,1,Time!$F$14),Time!AH35*(AH59-AH60))</f>
        <v>24.7371465606429</v>
      </c>
      <c r="AI61" s="13" t="n">
        <f aca="false">IF(Time!AI34=1,INDEX(Funding!$J$63:$BJ$63,1,Time!$F$14),Time!AI35*(AI59-AI60))</f>
        <v>21.498951630419</v>
      </c>
      <c r="AJ61" s="13" t="n">
        <f aca="false">IF(Time!AJ34=1,INDEX(Funding!$J$63:$BJ$63,1,Time!$F$14),Time!AJ35*(AJ59-AJ60))</f>
        <v>18.04939933149</v>
      </c>
      <c r="AK61" s="13" t="n">
        <f aca="false">IF(Time!AK34=1,INDEX(Funding!$J$63:$BJ$63,1,Time!$F$14),Time!AK35*(AK59-AK60))</f>
        <v>14.4478817803592</v>
      </c>
      <c r="AL61" s="13" t="n">
        <f aca="false">IF(Time!AL34=1,INDEX(Funding!$J$63:$BJ$63,1,Time!$F$14),Time!AL35*(AL59-AL60))</f>
        <v>10.5584488834692</v>
      </c>
      <c r="AM61" s="13" t="n">
        <f aca="false">IF(Time!AM34=1,INDEX(Funding!$J$63:$BJ$63,1,Time!$F$14),Time!AM35*(AM59-AM60))</f>
        <v>6.5135922844744</v>
      </c>
      <c r="AN61" s="13" t="n">
        <f aca="false">IF(Time!AN34=1,INDEX(Funding!$J$63:$BJ$63,1,Time!$F$14),Time!AN35*(AN59-AN60))</f>
        <v>3.20885778999715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239.380876415805</v>
      </c>
      <c r="Q63" s="13" t="n">
        <f aca="false">Time!Q35*P75</f>
        <v>234.856348777383</v>
      </c>
      <c r="R63" s="13" t="n">
        <f aca="false">Time!R35*Q75</f>
        <v>229.999172198387</v>
      </c>
      <c r="S63" s="13" t="n">
        <f aca="false">Time!S35*R75</f>
        <v>224.731995888706</v>
      </c>
      <c r="T63" s="13" t="n">
        <f aca="false">Time!T35*S75</f>
        <v>219.213932387923</v>
      </c>
      <c r="U63" s="13" t="n">
        <f aca="false">Time!U35*T75</f>
        <v>213.280710204929</v>
      </c>
      <c r="V63" s="13" t="n">
        <f aca="false">Time!V35*U75</f>
        <v>207.049347666579</v>
      </c>
      <c r="W63" s="13" t="n">
        <f aca="false">Time!W35*V75</f>
        <v>200.168494714599</v>
      </c>
      <c r="X63" s="13" t="n">
        <f aca="false">Time!X35*W75</f>
        <v>192.967831363423</v>
      </c>
      <c r="Y63" s="13" t="n">
        <f aca="false">Time!Y35*X75</f>
        <v>186.093385192349</v>
      </c>
      <c r="Z63" s="13" t="n">
        <f aca="false">Time!Z35*Y75</f>
        <v>179.239061572153</v>
      </c>
      <c r="AA63" s="13" t="n">
        <f aca="false">Time!AA35*Z75</f>
        <v>171.952528870893</v>
      </c>
      <c r="AB63" s="13" t="n">
        <f aca="false">Time!AB35*AA75</f>
        <v>158.011410635895</v>
      </c>
      <c r="AC63" s="13" t="n">
        <f aca="false">Time!AC35*AB75</f>
        <v>142.842719624318</v>
      </c>
      <c r="AD63" s="13" t="n">
        <f aca="false">Time!AD35*AC75</f>
        <v>128.258107349625</v>
      </c>
      <c r="AE63" s="13" t="n">
        <f aca="false">Time!AE35*AD75</f>
        <v>112.527641214148</v>
      </c>
      <c r="AF63" s="13" t="n">
        <f aca="false">Time!AF35*AE75</f>
        <v>96.3561520814334</v>
      </c>
      <c r="AG63" s="13" t="n">
        <f aca="false">Time!AG35*AF75</f>
        <v>78.8157936906552</v>
      </c>
      <c r="AH63" s="13" t="n">
        <f aca="false">Time!AH35*AG75</f>
        <v>61.2496935461043</v>
      </c>
      <c r="AI63" s="13" t="n">
        <f aca="false">Time!AI35*AH75</f>
        <v>42.9109170168789</v>
      </c>
      <c r="AJ63" s="13" t="n">
        <f aca="false">Time!AJ35*AI75</f>
        <v>24.8742887652159</v>
      </c>
      <c r="AK63" s="13" t="n">
        <f aca="false">Time!AK35*AJ75</f>
        <v>6.52186648095098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140.862830182464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9.77442358836583</v>
      </c>
      <c r="Q65" s="13" t="n">
        <f aca="false">Q63*Q13</f>
        <v>9.45956431228312</v>
      </c>
      <c r="R65" s="13" t="n">
        <f aca="false">R63*R13</f>
        <v>9.41747227794039</v>
      </c>
      <c r="S65" s="13" t="n">
        <f aca="false">S63*S13</f>
        <v>9.06432922429874</v>
      </c>
      <c r="T65" s="13" t="n">
        <f aca="false">T63*T13</f>
        <v>8.98831249687369</v>
      </c>
      <c r="U65" s="13" t="n">
        <f aca="false">U63*U13</f>
        <v>8.64998100116313</v>
      </c>
      <c r="V65" s="13" t="n">
        <f aca="false">V63*V13</f>
        <v>8.48953448728696</v>
      </c>
      <c r="W65" s="13" t="n">
        <f aca="false">W63*W13</f>
        <v>8.07358618095471</v>
      </c>
      <c r="X65" s="13" t="n">
        <f aca="false">X63*X13</f>
        <v>7.91215754968149</v>
      </c>
      <c r="Y65" s="13" t="n">
        <f aca="false">Y63*Y13</f>
        <v>8.02567929003002</v>
      </c>
      <c r="Z65" s="13" t="n">
        <f aca="false">Z63*Z13</f>
        <v>7.85819451179048</v>
      </c>
      <c r="AA65" s="13" t="n">
        <f aca="false">AA63*AA13</f>
        <v>7.41582430993447</v>
      </c>
      <c r="AB65" s="13" t="n">
        <f aca="false">AB63*AB13</f>
        <v>6.92753236358258</v>
      </c>
      <c r="AC65" s="13" t="n">
        <f aca="false">AC63*AC13</f>
        <v>6.19443625867137</v>
      </c>
      <c r="AD65" s="13" t="n">
        <f aca="false">AD63*AD13</f>
        <v>5.6230887755554</v>
      </c>
      <c r="AE65" s="13" t="n">
        <f aca="false">AE63*AE13</f>
        <v>4.85299764263436</v>
      </c>
      <c r="AF65" s="13" t="n">
        <f aca="false">AF63*AF13</f>
        <v>4.22444404038996</v>
      </c>
      <c r="AG65" s="13" t="n">
        <f aca="false">AG63*AG13</f>
        <v>3.61925043730958</v>
      </c>
      <c r="AH65" s="13" t="n">
        <f aca="false">AH63*AH13</f>
        <v>2.85922643501889</v>
      </c>
      <c r="AI65" s="13" t="n">
        <f aca="false">AI63*AI13</f>
        <v>1.97048520234731</v>
      </c>
      <c r="AJ65" s="13" t="n">
        <f aca="false">AJ63*AJ13</f>
        <v>1.16116865035845</v>
      </c>
      <c r="AK65" s="13" t="n">
        <f aca="false">AK63*AK13</f>
        <v>0.301141145992651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140.844645032646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4.52452763842137</v>
      </c>
      <c r="Q66" s="13" t="n">
        <f aca="false">Time!Q35*(Q63-Q64)*Q19</f>
        <v>4.85717657899589</v>
      </c>
      <c r="R66" s="13" t="n">
        <f aca="false">Time!R35*(R63-R64)*R19</f>
        <v>5.26717630968115</v>
      </c>
      <c r="S66" s="13" t="n">
        <f aca="false">Time!S35*(S63-S64)*S19</f>
        <v>5.51806350078363</v>
      </c>
      <c r="T66" s="13" t="n">
        <f aca="false">Time!T35*(T63-T64)*T19</f>
        <v>5.93322218299323</v>
      </c>
      <c r="U66" s="13" t="n">
        <f aca="false">Time!U35*(U63-U64)*U19</f>
        <v>6.23136253834998</v>
      </c>
      <c r="V66" s="13" t="n">
        <f aca="false">Time!V35*(V63-V64)*V19</f>
        <v>6.88085295198016</v>
      </c>
      <c r="W66" s="13" t="n">
        <f aca="false">Time!W35*(W63-W64)*W19</f>
        <v>7.20066335117613</v>
      </c>
      <c r="X66" s="13" t="n">
        <f aca="false">Time!X35*(X63-X64)*X19</f>
        <v>6.87444617107436</v>
      </c>
      <c r="Y66" s="13" t="n">
        <f aca="false">Time!Y35*(Y63-Y64)*Y19</f>
        <v>6.85432362019609</v>
      </c>
      <c r="Z66" s="13" t="n">
        <f aca="false">Time!Z35*(Z63-Z64)*Z19</f>
        <v>7.28653270125928</v>
      </c>
      <c r="AA66" s="13" t="n">
        <f aca="false">Time!AA35*(AA63-AA64)*AA19</f>
        <v>7.60498244389718</v>
      </c>
      <c r="AB66" s="13" t="n">
        <f aca="false">Time!AB35*(AB63-AB64)*AB19</f>
        <v>7.83251174626604</v>
      </c>
      <c r="AC66" s="13" t="n">
        <f aca="false">Time!AC35*(AC63-AC64)*AC19</f>
        <v>7.81210449252542</v>
      </c>
      <c r="AD66" s="13" t="n">
        <f aca="false">Time!AD35*(AD63-AD64)*AD19</f>
        <v>8.42082078989753</v>
      </c>
      <c r="AE66" s="13" t="n">
        <f aca="false">Time!AE35*(AE63-AE64)*AE19</f>
        <v>8.39142878377985</v>
      </c>
      <c r="AF66" s="13" t="n">
        <f aca="false">Time!AF35*(AF63-AF64)*AF19</f>
        <v>8.14364215118714</v>
      </c>
      <c r="AG66" s="13" t="n">
        <f aca="false">Time!AG35*(AG63-AG64)*AG19</f>
        <v>7.45758583806883</v>
      </c>
      <c r="AH66" s="13" t="n">
        <f aca="false">Time!AH35*(AH63-AH64)*AH19</f>
        <v>6.84352050261544</v>
      </c>
      <c r="AI66" s="13" t="n">
        <f aca="false">Time!AI35*(AI63-AI64)*AI19</f>
        <v>5.61721674707602</v>
      </c>
      <c r="AJ66" s="13" t="n">
        <f aca="false">Time!AJ35*(AJ63-AJ64)*AJ19</f>
        <v>3.99113228725379</v>
      </c>
      <c r="AK66" s="13" t="n">
        <f aca="false">Time!AK35*(AK63-AK64)*AK19</f>
        <v>1.30135170516714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140.844645032646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4.52452763842137</v>
      </c>
      <c r="Q69" s="13" t="n">
        <f aca="false">Q66-Q67+Q68</f>
        <v>4.85717657899589</v>
      </c>
      <c r="R69" s="13" t="n">
        <f aca="false">R66-R67+R68</f>
        <v>5.26717630968115</v>
      </c>
      <c r="S69" s="13" t="n">
        <f aca="false">S66-S67+S68</f>
        <v>5.51806350078363</v>
      </c>
      <c r="T69" s="13" t="n">
        <f aca="false">T66-T67+T68</f>
        <v>5.93322218299323</v>
      </c>
      <c r="U69" s="13" t="n">
        <f aca="false">U66-U67+U68</f>
        <v>6.23136253834998</v>
      </c>
      <c r="V69" s="13" t="n">
        <f aca="false">V66-V67+V68</f>
        <v>6.88085295198016</v>
      </c>
      <c r="W69" s="13" t="n">
        <f aca="false">W66-W67+W68</f>
        <v>7.20066335117613</v>
      </c>
      <c r="X69" s="13" t="n">
        <f aca="false">X66-X67+X68</f>
        <v>6.87444617107436</v>
      </c>
      <c r="Y69" s="13" t="n">
        <f aca="false">Y66-Y67+Y68</f>
        <v>6.85432362019609</v>
      </c>
      <c r="Z69" s="13" t="n">
        <f aca="false">Z66-Z67+Z68</f>
        <v>7.28653270125928</v>
      </c>
      <c r="AA69" s="13" t="n">
        <f aca="false">AA66-AA67+AA68</f>
        <v>7.60498244389718</v>
      </c>
      <c r="AB69" s="13" t="n">
        <f aca="false">AB66-AB67+AB68</f>
        <v>7.83251174626604</v>
      </c>
      <c r="AC69" s="13" t="n">
        <f aca="false">AC66-AC67+AC68</f>
        <v>7.81210449252542</v>
      </c>
      <c r="AD69" s="13" t="n">
        <f aca="false">AD66-AD67+AD68</f>
        <v>8.42082078989753</v>
      </c>
      <c r="AE69" s="13" t="n">
        <f aca="false">AE66-AE67+AE68</f>
        <v>8.39142878377985</v>
      </c>
      <c r="AF69" s="13" t="n">
        <f aca="false">AF66-AF67+AF68</f>
        <v>8.14364215118714</v>
      </c>
      <c r="AG69" s="13" t="n">
        <f aca="false">AG66-AG67+AG68</f>
        <v>7.45758583806883</v>
      </c>
      <c r="AH69" s="13" t="n">
        <f aca="false">AH66-AH67+AH68</f>
        <v>6.84352050261544</v>
      </c>
      <c r="AI69" s="13" t="n">
        <f aca="false">AI66-AI67+AI68</f>
        <v>5.61721674707602</v>
      </c>
      <c r="AJ69" s="13" t="n">
        <f aca="false">AJ66-AJ67+AJ68</f>
        <v>3.99113228725379</v>
      </c>
      <c r="AK69" s="13" t="n">
        <f aca="false">AK66-AK67+AK68</f>
        <v>1.30135170516714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234.856348777383</v>
      </c>
      <c r="Q73" s="13" t="n">
        <f aca="false">Q63-Q69-Q70-Q71</f>
        <v>229.999172198387</v>
      </c>
      <c r="R73" s="13" t="n">
        <f aca="false">R63-R69-R70-R71</f>
        <v>224.731995888706</v>
      </c>
      <c r="S73" s="13" t="n">
        <f aca="false">S63-S69-S70-S71</f>
        <v>219.213932387923</v>
      </c>
      <c r="T73" s="13" t="n">
        <f aca="false">T63-T69-T70-T71</f>
        <v>213.280710204929</v>
      </c>
      <c r="U73" s="13" t="n">
        <f aca="false">U63-U69-U70-U71</f>
        <v>207.049347666579</v>
      </c>
      <c r="V73" s="13" t="n">
        <f aca="false">V63-V69-V70-V71</f>
        <v>200.168494714599</v>
      </c>
      <c r="W73" s="13" t="n">
        <f aca="false">W63-W69-W70-W71</f>
        <v>192.967831363423</v>
      </c>
      <c r="X73" s="13" t="n">
        <f aca="false">X63-X69-X70-X71</f>
        <v>186.093385192349</v>
      </c>
      <c r="Y73" s="13" t="n">
        <f aca="false">Y63-Y69-Y70-Y71</f>
        <v>179.239061572153</v>
      </c>
      <c r="Z73" s="13" t="n">
        <f aca="false">Z63-Z69-Z70-Z71</f>
        <v>171.952528870893</v>
      </c>
      <c r="AA73" s="13" t="n">
        <f aca="false">AA63-AA69-AA70-AA71</f>
        <v>164.347546426996</v>
      </c>
      <c r="AB73" s="13" t="n">
        <f aca="false">AB63-AB69-AB70-AB71</f>
        <v>150.178898889629</v>
      </c>
      <c r="AC73" s="13" t="n">
        <f aca="false">AC63-AC69-AC70-AC71</f>
        <v>135.030615131793</v>
      </c>
      <c r="AD73" s="13" t="n">
        <f aca="false">AD63-AD69-AD70-AD71</f>
        <v>119.837286559727</v>
      </c>
      <c r="AE73" s="13" t="n">
        <f aca="false">AE63-AE69-AE70-AE71</f>
        <v>104.136212430368</v>
      </c>
      <c r="AF73" s="13" t="n">
        <f aca="false">AF63-AF69-AF70-AF71</f>
        <v>88.2125099302463</v>
      </c>
      <c r="AG73" s="13" t="n">
        <f aca="false">AG63-AG69-AG70-AG71</f>
        <v>71.3582078525863</v>
      </c>
      <c r="AH73" s="13" t="n">
        <f aca="false">AH63-AH69-AH70-AH71</f>
        <v>54.4061730434889</v>
      </c>
      <c r="AI73" s="13" t="n">
        <f aca="false">AI63-AI69-AI70-AI71</f>
        <v>37.2937002698029</v>
      </c>
      <c r="AJ73" s="13" t="n">
        <f aca="false">AJ63-AJ69-AJ70-AJ71</f>
        <v>20.8831564779621</v>
      </c>
      <c r="AK73" s="13" t="n">
        <f aca="false">AK63-AK69-AK70-AK71</f>
        <v>5.22051477578384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98.536231383159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6.33613579110148</v>
      </c>
      <c r="AB74" s="13" t="n">
        <f aca="false">Waterfall!AB28*AB73/(AB31+AB45+AB59+AB73+AB87+Inputs!$F$253)+Waterfall!AB29</f>
        <v>7.3361792653103</v>
      </c>
      <c r="AC74" s="13" t="n">
        <f aca="false">Waterfall!AC28*AC73/(AC31+AC45+AC59+AC73+AC87+Inputs!$F$253)+Waterfall!AC29</f>
        <v>6.77250778216815</v>
      </c>
      <c r="AD74" s="13" t="n">
        <f aca="false">Waterfall!AD28*AD73/(AD31+AD45+AD59+AD73+AD87+Inputs!$F$253)+Waterfall!AD29</f>
        <v>7.30964534557927</v>
      </c>
      <c r="AE74" s="13" t="n">
        <f aca="false">Waterfall!AE28*AE73/(AE31+AE45+AE59+AE73+AE87+Inputs!$F$253)+Waterfall!AE29</f>
        <v>7.78006034893469</v>
      </c>
      <c r="AF74" s="13" t="n">
        <f aca="false">Waterfall!AF28*AF73/(AF31+AF45+AF59+AF73+AF87+Inputs!$F$253)+Waterfall!AF29</f>
        <v>9.39671623959113</v>
      </c>
      <c r="AG74" s="13" t="n">
        <f aca="false">Waterfall!AG28*AG73/(AG31+AG45+AG59+AG73+AG87+Inputs!$F$253)+Waterfall!AG29</f>
        <v>10.108514306482</v>
      </c>
      <c r="AH74" s="13" t="n">
        <f aca="false">Waterfall!AH28*AH73/(AH31+AH45+AH59+AH73+AH87+Inputs!$F$253)+Waterfall!AH29</f>
        <v>11.49525602661</v>
      </c>
      <c r="AI74" s="13" t="n">
        <f aca="false">Waterfall!AI28*AI73/(AI31+AI45+AI59+AI73+AI87+Inputs!$F$253)+Waterfall!AI29</f>
        <v>12.419411504587</v>
      </c>
      <c r="AJ74" s="13" t="n">
        <f aca="false">Waterfall!AJ28*AJ73/(AJ31+AJ45+AJ59+AJ73+AJ87+Inputs!$F$253)+Waterfall!AJ29</f>
        <v>14.3612899970111</v>
      </c>
      <c r="AK74" s="13" t="n">
        <f aca="false">Waterfall!AK28*AK73/(AK31+AK45+AK59+AK73+AK87+Inputs!$F$253)+Waterfall!AK29</f>
        <v>5.22051477578384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239.380876415805</v>
      </c>
      <c r="P75" s="13" t="n">
        <f aca="false">IF(Time!P34=1,INDEX(Funding!$J$64:$BJ$64,1,Time!$F$14),Time!P35*(P73-P74))</f>
        <v>234.856348777383</v>
      </c>
      <c r="Q75" s="13" t="n">
        <f aca="false">IF(Time!Q34=1,INDEX(Funding!$J$64:$BJ$64,1,Time!$F$14),Time!Q35*(Q73-Q74))</f>
        <v>229.999172198387</v>
      </c>
      <c r="R75" s="13" t="n">
        <f aca="false">IF(Time!R34=1,INDEX(Funding!$J$64:$BJ$64,1,Time!$F$14),Time!R35*(R73-R74))</f>
        <v>224.731995888706</v>
      </c>
      <c r="S75" s="13" t="n">
        <f aca="false">IF(Time!S34=1,INDEX(Funding!$J$64:$BJ$64,1,Time!$F$14),Time!S35*(S73-S74))</f>
        <v>219.213932387923</v>
      </c>
      <c r="T75" s="13" t="n">
        <f aca="false">IF(Time!T34=1,INDEX(Funding!$J$64:$BJ$64,1,Time!$F$14),Time!T35*(T73-T74))</f>
        <v>213.280710204929</v>
      </c>
      <c r="U75" s="13" t="n">
        <f aca="false">IF(Time!U34=1,INDEX(Funding!$J$64:$BJ$64,1,Time!$F$14),Time!U35*(U73-U74))</f>
        <v>207.049347666579</v>
      </c>
      <c r="V75" s="13" t="n">
        <f aca="false">IF(Time!V34=1,INDEX(Funding!$J$64:$BJ$64,1,Time!$F$14),Time!V35*(V73-V74))</f>
        <v>200.168494714599</v>
      </c>
      <c r="W75" s="13" t="n">
        <f aca="false">IF(Time!W34=1,INDEX(Funding!$J$64:$BJ$64,1,Time!$F$14),Time!W35*(W73-W74))</f>
        <v>192.967831363423</v>
      </c>
      <c r="X75" s="13" t="n">
        <f aca="false">IF(Time!X34=1,INDEX(Funding!$J$64:$BJ$64,1,Time!$F$14),Time!X35*(X73-X74))</f>
        <v>186.093385192349</v>
      </c>
      <c r="Y75" s="13" t="n">
        <f aca="false">IF(Time!Y34=1,INDEX(Funding!$J$64:$BJ$64,1,Time!$F$14),Time!Y35*(Y73-Y74))</f>
        <v>179.239061572153</v>
      </c>
      <c r="Z75" s="13" t="n">
        <f aca="false">IF(Time!Z34=1,INDEX(Funding!$J$64:$BJ$64,1,Time!$F$14),Time!Z35*(Z73-Z74))</f>
        <v>171.952528870893</v>
      </c>
      <c r="AA75" s="13" t="n">
        <f aca="false">IF(Time!AA34=1,INDEX(Funding!$J$64:$BJ$64,1,Time!$F$14),Time!AA35*(AA73-AA74))</f>
        <v>158.011410635895</v>
      </c>
      <c r="AB75" s="13" t="n">
        <f aca="false">IF(Time!AB34=1,INDEX(Funding!$J$64:$BJ$64,1,Time!$F$14),Time!AB35*(AB73-AB74))</f>
        <v>142.842719624318</v>
      </c>
      <c r="AC75" s="13" t="n">
        <f aca="false">IF(Time!AC34=1,INDEX(Funding!$J$64:$BJ$64,1,Time!$F$14),Time!AC35*(AC73-AC74))</f>
        <v>128.258107349625</v>
      </c>
      <c r="AD75" s="13" t="n">
        <f aca="false">IF(Time!AD34=1,INDEX(Funding!$J$64:$BJ$64,1,Time!$F$14),Time!AD35*(AD73-AD74))</f>
        <v>112.527641214148</v>
      </c>
      <c r="AE75" s="13" t="n">
        <f aca="false">IF(Time!AE34=1,INDEX(Funding!$J$64:$BJ$64,1,Time!$F$14),Time!AE35*(AE73-AE74))</f>
        <v>96.3561520814334</v>
      </c>
      <c r="AF75" s="13" t="n">
        <f aca="false">IF(Time!AF34=1,INDEX(Funding!$J$64:$BJ$64,1,Time!$F$14),Time!AF35*(AF73-AF74))</f>
        <v>78.8157936906552</v>
      </c>
      <c r="AG75" s="13" t="n">
        <f aca="false">IF(Time!AG34=1,INDEX(Funding!$J$64:$BJ$64,1,Time!$F$14),Time!AG35*(AG73-AG74))</f>
        <v>61.2496935461043</v>
      </c>
      <c r="AH75" s="13" t="n">
        <f aca="false">IF(Time!AH34=1,INDEX(Funding!$J$64:$BJ$64,1,Time!$F$14),Time!AH35*(AH73-AH74))</f>
        <v>42.9109170168789</v>
      </c>
      <c r="AI75" s="13" t="n">
        <f aca="false">IF(Time!AI34=1,INDEX(Funding!$J$64:$BJ$64,1,Time!$F$14),Time!AI35*(AI73-AI74))</f>
        <v>24.8742887652159</v>
      </c>
      <c r="AJ75" s="13" t="n">
        <f aca="false">IF(Time!AJ34=1,INDEX(Funding!$J$64:$BJ$64,1,Time!$F$14),Time!AJ35*(AJ73-AJ74))</f>
        <v>6.52186648095098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1.63349334059149E-011</v>
      </c>
      <c r="Q77" s="13" t="n">
        <f aca="false">Time!Q35*P89</f>
        <v>1.60261875329218E-011</v>
      </c>
      <c r="R77" s="13" t="n">
        <f aca="false">Time!R35*Q89</f>
        <v>1.56947422765311E-011</v>
      </c>
      <c r="S77" s="13" t="n">
        <f aca="false">Time!S35*R89</f>
        <v>1.53353193537643E-011</v>
      </c>
      <c r="T77" s="13" t="n">
        <f aca="false">Time!T35*S89</f>
        <v>1.49587763267501E-011</v>
      </c>
      <c r="U77" s="13" t="n">
        <f aca="false">Time!U35*T89</f>
        <v>1.45539035955076E-011</v>
      </c>
      <c r="V77" s="13" t="n">
        <f aca="false">Time!V35*U89</f>
        <v>1.41286862865224E-011</v>
      </c>
      <c r="W77" s="13" t="n">
        <f aca="false">Time!W35*V89</f>
        <v>1.36591488847491E-011</v>
      </c>
      <c r="X77" s="13" t="n">
        <f aca="false">Time!X35*W89</f>
        <v>1.31677881792449E-011</v>
      </c>
      <c r="Y77" s="13" t="n">
        <f aca="false">Time!Y35*X89</f>
        <v>1.2698687965024E-011</v>
      </c>
      <c r="Z77" s="13" t="n">
        <f aca="false">Time!Z35*Y89</f>
        <v>1.22309608785712E-011</v>
      </c>
      <c r="AA77" s="13" t="n">
        <f aca="false">Time!AA35*Z89</f>
        <v>1.17337405984167E-011</v>
      </c>
      <c r="AB77" s="13" t="n">
        <f aca="false">Time!AB35*AA89</f>
        <v>1.12147898633612E-011</v>
      </c>
      <c r="AC77" s="13" t="n">
        <f aca="false">Time!AC35*AB89</f>
        <v>1.06588808123428E-011</v>
      </c>
      <c r="AD77" s="13" t="n">
        <f aca="false">Time!AD35*AC89</f>
        <v>1.00759439227456E-011</v>
      </c>
      <c r="AE77" s="13" t="n">
        <f aca="false">Time!AE35*AD89</f>
        <v>9.41440509439533E-012</v>
      </c>
      <c r="AF77" s="13" t="n">
        <f aca="false">Time!AF35*AE89</f>
        <v>8.71235261165529E-012</v>
      </c>
      <c r="AG77" s="13" t="n">
        <f aca="false">Time!AG35*AF89</f>
        <v>7.97601891181723E-012</v>
      </c>
      <c r="AH77" s="13" t="n">
        <f aca="false">Time!AH35*AG89</f>
        <v>7.22132441601099E-012</v>
      </c>
      <c r="AI77" s="13" t="n">
        <f aca="false">Time!AI35*AH89</f>
        <v>6.41447496361643E-012</v>
      </c>
      <c r="AJ77" s="13" t="n">
        <f aca="false">Time!AJ35*AI89</f>
        <v>5.57479362622732E-012</v>
      </c>
      <c r="AK77" s="13" t="n">
        <f aca="false">Time!AK35*AJ89</f>
        <v>4.68030618795627E-012</v>
      </c>
      <c r="AL77" s="13" t="n">
        <f aca="false">Time!AL35*AK89</f>
        <v>3.74641334360091E-012</v>
      </c>
      <c r="AM77" s="13" t="n">
        <f aca="false">Time!AM35*AL89</f>
        <v>2.73786250372918E-012</v>
      </c>
      <c r="AN77" s="13" t="n">
        <f aca="false">Time!AN35*AM89</f>
        <v>1.68900946313835E-012</v>
      </c>
      <c r="AO77" s="13" t="n">
        <f aca="false">Time!AO35*AN89</f>
        <v>8.32074059361814E-013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1.06125379782798E-011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6.47545800092075E-013</v>
      </c>
      <c r="Q79" s="13" t="n">
        <f aca="false">Q77*Q14</f>
        <v>6.26667262599832E-013</v>
      </c>
      <c r="R79" s="13" t="n">
        <f aca="false">R77*R14</f>
        <v>6.23878793800634E-013</v>
      </c>
      <c r="S79" s="13" t="n">
        <f aca="false">S77*S14</f>
        <v>6.00474876389113E-013</v>
      </c>
      <c r="T79" s="13" t="n">
        <f aca="false">T77*T14</f>
        <v>5.95439077945064E-013</v>
      </c>
      <c r="U79" s="13" t="n">
        <f aca="false">U77*U14</f>
        <v>5.73025994964723E-013</v>
      </c>
      <c r="V79" s="13" t="n">
        <f aca="false">V77*V14</f>
        <v>5.62397067197119E-013</v>
      </c>
      <c r="W79" s="13" t="n">
        <f aca="false">W77*W14</f>
        <v>5.34842186780864E-013</v>
      </c>
      <c r="X79" s="13" t="n">
        <f aca="false">X77*X14</f>
        <v>5.24148197737571E-013</v>
      </c>
      <c r="Y79" s="13" t="n">
        <f aca="false">Y77*Y14</f>
        <v>5.18516119240296E-013</v>
      </c>
      <c r="Z79" s="13" t="n">
        <f aca="false">Z77*Z14</f>
        <v>5.07695408107162E-013</v>
      </c>
      <c r="AA79" s="13" t="n">
        <f aca="false">AA77*AA14</f>
        <v>4.79115138195446E-013</v>
      </c>
      <c r="AB79" s="13" t="n">
        <f aca="false">AB77*AB14</f>
        <v>4.65515127800847E-013</v>
      </c>
      <c r="AC79" s="13" t="n">
        <f aca="false">AC77*AC14</f>
        <v>4.37630749299716E-013</v>
      </c>
      <c r="AD79" s="13" t="n">
        <f aca="false">AD77*AD14</f>
        <v>4.18242729472357E-013</v>
      </c>
      <c r="AE79" s="13" t="n">
        <f aca="false">AE77*AE14</f>
        <v>3.84411429586041E-013</v>
      </c>
      <c r="AF79" s="13" t="n">
        <f aca="false">AF77*AF14</f>
        <v>3.61641367236926E-013</v>
      </c>
      <c r="AG79" s="13" t="n">
        <f aca="false">AG77*AG14</f>
        <v>3.39046088944066E-013</v>
      </c>
      <c r="AH79" s="13" t="n">
        <f aca="false">AH77*AH14</f>
        <v>3.12053219793864E-013</v>
      </c>
      <c r="AI79" s="13" t="n">
        <f aca="false">AI77*AI14</f>
        <v>2.72667689619141E-013</v>
      </c>
      <c r="AJ79" s="13" t="n">
        <f aca="false">AJ77*AJ14</f>
        <v>2.40902111653295E-013</v>
      </c>
      <c r="AK79" s="13" t="n">
        <f aca="false">AK77*AK14</f>
        <v>2.00050500736488E-013</v>
      </c>
      <c r="AL79" s="13" t="n">
        <f aca="false">AL77*AL14</f>
        <v>1.61892788524678E-013</v>
      </c>
      <c r="AM79" s="13" t="n">
        <f aca="false">AM77*AM14</f>
        <v>1.16381566320095E-013</v>
      </c>
      <c r="AN79" s="13" t="n">
        <f aca="false">AN77*AN14</f>
        <v>7.29867280392552E-014</v>
      </c>
      <c r="AO79" s="13" t="n">
        <f aca="false">AO77*AO14</f>
        <v>3.53699582031407E-014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1.63349334059149E-011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3.0874587299303E-013</v>
      </c>
      <c r="Q80" s="13" t="n">
        <f aca="false">Time!Q35*(Q77-Q78)*Q19</f>
        <v>3.31445256390701E-013</v>
      </c>
      <c r="R80" s="13" t="n">
        <f aca="false">Time!R35*(R77-R78)*R19</f>
        <v>3.5942292276683E-013</v>
      </c>
      <c r="S80" s="13" t="n">
        <f aca="false">Time!S35*(S77-S78)*S19</f>
        <v>3.76543027014161E-013</v>
      </c>
      <c r="T80" s="13" t="n">
        <f aca="false">Time!T35*(T77-T78)*T19</f>
        <v>4.04872731242504E-013</v>
      </c>
      <c r="U80" s="13" t="n">
        <f aca="false">Time!U35*(U77-U78)*U19</f>
        <v>4.25217308985251E-013</v>
      </c>
      <c r="V80" s="13" t="n">
        <f aca="false">Time!V35*(V77-V78)*V19</f>
        <v>4.69537401773284E-013</v>
      </c>
      <c r="W80" s="13" t="n">
        <f aca="false">Time!W35*(W77-W78)*W19</f>
        <v>4.91360705504159E-013</v>
      </c>
      <c r="X80" s="13" t="n">
        <f aca="false">Time!X35*(X77-X78)*X19</f>
        <v>4.69100214220922E-013</v>
      </c>
      <c r="Y80" s="13" t="n">
        <f aca="false">Time!Y35*(Y77-Y78)*Y19</f>
        <v>4.67727086452843E-013</v>
      </c>
      <c r="Z80" s="13" t="n">
        <f aca="false">Time!Z35*(Z77-Z78)*Z19</f>
        <v>4.97220280154479E-013</v>
      </c>
      <c r="AA80" s="13" t="n">
        <f aca="false">Time!AA35*(AA77-AA78)*AA19</f>
        <v>5.18950735055502E-013</v>
      </c>
      <c r="AB80" s="13" t="n">
        <f aca="false">Time!AB35*(AB77-AB78)*AB19</f>
        <v>5.55909051018418E-013</v>
      </c>
      <c r="AC80" s="13" t="n">
        <f aca="false">Time!AC35*(AC77-AC78)*AC19</f>
        <v>5.82936889597136E-013</v>
      </c>
      <c r="AD80" s="13" t="n">
        <f aca="false">Time!AD35*(AD77-AD78)*AD19</f>
        <v>6.61538828350302E-013</v>
      </c>
      <c r="AE80" s="13" t="n">
        <f aca="false">Time!AE35*(AE77-AE78)*AE19</f>
        <v>7.02052482740036E-013</v>
      </c>
      <c r="AF80" s="13" t="n">
        <f aca="false">Time!AF35*(AF77-AF78)*AF19</f>
        <v>7.36333699838068E-013</v>
      </c>
      <c r="AG80" s="13" t="n">
        <f aca="false">Time!AG35*(AG77-AG78)*AG19</f>
        <v>7.54694495806236E-013</v>
      </c>
      <c r="AH80" s="13" t="n">
        <f aca="false">Time!AH35*(AH77-AH78)*AH19</f>
        <v>8.06849452394556E-013</v>
      </c>
      <c r="AI80" s="13" t="n">
        <f aca="false">Time!AI35*(AI77-AI78)*AI19</f>
        <v>8.39681337389112E-013</v>
      </c>
      <c r="AJ80" s="13" t="n">
        <f aca="false">Time!AJ35*(AJ77-AJ78)*AJ19</f>
        <v>8.94487438271056E-013</v>
      </c>
      <c r="AK80" s="13" t="n">
        <f aca="false">Time!AK35*(AK77-AK78)*AK19</f>
        <v>9.3389284435536E-013</v>
      </c>
      <c r="AL80" s="13" t="n">
        <f aca="false">Time!AL35*(AL77-AL78)*AL19</f>
        <v>1.00855083987173E-012</v>
      </c>
      <c r="AM80" s="13" t="n">
        <f aca="false">Time!AM35*(AM77-AM78)*AM19</f>
        <v>1.04885304059083E-012</v>
      </c>
      <c r="AN80" s="13" t="n">
        <f aca="false">Time!AN35*(AN77-AN78)*AN19</f>
        <v>8.56935403776537E-013</v>
      </c>
      <c r="AO80" s="13" t="n">
        <f aca="false">Time!AO35*(AO77-AO78)*AO19</f>
        <v>8.32074059361814E-013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1.63349334059149E-011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3.0874587299303E-013</v>
      </c>
      <c r="Q83" s="13" t="n">
        <f aca="false">Q80-Q81+Q82</f>
        <v>3.31445256390701E-013</v>
      </c>
      <c r="R83" s="13" t="n">
        <f aca="false">R80-R81+R82</f>
        <v>3.5942292276683E-013</v>
      </c>
      <c r="S83" s="13" t="n">
        <f aca="false">S80-S81+S82</f>
        <v>3.76543027014161E-013</v>
      </c>
      <c r="T83" s="13" t="n">
        <f aca="false">T80-T81+T82</f>
        <v>4.04872731242504E-013</v>
      </c>
      <c r="U83" s="13" t="n">
        <f aca="false">U80-U81+U82</f>
        <v>4.25217308985251E-013</v>
      </c>
      <c r="V83" s="13" t="n">
        <f aca="false">V80-V81+V82</f>
        <v>4.69537401773284E-013</v>
      </c>
      <c r="W83" s="13" t="n">
        <f aca="false">W80-W81+W82</f>
        <v>4.91360705504159E-013</v>
      </c>
      <c r="X83" s="13" t="n">
        <f aca="false">X80-X81+X82</f>
        <v>4.69100214220922E-013</v>
      </c>
      <c r="Y83" s="13" t="n">
        <f aca="false">Y80-Y81+Y82</f>
        <v>4.67727086452843E-013</v>
      </c>
      <c r="Z83" s="13" t="n">
        <f aca="false">Z80-Z81+Z82</f>
        <v>4.97220280154479E-013</v>
      </c>
      <c r="AA83" s="13" t="n">
        <f aca="false">AA80-AA81+AA82</f>
        <v>5.18950735055502E-013</v>
      </c>
      <c r="AB83" s="13" t="n">
        <f aca="false">AB80-AB81+AB82</f>
        <v>5.55909051018418E-013</v>
      </c>
      <c r="AC83" s="13" t="n">
        <f aca="false">AC80-AC81+AC82</f>
        <v>5.82936889597136E-013</v>
      </c>
      <c r="AD83" s="13" t="n">
        <f aca="false">AD80-AD81+AD82</f>
        <v>6.61538828350302E-013</v>
      </c>
      <c r="AE83" s="13" t="n">
        <f aca="false">AE80-AE81+AE82</f>
        <v>7.02052482740036E-013</v>
      </c>
      <c r="AF83" s="13" t="n">
        <f aca="false">AF80-AF81+AF82</f>
        <v>7.36333699838068E-013</v>
      </c>
      <c r="AG83" s="13" t="n">
        <f aca="false">AG80-AG81+AG82</f>
        <v>7.54694495806236E-013</v>
      </c>
      <c r="AH83" s="13" t="n">
        <f aca="false">AH80-AH81+AH82</f>
        <v>8.06849452394556E-013</v>
      </c>
      <c r="AI83" s="13" t="n">
        <f aca="false">AI80-AI81+AI82</f>
        <v>8.39681337389112E-013</v>
      </c>
      <c r="AJ83" s="13" t="n">
        <f aca="false">AJ80-AJ81+AJ82</f>
        <v>8.94487438271056E-013</v>
      </c>
      <c r="AK83" s="13" t="n">
        <f aca="false">AK80-AK81+AK82</f>
        <v>9.3389284435536E-013</v>
      </c>
      <c r="AL83" s="13" t="n">
        <f aca="false">AL80-AL81+AL82</f>
        <v>1.00855083987173E-012</v>
      </c>
      <c r="AM83" s="13" t="n">
        <f aca="false">AM80-AM81+AM82</f>
        <v>1.04885304059083E-012</v>
      </c>
      <c r="AN83" s="13" t="n">
        <f aca="false">AN80-AN81+AN82</f>
        <v>8.56935403776537E-013</v>
      </c>
      <c r="AO83" s="13" t="n">
        <f aca="false">AO80-AO81+AO82</f>
        <v>8.32074059361814E-013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1.60261875329218E-011</v>
      </c>
      <c r="Q87" s="13" t="n">
        <f aca="false">Q77-Q83-Q84-Q85</f>
        <v>1.56947422765311E-011</v>
      </c>
      <c r="R87" s="13" t="n">
        <f aca="false">R77-R83-R84-R85</f>
        <v>1.53353193537643E-011</v>
      </c>
      <c r="S87" s="13" t="n">
        <f aca="false">S77-S83-S84-S85</f>
        <v>1.49587763267501E-011</v>
      </c>
      <c r="T87" s="13" t="n">
        <f aca="false">T77-T83-T84-T85</f>
        <v>1.45539035955076E-011</v>
      </c>
      <c r="U87" s="13" t="n">
        <f aca="false">U77-U83-U84-U85</f>
        <v>1.41286862865224E-011</v>
      </c>
      <c r="V87" s="13" t="n">
        <f aca="false">V77-V83-V84-V85</f>
        <v>1.36591488847491E-011</v>
      </c>
      <c r="W87" s="13" t="n">
        <f aca="false">W77-W83-W84-W85</f>
        <v>1.31677881792449E-011</v>
      </c>
      <c r="X87" s="13" t="n">
        <f aca="false">X77-X83-X84-X85</f>
        <v>1.2698687965024E-011</v>
      </c>
      <c r="Y87" s="13" t="n">
        <f aca="false">Y77-Y83-Y84-Y85</f>
        <v>1.22309608785712E-011</v>
      </c>
      <c r="Z87" s="13" t="n">
        <f aca="false">Z77-Z83-Z84-Z85</f>
        <v>1.17337405984167E-011</v>
      </c>
      <c r="AA87" s="13" t="n">
        <f aca="false">AA77-AA83-AA84-AA85</f>
        <v>1.12147898633612E-011</v>
      </c>
      <c r="AB87" s="13" t="n">
        <f aca="false">AB77-AB83-AB84-AB85</f>
        <v>1.06588808123428E-011</v>
      </c>
      <c r="AC87" s="13" t="n">
        <f aca="false">AC77-AC83-AC84-AC85</f>
        <v>1.00759439227456E-011</v>
      </c>
      <c r="AD87" s="13" t="n">
        <f aca="false">AD77-AD83-AD84-AD85</f>
        <v>9.41440509439533E-012</v>
      </c>
      <c r="AE87" s="13" t="n">
        <f aca="false">AE77-AE83-AE84-AE85</f>
        <v>8.71235261165529E-012</v>
      </c>
      <c r="AF87" s="13" t="n">
        <f aca="false">AF77-AF83-AF84-AF85</f>
        <v>7.97601891181723E-012</v>
      </c>
      <c r="AG87" s="13" t="n">
        <f aca="false">AG77-AG83-AG84-AG85</f>
        <v>7.22132441601099E-012</v>
      </c>
      <c r="AH87" s="13" t="n">
        <f aca="false">AH77-AH83-AH84-AH85</f>
        <v>6.41447496361643E-012</v>
      </c>
      <c r="AI87" s="13" t="n">
        <f aca="false">AI77-AI83-AI84-AI85</f>
        <v>5.57479362622732E-012</v>
      </c>
      <c r="AJ87" s="13" t="n">
        <f aca="false">AJ77-AJ83-AJ84-AJ85</f>
        <v>4.68030618795627E-012</v>
      </c>
      <c r="AK87" s="13" t="n">
        <f aca="false">AK77-AK83-AK84-AK85</f>
        <v>3.74641334360091E-012</v>
      </c>
      <c r="AL87" s="13" t="n">
        <f aca="false">AL77-AL83-AL84-AL85</f>
        <v>2.73786250372918E-012</v>
      </c>
      <c r="AM87" s="13" t="n">
        <f aca="false">AM77-AM83-AM84-AM85</f>
        <v>1.68900946313835E-012</v>
      </c>
      <c r="AN87" s="13" t="n">
        <f aca="false">AN77-AN83-AN84-AN85</f>
        <v>8.32074059361814E-013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1.63349334059149E-011</v>
      </c>
      <c r="P89" s="13" t="n">
        <f aca="false">IF(Time!P34=1,INDEX(Funding!$J$65:$BJ$65,1,Time!$F$14),Time!P35*(P87-P88))</f>
        <v>1.60261875329218E-011</v>
      </c>
      <c r="Q89" s="13" t="n">
        <f aca="false">IF(Time!Q34=1,INDEX(Funding!$J$65:$BJ$65,1,Time!$F$14),Time!Q35*(Q87-Q88))</f>
        <v>1.56947422765311E-011</v>
      </c>
      <c r="R89" s="13" t="n">
        <f aca="false">IF(Time!R34=1,INDEX(Funding!$J$65:$BJ$65,1,Time!$F$14),Time!R35*(R87-R88))</f>
        <v>1.53353193537643E-011</v>
      </c>
      <c r="S89" s="13" t="n">
        <f aca="false">IF(Time!S34=1,INDEX(Funding!$J$65:$BJ$65,1,Time!$F$14),Time!S35*(S87-S88))</f>
        <v>1.49587763267501E-011</v>
      </c>
      <c r="T89" s="13" t="n">
        <f aca="false">IF(Time!T34=1,INDEX(Funding!$J$65:$BJ$65,1,Time!$F$14),Time!T35*(T87-T88))</f>
        <v>1.45539035955076E-011</v>
      </c>
      <c r="U89" s="13" t="n">
        <f aca="false">IF(Time!U34=1,INDEX(Funding!$J$65:$BJ$65,1,Time!$F$14),Time!U35*(U87-U88))</f>
        <v>1.41286862865224E-011</v>
      </c>
      <c r="V89" s="13" t="n">
        <f aca="false">IF(Time!V34=1,INDEX(Funding!$J$65:$BJ$65,1,Time!$F$14),Time!V35*(V87-V88))</f>
        <v>1.36591488847491E-011</v>
      </c>
      <c r="W89" s="13" t="n">
        <f aca="false">IF(Time!W34=1,INDEX(Funding!$J$65:$BJ$65,1,Time!$F$14),Time!W35*(W87-W88))</f>
        <v>1.31677881792449E-011</v>
      </c>
      <c r="X89" s="13" t="n">
        <f aca="false">IF(Time!X34=1,INDEX(Funding!$J$65:$BJ$65,1,Time!$F$14),Time!X35*(X87-X88))</f>
        <v>1.2698687965024E-011</v>
      </c>
      <c r="Y89" s="13" t="n">
        <f aca="false">IF(Time!Y34=1,INDEX(Funding!$J$65:$BJ$65,1,Time!$F$14),Time!Y35*(Y87-Y88))</f>
        <v>1.22309608785712E-011</v>
      </c>
      <c r="Z89" s="13" t="n">
        <f aca="false">IF(Time!Z34=1,INDEX(Funding!$J$65:$BJ$65,1,Time!$F$14),Time!Z35*(Z87-Z88))</f>
        <v>1.17337405984167E-011</v>
      </c>
      <c r="AA89" s="13" t="n">
        <f aca="false">IF(Time!AA34=1,INDEX(Funding!$J$65:$BJ$65,1,Time!$F$14),Time!AA35*(AA87-AA88))</f>
        <v>1.12147898633612E-011</v>
      </c>
      <c r="AB89" s="13" t="n">
        <f aca="false">IF(Time!AB34=1,INDEX(Funding!$J$65:$BJ$65,1,Time!$F$14),Time!AB35*(AB87-AB88))</f>
        <v>1.06588808123428E-011</v>
      </c>
      <c r="AC89" s="13" t="n">
        <f aca="false">IF(Time!AC34=1,INDEX(Funding!$J$65:$BJ$65,1,Time!$F$14),Time!AC35*(AC87-AC88))</f>
        <v>1.00759439227456E-011</v>
      </c>
      <c r="AD89" s="13" t="n">
        <f aca="false">IF(Time!AD34=1,INDEX(Funding!$J$65:$BJ$65,1,Time!$F$14),Time!AD35*(AD87-AD88))</f>
        <v>9.41440509439533E-012</v>
      </c>
      <c r="AE89" s="13" t="n">
        <f aca="false">IF(Time!AE34=1,INDEX(Funding!$J$65:$BJ$65,1,Time!$F$14),Time!AE35*(AE87-AE88))</f>
        <v>8.71235261165529E-012</v>
      </c>
      <c r="AF89" s="13" t="n">
        <f aca="false">IF(Time!AF34=1,INDEX(Funding!$J$65:$BJ$65,1,Time!$F$14),Time!AF35*(AF87-AF88))</f>
        <v>7.97601891181723E-012</v>
      </c>
      <c r="AG89" s="13" t="n">
        <f aca="false">IF(Time!AG34=1,INDEX(Funding!$J$65:$BJ$65,1,Time!$F$14),Time!AG35*(AG87-AG88))</f>
        <v>7.22132441601099E-012</v>
      </c>
      <c r="AH89" s="13" t="n">
        <f aca="false">IF(Time!AH34=1,INDEX(Funding!$J$65:$BJ$65,1,Time!$F$14),Time!AH35*(AH87-AH88))</f>
        <v>6.41447496361643E-012</v>
      </c>
      <c r="AI89" s="13" t="n">
        <f aca="false">IF(Time!AI34=1,INDEX(Funding!$J$65:$BJ$65,1,Time!$F$14),Time!AI35*(AI87-AI88))</f>
        <v>5.57479362622732E-012</v>
      </c>
      <c r="AJ89" s="13" t="n">
        <f aca="false">IF(Time!AJ34=1,INDEX(Funding!$J$65:$BJ$65,1,Time!$F$14),Time!AJ35*(AJ87-AJ88))</f>
        <v>4.68030618795627E-012</v>
      </c>
      <c r="AK89" s="13" t="n">
        <f aca="false">IF(Time!AK34=1,INDEX(Funding!$J$65:$BJ$65,1,Time!$F$14),Time!AK35*(AK87-AK88))</f>
        <v>3.74641334360091E-012</v>
      </c>
      <c r="AL89" s="13" t="n">
        <f aca="false">IF(Time!AL34=1,INDEX(Funding!$J$65:$BJ$65,1,Time!$F$14),Time!AL35*(AL87-AL88))</f>
        <v>2.73786250372918E-012</v>
      </c>
      <c r="AM89" s="13" t="n">
        <f aca="false">IF(Time!AM34=1,INDEX(Funding!$J$65:$BJ$65,1,Time!$F$14),Time!AM35*(AM87-AM88))</f>
        <v>1.68900946313835E-012</v>
      </c>
      <c r="AN89" s="13" t="n">
        <f aca="false">IF(Time!AN34=1,INDEX(Funding!$J$65:$BJ$65,1,Time!$F$14),Time!AN35*(AN87-AN88))</f>
        <v>8.32074059361814E-013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-8.29718929762685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-0.533357391069809</v>
      </c>
      <c r="Q107" s="13" t="n">
        <f aca="false">Time!Q35*Inputs!Q301*Q106*(Inputs!$F$97/100*Time!Q24-Operations!Q9/100*Time!Q25/Inputs!$F$247)</f>
        <v>-0.443011992200953</v>
      </c>
      <c r="R107" s="13" t="n">
        <f aca="false">Time!R35*Inputs!R301*R106*(Inputs!$F$97/100*Time!R24-Operations!R9/100*Time!R25/Inputs!$F$247)</f>
        <v>-0.555330742578858</v>
      </c>
      <c r="S107" s="13" t="n">
        <f aca="false">Time!S35*Inputs!S301*S106*(Inputs!$F$97/100*Time!S24-Operations!S9/100*Time!S25/Inputs!$F$247)</f>
        <v>-0.442455676271794</v>
      </c>
      <c r="T107" s="13" t="n">
        <f aca="false">Time!T35*Inputs!T301*T106*(Inputs!$F$97/100*Time!T24-Operations!T9/100*Time!T25/Inputs!$F$247)</f>
        <v>-0.546437860239427</v>
      </c>
      <c r="U107" s="13" t="n">
        <f aca="false">Time!U35*Inputs!U301*U106*(Inputs!$F$97/100*Time!U24-Operations!U9/100*Time!U25/Inputs!$F$247)</f>
        <v>-0.453151236308598</v>
      </c>
      <c r="V107" s="13" t="n">
        <f aca="false">Time!V35*Inputs!V301*V106*(Inputs!$F$97/100*Time!V24-Operations!V9/100*Time!V25/Inputs!$F$247)</f>
        <v>-0.510625117398152</v>
      </c>
      <c r="W107" s="13" t="n">
        <f aca="false">Time!W35*Inputs!W301*W106*(Inputs!$F$97/100*Time!W24-Operations!W9/100*Time!W25/Inputs!$F$247)</f>
        <v>-0.38587098082902</v>
      </c>
      <c r="X107" s="13" t="n">
        <f aca="false">Time!X35*Inputs!X301*X106*(Inputs!$F$97/100*Time!X24-Operations!X9/100*Time!X25/Inputs!$F$247)</f>
        <v>-0.471389474621645</v>
      </c>
      <c r="Y107" s="13" t="n">
        <f aca="false">Time!Y35*Inputs!Y301*Y106*(Inputs!$F$97/100*Time!Y24-Operations!Y9/100*Time!Y25/Inputs!$F$247)</f>
        <v>-0.355063525858257</v>
      </c>
      <c r="Z107" s="13" t="n">
        <f aca="false">Time!Z35*Inputs!Z301*Z106*(Inputs!$F$97/100*Time!Z24-Operations!Z9/100*Time!Z25/Inputs!$F$247)</f>
        <v>-0.432783700967303</v>
      </c>
      <c r="AA107" s="13" t="n">
        <f aca="false">Time!AA35*Inputs!AA301*AA106*(Inputs!$F$97/100*Time!AA24-Operations!AA9/100*Time!AA25/Inputs!$F$247)</f>
        <v>-0.324163863885283</v>
      </c>
      <c r="AB107" s="13" t="n">
        <f aca="false">Time!AB35*Inputs!AB301*AB106*(Inputs!$F$97/100*Time!AB24-Operations!AB9/100*Time!AB25/Inputs!$F$247)</f>
        <v>-0.392101712890774</v>
      </c>
      <c r="AC107" s="13" t="n">
        <f aca="false">Time!AC35*Inputs!AC301*AC106*(Inputs!$F$97/100*Time!AC24-Operations!AC9/100*Time!AC25/Inputs!$F$247)</f>
        <v>-0.317506597213559</v>
      </c>
      <c r="AD107" s="13" t="n">
        <f aca="false">Time!AD35*Inputs!AD301*AD106*(Inputs!$F$97/100*Time!AD24-Operations!AD9/100*Time!AD25/Inputs!$F$247)</f>
        <v>-0.348209647609559</v>
      </c>
      <c r="AE107" s="13" t="n">
        <f aca="false">Time!AE35*Inputs!AE301*AE106*(Inputs!$F$97/100*Time!AE24-Operations!AE9/100*Time!AE25/Inputs!$F$247)</f>
        <v>-0.254360619028756</v>
      </c>
      <c r="AF107" s="13" t="n">
        <f aca="false">Time!AF35*Inputs!AF301*AF106*(Inputs!$F$97/100*Time!AF24-Operations!AF9/100*Time!AF25/Inputs!$F$247)</f>
        <v>-0.298436592482744</v>
      </c>
      <c r="AG107" s="13" t="n">
        <f aca="false">Time!AG35*Inputs!AG301*AG106*(Inputs!$F$97/100*Time!AG24-Operations!AG9/100*Time!AG25/Inputs!$F$247)</f>
        <v>-0.213730679377924</v>
      </c>
      <c r="AH107" s="13" t="n">
        <f aca="false">Time!AH35*Inputs!AH301*AH106*(Inputs!$F$97/100*Time!AH24-Operations!AH9/100*Time!AH25/Inputs!$F$247)</f>
        <v>-0.245328852319109</v>
      </c>
      <c r="AI107" s="13" t="n">
        <f aca="false">Time!AI35*Inputs!AI301*AI106*(Inputs!$F$97/100*Time!AI24-Operations!AI9/100*Time!AI25/Inputs!$F$247)</f>
        <v>-0.170569558891748</v>
      </c>
      <c r="AJ107" s="13" t="n">
        <f aca="false">Time!AJ35*Inputs!AJ301*AJ106*(Inputs!$F$97/100*Time!AJ24-Operations!AJ9/100*Time!AJ25/Inputs!$F$247)</f>
        <v>-0.188152021988385</v>
      </c>
      <c r="AK107" s="13" t="n">
        <f aca="false">Time!AK35*Inputs!AK301*AK106*(Inputs!$F$97/100*Time!AK24-Operations!AK9/100*Time!AK25/Inputs!$F$247)</f>
        <v>-0.135140367306777</v>
      </c>
      <c r="AL107" s="13" t="n">
        <f aca="false">Time!AL35*Inputs!AL301*AL106*(Inputs!$F$97/100*Time!AL24-Operations!AL9/100*Time!AL25/Inputs!$F$247)</f>
        <v>-0.126216673079163</v>
      </c>
      <c r="AM107" s="13" t="n">
        <f aca="false">Time!AM35*Inputs!AM301*AM106*(Inputs!$F$97/100*Time!AM24-Operations!AM9/100*Time!AM25/Inputs!$F$247)</f>
        <v>-0.0728710903636</v>
      </c>
      <c r="AN107" s="13" t="n">
        <f aca="false">Time!AN35*Inputs!AN301*AN106*(Inputs!$F$97/100*Time!AN24-Operations!AN9/100*Time!AN25/Inputs!$F$247)</f>
        <v>-0.0582883844691954</v>
      </c>
      <c r="AO107" s="13" t="n">
        <f aca="false">Time!AO35*Inputs!AO301*AO106*(Inputs!$F$97/100*Time!AO24-Operations!AO9/100*Time!AO25/Inputs!$F$247)</f>
        <v>-0.0226349383764548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17.3584573233111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1.24897792067468</v>
      </c>
      <c r="Q108" s="13" t="n">
        <f aca="false">(Inputs!$F$95/100*Inputs!$F$96/100)*Q63*Time!Q25/Inputs!$F$248</f>
        <v>1.20539216707428</v>
      </c>
      <c r="R108" s="13" t="n">
        <f aca="false">(Inputs!$F$95/100*Inputs!$F$96/100)*R63*Time!R25/Inputs!$F$248</f>
        <v>1.20002855762907</v>
      </c>
      <c r="S108" s="13" t="n">
        <f aca="false">(Inputs!$F$95/100*Inputs!$F$96/100)*S63*Time!S25/Inputs!$F$248</f>
        <v>1.15342927259756</v>
      </c>
      <c r="T108" s="13" t="n">
        <f aca="false">(Inputs!$F$95/100*Inputs!$F$96/100)*T63*Time!T25/Inputs!$F$248</f>
        <v>1.14375619956044</v>
      </c>
      <c r="U108" s="13" t="n">
        <f aca="false">(Inputs!$F$95/100*Inputs!$F$96/100)*U63*Time!U25/Inputs!$F$248</f>
        <v>1.1007037638713</v>
      </c>
      <c r="V108" s="13" t="n">
        <f aca="false">(Inputs!$F$95/100*Inputs!$F$96/100)*V63*Time!V25/Inputs!$F$248</f>
        <v>1.08028706218146</v>
      </c>
      <c r="W108" s="13" t="n">
        <f aca="false">(Inputs!$F$95/100*Inputs!$F$96/100)*W63*Time!W25/Inputs!$F$248</f>
        <v>1.02735794403725</v>
      </c>
      <c r="X108" s="13" t="n">
        <f aca="false">(Inputs!$F$95/100*Inputs!$F$96/100)*X63*Time!X25/Inputs!$F$248</f>
        <v>1.00681626862604</v>
      </c>
      <c r="Y108" s="13" t="n">
        <f aca="false">(Inputs!$F$95/100*Inputs!$F$96/100)*Y63*Time!Y25/Inputs!$F$248</f>
        <v>0.955117926438593</v>
      </c>
      <c r="Z108" s="13" t="n">
        <f aca="false">(Inputs!$F$95/100*Inputs!$F$96/100)*Z63*Time!Z25/Inputs!$F$248</f>
        <v>0.935185942076733</v>
      </c>
      <c r="AA108" s="13" t="n">
        <f aca="false">(Inputs!$F$95/100*Inputs!$F$96/100)*AA63*Time!AA25/Inputs!$F$248</f>
        <v>0.882540465644625</v>
      </c>
      <c r="AB108" s="13" t="n">
        <f aca="false">(Inputs!$F$95/100*Inputs!$F$96/100)*AB63*Time!AB25/Inputs!$F$248</f>
        <v>0.82442994634246</v>
      </c>
      <c r="AC108" s="13" t="n">
        <f aca="false">(Inputs!$F$95/100*Inputs!$F$96/100)*AC63*Time!AC25/Inputs!$F$248</f>
        <v>0.737185838236517</v>
      </c>
      <c r="AD108" s="13" t="n">
        <f aca="false">(Inputs!$F$95/100*Inputs!$F$96/100)*AD63*Time!AD25/Inputs!$F$248</f>
        <v>0.669191067497604</v>
      </c>
      <c r="AE108" s="13" t="n">
        <f aca="false">(Inputs!$F$95/100*Inputs!$F$96/100)*AE63*Time!AE25/Inputs!$F$248</f>
        <v>0.577544264845271</v>
      </c>
      <c r="AF108" s="13" t="n">
        <f aca="false">(Inputs!$F$95/100*Inputs!$F$96/100)*AF63*Time!AF25/Inputs!$F$248</f>
        <v>0.502741523353101</v>
      </c>
      <c r="AG108" s="13" t="n">
        <f aca="false">(Inputs!$F$95/100*Inputs!$F$96/100)*AG63*Time!AG25/Inputs!$F$248</f>
        <v>0.404519361946271</v>
      </c>
      <c r="AH108" s="13" t="n">
        <f aca="false">(Inputs!$F$95/100*Inputs!$F$96/100)*AH63*Time!AH25/Inputs!$F$248</f>
        <v>0.319572373669044</v>
      </c>
      <c r="AI108" s="13" t="n">
        <f aca="false">(Inputs!$F$95/100*Inputs!$F$96/100)*AI63*Time!AI25/Inputs!$F$248</f>
        <v>0.220238812037178</v>
      </c>
      <c r="AJ108" s="13" t="n">
        <f aca="false">(Inputs!$F$95/100*Inputs!$F$96/100)*AJ63*Time!AJ25/Inputs!$F$248</f>
        <v>0.129782453491718</v>
      </c>
      <c r="AK108" s="13" t="n">
        <f aca="false">(Inputs!$F$95/100*Inputs!$F$96/100)*AK63*Time!AK25/Inputs!$F$248</f>
        <v>0.0336581914799106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308.19141630781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20.9269686373539</v>
      </c>
      <c r="Q111" s="13" t="n">
        <f aca="false">Q23+Q37+Q51+Q65+Q79+Q92</f>
        <v>20.1785556460041</v>
      </c>
      <c r="R111" s="13" t="n">
        <f aca="false">R23+R37+R51+R65+R79+R92</f>
        <v>20.0087439764665</v>
      </c>
      <c r="S111" s="13" t="n">
        <f aca="false">S23+S37+S51+S65+S79+S92</f>
        <v>19.1888349849873</v>
      </c>
      <c r="T111" s="13" t="n">
        <f aca="false">T23+T37+T51+T65+T79+T92</f>
        <v>18.9556295375424</v>
      </c>
      <c r="U111" s="13" t="n">
        <f aca="false">U23+U37+U51+U65+U79+U92</f>
        <v>18.1756644047306</v>
      </c>
      <c r="V111" s="13" t="n">
        <f aca="false">V23+V37+V51+V65+V79+V92</f>
        <v>17.7743527584435</v>
      </c>
      <c r="W111" s="13" t="n">
        <f aca="false">W23+W37+W51+W65+W79+W92</f>
        <v>16.8487105112748</v>
      </c>
      <c r="X111" s="13" t="n">
        <f aca="false">X23+X37+X51+X65+X79+X92</f>
        <v>16.4592647135166</v>
      </c>
      <c r="Y111" s="13" t="n">
        <f aca="false">Y23+Y37+Y51+Y65+Y79+Y92</f>
        <v>16.0753019338856</v>
      </c>
      <c r="Z111" s="13" t="n">
        <f aca="false">Z23+Z37+Z51+Z65+Z79+Z92</f>
        <v>15.6777505342414</v>
      </c>
      <c r="AA111" s="13" t="n">
        <f aca="false">AA23+AA37+AA51+AA65+AA79+AA92</f>
        <v>14.738082473068</v>
      </c>
      <c r="AB111" s="13" t="n">
        <f aca="false">AB23+AB37+AB51+AB65+AB79+AB92</f>
        <v>13.9860473225916</v>
      </c>
      <c r="AC111" s="13" t="n">
        <f aca="false">AC23+AC37+AC51+AC65+AC79+AC92</f>
        <v>12.7798775207004</v>
      </c>
      <c r="AD111" s="13" t="n">
        <f aca="false">AD23+AD37+AD51+AD65+AD79+AD92</f>
        <v>11.8687832237614</v>
      </c>
      <c r="AE111" s="13" t="n">
        <f aca="false">AE23+AE37+AE51+AE65+AE79+AE92</f>
        <v>10.5588291689593</v>
      </c>
      <c r="AF111" s="13" t="n">
        <f aca="false">AF23+AF37+AF51+AF65+AF79+AF92</f>
        <v>9.56245595899248</v>
      </c>
      <c r="AG111" s="13" t="n">
        <f aca="false">AG23+AG37+AG51+AG65+AG79+AG92</f>
        <v>8.40114341643453</v>
      </c>
      <c r="AH111" s="13" t="n">
        <f aca="false">AH23+AH37+AH51+AH65+AH79+AH92</f>
        <v>7.23576641730899</v>
      </c>
      <c r="AI111" s="13" t="n">
        <f aca="false">AI23+AI37+AI51+AI65+AI79+AI92</f>
        <v>5.77730393945776</v>
      </c>
      <c r="AJ111" s="13" t="n">
        <f aca="false">AJ23+AJ37+AJ51+AJ65+AJ79+AJ92</f>
        <v>4.51060112850394</v>
      </c>
      <c r="AK111" s="13" t="n">
        <f aca="false">AK23+AK37+AK51+AK65+AK79+AK92</f>
        <v>3.0764599896459</v>
      </c>
      <c r="AL111" s="13" t="n">
        <f aca="false">AL23+AL37+AL51+AL65+AL79+AL92</f>
        <v>2.2455687321595</v>
      </c>
      <c r="AM111" s="13" t="n">
        <f aca="false">AM23+AM37+AM51+AM65+AM79+AM92</f>
        <v>1.62684420023292</v>
      </c>
      <c r="AN111" s="13" t="n">
        <f aca="false">AN23+AN37+AN51+AN65+AN79+AN92</f>
        <v>1.04503718475105</v>
      </c>
      <c r="AO111" s="13" t="n">
        <f aca="false">AO23+AO37+AO51+AO65+AO79+AO92</f>
        <v>0.508837992795635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317.252684333494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21.6425891669588</v>
      </c>
      <c r="Q112" s="13" t="n">
        <f aca="false">Q111+Q107+Q108+Q109</f>
        <v>20.9409358208775</v>
      </c>
      <c r="R112" s="13" t="n">
        <f aca="false">R111+R107+R108+R109</f>
        <v>20.6534417915168</v>
      </c>
      <c r="S112" s="13" t="n">
        <f aca="false">S111+S107+S108+S109</f>
        <v>19.8998085813131</v>
      </c>
      <c r="T112" s="13" t="n">
        <f aca="false">T111+T107+T108+T109</f>
        <v>19.5529478768634</v>
      </c>
      <c r="U112" s="13" t="n">
        <f aca="false">U111+U107+U108+U109</f>
        <v>18.8232169322933</v>
      </c>
      <c r="V112" s="13" t="n">
        <f aca="false">V111+V107+V108+V109</f>
        <v>18.3440147032268</v>
      </c>
      <c r="W112" s="13" t="n">
        <f aca="false">W111+W107+W108+W109</f>
        <v>17.490197474483</v>
      </c>
      <c r="X112" s="13" t="n">
        <f aca="false">X111+X107+X108+X109</f>
        <v>16.994691507521</v>
      </c>
      <c r="Y112" s="13" t="n">
        <f aca="false">Y111+Y107+Y108+Y109</f>
        <v>16.6753563344659</v>
      </c>
      <c r="Z112" s="13" t="n">
        <f aca="false">Z111+Z107+Z108+Z109</f>
        <v>16.1801527753508</v>
      </c>
      <c r="AA112" s="13" t="n">
        <f aca="false">AA111+AA107+AA108+AA109</f>
        <v>15.2964590748274</v>
      </c>
      <c r="AB112" s="13" t="n">
        <f aca="false">AB111+AB107+AB108+AB109</f>
        <v>14.4183755560433</v>
      </c>
      <c r="AC112" s="13" t="n">
        <f aca="false">AC111+AC107+AC108+AC109</f>
        <v>13.1995567617233</v>
      </c>
      <c r="AD112" s="13" t="n">
        <f aca="false">AD111+AD107+AD108+AD109</f>
        <v>12.1897646436494</v>
      </c>
      <c r="AE112" s="13" t="n">
        <f aca="false">AE111+AE107+AE108+AE109</f>
        <v>10.8820128147758</v>
      </c>
      <c r="AF112" s="13" t="n">
        <f aca="false">AF111+AF107+AF108+AF109</f>
        <v>9.76676088986284</v>
      </c>
      <c r="AG112" s="13" t="n">
        <f aca="false">AG111+AG107+AG108+AG109</f>
        <v>8.59193209900288</v>
      </c>
      <c r="AH112" s="13" t="n">
        <f aca="false">AH111+AH107+AH108+AH109</f>
        <v>7.31000993865892</v>
      </c>
      <c r="AI112" s="13" t="n">
        <f aca="false">AI111+AI107+AI108+AI109</f>
        <v>5.82697319260319</v>
      </c>
      <c r="AJ112" s="13" t="n">
        <f aca="false">AJ111+AJ107+AJ108+AJ109</f>
        <v>4.45223156000728</v>
      </c>
      <c r="AK112" s="13" t="n">
        <f aca="false">AK111+AK107+AK108+AK109</f>
        <v>2.97497781381903</v>
      </c>
      <c r="AL112" s="13" t="n">
        <f aca="false">AL111+AL107+AL108+AL109</f>
        <v>2.11935205908034</v>
      </c>
      <c r="AM112" s="13" t="n">
        <f aca="false">AM111+AM107+AM108+AM109</f>
        <v>1.55397310986932</v>
      </c>
      <c r="AN112" s="13" t="n">
        <f aca="false">AN111+AN107+AN108+AN109</f>
        <v>0.98674880028185</v>
      </c>
      <c r="AO112" s="13" t="n">
        <f aca="false">AO111+AO107+AO108+AO109</f>
        <v>0.48620305441918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531.413443395291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15.603306269637</v>
      </c>
      <c r="Q113" s="13" t="n">
        <f aca="false">Q27+Q41+Q55+Q69+Q83+Q93</f>
        <v>16.2160806338532</v>
      </c>
      <c r="R113" s="13" t="n">
        <f aca="false">R27+R41+R55+R69+R83+R93</f>
        <v>16.9713432956419</v>
      </c>
      <c r="S113" s="13" t="n">
        <f aca="false">S27+S41+S55+S69+S83+S93</f>
        <v>17.4335039108307</v>
      </c>
      <c r="T113" s="13" t="n">
        <f aca="false">T27+T41+T55+T69+T83+T93</f>
        <v>18.1982699043747</v>
      </c>
      <c r="U113" s="13" t="n">
        <f aca="false">U27+U41+U55+U69+U83+U93</f>
        <v>18.7474758221372</v>
      </c>
      <c r="V113" s="13" t="n">
        <f aca="false">V27+V41+V55+V69+V83+V93</f>
        <v>19.943905531456</v>
      </c>
      <c r="W113" s="13" t="n">
        <f aca="false">W27+W41+W55+W69+W83+W93</f>
        <v>20.5330299510275</v>
      </c>
      <c r="X113" s="13" t="n">
        <f aca="false">X27+X41+X55+X69+X83+X93</f>
        <v>19.9321035666295</v>
      </c>
      <c r="Y113" s="13" t="n">
        <f aca="false">Y27+Y41+Y55+Y69+Y83+Y93</f>
        <v>19.8950357097485</v>
      </c>
      <c r="Z113" s="13" t="n">
        <f aca="false">Z27+Z41+Z55+Z69+Z83+Z93</f>
        <v>20.6912103327596</v>
      </c>
      <c r="AA113" s="13" t="n">
        <f aca="false">AA27+AA41+AA55+AA69+AA83+AA93</f>
        <v>21.2778282797242</v>
      </c>
      <c r="AB113" s="13" t="n">
        <f aca="false">AB27+AB41+AB55+AB69+AB83+AB93</f>
        <v>21.9614476764724</v>
      </c>
      <c r="AC113" s="13" t="n">
        <f aca="false">AC27+AC41+AC55+AC69+AC83+AC93</f>
        <v>22.2745818497981</v>
      </c>
      <c r="AD113" s="13" t="n">
        <f aca="false">AD27+AD41+AD55+AD69+AD83+AD93</f>
        <v>23.8532981249912</v>
      </c>
      <c r="AE113" s="13" t="n">
        <f aca="false">AE27+AE41+AE55+AE69+AE83+AE93</f>
        <v>24.3238714439388</v>
      </c>
      <c r="AF113" s="13" t="n">
        <f aca="false">AF27+AF41+AF55+AF69+AF83+AF93</f>
        <v>24.499137732842</v>
      </c>
      <c r="AG113" s="13" t="n">
        <f aca="false">AG27+AG41+AG55+AG69+AG83+AG93</f>
        <v>24.0396658012849</v>
      </c>
      <c r="AH113" s="13" t="n">
        <f aca="false">AH27+AH41+AH55+AH69+AH83+AH93</f>
        <v>24.0692271694017</v>
      </c>
      <c r="AI113" s="13" t="n">
        <f aca="false">AI27+AI41+AI55+AI69+AI83+AI93</f>
        <v>23.2480906173908</v>
      </c>
      <c r="AJ113" s="13" t="n">
        <f aca="false">AJ27+AJ41+AJ55+AJ69+AJ83+AJ93</f>
        <v>22.2983497374246</v>
      </c>
      <c r="AK113" s="13" t="n">
        <f aca="false">AK27+AK41+AK55+AK69+AK83+AK93</f>
        <v>20.0948579623842</v>
      </c>
      <c r="AL113" s="13" t="n">
        <f aca="false">AL27+AL41+AL55+AL69+AL83+AL93</f>
        <v>19.714835363646</v>
      </c>
      <c r="AM113" s="13" t="n">
        <f aca="false">AM27+AM41+AM55+AM69+AM83+AM93</f>
        <v>20.2121912103819</v>
      </c>
      <c r="AN113" s="13" t="n">
        <f aca="false">AN27+AN41+AN55+AN69+AN83+AN93</f>
        <v>17.8438004759254</v>
      </c>
      <c r="AO113" s="13" t="n">
        <f aca="false">AO27+AO41+AO55+AO69+AO83+AO93</f>
        <v>17.536995021589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848.666127728785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37.2458954365957</v>
      </c>
      <c r="Q114" s="13" t="n">
        <f aca="false">Q112+Q113</f>
        <v>37.1570164547307</v>
      </c>
      <c r="R114" s="13" t="n">
        <f aca="false">R112+R113</f>
        <v>37.6247850871586</v>
      </c>
      <c r="S114" s="13" t="n">
        <f aca="false">S112+S113</f>
        <v>37.3333124921438</v>
      </c>
      <c r="T114" s="13" t="n">
        <f aca="false">T112+T113</f>
        <v>37.7512177812382</v>
      </c>
      <c r="U114" s="13" t="n">
        <f aca="false">U112+U113</f>
        <v>37.5706927544304</v>
      </c>
      <c r="V114" s="13" t="n">
        <f aca="false">V112+V113</f>
        <v>38.2879202346828</v>
      </c>
      <c r="W114" s="13" t="n">
        <f aca="false">W112+W113</f>
        <v>38.0232274255105</v>
      </c>
      <c r="X114" s="13" t="n">
        <f aca="false">X112+X113</f>
        <v>36.9267950741505</v>
      </c>
      <c r="Y114" s="13" t="n">
        <f aca="false">Y112+Y113</f>
        <v>36.5703920442144</v>
      </c>
      <c r="Z114" s="13" t="n">
        <f aca="false">Z112+Z113</f>
        <v>36.8713631081105</v>
      </c>
      <c r="AA114" s="13" t="n">
        <f aca="false">AA112+AA113</f>
        <v>36.5742873545516</v>
      </c>
      <c r="AB114" s="13" t="n">
        <f aca="false">AB112+AB113</f>
        <v>36.3798232325157</v>
      </c>
      <c r="AC114" s="13" t="n">
        <f aca="false">AC112+AC113</f>
        <v>35.4741386115214</v>
      </c>
      <c r="AD114" s="13" t="n">
        <f aca="false">AD112+AD113</f>
        <v>36.0430627686406</v>
      </c>
      <c r="AE114" s="13" t="n">
        <f aca="false">AE112+AE113</f>
        <v>35.2058842587146</v>
      </c>
      <c r="AF114" s="13" t="n">
        <f aca="false">AF112+AF113</f>
        <v>34.2658986227048</v>
      </c>
      <c r="AG114" s="13" t="n">
        <f aca="false">AG112+AG113</f>
        <v>32.6315979002878</v>
      </c>
      <c r="AH114" s="13" t="n">
        <f aca="false">AH112+AH113</f>
        <v>31.3792371080606</v>
      </c>
      <c r="AI114" s="13" t="n">
        <f aca="false">AI112+AI113</f>
        <v>29.075063809994</v>
      </c>
      <c r="AJ114" s="13" t="n">
        <f aca="false">AJ112+AJ113</f>
        <v>26.7505812974318</v>
      </c>
      <c r="AK114" s="13" t="n">
        <f aca="false">AK112+AK113</f>
        <v>23.0698357762032</v>
      </c>
      <c r="AL114" s="13" t="n">
        <f aca="false">AL112+AL113</f>
        <v>21.8341874227264</v>
      </c>
      <c r="AM114" s="13" t="n">
        <f aca="false">AM112+AM113</f>
        <v>21.7661643202512</v>
      </c>
      <c r="AN114" s="13" t="n">
        <f aca="false">AN112+AN113</f>
        <v>18.8305492762072</v>
      </c>
      <c r="AO114" s="13" t="n">
        <f aca="false">AO112+AO113</f>
        <v>18.0231980760082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629.94967477845</v>
      </c>
      <c r="Q115" s="13" t="n">
        <f aca="false">Q21+Q35+Q49+Q63+Q77+Q91</f>
        <v>614.346368508813</v>
      </c>
      <c r="R115" s="13" t="n">
        <f aca="false">R21+R35+R49+R63+R77+R91</f>
        <v>598.130287874959</v>
      </c>
      <c r="S115" s="13" t="n">
        <f aca="false">S21+S35+S49+S63+S77+S91</f>
        <v>581.158944579318</v>
      </c>
      <c r="T115" s="13" t="n">
        <f aca="false">T21+T35+T49+T63+T77+T91</f>
        <v>563.725440668487</v>
      </c>
      <c r="U115" s="13" t="n">
        <f aca="false">U21+U35+U49+U63+U77+U91</f>
        <v>545.527170764112</v>
      </c>
      <c r="V115" s="13" t="n">
        <f aca="false">V21+V35+V49+V63+V77+V91</f>
        <v>526.779694941975</v>
      </c>
      <c r="W115" s="13" t="n">
        <f aca="false">W21+W35+W49+W63+W77+W91</f>
        <v>506.835789410519</v>
      </c>
      <c r="X115" s="13" t="n">
        <f aca="false">X21+X35+X49+X63+X77+X91</f>
        <v>486.302759459492</v>
      </c>
      <c r="Y115" s="13" t="n">
        <f aca="false">Y21+Y35+Y49+Y63+Y77+Y91</f>
        <v>466.370655892862</v>
      </c>
      <c r="Z115" s="13" t="n">
        <f aca="false">Z21+Z35+Z49+Z63+Z77+Z91</f>
        <v>446.475620183114</v>
      </c>
      <c r="AA115" s="13" t="n">
        <f aca="false">AA21+AA35+AA49+AA63+AA77+AA91</f>
        <v>425.784409850354</v>
      </c>
      <c r="AB115" s="13" t="n">
        <f aca="false">AB21+AB35+AB49+AB63+AB77+AB91</f>
        <v>398.170445779528</v>
      </c>
      <c r="AC115" s="13" t="n">
        <f aca="false">AC21+AC35+AC49+AC63+AC77+AC91</f>
        <v>368.872818837746</v>
      </c>
      <c r="AD115" s="13" t="n">
        <f aca="false">AD21+AD35+AD49+AD63+AD77+AD91</f>
        <v>339.825729205779</v>
      </c>
      <c r="AE115" s="13" t="n">
        <f aca="false">AE21+AE35+AE49+AE63+AE77+AE91</f>
        <v>308.662785735209</v>
      </c>
      <c r="AF115" s="13" t="n">
        <f aca="false">AF21+AF35+AF49+AF63+AF77+AF91</f>
        <v>276.558853942335</v>
      </c>
      <c r="AG115" s="13" t="n">
        <f aca="false">AG21+AG35+AG49+AG63+AG77+AG91</f>
        <v>242.662999969902</v>
      </c>
      <c r="AH115" s="13" t="n">
        <f aca="false">AH21+AH35+AH49+AH63+AH77+AH91</f>
        <v>208.514819862135</v>
      </c>
      <c r="AI115" s="13" t="n">
        <f aca="false">AI21+AI35+AI49+AI63+AI77+AI91</f>
        <v>172.950336666124</v>
      </c>
      <c r="AJ115" s="13" t="n">
        <f aca="false">AJ21+AJ35+AJ49+AJ63+AJ77+AJ91</f>
        <v>137.282834544146</v>
      </c>
      <c r="AK115" s="13" t="n">
        <f aca="false">AK21+AK35+AK49+AK63+AK77+AK91</f>
        <v>100.62319480971</v>
      </c>
      <c r="AL115" s="13" t="n">
        <f aca="false">AL21+AL35+AL49+AL63+AL77+AL91</f>
        <v>75.3078220715423</v>
      </c>
      <c r="AM115" s="13" t="n">
        <f aca="false">AM21+AM35+AM49+AM63+AM77+AM91</f>
        <v>55.5929867078963</v>
      </c>
      <c r="AN115" s="13" t="n">
        <f aca="false">AN21+AN35+AN49+AN63+AN77+AN91</f>
        <v>35.3807954975144</v>
      </c>
      <c r="AO115" s="13" t="n">
        <f aca="false">AO21+AO35+AO49+AO63+AO77+AO91</f>
        <v>17.536995021589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629.94967477845</v>
      </c>
      <c r="P116" s="13" t="n">
        <f aca="false">P33+P47+P61+P75+P89+P95</f>
        <v>614.346368508813</v>
      </c>
      <c r="Q116" s="13" t="n">
        <f aca="false">Q33+Q47+Q61+Q75+Q89+Q95</f>
        <v>598.130287874959</v>
      </c>
      <c r="R116" s="13" t="n">
        <f aca="false">R33+R47+R61+R75+R89+R95</f>
        <v>581.158944579318</v>
      </c>
      <c r="S116" s="13" t="n">
        <f aca="false">S33+S47+S61+S75+S89+S95</f>
        <v>563.725440668487</v>
      </c>
      <c r="T116" s="13" t="n">
        <f aca="false">T33+T47+T61+T75+T89+T95</f>
        <v>545.527170764112</v>
      </c>
      <c r="U116" s="13" t="n">
        <f aca="false">U33+U47+U61+U75+U89+U95</f>
        <v>526.779694941975</v>
      </c>
      <c r="V116" s="13" t="n">
        <f aca="false">V33+V47+V61+V75+V89+V95</f>
        <v>506.835789410519</v>
      </c>
      <c r="W116" s="13" t="n">
        <f aca="false">W33+W47+W61+W75+W89+W95</f>
        <v>486.302759459492</v>
      </c>
      <c r="X116" s="13" t="n">
        <f aca="false">X33+X47+X61+X75+X89+X95</f>
        <v>466.370655892862</v>
      </c>
      <c r="Y116" s="13" t="n">
        <f aca="false">Y33+Y47+Y61+Y75+Y89+Y95</f>
        <v>446.475620183114</v>
      </c>
      <c r="Z116" s="13" t="n">
        <f aca="false">Z33+Z47+Z61+Z75+Z89+Z95</f>
        <v>425.784409850354</v>
      </c>
      <c r="AA116" s="13" t="n">
        <f aca="false">AA33+AA47+AA61+AA75+AA89+AA95</f>
        <v>398.170445779528</v>
      </c>
      <c r="AB116" s="13" t="n">
        <f aca="false">AB33+AB47+AB61+AB75+AB89+AB95</f>
        <v>368.872818837746</v>
      </c>
      <c r="AC116" s="13" t="n">
        <f aca="false">AC33+AC47+AC61+AC75+AC89+AC95</f>
        <v>339.825729205779</v>
      </c>
      <c r="AD116" s="13" t="n">
        <f aca="false">AD33+AD47+AD61+AD75+AD89+AD95</f>
        <v>308.662785735209</v>
      </c>
      <c r="AE116" s="13" t="n">
        <f aca="false">AE33+AE47+AE61+AE75+AE89+AE95</f>
        <v>276.558853942335</v>
      </c>
      <c r="AF116" s="13" t="n">
        <f aca="false">AF33+AF47+AF61+AF75+AF89+AF95</f>
        <v>242.662999969902</v>
      </c>
      <c r="AG116" s="13" t="n">
        <f aca="false">AG33+AG47+AG61+AG75+AG89+AG95</f>
        <v>208.514819862135</v>
      </c>
      <c r="AH116" s="13" t="n">
        <f aca="false">AH33+AH47+AH61+AH75+AH89+AH95</f>
        <v>172.950336666124</v>
      </c>
      <c r="AI116" s="13" t="n">
        <f aca="false">AI33+AI47+AI61+AI75+AI89+AI95</f>
        <v>137.282834544146</v>
      </c>
      <c r="AJ116" s="13" t="n">
        <f aca="false">AJ33+AJ47+AJ61+AJ75+AJ89+AJ95</f>
        <v>100.62319480971</v>
      </c>
      <c r="AK116" s="13" t="n">
        <f aca="false">AK33+AK47+AK61+AK75+AK89+AK95</f>
        <v>75.3078220715423</v>
      </c>
      <c r="AL116" s="13" t="n">
        <f aca="false">AL33+AL47+AL61+AL75+AL89+AL95</f>
        <v>55.5929867078963</v>
      </c>
      <c r="AM116" s="13" t="n">
        <f aca="false">AM33+AM47+AM61+AM75+AM89+AM95</f>
        <v>35.3807954975144</v>
      </c>
      <c r="AN116" s="13" t="n">
        <f aca="false">AN33+AN47+AN61+AN75+AN89+AN95</f>
        <v>17.536995021589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239.380876415805</v>
      </c>
      <c r="P118" s="13" t="n">
        <f aca="false">IF(Time!P34=1,P75,P73)</f>
        <v>234.856348777383</v>
      </c>
      <c r="Q118" s="13" t="n">
        <f aca="false">IF(Time!Q34=1,Q75,Q73)</f>
        <v>229.999172198387</v>
      </c>
      <c r="R118" s="13" t="n">
        <f aca="false">IF(Time!R34=1,R75,R73)</f>
        <v>224.731995888706</v>
      </c>
      <c r="S118" s="13" t="n">
        <f aca="false">IF(Time!S34=1,S75,S73)</f>
        <v>219.213932387923</v>
      </c>
      <c r="T118" s="13" t="n">
        <f aca="false">IF(Time!T34=1,T75,T73)</f>
        <v>213.280710204929</v>
      </c>
      <c r="U118" s="13" t="n">
        <f aca="false">IF(Time!U34=1,U75,U73)</f>
        <v>207.049347666579</v>
      </c>
      <c r="V118" s="13" t="n">
        <f aca="false">IF(Time!V34=1,V75,V73)</f>
        <v>200.168494714599</v>
      </c>
      <c r="W118" s="13" t="n">
        <f aca="false">IF(Time!W34=1,W75,W73)</f>
        <v>192.967831363423</v>
      </c>
      <c r="X118" s="13" t="n">
        <f aca="false">IF(Time!X34=1,X75,X73)</f>
        <v>186.093385192349</v>
      </c>
      <c r="Y118" s="13" t="n">
        <f aca="false">IF(Time!Y34=1,Y75,Y73)</f>
        <v>179.239061572153</v>
      </c>
      <c r="Z118" s="13" t="n">
        <f aca="false">IF(Time!Z34=1,Z75,Z73)</f>
        <v>171.952528870893</v>
      </c>
      <c r="AA118" s="13" t="n">
        <f aca="false">IF(Time!AA34=1,AA75,AA73)</f>
        <v>164.347546426996</v>
      </c>
      <c r="AB118" s="13" t="n">
        <f aca="false">IF(Time!AB34=1,AB75,AB73)</f>
        <v>150.178898889629</v>
      </c>
      <c r="AC118" s="13" t="n">
        <f aca="false">IF(Time!AC34=1,AC75,AC73)</f>
        <v>135.030615131793</v>
      </c>
      <c r="AD118" s="13" t="n">
        <f aca="false">IF(Time!AD34=1,AD75,AD73)</f>
        <v>119.837286559727</v>
      </c>
      <c r="AE118" s="13" t="n">
        <f aca="false">IF(Time!AE34=1,AE75,AE73)</f>
        <v>104.136212430368</v>
      </c>
      <c r="AF118" s="13" t="n">
        <f aca="false">IF(Time!AF34=1,AF75,AF73)</f>
        <v>88.2125099302463</v>
      </c>
      <c r="AG118" s="13" t="n">
        <f aca="false">IF(Time!AG34=1,AG75,AG73)</f>
        <v>71.3582078525863</v>
      </c>
      <c r="AH118" s="13" t="n">
        <f aca="false">IF(Time!AH34=1,AH75,AH73)</f>
        <v>54.4061730434889</v>
      </c>
      <c r="AI118" s="13" t="n">
        <f aca="false">IF(Time!AI34=1,AI75,AI73)</f>
        <v>37.2937002698029</v>
      </c>
      <c r="AJ118" s="13" t="n">
        <f aca="false">IF(Time!AJ34=1,AJ75,AJ73)</f>
        <v>20.8831564779621</v>
      </c>
      <c r="AK118" s="13" t="n">
        <f aca="false">IF(Time!AK34=1,AK75,AK73)</f>
        <v>5.22051477578384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IF(AND(Time!J20&gt;=Time!$F$12,Time!K20&gt;0),(IF(Time!J34=1,J33,J31)-J30)*K147+IF(Time!K46&gt;0,Time!K45*J30/Time!K46,0)+IF(Time!J34=1,J33,J31)*K10,0)</f>
        <v>0</v>
      </c>
      <c r="K119" s="13" t="n">
        <f aca="false">IF(AND(Time!K20&gt;=Time!$F$12,Time!L20&gt;0),(IF(Time!K34=1,K33,K31)-K30)*L147+IF(Time!L46&gt;0,Time!L45*K30/Time!L46,0)+IF(Time!K34=1,K33,K31)*L10,0)</f>
        <v>0</v>
      </c>
      <c r="L119" s="13" t="n">
        <f aca="false">IF(AND(Time!L20&gt;=Time!$F$12,Time!M20&gt;0),(IF(Time!L34=1,L33,L31)-L30)*M147+IF(Time!M46&gt;0,Time!M45*L30/Time!M46,0)+IF(Time!L34=1,L33,L31)*M10,0)</f>
        <v>0</v>
      </c>
      <c r="M119" s="13" t="n">
        <f aca="false">IF(AND(Time!M20&gt;=Time!$F$12,Time!N20&gt;0),(IF(Time!M34=1,M33,M31)-M30)*N147+IF(Time!N46&gt;0,Time!N45*M30/Time!N46,0)+IF(Time!M34=1,M33,M31)*N10,0)</f>
        <v>0</v>
      </c>
      <c r="N119" s="13" t="n">
        <f aca="false">IF(AND(Time!N20&gt;=Time!$F$12,Time!O20&gt;0),(IF(Time!N34=1,N33,N31)-N30)*O147+IF(Time!O46&gt;0,Time!O45*N30/Time!O46,0)+IF(Time!N34=1,N33,N31)*O10,0)</f>
        <v>0</v>
      </c>
      <c r="O119" s="13" t="n">
        <f aca="false">IF(AND(Time!O20&gt;=Time!$F$12,Time!P20&gt;0),(IF(Time!O34=1,O33,O31)-O30)*P147+IF(Time!P46&gt;0,Time!P45*O30/Time!P46,0)+IF(Time!O34=1,O33,O31)*P10,0)</f>
        <v>11.5573474794889</v>
      </c>
      <c r="P119" s="13" t="n">
        <f aca="false">IF(AND(Time!P20&gt;=Time!$F$12,Time!Q20&gt;0),(IF(Time!P34=1,P33,P31)-P30)*Q147+IF(Time!Q46&gt;0,Time!Q45*P30/Time!Q46,0)+IF(Time!P34=1,P33,P31)*Q10,0)</f>
        <v>11.3434351453733</v>
      </c>
      <c r="Q119" s="13" t="n">
        <f aca="false">IF(AND(Time!Q20&gt;=Time!$F$12,Time!R20&gt;0),(IF(Time!Q34=1,Q33,Q31)-Q30)*R147+IF(Time!R46&gt;0,Time!R45*Q30/Time!R46,0)+IF(Time!Q34=1,Q33,Q31)*R10,0)</f>
        <v>11.2452801021371</v>
      </c>
      <c r="R119" s="13" t="n">
        <f aca="false">IF(AND(Time!R20&gt;=Time!$F$12,Time!S20&gt;0),(IF(Time!R34=1,R33,R31)-R30)*S147+IF(Time!S46&gt;0,Time!S45*R30/Time!S46,0)+IF(Time!R34=1,R33,R31)*S10,0)</f>
        <v>11.0258577274366</v>
      </c>
      <c r="S119" s="13" t="n">
        <f aca="false">IF(AND(Time!S20&gt;=Time!$F$12,Time!T20&gt;0),(IF(Time!S34=1,S33,S31)-S30)*T147+IF(Time!T46&gt;0,Time!T45*S30/Time!T46,0)+IF(Time!S34=1,S33,S31)*T10,0)</f>
        <v>10.9220674613085</v>
      </c>
      <c r="T119" s="13" t="n">
        <f aca="false">IF(AND(Time!T20&gt;=Time!$F$12,Time!U20&gt;0),(IF(Time!T34=1,T33,T31)-T30)*U147+IF(Time!U46&gt;0,Time!U45*T30/Time!U46,0)+IF(Time!T34=1,T33,T31)*U10,0)</f>
        <v>10.7180970252653</v>
      </c>
      <c r="U119" s="13" t="n">
        <f aca="false">IF(AND(Time!U20&gt;=Time!$F$12,Time!V20&gt;0),(IF(Time!U34=1,U33,U31)-U30)*V147+IF(Time!V46&gt;0,Time!V45*U30/Time!V46,0)+IF(Time!U34=1,U33,U31)*V10,0)</f>
        <v>10.5899386096984</v>
      </c>
      <c r="V119" s="13" t="n">
        <f aca="false">IF(AND(Time!V20&gt;=Time!$F$12,Time!W20&gt;0),(IF(Time!V34=1,V33,V31)-V30)*W147+IF(Time!W46&gt;0,Time!W45*V30/Time!W46,0)+IF(Time!V34=1,V33,V31)*W10,0)</f>
        <v>10.3724303128559</v>
      </c>
      <c r="W119" s="13" t="n">
        <f aca="false">IF(AND(Time!W20&gt;=Time!$F$12,Time!X20&gt;0),(IF(Time!W34=1,W33,W31)-W30)*X147+IF(Time!X46&gt;0,Time!X45*W30/Time!X46,0)+IF(Time!W34=1,W33,W31)*X10,0)</f>
        <v>10.2578097580883</v>
      </c>
      <c r="X119" s="13" t="n">
        <f aca="false">IF(AND(Time!X20&gt;=Time!$F$12,Time!Y20&gt;0),(IF(Time!X34=1,X33,X31)-X30)*Y147+IF(Time!Y46&gt;0,Time!Y45*X30/Time!Y46,0)+IF(Time!X34=1,X33,X31)*Y10,0)</f>
        <v>10.0457166055655</v>
      </c>
      <c r="Y119" s="13" t="n">
        <f aca="false">IF(AND(Time!Y20&gt;=Time!$F$12,Time!Z20&gt;0),(IF(Time!Y34=1,Y33,Y31)-Y30)*Z147+IF(Time!Z46&gt;0,Time!Z45*Y30/Time!Z46,0)+IF(Time!Y34=1,Y33,Y31)*Z10,0)</f>
        <v>9.92568090647816</v>
      </c>
      <c r="Z119" s="13" t="n">
        <f aca="false">IF(AND(Time!Z20&gt;=Time!$F$12,Time!AA20&gt;0),(IF(Time!Z34=1,Z33,Z31)-Z30)*AA147+IF(Time!AA46&gt;0,Time!AA45*Z30/Time!AA46,0)+IF(Time!Z34=1,Z33,Z31)*AA10,0)</f>
        <v>9.71900289827513</v>
      </c>
      <c r="AA119" s="13" t="n">
        <f aca="false">IF(AND(Time!AA20&gt;=Time!$F$12,Time!AB20&gt;0),(IF(Time!AA34=1,AA33,AA31)-AA30)*AB147+IF(Time!AB46&gt;0,Time!AB45*AA30/Time!AB46,0)+IF(Time!AA34=1,AA33,AA31)*AB10,0)</f>
        <v>9.59355205486806</v>
      </c>
      <c r="AB119" s="13" t="n">
        <f aca="false">IF(AND(Time!AB20&gt;=Time!$F$12,Time!AC20&gt;0),(IF(Time!AB34=1,AB33,AB31)-AB30)*AC147+IF(Time!AC46&gt;0,Time!AC45*AB30/Time!AC46,0)+IF(Time!AB34=1,AB33,AB31)*AC10,0)</f>
        <v>9.4040220036775</v>
      </c>
      <c r="AC119" s="13" t="n">
        <f aca="false">IF(AND(Time!AC20&gt;=Time!$F$12,Time!AD20&gt;0),(IF(Time!AC34=1,AC33,AC31)-AC30)*AD147+IF(Time!AD46&gt;0,Time!AD45*AC30/Time!AD46,0)+IF(Time!AC34=1,AC33,AC31)*AD10,0)</f>
        <v>9.26142320325795</v>
      </c>
      <c r="AD119" s="13" t="n">
        <f aca="false">IF(AND(Time!AD20&gt;=Time!$F$12,Time!AE20&gt;0),(IF(Time!AD34=1,AD33,AD31)-AD30)*AE147+IF(Time!AE46&gt;0,Time!AE45*AD30/Time!AE46,0)+IF(Time!AD34=1,AD33,AD31)*AE10,0)</f>
        <v>9.06557548369438</v>
      </c>
      <c r="AE119" s="13" t="n">
        <f aca="false">IF(AND(Time!AE20&gt;=Time!$F$12,Time!AF20&gt;0),(IF(Time!AE34=1,AE33,AE31)-AE30)*AF147+IF(Time!AF46&gt;0,Time!AF45*AE30/Time!AF46,0)+IF(Time!AE34=1,AE33,AE31)*AF10,0)</f>
        <v>8.92929435164784</v>
      </c>
      <c r="AF119" s="13" t="n">
        <f aca="false">IF(AND(Time!AF20&gt;=Time!$F$12,Time!AG20&gt;0),(IF(Time!AF34=1,AF33,AF31)-AF30)*AG147+IF(Time!AG46&gt;0,Time!AG45*AF30/Time!AG46,0)+IF(Time!AF34=1,AF33,AF31)*AG10,0)</f>
        <v>8.738861776404</v>
      </c>
      <c r="AG119" s="13" t="n">
        <f aca="false">IF(AND(Time!AG20&gt;=Time!$F$12,Time!AH20&gt;0),(IF(Time!AG34=1,AG33,AG31)-AG30)*AH147+IF(Time!AH46&gt;0,Time!AH45*AG30/Time!AH46,0)+IF(Time!AG34=1,AG33,AG31)*AH10,0)</f>
        <v>8.59716550003774</v>
      </c>
      <c r="AH119" s="13" t="n">
        <f aca="false">IF(AND(Time!AH20&gt;=Time!$F$12,Time!AI20&gt;0),(IF(Time!AH34=1,AH33,AH31)-AH30)*AI147+IF(Time!AI46&gt;0,Time!AI45*AH30/Time!AI46,0)+IF(Time!AH34=1,AH33,AH31)*AI10,0)</f>
        <v>8.41214806911363</v>
      </c>
      <c r="AI119" s="13" t="n">
        <f aca="false">IF(AND(Time!AI20&gt;=Time!$F$12,Time!AJ20&gt;0),(IF(Time!AI34=1,AI33,AI31)-AI30)*AJ147+IF(Time!AJ46&gt;0,Time!AJ45*AI30/Time!AJ46,0)+IF(Time!AI34=1,AI33,AI31)*AJ10,0)</f>
        <v>8.26503664842763</v>
      </c>
      <c r="AJ119" s="13" t="n">
        <f aca="false">IF(AND(Time!AJ20&gt;=Time!$F$12,Time!AK20&gt;0),(IF(Time!AJ34=1,AJ33,AJ31)-AJ30)*AK147+IF(Time!AK46&gt;0,Time!AK45*AJ30/Time!AK46,0)+IF(Time!AJ34=1,AJ33,AJ31)*AK10,0)</f>
        <v>8.08994698208969</v>
      </c>
      <c r="AK119" s="13" t="n">
        <f aca="false">IF(AND(Time!AK20&gt;=Time!$F$12,Time!AL20&gt;0),(IF(Time!AK34=1,AK33,AK31)-AK30)*AL147+IF(Time!AL46&gt;0,Time!AL45*AK30/Time!AL46,0)+IF(Time!AK34=1,AK33,AK31)*AL10,0)</f>
        <v>7.93290779681752</v>
      </c>
      <c r="AL119" s="13" t="n">
        <f aca="false">IF(AND(Time!AL20&gt;=Time!$F$12,Time!AM20&gt;0),(IF(Time!AL34=1,AL33,AL31)-AL30)*AM147+IF(Time!AM46&gt;0,Time!AM45*AL30/Time!AM46,0)+IF(Time!AL34=1,AL33,AL31)*AM10,0)</f>
        <v>7.75872065453288</v>
      </c>
      <c r="AM119" s="13" t="n">
        <f aca="false">IF(AND(Time!AM20&gt;=Time!$F$12,Time!AN20&gt;0),(IF(Time!AM34=1,AM33,AM31)-AM30)*AN147+IF(Time!AN46&gt;0,Time!AN45*AM30/Time!AN46,0)+IF(Time!AM34=1,AM33,AM31)*AN10,0)</f>
        <v>7.60077894520742</v>
      </c>
      <c r="AN119" s="13" t="n">
        <f aca="false">IF(AND(Time!AN20&gt;=Time!$F$12,Time!AO20&gt;0),(IF(Time!AN34=1,AN33,AN31)-AN30)*AO147+IF(Time!AO46&gt;0,Time!AO45*AN30/Time!AO46,0)+IF(Time!AN34=1,AN33,AN31)*AO10,0)</f>
        <v>7.4320069472425</v>
      </c>
      <c r="AO119" s="13" t="n">
        <f aca="false">IF(AND(Time!AO20&gt;=Time!$F$12,Time!AP20&gt;0),(IF(Time!AO34=1,AO33,AO31)-AO30)*AP147+IF(Time!AP46&gt;0,Time!AP45*AO30/Time!AP46,0)+IF(Time!AO34=1,AO33,AO31)*AP10,0)</f>
        <v>0</v>
      </c>
      <c r="AP119" s="13" t="n">
        <f aca="false">IF(AND(Time!AP20&gt;=Time!$F$12,Time!AQ20&gt;0),(IF(Time!AP34=1,AP33,AP31)-AP30)*AQ147+IF(Time!AQ46&gt;0,Time!AQ45*AP30/Time!AQ46,0)+IF(Time!AP34=1,AP33,AP31)*AQ10,0)</f>
        <v>0</v>
      </c>
      <c r="AQ119" s="13" t="n">
        <f aca="false">IF(AND(Time!AQ20&gt;=Time!$F$12,Time!AR20&gt;0),(IF(Time!AQ34=1,AQ33,AQ31)-AQ30)*AR147+IF(Time!AR46&gt;0,Time!AR45*AQ30/Time!AR46,0)+IF(Time!AQ34=1,AQ33,AQ31)*AR10,0)</f>
        <v>0</v>
      </c>
      <c r="AR119" s="13" t="n">
        <f aca="false">IF(AND(Time!AR20&gt;=Time!$F$12,Time!AS20&gt;0),(IF(Time!AR34=1,AR33,AR31)-AR30)*AS147+IF(Time!AS46&gt;0,Time!AS45*AR30/Time!AS46,0)+IF(Time!AR34=1,AR33,AR31)*AS10,0)</f>
        <v>0</v>
      </c>
      <c r="AS119" s="13" t="n">
        <f aca="false">IF(AND(Time!AS20&gt;=Time!$F$12,Time!AT20&gt;0),(IF(Time!AS34=1,AS33,AS31)-AS30)*AT147+IF(Time!AT46&gt;0,Time!AT45*AS30/Time!AT46,0)+IF(Time!AS34=1,AS33,AS31)*AT10,0)</f>
        <v>0</v>
      </c>
      <c r="AT119" s="13" t="n">
        <f aca="false">IF(AND(Time!AT20&gt;=Time!$F$12,Time!AU20&gt;0),(IF(Time!AT34=1,AT33,AT31)-AT30)*AU147+IF(Time!AU46&gt;0,Time!AU45*AT30/Time!AU46,0)+IF(Time!AT34=1,AT33,AT31)*AU10,0)</f>
        <v>0</v>
      </c>
      <c r="AU119" s="13" t="n">
        <f aca="false">IF(AND(Time!AU20&gt;=Time!$F$12,Time!AV20&gt;0),(IF(Time!AU34=1,AU33,AU31)-AU30)*AV147+IF(Time!AV46&gt;0,Time!AV45*AU30/Time!AV46,0)+IF(Time!AU34=1,AU33,AU31)*AV10,0)</f>
        <v>0</v>
      </c>
      <c r="AV119" s="13" t="n">
        <f aca="false">IF(AND(Time!AV20&gt;=Time!$F$12,Time!AW20&gt;0),(IF(Time!AV34=1,AV33,AV31)-AV30)*AW147+IF(Time!AW46&gt;0,Time!AW45*AV30/Time!AW46,0)+IF(Time!AV34=1,AV33,AV31)*AW10,0)</f>
        <v>0</v>
      </c>
      <c r="AW119" s="13" t="n">
        <f aca="false">IF(AND(Time!AW20&gt;=Time!$F$12,Time!AX20&gt;0),(IF(Time!AW34=1,AW33,AW31)-AW30)*AX147+IF(Time!AX46&gt;0,Time!AX45*AW30/Time!AX46,0)+IF(Time!AW34=1,AW33,AW31)*AX10,0)</f>
        <v>0</v>
      </c>
      <c r="AX119" s="13" t="n">
        <f aca="false">IF(AND(Time!AX20&gt;=Time!$F$12,Time!AY20&gt;0),(IF(Time!AX34=1,AX33,AX31)-AX30)*AY147+IF(Time!AY46&gt;0,Time!AY45*AX30/Time!AY46,0)+IF(Time!AX34=1,AX33,AX31)*AY10,0)</f>
        <v>0</v>
      </c>
      <c r="AY119" s="13" t="n">
        <f aca="false">IF(AND(Time!AY20&gt;=Time!$F$12,Time!AZ20&gt;0),(IF(Time!AY34=1,AY33,AY31)-AY30)*AZ147+IF(Time!AZ46&gt;0,Time!AZ45*AY30/Time!AZ46,0)+IF(Time!AY34=1,AY33,AY31)*AZ10,0)</f>
        <v>0</v>
      </c>
      <c r="AZ119" s="13" t="n">
        <f aca="false">IF(AND(Time!AZ20&gt;=Time!$F$12,Time!BA20&gt;0),(IF(Time!AZ34=1,AZ33,AZ31)-AZ30)*BA147+IF(Time!BA46&gt;0,Time!BA45*AZ30/Time!BA46,0)+IF(Time!AZ34=1,AZ33,AZ31)*BA10,0)</f>
        <v>0</v>
      </c>
      <c r="BA119" s="13" t="n">
        <f aca="false">IF(AND(Time!BA20&gt;=Time!$F$12,Time!BB20&gt;0),(IF(Time!BA34=1,BA33,BA31)-BA30)*BB147+IF(Time!BB46&gt;0,Time!BB45*BA30/Time!BB46,0)+IF(Time!BA34=1,BA33,BA31)*BB10,0)</f>
        <v>0</v>
      </c>
      <c r="BB119" s="13" t="n">
        <f aca="false">IF(AND(Time!BB20&gt;=Time!$F$12,Time!BC20&gt;0),(IF(Time!BB34=1,BB33,BB31)-BB30)*BC147+IF(Time!BC46&gt;0,Time!BC45*BB30/Time!BC46,0)+IF(Time!BB34=1,BB33,BB31)*BC10,0)</f>
        <v>0</v>
      </c>
      <c r="BC119" s="13" t="n">
        <f aca="false">IF(AND(Time!BC20&gt;=Time!$F$12,Time!BD20&gt;0),(IF(Time!BC34=1,BC33,BC31)-BC30)*BD147+IF(Time!BD46&gt;0,Time!BD45*BC30/Time!BD46,0)+IF(Time!BC34=1,BC33,BC31)*BD10,0)</f>
        <v>0</v>
      </c>
      <c r="BD119" s="13" t="n">
        <f aca="false">IF(AND(Time!BD20&gt;=Time!$F$12,Time!BE20&gt;0),(IF(Time!BD34=1,BD33,BD31)-BD30)*BE147+IF(Time!BE46&gt;0,Time!BE45*BD30/Time!BE46,0)+IF(Time!BD34=1,BD33,BD31)*BE10,0)</f>
        <v>0</v>
      </c>
      <c r="BE119" s="13" t="n">
        <f aca="false">IF(AND(Time!BE20&gt;=Time!$F$12,Time!BF20&gt;0),(IF(Time!BE34=1,BE33,BE31)-BE30)*BF147+IF(Time!BF46&gt;0,Time!BF45*BE30/Time!BF46,0)+IF(Time!BE34=1,BE33,BE31)*BF10,0)</f>
        <v>0</v>
      </c>
      <c r="BF119" s="13" t="n">
        <f aca="false">IF(AND(Time!BF20&gt;=Time!$F$12,Time!BG20&gt;0),(IF(Time!BF34=1,BF33,BF31)-BF30)*BG147+IF(Time!BG46&gt;0,Time!BG45*BF30/Time!BG46,0)+IF(Time!BF34=1,BF33,BF31)*BG10,0)</f>
        <v>0</v>
      </c>
      <c r="BG119" s="13" t="n">
        <f aca="false">IF(AND(Time!BG20&gt;=Time!$F$12,Time!BH20&gt;0),(IF(Time!BG34=1,BG33,BG31)-BG30)*BH147+IF(Time!BH46&gt;0,Time!BH45*BG30/Time!BH46,0)+IF(Time!BG34=1,BG33,BG31)*BH10,0)</f>
        <v>0</v>
      </c>
      <c r="BH119" s="13" t="n">
        <f aca="false">IF(AND(Time!BH20&gt;=Time!$F$12,Time!BI20&gt;0),(IF(Time!BH34=1,BH33,BH31)-BH30)*BI147+IF(Time!BI46&gt;0,Time!BI45*BH30/Time!BI46,0)+IF(Time!BH34=1,BH33,BH31)*BI10,0)</f>
        <v>0</v>
      </c>
      <c r="BI119" s="13" t="n">
        <f aca="false">IF(AND(Time!BI20&gt;=Time!$F$12,Time!BJ20&gt;0),(IF(Time!BI34=1,BI33,BI31)-BI30)*BJ147+IF(Time!BJ46&gt;0,Time!BJ45*BI30/Time!BJ46,0)+IF(Time!BI34=1,BI33,BI31)*BJ10,0)</f>
        <v>0</v>
      </c>
      <c r="BJ119" s="13" t="n">
        <f aca="false">IF(AND(Time!BJ20&gt;=Time!$F$12,Time!BK20&gt;0),(IF(Time!BJ34=1,BJ33,BJ31)-BJ30)*BK147+IF(Time!BK46&gt;0,Time!BK45*BJ30/Time!BK46,0)+IF(Time!BJ34=1,BJ33,BJ31)*BK10,0)</f>
        <v>0</v>
      </c>
      <c r="BK119" s="13" t="n">
        <f aca="false">IF(AND(Time!BK20&gt;=Time!$F$12,Time!BL20&gt;0),(IF(Time!BK34=1,BK33,BK31)-BK30)*BL147+IF(Time!BL46&gt;0,Time!BL45*BK30/Time!BL46,0)+IF(Time!BK34=1,BK33,BK31)*BL10,0)</f>
        <v>0</v>
      </c>
      <c r="BL119" s="13" t="n">
        <f aca="false">IF(AND(Time!BL20&gt;=Time!$F$12,Time!BM20&gt;0),(IF(Time!BL34=1,BL33,BL31)-BL30)*BM147+IF(Time!BM46&gt;0,Time!BM45*BL30/Time!BM46,0)+IF(Time!BL34=1,BL33,BL31)*BM10,0)</f>
        <v>0</v>
      </c>
      <c r="BM119" s="13" t="n">
        <f aca="false">IF(AND(Time!BM20&gt;=Time!$F$12,Time!BN20&gt;0),(IF(Time!BM34=1,BM33,BM31)-BM30)*BN147+IF(Time!BN46&gt;0,Time!BN45*BM30/Time!BN46,0)+IF(Time!BM34=1,BM33,BM31)*BN10,0)</f>
        <v>0</v>
      </c>
      <c r="BN119" s="13" t="n">
        <f aca="false">IF(AND(Time!BN20&gt;=Time!$F$12,Time!BO20&gt;0),(IF(Time!BN34=1,BN33,BN31)-BN30)*BO147+IF(Time!BO46&gt;0,Time!BO45*BN30/Time!BO46,0)+IF(Time!BN34=1,BN33,BN31)*BO10,0)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7.39369796705984</v>
      </c>
      <c r="P120" s="13" t="n">
        <f aca="false">IF(AND(Time!P20&gt;=Time!$F$12,Time!Q20&gt;0),(IF(Time!P34=1,P47,P45)-P44)*Q19+IF(Time!Q46&gt;0,Time!Q45*P44/Time!Q46,0)+IF(Time!P34=1,P47,P45)*Q11,0)</f>
        <v>7.43334956212424</v>
      </c>
      <c r="Q120" s="13" t="n">
        <f aca="false">IF(AND(Time!Q20&gt;=Time!$F$12,Time!R20&gt;0),(IF(Time!Q34=1,Q47,Q45)-Q44)*R19+IF(Time!R46&gt;0,Time!R45*Q44/Time!R46,0)+IF(Time!Q34=1,Q47,Q45)*R11,0)</f>
        <v>7.6501545211307</v>
      </c>
      <c r="R120" s="13" t="n">
        <f aca="false">IF(AND(Time!R20&gt;=Time!$F$12,Time!S20&gt;0),(IF(Time!R34=1,R47,R45)-R44)*S19+IF(Time!S46&gt;0,Time!S45*R44/Time!S46,0)+IF(Time!R34=1,R47,R45)*S11,0)</f>
        <v>7.62329159376301</v>
      </c>
      <c r="S120" s="13" t="n">
        <f aca="false">IF(AND(Time!S20&gt;=Time!$F$12,Time!T20&gt;0),(IF(Time!S34=1,S47,S45)-S44)*T19+IF(Time!T46&gt;0,Time!T45*S44/Time!T46,0)+IF(Time!S34=1,S47,S45)*T11,0)</f>
        <v>7.82650659171371</v>
      </c>
      <c r="T120" s="13" t="n">
        <f aca="false">IF(AND(Time!T20&gt;=Time!$F$12,Time!U20&gt;0),(IF(Time!T34=1,T47,T45)-T44)*U19+IF(Time!U46&gt;0,Time!U45*T44/Time!U46,0)+IF(Time!T34=1,T47,T45)*U11,0)</f>
        <v>7.83381316107823</v>
      </c>
      <c r="U120" s="13" t="n">
        <f aca="false">IF(AND(Time!U20&gt;=Time!$F$12,Time!V20&gt;0),(IF(Time!U34=1,U47,U45)-U44)*V19+IF(Time!V46&gt;0,Time!V45*U44/Time!V46,0)+IF(Time!U34=1,U47,U45)*V11,0)</f>
        <v>8.13144344210306</v>
      </c>
      <c r="V120" s="13" t="n">
        <f aca="false">IF(AND(Time!V20&gt;=Time!$F$12,Time!W20&gt;0),(IF(Time!V34=1,V47,V45)-V44)*W19+IF(Time!W46&gt;0,Time!W45*V44/Time!W46,0)+IF(Time!V34=1,V47,V45)*W11,0)</f>
        <v>8.11337403379892</v>
      </c>
      <c r="W120" s="13" t="n">
        <f aca="false">IF(AND(Time!W20&gt;=Time!$F$12,Time!X20&gt;0),(IF(Time!W34=1,W47,W45)-W44)*X19+IF(Time!X46&gt;0,Time!X45*W44/Time!X46,0)+IF(Time!W34=1,W47,W45)*X11,0)</f>
        <v>7.84564113106159</v>
      </c>
      <c r="X120" s="13" t="n">
        <f aca="false">IF(AND(Time!X20&gt;=Time!$F$12,Time!Y20&gt;0),(IF(Time!X34=1,X47,X45)-X44)*Y19+IF(Time!Y46&gt;0,Time!Y45*X44/Time!Y46,0)+IF(Time!X34=1,X47,X45)*Y11,0)</f>
        <v>7.63549403383375</v>
      </c>
      <c r="Y120" s="13" t="n">
        <f aca="false">IF(AND(Time!Y20&gt;=Time!$F$12,Time!Z20&gt;0),(IF(Time!Y34=1,Y47,Y45)-Y44)*Z19+IF(Time!Z46&gt;0,Time!Z45*Y44/Time!Z46,0)+IF(Time!Y34=1,Y47,Y45)*Z11,0)</f>
        <v>7.80919094460507</v>
      </c>
      <c r="Z120" s="13" t="n">
        <f aca="false">IF(AND(Time!Z20&gt;=Time!$F$12,Time!AA20&gt;0),(IF(Time!Z34=1,Z47,Z45)-Z44)*AA19+IF(Time!AA46&gt;0,Time!AA45*Z44/Time!AA46,0)+IF(Time!Z34=1,Z47,Z45)*AA11,0)</f>
        <v>7.79142283788169</v>
      </c>
      <c r="AA120" s="13" t="n">
        <f aca="false">IF(AND(Time!AA20&gt;=Time!$F$12,Time!AB20&gt;0),(IF(Time!AA34=1,AA47,AA45)-AA44)*AB19+IF(Time!AB46&gt;0,Time!AB45*AA44/Time!AB46,0)+IF(Time!AA34=1,AA47,AA45)*AB11,0)</f>
        <v>8.00879880501482</v>
      </c>
      <c r="AB120" s="13" t="n">
        <f aca="false">IF(AND(Time!AB20&gt;=Time!$F$12,Time!AC20&gt;0),(IF(Time!AB34=1,AB47,AB45)-AB44)*AC19+IF(Time!AC46&gt;0,Time!AC45*AB44/Time!AC46,0)+IF(Time!AB34=1,AB47,AB45)*AC11,0)</f>
        <v>8.04089647577037</v>
      </c>
      <c r="AC120" s="13" t="n">
        <f aca="false">IF(AND(Time!AC20&gt;=Time!$F$12,Time!AD20&gt;0),(IF(Time!AC34=1,AC47,AC45)-AC44)*AD19+IF(Time!AD46&gt;0,Time!AD45*AC44/Time!AD46,0)+IF(Time!AC34=1,AC47,AC45)*AD11,0)</f>
        <v>8.57064983394007</v>
      </c>
      <c r="AD120" s="13" t="n">
        <f aca="false">IF(AND(Time!AD20&gt;=Time!$F$12,Time!AE20&gt;0),(IF(Time!AD34=1,AD47,AD45)-AD44)*AE19+IF(Time!AE46&gt;0,Time!AE45*AD44/Time!AE46,0)+IF(Time!AD34=1,AD47,AD45)*AE11,0)</f>
        <v>8.67510437713428</v>
      </c>
      <c r="AE120" s="13" t="n">
        <f aca="false">IF(AND(Time!AE20&gt;=Time!$F$12,Time!AF20&gt;0),(IF(Time!AE34=1,AE47,AE45)-AE44)*AF19+IF(Time!AF46&gt;0,Time!AF45*AE44/Time!AF46,0)+IF(Time!AE34=1,AE47,AE45)*AF11,0)</f>
        <v>8.80491216340309</v>
      </c>
      <c r="AF120" s="13" t="n">
        <f aca="false">IF(AND(Time!AF20&gt;=Time!$F$12,Time!AG20&gt;0),(IF(Time!AF34=1,AF47,AF45)-AF44)*AG19+IF(Time!AG46&gt;0,Time!AG45*AF44/Time!AG46,0)+IF(Time!AF34=1,AF47,AF45)*AG11,0)</f>
        <v>8.70634444506438</v>
      </c>
      <c r="AG120" s="13" t="n">
        <f aca="false">IF(AND(Time!AG20&gt;=Time!$F$12,Time!AH20&gt;0),(IF(Time!AG34=1,AG47,AG45)-AG44)*AH19+IF(Time!AH46&gt;0,Time!AH45*AG44/Time!AH46,0)+IF(Time!AG34=1,AG47,AG45)*AH11,0)</f>
        <v>8.9654576228284</v>
      </c>
      <c r="AH120" s="13" t="n">
        <f aca="false">IF(AND(Time!AH20&gt;=Time!$F$12,Time!AI20&gt;0),(IF(Time!AH34=1,AH47,AH45)-AH44)*AI19+IF(Time!AI46&gt;0,Time!AI45*AH44/Time!AI46,0)+IF(Time!AH34=1,AH47,AH45)*AI11,0)</f>
        <v>8.97643845811024</v>
      </c>
      <c r="AI120" s="13" t="n">
        <f aca="false">IF(AND(Time!AI20&gt;=Time!$F$12,Time!AJ20&gt;0),(IF(Time!AI34=1,AI47,AI45)-AI44)*AJ19+IF(Time!AJ46&gt;0,Time!AJ45*AI44/Time!AJ46,0)+IF(Time!AI34=1,AI47,AI45)*AJ11,0)</f>
        <v>9.22562036173688</v>
      </c>
      <c r="AJ120" s="13" t="n">
        <f aca="false">IF(AND(Time!AJ20&gt;=Time!$F$12,Time!AK20&gt;0),(IF(Time!AJ34=1,AJ47,AJ45)-AJ44)*AK19+IF(Time!AK46&gt;0,Time!AK45*AJ44/Time!AK46,0)+IF(Time!AJ34=1,AJ47,AJ45)*AK11,0)</f>
        <v>9.2824122559064</v>
      </c>
      <c r="AK120" s="13" t="n">
        <f aca="false">IF(AND(Time!AK20&gt;=Time!$F$12,Time!AL20&gt;0),(IF(Time!AK34=1,AK47,AK45)-AK44)*AL19+IF(Time!AL46&gt;0,Time!AL45*AK44/Time!AL46,0)+IF(Time!AK34=1,AK47,AK45)*AL11,0)</f>
        <v>9.65659576836744</v>
      </c>
      <c r="AL120" s="13" t="n">
        <f aca="false">IF(AND(Time!AL20&gt;=Time!$F$12,Time!AM20&gt;0),(IF(Time!AL34=1,AL47,AL45)-AL44)*AM19+IF(Time!AM46&gt;0,Time!AM45*AL44/Time!AM46,0)+IF(Time!AL34=1,AL47,AL45)*AM11,0)</f>
        <v>9.68934047107591</v>
      </c>
      <c r="AM120" s="13" t="n">
        <f aca="false">IF(AND(Time!AM20&gt;=Time!$F$12,Time!AN20&gt;0),(IF(Time!AM34=1,AM47,AM45)-AM44)*AN19+IF(Time!AN46&gt;0,Time!AN45*AM44/Time!AN46,0)+IF(Time!AM34=1,AM47,AM45)*AN11,0)</f>
        <v>7.76626237677308</v>
      </c>
      <c r="AN120" s="13" t="n">
        <f aca="false">IF(AND(Time!AN20&gt;=Time!$F$12,Time!AO20&gt;0),(IF(Time!AN34=1,AN47,AN45)-AN44)*AO19+IF(Time!AO46&gt;0,Time!AO45*AN44/Time!AO46,0)+IF(Time!AN34=1,AN47,AN45)*AO11,0)</f>
        <v>7.29977835339049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3.28027823365399</v>
      </c>
      <c r="P121" s="13" t="n">
        <f aca="false">IF(AND(Time!P20&gt;=Time!$F$12,Time!Q20&gt;0),(IF(Time!P34=1,P61,P59)-P58)*Q19+IF(Time!Q46&gt;0,Time!Q45*P58/Time!Q46,0)+IF(Time!P34=1,P61,P59)*Q12,0)</f>
        <v>3.3011106810799</v>
      </c>
      <c r="Q121" s="13" t="n">
        <f aca="false">IF(AND(Time!Q20&gt;=Time!$F$12,Time!R20&gt;0),(IF(Time!Q34=1,Q61,Q59)-Q58)*R19+IF(Time!R46&gt;0,Time!R45*Q58/Time!R46,0)+IF(Time!Q34=1,Q61,Q59)*R12,0)</f>
        <v>3.40000406121811</v>
      </c>
      <c r="R121" s="13" t="n">
        <f aca="false">IF(AND(Time!R20&gt;=Time!$F$12,Time!S20&gt;0),(IF(Time!R34=1,R61,R59)-R58)*S19+IF(Time!S46&gt;0,Time!S45*R58/Time!S46,0)+IF(Time!R34=1,R61,R59)*S12,0)</f>
        <v>3.39079684953502</v>
      </c>
      <c r="S121" s="13" t="n">
        <f aca="false">IF(AND(Time!S20&gt;=Time!$F$12,Time!T20&gt;0),(IF(Time!S34=1,S61,S59)-S58)*T19+IF(Time!T46&gt;0,Time!T45*S58/Time!T46,0)+IF(Time!S34=1,S61,S59)*T12,0)</f>
        <v>3.48379070902704</v>
      </c>
      <c r="T121" s="13" t="n">
        <f aca="false">IF(AND(Time!T20&gt;=Time!$F$12,Time!U20&gt;0),(IF(Time!T34=1,T61,T59)-T58)*U19+IF(Time!U46&gt;0,Time!U45*T58/Time!U46,0)+IF(Time!T34=1,T61,T59)*U12,0)</f>
        <v>3.48988650101006</v>
      </c>
      <c r="U121" s="13" t="n">
        <f aca="false">IF(AND(Time!U20&gt;=Time!$F$12,Time!V20&gt;0),(IF(Time!U34=1,U61,U59)-U58)*V19+IF(Time!V46&gt;0,Time!V45*U58/Time!V46,0)+IF(Time!U34=1,U61,U59)*V12,0)</f>
        <v>3.62648879882988</v>
      </c>
      <c r="V121" s="13" t="n">
        <f aca="false">IF(AND(Time!V20&gt;=Time!$F$12,Time!W20&gt;0),(IF(Time!V34=1,V61,V59)-V58)*W19+IF(Time!W46&gt;0,Time!W45*V58/Time!W46,0)+IF(Time!V34=1,V61,V59)*W12,0)</f>
        <v>3.62168658351559</v>
      </c>
      <c r="W121" s="13" t="n">
        <f aca="false">IF(AND(Time!W20&gt;=Time!$F$12,Time!X20&gt;0),(IF(Time!W34=1,W61,W59)-W58)*X19+IF(Time!X46&gt;0,Time!X45*W58/Time!X46,0)+IF(Time!W34=1,W61,W59)*X12,0)</f>
        <v>3.50131367023939</v>
      </c>
      <c r="X121" s="13" t="n">
        <f aca="false">IF(AND(Time!X20&gt;=Time!$F$12,Time!Y20&gt;0),(IF(Time!X34=1,X61,X59)-X58)*Y19+IF(Time!Y46&gt;0,Time!Y45*X58/Time!Y46,0)+IF(Time!X34=1,X61,X59)*Y12,0)</f>
        <v>3.4091240940077</v>
      </c>
      <c r="Y121" s="13" t="n">
        <f aca="false">IF(AND(Time!Y20&gt;=Time!$F$12,Time!Z20&gt;0),(IF(Time!Y34=1,Y61,Y59)-Y58)*Z19+IF(Time!Z46&gt;0,Time!Z45*Y58/Time!Z46,0)+IF(Time!Y34=1,Y61,Y59)*Z12,0)</f>
        <v>3.48936180286706</v>
      </c>
      <c r="Z121" s="13" t="n">
        <f aca="false">IF(AND(Time!Z20&gt;=Time!$F$12,Time!AA20&gt;0),(IF(Time!Z34=1,Z61,Z59)-Z58)*AA19+IF(Time!AA46&gt;0,Time!AA45*Z58/Time!AA46,0)+IF(Time!Z34=1,Z61,Z59)*AA12,0)</f>
        <v>3.48467826280276</v>
      </c>
      <c r="AA121" s="13" t="n">
        <f aca="false">IF(AND(Time!AA20&gt;=Time!$F$12,Time!AB20&gt;0),(IF(Time!AA34=1,AA61,AA59)-AA58)*AB19+IF(Time!AB46&gt;0,Time!AB45*AA58/Time!AB46,0)+IF(Time!AA34=1,AA61,AA59)*AB12,0)</f>
        <v>3.58510002933152</v>
      </c>
      <c r="AB121" s="13" t="n">
        <f aca="false">IF(AND(Time!AB20&gt;=Time!$F$12,Time!AC20&gt;0),(IF(Time!AB34=1,AB61,AB59)-AB58)*AC19+IF(Time!AC46&gt;0,Time!AC45*AB58/Time!AC46,0)+IF(Time!AB34=1,AB61,AB59)*AC12,0)</f>
        <v>3.60300013985275</v>
      </c>
      <c r="AC121" s="13" t="n">
        <f aca="false">IF(AND(Time!AC20&gt;=Time!$F$12,Time!AD20&gt;0),(IF(Time!AC34=1,AC61,AC59)-AC58)*AD19+IF(Time!AD46&gt;0,Time!AD45*AC58/Time!AD46,0)+IF(Time!AC34=1,AC61,AC59)*AD12,0)</f>
        <v>3.84609874610053</v>
      </c>
      <c r="AD121" s="13" t="n">
        <f aca="false">IF(AND(Time!AD20&gt;=Time!$F$12,Time!AE20&gt;0),(IF(Time!AD34=1,AD61,AD59)-AD58)*AE19+IF(Time!AE46&gt;0,Time!AE45*AD58/Time!AE46,0)+IF(Time!AD34=1,AD61,AD59)*AE12,0)</f>
        <v>3.89759432565417</v>
      </c>
      <c r="AE121" s="13" t="n">
        <f aca="false">IF(AND(Time!AE20&gt;=Time!$F$12,Time!AF20&gt;0),(IF(Time!AE34=1,AE61,AE59)-AE58)*AF19+IF(Time!AF46&gt;0,Time!AF45*AE58/Time!AF46,0)+IF(Time!AE34=1,AE61,AE59)*AF12,0)</f>
        <v>3.95930098520531</v>
      </c>
      <c r="AF121" s="13" t="n">
        <f aca="false">IF(AND(Time!AF20&gt;=Time!$F$12,Time!AG20&gt;0),(IF(Time!AF34=1,AF61,AF59)-AF58)*AG19+IF(Time!AG46&gt;0,Time!AG45*AF58/Time!AG46,0)+IF(Time!AF34=1,AF61,AF59)*AG12,0)</f>
        <v>3.91876672087151</v>
      </c>
      <c r="AG121" s="13" t="n">
        <f aca="false">IF(AND(Time!AG20&gt;=Time!$F$12,Time!AH20&gt;0),(IF(Time!AG34=1,AG61,AG59)-AG58)*AH19+IF(Time!AH46&gt;0,Time!AH45*AG58/Time!AH46,0)+IF(Time!AG34=1,AG61,AG59)*AH12,0)</f>
        <v>4.03962352620907</v>
      </c>
      <c r="AH121" s="13" t="n">
        <f aca="false">IF(AND(Time!AH20&gt;=Time!$F$12,Time!AI20&gt;0),(IF(Time!AH34=1,AH61,AH59)-AH58)*AI19+IF(Time!AI46&gt;0,Time!AI45*AH58/Time!AI46,0)+IF(Time!AH34=1,AH61,AH59)*AI12,0)</f>
        <v>4.04910608020021</v>
      </c>
      <c r="AI121" s="13" t="n">
        <f aca="false">IF(AND(Time!AI20&gt;=Time!$F$12,Time!AJ20&gt;0),(IF(Time!AI34=1,AI61,AI59)-AI58)*AJ19+IF(Time!AJ46&gt;0,Time!AJ45*AI58/Time!AJ46,0)+IF(Time!AI34=1,AI61,AI59)*AJ12,0)</f>
        <v>4.16599291815062</v>
      </c>
      <c r="AJ121" s="13" t="n">
        <f aca="false">IF(AND(Time!AJ20&gt;=Time!$F$12,Time!AK20&gt;0),(IF(Time!AJ34=1,AJ61,AJ59)-AJ58)*AK19+IF(Time!AK46&gt;0,Time!AK45*AJ58/Time!AK46,0)+IF(Time!AJ34=1,AJ61,AJ59)*AK12,0)</f>
        <v>4.19646586287308</v>
      </c>
      <c r="AK121" s="13" t="n">
        <f aca="false">IF(AND(Time!AK20&gt;=Time!$F$12,Time!AL20&gt;0),(IF(Time!AK34=1,AK61,AK59)-AK58)*AL19+IF(Time!AL46&gt;0,Time!AL45*AK58/Time!AL46,0)+IF(Time!AK34=1,AK61,AK59)*AL12,0)</f>
        <v>4.37090053061939</v>
      </c>
      <c r="AL121" s="13" t="n">
        <f aca="false">IF(AND(Time!AL20&gt;=Time!$F$12,Time!AM20&gt;0),(IF(Time!AL34=1,AL61,AL59)-AL58)*AM19+IF(Time!AM46&gt;0,Time!AM45*AL58/Time!AM46,0)+IF(Time!AL34=1,AL61,AL59)*AM12,0)</f>
        <v>4.39097428500484</v>
      </c>
      <c r="AM121" s="13" t="n">
        <f aca="false">IF(AND(Time!AM20&gt;=Time!$F$12,Time!AN20&gt;0),(IF(Time!AM34=1,AM61,AM59)-AM58)*AN19+IF(Time!AN46&gt;0,Time!AN45*AM58/Time!AN46,0)+IF(Time!AM34=1,AM61,AM59)*AN12,0)</f>
        <v>3.52179633869498</v>
      </c>
      <c r="AN121" s="13" t="n">
        <f aca="false">IF(AND(Time!AN20&gt;=Time!$F$12,Time!AO20&gt;0),(IF(Time!AN34=1,AN61,AN59)-AN58)*AO19+IF(Time!AO46&gt;0,Time!AO45*AN58/Time!AO46,0)+IF(Time!AN34=1,AN61,AN59)*AO12,0)</f>
        <v>3.3140477137508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14.2989512267872</v>
      </c>
      <c r="P122" s="13" t="n">
        <f aca="false">IF(AND(Time!P20&gt;=Time!$F$12,Time!Q20&gt;0),(IF(Time!P34=1,P75,P73)-P72)*Q19+IF(Time!Q46&gt;0,Time!Q45*P72/Time!Q46,0)+IF(Time!P34=1,P75,P73)*Q13,0)</f>
        <v>14.316740891279</v>
      </c>
      <c r="Q122" s="13" t="n">
        <f aca="false">IF(AND(Time!Q20&gt;=Time!$F$12,Time!R20&gt;0),(IF(Time!Q34=1,Q75,Q73)-Q72)*R19+IF(Time!R46&gt;0,Time!R45*Q72/Time!R46,0)+IF(Time!Q34=1,Q75,Q73)*R13,0)</f>
        <v>14.6846485876215</v>
      </c>
      <c r="R122" s="13" t="n">
        <f aca="false">IF(AND(Time!R20&gt;=Time!$F$12,Time!S20&gt;0),(IF(Time!R34=1,R75,R73)-R72)*S19+IF(Time!S46&gt;0,Time!S45*R72/Time!S46,0)+IF(Time!R34=1,R75,R73)*S13,0)</f>
        <v>14.5823927250824</v>
      </c>
      <c r="S122" s="13" t="n">
        <f aca="false">IF(AND(Time!S20&gt;=Time!$F$12,Time!T20&gt;0),(IF(Time!S34=1,S75,S73)-S72)*T19+IF(Time!T46&gt;0,Time!T45*S72/Time!T46,0)+IF(Time!S34=1,S75,S73)*T13,0)</f>
        <v>14.9215346798669</v>
      </c>
      <c r="T122" s="13" t="n">
        <f aca="false">IF(AND(Time!T20&gt;=Time!$F$12,Time!U20&gt;0),(IF(Time!T34=1,T75,T73)-T72)*U19+IF(Time!U46&gt;0,Time!U45*T72/Time!U46,0)+IF(Time!T34=1,T75,T73)*U13,0)</f>
        <v>14.8813435395131</v>
      </c>
      <c r="U122" s="13" t="n">
        <f aca="false">IF(AND(Time!U20&gt;=Time!$F$12,Time!V20&gt;0),(IF(Time!U34=1,U75,U73)-U72)*V19+IF(Time!V46&gt;0,Time!V45*U72/Time!V46,0)+IF(Time!U34=1,U75,U73)*V13,0)</f>
        <v>15.3703874392671</v>
      </c>
      <c r="V122" s="13" t="n">
        <f aca="false">IF(AND(Time!V20&gt;=Time!$F$12,Time!W20&gt;0),(IF(Time!V34=1,V75,V73)-V72)*W19+IF(Time!W46&gt;0,Time!W45*V72/Time!W46,0)+IF(Time!V34=1,V75,V73)*W13,0)</f>
        <v>15.2742495321308</v>
      </c>
      <c r="W122" s="13" t="n">
        <f aca="false">IF(AND(Time!W20&gt;=Time!$F$12,Time!X20&gt;0),(IF(Time!W34=1,W75,W73)-W72)*X19+IF(Time!X46&gt;0,Time!X45*W72/Time!X46,0)+IF(Time!W34=1,W75,W73)*X13,0)</f>
        <v>14.7866037207559</v>
      </c>
      <c r="X122" s="13" t="n">
        <f aca="false">IF(AND(Time!X20&gt;=Time!$F$12,Time!Y20&gt;0),(IF(Time!X34=1,X75,X73)-X72)*Y19+IF(Time!Y46&gt;0,Time!Y45*X72/Time!Y46,0)+IF(Time!X34=1,X75,X73)*Y13,0)</f>
        <v>14.8800029102261</v>
      </c>
      <c r="Y122" s="13" t="n">
        <f aca="false">IF(AND(Time!Y20&gt;=Time!$F$12,Time!Z20&gt;0),(IF(Time!Y34=1,Y75,Y73)-Y72)*Z19+IF(Time!Z46&gt;0,Time!Z45*Y72/Time!Z46,0)+IF(Time!Y34=1,Y75,Y73)*Z13,0)</f>
        <v>15.1447272130498</v>
      </c>
      <c r="Z122" s="13" t="n">
        <f aca="false">IF(AND(Time!Z20&gt;=Time!$F$12,Time!AA20&gt;0),(IF(Time!Z34=1,Z75,Z73)-Z72)*AA19+IF(Time!AA46&gt;0,Time!AA45*Z72/Time!AA46,0)+IF(Time!Z34=1,Z75,Z73)*AA13,0)</f>
        <v>15.0208067538316</v>
      </c>
      <c r="AA122" s="13" t="n">
        <f aca="false">IF(AND(Time!AA20&gt;=Time!$F$12,Time!AB20&gt;0),(IF(Time!AA34=1,AA75,AA73)-AA72)*AB19+IF(Time!AB46&gt;0,Time!AB45*AA72/Time!AB46,0)+IF(Time!AA34=1,AA75,AA73)*AB13,0)</f>
        <v>15.3519105034609</v>
      </c>
      <c r="AB122" s="13" t="n">
        <f aca="false">IF(AND(Time!AB20&gt;=Time!$F$12,Time!AC20&gt;0),(IF(Time!AB34=1,AB75,AB73)-AB72)*AC19+IF(Time!AC46&gt;0,Time!AC45*AB72/Time!AC46,0)+IF(Time!AB34=1,AB75,AB73)*AC13,0)</f>
        <v>14.7258948359405</v>
      </c>
      <c r="AC122" s="13" t="n">
        <f aca="false">IF(AND(Time!AC20&gt;=Time!$F$12,Time!AD20&gt;0),(IF(Time!AC34=1,AC75,AC73)-AC72)*AD19+IF(Time!AD46&gt;0,Time!AD45*AC72/Time!AD46,0)+IF(Time!AC34=1,AC75,AC73)*AD13,0)</f>
        <v>14.7854805178827</v>
      </c>
      <c r="AD122" s="13" t="n">
        <f aca="false">IF(AND(Time!AD20&gt;=Time!$F$12,Time!AE20&gt;0),(IF(Time!AD34=1,AD75,AD73)-AD72)*AE19+IF(Time!AE46&gt;0,Time!AE45*AD72/Time!AE46,0)+IF(Time!AD34=1,AD75,AD73)*AE13,0)</f>
        <v>14.1047666853775</v>
      </c>
      <c r="AE122" s="13" t="n">
        <f aca="false">IF(AND(Time!AE20&gt;=Time!$F$12,Time!AF20&gt;0),(IF(Time!AE34=1,AE75,AE73)-AE72)*AF19+IF(Time!AF46&gt;0,Time!AF45*AE72/Time!AF46,0)+IF(Time!AE34=1,AE75,AE73)*AF13,0)</f>
        <v>13.366719438056</v>
      </c>
      <c r="AF122" s="13" t="n">
        <f aca="false">IF(AND(Time!AF20&gt;=Time!$F$12,Time!AG20&gt;0),(IF(Time!AF34=1,AF75,AF73)-AF72)*AG19+IF(Time!AG46&gt;0,Time!AG45*AF72/Time!AG46,0)+IF(Time!AF34=1,AF75,AF73)*AG13,0)</f>
        <v>12.3974584811341</v>
      </c>
      <c r="AG122" s="13" t="n">
        <f aca="false">IF(AND(Time!AG20&gt;=Time!$F$12,Time!AH20&gt;0),(IF(Time!AG34=1,AG75,AG73)-AG72)*AH19+IF(Time!AH46&gt;0,Time!AH45*AG72/Time!AH46,0)+IF(Time!AG34=1,AG75,AG73)*AH13,0)</f>
        <v>11.3040668880341</v>
      </c>
      <c r="AH122" s="13" t="n">
        <f aca="false">IF(AND(Time!AH20&gt;=Time!$F$12,Time!AI20&gt;0),(IF(Time!AH34=1,AH75,AH73)-AH72)*AI19+IF(Time!AI46&gt;0,Time!AI45*AH72/Time!AI46,0)+IF(Time!AH34=1,AH75,AH73)*AI13,0)</f>
        <v>9.62034498354726</v>
      </c>
      <c r="AI122" s="13" t="n">
        <f aca="false">IF(AND(Time!AI20&gt;=Time!$F$12,Time!AJ20&gt;0),(IF(Time!AI34=1,AI75,AI73)-AI72)*AJ19+IF(Time!AJ46&gt;0,Time!AJ45*AI72/Time!AJ46,0)+IF(Time!AI34=1,AI75,AI73)*AJ13,0)</f>
        <v>7.72477833158528</v>
      </c>
      <c r="AJ122" s="13" t="n">
        <f aca="false">IF(AND(Time!AJ20&gt;=Time!$F$12,Time!AK20&gt;0),(IF(Time!AJ34=1,AJ75,AJ73)-AJ72)*AK19+IF(Time!AK46&gt;0,Time!AK45*AJ72/Time!AK46,0)+IF(Time!AJ34=1,AJ75,AJ73)*AK13,0)</f>
        <v>5.13121651038551</v>
      </c>
      <c r="AK122" s="13" t="n">
        <f aca="false">IF(AND(Time!AK20&gt;=Time!$F$12,Time!AL20&gt;0),(IF(Time!AK34=1,AK75,AK73)-AK72)*AL19+IF(Time!AL46&gt;0,Time!AL45*AK72/Time!AL46,0)+IF(Time!AK34=1,AK75,AK73)*AL13,0)</f>
        <v>1.64908674947387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9.56291673085105E-013</v>
      </c>
      <c r="P123" s="13" t="n">
        <f aca="false">IF(AND(Time!P20&gt;=Time!$F$12,Time!Q20&gt;0),(IF(Time!P34=1,P89,P87)-P86)*Q19+IF(Time!Q46&gt;0,Time!Q45*P86/Time!Q46,0)+IF(Time!P34=1,P89,P87)*Q14,0)</f>
        <v>9.58112518990533E-013</v>
      </c>
      <c r="Q123" s="13" t="n">
        <f aca="false">IF(AND(Time!Q20&gt;=Time!$F$12,Time!R20&gt;0),(IF(Time!Q34=1,Q89,Q87)-Q86)*R19+IF(Time!R46&gt;0,Time!R45*Q86/Time!R46,0)+IF(Time!Q34=1,Q89,Q87)*R14,0)</f>
        <v>9.83301716567464E-013</v>
      </c>
      <c r="R123" s="13" t="n">
        <f aca="false">IF(AND(Time!R20&gt;=Time!$F$12,Time!S20&gt;0),(IF(Time!R34=1,R89,R87)-R86)*S19+IF(Time!S46&gt;0,Time!S45*R86/Time!S46,0)+IF(Time!R34=1,R89,R87)*S14,0)</f>
        <v>9.77017903403274E-013</v>
      </c>
      <c r="S123" s="13" t="n">
        <f aca="false">IF(AND(Time!S20&gt;=Time!$F$12,Time!T20&gt;0),(IF(Time!S34=1,S89,S87)-S86)*T19+IF(Time!T46&gt;0,Time!T45*S86/Time!T46,0)+IF(Time!S34=1,S89,S87)*T14,0)</f>
        <v>1.00031180918757E-012</v>
      </c>
      <c r="T123" s="13" t="n">
        <f aca="false">IF(AND(Time!T20&gt;=Time!$F$12,Time!U20&gt;0),(IF(Time!T34=1,T89,T87)-T86)*U19+IF(Time!U46&gt;0,Time!U45*T86/Time!U46,0)+IF(Time!T34=1,T89,T87)*U14,0)</f>
        <v>9.98243303949974E-013</v>
      </c>
      <c r="U123" s="13" t="n">
        <f aca="false">IF(AND(Time!U20&gt;=Time!$F$12,Time!V20&gt;0),(IF(Time!U34=1,U89,U87)-U86)*V19+IF(Time!V46&gt;0,Time!V45*U86/Time!V46,0)+IF(Time!U34=1,U89,U87)*V14,0)</f>
        <v>1.0319344689704E-012</v>
      </c>
      <c r="V123" s="13" t="n">
        <f aca="false">IF(AND(Time!V20&gt;=Time!$F$12,Time!W20&gt;0),(IF(Time!V34=1,V89,V87)-V86)*W19+IF(Time!W46&gt;0,Time!W45*V86/Time!W46,0)+IF(Time!V34=1,V89,V87)*W14,0)</f>
        <v>1.02620289228502E-012</v>
      </c>
      <c r="W123" s="13" t="n">
        <f aca="false">IF(AND(Time!W20&gt;=Time!$F$12,Time!X20&gt;0),(IF(Time!W34=1,W89,W87)-W86)*X19+IF(Time!X46&gt;0,Time!X45*W86/Time!X46,0)+IF(Time!W34=1,W89,W87)*X14,0)</f>
        <v>9.93248411958493E-013</v>
      </c>
      <c r="X123" s="13" t="n">
        <f aca="false">IF(AND(Time!X20&gt;=Time!$F$12,Time!Y20&gt;0),(IF(Time!X34=1,X89,X87)-X86)*Y19+IF(Time!Y46&gt;0,Time!Y45*X86/Time!Y46,0)+IF(Time!X34=1,X89,X87)*Y14,0)</f>
        <v>9.86243205693138E-013</v>
      </c>
      <c r="Y123" s="13" t="n">
        <f aca="false">IF(AND(Time!Y20&gt;=Time!$F$12,Time!Z20&gt;0),(IF(Time!Y34=1,Y89,Y87)-Y86)*Z19+IF(Time!Z46&gt;0,Time!Z45*Y86/Time!Z46,0)+IF(Time!Y34=1,Y89,Y87)*Z14,0)</f>
        <v>1.00491568826164E-012</v>
      </c>
      <c r="Z123" s="13" t="n">
        <f aca="false">IF(AND(Time!Z20&gt;=Time!$F$12,Time!AA20&gt;0),(IF(Time!Z34=1,Z89,Z87)-Z86)*AA19+IF(Time!AA46&gt;0,Time!AA45*Z86/Time!AA46,0)+IF(Time!Z34=1,Z89,Z87)*AA14,0)</f>
        <v>9.98065873250947E-013</v>
      </c>
      <c r="AA123" s="13" t="n">
        <f aca="false">IF(AND(Time!AA20&gt;=Time!$F$12,Time!AB20&gt;0),(IF(Time!AA34=1,AA89,AA87)-AA86)*AB19+IF(Time!AB46&gt;0,Time!AB45*AA86/Time!AB46,0)+IF(Time!AA34=1,AA89,AA87)*AB14,0)</f>
        <v>1.02142417881927E-012</v>
      </c>
      <c r="AB123" s="13" t="n">
        <f aca="false">IF(AND(Time!AB20&gt;=Time!$F$12,Time!AC20&gt;0),(IF(Time!AB34=1,AB89,AB87)-AB86)*AC19+IF(Time!AC46&gt;0,Time!AC45*AB86/Time!AC46,0)+IF(Time!AB34=1,AB89,AB87)*AC14,0)</f>
        <v>1.02056763889685E-012</v>
      </c>
      <c r="AC123" s="13" t="n">
        <f aca="false">IF(AND(Time!AC20&gt;=Time!$F$12,Time!AD20&gt;0),(IF(Time!AC34=1,AC89,AC87)-AC86)*AD19+IF(Time!AD46&gt;0,Time!AD45*AC86/Time!AD46,0)+IF(Time!AC34=1,AC89,AC87)*AD14,0)</f>
        <v>1.07978155782266E-012</v>
      </c>
      <c r="AD123" s="13" t="n">
        <f aca="false">IF(AND(Time!AD20&gt;=Time!$F$12,Time!AE20&gt;0),(IF(Time!AD34=1,AD89,AD87)-AD86)*AE19+IF(Time!AE46&gt;0,Time!AE45*AD86/Time!AE46,0)+IF(Time!AD34=1,AD89,AD87)*AE14,0)</f>
        <v>1.08646391232608E-012</v>
      </c>
      <c r="AE123" s="13" t="n">
        <f aca="false">IF(AND(Time!AE20&gt;=Time!$F$12,Time!AF20&gt;0),(IF(Time!AE34=1,AE89,AE87)-AE86)*AF19+IF(Time!AF46&gt;0,Time!AF45*AE86/Time!AF46,0)+IF(Time!AE34=1,AE89,AE87)*AF14,0)</f>
        <v>1.09797506707499E-012</v>
      </c>
      <c r="AF123" s="13" t="n">
        <f aca="false">IF(AND(Time!AF20&gt;=Time!$F$12,Time!AG20&gt;0),(IF(Time!AF34=1,AF89,AF87)-AF86)*AG19+IF(Time!AG46&gt;0,Time!AG45*AF86/Time!AG46,0)+IF(Time!AF34=1,AF89,AF87)*AG14,0)</f>
        <v>1.0937405847503E-012</v>
      </c>
      <c r="AG123" s="13" t="n">
        <f aca="false">IF(AND(Time!AG20&gt;=Time!$F$12,Time!AH20&gt;0),(IF(Time!AG34=1,AG89,AG87)-AG86)*AH19+IF(Time!AH46&gt;0,Time!AH45*AG86/Time!AH46,0)+IF(Time!AG34=1,AG89,AG87)*AH14,0)</f>
        <v>1.11890267218842E-012</v>
      </c>
      <c r="AH123" s="13" t="n">
        <f aca="false">IF(AND(Time!AH20&gt;=Time!$F$12,Time!AI20&gt;0),(IF(Time!AH34=1,AH89,AH87)-AH86)*AI19+IF(Time!AI46&gt;0,Time!AI45*AH86/Time!AI46,0)+IF(Time!AH34=1,AH89,AH87)*AI14,0)</f>
        <v>1.11234902700825E-012</v>
      </c>
      <c r="AI123" s="13" t="n">
        <f aca="false">IF(AND(Time!AI20&gt;=Time!$F$12,Time!AJ20&gt;0),(IF(Time!AI34=1,AI89,AI87)-AI86)*AJ19+IF(Time!AJ46&gt;0,Time!AJ45*AI86/Time!AJ46,0)+IF(Time!AI34=1,AI89,AI87)*AJ14,0)</f>
        <v>1.13538954992435E-012</v>
      </c>
      <c r="AJ123" s="13" t="n">
        <f aca="false">IF(AND(Time!AJ20&gt;=Time!$F$12,Time!AK20&gt;0),(IF(Time!AJ34=1,AJ89,AJ87)-AJ86)*AK19+IF(Time!AK46&gt;0,Time!AK45*AJ86/Time!AK46,0)+IF(Time!AJ34=1,AJ89,AJ87)*AK14,0)</f>
        <v>1.13394334509185E-012</v>
      </c>
      <c r="AK123" s="13" t="n">
        <f aca="false">IF(AND(Time!AK20&gt;=Time!$F$12,Time!AL20&gt;0),(IF(Time!AK34=1,AK89,AK87)-AK86)*AL19+IF(Time!AL46&gt;0,Time!AL45*AK86/Time!AL46,0)+IF(Time!AK34=1,AK89,AK87)*AL14,0)</f>
        <v>1.17044362839641E-012</v>
      </c>
      <c r="AL123" s="13" t="n">
        <f aca="false">IF(AND(Time!AL20&gt;=Time!$F$12,Time!AM20&gt;0),(IF(Time!AL34=1,AL89,AL87)-AL86)*AM19+IF(Time!AM46&gt;0,Time!AM45*AL86/Time!AM46,0)+IF(Time!AL34=1,AL89,AL87)*AM14,0)</f>
        <v>1.16523460691092E-012</v>
      </c>
      <c r="AM123" s="13" t="n">
        <f aca="false">IF(AND(Time!AM20&gt;=Time!$F$12,Time!AN20&gt;0),(IF(Time!AM34=1,AM89,AM87)-AM86)*AN19+IF(Time!AN46&gt;0,Time!AN45*AM86/Time!AN46,0)+IF(Time!AM34=1,AM89,AM87)*AN14,0)</f>
        <v>9.29922131815792E-013</v>
      </c>
      <c r="AN123" s="13" t="n">
        <f aca="false">IF(AND(Time!AN20&gt;=Time!$F$12,Time!AO20&gt;0),(IF(Time!AN34=1,AN89,AN87)-AN86)*AO19+IF(Time!AO46&gt;0,Time!AO45*AN86/Time!AO46,0)+IF(Time!AN34=1,AN89,AN87)*AO14,0)</f>
        <v>8.67444017564954E-013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37.2458954365957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37.1570164547307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37.6247850871586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37.3333124921438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37.7512177812382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37.5706927544304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38.2879202346828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38.0232274255105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36.9267950741505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36.5703920442144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36.8713631081105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36.5742873545516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37.004748631609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36.2313534110105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36.819969512359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36.1037410220838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35.3051246004947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34.0004484303378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33.0332985780365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31.1667058520013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29.3878573962524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26.6726754956135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23.5105123868276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21.7661643202512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18.8305492762072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18.0231980760082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IF(Time!J53=1,(Inputs!$F$76*J11+Inputs!$F$77*J12+Inputs!$F$78*(J13+(Inputs!$F$95/100*Inputs!$F$96/100)*Time!J25/Inputs!$F$248))/(1-Inputs!$F$75)+J148,0)</f>
        <v>0</v>
      </c>
      <c r="K127" s="16" t="n">
        <f aca="false">IF(Time!K53=1,(Inputs!$F$76*K11+Inputs!$F$77*K12+Inputs!$F$78*(K13+(Inputs!$F$95/100*Inputs!$F$96/100)*Time!K25/Inputs!$F$248))/(1-Inputs!$F$75)+K148,0)</f>
        <v>0</v>
      </c>
      <c r="L127" s="16" t="n">
        <f aca="false">IF(Time!L53=1,(Inputs!$F$76*L11+Inputs!$F$77*L12+Inputs!$F$78*(L13+(Inputs!$F$95/100*Inputs!$F$96/100)*Time!L25/Inputs!$F$248))/(1-Inputs!$F$75)+L148,0)</f>
        <v>0</v>
      </c>
      <c r="M127" s="16" t="n">
        <f aca="false">IF(Time!M53=1,(Inputs!$F$76*M11+Inputs!$F$77*M12+Inputs!$F$78*(M13+(Inputs!$F$95/100*Inputs!$F$96/100)*Time!M25/Inputs!$F$248))/(1-Inputs!$F$75)+M148,0)</f>
        <v>0</v>
      </c>
      <c r="N127" s="16" t="n">
        <f aca="false">IF(Time!N53=1,(Inputs!$F$76*N11+Inputs!$F$77*N12+Inputs!$F$78*(N13+(Inputs!$F$95/100*Inputs!$F$96/100)*Time!N25/Inputs!$F$248))/(1-Inputs!$F$75)+N148,0)</f>
        <v>0</v>
      </c>
      <c r="O127" s="16" t="n">
        <f aca="false">IF(Time!O53=1,(Inputs!$F$76*O11+Inputs!$F$77*O12+Inputs!$F$78*(O13+(Inputs!$F$95/100*Inputs!$F$96/100)*Time!O25/Inputs!$F$248))/(1-Inputs!$F$75)+O148,0)</f>
        <v>0</v>
      </c>
      <c r="P127" s="16" t="n">
        <f aca="false">IF(Time!P53=1,(Inputs!$F$76*P11+Inputs!$F$77*P12+Inputs!$F$78*(P13+(Inputs!$F$95/100*Inputs!$F$96/100)*Time!P25/Inputs!$F$248))/(1-Inputs!$F$75)+P148,0)</f>
        <v>0.0397172293497606</v>
      </c>
      <c r="Q127" s="16" t="n">
        <f aca="false">IF(Time!Q53=1,(Inputs!$F$76*Q11+Inputs!$F$77*Q12+Inputs!$F$78*(Q13+(Inputs!$F$95/100*Inputs!$F$96/100)*Time!Q25/Inputs!$F$248))/(1-Inputs!$F$75)+Q148,0)</f>
        <v>0.0392880378467197</v>
      </c>
      <c r="R127" s="16" t="n">
        <f aca="false">IF(Time!R53=1,(Inputs!$F$76*R11+Inputs!$F$77*R12+Inputs!$F$78*(R13+(Inputs!$F$95/100*Inputs!$F$96/100)*Time!R25/Inputs!$F$248))/(1-Inputs!$F$75)+R148,0)</f>
        <v>0.0397438395790747</v>
      </c>
      <c r="S127" s="16" t="n">
        <f aca="false">IF(Time!S53=1,(Inputs!$F$76*S11+Inputs!$F$77*S12+Inputs!$F$78*(S13+(Inputs!$F$95/100*Inputs!$F$96/100)*Time!S25/Inputs!$F$248))/(1-Inputs!$F$75)+S148,0)</f>
        <v>0.0393011260301595</v>
      </c>
      <c r="T127" s="16" t="n">
        <f aca="false">IF(Time!T53=1,(Inputs!$F$76*T11+Inputs!$F$77*T12+Inputs!$F$78*(T13+(Inputs!$F$95/100*Inputs!$F$96/100)*Time!T25/Inputs!$F$248))/(1-Inputs!$F$75)+T148,0)</f>
        <v>0.0397571446937317</v>
      </c>
      <c r="U127" s="16" t="n">
        <f aca="false">IF(Time!U53=1,(Inputs!$F$76*U11+Inputs!$F$77*U12+Inputs!$F$78*(U13+(Inputs!$F$95/100*Inputs!$F$96/100)*Time!U25/Inputs!$F$248))/(1-Inputs!$F$75)+U148,0)</f>
        <v>0.0394531322513503</v>
      </c>
      <c r="V127" s="16" t="n">
        <f aca="false">IF(Time!V53=1,(Inputs!$F$76*V11+Inputs!$F$77*V12+Inputs!$F$78*(V13+(Inputs!$F$95/100*Inputs!$F$96/100)*Time!V25/Inputs!$F$248))/(1-Inputs!$F$75)+V148,0)</f>
        <v>0.0397571446937317</v>
      </c>
      <c r="W127" s="16" t="n">
        <f aca="false">IF(Time!W53=1,(Inputs!$F$76*W11+Inputs!$F$77*W12+Inputs!$F$78*(W13+(Inputs!$F$95/100*Inputs!$F$96/100)*Time!W25/Inputs!$F$248))/(1-Inputs!$F$75)+W148,0)</f>
        <v>0.0393011260301595</v>
      </c>
      <c r="X127" s="16" t="n">
        <f aca="false">IF(Time!X53=1,(Inputs!$F$76*X11+Inputs!$F$77*X12+Inputs!$F$78*(X13+(Inputs!$F$95/100*Inputs!$F$96/100)*Time!X25/Inputs!$F$248))/(1-Inputs!$F$75)+X148,0)</f>
        <v>0.0397571446937317</v>
      </c>
      <c r="Y127" s="16" t="n">
        <f aca="false">IF(Time!Y53=1,(Inputs!$F$76*Y11+Inputs!$F$77*Y12+Inputs!$F$78*(Y13+(Inputs!$F$95/100*Inputs!$F$96/100)*Time!Y25/Inputs!$F$248))/(1-Inputs!$F$75)+Y148,0)</f>
        <v>0.0408174399631401</v>
      </c>
      <c r="Z127" s="16" t="n">
        <f aca="false">IF(Time!Z53=1,(Inputs!$F$76*Z11+Inputs!$F$77*Z12+Inputs!$F$78*(Z13+(Inputs!$F$95/100*Inputs!$F$96/100)*Time!Z25/Inputs!$F$248))/(1-Inputs!$F$75)+Z148,0)</f>
        <v>0.0412985909018446</v>
      </c>
      <c r="AA127" s="16" t="n">
        <f aca="false">IF(Time!AA53=1,(Inputs!$F$76*AA11+Inputs!$F$77*AA12+Inputs!$F$78*(AA13+(Inputs!$F$95/100*Inputs!$F$96/100)*Time!AA25/Inputs!$F$248))/(1-Inputs!$F$75)+AA148,0)</f>
        <v>0.0408174399631401</v>
      </c>
      <c r="AB127" s="16" t="n">
        <f aca="false">IF(Time!AB53=1,(Inputs!$F$76*AB11+Inputs!$F$77*AB12+Inputs!$F$78*(AB13+(Inputs!$F$95/100*Inputs!$F$96/100)*Time!AB25/Inputs!$F$248))/(1-Inputs!$F$75)+AB148,0)</f>
        <v>0.0412985909018446</v>
      </c>
      <c r="AC127" s="16" t="n">
        <f aca="false">IF(Time!AC53=1,(Inputs!$F$76*AC11+Inputs!$F$77*AC12+Inputs!$F$78*(AC13+(Inputs!$F$95/100*Inputs!$F$96/100)*Time!AC25/Inputs!$F$248))/(1-Inputs!$F$75)+AC148,0)</f>
        <v>0.040977823609375</v>
      </c>
      <c r="AD127" s="16" t="n">
        <f aca="false">IF(Time!AD53=1,(Inputs!$F$76*AD11+Inputs!$F$77*AD12+Inputs!$F$78*(AD13+(Inputs!$F$95/100*Inputs!$F$96/100)*Time!AD25/Inputs!$F$248))/(1-Inputs!$F$75)+AD148,0)</f>
        <v>0.0412985909018446</v>
      </c>
      <c r="AE127" s="16" t="n">
        <f aca="false">IF(Time!AE53=1,(Inputs!$F$76*AE11+Inputs!$F$77*AE12+Inputs!$F$78*(AE13+(Inputs!$F$95/100*Inputs!$F$96/100)*Time!AE25/Inputs!$F$248))/(1-Inputs!$F$75)+AE148,0)</f>
        <v>0.0408174399631401</v>
      </c>
      <c r="AF127" s="16" t="n">
        <f aca="false">IF(Time!AF53=1,(Inputs!$F$76*AF11+Inputs!$F$77*AF12+Inputs!$F$78*(AF13+(Inputs!$F$95/100*Inputs!$F$96/100)*Time!AF25/Inputs!$F$248))/(1-Inputs!$F$75)+AF148,0)</f>
        <v>0.0412985909018446</v>
      </c>
      <c r="AG127" s="16" t="n">
        <f aca="false">IF(Time!AG53=1,(Inputs!$F$76*AG11+Inputs!$F$77*AG12+Inputs!$F$78*(AG13+(Inputs!$F$95/100*Inputs!$F$96/100)*Time!AG25/Inputs!$F$248))/(1-Inputs!$F$75)+AG148,0)</f>
        <v>0.0423337538961207</v>
      </c>
      <c r="AH127" s="16" t="n">
        <f aca="false">IF(Time!AH53=1,(Inputs!$F$76*AH11+Inputs!$F$77*AH12+Inputs!$F$78*(AH13+(Inputs!$F$95/100*Inputs!$F$96/100)*Time!AH25/Inputs!$F$248))/(1-Inputs!$F$75)+AH148,0)</f>
        <v>0.0428400371099575</v>
      </c>
      <c r="AI127" s="16" t="n">
        <f aca="false">IF(Time!AI53=1,(Inputs!$F$76*AI11+Inputs!$F$77*AI12+Inputs!$F$78*(AI13+(Inputs!$F$95/100*Inputs!$F$96/100)*Time!AI25/Inputs!$F$248))/(1-Inputs!$F$75)+AI148,0)</f>
        <v>0.0423337538961207</v>
      </c>
      <c r="AJ127" s="16" t="n">
        <f aca="false">IF(Time!AJ53=1,(Inputs!$F$76*AJ11+Inputs!$F$77*AJ12+Inputs!$F$78*(AJ13+(Inputs!$F$95/100*Inputs!$F$96/100)*Time!AJ25/Inputs!$F$248))/(1-Inputs!$F$75)+AJ148,0)</f>
        <v>0.0428400371099575</v>
      </c>
      <c r="AK127" s="16" t="n">
        <f aca="false">IF(Time!AK53=1,(Inputs!$F$76*AK11+Inputs!$F$77*AK12+Inputs!$F$78*(AK13+(Inputs!$F$95/100*Inputs!$F$96/100)*Time!AK25/Inputs!$F$248))/(1-Inputs!$F$75)+AK148,0)</f>
        <v>0.0425025149673996</v>
      </c>
      <c r="AL127" s="16" t="n">
        <f aca="false">IF(Time!AL53=1,(Inputs!$F$76*AL11+Inputs!$F$77*AL12+Inputs!$F$78*(AL13+(Inputs!$F$95/100*Inputs!$F$96/100)*Time!AL25/Inputs!$F$248))/(1-Inputs!$F$75)+AL148,0)</f>
        <v>0.0428400371099575</v>
      </c>
      <c r="AM127" s="16" t="n">
        <f aca="false">IF(Time!AM53=1,(Inputs!$F$76*AM11+Inputs!$F$77*AM12+Inputs!$F$78*(AM13+(Inputs!$F$95/100*Inputs!$F$96/100)*Time!AM25/Inputs!$F$248))/(1-Inputs!$F$75)+AM148,0)</f>
        <v>0.0423337538961207</v>
      </c>
      <c r="AN127" s="16" t="n">
        <f aca="false">IF(Time!AN53=1,(Inputs!$F$76*AN11+Inputs!$F$77*AN12+Inputs!$F$78*(AN13+(Inputs!$F$95/100*Inputs!$F$96/100)*Time!AN25/Inputs!$F$248))/(1-Inputs!$F$75)+AN148,0)</f>
        <v>0.0428400371099575</v>
      </c>
      <c r="AO127" s="16" t="n">
        <f aca="false">IF(Time!AO53=1,(Inputs!$F$76*AO11+Inputs!$F$77*AO12+Inputs!$F$78*(AO13+(Inputs!$F$95/100*Inputs!$F$96/100)*Time!AO25/Inputs!$F$248))/(1-Inputs!$F$75)+AO148,0)</f>
        <v>0.0423337538961207</v>
      </c>
      <c r="AP127" s="16" t="n">
        <f aca="false">IF(Time!AP53=1,(Inputs!$F$76*AP11+Inputs!$F$77*AP12+Inputs!$F$78*(AP13+(Inputs!$F$95/100*Inputs!$F$96/100)*Time!AP25/Inputs!$F$248))/(1-Inputs!$F$75)+AP148,0)</f>
        <v>0</v>
      </c>
      <c r="AQ127" s="16" t="n">
        <f aca="false">IF(Time!AQ53=1,(Inputs!$F$76*AQ11+Inputs!$F$77*AQ12+Inputs!$F$78*(AQ13+(Inputs!$F$95/100*Inputs!$F$96/100)*Time!AQ25/Inputs!$F$248))/(1-Inputs!$F$75)+AQ148,0)</f>
        <v>0</v>
      </c>
      <c r="AR127" s="16" t="n">
        <f aca="false">IF(Time!AR53=1,(Inputs!$F$76*AR11+Inputs!$F$77*AR12+Inputs!$F$78*(AR13+(Inputs!$F$95/100*Inputs!$F$96/100)*Time!AR25/Inputs!$F$248))/(1-Inputs!$F$75)+AR148,0)</f>
        <v>0</v>
      </c>
      <c r="AS127" s="16" t="n">
        <f aca="false">IF(Time!AS53=1,(Inputs!$F$76*AS11+Inputs!$F$77*AS12+Inputs!$F$78*(AS13+(Inputs!$F$95/100*Inputs!$F$96/100)*Time!AS25/Inputs!$F$248))/(1-Inputs!$F$75)+AS148,0)</f>
        <v>0</v>
      </c>
      <c r="AT127" s="16" t="n">
        <f aca="false">IF(Time!AT53=1,(Inputs!$F$76*AT11+Inputs!$F$77*AT12+Inputs!$F$78*(AT13+(Inputs!$F$95/100*Inputs!$F$96/100)*Time!AT25/Inputs!$F$248))/(1-Inputs!$F$75)+AT148,0)</f>
        <v>0</v>
      </c>
      <c r="AU127" s="16" t="n">
        <f aca="false">IF(Time!AU53=1,(Inputs!$F$76*AU11+Inputs!$F$77*AU12+Inputs!$F$78*(AU13+(Inputs!$F$95/100*Inputs!$F$96/100)*Time!AU25/Inputs!$F$248))/(1-Inputs!$F$75)+AU148,0)</f>
        <v>0</v>
      </c>
      <c r="AV127" s="16" t="n">
        <f aca="false">IF(Time!AV53=1,(Inputs!$F$76*AV11+Inputs!$F$77*AV12+Inputs!$F$78*(AV13+(Inputs!$F$95/100*Inputs!$F$96/100)*Time!AV25/Inputs!$F$248))/(1-Inputs!$F$75)+AV148,0)</f>
        <v>0</v>
      </c>
      <c r="AW127" s="16" t="n">
        <f aca="false">IF(Time!AW53=1,(Inputs!$F$76*AW11+Inputs!$F$77*AW12+Inputs!$F$78*(AW13+(Inputs!$F$95/100*Inputs!$F$96/100)*Time!AW25/Inputs!$F$248))/(1-Inputs!$F$75)+AW148,0)</f>
        <v>0</v>
      </c>
      <c r="AX127" s="16" t="n">
        <f aca="false">IF(Time!AX53=1,(Inputs!$F$76*AX11+Inputs!$F$77*AX12+Inputs!$F$78*(AX13+(Inputs!$F$95/100*Inputs!$F$96/100)*Time!AX25/Inputs!$F$248))/(1-Inputs!$F$75)+AX148,0)</f>
        <v>0</v>
      </c>
      <c r="AY127" s="16" t="n">
        <f aca="false">IF(Time!AY53=1,(Inputs!$F$76*AY11+Inputs!$F$77*AY12+Inputs!$F$78*(AY13+(Inputs!$F$95/100*Inputs!$F$96/100)*Time!AY25/Inputs!$F$248))/(1-Inputs!$F$75)+AY148,0)</f>
        <v>0</v>
      </c>
      <c r="AZ127" s="16" t="n">
        <f aca="false">IF(Time!AZ53=1,(Inputs!$F$76*AZ11+Inputs!$F$77*AZ12+Inputs!$F$78*(AZ13+(Inputs!$F$95/100*Inputs!$F$96/100)*Time!AZ25/Inputs!$F$248))/(1-Inputs!$F$75)+AZ148,0)</f>
        <v>0</v>
      </c>
      <c r="BA127" s="16" t="n">
        <f aca="false">IF(Time!BA53=1,(Inputs!$F$76*BA11+Inputs!$F$77*BA12+Inputs!$F$78*(BA13+(Inputs!$F$95/100*Inputs!$F$96/100)*Time!BA25/Inputs!$F$248))/(1-Inputs!$F$75)+BA148,0)</f>
        <v>0</v>
      </c>
      <c r="BB127" s="16" t="n">
        <f aca="false">IF(Time!BB53=1,(Inputs!$F$76*BB11+Inputs!$F$77*BB12+Inputs!$F$78*(BB13+(Inputs!$F$95/100*Inputs!$F$96/100)*Time!BB25/Inputs!$F$248))/(1-Inputs!$F$75)+BB148,0)</f>
        <v>0</v>
      </c>
      <c r="BC127" s="16" t="n">
        <f aca="false">IF(Time!BC53=1,(Inputs!$F$76*BC11+Inputs!$F$77*BC12+Inputs!$F$78*(BC13+(Inputs!$F$95/100*Inputs!$F$96/100)*Time!BC25/Inputs!$F$248))/(1-Inputs!$F$75)+BC148,0)</f>
        <v>0</v>
      </c>
      <c r="BD127" s="16" t="n">
        <f aca="false">IF(Time!BD53=1,(Inputs!$F$76*BD11+Inputs!$F$77*BD12+Inputs!$F$78*(BD13+(Inputs!$F$95/100*Inputs!$F$96/100)*Time!BD25/Inputs!$F$248))/(1-Inputs!$F$75)+BD148,0)</f>
        <v>0</v>
      </c>
      <c r="BE127" s="16" t="n">
        <f aca="false">IF(Time!BE53=1,(Inputs!$F$76*BE11+Inputs!$F$77*BE12+Inputs!$F$78*(BE13+(Inputs!$F$95/100*Inputs!$F$96/100)*Time!BE25/Inputs!$F$248))/(1-Inputs!$F$75)+BE148,0)</f>
        <v>0</v>
      </c>
      <c r="BF127" s="16" t="n">
        <f aca="false">IF(Time!BF53=1,(Inputs!$F$76*BF11+Inputs!$F$77*BF12+Inputs!$F$78*(BF13+(Inputs!$F$95/100*Inputs!$F$96/100)*Time!BF25/Inputs!$F$248))/(1-Inputs!$F$75)+BF148,0)</f>
        <v>0</v>
      </c>
      <c r="BG127" s="16" t="n">
        <f aca="false">IF(Time!BG53=1,(Inputs!$F$76*BG11+Inputs!$F$77*BG12+Inputs!$F$78*(BG13+(Inputs!$F$95/100*Inputs!$F$96/100)*Time!BG25/Inputs!$F$248))/(1-Inputs!$F$75)+BG148,0)</f>
        <v>0</v>
      </c>
      <c r="BH127" s="16" t="n">
        <f aca="false">IF(Time!BH53=1,(Inputs!$F$76*BH11+Inputs!$F$77*BH12+Inputs!$F$78*(BH13+(Inputs!$F$95/100*Inputs!$F$96/100)*Time!BH25/Inputs!$F$248))/(1-Inputs!$F$75)+BH148,0)</f>
        <v>0</v>
      </c>
      <c r="BI127" s="16" t="n">
        <f aca="false">IF(Time!BI53=1,(Inputs!$F$76*BI11+Inputs!$F$77*BI12+Inputs!$F$78*(BI13+(Inputs!$F$95/100*Inputs!$F$96/100)*Time!BI25/Inputs!$F$248))/(1-Inputs!$F$75)+BI148,0)</f>
        <v>0</v>
      </c>
      <c r="BJ127" s="16" t="n">
        <f aca="false">IF(Time!BJ53=1,(Inputs!$F$76*BJ11+Inputs!$F$77*BJ12+Inputs!$F$78*(BJ13+(Inputs!$F$95/100*Inputs!$F$96/100)*Time!BJ25/Inputs!$F$248))/(1-Inputs!$F$75)+BJ148,0)</f>
        <v>0</v>
      </c>
      <c r="BK127" s="16" t="n">
        <f aca="false">IF(Time!BK53=1,(Inputs!$F$76*BK11+Inputs!$F$77*BK12+Inputs!$F$78*(BK13+(Inputs!$F$95/100*Inputs!$F$96/100)*Time!BK25/Inputs!$F$248))/(1-Inputs!$F$75)+BK148,0)</f>
        <v>0</v>
      </c>
      <c r="BL127" s="16" t="n">
        <f aca="false">IF(Time!BL53=1,(Inputs!$F$76*BL11+Inputs!$F$77*BL12+Inputs!$F$78*(BL13+(Inputs!$F$95/100*Inputs!$F$96/100)*Time!BL25/Inputs!$F$248))/(1-Inputs!$F$75)+BL148,0)</f>
        <v>0</v>
      </c>
      <c r="BM127" s="16" t="n">
        <f aca="false">IF(Time!BM53=1,(Inputs!$F$76*BM11+Inputs!$F$77*BM12+Inputs!$F$78*(BM13+(Inputs!$F$95/100*Inputs!$F$96/100)*Time!BM25/Inputs!$F$248))/(1-Inputs!$F$75)+BM148,0)</f>
        <v>0</v>
      </c>
      <c r="BN127" s="16" t="n">
        <f aca="false">IF(Time!BN53=1,(Inputs!$F$76*BN11+Inputs!$F$77*BN12+Inputs!$F$78*(BN13+(Inputs!$F$95/100*Inputs!$F$96/100)*Time!BN25/Inputs!$F$248))/(1-Inputs!$F$75)+BN148,0)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804.372205364324</v>
      </c>
      <c r="Q128" s="13" t="n">
        <f aca="false">IF(Time!Q53=1,(Waterfall!Q7+R128)/(1+Q127),0)</f>
        <v>785.760845403697</v>
      </c>
      <c r="R128" s="13" t="n">
        <f aca="false">IF(Time!R53=1,(Waterfall!R7+S128)/(1+R127),0)</f>
        <v>766.189627961902</v>
      </c>
      <c r="S128" s="13" t="n">
        <f aca="false">IF(Time!S53=1,(Waterfall!S7+T128)/(1+S127),0)</f>
        <v>745.613211953477</v>
      </c>
      <c r="T128" s="13" t="n">
        <f aca="false">IF(Time!T53=1,(Waterfall!T7+U128)/(1+T127),0)</f>
        <v>724.245374531648</v>
      </c>
      <c r="U128" s="13" t="n">
        <f aca="false">IF(Time!U53=1,(Waterfall!U7+V128)/(1+U127),0)</f>
        <v>701.784081262568</v>
      </c>
      <c r="V128" s="13" t="n">
        <f aca="false">IF(Time!V53=1,(Waterfall!V7+W128)/(1+V127),0)</f>
        <v>678.592285352342</v>
      </c>
      <c r="W128" s="13" t="n">
        <f aca="false">IF(Time!W53=1,(Waterfall!W7+X128)/(1+W127),0)</f>
        <v>654.996366013371</v>
      </c>
      <c r="X128" s="13" t="n">
        <f aca="false">IF(Time!X53=1,(Waterfall!X7+Y128)/(1+X127),0)</f>
        <v>630.248357624048</v>
      </c>
      <c r="Y128" s="13" t="n">
        <f aca="false">IF(Time!Y53=1,(Waterfall!Y7+Z128)/(1+Y127),0)</f>
        <v>605.381988457948</v>
      </c>
      <c r="Z128" s="13" t="n">
        <f aca="false">IF(Time!Z53=1,(Waterfall!Z7+AA128)/(1+Z127),0)</f>
        <v>580.412588800862</v>
      </c>
      <c r="AA128" s="13" t="n">
        <f aca="false">IF(Time!AA53=1,(Waterfall!AA7+AB128)/(1+AA127),0)</f>
        <v>554.342725447978</v>
      </c>
      <c r="AB128" s="13" t="n">
        <f aca="false">IF(Time!AB53=1,(Waterfall!AB7+AC128)/(1+AB127),0)</f>
        <v>527.292556149143</v>
      </c>
      <c r="AC128" s="13" t="n">
        <f aca="false">IF(Time!AC53=1,(Waterfall!AC7+AD128)/(1+AC127),0)</f>
        <v>498.790209168597</v>
      </c>
      <c r="AD128" s="13" t="n">
        <f aca="false">IF(Time!AD53=1,(Waterfall!AD7+AE128)/(1+AD127),0)</f>
        <v>469.621776100784</v>
      </c>
      <c r="AE128" s="13" t="n">
        <f aca="false">IF(Time!AE53=1,(Waterfall!AE7+AF128)/(1+AE127),0)</f>
        <v>439.070368741044</v>
      </c>
      <c r="AF128" s="13" t="n">
        <f aca="false">IF(Time!AF53=1,(Waterfall!AF7+AG128)/(1+AF127),0)</f>
        <v>407.024708621731</v>
      </c>
      <c r="AG128" s="13" t="n">
        <f aca="false">IF(Time!AG53=1,(Waterfall!AG7+AH128)/(1+AG127),0)</f>
        <v>372.079600618312</v>
      </c>
      <c r="AH128" s="13" t="n">
        <f aca="false">IF(Time!AH53=1,(Waterfall!AH7+AI128)/(1+AH127),0)</f>
        <v>335.949650199704</v>
      </c>
      <c r="AI128" s="13" t="n">
        <f aca="false">IF(Time!AI53=1,(Waterfall!AI7+AJ128)/(1+AI127),0)</f>
        <v>297.838589246091</v>
      </c>
      <c r="AJ128" s="13" t="n">
        <f aca="false">IF(Time!AJ53=1,(Waterfall!AJ7+AK128)/(1+AJ127),0)</f>
        <v>258.312176420584</v>
      </c>
      <c r="AK128" s="13" t="n">
        <f aca="false">IF(Time!AK53=1,(Waterfall!AK7+AL128)/(1+AK127),0)</f>
        <v>216.620300253581</v>
      </c>
      <c r="AL128" s="13" t="n">
        <f aca="false">IF(Time!AL53=1,(Waterfall!AL7+AM128)/(1+AL127),0)</f>
        <v>173.446457093675</v>
      </c>
      <c r="AM128" s="13" t="n">
        <f aca="false">IF(Time!AM53=1,(Waterfall!AM7+AN128)/(1+AM127),0)</f>
        <v>128.749108599891</v>
      </c>
      <c r="AN128" s="13" t="n">
        <f aca="false">IF(Time!AN53=1,(Waterfall!AN7+AO128)/(1+AN127),0)</f>
        <v>82.1515955778765</v>
      </c>
      <c r="AO128" s="13" t="n">
        <f aca="false">IF(Time!AO53=1,(Waterfall!AO7+AP128)/(1+AO127),0)</f>
        <v>40.228349494666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INDEX($J$128:$BN$128,1,Time!$F$13)/(Funding!$F$25*(1-Inputs!$F$75)+INDEX($J$150:$BN$150,1,Time!$F$13))</f>
        <v>1.34854888109879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Funding!$F$25*$F$129/Inputs!$F$106</f>
        <v>629.272540052593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643.081366618338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37.491258961603</v>
      </c>
      <c r="Q132" s="13" t="n">
        <f aca="false">IF(Time!Q53=1,(Waterfall!Q7)/$F$129,0)</f>
        <v>37.4048134120182</v>
      </c>
      <c r="R132" s="13" t="n">
        <f aca="false">IF(Time!R53=1,(Waterfall!R7)/$F$129,0)</f>
        <v>37.8389944810278</v>
      </c>
      <c r="S132" s="13" t="n">
        <f aca="false">IF(Time!S53=1,(Waterfall!S7)/$F$129,0)</f>
        <v>37.5746678112836</v>
      </c>
      <c r="T132" s="13" t="n">
        <f aca="false">IF(Time!T53=1,(Waterfall!T7)/$F$129,0)</f>
        <v>38.0076852507845</v>
      </c>
      <c r="U132" s="13" t="n">
        <f aca="false">IF(Time!U53=1,(Waterfall!U7)/$F$129,0)</f>
        <v>37.7289817175296</v>
      </c>
      <c r="V132" s="13" t="n">
        <f aca="false">IF(Time!V53=1,(Waterfall!V7)/$F$129,0)</f>
        <v>37.5031352030532</v>
      </c>
      <c r="W132" s="13" t="n">
        <f aca="false">IF(Time!W53=1,(Waterfall!W7)/$F$129,0)</f>
        <v>37.4403210940134</v>
      </c>
      <c r="X132" s="13" t="n">
        <f aca="false">IF(Time!X53=1,(Waterfall!X7)/$F$129,0)</f>
        <v>37.0199738495718</v>
      </c>
      <c r="Y132" s="13" t="n">
        <f aca="false">IF(Time!Y53=1,(Waterfall!Y7)/$F$129,0)</f>
        <v>36.8392598310979</v>
      </c>
      <c r="Z132" s="13" t="n">
        <f aca="false">IF(Time!Z53=1,(Waterfall!Z7)/$F$129,0)</f>
        <v>37.1066159435604</v>
      </c>
      <c r="AA132" s="13" t="n">
        <f aca="false">IF(Time!AA53=1,(Waterfall!AA7)/$F$129,0)</f>
        <v>36.837389367255</v>
      </c>
      <c r="AB132" s="13" t="n">
        <f aca="false">IF(Time!AB53=1,(Waterfall!AB7)/$F$129,0)</f>
        <v>37.2836218599441</v>
      </c>
      <c r="AC132" s="13" t="n">
        <f aca="false">IF(Time!AC53=1,(Waterfall!AC7)/$F$129,0)</f>
        <v>36.7860379200984</v>
      </c>
      <c r="AD132" s="13" t="n">
        <f aca="false">IF(Time!AD53=1,(Waterfall!AD7)/$F$129,0)</f>
        <v>37.0369407216654</v>
      </c>
      <c r="AE132" s="13" t="n">
        <f aca="false">IF(Time!AE53=1,(Waterfall!AE7)/$F$129,0)</f>
        <v>37.0527084596904</v>
      </c>
      <c r="AF132" s="13" t="n">
        <f aca="false">IF(Time!AF53=1,(Waterfall!AF7)/$F$129,0)</f>
        <v>38.3780340906597</v>
      </c>
      <c r="AG132" s="13" t="n">
        <f aca="false">IF(Time!AG53=1,(Waterfall!AG7)/$F$129,0)</f>
        <v>38.4720771995138</v>
      </c>
      <c r="AH132" s="13" t="n">
        <f aca="false">IF(Time!AH53=1,(Waterfall!AH7)/$F$129,0)</f>
        <v>38.9330762652566</v>
      </c>
      <c r="AI132" s="13" t="n">
        <f aca="false">IF(Time!AI53=1,(Waterfall!AI7)/$F$129,0)</f>
        <v>38.6601027920766</v>
      </c>
      <c r="AJ132" s="13" t="n">
        <f aca="false">IF(Time!AJ53=1,(Waterfall!AJ7)/$F$129,0)</f>
        <v>39.122037124697</v>
      </c>
      <c r="AK132" s="13" t="n">
        <f aca="false">IF(Time!AK53=1,(Waterfall!AK7)/$F$129,0)</f>
        <v>38.8423077930974</v>
      </c>
      <c r="AL132" s="13" t="n">
        <f aca="false">IF(Time!AL53=1,(Waterfall!AL7)/$F$129,0)</f>
        <v>38.6547361262827</v>
      </c>
      <c r="AM132" s="13" t="n">
        <f aca="false">IF(Time!AM53=1,(Waterfall!AM7)/$F$129,0)</f>
        <v>38.5955205846298</v>
      </c>
      <c r="AN132" s="13" t="n">
        <f aca="false">IF(Time!AN53=1,(Waterfall!AN7)/$F$129,0)</f>
        <v>33.6974240410053</v>
      </c>
      <c r="AO132" s="13" t="n">
        <f aca="false">IF(Time!AO53=1,(Waterfall!AO7)/$F$129,0)</f>
        <v>31.0936942142245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IF(Time!J53=1,IF(Time!J20=Time!$F$13,Funding!$F$25*(1-Inputs!$F$75),I133-I134),0)</f>
        <v>0</v>
      </c>
      <c r="K133" s="13" t="n">
        <f aca="false">IF(Time!K53=1,IF(Time!K20=Time!$F$13,Funding!$F$25*(1-Inputs!$F$75),J133-J134),0)</f>
        <v>0</v>
      </c>
      <c r="L133" s="13" t="n">
        <f aca="false">IF(Time!L53=1,IF(Time!L20=Time!$F$13,Funding!$F$25*(1-Inputs!$F$75),K133-K134),0)</f>
        <v>0</v>
      </c>
      <c r="M133" s="13" t="n">
        <f aca="false">IF(Time!M53=1,IF(Time!M20=Time!$F$13,Funding!$F$25*(1-Inputs!$F$75),L133-L134),0)</f>
        <v>0</v>
      </c>
      <c r="N133" s="13" t="n">
        <f aca="false">IF(Time!N53=1,IF(Time!N20=Time!$F$13,Funding!$F$25*(1-Inputs!$F$75),M133-M134),0)</f>
        <v>0</v>
      </c>
      <c r="O133" s="13" t="n">
        <f aca="false">IF(Time!O53=1,IF(Time!O20=Time!$F$13,Funding!$F$25*(1-Inputs!$F$75),N133-N134),0)</f>
        <v>0</v>
      </c>
      <c r="P133" s="13" t="n">
        <f aca="false">IF(Time!P53=1,IF(Time!P20=Time!$F$13,Funding!$F$25*(1-Inputs!$F$75),O133-O134),0)</f>
        <v>440.964772344903</v>
      </c>
      <c r="Q133" s="13" t="n">
        <f aca="false">IF(Time!Q53=1,IF(Time!Q20=Time!$F$13,Funding!$F$25*(1-Inputs!$F$75),P133-P134),0)</f>
        <v>432.384752643856</v>
      </c>
      <c r="R133" s="13" t="n">
        <f aca="false">IF(Time!R53=1,IF(Time!R20=Time!$F$13,Funding!$F$25*(1-Inputs!$F$75),Q133-Q134),0)</f>
        <v>423.179885294855</v>
      </c>
      <c r="S133" s="13" t="n">
        <f aca="false">IF(Time!S53=1,IF(Time!S20=Time!$F$13,Funding!$F$25*(1-Inputs!$F$75),R133-R134),0)</f>
        <v>413.242999483136</v>
      </c>
      <c r="T133" s="13" t="n">
        <f aca="false">IF(Time!T53=1,IF(Time!T20=Time!$F$13,Funding!$F$25*(1-Inputs!$F$75),S133-S134),0)</f>
        <v>402.807825694209</v>
      </c>
      <c r="U133" s="13" t="n">
        <f aca="false">IF(Time!U53=1,IF(Time!U20=Time!$F$13,Funding!$F$25*(1-Inputs!$F$75),T133-T134),0)</f>
        <v>391.581690528566</v>
      </c>
      <c r="V133" s="13" t="n">
        <f aca="false">IF(Time!V53=1,IF(Time!V20=Time!$F$13,Funding!$F$25*(1-Inputs!$F$75),U133-U134),0)</f>
        <v>379.893135727758</v>
      </c>
      <c r="W133" s="13" t="n">
        <f aca="false">IF(Time!W53=1,IF(Time!W20=Time!$F$13,Funding!$F$25*(1-Inputs!$F$75),V133-V134),0)</f>
        <v>367.94249060327</v>
      </c>
      <c r="X133" s="13" t="n">
        <f aca="false">IF(Time!X53=1,IF(Time!X20=Time!$F$13,Funding!$F$25*(1-Inputs!$F$75),W133-W134),0)</f>
        <v>355.230010570722</v>
      </c>
      <c r="Y133" s="13" t="n">
        <f aca="false">IF(Time!Y53=1,IF(Time!Y20=Time!$F$13,Funding!$F$25*(1-Inputs!$F$75),X133-X134),0)</f>
        <v>342.46395400228</v>
      </c>
      <c r="Z133" s="13" t="n">
        <f aca="false">IF(Time!Z53=1,IF(Time!Z20=Time!$F$13,Funding!$F$25*(1-Inputs!$F$75),Y133-Y134),0)</f>
        <v>329.55483694354</v>
      </c>
      <c r="AA133" s="13" t="n">
        <f aca="false">IF(Time!AA53=1,IF(Time!AA20=Time!$F$13,Funding!$F$25*(1-Inputs!$F$75),Z133-Z134),0)</f>
        <v>315.871320379979</v>
      </c>
      <c r="AB133" s="13" t="n">
        <f aca="false">IF(Time!AB53=1,IF(Time!AB20=Time!$F$13,Funding!$F$25*(1-Inputs!$F$75),AA133-AA134),0)</f>
        <v>301.562984582656</v>
      </c>
      <c r="AC133" s="13" t="n">
        <f aca="false">IF(Time!AC53=1,IF(Time!AC20=Time!$F$13,Funding!$F$25*(1-Inputs!$F$75),AB133-AB134),0)</f>
        <v>286.228400681506</v>
      </c>
      <c r="AD133" s="13" t="n">
        <f aca="false">IF(Time!AD53=1,IF(Time!AD20=Time!$F$13,Funding!$F$25*(1-Inputs!$F$75),AC133-AC134),0)</f>
        <v>270.496909950764</v>
      </c>
      <c r="AE133" s="13" t="n">
        <f aca="false">IF(Time!AE53=1,IF(Time!AE20=Time!$F$13,Funding!$F$25*(1-Inputs!$F$75),AD133-AD134),0)</f>
        <v>253.807984718776</v>
      </c>
      <c r="AF133" s="13" t="n">
        <f aca="false">IF(Time!AF53=1,IF(Time!AF20=Time!$F$13,Funding!$F$25*(1-Inputs!$F$75),AE133-AE134),0)</f>
        <v>236.119771399581</v>
      </c>
      <c r="AG133" s="13" t="n">
        <f aca="false">IF(Time!AG53=1,IF(Time!AG20=Time!$F$13,Funding!$F$25*(1-Inputs!$F$75),AF133-AF134),0)</f>
        <v>216.351988055229</v>
      </c>
      <c r="AH133" s="13" t="n">
        <f aca="false">IF(Time!AH53=1,IF(Time!AH20=Time!$F$13,Funding!$F$25*(1-Inputs!$F$75),AG133-AG134),0)</f>
        <v>195.727959658967</v>
      </c>
      <c r="AI133" s="13" t="n">
        <f aca="false">IF(Time!AI53=1,IF(Time!AI20=Time!$F$13,Funding!$F$25*(1-Inputs!$F$75),AH133-AH134),0)</f>
        <v>173.720675990428</v>
      </c>
      <c r="AJ133" s="13" t="n">
        <f aca="false">IF(Time!AJ53=1,IF(Time!AJ20=Time!$F$13,Funding!$F$25*(1-Inputs!$F$75),AI133-AI134),0)</f>
        <v>150.788232552297</v>
      </c>
      <c r="AK133" s="13" t="n">
        <f aca="false">IF(Time!AK53=1,IF(Time!AK20=Time!$F$13,Funding!$F$25*(1-Inputs!$F$75),AJ133-AJ134),0)</f>
        <v>126.348731085388</v>
      </c>
      <c r="AL133" s="13" t="n">
        <f aca="false">IF(Time!AL53=1,IF(Time!AL20=Time!$F$13,Funding!$F$25*(1-Inputs!$F$75),AK133-AK134),0)</f>
        <v>100.93631998174</v>
      </c>
      <c r="AM133" s="13" t="n">
        <f aca="false">IF(Time!AM53=1,IF(Time!AM20=Time!$F$13,Funding!$F$25*(1-Inputs!$F$75),AL133-AL134),0)</f>
        <v>74.510424366752</v>
      </c>
      <c r="AN133" s="13" t="n">
        <f aca="false">IF(Time!AN53=1,IF(Time!AN20=Time!$F$13,Funding!$F$25*(1-Inputs!$F$75),AM133-AM134),0)</f>
        <v>46.8113288076864</v>
      </c>
      <c r="AO133" s="13" t="n">
        <f aca="false">IF(Time!AO53=1,IF(Time!AO20=Time!$F$13,Funding!$F$25*(1-Inputs!$F$75),AN133-AN134),0)</f>
        <v>22.7059912855346</v>
      </c>
      <c r="AP133" s="13" t="n">
        <f aca="false">IF(Time!AP53=1,IF(Time!AP20=Time!$F$13,Funding!$F$25*(1-Inputs!$F$75),AO133-AO134),0)</f>
        <v>0</v>
      </c>
      <c r="AQ133" s="13" t="n">
        <f aca="false">IF(Time!AQ53=1,IF(Time!AQ20=Time!$F$13,Funding!$F$25*(1-Inputs!$F$75),AP133-AP134),0)</f>
        <v>0</v>
      </c>
      <c r="AR133" s="13" t="n">
        <f aca="false">IF(Time!AR53=1,IF(Time!AR20=Time!$F$13,Funding!$F$25*(1-Inputs!$F$75),AQ133-AQ134),0)</f>
        <v>0</v>
      </c>
      <c r="AS133" s="13" t="n">
        <f aca="false">IF(Time!AS53=1,IF(Time!AS20=Time!$F$13,Funding!$F$25*(1-Inputs!$F$75),AR133-AR134),0)</f>
        <v>0</v>
      </c>
      <c r="AT133" s="13" t="n">
        <f aca="false">IF(Time!AT53=1,IF(Time!AT20=Time!$F$13,Funding!$F$25*(1-Inputs!$F$75),AS133-AS134),0)</f>
        <v>0</v>
      </c>
      <c r="AU133" s="13" t="n">
        <f aca="false">IF(Time!AU53=1,IF(Time!AU20=Time!$F$13,Funding!$F$25*(1-Inputs!$F$75),AT133-AT134),0)</f>
        <v>0</v>
      </c>
      <c r="AV133" s="13" t="n">
        <f aca="false">IF(Time!AV53=1,IF(Time!AV20=Time!$F$13,Funding!$F$25*(1-Inputs!$F$75),AU133-AU134),0)</f>
        <v>0</v>
      </c>
      <c r="AW133" s="13" t="n">
        <f aca="false">IF(Time!AW53=1,IF(Time!AW20=Time!$F$13,Funding!$F$25*(1-Inputs!$F$75),AV133-AV134),0)</f>
        <v>0</v>
      </c>
      <c r="AX133" s="13" t="n">
        <f aca="false">IF(Time!AX53=1,IF(Time!AX20=Time!$F$13,Funding!$F$25*(1-Inputs!$F$75),AW133-AW134),0)</f>
        <v>0</v>
      </c>
      <c r="AY133" s="13" t="n">
        <f aca="false">IF(Time!AY53=1,IF(Time!AY20=Time!$F$13,Funding!$F$25*(1-Inputs!$F$75),AX133-AX134),0)</f>
        <v>0</v>
      </c>
      <c r="AZ133" s="13" t="n">
        <f aca="false">IF(Time!AZ53=1,IF(Time!AZ20=Time!$F$13,Funding!$F$25*(1-Inputs!$F$75),AY133-AY134),0)</f>
        <v>0</v>
      </c>
      <c r="BA133" s="13" t="n">
        <f aca="false">IF(Time!BA53=1,IF(Time!BA20=Time!$F$13,Funding!$F$25*(1-Inputs!$F$75),AZ133-AZ134),0)</f>
        <v>0</v>
      </c>
      <c r="BB133" s="13" t="n">
        <f aca="false">IF(Time!BB53=1,IF(Time!BB20=Time!$F$13,Funding!$F$25*(1-Inputs!$F$75),BA133-BA134),0)</f>
        <v>0</v>
      </c>
      <c r="BC133" s="13" t="n">
        <f aca="false">IF(Time!BC53=1,IF(Time!BC20=Time!$F$13,Funding!$F$25*(1-Inputs!$F$75),BB133-BB134),0)</f>
        <v>0</v>
      </c>
      <c r="BD133" s="13" t="n">
        <f aca="false">IF(Time!BD53=1,IF(Time!BD20=Time!$F$13,Funding!$F$25*(1-Inputs!$F$75),BC133-BC134),0)</f>
        <v>0</v>
      </c>
      <c r="BE133" s="13" t="n">
        <f aca="false">IF(Time!BE53=1,IF(Time!BE20=Time!$F$13,Funding!$F$25*(1-Inputs!$F$75),BD133-BD134),0)</f>
        <v>0</v>
      </c>
      <c r="BF133" s="13" t="n">
        <f aca="false">IF(Time!BF53=1,IF(Time!BF20=Time!$F$13,Funding!$F$25*(1-Inputs!$F$75),BE133-BE134),0)</f>
        <v>0</v>
      </c>
      <c r="BG133" s="13" t="n">
        <f aca="false">IF(Time!BG53=1,IF(Time!BG20=Time!$F$13,Funding!$F$25*(1-Inputs!$F$75),BF133-BF134),0)</f>
        <v>0</v>
      </c>
      <c r="BH133" s="13" t="n">
        <f aca="false">IF(Time!BH53=1,IF(Time!BH20=Time!$F$13,Funding!$F$25*(1-Inputs!$F$75),BG133-BG134),0)</f>
        <v>0</v>
      </c>
      <c r="BI133" s="13" t="n">
        <f aca="false">IF(Time!BI53=1,IF(Time!BI20=Time!$F$13,Funding!$F$25*(1-Inputs!$F$75),BH133-BH134),0)</f>
        <v>0</v>
      </c>
      <c r="BJ133" s="13" t="n">
        <f aca="false">IF(Time!BJ53=1,IF(Time!BJ20=Time!$F$13,Funding!$F$25*(1-Inputs!$F$75),BI133-BI134),0)</f>
        <v>0</v>
      </c>
      <c r="BK133" s="13" t="n">
        <f aca="false">IF(Time!BK53=1,IF(Time!BK20=Time!$F$13,Funding!$F$25*(1-Inputs!$F$75),BJ133-BJ134),0)</f>
        <v>0</v>
      </c>
      <c r="BL133" s="13" t="n">
        <f aca="false">IF(Time!BL53=1,IF(Time!BL20=Time!$F$13,Funding!$F$25*(1-Inputs!$F$75),BK133-BK134),0)</f>
        <v>0</v>
      </c>
      <c r="BM133" s="13" t="n">
        <f aca="false">IF(Time!BM53=1,IF(Time!BM20=Time!$F$13,Funding!$F$25*(1-Inputs!$F$75),BL133-BL134),0)</f>
        <v>0</v>
      </c>
      <c r="BN133" s="13" t="n">
        <f aca="false">IF(Time!BN53=1,IF(Time!BN20=Time!$F$13,Funding!$F$25*(1-Inputs!$F$75),BM133-BM134),0)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J132-J149-J133*J127</f>
        <v>0</v>
      </c>
      <c r="K134" s="13" t="n">
        <f aca="false">K132-K149-K133*K127</f>
        <v>0</v>
      </c>
      <c r="L134" s="13" t="n">
        <f aca="false">L132-L149-L133*L127</f>
        <v>0</v>
      </c>
      <c r="M134" s="13" t="n">
        <f aca="false">M132-M149-M133*M127</f>
        <v>0</v>
      </c>
      <c r="N134" s="13" t="n">
        <f aca="false">N132-N149-N133*N127</f>
        <v>0</v>
      </c>
      <c r="O134" s="13" t="n">
        <f aca="false">O132-O149-O133*O127</f>
        <v>0</v>
      </c>
      <c r="P134" s="13" t="n">
        <f aca="false">P132-P149-P133*P127</f>
        <v>8.58001970104762</v>
      </c>
      <c r="Q134" s="13" t="n">
        <f aca="false">Q132-Q149-Q133*Q127</f>
        <v>9.20486734900076</v>
      </c>
      <c r="R134" s="13" t="n">
        <f aca="false">R132-R149-R133*R127</f>
        <v>9.93688581171932</v>
      </c>
      <c r="S134" s="13" t="n">
        <f aca="false">S132-S149-S133*S127</f>
        <v>10.4351737889268</v>
      </c>
      <c r="T134" s="13" t="n">
        <f aca="false">T132-T149-T133*T127</f>
        <v>11.2261351656427</v>
      </c>
      <c r="U134" s="13" t="n">
        <f aca="false">U132-U149-U133*U127</f>
        <v>11.6885548008085</v>
      </c>
      <c r="V134" s="13" t="n">
        <f aca="false">V132-V149-V133*V127</f>
        <v>11.9506451244881</v>
      </c>
      <c r="W134" s="13" t="n">
        <f aca="false">W132-W149-W133*W127</f>
        <v>12.7124800325471</v>
      </c>
      <c r="X134" s="13" t="n">
        <f aca="false">X132-X149-X133*X127</f>
        <v>12.7660565684428</v>
      </c>
      <c r="Y134" s="13" t="n">
        <f aca="false">Y132-Y149-Y133*Y127</f>
        <v>12.90911705874</v>
      </c>
      <c r="Z134" s="13" t="n">
        <f aca="false">Z132-Z149-Z133*Z127</f>
        <v>13.6835165635606</v>
      </c>
      <c r="AA134" s="13" t="n">
        <f aca="false">AA132-AA149-AA133*AA127</f>
        <v>14.3083357973234</v>
      </c>
      <c r="AB134" s="13" t="n">
        <f aca="false">AB132-AB149-AB133*AB127</f>
        <v>15.3345839011496</v>
      </c>
      <c r="AC134" s="13" t="n">
        <f aca="false">AC132-AC149-AC133*AC127</f>
        <v>15.7314907307424</v>
      </c>
      <c r="AD134" s="13" t="n">
        <f aca="false">AD132-AD149-AD133*AD127</f>
        <v>16.688925231988</v>
      </c>
      <c r="AE134" s="13" t="n">
        <f aca="false">AE132-AE149-AE133*AE127</f>
        <v>17.6882133191946</v>
      </c>
      <c r="AF134" s="13" t="n">
        <f aca="false">AF132-AF149-AF133*AF127</f>
        <v>19.767783344352</v>
      </c>
      <c r="AG134" s="13" t="n">
        <f aca="false">AG132-AG149-AG133*AG127</f>
        <v>20.6240283962619</v>
      </c>
      <c r="AH134" s="13" t="n">
        <f aca="false">AH132-AH149-AH133*AH127</f>
        <v>22.0072836685393</v>
      </c>
      <c r="AI134" s="13" t="n">
        <f aca="false">AI132-AI149-AI133*AI127</f>
        <v>22.932443438131</v>
      </c>
      <c r="AJ134" s="13" t="n">
        <f aca="false">AJ132-AJ149-AJ133*AJ127</f>
        <v>24.4395014669092</v>
      </c>
      <c r="AK134" s="13" t="n">
        <f aca="false">AK132-AK149-AK133*AK127</f>
        <v>25.4124111036474</v>
      </c>
      <c r="AL134" s="13" t="n">
        <f aca="false">AL132-AL149-AL133*AL127</f>
        <v>26.4258956149883</v>
      </c>
      <c r="AM134" s="13" t="n">
        <f aca="false">AM132-AM149-AM133*AM127</f>
        <v>27.6990955590655</v>
      </c>
      <c r="AN134" s="13" t="n">
        <f aca="false">AN132-AN149-AN133*AN127</f>
        <v>24.1053375221519</v>
      </c>
      <c r="AO134" s="13" t="n">
        <f aca="false">AO132-AO149-AO133*AO127</f>
        <v>22.7059912855348</v>
      </c>
      <c r="AP134" s="13" t="n">
        <f aca="false">AP132-AP149-AP133*AP127</f>
        <v>0</v>
      </c>
      <c r="AQ134" s="13" t="n">
        <f aca="false">AQ132-AQ149-AQ133*AQ127</f>
        <v>0</v>
      </c>
      <c r="AR134" s="13" t="n">
        <f aca="false">AR132-AR149-AR133*AR127</f>
        <v>0</v>
      </c>
      <c r="AS134" s="13" t="n">
        <f aca="false">AS132-AS149-AS133*AS127</f>
        <v>0</v>
      </c>
      <c r="AT134" s="13" t="n">
        <f aca="false">AT132-AT149-AT133*AT127</f>
        <v>0</v>
      </c>
      <c r="AU134" s="13" t="n">
        <f aca="false">AU132-AU149-AU133*AU127</f>
        <v>0</v>
      </c>
      <c r="AV134" s="13" t="n">
        <f aca="false">AV132-AV149-AV133*AV127</f>
        <v>0</v>
      </c>
      <c r="AW134" s="13" t="n">
        <f aca="false">AW132-AW149-AW133*AW127</f>
        <v>0</v>
      </c>
      <c r="AX134" s="13" t="n">
        <f aca="false">AX132-AX149-AX133*AX127</f>
        <v>0</v>
      </c>
      <c r="AY134" s="13" t="n">
        <f aca="false">AY132-AY149-AY133*AY127</f>
        <v>0</v>
      </c>
      <c r="AZ134" s="13" t="n">
        <f aca="false">AZ132-AZ149-AZ133*AZ127</f>
        <v>0</v>
      </c>
      <c r="BA134" s="13" t="n">
        <f aca="false">BA132-BA149-BA133*BA127</f>
        <v>0</v>
      </c>
      <c r="BB134" s="13" t="n">
        <f aca="false">BB132-BB149-BB133*BB127</f>
        <v>0</v>
      </c>
      <c r="BC134" s="13" t="n">
        <f aca="false">BC132-BC149-BC133*BC127</f>
        <v>0</v>
      </c>
      <c r="BD134" s="13" t="n">
        <f aca="false">BD132-BD149-BD133*BD127</f>
        <v>0</v>
      </c>
      <c r="BE134" s="13" t="n">
        <f aca="false">BE132-BE149-BE133*BE127</f>
        <v>0</v>
      </c>
      <c r="BF134" s="13" t="n">
        <f aca="false">BF132-BF149-BF133*BF127</f>
        <v>0</v>
      </c>
      <c r="BG134" s="13" t="n">
        <f aca="false">BG132-BG149-BG133*BG127</f>
        <v>0</v>
      </c>
      <c r="BH134" s="13" t="n">
        <f aca="false">BH132-BH149-BH133*BH127</f>
        <v>0</v>
      </c>
      <c r="BI134" s="13" t="n">
        <f aca="false">BI132-BI149-BI133*BI127</f>
        <v>0</v>
      </c>
      <c r="BJ134" s="13" t="n">
        <f aca="false">BJ132-BJ149-BJ133*BJ127</f>
        <v>0</v>
      </c>
      <c r="BK134" s="13" t="n">
        <f aca="false">BK132-BK149-BK133*BK127</f>
        <v>0</v>
      </c>
      <c r="BL134" s="13" t="n">
        <f aca="false">BL132-BL149-BL133*BL127</f>
        <v>0</v>
      </c>
      <c r="BM134" s="13" t="n">
        <f aca="false">BM132-BM149-BM133*BM127</f>
        <v>0</v>
      </c>
      <c r="BN134" s="13" t="n">
        <f aca="false">BN132-BN149-BN133*BN127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IF(Inputs!$F$8=1,J134-Time!J53*Inputs!J298*Funding!$F$25*(1-Inputs!$F$75),0)</f>
        <v>0</v>
      </c>
      <c r="K135" s="13" t="n">
        <f aca="false">IF(Inputs!$F$8=1,K134-Time!K53*Inputs!K298*Funding!$F$25*(1-Inputs!$F$75),0)</f>
        <v>0</v>
      </c>
      <c r="L135" s="13" t="n">
        <f aca="false">IF(Inputs!$F$8=1,L134-Time!L53*Inputs!L298*Funding!$F$25*(1-Inputs!$F$75),0)</f>
        <v>0</v>
      </c>
      <c r="M135" s="13" t="n">
        <f aca="false">IF(Inputs!$F$8=1,M134-Time!M53*Inputs!M298*Funding!$F$25*(1-Inputs!$F$75),0)</f>
        <v>0</v>
      </c>
      <c r="N135" s="13" t="n">
        <f aca="false">IF(Inputs!$F$8=1,N134-Time!N53*Inputs!N298*Funding!$F$25*(1-Inputs!$F$75),0)</f>
        <v>0</v>
      </c>
      <c r="O135" s="13" t="n">
        <f aca="false">IF(Inputs!$F$8=1,O134-Time!O53*Inputs!O298*Funding!$F$25*(1-Inputs!$F$75),0)</f>
        <v>0</v>
      </c>
      <c r="P135" s="13" t="n">
        <f aca="false">IF(Inputs!$F$8=1,P134-Time!P53*Inputs!P298*Funding!$F$25*(1-Inputs!$F$75),0)</f>
        <v>0</v>
      </c>
      <c r="Q135" s="13" t="n">
        <f aca="false">IF(Inputs!$F$8=1,Q134-Time!Q53*Inputs!Q298*Funding!$F$25*(1-Inputs!$F$75),0)</f>
        <v>0</v>
      </c>
      <c r="R135" s="13" t="n">
        <f aca="false">IF(Inputs!$F$8=1,R134-Time!R53*Inputs!R298*Funding!$F$25*(1-Inputs!$F$75),0)</f>
        <v>0</v>
      </c>
      <c r="S135" s="13" t="n">
        <f aca="false">IF(Inputs!$F$8=1,S134-Time!S53*Inputs!S298*Funding!$F$25*(1-Inputs!$F$75),0)</f>
        <v>0</v>
      </c>
      <c r="T135" s="13" t="n">
        <f aca="false">IF(Inputs!$F$8=1,T134-Time!T53*Inputs!T298*Funding!$F$25*(1-Inputs!$F$75),0)</f>
        <v>0</v>
      </c>
      <c r="U135" s="13" t="n">
        <f aca="false">IF(Inputs!$F$8=1,U134-Time!U53*Inputs!U298*Funding!$F$25*(1-Inputs!$F$75),0)</f>
        <v>0</v>
      </c>
      <c r="V135" s="13" t="n">
        <f aca="false">IF(Inputs!$F$8=1,V134-Time!V53*Inputs!V298*Funding!$F$25*(1-Inputs!$F$75),0)</f>
        <v>0</v>
      </c>
      <c r="W135" s="13" t="n">
        <f aca="false">IF(Inputs!$F$8=1,W134-Time!W53*Inputs!W298*Funding!$F$25*(1-Inputs!$F$75),0)</f>
        <v>0</v>
      </c>
      <c r="X135" s="13" t="n">
        <f aca="false">IF(Inputs!$F$8=1,X134-Time!X53*Inputs!X298*Funding!$F$25*(1-Inputs!$F$75),0)</f>
        <v>0</v>
      </c>
      <c r="Y135" s="13" t="n">
        <f aca="false">IF(Inputs!$F$8=1,Y134-Time!Y53*Inputs!Y298*Funding!$F$25*(1-Inputs!$F$75),0)</f>
        <v>0</v>
      </c>
      <c r="Z135" s="13" t="n">
        <f aca="false">IF(Inputs!$F$8=1,Z134-Time!Z53*Inputs!Z298*Funding!$F$25*(1-Inputs!$F$75),0)</f>
        <v>0</v>
      </c>
      <c r="AA135" s="13" t="n">
        <f aca="false">IF(Inputs!$F$8=1,AA134-Time!AA53*Inputs!AA298*Funding!$F$25*(1-Inputs!$F$75),0)</f>
        <v>0</v>
      </c>
      <c r="AB135" s="13" t="n">
        <f aca="false">IF(Inputs!$F$8=1,AB134-Time!AB53*Inputs!AB298*Funding!$F$25*(1-Inputs!$F$75),0)</f>
        <v>0</v>
      </c>
      <c r="AC135" s="13" t="n">
        <f aca="false">IF(Inputs!$F$8=1,AC134-Time!AC53*Inputs!AC298*Funding!$F$25*(1-Inputs!$F$75),0)</f>
        <v>0</v>
      </c>
      <c r="AD135" s="13" t="n">
        <f aca="false">IF(Inputs!$F$8=1,AD134-Time!AD53*Inputs!AD298*Funding!$F$25*(1-Inputs!$F$75),0)</f>
        <v>0</v>
      </c>
      <c r="AE135" s="13" t="n">
        <f aca="false">IF(Inputs!$F$8=1,AE134-Time!AE53*Inputs!AE298*Funding!$F$25*(1-Inputs!$F$75),0)</f>
        <v>0</v>
      </c>
      <c r="AF135" s="13" t="n">
        <f aca="false">IF(Inputs!$F$8=1,AF134-Time!AF53*Inputs!AF298*Funding!$F$25*(1-Inputs!$F$75),0)</f>
        <v>0</v>
      </c>
      <c r="AG135" s="13" t="n">
        <f aca="false">IF(Inputs!$F$8=1,AG134-Time!AG53*Inputs!AG298*Funding!$F$25*(1-Inputs!$F$75),0)</f>
        <v>0</v>
      </c>
      <c r="AH135" s="13" t="n">
        <f aca="false">IF(Inputs!$F$8=1,AH134-Time!AH53*Inputs!AH298*Funding!$F$25*(1-Inputs!$F$75),0)</f>
        <v>0</v>
      </c>
      <c r="AI135" s="13" t="n">
        <f aca="false">IF(Inputs!$F$8=1,AI134-Time!AI53*Inputs!AI298*Funding!$F$25*(1-Inputs!$F$75),0)</f>
        <v>0</v>
      </c>
      <c r="AJ135" s="13" t="n">
        <f aca="false">IF(Inputs!$F$8=1,AJ134-Time!AJ53*Inputs!AJ298*Funding!$F$25*(1-Inputs!$F$75),0)</f>
        <v>0</v>
      </c>
      <c r="AK135" s="13" t="n">
        <f aca="false">IF(Inputs!$F$8=1,AK134-Time!AK53*Inputs!AK298*Funding!$F$25*(1-Inputs!$F$75),0)</f>
        <v>0</v>
      </c>
      <c r="AL135" s="13" t="n">
        <f aca="false">IF(Inputs!$F$8=1,AL134-Time!AL53*Inputs!AL298*Funding!$F$25*(1-Inputs!$F$75),0)</f>
        <v>0</v>
      </c>
      <c r="AM135" s="13" t="n">
        <f aca="false">IF(Inputs!$F$8=1,AM134-Time!AM53*Inputs!AM298*Funding!$F$25*(1-Inputs!$F$75),0)</f>
        <v>0</v>
      </c>
      <c r="AN135" s="13" t="n">
        <f aca="false">IF(Inputs!$F$8=1,AN134-Time!AN53*Inputs!AN298*Funding!$F$25*(1-Inputs!$F$75),0)</f>
        <v>0</v>
      </c>
      <c r="AO135" s="13" t="n">
        <f aca="false">IF(Inputs!$F$8=1,AO134-Time!AO53*Inputs!AO298*Funding!$F$25*(1-Inputs!$F$75),0)</f>
        <v>0</v>
      </c>
      <c r="AP135" s="13" t="n">
        <f aca="false">IF(Inputs!$F$8=1,AP134-Time!AP53*Inputs!AP298*Funding!$F$25*(1-Inputs!$F$75),0)</f>
        <v>0</v>
      </c>
      <c r="AQ135" s="13" t="n">
        <f aca="false">IF(Inputs!$F$8=1,AQ134-Time!AQ53*Inputs!AQ298*Funding!$F$25*(1-Inputs!$F$75),0)</f>
        <v>0</v>
      </c>
      <c r="AR135" s="13" t="n">
        <f aca="false">IF(Inputs!$F$8=1,AR134-Time!AR53*Inputs!AR298*Funding!$F$25*(1-Inputs!$F$75),0)</f>
        <v>0</v>
      </c>
      <c r="AS135" s="13" t="n">
        <f aca="false">IF(Inputs!$F$8=1,AS134-Time!AS53*Inputs!AS298*Funding!$F$25*(1-Inputs!$F$75),0)</f>
        <v>0</v>
      </c>
      <c r="AT135" s="13" t="n">
        <f aca="false">IF(Inputs!$F$8=1,AT134-Time!AT53*Inputs!AT298*Funding!$F$25*(1-Inputs!$F$75),0)</f>
        <v>0</v>
      </c>
      <c r="AU135" s="13" t="n">
        <f aca="false">IF(Inputs!$F$8=1,AU134-Time!AU53*Inputs!AU298*Funding!$F$25*(1-Inputs!$F$75),0)</f>
        <v>0</v>
      </c>
      <c r="AV135" s="13" t="n">
        <f aca="false">IF(Inputs!$F$8=1,AV134-Time!AV53*Inputs!AV298*Funding!$F$25*(1-Inputs!$F$75),0)</f>
        <v>0</v>
      </c>
      <c r="AW135" s="13" t="n">
        <f aca="false">IF(Inputs!$F$8=1,AW134-Time!AW53*Inputs!AW298*Funding!$F$25*(1-Inputs!$F$75),0)</f>
        <v>0</v>
      </c>
      <c r="AX135" s="13" t="n">
        <f aca="false">IF(Inputs!$F$8=1,AX134-Time!AX53*Inputs!AX298*Funding!$F$25*(1-Inputs!$F$75),0)</f>
        <v>0</v>
      </c>
      <c r="AY135" s="13" t="n">
        <f aca="false">IF(Inputs!$F$8=1,AY134-Time!AY53*Inputs!AY298*Funding!$F$25*(1-Inputs!$F$75),0)</f>
        <v>0</v>
      </c>
      <c r="AZ135" s="13" t="n">
        <f aca="false">IF(Inputs!$F$8=1,AZ134-Time!AZ53*Inputs!AZ298*Funding!$F$25*(1-Inputs!$F$75),0)</f>
        <v>0</v>
      </c>
      <c r="BA135" s="13" t="n">
        <f aca="false">IF(Inputs!$F$8=1,BA134-Time!BA53*Inputs!BA298*Funding!$F$25*(1-Inputs!$F$75),0)</f>
        <v>0</v>
      </c>
      <c r="BB135" s="13" t="n">
        <f aca="false">IF(Inputs!$F$8=1,BB134-Time!BB53*Inputs!BB298*Funding!$F$25*(1-Inputs!$F$75),0)</f>
        <v>0</v>
      </c>
      <c r="BC135" s="13" t="n">
        <f aca="false">IF(Inputs!$F$8=1,BC134-Time!BC53*Inputs!BC298*Funding!$F$25*(1-Inputs!$F$75),0)</f>
        <v>0</v>
      </c>
      <c r="BD135" s="13" t="n">
        <f aca="false">IF(Inputs!$F$8=1,BD134-Time!BD53*Inputs!BD298*Funding!$F$25*(1-Inputs!$F$75),0)</f>
        <v>0</v>
      </c>
      <c r="BE135" s="13" t="n">
        <f aca="false">IF(Inputs!$F$8=1,BE134-Time!BE53*Inputs!BE298*Funding!$F$25*(1-Inputs!$F$75),0)</f>
        <v>0</v>
      </c>
      <c r="BF135" s="13" t="n">
        <f aca="false">IF(Inputs!$F$8=1,BF134-Time!BF53*Inputs!BF298*Funding!$F$25*(1-Inputs!$F$75),0)</f>
        <v>0</v>
      </c>
      <c r="BG135" s="13" t="n">
        <f aca="false">IF(Inputs!$F$8=1,BG134-Time!BG53*Inputs!BG298*Funding!$F$25*(1-Inputs!$F$75),0)</f>
        <v>0</v>
      </c>
      <c r="BH135" s="13" t="n">
        <f aca="false">IF(Inputs!$F$8=1,BH134-Time!BH53*Inputs!BH298*Funding!$F$25*(1-Inputs!$F$75),0)</f>
        <v>0</v>
      </c>
      <c r="BI135" s="13" t="n">
        <f aca="false">IF(Inputs!$F$8=1,BI134-Time!BI53*Inputs!BI298*Funding!$F$25*(1-Inputs!$F$75),0)</f>
        <v>0</v>
      </c>
      <c r="BJ135" s="13" t="n">
        <f aca="false">IF(Inputs!$F$8=1,BJ134-Time!BJ53*Inputs!BJ298*Funding!$F$25*(1-Inputs!$F$75),0)</f>
        <v>0</v>
      </c>
      <c r="BK135" s="13" t="n">
        <f aca="false">IF(Inputs!$F$8=1,BK134-Time!BK53*Inputs!BK298*Funding!$F$25*(1-Inputs!$F$75),0)</f>
        <v>0</v>
      </c>
      <c r="BL135" s="13" t="n">
        <f aca="false">IF(Inputs!$F$8=1,BL134-Time!BL53*Inputs!BL298*Funding!$F$25*(1-Inputs!$F$75),0)</f>
        <v>0</v>
      </c>
      <c r="BM135" s="13" t="n">
        <f aca="false">IF(Inputs!$F$8=1,BM134-Time!BM53*Inputs!BM298*Funding!$F$25*(1-Inputs!$F$75),0)</f>
        <v>0</v>
      </c>
      <c r="BN135" s="13" t="n">
        <f aca="false">IF(Inputs!$F$8=1,BN134-Time!BN53*Inputs!BN298*Funding!$F$25*(1-Inputs!$F$75),0)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SUMPRODUCT($J$145:$BN$145,$J$137:$BN$137)/SUM($J$145:$BN$145)</f>
        <v>6.91581108829569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MAX($J$145:$BN$145)/SUM($J$145:$BN$145)</f>
        <v>0.0384615384615385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INDEX($J$137:$BN$137,1,SUMPRODUCT(MAX(($J$145:$BN$145&gt;Inputs!$F$253)*Time!$J$20:$BN$20)))</f>
        <v>13.1635865845311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(YEAR(INDEX(Time!$J$23:$BN$23,1,_xlfn.MINIFS(Time!$J$20:$BN$20,$J$145:$BN$145,"&gt;"&amp;Inputs!$F$253))+1)-YEAR(Time!$F$8))*12+MONTH(INDEX(Time!$J$23:$BN$23,1,_xlfn.MINIFS(Time!$J$20:$BN$20,$J$145:$BN$145,"&gt;"&amp;Inputs!$F$253))+1)-MONTH(Time!$F$8)</f>
        <v>8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SUMIFS($J$145:$BN$145,Time!$J$23:$BN$23,"&lt;="&amp;(EDATE(Time!$F$8,Inputs!$F$1318)-1))/SUM($J$145:$BN$145)</f>
        <v>0.115384615384615</v>
      </c>
    </row>
    <row r="144" customFormat="false" ht="15" hidden="false" customHeight="false" outlineLevel="0" collapsed="false">
      <c r="B144" s="2" t="s">
        <v>1843</v>
      </c>
    </row>
    <row r="145" customFormat="false" ht="15" hidden="false" customHeight="false" outlineLevel="0" collapsed="false">
      <c r="D145" s="0" t="s">
        <v>1844</v>
      </c>
      <c r="E145" s="0" t="s">
        <v>111</v>
      </c>
      <c r="J145" s="11" t="n">
        <f aca="false">IF(Time!J53=1,1/SUM(Time!$J$53:$BN$53),0)</f>
        <v>0</v>
      </c>
      <c r="K145" s="11" t="n">
        <f aca="false">IF(Time!K53=1,1/SUM(Time!$J$53:$BN$53),0)</f>
        <v>0</v>
      </c>
      <c r="L145" s="11" t="n">
        <f aca="false">IF(Time!L53=1,1/SUM(Time!$J$53:$BN$53),0)</f>
        <v>0</v>
      </c>
      <c r="M145" s="11" t="n">
        <f aca="false">IF(Time!M53=1,1/SUM(Time!$J$53:$BN$53),0)</f>
        <v>0</v>
      </c>
      <c r="N145" s="11" t="n">
        <f aca="false">IF(Time!N53=1,1/SUM(Time!$J$53:$BN$53),0)</f>
        <v>0</v>
      </c>
      <c r="O145" s="11" t="n">
        <f aca="false">IF(Time!O53=1,1/SUM(Time!$J$53:$BN$53),0)</f>
        <v>0</v>
      </c>
      <c r="P145" s="11" t="n">
        <f aca="false">IF(Time!P53=1,1/SUM(Time!$J$53:$BN$53),0)</f>
        <v>0.0384615384615385</v>
      </c>
      <c r="Q145" s="11" t="n">
        <f aca="false">IF(Time!Q53=1,1/SUM(Time!$J$53:$BN$53),0)</f>
        <v>0.0384615384615385</v>
      </c>
      <c r="R145" s="11" t="n">
        <f aca="false">IF(Time!R53=1,1/SUM(Time!$J$53:$BN$53),0)</f>
        <v>0.0384615384615385</v>
      </c>
      <c r="S145" s="11" t="n">
        <f aca="false">IF(Time!S53=1,1/SUM(Time!$J$53:$BN$53),0)</f>
        <v>0.0384615384615385</v>
      </c>
      <c r="T145" s="11" t="n">
        <f aca="false">IF(Time!T53=1,1/SUM(Time!$J$53:$BN$53),0)</f>
        <v>0.0384615384615385</v>
      </c>
      <c r="U145" s="11" t="n">
        <f aca="false">IF(Time!U53=1,1/SUM(Time!$J$53:$BN$53),0)</f>
        <v>0.0384615384615385</v>
      </c>
      <c r="V145" s="11" t="n">
        <f aca="false">IF(Time!V53=1,1/SUM(Time!$J$53:$BN$53),0)</f>
        <v>0.0384615384615385</v>
      </c>
      <c r="W145" s="11" t="n">
        <f aca="false">IF(Time!W53=1,1/SUM(Time!$J$53:$BN$53),0)</f>
        <v>0.0384615384615385</v>
      </c>
      <c r="X145" s="11" t="n">
        <f aca="false">IF(Time!X53=1,1/SUM(Time!$J$53:$BN$53),0)</f>
        <v>0.0384615384615385</v>
      </c>
      <c r="Y145" s="11" t="n">
        <f aca="false">IF(Time!Y53=1,1/SUM(Time!$J$53:$BN$53),0)</f>
        <v>0.0384615384615385</v>
      </c>
      <c r="Z145" s="11" t="n">
        <f aca="false">IF(Time!Z53=1,1/SUM(Time!$J$53:$BN$53),0)</f>
        <v>0.0384615384615385</v>
      </c>
      <c r="AA145" s="11" t="n">
        <f aca="false">IF(Time!AA53=1,1/SUM(Time!$J$53:$BN$53),0)</f>
        <v>0.0384615384615385</v>
      </c>
      <c r="AB145" s="11" t="n">
        <f aca="false">IF(Time!AB53=1,1/SUM(Time!$J$53:$BN$53),0)</f>
        <v>0.0384615384615385</v>
      </c>
      <c r="AC145" s="11" t="n">
        <f aca="false">IF(Time!AC53=1,1/SUM(Time!$J$53:$BN$53),0)</f>
        <v>0.0384615384615385</v>
      </c>
      <c r="AD145" s="11" t="n">
        <f aca="false">IF(Time!AD53=1,1/SUM(Time!$J$53:$BN$53),0)</f>
        <v>0.0384615384615385</v>
      </c>
      <c r="AE145" s="11" t="n">
        <f aca="false">IF(Time!AE53=1,1/SUM(Time!$J$53:$BN$53),0)</f>
        <v>0.0384615384615385</v>
      </c>
      <c r="AF145" s="11" t="n">
        <f aca="false">IF(Time!AF53=1,1/SUM(Time!$J$53:$BN$53),0)</f>
        <v>0.0384615384615385</v>
      </c>
      <c r="AG145" s="11" t="n">
        <f aca="false">IF(Time!AG53=1,1/SUM(Time!$J$53:$BN$53),0)</f>
        <v>0.0384615384615385</v>
      </c>
      <c r="AH145" s="11" t="n">
        <f aca="false">IF(Time!AH53=1,1/SUM(Time!$J$53:$BN$53),0)</f>
        <v>0.0384615384615385</v>
      </c>
      <c r="AI145" s="11" t="n">
        <f aca="false">IF(Time!AI53=1,1/SUM(Time!$J$53:$BN$53),0)</f>
        <v>0.0384615384615385</v>
      </c>
      <c r="AJ145" s="11" t="n">
        <f aca="false">IF(Time!AJ53=1,1/SUM(Time!$J$53:$BN$53),0)</f>
        <v>0.0384615384615385</v>
      </c>
      <c r="AK145" s="11" t="n">
        <f aca="false">IF(Time!AK53=1,1/SUM(Time!$J$53:$BN$53),0)</f>
        <v>0.0384615384615385</v>
      </c>
      <c r="AL145" s="11" t="n">
        <f aca="false">IF(Time!AL53=1,1/SUM(Time!$J$53:$BN$53),0)</f>
        <v>0.0384615384615385</v>
      </c>
      <c r="AM145" s="11" t="n">
        <f aca="false">IF(Time!AM53=1,1/SUM(Time!$J$53:$BN$53),0)</f>
        <v>0.0384615384615385</v>
      </c>
      <c r="AN145" s="11" t="n">
        <f aca="false">IF(Time!AN53=1,1/SUM(Time!$J$53:$BN$53),0)</f>
        <v>0.0384615384615385</v>
      </c>
      <c r="AO145" s="11" t="n">
        <f aca="false">IF(Time!AO53=1,1/SUM(Time!$J$53:$BN$53),0)</f>
        <v>0.0384615384615385</v>
      </c>
      <c r="AP145" s="11" t="n">
        <f aca="false">IF(Time!AP53=1,1/SUM(Time!$J$53:$BN$53),0)</f>
        <v>0</v>
      </c>
      <c r="AQ145" s="11" t="n">
        <f aca="false">IF(Time!AQ53=1,1/SUM(Time!$J$53:$BN$53),0)</f>
        <v>0</v>
      </c>
      <c r="AR145" s="11" t="n">
        <f aca="false">IF(Time!AR53=1,1/SUM(Time!$J$53:$BN$53),0)</f>
        <v>0</v>
      </c>
      <c r="AS145" s="11" t="n">
        <f aca="false">IF(Time!AS53=1,1/SUM(Time!$J$53:$BN$53),0)</f>
        <v>0</v>
      </c>
      <c r="AT145" s="11" t="n">
        <f aca="false">IF(Time!AT53=1,1/SUM(Time!$J$53:$BN$53),0)</f>
        <v>0</v>
      </c>
      <c r="AU145" s="11" t="n">
        <f aca="false">IF(Time!AU53=1,1/SUM(Time!$J$53:$BN$53),0)</f>
        <v>0</v>
      </c>
      <c r="AV145" s="11" t="n">
        <f aca="false">IF(Time!AV53=1,1/SUM(Time!$J$53:$BN$53),0)</f>
        <v>0</v>
      </c>
      <c r="AW145" s="11" t="n">
        <f aca="false">IF(Time!AW53=1,1/SUM(Time!$J$53:$BN$53),0)</f>
        <v>0</v>
      </c>
      <c r="AX145" s="11" t="n">
        <f aca="false">IF(Time!AX53=1,1/SUM(Time!$J$53:$BN$53),0)</f>
        <v>0</v>
      </c>
      <c r="AY145" s="11" t="n">
        <f aca="false">IF(Time!AY53=1,1/SUM(Time!$J$53:$BN$53),0)</f>
        <v>0</v>
      </c>
      <c r="AZ145" s="11" t="n">
        <f aca="false">IF(Time!AZ53=1,1/SUM(Time!$J$53:$BN$53),0)</f>
        <v>0</v>
      </c>
      <c r="BA145" s="11" t="n">
        <f aca="false">IF(Time!BA53=1,1/SUM(Time!$J$53:$BN$53),0)</f>
        <v>0</v>
      </c>
      <c r="BB145" s="11" t="n">
        <f aca="false">IF(Time!BB53=1,1/SUM(Time!$J$53:$BN$53),0)</f>
        <v>0</v>
      </c>
      <c r="BC145" s="11" t="n">
        <f aca="false">IF(Time!BC53=1,1/SUM(Time!$J$53:$BN$53),0)</f>
        <v>0</v>
      </c>
      <c r="BD145" s="11" t="n">
        <f aca="false">IF(Time!BD53=1,1/SUM(Time!$J$53:$BN$53),0)</f>
        <v>0</v>
      </c>
      <c r="BE145" s="11" t="n">
        <f aca="false">IF(Time!BE53=1,1/SUM(Time!$J$53:$BN$53),0)</f>
        <v>0</v>
      </c>
      <c r="BF145" s="11" t="n">
        <f aca="false">IF(Time!BF53=1,1/SUM(Time!$J$53:$BN$53),0)</f>
        <v>0</v>
      </c>
      <c r="BG145" s="11" t="n">
        <f aca="false">IF(Time!BG53=1,1/SUM(Time!$J$53:$BN$53),0)</f>
        <v>0</v>
      </c>
      <c r="BH145" s="11" t="n">
        <f aca="false">IF(Time!BH53=1,1/SUM(Time!$J$53:$BN$53),0)</f>
        <v>0</v>
      </c>
      <c r="BI145" s="11" t="n">
        <f aca="false">IF(Time!BI53=1,1/SUM(Time!$J$53:$BN$53),0)</f>
        <v>0</v>
      </c>
      <c r="BJ145" s="11" t="n">
        <f aca="false">IF(Time!BJ53=1,1/SUM(Time!$J$53:$BN$53),0)</f>
        <v>0</v>
      </c>
      <c r="BK145" s="11" t="n">
        <f aca="false">IF(Time!BK53=1,1/SUM(Time!$J$53:$BN$53),0)</f>
        <v>0</v>
      </c>
      <c r="BL145" s="11" t="n">
        <f aca="false">IF(Time!BL53=1,1/SUM(Time!$J$53:$BN$53),0)</f>
        <v>0</v>
      </c>
      <c r="BM145" s="11" t="n">
        <f aca="false">IF(Time!BM53=1,1/SUM(Time!$J$53:$BN$53),0)</f>
        <v>0</v>
      </c>
      <c r="BN145" s="11" t="n">
        <f aca="false">IF(Time!BN53=1,1/SUM(Time!$J$53:$BN$53),0)</f>
        <v>0</v>
      </c>
    </row>
    <row r="146" customFormat="false" ht="15" hidden="false" customHeight="false" outlineLevel="0" collapsed="false">
      <c r="D146" s="0" t="s">
        <v>1845</v>
      </c>
      <c r="E146" s="0" t="s">
        <v>111</v>
      </c>
      <c r="J146" s="11" t="n">
        <f aca="false">SUM(J145:BN145)</f>
        <v>1</v>
      </c>
      <c r="K146" s="11" t="n">
        <f aca="false">SUM(K145:BN145)</f>
        <v>1</v>
      </c>
      <c r="L146" s="11" t="n">
        <f aca="false">SUM(L145:BN145)</f>
        <v>1</v>
      </c>
      <c r="M146" s="11" t="n">
        <f aca="false">SUM(M145:BN145)</f>
        <v>1</v>
      </c>
      <c r="N146" s="11" t="n">
        <f aca="false">SUM(N145:BN145)</f>
        <v>1</v>
      </c>
      <c r="O146" s="11" t="n">
        <f aca="false">SUM(O145:BN145)</f>
        <v>1</v>
      </c>
      <c r="P146" s="11" t="n">
        <f aca="false">SUM(P145:BN145)</f>
        <v>1</v>
      </c>
      <c r="Q146" s="11" t="n">
        <f aca="false">SUM(Q145:BN145)</f>
        <v>0.961538461538462</v>
      </c>
      <c r="R146" s="11" t="n">
        <f aca="false">SUM(R145:BN145)</f>
        <v>0.923076923076923</v>
      </c>
      <c r="S146" s="11" t="n">
        <f aca="false">SUM(S145:BN145)</f>
        <v>0.884615384615385</v>
      </c>
      <c r="T146" s="11" t="n">
        <f aca="false">SUM(T145:BN145)</f>
        <v>0.846153846153846</v>
      </c>
      <c r="U146" s="11" t="n">
        <f aca="false">SUM(U145:BN145)</f>
        <v>0.807692307692308</v>
      </c>
      <c r="V146" s="11" t="n">
        <f aca="false">SUM(V145:BN145)</f>
        <v>0.769230769230769</v>
      </c>
      <c r="W146" s="11" t="n">
        <f aca="false">SUM(W145:BN145)</f>
        <v>0.730769230769231</v>
      </c>
      <c r="X146" s="11" t="n">
        <f aca="false">SUM(X145:BN145)</f>
        <v>0.692307692307692</v>
      </c>
      <c r="Y146" s="11" t="n">
        <f aca="false">SUM(Y145:BN145)</f>
        <v>0.653846153846154</v>
      </c>
      <c r="Z146" s="11" t="n">
        <f aca="false">SUM(Z145:BN145)</f>
        <v>0.615384615384615</v>
      </c>
      <c r="AA146" s="11" t="n">
        <f aca="false">SUM(AA145:BN145)</f>
        <v>0.576923076923077</v>
      </c>
      <c r="AB146" s="11" t="n">
        <f aca="false">SUM(AB145:BN145)</f>
        <v>0.538461538461538</v>
      </c>
      <c r="AC146" s="11" t="n">
        <f aca="false">SUM(AC145:BN145)</f>
        <v>0.5</v>
      </c>
      <c r="AD146" s="11" t="n">
        <f aca="false">SUM(AD145:BN145)</f>
        <v>0.461538461538462</v>
      </c>
      <c r="AE146" s="11" t="n">
        <f aca="false">SUM(AE145:BN145)</f>
        <v>0.423076923076923</v>
      </c>
      <c r="AF146" s="11" t="n">
        <f aca="false">SUM(AF145:BN145)</f>
        <v>0.384615384615385</v>
      </c>
      <c r="AG146" s="11" t="n">
        <f aca="false">SUM(AG145:BN145)</f>
        <v>0.346153846153846</v>
      </c>
      <c r="AH146" s="11" t="n">
        <f aca="false">SUM(AH145:BN145)</f>
        <v>0.307692307692308</v>
      </c>
      <c r="AI146" s="11" t="n">
        <f aca="false">SUM(AI145:BN145)</f>
        <v>0.269230769230769</v>
      </c>
      <c r="AJ146" s="11" t="n">
        <f aca="false">SUM(AJ145:BN145)</f>
        <v>0.230769230769231</v>
      </c>
      <c r="AK146" s="11" t="n">
        <f aca="false">SUM(AK145:BN145)</f>
        <v>0.192307692307692</v>
      </c>
      <c r="AL146" s="11" t="n">
        <f aca="false">SUM(AL145:BN145)</f>
        <v>0.153846153846154</v>
      </c>
      <c r="AM146" s="11" t="n">
        <f aca="false">SUM(AM145:BN145)</f>
        <v>0.115384615384615</v>
      </c>
      <c r="AN146" s="11" t="n">
        <f aca="false">SUM(AN145:BN145)</f>
        <v>0.0769230769230769</v>
      </c>
      <c r="AO146" s="11" t="n">
        <f aca="false">SUM(AO145:BN145)</f>
        <v>0.0384615384615385</v>
      </c>
      <c r="AP146" s="11" t="n">
        <f aca="false">SUM(AP145:BN145)</f>
        <v>0</v>
      </c>
      <c r="AQ146" s="11" t="n">
        <f aca="false">SUM(AQ145:BN145)</f>
        <v>0</v>
      </c>
      <c r="AR146" s="11" t="n">
        <f aca="false">SUM(AR145:BN145)</f>
        <v>0</v>
      </c>
      <c r="AS146" s="11" t="n">
        <f aca="false">SUM(AS145:BN145)</f>
        <v>0</v>
      </c>
      <c r="AT146" s="11" t="n">
        <f aca="false">SUM(AT145:BN145)</f>
        <v>0</v>
      </c>
      <c r="AU146" s="11" t="n">
        <f aca="false">SUM(AU145:BN145)</f>
        <v>0</v>
      </c>
      <c r="AV146" s="11" t="n">
        <f aca="false">SUM(AV145:BN145)</f>
        <v>0</v>
      </c>
      <c r="AW146" s="11" t="n">
        <f aca="false">SUM(AW145:BN145)</f>
        <v>0</v>
      </c>
      <c r="AX146" s="11" t="n">
        <f aca="false">SUM(AX145:BN145)</f>
        <v>0</v>
      </c>
      <c r="AY146" s="11" t="n">
        <f aca="false">SUM(AY145:BN145)</f>
        <v>0</v>
      </c>
      <c r="AZ146" s="11" t="n">
        <f aca="false">SUM(AZ145:BN145)</f>
        <v>0</v>
      </c>
      <c r="BA146" s="11" t="n">
        <f aca="false">SUM(BA145:BN145)</f>
        <v>0</v>
      </c>
      <c r="BB146" s="11" t="n">
        <f aca="false">SUM(BB145:BN145)</f>
        <v>0</v>
      </c>
      <c r="BC146" s="11" t="n">
        <f aca="false">SUM(BC145:BN145)</f>
        <v>0</v>
      </c>
      <c r="BD146" s="11" t="n">
        <f aca="false">SUM(BD145:BN145)</f>
        <v>0</v>
      </c>
      <c r="BE146" s="11" t="n">
        <f aca="false">SUM(BE145:BN145)</f>
        <v>0</v>
      </c>
      <c r="BF146" s="11" t="n">
        <f aca="false">SUM(BF145:BN145)</f>
        <v>0</v>
      </c>
      <c r="BG146" s="11" t="n">
        <f aca="false">SUM(BG145:BN145)</f>
        <v>0</v>
      </c>
      <c r="BH146" s="11" t="n">
        <f aca="false">SUM(BH145:BN145)</f>
        <v>0</v>
      </c>
      <c r="BI146" s="11" t="n">
        <f aca="false">SUM(BI145:BN145)</f>
        <v>0</v>
      </c>
      <c r="BJ146" s="11" t="n">
        <f aca="false">SUM(BJ145:BN145)</f>
        <v>0</v>
      </c>
      <c r="BK146" s="11" t="n">
        <f aca="false">SUM(BK145:BN145)</f>
        <v>0</v>
      </c>
      <c r="BL146" s="11" t="n">
        <f aca="false">SUM(BL145:BN145)</f>
        <v>0</v>
      </c>
      <c r="BM146" s="11" t="n">
        <f aca="false">SUM(BM145:BN145)</f>
        <v>0</v>
      </c>
      <c r="BN146" s="11" t="n">
        <f aca="false">SUM(BN145:BN145)</f>
        <v>0</v>
      </c>
    </row>
    <row r="147" customFormat="false" ht="15" hidden="false" customHeight="false" outlineLevel="0" collapsed="false">
      <c r="D147" s="0" t="s">
        <v>1846</v>
      </c>
      <c r="E147" s="0" t="s">
        <v>111</v>
      </c>
      <c r="J147" s="11" t="n">
        <f aca="false">IF(J146&gt;Inputs!$F$253,J145/J146,0)</f>
        <v>0</v>
      </c>
      <c r="K147" s="11" t="n">
        <f aca="false">IF(K146&gt;Inputs!$F$253,K145/K146,0)</f>
        <v>0</v>
      </c>
      <c r="L147" s="11" t="n">
        <f aca="false">IF(L146&gt;Inputs!$F$253,L145/L146,0)</f>
        <v>0</v>
      </c>
      <c r="M147" s="11" t="n">
        <f aca="false">IF(M146&gt;Inputs!$F$253,M145/M146,0)</f>
        <v>0</v>
      </c>
      <c r="N147" s="11" t="n">
        <f aca="false">IF(N146&gt;Inputs!$F$253,N145/N146,0)</f>
        <v>0</v>
      </c>
      <c r="O147" s="11" t="n">
        <f aca="false">IF(O146&gt;Inputs!$F$253,O145/O146,0)</f>
        <v>0</v>
      </c>
      <c r="P147" s="11" t="n">
        <f aca="false">IF(P146&gt;Inputs!$F$253,P145/P146,0)</f>
        <v>0.0384615384615385</v>
      </c>
      <c r="Q147" s="11" t="n">
        <f aca="false">IF(Q146&gt;Inputs!$F$253,Q145/Q146,0)</f>
        <v>0.04</v>
      </c>
      <c r="R147" s="11" t="n">
        <f aca="false">IF(R146&gt;Inputs!$F$253,R145/R146,0)</f>
        <v>0.0416666666666667</v>
      </c>
      <c r="S147" s="11" t="n">
        <f aca="false">IF(S146&gt;Inputs!$F$253,S145/S146,0)</f>
        <v>0.0434782608695652</v>
      </c>
      <c r="T147" s="11" t="n">
        <f aca="false">IF(T146&gt;Inputs!$F$253,T145/T146,0)</f>
        <v>0.0454545454545455</v>
      </c>
      <c r="U147" s="11" t="n">
        <f aca="false">IF(U146&gt;Inputs!$F$253,U145/U146,0)</f>
        <v>0.0476190476190476</v>
      </c>
      <c r="V147" s="11" t="n">
        <f aca="false">IF(V146&gt;Inputs!$F$253,V145/V146,0)</f>
        <v>0.05</v>
      </c>
      <c r="W147" s="11" t="n">
        <f aca="false">IF(W146&gt;Inputs!$F$253,W145/W146,0)</f>
        <v>0.0526315789473684</v>
      </c>
      <c r="X147" s="11" t="n">
        <f aca="false">IF(X146&gt;Inputs!$F$253,X145/X146,0)</f>
        <v>0.0555555555555556</v>
      </c>
      <c r="Y147" s="11" t="n">
        <f aca="false">IF(Y146&gt;Inputs!$F$253,Y145/Y146,0)</f>
        <v>0.0588235294117647</v>
      </c>
      <c r="Z147" s="11" t="n">
        <f aca="false">IF(Z146&gt;Inputs!$F$253,Z145/Z146,0)</f>
        <v>0.0625</v>
      </c>
      <c r="AA147" s="11" t="n">
        <f aca="false">IF(AA146&gt;Inputs!$F$253,AA145/AA146,0)</f>
        <v>0.0666666666666667</v>
      </c>
      <c r="AB147" s="11" t="n">
        <f aca="false">IF(AB146&gt;Inputs!$F$253,AB145/AB146,0)</f>
        <v>0.0714285714285714</v>
      </c>
      <c r="AC147" s="11" t="n">
        <f aca="false">IF(AC146&gt;Inputs!$F$253,AC145/AC146,0)</f>
        <v>0.0769230769230769</v>
      </c>
      <c r="AD147" s="11" t="n">
        <f aca="false">IF(AD146&gt;Inputs!$F$253,AD145/AD146,0)</f>
        <v>0.0833333333333333</v>
      </c>
      <c r="AE147" s="11" t="n">
        <f aca="false">IF(AE146&gt;Inputs!$F$253,AE145/AE146,0)</f>
        <v>0.0909090909090909</v>
      </c>
      <c r="AF147" s="11" t="n">
        <f aca="false">IF(AF146&gt;Inputs!$F$253,AF145/AF146,0)</f>
        <v>0.1</v>
      </c>
      <c r="AG147" s="11" t="n">
        <f aca="false">IF(AG146&gt;Inputs!$F$253,AG145/AG146,0)</f>
        <v>0.111111111111111</v>
      </c>
      <c r="AH147" s="11" t="n">
        <f aca="false">IF(AH146&gt;Inputs!$F$253,AH145/AH146,0)</f>
        <v>0.125</v>
      </c>
      <c r="AI147" s="11" t="n">
        <f aca="false">IF(AI146&gt;Inputs!$F$253,AI145/AI146,0)</f>
        <v>0.142857142857143</v>
      </c>
      <c r="AJ147" s="11" t="n">
        <f aca="false">IF(AJ146&gt;Inputs!$F$253,AJ145/AJ146,0)</f>
        <v>0.166666666666667</v>
      </c>
      <c r="AK147" s="11" t="n">
        <f aca="false">IF(AK146&gt;Inputs!$F$253,AK145/AK146,0)</f>
        <v>0.2</v>
      </c>
      <c r="AL147" s="11" t="n">
        <f aca="false">IF(AL146&gt;Inputs!$F$253,AL145/AL146,0)</f>
        <v>0.25</v>
      </c>
      <c r="AM147" s="11" t="n">
        <f aca="false">IF(AM146&gt;Inputs!$F$253,AM145/AM146,0)</f>
        <v>0.333333333333333</v>
      </c>
      <c r="AN147" s="11" t="n">
        <f aca="false">IF(AN146&gt;Inputs!$F$253,AN145/AN146,0)</f>
        <v>0.5</v>
      </c>
      <c r="AO147" s="11" t="n">
        <f aca="false">IF(AO146&gt;Inputs!$F$253,AO145/AO146,0)</f>
        <v>1</v>
      </c>
      <c r="AP147" s="11" t="n">
        <f aca="false">IF(AP146&gt;Inputs!$F$253,AP145/AP146,0)</f>
        <v>0</v>
      </c>
      <c r="AQ147" s="11" t="n">
        <f aca="false">IF(AQ146&gt;Inputs!$F$253,AQ145/AQ146,0)</f>
        <v>0</v>
      </c>
      <c r="AR147" s="11" t="n">
        <f aca="false">IF(AR146&gt;Inputs!$F$253,AR145/AR146,0)</f>
        <v>0</v>
      </c>
      <c r="AS147" s="11" t="n">
        <f aca="false">IF(AS146&gt;Inputs!$F$253,AS145/AS146,0)</f>
        <v>0</v>
      </c>
      <c r="AT147" s="11" t="n">
        <f aca="false">IF(AT146&gt;Inputs!$F$253,AT145/AT146,0)</f>
        <v>0</v>
      </c>
      <c r="AU147" s="11" t="n">
        <f aca="false">IF(AU146&gt;Inputs!$F$253,AU145/AU146,0)</f>
        <v>0</v>
      </c>
      <c r="AV147" s="11" t="n">
        <f aca="false">IF(AV146&gt;Inputs!$F$253,AV145/AV146,0)</f>
        <v>0</v>
      </c>
      <c r="AW147" s="11" t="n">
        <f aca="false">IF(AW146&gt;Inputs!$F$253,AW145/AW146,0)</f>
        <v>0</v>
      </c>
      <c r="AX147" s="11" t="n">
        <f aca="false">IF(AX146&gt;Inputs!$F$253,AX145/AX146,0)</f>
        <v>0</v>
      </c>
      <c r="AY147" s="11" t="n">
        <f aca="false">IF(AY146&gt;Inputs!$F$253,AY145/AY146,0)</f>
        <v>0</v>
      </c>
      <c r="AZ147" s="11" t="n">
        <f aca="false">IF(AZ146&gt;Inputs!$F$253,AZ145/AZ146,0)</f>
        <v>0</v>
      </c>
      <c r="BA147" s="11" t="n">
        <f aca="false">IF(BA146&gt;Inputs!$F$253,BA145/BA146,0)</f>
        <v>0</v>
      </c>
      <c r="BB147" s="11" t="n">
        <f aca="false">IF(BB146&gt;Inputs!$F$253,BB145/BB146,0)</f>
        <v>0</v>
      </c>
      <c r="BC147" s="11" t="n">
        <f aca="false">IF(BC146&gt;Inputs!$F$253,BC145/BC146,0)</f>
        <v>0</v>
      </c>
      <c r="BD147" s="11" t="n">
        <f aca="false">IF(BD146&gt;Inputs!$F$253,BD145/BD146,0)</f>
        <v>0</v>
      </c>
      <c r="BE147" s="11" t="n">
        <f aca="false">IF(BE146&gt;Inputs!$F$253,BE145/BE146,0)</f>
        <v>0</v>
      </c>
      <c r="BF147" s="11" t="n">
        <f aca="false">IF(BF146&gt;Inputs!$F$253,BF145/BF146,0)</f>
        <v>0</v>
      </c>
      <c r="BG147" s="11" t="n">
        <f aca="false">IF(BG146&gt;Inputs!$F$253,BG145/BG146,0)</f>
        <v>0</v>
      </c>
      <c r="BH147" s="11" t="n">
        <f aca="false">IF(BH146&gt;Inputs!$F$253,BH145/BH146,0)</f>
        <v>0</v>
      </c>
      <c r="BI147" s="11" t="n">
        <f aca="false">IF(BI146&gt;Inputs!$F$253,BI145/BI146,0)</f>
        <v>0</v>
      </c>
      <c r="BJ147" s="11" t="n">
        <f aca="false">IF(BJ146&gt;Inputs!$F$253,BJ145/BJ146,0)</f>
        <v>0</v>
      </c>
      <c r="BK147" s="11" t="n">
        <f aca="false">IF(BK146&gt;Inputs!$F$253,BK145/BK146,0)</f>
        <v>0</v>
      </c>
      <c r="BL147" s="11" t="n">
        <f aca="false">IF(BL146&gt;Inputs!$F$253,BL145/BL146,0)</f>
        <v>0</v>
      </c>
      <c r="BM147" s="11" t="n">
        <f aca="false">IF(BM146&gt;Inputs!$F$253,BM145/BM146,0)</f>
        <v>0</v>
      </c>
      <c r="BN147" s="11" t="n">
        <f aca="false">IF(BN146&gt;Inputs!$F$253,BN145/BN146,0)</f>
        <v>0</v>
      </c>
    </row>
    <row r="148" customFormat="false" ht="15" hidden="false" customHeight="false" outlineLevel="0" collapsed="false">
      <c r="D148" s="0" t="s">
        <v>1847</v>
      </c>
      <c r="E148" s="0" t="s">
        <v>101</v>
      </c>
      <c r="J148" s="16" t="n">
        <f aca="false">IF(Time!J53=1,Inputs!J301/(Funding!$F$25*(Inputs!$F$75*J146+(1-Inputs!$F$75)*J18))*(Inputs!$F$97/100*Time!J24-Operations!J9/100*Time!J25/Inputs!$F$247),0)</f>
        <v>0</v>
      </c>
      <c r="K148" s="16" t="n">
        <f aca="false">IF(Time!K53=1,Inputs!K301/(Funding!$F$25*(Inputs!$F$75*K146+(1-Inputs!$F$75)*K18))*(Inputs!$F$97/100*Time!K24-Operations!K9/100*Time!K25/Inputs!$F$247),0)</f>
        <v>0</v>
      </c>
      <c r="L148" s="16" t="n">
        <f aca="false">IF(Time!L53=1,Inputs!L301/(Funding!$F$25*(Inputs!$F$75*L146+(1-Inputs!$F$75)*L18))*(Inputs!$F$97/100*Time!L24-Operations!L9/100*Time!L25/Inputs!$F$247),0)</f>
        <v>0</v>
      </c>
      <c r="M148" s="16" t="n">
        <f aca="false">IF(Time!M53=1,Inputs!M301/(Funding!$F$25*(Inputs!$F$75*M146+(1-Inputs!$F$75)*M18))*(Inputs!$F$97/100*Time!M24-Operations!M9/100*Time!M25/Inputs!$F$247),0)</f>
        <v>0</v>
      </c>
      <c r="N148" s="16" t="n">
        <f aca="false">IF(Time!N53=1,Inputs!N301/(Funding!$F$25*(Inputs!$F$75*N146+(1-Inputs!$F$75)*N18))*(Inputs!$F$97/100*Time!N24-Operations!N9/100*Time!N25/Inputs!$F$247),0)</f>
        <v>0</v>
      </c>
      <c r="O148" s="16" t="n">
        <f aca="false">IF(Time!O53=1,Inputs!O301/(Funding!$F$25*(Inputs!$F$75*O146+(1-Inputs!$F$75)*O18))*(Inputs!$F$97/100*Time!O24-Operations!O9/100*Time!O25/Inputs!$F$247),0)</f>
        <v>0</v>
      </c>
      <c r="P148" s="16" t="n">
        <f aca="false">IF(Time!P53=1,Inputs!P301/(Funding!$F$25*(Inputs!$F$75*P146+(1-Inputs!$F$75)*P18))*(Inputs!$F$97/100*Time!P24-Operations!P9/100*Time!P25/Inputs!$F$247),0)</f>
        <v>-0.00084666666628156</v>
      </c>
      <c r="Q148" s="16" t="n">
        <f aca="false">IF(Time!Q53=1,Inputs!Q301/(Funding!$F$25*(Inputs!$F$75*Q146+(1-Inputs!$F$75)*Q18))*(Inputs!$F$97/100*Time!Q24-Operations!Q9/100*Time!Q25/Inputs!$F$247),0)</f>
        <v>-0.000721111110783118</v>
      </c>
      <c r="R148" s="16" t="n">
        <f aca="false">IF(Time!R53=1,Inputs!R301/(Funding!$F$25*(Inputs!$F$75*R146+(1-Inputs!$F$75)*R18))*(Inputs!$F$97/100*Time!R24-Operations!R9/100*Time!R25/Inputs!$F$247),0)</f>
        <v>-0.000928444444022145</v>
      </c>
      <c r="S148" s="16" t="n">
        <f aca="false">IF(Time!S53=1,Inputs!S301/(Funding!$F$25*(Inputs!$F$75*S146+(1-Inputs!$F$75)*S18))*(Inputs!$F$97/100*Time!S24-Operations!S9/100*Time!S25/Inputs!$F$247),0)</f>
        <v>-0.000761333332987045</v>
      </c>
      <c r="T148" s="16" t="n">
        <f aca="false">IF(Time!T53=1,Inputs!T301/(Funding!$F$25*(Inputs!$F$75*T146+(1-Inputs!$F$75)*T18))*(Inputs!$F$97/100*Time!T24-Operations!T9/100*Time!T25/Inputs!$F$247),0)</f>
        <v>-0.000969333332892437</v>
      </c>
      <c r="U148" s="16" t="n">
        <f aca="false">IF(Time!U53=1,Inputs!U301/(Funding!$F$25*(Inputs!$F$75*U146+(1-Inputs!$F$75)*U18))*(Inputs!$F$97/100*Time!U24-Operations!U9/100*Time!U25/Inputs!$F$247),0)</f>
        <v>-0.000830666666288844</v>
      </c>
      <c r="V148" s="16" t="n">
        <f aca="false">IF(Time!V53=1,Inputs!V301/(Funding!$F$25*(Inputs!$F$75*V146+(1-Inputs!$F$75)*V18))*(Inputs!$F$97/100*Time!V24-Operations!V9/100*Time!V25/Inputs!$F$247),0)</f>
        <v>-0.000969333332892437</v>
      </c>
      <c r="W148" s="16" t="n">
        <f aca="false">IF(Time!W53=1,Inputs!W301/(Funding!$F$25*(Inputs!$F$75*W146+(1-Inputs!$F$75)*W18))*(Inputs!$F$97/100*Time!W24-Operations!W9/100*Time!W25/Inputs!$F$247),0)</f>
        <v>-0.000761333332987045</v>
      </c>
      <c r="X148" s="16" t="n">
        <f aca="false">IF(Time!X53=1,Inputs!X301/(Funding!$F$25*(Inputs!$F$75*X146+(1-Inputs!$F$75)*X18))*(Inputs!$F$97/100*Time!X24-Operations!X9/100*Time!X25/Inputs!$F$247),0)</f>
        <v>-0.000969333332892437</v>
      </c>
      <c r="Y148" s="16" t="n">
        <f aca="false">IF(Time!Y53=1,Inputs!Y301/(Funding!$F$25*(Inputs!$F$75*Y146+(1-Inputs!$F$75)*Y18))*(Inputs!$F$97/100*Time!Y24-Operations!Y9/100*Time!Y25/Inputs!$F$247),0)</f>
        <v>-0.000761333332987045</v>
      </c>
      <c r="Z148" s="16" t="n">
        <f aca="false">IF(Time!Z53=1,Inputs!Z301/(Funding!$F$25*(Inputs!$F$75*Z146+(1-Inputs!$F$75)*Z18))*(Inputs!$F$97/100*Time!Z24-Operations!Z9/100*Time!Z25/Inputs!$F$247),0)</f>
        <v>-0.000969333332892437</v>
      </c>
      <c r="AA148" s="16" t="n">
        <f aca="false">IF(Time!AA53=1,Inputs!AA301/(Funding!$F$25*(Inputs!$F$75*AA146+(1-Inputs!$F$75)*AA18))*(Inputs!$F$97/100*Time!AA24-Operations!AA9/100*Time!AA25/Inputs!$F$247),0)</f>
        <v>-0.000761333332987045</v>
      </c>
      <c r="AB148" s="16" t="n">
        <f aca="false">IF(Time!AB53=1,Inputs!AB301/(Funding!$F$25*(Inputs!$F$75*AB146+(1-Inputs!$F$75)*AB18))*(Inputs!$F$97/100*Time!AB24-Operations!AB9/100*Time!AB25/Inputs!$F$247),0)</f>
        <v>-0.000969333332892437</v>
      </c>
      <c r="AC148" s="16" t="n">
        <f aca="false">IF(Time!AC53=1,Inputs!AC301/(Funding!$F$25*(Inputs!$F$75*AC146+(1-Inputs!$F$75)*AC18))*(Inputs!$F$97/100*Time!AC24-Operations!AC9/100*Time!AC25/Inputs!$F$247),0)</f>
        <v>-0.000830666666288844</v>
      </c>
      <c r="AD148" s="16" t="n">
        <f aca="false">IF(Time!AD53=1,Inputs!AD301/(Funding!$F$25*(Inputs!$F$75*AD146+(1-Inputs!$F$75)*AD18))*(Inputs!$F$97/100*Time!AD24-Operations!AD9/100*Time!AD25/Inputs!$F$247),0)</f>
        <v>-0.000969333332892437</v>
      </c>
      <c r="AE148" s="16" t="n">
        <f aca="false">IF(Time!AE53=1,Inputs!AE301/(Funding!$F$25*(Inputs!$F$75*AE146+(1-Inputs!$F$75)*AE18))*(Inputs!$F$97/100*Time!AE24-Operations!AE9/100*Time!AE25/Inputs!$F$247),0)</f>
        <v>-0.000761333332987045</v>
      </c>
      <c r="AF148" s="16" t="n">
        <f aca="false">IF(Time!AF53=1,Inputs!AF301/(Funding!$F$25*(Inputs!$F$75*AF146+(1-Inputs!$F$75)*AF18))*(Inputs!$F$97/100*Time!AF24-Operations!AF9/100*Time!AF25/Inputs!$F$247),0)</f>
        <v>-0.000969333332892437</v>
      </c>
      <c r="AG148" s="16" t="n">
        <f aca="false">IF(Time!AG53=1,Inputs!AG301/(Funding!$F$25*(Inputs!$F$75*AG146+(1-Inputs!$F$75)*AG18))*(Inputs!$F$97/100*Time!AG24-Operations!AG9/100*Time!AG25/Inputs!$F$247),0)</f>
        <v>-0.000761333332987045</v>
      </c>
      <c r="AH148" s="16" t="n">
        <f aca="false">IF(Time!AH53=1,Inputs!AH301/(Funding!$F$25*(Inputs!$F$75*AH146+(1-Inputs!$F$75)*AH18))*(Inputs!$F$97/100*Time!AH24-Operations!AH9/100*Time!AH25/Inputs!$F$247),0)</f>
        <v>-0.000969333332892437</v>
      </c>
      <c r="AI148" s="16" t="n">
        <f aca="false">IF(Time!AI53=1,Inputs!AI301/(Funding!$F$25*(Inputs!$F$75*AI146+(1-Inputs!$F$75)*AI18))*(Inputs!$F$97/100*Time!AI24-Operations!AI9/100*Time!AI25/Inputs!$F$247),0)</f>
        <v>-0.000761333332987045</v>
      </c>
      <c r="AJ148" s="16" t="n">
        <f aca="false">IF(Time!AJ53=1,Inputs!AJ301/(Funding!$F$25*(Inputs!$F$75*AJ146+(1-Inputs!$F$75)*AJ18))*(Inputs!$F$97/100*Time!AJ24-Operations!AJ9/100*Time!AJ25/Inputs!$F$247),0)</f>
        <v>-0.000969333332892437</v>
      </c>
      <c r="AK148" s="16" t="n">
        <f aca="false">IF(Time!AK53=1,Inputs!AK301/(Funding!$F$25*(Inputs!$F$75*AK146+(1-Inputs!$F$75)*AK18))*(Inputs!$F$97/100*Time!AK24-Operations!AK9/100*Time!AK25/Inputs!$F$247),0)</f>
        <v>-0.000830666666288844</v>
      </c>
      <c r="AL148" s="16" t="n">
        <f aca="false">IF(Time!AL53=1,Inputs!AL301/(Funding!$F$25*(Inputs!$F$75*AL146+(1-Inputs!$F$75)*AL18))*(Inputs!$F$97/100*Time!AL24-Operations!AL9/100*Time!AL25/Inputs!$F$247),0)</f>
        <v>-0.000969333332892437</v>
      </c>
      <c r="AM148" s="16" t="n">
        <f aca="false">IF(Time!AM53=1,Inputs!AM301/(Funding!$F$25*(Inputs!$F$75*AM146+(1-Inputs!$F$75)*AM18))*(Inputs!$F$97/100*Time!AM24-Operations!AM9/100*Time!AM25/Inputs!$F$247),0)</f>
        <v>-0.000761333332987045</v>
      </c>
      <c r="AN148" s="16" t="n">
        <f aca="false">IF(Time!AN53=1,Inputs!AN301/(Funding!$F$25*(Inputs!$F$75*AN146+(1-Inputs!$F$75)*AN18))*(Inputs!$F$97/100*Time!AN24-Operations!AN9/100*Time!AN25/Inputs!$F$247),0)</f>
        <v>-0.000969333332892437</v>
      </c>
      <c r="AO148" s="16" t="n">
        <f aca="false">IF(Time!AO53=1,Inputs!AO301/(Funding!$F$25*(Inputs!$F$75*AO146+(1-Inputs!$F$75)*AO18))*(Inputs!$F$97/100*Time!AO24-Operations!AO9/100*Time!AO25/Inputs!$F$247),0)</f>
        <v>-0.000761333332987045</v>
      </c>
      <c r="AP148" s="16" t="n">
        <f aca="false">IF(Time!AP53=1,Inputs!AP301/(Funding!$F$25*(Inputs!$F$75*AP146+(1-Inputs!$F$75)*AP18))*(Inputs!$F$97/100*Time!AP24-Operations!AP9/100*Time!AP25/Inputs!$F$247),0)</f>
        <v>0</v>
      </c>
      <c r="AQ148" s="16" t="n">
        <f aca="false">IF(Time!AQ53=1,Inputs!AQ301/(Funding!$F$25*(Inputs!$F$75*AQ146+(1-Inputs!$F$75)*AQ18))*(Inputs!$F$97/100*Time!AQ24-Operations!AQ9/100*Time!AQ25/Inputs!$F$247),0)</f>
        <v>0</v>
      </c>
      <c r="AR148" s="16" t="n">
        <f aca="false">IF(Time!AR53=1,Inputs!AR301/(Funding!$F$25*(Inputs!$F$75*AR146+(1-Inputs!$F$75)*AR18))*(Inputs!$F$97/100*Time!AR24-Operations!AR9/100*Time!AR25/Inputs!$F$247),0)</f>
        <v>0</v>
      </c>
      <c r="AS148" s="16" t="n">
        <f aca="false">IF(Time!AS53=1,Inputs!AS301/(Funding!$F$25*(Inputs!$F$75*AS146+(1-Inputs!$F$75)*AS18))*(Inputs!$F$97/100*Time!AS24-Operations!AS9/100*Time!AS25/Inputs!$F$247),0)</f>
        <v>0</v>
      </c>
      <c r="AT148" s="16" t="n">
        <f aca="false">IF(Time!AT53=1,Inputs!AT301/(Funding!$F$25*(Inputs!$F$75*AT146+(1-Inputs!$F$75)*AT18))*(Inputs!$F$97/100*Time!AT24-Operations!AT9/100*Time!AT25/Inputs!$F$247),0)</f>
        <v>0</v>
      </c>
      <c r="AU148" s="16" t="n">
        <f aca="false">IF(Time!AU53=1,Inputs!AU301/(Funding!$F$25*(Inputs!$F$75*AU146+(1-Inputs!$F$75)*AU18))*(Inputs!$F$97/100*Time!AU24-Operations!AU9/100*Time!AU25/Inputs!$F$247),0)</f>
        <v>0</v>
      </c>
      <c r="AV148" s="16" t="n">
        <f aca="false">IF(Time!AV53=1,Inputs!AV301/(Funding!$F$25*(Inputs!$F$75*AV146+(1-Inputs!$F$75)*AV18))*(Inputs!$F$97/100*Time!AV24-Operations!AV9/100*Time!AV25/Inputs!$F$247),0)</f>
        <v>0</v>
      </c>
      <c r="AW148" s="16" t="n">
        <f aca="false">IF(Time!AW53=1,Inputs!AW301/(Funding!$F$25*(Inputs!$F$75*AW146+(1-Inputs!$F$75)*AW18))*(Inputs!$F$97/100*Time!AW24-Operations!AW9/100*Time!AW25/Inputs!$F$247),0)</f>
        <v>0</v>
      </c>
      <c r="AX148" s="16" t="n">
        <f aca="false">IF(Time!AX53=1,Inputs!AX301/(Funding!$F$25*(Inputs!$F$75*AX146+(1-Inputs!$F$75)*AX18))*(Inputs!$F$97/100*Time!AX24-Operations!AX9/100*Time!AX25/Inputs!$F$247),0)</f>
        <v>0</v>
      </c>
      <c r="AY148" s="16" t="n">
        <f aca="false">IF(Time!AY53=1,Inputs!AY301/(Funding!$F$25*(Inputs!$F$75*AY146+(1-Inputs!$F$75)*AY18))*(Inputs!$F$97/100*Time!AY24-Operations!AY9/100*Time!AY25/Inputs!$F$247),0)</f>
        <v>0</v>
      </c>
      <c r="AZ148" s="16" t="n">
        <f aca="false">IF(Time!AZ53=1,Inputs!AZ301/(Funding!$F$25*(Inputs!$F$75*AZ146+(1-Inputs!$F$75)*AZ18))*(Inputs!$F$97/100*Time!AZ24-Operations!AZ9/100*Time!AZ25/Inputs!$F$247),0)</f>
        <v>0</v>
      </c>
      <c r="BA148" s="16" t="n">
        <f aca="false">IF(Time!BA53=1,Inputs!BA301/(Funding!$F$25*(Inputs!$F$75*BA146+(1-Inputs!$F$75)*BA18))*(Inputs!$F$97/100*Time!BA24-Operations!BA9/100*Time!BA25/Inputs!$F$247),0)</f>
        <v>0</v>
      </c>
      <c r="BB148" s="16" t="n">
        <f aca="false">IF(Time!BB53=1,Inputs!BB301/(Funding!$F$25*(Inputs!$F$75*BB146+(1-Inputs!$F$75)*BB18))*(Inputs!$F$97/100*Time!BB24-Operations!BB9/100*Time!BB25/Inputs!$F$247),0)</f>
        <v>0</v>
      </c>
      <c r="BC148" s="16" t="n">
        <f aca="false">IF(Time!BC53=1,Inputs!BC301/(Funding!$F$25*(Inputs!$F$75*BC146+(1-Inputs!$F$75)*BC18))*(Inputs!$F$97/100*Time!BC24-Operations!BC9/100*Time!BC25/Inputs!$F$247),0)</f>
        <v>0</v>
      </c>
      <c r="BD148" s="16" t="n">
        <f aca="false">IF(Time!BD53=1,Inputs!BD301/(Funding!$F$25*(Inputs!$F$75*BD146+(1-Inputs!$F$75)*BD18))*(Inputs!$F$97/100*Time!BD24-Operations!BD9/100*Time!BD25/Inputs!$F$247),0)</f>
        <v>0</v>
      </c>
      <c r="BE148" s="16" t="n">
        <f aca="false">IF(Time!BE53=1,Inputs!BE301/(Funding!$F$25*(Inputs!$F$75*BE146+(1-Inputs!$F$75)*BE18))*(Inputs!$F$97/100*Time!BE24-Operations!BE9/100*Time!BE25/Inputs!$F$247),0)</f>
        <v>0</v>
      </c>
      <c r="BF148" s="16" t="n">
        <f aca="false">IF(Time!BF53=1,Inputs!BF301/(Funding!$F$25*(Inputs!$F$75*BF146+(1-Inputs!$F$75)*BF18))*(Inputs!$F$97/100*Time!BF24-Operations!BF9/100*Time!BF25/Inputs!$F$247),0)</f>
        <v>0</v>
      </c>
      <c r="BG148" s="16" t="n">
        <f aca="false">IF(Time!BG53=1,Inputs!BG301/(Funding!$F$25*(Inputs!$F$75*BG146+(1-Inputs!$F$75)*BG18))*(Inputs!$F$97/100*Time!BG24-Operations!BG9/100*Time!BG25/Inputs!$F$247),0)</f>
        <v>0</v>
      </c>
      <c r="BH148" s="16" t="n">
        <f aca="false">IF(Time!BH53=1,Inputs!BH301/(Funding!$F$25*(Inputs!$F$75*BH146+(1-Inputs!$F$75)*BH18))*(Inputs!$F$97/100*Time!BH24-Operations!BH9/100*Time!BH25/Inputs!$F$247),0)</f>
        <v>0</v>
      </c>
      <c r="BI148" s="16" t="n">
        <f aca="false">IF(Time!BI53=1,Inputs!BI301/(Funding!$F$25*(Inputs!$F$75*BI146+(1-Inputs!$F$75)*BI18))*(Inputs!$F$97/100*Time!BI24-Operations!BI9/100*Time!BI25/Inputs!$F$247),0)</f>
        <v>0</v>
      </c>
      <c r="BJ148" s="16" t="n">
        <f aca="false">IF(Time!BJ53=1,Inputs!BJ301/(Funding!$F$25*(Inputs!$F$75*BJ146+(1-Inputs!$F$75)*BJ18))*(Inputs!$F$97/100*Time!BJ24-Operations!BJ9/100*Time!BJ25/Inputs!$F$247),0)</f>
        <v>0</v>
      </c>
      <c r="BK148" s="16" t="n">
        <f aca="false">IF(Time!BK53=1,Inputs!BK301/(Funding!$F$25*(Inputs!$F$75*BK146+(1-Inputs!$F$75)*BK18))*(Inputs!$F$97/100*Time!BK24-Operations!BK9/100*Time!BK25/Inputs!$F$247),0)</f>
        <v>0</v>
      </c>
      <c r="BL148" s="16" t="n">
        <f aca="false">IF(Time!BL53=1,Inputs!BL301/(Funding!$F$25*(Inputs!$F$75*BL146+(1-Inputs!$F$75)*BL18))*(Inputs!$F$97/100*Time!BL24-Operations!BL9/100*Time!BL25/Inputs!$F$247),0)</f>
        <v>0</v>
      </c>
      <c r="BM148" s="16" t="n">
        <f aca="false">IF(Time!BM53=1,Inputs!BM301/(Funding!$F$25*(Inputs!$F$75*BM146+(1-Inputs!$F$75)*BM18))*(Inputs!$F$97/100*Time!BM24-Operations!BM9/100*Time!BM25/Inputs!$F$247),0)</f>
        <v>0</v>
      </c>
      <c r="BN148" s="16" t="n">
        <f aca="false">IF(Time!BN53=1,Inputs!BN301/(Funding!$F$25*(Inputs!$F$75*BN146+(1-Inputs!$F$75)*BN18))*(Inputs!$F$97/100*Time!BN24-Operations!BN9/100*Time!BN25/Inputs!$F$247),0)</f>
        <v>0</v>
      </c>
    </row>
    <row r="149" customFormat="false" ht="15" hidden="false" customHeight="false" outlineLevel="0" collapsed="false">
      <c r="D149" s="0" t="s">
        <v>1848</v>
      </c>
      <c r="E149" s="0" t="s">
        <v>151</v>
      </c>
      <c r="J149" s="13" t="n">
        <f aca="false">IF(Time!J53=1,Funding!$F$25*Inputs!$F$75*(J145+J146*(J10+J148)),0)</f>
        <v>0</v>
      </c>
      <c r="K149" s="13" t="n">
        <f aca="false">IF(Time!K53=1,Funding!$F$25*Inputs!$F$75*(K145+K146*(K10+K148)),0)</f>
        <v>0</v>
      </c>
      <c r="L149" s="13" t="n">
        <f aca="false">IF(Time!L53=1,Funding!$F$25*Inputs!$F$75*(L145+L146*(L10+L148)),0)</f>
        <v>0</v>
      </c>
      <c r="M149" s="13" t="n">
        <f aca="false">IF(Time!M53=1,Funding!$F$25*Inputs!$F$75*(M145+M146*(M10+M148)),0)</f>
        <v>0</v>
      </c>
      <c r="N149" s="13" t="n">
        <f aca="false">IF(Time!N53=1,Funding!$F$25*Inputs!$F$75*(N145+N146*(N10+N148)),0)</f>
        <v>0</v>
      </c>
      <c r="O149" s="13" t="n">
        <f aca="false">IF(Time!O53=1,Funding!$F$25*Inputs!$F$75*(O145+O146*(O10+O148)),0)</f>
        <v>0</v>
      </c>
      <c r="P149" s="13" t="n">
        <f aca="false">IF(Time!P53=1,Funding!$F$25*Inputs!$F$75*(P145+P146*(P10+P148)),0)</f>
        <v>11.3973402621679</v>
      </c>
      <c r="Q149" s="13" t="n">
        <f aca="false">IF(Time!Q53=1,Funding!$F$25*Inputs!$F$75*(Q145+Q146*(Q10+Q148)),0)</f>
        <v>11.2123975368011</v>
      </c>
      <c r="R149" s="13" t="n">
        <f aca="false">IF(Time!R53=1,Funding!$F$25*Inputs!$F$75*(R145+R146*(R10+R148)),0)</f>
        <v>11.0833151950585</v>
      </c>
      <c r="S149" s="13" t="n">
        <f aca="false">IF(Time!S53=1,Funding!$F$25*Inputs!$F$75*(S145+S146*(S10+S148)),0)</f>
        <v>10.8985788185889</v>
      </c>
      <c r="T149" s="13" t="n">
        <f aca="false">IF(Time!T53=1,Funding!$F$25*Inputs!$F$75*(T145+T146*(T10+T148)),0)</f>
        <v>10.7670610752497</v>
      </c>
      <c r="U149" s="13" t="n">
        <f aca="false">IF(Time!U53=1,Funding!$F$25*Inputs!$F$75*(U145+U146*(U10+U148)),0)</f>
        <v>10.5913026930903</v>
      </c>
      <c r="V149" s="13" t="n">
        <f aca="false">IF(Time!V53=1,Funding!$F$25*Inputs!$F$75*(V145+V146*(V10+V148)),0)</f>
        <v>10.4490237132813</v>
      </c>
      <c r="W149" s="13" t="n">
        <f aca="false">IF(Time!W53=1,Funding!$F$25*Inputs!$F$75*(W145+W146*(W10+W148)),0)</f>
        <v>10.2672868664165</v>
      </c>
      <c r="X149" s="13" t="n">
        <f aca="false">IF(Time!X53=1,Funding!$F$25*Inputs!$F$75*(X145+X146*(X10+X148)),0)</f>
        <v>10.1309863513129</v>
      </c>
      <c r="Y149" s="13" t="n">
        <f aca="false">IF(Time!Y53=1,Funding!$F$25*Inputs!$F$75*(Y145+Y146*(Y10+Y148)),0)</f>
        <v>9.95164089033023</v>
      </c>
      <c r="Z149" s="13" t="n">
        <f aca="false">IF(Time!Z53=1,Funding!$F$25*Inputs!$F$75*(Z145+Z146*(Z10+Z148)),0)</f>
        <v>9.81294898934447</v>
      </c>
      <c r="AA149" s="13" t="n">
        <f aca="false">IF(Time!AA53=1,Funding!$F$25*Inputs!$F$75*(AA145+AA146*(AA10+AA148)),0)</f>
        <v>9.635994914244</v>
      </c>
      <c r="AB149" s="13" t="n">
        <f aca="false">IF(Time!AB53=1,Funding!$F$25*Inputs!$F$75*(AB145+AB146*(AB10+AB148)),0)</f>
        <v>9.49491162737607</v>
      </c>
      <c r="AC149" s="13" t="n">
        <f aca="false">IF(Time!AC53=1,Funding!$F$25*Inputs!$F$75*(AC145+AC146*(AC10+AC148)),0)</f>
        <v>9.32553027423581</v>
      </c>
      <c r="AD149" s="13" t="n">
        <f aca="false">IF(Time!AD53=1,Funding!$F$25*Inputs!$F$75*(AD145+AD146*(AD10+AD148)),0)</f>
        <v>9.17687426540768</v>
      </c>
      <c r="AE149" s="13" t="n">
        <f aca="false">IF(Time!AE53=1,Funding!$F$25*Inputs!$F$75*(AE145+AE146*(AE10+AE148)),0)</f>
        <v>9.00470296207155</v>
      </c>
      <c r="AF149" s="13" t="n">
        <f aca="false">IF(Time!AF53=1,Funding!$F$25*Inputs!$F$75*(AF145+AF146*(AF10+AF148)),0)</f>
        <v>8.85883690343928</v>
      </c>
      <c r="AG149" s="13" t="n">
        <f aca="false">IF(Time!AG53=1,Funding!$F$25*Inputs!$F$75*(AG145+AG146*(AG10+AG148)),0)</f>
        <v>8.68905698598532</v>
      </c>
      <c r="AH149" s="13" t="n">
        <f aca="false">IF(Time!AH53=1,Funding!$F$25*Inputs!$F$75*(AH145+AH146*(AH10+AH148)),0)</f>
        <v>8.54079954147089</v>
      </c>
      <c r="AI149" s="13" t="n">
        <f aca="false">IF(Time!AI53=1,Funding!$F$25*Inputs!$F$75*(AI145+AI146*(AI10+AI148)),0)</f>
        <v>8.3734110098991</v>
      </c>
      <c r="AJ149" s="13" t="n">
        <f aca="false">IF(Time!AJ53=1,Funding!$F$25*Inputs!$F$75*(AJ145+AJ146*(AJ10+AJ148)),0)</f>
        <v>8.22276217950249</v>
      </c>
      <c r="AK149" s="13" t="n">
        <f aca="false">IF(Time!AK53=1,Funding!$F$25*Inputs!$F$75*(AK145+AK146*(AK10+AK148)),0)</f>
        <v>8.05975785538135</v>
      </c>
      <c r="AL149" s="13" t="n">
        <f aca="false">IF(Time!AL53=1,Funding!$F$25*Inputs!$F$75*(AL145+AL146*(AL10+AL148)),0)</f>
        <v>7.9047248175341</v>
      </c>
      <c r="AM149" s="13" t="n">
        <f aca="false">IF(Time!AM53=1,Funding!$F$25*Inputs!$F$75*(AM145+AM146*(AM10+AM148)),0)</f>
        <v>7.74211905772665</v>
      </c>
      <c r="AN149" s="13" t="n">
        <f aca="false">IF(Time!AN53=1,Funding!$F$25*Inputs!$F$75*(AN145+AN146*(AN10+AN148)),0)</f>
        <v>7.5866874555657</v>
      </c>
      <c r="AO149" s="13" t="n">
        <f aca="false">IF(Time!AO53=1,Funding!$F$25*Inputs!$F$75*(AO145+AO146*(AO10+AO148)),0)</f>
        <v>7.42647308164042</v>
      </c>
      <c r="AP149" s="13" t="n">
        <f aca="false">IF(Time!AP53=1,Funding!$F$25*Inputs!$F$75*(AP145+AP146*(AP10+AP148)),0)</f>
        <v>0</v>
      </c>
      <c r="AQ149" s="13" t="n">
        <f aca="false">IF(Time!AQ53=1,Funding!$F$25*Inputs!$F$75*(AQ145+AQ146*(AQ10+AQ148)),0)</f>
        <v>0</v>
      </c>
      <c r="AR149" s="13" t="n">
        <f aca="false">IF(Time!AR53=1,Funding!$F$25*Inputs!$F$75*(AR145+AR146*(AR10+AR148)),0)</f>
        <v>0</v>
      </c>
      <c r="AS149" s="13" t="n">
        <f aca="false">IF(Time!AS53=1,Funding!$F$25*Inputs!$F$75*(AS145+AS146*(AS10+AS148)),0)</f>
        <v>0</v>
      </c>
      <c r="AT149" s="13" t="n">
        <f aca="false">IF(Time!AT53=1,Funding!$F$25*Inputs!$F$75*(AT145+AT146*(AT10+AT148)),0)</f>
        <v>0</v>
      </c>
      <c r="AU149" s="13" t="n">
        <f aca="false">IF(Time!AU53=1,Funding!$F$25*Inputs!$F$75*(AU145+AU146*(AU10+AU148)),0)</f>
        <v>0</v>
      </c>
      <c r="AV149" s="13" t="n">
        <f aca="false">IF(Time!AV53=1,Funding!$F$25*Inputs!$F$75*(AV145+AV146*(AV10+AV148)),0)</f>
        <v>0</v>
      </c>
      <c r="AW149" s="13" t="n">
        <f aca="false">IF(Time!AW53=1,Funding!$F$25*Inputs!$F$75*(AW145+AW146*(AW10+AW148)),0)</f>
        <v>0</v>
      </c>
      <c r="AX149" s="13" t="n">
        <f aca="false">IF(Time!AX53=1,Funding!$F$25*Inputs!$F$75*(AX145+AX146*(AX10+AX148)),0)</f>
        <v>0</v>
      </c>
      <c r="AY149" s="13" t="n">
        <f aca="false">IF(Time!AY53=1,Funding!$F$25*Inputs!$F$75*(AY145+AY146*(AY10+AY148)),0)</f>
        <v>0</v>
      </c>
      <c r="AZ149" s="13" t="n">
        <f aca="false">IF(Time!AZ53=1,Funding!$F$25*Inputs!$F$75*(AZ145+AZ146*(AZ10+AZ148)),0)</f>
        <v>0</v>
      </c>
      <c r="BA149" s="13" t="n">
        <f aca="false">IF(Time!BA53=1,Funding!$F$25*Inputs!$F$75*(BA145+BA146*(BA10+BA148)),0)</f>
        <v>0</v>
      </c>
      <c r="BB149" s="13" t="n">
        <f aca="false">IF(Time!BB53=1,Funding!$F$25*Inputs!$F$75*(BB145+BB146*(BB10+BB148)),0)</f>
        <v>0</v>
      </c>
      <c r="BC149" s="13" t="n">
        <f aca="false">IF(Time!BC53=1,Funding!$F$25*Inputs!$F$75*(BC145+BC146*(BC10+BC148)),0)</f>
        <v>0</v>
      </c>
      <c r="BD149" s="13" t="n">
        <f aca="false">IF(Time!BD53=1,Funding!$F$25*Inputs!$F$75*(BD145+BD146*(BD10+BD148)),0)</f>
        <v>0</v>
      </c>
      <c r="BE149" s="13" t="n">
        <f aca="false">IF(Time!BE53=1,Funding!$F$25*Inputs!$F$75*(BE145+BE146*(BE10+BE148)),0)</f>
        <v>0</v>
      </c>
      <c r="BF149" s="13" t="n">
        <f aca="false">IF(Time!BF53=1,Funding!$F$25*Inputs!$F$75*(BF145+BF146*(BF10+BF148)),0)</f>
        <v>0</v>
      </c>
      <c r="BG149" s="13" t="n">
        <f aca="false">IF(Time!BG53=1,Funding!$F$25*Inputs!$F$75*(BG145+BG146*(BG10+BG148)),0)</f>
        <v>0</v>
      </c>
      <c r="BH149" s="13" t="n">
        <f aca="false">IF(Time!BH53=1,Funding!$F$25*Inputs!$F$75*(BH145+BH146*(BH10+BH148)),0)</f>
        <v>0</v>
      </c>
      <c r="BI149" s="13" t="n">
        <f aca="false">IF(Time!BI53=1,Funding!$F$25*Inputs!$F$75*(BI145+BI146*(BI10+BI148)),0)</f>
        <v>0</v>
      </c>
      <c r="BJ149" s="13" t="n">
        <f aca="false">IF(Time!BJ53=1,Funding!$F$25*Inputs!$F$75*(BJ145+BJ146*(BJ10+BJ148)),0)</f>
        <v>0</v>
      </c>
      <c r="BK149" s="13" t="n">
        <f aca="false">IF(Time!BK53=1,Funding!$F$25*Inputs!$F$75*(BK145+BK146*(BK10+BK148)),0)</f>
        <v>0</v>
      </c>
      <c r="BL149" s="13" t="n">
        <f aca="false">IF(Time!BL53=1,Funding!$F$25*Inputs!$F$75*(BL145+BL146*(BL10+BL148)),0)</f>
        <v>0</v>
      </c>
      <c r="BM149" s="13" t="n">
        <f aca="false">IF(Time!BM53=1,Funding!$F$25*Inputs!$F$75*(BM145+BM146*(BM10+BM148)),0)</f>
        <v>0</v>
      </c>
      <c r="BN149" s="13" t="n">
        <f aca="false">IF(Time!BN53=1,Funding!$F$25*Inputs!$F$75*(BN145+BN146*(BN10+BN148)),0)</f>
        <v>0</v>
      </c>
    </row>
    <row r="150" customFormat="false" ht="15" hidden="false" customHeight="false" outlineLevel="0" collapsed="false">
      <c r="D150" s="0" t="s">
        <v>1849</v>
      </c>
      <c r="E150" s="0" t="s">
        <v>151</v>
      </c>
      <c r="J150" s="13" t="n">
        <f aca="false">IF(Time!J53=1,(J149+K150)/(1+J127),0)</f>
        <v>0</v>
      </c>
      <c r="K150" s="13" t="n">
        <f aca="false">IF(Time!K53=1,(K149+L150)/(1+K127),0)</f>
        <v>0</v>
      </c>
      <c r="L150" s="13" t="n">
        <f aca="false">IF(Time!L53=1,(L149+M150)/(1+L127),0)</f>
        <v>0</v>
      </c>
      <c r="M150" s="13" t="n">
        <f aca="false">IF(Time!M53=1,(M149+N150)/(1+M127),0)</f>
        <v>0</v>
      </c>
      <c r="N150" s="13" t="n">
        <f aca="false">IF(Time!N53=1,(N149+O150)/(1+N127),0)</f>
        <v>0</v>
      </c>
      <c r="O150" s="13" t="n">
        <f aca="false">IF(Time!O53=1,(O149+P150)/(1+O127),0)</f>
        <v>0</v>
      </c>
      <c r="P150" s="13" t="n">
        <f aca="false">IF(Time!P53=1,(P149+Q150)/(1+P127),0)</f>
        <v>155.507640808507</v>
      </c>
      <c r="Q150" s="13" t="n">
        <f aca="false">IF(Time!Q53=1,(Q149+R150)/(1+Q127),0)</f>
        <v>150.286633181971</v>
      </c>
      <c r="R150" s="13" t="n">
        <f aca="false">IF(Time!R53=1,(R149+S150)/(1+R127),0)</f>
        <v>144.978702577479</v>
      </c>
      <c r="S150" s="13" t="n">
        <f aca="false">IF(Time!S53=1,(S149+T150)/(1+S127),0)</f>
        <v>139.657397680042</v>
      </c>
      <c r="T150" s="13" t="n">
        <f aca="false">IF(Time!T53=1,(T149+U150)/(1+T127),0)</f>
        <v>134.24751184872</v>
      </c>
      <c r="U150" s="13" t="n">
        <f aca="false">IF(Time!U53=1,(U149+V150)/(1+U127),0)</f>
        <v>128.817748526814</v>
      </c>
      <c r="V150" s="13" t="n">
        <f aca="false">IF(Time!V53=1,(V149+W150)/(1+V127),0)</f>
        <v>123.308709502673</v>
      </c>
      <c r="W150" s="13" t="n">
        <f aca="false">IF(Time!W53=1,(W149+X150)/(1+W127),0)</f>
        <v>117.762087995087</v>
      </c>
      <c r="X150" s="13" t="n">
        <f aca="false">IF(Time!X53=1,(X149+Y150)/(1+X127),0)</f>
        <v>112.12298379054</v>
      </c>
      <c r="Y150" s="13" t="n">
        <f aca="false">IF(Time!Y53=1,(Y149+Z150)/(1+Y127),0)</f>
        <v>106.449687129281</v>
      </c>
      <c r="Z150" s="13" t="n">
        <f aca="false">IF(Time!Z53=1,(Z149+AA150)/(1+Z127),0)</f>
        <v>100.843049952445</v>
      </c>
      <c r="AA150" s="13" t="n">
        <f aca="false">IF(Time!AA53=1,(AA149+AB150)/(1+AA127),0)</f>
        <v>95.1947768283809</v>
      </c>
      <c r="AB150" s="13" t="n">
        <f aca="false">IF(Time!AB53=1,(AB149+AC150)/(1+AB127),0)</f>
        <v>89.4443890021339</v>
      </c>
      <c r="AC150" s="13" t="n">
        <f aca="false">IF(Time!AC53=1,(AC149+AD150)/(1+AC127),0)</f>
        <v>83.6434046046224</v>
      </c>
      <c r="AD150" s="13" t="n">
        <f aca="false">IF(Time!AD53=1,(AD149+AE150)/(1+AD127),0)</f>
        <v>77.7453990103624</v>
      </c>
      <c r="AE150" s="13" t="n">
        <f aca="false">IF(Time!AE53=1,(AE149+AF150)/(1+AE127),0)</f>
        <v>71.7793001731844</v>
      </c>
      <c r="AF150" s="13" t="n">
        <f aca="false">IF(Time!AF53=1,(AF149+AG150)/(1+AF127),0)</f>
        <v>65.704444486528</v>
      </c>
      <c r="AG150" s="13" t="n">
        <f aca="false">IF(Time!AG53=1,(AG149+AH150)/(1+AG127),0)</f>
        <v>59.5591085563708</v>
      </c>
      <c r="AH150" s="13" t="n">
        <f aca="false">IF(Time!AH53=1,(AH149+AI150)/(1+AH127),0)</f>
        <v>53.3914122142832</v>
      </c>
      <c r="AI150" s="13" t="n">
        <f aca="false">IF(Time!AI53=1,(AI149+AJ150)/(1+AI127),0)</f>
        <v>47.1379027534252</v>
      </c>
      <c r="AJ150" s="13" t="n">
        <f aca="false">IF(Time!AJ53=1,(AJ149+AK150)/(1+AJ127),0)</f>
        <v>40.7600161178689</v>
      </c>
      <c r="AK150" s="13" t="n">
        <f aca="false">IF(Time!AK53=1,(AK149+AL150)/(1+AK127),0)</f>
        <v>34.2834145414584</v>
      </c>
      <c r="AL150" s="13" t="n">
        <f aca="false">IF(Time!AL53=1,(AL149+AM150)/(1+AL127),0)</f>
        <v>27.680788025759</v>
      </c>
      <c r="AM150" s="13" t="n">
        <f aca="false">IF(Time!AM53=1,(AM149+AN150)/(1+AM127),0)</f>
        <v>20.9619091944812</v>
      </c>
      <c r="AN150" s="13" t="n">
        <f aca="false">IF(Time!AN53=1,(AN149+AO150)/(1+AN127),0)</f>
        <v>14.1071864417866</v>
      </c>
      <c r="AO150" s="13" t="n">
        <f aca="false">IF(Time!AO53=1,(AO149+AP150)/(1+AO127),0)</f>
        <v>7.12485137690412</v>
      </c>
      <c r="AP150" s="13" t="n">
        <f aca="false">IF(Time!AP53=1,(AP149+AQ150)/(1+AP127),0)</f>
        <v>0</v>
      </c>
      <c r="AQ150" s="13" t="n">
        <f aca="false">IF(Time!AQ53=1,(AQ149+AR150)/(1+AQ127),0)</f>
        <v>0</v>
      </c>
      <c r="AR150" s="13" t="n">
        <f aca="false">IF(Time!AR53=1,(AR149+AS150)/(1+AR127),0)</f>
        <v>0</v>
      </c>
      <c r="AS150" s="13" t="n">
        <f aca="false">IF(Time!AS53=1,(AS149+AT150)/(1+AS127),0)</f>
        <v>0</v>
      </c>
      <c r="AT150" s="13" t="n">
        <f aca="false">IF(Time!AT53=1,(AT149+AU150)/(1+AT127),0)</f>
        <v>0</v>
      </c>
      <c r="AU150" s="13" t="n">
        <f aca="false">IF(Time!AU53=1,(AU149+AV150)/(1+AU127),0)</f>
        <v>0</v>
      </c>
      <c r="AV150" s="13" t="n">
        <f aca="false">IF(Time!AV53=1,(AV149+AW150)/(1+AV127),0)</f>
        <v>0</v>
      </c>
      <c r="AW150" s="13" t="n">
        <f aca="false">IF(Time!AW53=1,(AW149+AX150)/(1+AW127),0)</f>
        <v>0</v>
      </c>
      <c r="AX150" s="13" t="n">
        <f aca="false">IF(Time!AX53=1,(AX149+AY150)/(1+AX127),0)</f>
        <v>0</v>
      </c>
      <c r="AY150" s="13" t="n">
        <f aca="false">IF(Time!AY53=1,(AY149+AZ150)/(1+AY127),0)</f>
        <v>0</v>
      </c>
      <c r="AZ150" s="13" t="n">
        <f aca="false">IF(Time!AZ53=1,(AZ149+BA150)/(1+AZ127),0)</f>
        <v>0</v>
      </c>
      <c r="BA150" s="13" t="n">
        <f aca="false">IF(Time!BA53=1,(BA149+BB150)/(1+BA127),0)</f>
        <v>0</v>
      </c>
      <c r="BB150" s="13" t="n">
        <f aca="false">IF(Time!BB53=1,(BB149+BC150)/(1+BB127),0)</f>
        <v>0</v>
      </c>
      <c r="BC150" s="13" t="n">
        <f aca="false">IF(Time!BC53=1,(BC149+BD150)/(1+BC127),0)</f>
        <v>0</v>
      </c>
      <c r="BD150" s="13" t="n">
        <f aca="false">IF(Time!BD53=1,(BD149+BE150)/(1+BD127),0)</f>
        <v>0</v>
      </c>
      <c r="BE150" s="13" t="n">
        <f aca="false">IF(Time!BE53=1,(BE149+BF150)/(1+BE127),0)</f>
        <v>0</v>
      </c>
      <c r="BF150" s="13" t="n">
        <f aca="false">IF(Time!BF53=1,(BF149+BG150)/(1+BF127),0)</f>
        <v>0</v>
      </c>
      <c r="BG150" s="13" t="n">
        <f aca="false">IF(Time!BG53=1,(BG149+BH150)/(1+BG127),0)</f>
        <v>0</v>
      </c>
      <c r="BH150" s="13" t="n">
        <f aca="false">IF(Time!BH53=1,(BH149+BI150)/(1+BH127),0)</f>
        <v>0</v>
      </c>
      <c r="BI150" s="13" t="n">
        <f aca="false">IF(Time!BI53=1,(BI149+BJ150)/(1+BI127),0)</f>
        <v>0</v>
      </c>
      <c r="BJ150" s="13" t="n">
        <f aca="false">IF(Time!BJ53=1,(BJ149+BK150)/(1+BJ127),0)</f>
        <v>0</v>
      </c>
      <c r="BK150" s="13" t="n">
        <f aca="false">IF(Time!BK53=1,(BK149+BL150)/(1+BK127),0)</f>
        <v>0</v>
      </c>
      <c r="BL150" s="13" t="n">
        <f aca="false">IF(Time!BL53=1,(BL149+BM150)/(1+BL127),0)</f>
        <v>0</v>
      </c>
      <c r="BM150" s="13" t="n">
        <f aca="false">IF(Time!BM53=1,(BM149+BN150)/(1+BM127),0)</f>
        <v>0</v>
      </c>
      <c r="BN150" s="13" t="n">
        <f aca="false">IF(Time!BN53=1,(BN149+BO150)/(1+BN127),0)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1851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1852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1853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37.2458954365948</v>
      </c>
      <c r="P9" s="13" t="n">
        <f aca="false">IF(Time!P34=1,SUM(Funding!$J$44:$BJ$44),O13)</f>
        <v>37.2458954365957</v>
      </c>
      <c r="Q9" s="13" t="n">
        <f aca="false">IF(Time!Q34=1,SUM(Funding!$J$44:$BJ$44),P13)</f>
        <v>37.1570164547307</v>
      </c>
      <c r="R9" s="13" t="n">
        <f aca="false">IF(Time!R34=1,SUM(Funding!$J$44:$BJ$44),Q13)</f>
        <v>37.6247850871586</v>
      </c>
      <c r="S9" s="13" t="n">
        <f aca="false">IF(Time!S34=1,SUM(Funding!$J$44:$BJ$44),R13)</f>
        <v>37.3333124921438</v>
      </c>
      <c r="T9" s="13" t="n">
        <f aca="false">IF(Time!T34=1,SUM(Funding!$J$44:$BJ$44),S13)</f>
        <v>37.7512177812382</v>
      </c>
      <c r="U9" s="13" t="n">
        <f aca="false">IF(Time!U34=1,SUM(Funding!$J$44:$BJ$44),T13)</f>
        <v>37.5706927544304</v>
      </c>
      <c r="V9" s="13" t="n">
        <f aca="false">IF(Time!V34=1,SUM(Funding!$J$44:$BJ$44),U13)</f>
        <v>38.2879202346828</v>
      </c>
      <c r="W9" s="13" t="n">
        <f aca="false">IF(Time!W34=1,SUM(Funding!$J$44:$BJ$44),V13)</f>
        <v>38.0232274255105</v>
      </c>
      <c r="X9" s="13" t="n">
        <f aca="false">IF(Time!X34=1,SUM(Funding!$J$44:$BJ$44),W13)</f>
        <v>36.9267950741505</v>
      </c>
      <c r="Y9" s="13" t="n">
        <f aca="false">IF(Time!Y34=1,SUM(Funding!$J$44:$BJ$44),X13)</f>
        <v>36.5703920442144</v>
      </c>
      <c r="Z9" s="13" t="n">
        <f aca="false">IF(Time!Z34=1,SUM(Funding!$J$44:$BJ$44),Y13)</f>
        <v>36.8713631081105</v>
      </c>
      <c r="AA9" s="13" t="n">
        <f aca="false">IF(Time!AA34=1,SUM(Funding!$J$44:$BJ$44),Z13)</f>
        <v>36.5742873545516</v>
      </c>
      <c r="AB9" s="13" t="n">
        <f aca="false">IF(Time!AB34=1,SUM(Funding!$J$44:$BJ$44),AA13)</f>
        <v>37.004748631609</v>
      </c>
      <c r="AC9" s="13" t="n">
        <f aca="false">IF(Time!AC34=1,SUM(Funding!$J$44:$BJ$44),AB13)</f>
        <v>36.2313534110105</v>
      </c>
      <c r="AD9" s="13" t="n">
        <f aca="false">IF(Time!AD34=1,SUM(Funding!$J$44:$BJ$44),AC13)</f>
        <v>36.819969512359</v>
      </c>
      <c r="AE9" s="13" t="n">
        <f aca="false">IF(Time!AE34=1,SUM(Funding!$J$44:$BJ$44),AD13)</f>
        <v>36.1037410220838</v>
      </c>
      <c r="AF9" s="13" t="n">
        <f aca="false">IF(Time!AF34=1,SUM(Funding!$J$44:$BJ$44),AE13)</f>
        <v>35.3051246004947</v>
      </c>
      <c r="AG9" s="13" t="n">
        <f aca="false">IF(Time!AG34=1,SUM(Funding!$J$44:$BJ$44),AF13)</f>
        <v>34.0004484303378</v>
      </c>
      <c r="AH9" s="13" t="n">
        <f aca="false">IF(Time!AH34=1,SUM(Funding!$J$44:$BJ$44),AG13)</f>
        <v>33.0332985780365</v>
      </c>
      <c r="AI9" s="13" t="n">
        <f aca="false">IF(Time!AI34=1,SUM(Funding!$J$44:$BJ$44),AH13)</f>
        <v>31.1667058520013</v>
      </c>
      <c r="AJ9" s="13" t="n">
        <f aca="false">IF(Time!AJ34=1,SUM(Funding!$J$44:$BJ$44),AI13)</f>
        <v>29.3878573962524</v>
      </c>
      <c r="AK9" s="13" t="n">
        <f aca="false">IF(Time!AK34=1,SUM(Funding!$J$44:$BJ$44),AJ13)</f>
        <v>26.6726754956135</v>
      </c>
      <c r="AL9" s="13" t="n">
        <f aca="false">IF(Time!AL34=1,SUM(Funding!$J$44:$BJ$44),AK13)</f>
        <v>23.5105123868276</v>
      </c>
      <c r="AM9" s="13" t="n">
        <f aca="false">IF(Time!AM34=1,SUM(Funding!$J$44:$BJ$44),AL13)</f>
        <v>21.7661643202512</v>
      </c>
      <c r="AN9" s="13" t="n">
        <f aca="false">IF(Time!AN34=1,SUM(Funding!$J$44:$BJ$44),AM13)</f>
        <v>18.8305492762072</v>
      </c>
      <c r="AO9" s="13" t="n">
        <f aca="false">IF(Time!AO34=1,SUM(Funding!$J$44:$BJ$44),AN13)</f>
        <v>18.0231980760082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1854</v>
      </c>
      <c r="E10" s="0" t="s">
        <v>151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1855</v>
      </c>
      <c r="E11" s="0" t="s">
        <v>151</v>
      </c>
      <c r="G11" s="13" t="n">
        <f aca="false">SUM(J11:BN11)</f>
        <v>2.92294984407771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9.59232693276135E-013</v>
      </c>
      <c r="P11" s="13" t="n">
        <f aca="false">MIN(Waterfall!P13,MAX(0,Debt!P125-(P9-P10)))</f>
        <v>0</v>
      </c>
      <c r="Q11" s="13" t="n">
        <f aca="false">MIN(Waterfall!Q13,MAX(0,Debt!Q125-(Q9-Q10)))</f>
        <v>0.467768632427955</v>
      </c>
      <c r="R11" s="13" t="n">
        <f aca="false">MIN(Waterfall!R13,MAX(0,Debt!R125-(R9-R10)))</f>
        <v>0</v>
      </c>
      <c r="S11" s="13" t="n">
        <f aca="false">MIN(Waterfall!S13,MAX(0,Debt!S125-(S9-S10)))</f>
        <v>0.417905289094385</v>
      </c>
      <c r="T11" s="13" t="n">
        <f aca="false">MIN(Waterfall!T13,MAX(0,Debt!T125-(T9-T10)))</f>
        <v>0</v>
      </c>
      <c r="U11" s="13" t="n">
        <f aca="false">MIN(Waterfall!U13,MAX(0,Debt!U125-(U9-U10)))</f>
        <v>0.717227480252369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0.300971063896078</v>
      </c>
      <c r="Z11" s="13" t="n">
        <f aca="false">MIN(Waterfall!Z13,MAX(0,Debt!Z125-(Z9-Z10)))</f>
        <v>0</v>
      </c>
      <c r="AA11" s="13" t="n">
        <f aca="false">MIN(Waterfall!AA13,MAX(0,Debt!AA125-(AA9-AA10)))</f>
        <v>0.430461277057447</v>
      </c>
      <c r="AB11" s="13" t="n">
        <f aca="false">MIN(Waterfall!AB13,MAX(0,Debt!AB125-(AB9-AB10)))</f>
        <v>0</v>
      </c>
      <c r="AC11" s="13" t="n">
        <f aca="false">MIN(Waterfall!AC13,MAX(0,Debt!AC125-(AC9-AC10)))</f>
        <v>0.588616101348514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1856</v>
      </c>
      <c r="E12" s="0" t="s">
        <v>151</v>
      </c>
      <c r="G12" s="13" t="n">
        <f aca="false">SUM(J12:BN12)</f>
        <v>40.1688452806725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0.0888789818650579</v>
      </c>
      <c r="Q12" s="13" t="n">
        <f aca="false">MAX(0,Q9-Q10-Debt!Q125)</f>
        <v>0</v>
      </c>
      <c r="R12" s="13" t="n">
        <f aca="false">MAX(0,R9-R10-Debt!R125)</f>
        <v>0.291472595014866</v>
      </c>
      <c r="S12" s="13" t="n">
        <f aca="false">MAX(0,S9-S10-Debt!S125)</f>
        <v>0</v>
      </c>
      <c r="T12" s="13" t="n">
        <f aca="false">MAX(0,T9-T10-Debt!T125)</f>
        <v>0.180525026807743</v>
      </c>
      <c r="U12" s="13" t="n">
        <f aca="false">MAX(0,U9-U10-Debt!U125)</f>
        <v>0</v>
      </c>
      <c r="V12" s="13" t="n">
        <f aca="false">MAX(0,V9-V10-Debt!V125)</f>
        <v>0.264692809172296</v>
      </c>
      <c r="W12" s="13" t="n">
        <f aca="false">MAX(0,W9-W10-Debt!W125)</f>
        <v>1.09643235136002</v>
      </c>
      <c r="X12" s="13" t="n">
        <f aca="false">MAX(0,X9-X10-Debt!X125)</f>
        <v>0.356403029936082</v>
      </c>
      <c r="Y12" s="13" t="n">
        <f aca="false">MAX(0,Y9-Y10-Debt!Y125)</f>
        <v>0</v>
      </c>
      <c r="Z12" s="13" t="n">
        <f aca="false">MAX(0,Z9-Z10-Debt!Z125)</f>
        <v>0.297075753558914</v>
      </c>
      <c r="AA12" s="13" t="n">
        <f aca="false">MAX(0,AA9-AA10-Debt!AA125)</f>
        <v>0</v>
      </c>
      <c r="AB12" s="13" t="n">
        <f aca="false">MAX(0,AB9-AB10-Debt!AB125)</f>
        <v>0.773395220598516</v>
      </c>
      <c r="AC12" s="13" t="n">
        <f aca="false">MAX(0,AC9-AC10-Debt!AC125)</f>
        <v>0</v>
      </c>
      <c r="AD12" s="13" t="n">
        <f aca="false">MAX(0,AD9-AD10-Debt!AD125)</f>
        <v>0.716228490275235</v>
      </c>
      <c r="AE12" s="13" t="n">
        <f aca="false">MAX(0,AE9-AE10-Debt!AE125)</f>
        <v>0.798616421589081</v>
      </c>
      <c r="AF12" s="13" t="n">
        <f aca="false">MAX(0,AF9-AF10-Debt!AF125)</f>
        <v>1.30467617015687</v>
      </c>
      <c r="AG12" s="13" t="n">
        <f aca="false">MAX(0,AG9-AG10-Debt!AG125)</f>
        <v>0.967149852301368</v>
      </c>
      <c r="AH12" s="13" t="n">
        <f aca="false">MAX(0,AH9-AH10-Debt!AH125)</f>
        <v>1.86659272603514</v>
      </c>
      <c r="AI12" s="13" t="n">
        <f aca="false">MAX(0,AI9-AI10-Debt!AI125)</f>
        <v>1.77884845574892</v>
      </c>
      <c r="AJ12" s="13" t="n">
        <f aca="false">MAX(0,AJ9-AJ10-Debt!AJ125)</f>
        <v>2.71518190063885</v>
      </c>
      <c r="AK12" s="13" t="n">
        <f aca="false">MAX(0,AK9-AK10-Debt!AK125)</f>
        <v>3.16216310878589</v>
      </c>
      <c r="AL12" s="13" t="n">
        <f aca="false">MAX(0,AL9-AL10-Debt!AL125)</f>
        <v>1.74434806657644</v>
      </c>
      <c r="AM12" s="13" t="n">
        <f aca="false">MAX(0,AM9-AM10-Debt!AM125)</f>
        <v>2.935615044044</v>
      </c>
      <c r="AN12" s="13" t="n">
        <f aca="false">MAX(0,AN9-AN10-Debt!AN125)</f>
        <v>0.807351200199008</v>
      </c>
      <c r="AO12" s="13" t="n">
        <f aca="false">MAX(0,AO9-AO10-Debt!AO125)</f>
        <v>18.0231980760082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1857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37.2458954365957</v>
      </c>
      <c r="P13" s="13" t="n">
        <f aca="false">(1-Time!P37)*(P9-P10+P11-P12)</f>
        <v>37.1570164547307</v>
      </c>
      <c r="Q13" s="13" t="n">
        <f aca="false">(1-Time!Q37)*(Q9-Q10+Q11-Q12)</f>
        <v>37.6247850871586</v>
      </c>
      <c r="R13" s="13" t="n">
        <f aca="false">(1-Time!R37)*(R9-R10+R11-R12)</f>
        <v>37.3333124921438</v>
      </c>
      <c r="S13" s="13" t="n">
        <f aca="false">(1-Time!S37)*(S9-S10+S11-S12)</f>
        <v>37.7512177812382</v>
      </c>
      <c r="T13" s="13" t="n">
        <f aca="false">(1-Time!T37)*(T9-T10+T11-T12)</f>
        <v>37.5706927544304</v>
      </c>
      <c r="U13" s="13" t="n">
        <f aca="false">(1-Time!U37)*(U9-U10+U11-U12)</f>
        <v>38.2879202346828</v>
      </c>
      <c r="V13" s="13" t="n">
        <f aca="false">(1-Time!V37)*(V9-V10+V11-V12)</f>
        <v>38.0232274255105</v>
      </c>
      <c r="W13" s="13" t="n">
        <f aca="false">(1-Time!W37)*(W9-W10+W11-W12)</f>
        <v>36.9267950741505</v>
      </c>
      <c r="X13" s="13" t="n">
        <f aca="false">(1-Time!X37)*(X9-X10+X11-X12)</f>
        <v>36.5703920442144</v>
      </c>
      <c r="Y13" s="13" t="n">
        <f aca="false">(1-Time!Y37)*(Y9-Y10+Y11-Y12)</f>
        <v>36.8713631081105</v>
      </c>
      <c r="Z13" s="13" t="n">
        <f aca="false">(1-Time!Z37)*(Z9-Z10+Z11-Z12)</f>
        <v>36.5742873545516</v>
      </c>
      <c r="AA13" s="13" t="n">
        <f aca="false">(1-Time!AA37)*(AA9-AA10+AA11-AA12)</f>
        <v>37.004748631609</v>
      </c>
      <c r="AB13" s="13" t="n">
        <f aca="false">(1-Time!AB37)*(AB9-AB10+AB11-AB12)</f>
        <v>36.2313534110105</v>
      </c>
      <c r="AC13" s="13" t="n">
        <f aca="false">(1-Time!AC37)*(AC9-AC10+AC11-AC12)</f>
        <v>36.819969512359</v>
      </c>
      <c r="AD13" s="13" t="n">
        <f aca="false">(1-Time!AD37)*(AD9-AD10+AD11-AD12)</f>
        <v>36.1037410220838</v>
      </c>
      <c r="AE13" s="13" t="n">
        <f aca="false">(1-Time!AE37)*(AE9-AE10+AE11-AE12)</f>
        <v>35.3051246004947</v>
      </c>
      <c r="AF13" s="13" t="n">
        <f aca="false">(1-Time!AF37)*(AF9-AF10+AF11-AF12)</f>
        <v>34.0004484303378</v>
      </c>
      <c r="AG13" s="13" t="n">
        <f aca="false">(1-Time!AG37)*(AG9-AG10+AG11-AG12)</f>
        <v>33.0332985780365</v>
      </c>
      <c r="AH13" s="13" t="n">
        <f aca="false">(1-Time!AH37)*(AH9-AH10+AH11-AH12)</f>
        <v>31.1667058520013</v>
      </c>
      <c r="AI13" s="13" t="n">
        <f aca="false">(1-Time!AI37)*(AI9-AI10+AI11-AI12)</f>
        <v>29.3878573962524</v>
      </c>
      <c r="AJ13" s="13" t="n">
        <f aca="false">(1-Time!AJ37)*(AJ9-AJ10+AJ11-AJ12)</f>
        <v>26.6726754956135</v>
      </c>
      <c r="AK13" s="13" t="n">
        <f aca="false">(1-Time!AK37)*(AK9-AK10+AK11-AK12)</f>
        <v>23.5105123868276</v>
      </c>
      <c r="AL13" s="13" t="n">
        <f aca="false">(1-Time!AL37)*(AL9-AL10+AL11-AL12)</f>
        <v>21.7661643202512</v>
      </c>
      <c r="AM13" s="13" t="n">
        <f aca="false">(1-Time!AM37)*(AM9-AM10+AM11-AM12)</f>
        <v>18.8305492762072</v>
      </c>
      <c r="AN13" s="13" t="n">
        <f aca="false">(1-Time!AN37)*(AN9-AN10+AN11-AN12)</f>
        <v>18.0231980760082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1858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1859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1860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1861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1862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1863</v>
      </c>
      <c r="E7" s="0" t="s">
        <v>151</v>
      </c>
      <c r="G7" s="13" t="n">
        <f aca="false">SUM(J7:BN7)</f>
        <v>2302.6369557035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1.94526082211549</v>
      </c>
      <c r="P7" s="13" t="n">
        <f aca="false">Operations!P84-Tax!P27-Operations!P96-Reserves!P7+Operations!P79+Operations!P97</f>
        <v>50.5587953236546</v>
      </c>
      <c r="Q7" s="13" t="n">
        <f aca="false">Operations!Q84-Tax!Q27-Operations!Q96-Reserves!Q7+Operations!Q79+Operations!Q97</f>
        <v>50.442219274486</v>
      </c>
      <c r="R7" s="13" t="n">
        <f aca="false">Operations!R84-Tax!R27-Operations!R96-Reserves!R7+Operations!R79+Operations!R97</f>
        <v>51.0277336692931</v>
      </c>
      <c r="S7" s="13" t="n">
        <f aca="false">Operations!S84-Tax!S27-Operations!S96-Reserves!S7+Operations!S79+Operations!S97</f>
        <v>50.6712762345651</v>
      </c>
      <c r="T7" s="13" t="n">
        <f aca="false">Operations!T84-Tax!T27-Operations!T96-Reserves!T7+Operations!T79+Operations!T97</f>
        <v>51.2552214181002</v>
      </c>
      <c r="U7" s="13" t="n">
        <f aca="false">Operations!U84-Tax!U27-Operations!U96-Reserves!U7+Operations!U79+Operations!U97</f>
        <v>50.8793760801711</v>
      </c>
      <c r="V7" s="13" t="n">
        <f aca="false">Operations!V84-Tax!V27-Operations!V96-Reserves!V7+Operations!V79+Operations!V97</f>
        <v>50.5748110157739</v>
      </c>
      <c r="W7" s="13" t="n">
        <f aca="false">Operations!W84-Tax!W27-Operations!W96-Reserves!W7+Operations!W79+Operations!W97</f>
        <v>50.4901031193111</v>
      </c>
      <c r="X7" s="13" t="n">
        <f aca="false">Operations!X84-Tax!X27-Operations!X96-Reserves!X7+Operations!X79+Operations!X97</f>
        <v>49.9232443131463</v>
      </c>
      <c r="Y7" s="13" t="n">
        <f aca="false">Operations!Y84-Tax!Y27-Operations!Y96-Reserves!Y7+Operations!Y79+Operations!Y97</f>
        <v>49.6795426257345</v>
      </c>
      <c r="Z7" s="13" t="n">
        <f aca="false">Operations!Z84-Tax!Z27-Operations!Z96-Reserves!Z7+Operations!Z79+Operations!Z97</f>
        <v>50.0400854120507</v>
      </c>
      <c r="AA7" s="13" t="n">
        <f aca="false">Operations!AA84-Tax!AA27-Operations!AA96-Reserves!AA7+Operations!AA79+Operations!AA97</f>
        <v>49.677020213812</v>
      </c>
      <c r="AB7" s="13" t="n">
        <f aca="false">Operations!AB84-Tax!AB27-Operations!AB96-Reserves!AB7+Operations!AB79+Operations!AB97</f>
        <v>50.2787865425378</v>
      </c>
      <c r="AC7" s="13" t="n">
        <f aca="false">Operations!AC84-Tax!AC27-Operations!AC96-Reserves!AC7+Operations!AC79+Operations!AC97</f>
        <v>49.6077702772062</v>
      </c>
      <c r="AD7" s="13" t="n">
        <f aca="false">Operations!AD84-Tax!AD27-Operations!AD96-Reserves!AD7+Operations!AD79+Operations!AD97</f>
        <v>49.9461249695239</v>
      </c>
      <c r="AE7" s="13" t="n">
        <f aca="false">Operations!AE84-Tax!AE27-Operations!AE96-Reserves!AE7+Operations!AE79+Operations!AE97</f>
        <v>49.9673885349949</v>
      </c>
      <c r="AF7" s="13" t="n">
        <f aca="false">Operations!AF84-Tax!AF27-Operations!AF96-Reserves!AF7+Operations!AF79+Operations!AF97</f>
        <v>51.7546549317302</v>
      </c>
      <c r="AG7" s="13" t="n">
        <f aca="false">Operations!AG84-Tax!AG27-Operations!AG96-Reserves!AG7+Operations!AG79+Operations!AG97</f>
        <v>51.8814766609504</v>
      </c>
      <c r="AH7" s="13" t="n">
        <f aca="false">Operations!AH84-Tax!AH27-Operations!AH96-Reserves!AH7+Operations!AH79+Operations!AH97</f>
        <v>52.5031564352454</v>
      </c>
      <c r="AI7" s="13" t="n">
        <f aca="false">Operations!AI84-Tax!AI27-Operations!AI96-Reserves!AI7+Operations!AI79+Operations!AI97</f>
        <v>52.135038363419</v>
      </c>
      <c r="AJ7" s="13" t="n">
        <f aca="false">Operations!AJ84-Tax!AJ27-Operations!AJ96-Reserves!AJ7+Operations!AJ79+Operations!AJ97</f>
        <v>52.7579793908153</v>
      </c>
      <c r="AK7" s="13" t="n">
        <f aca="false">Operations!AK84-Tax!AK27-Operations!AK96-Reserves!AK7+Operations!AK79+Operations!AK97</f>
        <v>52.3807507136761</v>
      </c>
      <c r="AL7" s="13" t="n">
        <f aca="false">Operations!AL84-Tax!AL27-Operations!AL96-Reserves!AL7+Operations!AL79+Operations!AL97</f>
        <v>52.1278011522673</v>
      </c>
      <c r="AM7" s="13" t="n">
        <f aca="false">Operations!AM84-Tax!AM27-Operations!AM96-Reserves!AM7+Operations!AM79+Operations!AM97</f>
        <v>52.0479460998276</v>
      </c>
      <c r="AN7" s="13" t="n">
        <f aca="false">Operations!AN84-Tax!AN27-Operations!AN96-Reserves!AN7+Operations!AN79+Operations!AN97</f>
        <v>45.442623486409</v>
      </c>
      <c r="AO7" s="13" t="n">
        <f aca="false">Operations!AO84-Tax!AO27-Operations!AO96-Reserves!AO7+Operations!AO79+Operations!AO97</f>
        <v>41.9313665418203</v>
      </c>
      <c r="AP7" s="13" t="n">
        <f aca="false">Operations!AP84-Tax!AP27-Operations!AP96-Reserves!AP7+Operations!AP79+Operations!AP97</f>
        <v>41.8536383389252</v>
      </c>
      <c r="AQ7" s="13" t="n">
        <f aca="false">Operations!AQ84-Tax!AQ27-Operations!AQ96-Reserves!AQ7+Operations!AQ79+Operations!AQ97</f>
        <v>41.4244393119057</v>
      </c>
      <c r="AR7" s="13" t="n">
        <f aca="false">Operations!AR84-Tax!AR27-Operations!AR96-Reserves!AR7+Operations!AR79+Operations!AR97</f>
        <v>42.0423434696002</v>
      </c>
      <c r="AS7" s="13" t="n">
        <f aca="false">Operations!AS84-Tax!AS27-Operations!AS96-Reserves!AS7+Operations!AS79+Operations!AS97</f>
        <v>41.4761529871317</v>
      </c>
      <c r="AT7" s="13" t="n">
        <f aca="false">Operations!AT84-Tax!AT27-Operations!AT96-Reserves!AT7+Operations!AT79+Operations!AT97</f>
        <v>47.0884082336434</v>
      </c>
      <c r="AU7" s="13" t="n">
        <f aca="false">Operations!AU84-Tax!AU27-Operations!AU96-Reserves!AU7+Operations!AU79+Operations!AU97</f>
        <v>42.4462424901245</v>
      </c>
      <c r="AV7" s="13" t="n">
        <f aca="false">Operations!AV84-Tax!AV27-Operations!AV96-Reserves!AV7+Operations!AV79+Operations!AV97</f>
        <v>43.6813718528973</v>
      </c>
      <c r="AW7" s="13" t="n">
        <f aca="false">Operations!AW84-Tax!AW27-Operations!AW96-Reserves!AW7+Operations!AW79+Operations!AW97</f>
        <v>43.7883002909771</v>
      </c>
      <c r="AX7" s="13" t="n">
        <f aca="false">Operations!AX84-Tax!AX27-Operations!AX96-Reserves!AX7+Operations!AX79+Operations!AX97</f>
        <v>44.4335074848987</v>
      </c>
      <c r="AY7" s="13" t="n">
        <f aca="false">Operations!AY84-Tax!AY27-Operations!AY96-Reserves!AY7+Operations!AY79+Operations!AY97</f>
        <v>43.9951746603934</v>
      </c>
      <c r="AZ7" s="13" t="n">
        <f aca="false">Operations!AZ84-Tax!AZ27-Operations!AZ96-Reserves!AZ7+Operations!AZ79+Operations!AZ97</f>
        <v>44.6356353924781</v>
      </c>
      <c r="BA7" s="13" t="n">
        <f aca="false">Operations!BA84-Tax!BA27-Operations!BA96-Reserves!BA7+Operations!BA79+Operations!BA97</f>
        <v>44.2481816195899</v>
      </c>
      <c r="BB7" s="13" t="n">
        <f aca="false">Operations!BB84-Tax!BB27-Operations!BB96-Reserves!BB7+Operations!BB79+Operations!BB97</f>
        <v>45.5707018550213</v>
      </c>
      <c r="BC7" s="13" t="n">
        <f aca="false">Operations!BC84-Tax!BC27-Operations!BC96-Reserves!BC7+Operations!BC79+Operations!BC97</f>
        <v>42.2034950942024</v>
      </c>
      <c r="BD7" s="13" t="n">
        <f aca="false">Operations!BD84-Tax!BD27-Operations!BD96-Reserves!BD7+Operations!BD79+Operations!BD97</f>
        <v>36.8345311775702</v>
      </c>
      <c r="BE7" s="13" t="n">
        <f aca="false">Operations!BE84-Tax!BE27-Operations!BE96-Reserves!BE7+Operations!BE79+Operations!BE97</f>
        <v>36.6734099670342</v>
      </c>
      <c r="BF7" s="13" t="n">
        <f aca="false">Operations!BF84-Tax!BF27-Operations!BF96-Reserves!BF7+Operations!BF79+Operations!BF97</f>
        <v>37.3473095949916</v>
      </c>
      <c r="BG7" s="13" t="n">
        <f aca="false">Operations!BG84-Tax!BG27-Operations!BG96-Reserves!BG7+Operations!BG79+Operations!BG97</f>
        <v>36.8990851867622</v>
      </c>
      <c r="BH7" s="13" t="n">
        <f aca="false">Operations!BH84-Tax!BH27-Operations!BH96-Reserves!BH7+Operations!BH79+Operations!BH97</f>
        <v>37.5639461089914</v>
      </c>
      <c r="BI7" s="13" t="n">
        <f aca="false">Operations!BI84-Tax!BI27-Operations!BI96-Reserves!BI7+Operations!BI79+Operations!BI97</f>
        <v>36.9794648900747</v>
      </c>
      <c r="BJ7" s="13" t="n">
        <f aca="false">Operations!BJ84-Tax!BJ27-Operations!BJ96-Reserves!BJ7+Operations!BJ79+Operations!BJ97</f>
        <v>43.7700598903247</v>
      </c>
      <c r="BK7" s="13" t="n">
        <f aca="false">Operations!BK84-Tax!BK27-Operations!BK96-Reserves!BK7+Operations!BK79+Operations!BK97</f>
        <v>38.303654922166</v>
      </c>
      <c r="BL7" s="13" t="n">
        <f aca="false">Operations!BL84-Tax!BL27-Operations!BL96-Reserves!BL7+Operations!BL79+Operations!BL97</f>
        <v>40.2676114636771</v>
      </c>
      <c r="BM7" s="13" t="n">
        <f aca="false">Operations!BM84-Tax!BM27-Operations!BM96-Reserves!BM7+Operations!BM79+Operations!BM97</f>
        <v>37.1827357974818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1864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1.94526082211453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1865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1.94526082211549</v>
      </c>
      <c r="P9" s="13" t="n">
        <f aca="false">P7+P8</f>
        <v>52.5040561457691</v>
      </c>
      <c r="Q9" s="13" t="n">
        <f aca="false">Q7+Q8</f>
        <v>50.442219274486</v>
      </c>
      <c r="R9" s="13" t="n">
        <f aca="false">R7+R8</f>
        <v>51.0277336692931</v>
      </c>
      <c r="S9" s="13" t="n">
        <f aca="false">S7+S8</f>
        <v>50.6712762345651</v>
      </c>
      <c r="T9" s="13" t="n">
        <f aca="false">T7+T8</f>
        <v>51.2552214181002</v>
      </c>
      <c r="U9" s="13" t="n">
        <f aca="false">U7+U8</f>
        <v>50.8793760801711</v>
      </c>
      <c r="V9" s="13" t="n">
        <f aca="false">V7+V8</f>
        <v>50.5748110157739</v>
      </c>
      <c r="W9" s="13" t="n">
        <f aca="false">W7+W8</f>
        <v>50.4901031193111</v>
      </c>
      <c r="X9" s="13" t="n">
        <f aca="false">X7+X8</f>
        <v>49.9232443131463</v>
      </c>
      <c r="Y9" s="13" t="n">
        <f aca="false">Y7+Y8</f>
        <v>49.6795426257345</v>
      </c>
      <c r="Z9" s="13" t="n">
        <f aca="false">Z7+Z8</f>
        <v>50.0400854120507</v>
      </c>
      <c r="AA9" s="13" t="n">
        <f aca="false">AA7+AA8</f>
        <v>49.677020213812</v>
      </c>
      <c r="AB9" s="13" t="n">
        <f aca="false">AB7+AB8</f>
        <v>50.2787865425378</v>
      </c>
      <c r="AC9" s="13" t="n">
        <f aca="false">AC7+AC8</f>
        <v>49.6077702772062</v>
      </c>
      <c r="AD9" s="13" t="n">
        <f aca="false">AD7+AD8</f>
        <v>49.9461249695239</v>
      </c>
      <c r="AE9" s="13" t="n">
        <f aca="false">AE7+AE8</f>
        <v>49.9673885349949</v>
      </c>
      <c r="AF9" s="13" t="n">
        <f aca="false">AF7+AF8</f>
        <v>51.7546549317302</v>
      </c>
      <c r="AG9" s="13" t="n">
        <f aca="false">AG7+AG8</f>
        <v>51.8814766609504</v>
      </c>
      <c r="AH9" s="13" t="n">
        <f aca="false">AH7+AH8</f>
        <v>52.5031564352454</v>
      </c>
      <c r="AI9" s="13" t="n">
        <f aca="false">AI7+AI8</f>
        <v>52.135038363419</v>
      </c>
      <c r="AJ9" s="13" t="n">
        <f aca="false">AJ7+AJ8</f>
        <v>52.7579793908153</v>
      </c>
      <c r="AK9" s="13" t="n">
        <f aca="false">AK7+AK8</f>
        <v>52.3807507136761</v>
      </c>
      <c r="AL9" s="13" t="n">
        <f aca="false">AL7+AL8</f>
        <v>52.1278011522673</v>
      </c>
      <c r="AM9" s="13" t="n">
        <f aca="false">AM7+AM8</f>
        <v>52.0479460998276</v>
      </c>
      <c r="AN9" s="13" t="n">
        <f aca="false">AN7+AN8</f>
        <v>45.442623486409</v>
      </c>
      <c r="AO9" s="13" t="n">
        <f aca="false">AO7+AO8</f>
        <v>41.9313665418203</v>
      </c>
      <c r="AP9" s="13" t="n">
        <f aca="false">AP7+AP8</f>
        <v>41.8536383389252</v>
      </c>
      <c r="AQ9" s="13" t="n">
        <f aca="false">AQ7+AQ8</f>
        <v>41.4244393119057</v>
      </c>
      <c r="AR9" s="13" t="n">
        <f aca="false">AR7+AR8</f>
        <v>42.0423434696002</v>
      </c>
      <c r="AS9" s="13" t="n">
        <f aca="false">AS7+AS8</f>
        <v>41.4761529871317</v>
      </c>
      <c r="AT9" s="13" t="n">
        <f aca="false">AT7+AT8</f>
        <v>47.0884082336434</v>
      </c>
      <c r="AU9" s="13" t="n">
        <f aca="false">AU7+AU8</f>
        <v>42.4462424901245</v>
      </c>
      <c r="AV9" s="13" t="n">
        <f aca="false">AV7+AV8</f>
        <v>43.6813718528973</v>
      </c>
      <c r="AW9" s="13" t="n">
        <f aca="false">AW7+AW8</f>
        <v>43.7883002909771</v>
      </c>
      <c r="AX9" s="13" t="n">
        <f aca="false">AX7+AX8</f>
        <v>44.4335074848987</v>
      </c>
      <c r="AY9" s="13" t="n">
        <f aca="false">AY7+AY8</f>
        <v>43.9951746603934</v>
      </c>
      <c r="AZ9" s="13" t="n">
        <f aca="false">AZ7+AZ8</f>
        <v>44.6356353924781</v>
      </c>
      <c r="BA9" s="13" t="n">
        <f aca="false">BA7+BA8</f>
        <v>44.2481816195899</v>
      </c>
      <c r="BB9" s="13" t="n">
        <f aca="false">BB7+BB8</f>
        <v>45.5707018550213</v>
      </c>
      <c r="BC9" s="13" t="n">
        <f aca="false">BC7+BC8</f>
        <v>42.2034950942024</v>
      </c>
      <c r="BD9" s="13" t="n">
        <f aca="false">BD7+BD8</f>
        <v>36.8345311775702</v>
      </c>
      <c r="BE9" s="13" t="n">
        <f aca="false">BE7+BE8</f>
        <v>36.6734099670342</v>
      </c>
      <c r="BF9" s="13" t="n">
        <f aca="false">BF7+BF8</f>
        <v>37.3473095949916</v>
      </c>
      <c r="BG9" s="13" t="n">
        <f aca="false">BG7+BG8</f>
        <v>36.8990851867622</v>
      </c>
      <c r="BH9" s="13" t="n">
        <f aca="false">BH7+BH8</f>
        <v>37.5639461089914</v>
      </c>
      <c r="BI9" s="13" t="n">
        <f aca="false">BI7+BI8</f>
        <v>36.9794648900747</v>
      </c>
      <c r="BJ9" s="13" t="n">
        <f aca="false">BJ7+BJ8</f>
        <v>43.7700598903247</v>
      </c>
      <c r="BK9" s="13" t="n">
        <f aca="false">BK7+BK8</f>
        <v>38.303654922166</v>
      </c>
      <c r="BL9" s="13" t="n">
        <f aca="false">BL7+BL8</f>
        <v>40.2676114636771</v>
      </c>
      <c r="BM9" s="13" t="n">
        <f aca="false">BM7+BM8</f>
        <v>37.1827357974818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1866</v>
      </c>
      <c r="E10" s="0" t="s">
        <v>151</v>
      </c>
      <c r="G10" s="13" t="n">
        <f aca="false">SUM(J10:BN10)</f>
        <v>848.666127728785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37.2458954365957</v>
      </c>
      <c r="Q10" s="13" t="n">
        <f aca="false">Debt!Q114+Debt!Q110</f>
        <v>37.1570164547307</v>
      </c>
      <c r="R10" s="13" t="n">
        <f aca="false">Debt!R114+Debt!R110</f>
        <v>37.6247850871586</v>
      </c>
      <c r="S10" s="13" t="n">
        <f aca="false">Debt!S114+Debt!S110</f>
        <v>37.3333124921438</v>
      </c>
      <c r="T10" s="13" t="n">
        <f aca="false">Debt!T114+Debt!T110</f>
        <v>37.7512177812382</v>
      </c>
      <c r="U10" s="13" t="n">
        <f aca="false">Debt!U114+Debt!U110</f>
        <v>37.5706927544304</v>
      </c>
      <c r="V10" s="13" t="n">
        <f aca="false">Debt!V114+Debt!V110</f>
        <v>38.2879202346828</v>
      </c>
      <c r="W10" s="13" t="n">
        <f aca="false">Debt!W114+Debt!W110</f>
        <v>38.0232274255105</v>
      </c>
      <c r="X10" s="13" t="n">
        <f aca="false">Debt!X114+Debt!X110</f>
        <v>36.9267950741505</v>
      </c>
      <c r="Y10" s="13" t="n">
        <f aca="false">Debt!Y114+Debt!Y110</f>
        <v>36.5703920442144</v>
      </c>
      <c r="Z10" s="13" t="n">
        <f aca="false">Debt!Z114+Debt!Z110</f>
        <v>36.8713631081105</v>
      </c>
      <c r="AA10" s="13" t="n">
        <f aca="false">Debt!AA114+Debt!AA110</f>
        <v>36.5742873545516</v>
      </c>
      <c r="AB10" s="13" t="n">
        <f aca="false">Debt!AB114+Debt!AB110</f>
        <v>36.3798232325157</v>
      </c>
      <c r="AC10" s="13" t="n">
        <f aca="false">Debt!AC114+Debt!AC110</f>
        <v>35.4741386115214</v>
      </c>
      <c r="AD10" s="13" t="n">
        <f aca="false">Debt!AD114+Debt!AD110</f>
        <v>36.0430627686406</v>
      </c>
      <c r="AE10" s="13" t="n">
        <f aca="false">Debt!AE114+Debt!AE110</f>
        <v>35.2058842587146</v>
      </c>
      <c r="AF10" s="13" t="n">
        <f aca="false">Debt!AF114+Debt!AF110</f>
        <v>34.2658986227048</v>
      </c>
      <c r="AG10" s="13" t="n">
        <f aca="false">Debt!AG114+Debt!AG110</f>
        <v>32.6315979002878</v>
      </c>
      <c r="AH10" s="13" t="n">
        <f aca="false">Debt!AH114+Debt!AH110</f>
        <v>31.3792371080606</v>
      </c>
      <c r="AI10" s="13" t="n">
        <f aca="false">Debt!AI114+Debt!AI110</f>
        <v>29.075063809994</v>
      </c>
      <c r="AJ10" s="13" t="n">
        <f aca="false">Debt!AJ114+Debt!AJ110</f>
        <v>26.7505812974318</v>
      </c>
      <c r="AK10" s="13" t="n">
        <f aca="false">Debt!AK114+Debt!AK110</f>
        <v>23.0698357762032</v>
      </c>
      <c r="AL10" s="13" t="n">
        <f aca="false">Debt!AL114+Debt!AL110</f>
        <v>21.8341874227264</v>
      </c>
      <c r="AM10" s="13" t="n">
        <f aca="false">Debt!AM114+Debt!AM110</f>
        <v>21.7661643202512</v>
      </c>
      <c r="AN10" s="13" t="n">
        <f aca="false">Debt!AN114+Debt!AN110</f>
        <v>18.8305492762072</v>
      </c>
      <c r="AO10" s="13" t="n">
        <f aca="false">Debt!AO114+Debt!AO110</f>
        <v>18.0231980760082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1867</v>
      </c>
      <c r="E11" s="0" t="s">
        <v>151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1868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1869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1.94526082211549</v>
      </c>
      <c r="P13" s="13" t="n">
        <f aca="false">MAX(0,P9-P10)</f>
        <v>15.2581607091734</v>
      </c>
      <c r="Q13" s="13" t="n">
        <f aca="false">MAX(0,Q9-Q10)</f>
        <v>13.2852028197553</v>
      </c>
      <c r="R13" s="13" t="n">
        <f aca="false">MAX(0,R9-R10)</f>
        <v>13.4029485821345</v>
      </c>
      <c r="S13" s="13" t="n">
        <f aca="false">MAX(0,S9-S10)</f>
        <v>13.3379637424213</v>
      </c>
      <c r="T13" s="13" t="n">
        <f aca="false">MAX(0,T9-T10)</f>
        <v>13.5040036368621</v>
      </c>
      <c r="U13" s="13" t="n">
        <f aca="false">MAX(0,U9-U10)</f>
        <v>13.3086833257406</v>
      </c>
      <c r="V13" s="13" t="n">
        <f aca="false">MAX(0,V9-V10)</f>
        <v>12.2868907810911</v>
      </c>
      <c r="W13" s="13" t="n">
        <f aca="false">MAX(0,W9-W10)</f>
        <v>12.4668756938006</v>
      </c>
      <c r="X13" s="13" t="n">
        <f aca="false">MAX(0,X9-X10)</f>
        <v>12.9964492389958</v>
      </c>
      <c r="Y13" s="13" t="n">
        <f aca="false">MAX(0,Y9-Y10)</f>
        <v>13.1091505815201</v>
      </c>
      <c r="Z13" s="13" t="n">
        <f aca="false">MAX(0,Z9-Z10)</f>
        <v>13.1687223039403</v>
      </c>
      <c r="AA13" s="13" t="n">
        <f aca="false">MAX(0,AA9-AA10)</f>
        <v>13.1027328592604</v>
      </c>
      <c r="AB13" s="13" t="n">
        <f aca="false">MAX(0,AB9-AB10)</f>
        <v>13.8989633100221</v>
      </c>
      <c r="AC13" s="13" t="n">
        <f aca="false">MAX(0,AC9-AC10)</f>
        <v>14.1336316656848</v>
      </c>
      <c r="AD13" s="13" t="n">
        <f aca="false">MAX(0,AD9-AD10)</f>
        <v>13.9030622008833</v>
      </c>
      <c r="AE13" s="13" t="n">
        <f aca="false">MAX(0,AE9-AE10)</f>
        <v>14.7615042762803</v>
      </c>
      <c r="AF13" s="13" t="n">
        <f aca="false">MAX(0,AF9-AF10)</f>
        <v>17.4887563090254</v>
      </c>
      <c r="AG13" s="13" t="n">
        <f aca="false">MAX(0,AG9-AG10)</f>
        <v>19.2498787606626</v>
      </c>
      <c r="AH13" s="13" t="n">
        <f aca="false">MAX(0,AH9-AH10)</f>
        <v>21.1239193271848</v>
      </c>
      <c r="AI13" s="13" t="n">
        <f aca="false">MAX(0,AI9-AI10)</f>
        <v>23.059974553425</v>
      </c>
      <c r="AJ13" s="13" t="n">
        <f aca="false">MAX(0,AJ9-AJ10)</f>
        <v>26.0073980933834</v>
      </c>
      <c r="AK13" s="13" t="n">
        <f aca="false">MAX(0,AK9-AK10)</f>
        <v>29.3109149374729</v>
      </c>
      <c r="AL13" s="13" t="n">
        <f aca="false">MAX(0,AL9-AL10)</f>
        <v>30.293613729541</v>
      </c>
      <c r="AM13" s="13" t="n">
        <f aca="false">MAX(0,AM9-AM10)</f>
        <v>30.2817817795764</v>
      </c>
      <c r="AN13" s="13" t="n">
        <f aca="false">MAX(0,AN9-AN10)</f>
        <v>26.6120742102018</v>
      </c>
      <c r="AO13" s="13" t="n">
        <f aca="false">MAX(0,AO9-AO10)</f>
        <v>23.9081684658121</v>
      </c>
      <c r="AP13" s="13" t="n">
        <f aca="false">MAX(0,AP9-AP10)</f>
        <v>41.8536383389252</v>
      </c>
      <c r="AQ13" s="13" t="n">
        <f aca="false">MAX(0,AQ9-AQ10)</f>
        <v>41.4244393119057</v>
      </c>
      <c r="AR13" s="13" t="n">
        <f aca="false">MAX(0,AR9-AR10)</f>
        <v>42.0423434696002</v>
      </c>
      <c r="AS13" s="13" t="n">
        <f aca="false">MAX(0,AS9-AS10)</f>
        <v>41.4761529871317</v>
      </c>
      <c r="AT13" s="13" t="n">
        <f aca="false">MAX(0,AT9-AT10)</f>
        <v>47.0884082336434</v>
      </c>
      <c r="AU13" s="13" t="n">
        <f aca="false">MAX(0,AU9-AU10)</f>
        <v>42.4462424901245</v>
      </c>
      <c r="AV13" s="13" t="n">
        <f aca="false">MAX(0,AV9-AV10)</f>
        <v>43.6813718528973</v>
      </c>
      <c r="AW13" s="13" t="n">
        <f aca="false">MAX(0,AW9-AW10)</f>
        <v>43.7883002909771</v>
      </c>
      <c r="AX13" s="13" t="n">
        <f aca="false">MAX(0,AX9-AX10)</f>
        <v>44.4335074848987</v>
      </c>
      <c r="AY13" s="13" t="n">
        <f aca="false">MAX(0,AY9-AY10)</f>
        <v>43.9951746603934</v>
      </c>
      <c r="AZ13" s="13" t="n">
        <f aca="false">MAX(0,AZ9-AZ10)</f>
        <v>44.6356353924781</v>
      </c>
      <c r="BA13" s="13" t="n">
        <f aca="false">MAX(0,BA9-BA10)</f>
        <v>44.2481816195899</v>
      </c>
      <c r="BB13" s="13" t="n">
        <f aca="false">MAX(0,BB9-BB10)</f>
        <v>45.5707018550213</v>
      </c>
      <c r="BC13" s="13" t="n">
        <f aca="false">MAX(0,BC9-BC10)</f>
        <v>42.2034950942024</v>
      </c>
      <c r="BD13" s="13" t="n">
        <f aca="false">MAX(0,BD9-BD10)</f>
        <v>36.8345311775702</v>
      </c>
      <c r="BE13" s="13" t="n">
        <f aca="false">MAX(0,BE9-BE10)</f>
        <v>36.6734099670342</v>
      </c>
      <c r="BF13" s="13" t="n">
        <f aca="false">MAX(0,BF9-BF10)</f>
        <v>37.3473095949916</v>
      </c>
      <c r="BG13" s="13" t="n">
        <f aca="false">MAX(0,BG9-BG10)</f>
        <v>36.8990851867622</v>
      </c>
      <c r="BH13" s="13" t="n">
        <f aca="false">MAX(0,BH9-BH10)</f>
        <v>37.5639461089914</v>
      </c>
      <c r="BI13" s="13" t="n">
        <f aca="false">MAX(0,BI9-BI10)</f>
        <v>36.9794648900747</v>
      </c>
      <c r="BJ13" s="13" t="n">
        <f aca="false">MAX(0,BJ9-BJ10)</f>
        <v>43.7700598903247</v>
      </c>
      <c r="BK13" s="13" t="n">
        <f aca="false">MAX(0,BK9-BK10)</f>
        <v>38.303654922166</v>
      </c>
      <c r="BL13" s="13" t="n">
        <f aca="false">MAX(0,BL9-BL10)</f>
        <v>40.2676114636771</v>
      </c>
      <c r="BM13" s="13" t="n">
        <f aca="false">MAX(0,BM9-BM10)</f>
        <v>37.1827357974818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1870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1.94526082211453</v>
      </c>
      <c r="P14" s="13" t="n">
        <f aca="false">P13-Reserves!P11+Reserves!P12</f>
        <v>15.3470396910385</v>
      </c>
      <c r="Q14" s="13" t="n">
        <f aca="false">Q13-Reserves!Q11+Reserves!Q12</f>
        <v>12.8174341873273</v>
      </c>
      <c r="R14" s="13" t="n">
        <f aca="false">R13-Reserves!R11+Reserves!R12</f>
        <v>13.6944211771493</v>
      </c>
      <c r="S14" s="13" t="n">
        <f aca="false">S13-Reserves!S11+Reserves!S12</f>
        <v>12.9200584533269</v>
      </c>
      <c r="T14" s="13" t="n">
        <f aca="false">T13-Reserves!T11+Reserves!T12</f>
        <v>13.6845286636698</v>
      </c>
      <c r="U14" s="13" t="n">
        <f aca="false">U13-Reserves!U11+Reserves!U12</f>
        <v>12.5914558454883</v>
      </c>
      <c r="V14" s="13" t="n">
        <f aca="false">V13-Reserves!V11+Reserves!V12</f>
        <v>12.5515835902634</v>
      </c>
      <c r="W14" s="13" t="n">
        <f aca="false">W13-Reserves!W11+Reserves!W12</f>
        <v>13.5633080451606</v>
      </c>
      <c r="X14" s="13" t="n">
        <f aca="false">X13-Reserves!X11+Reserves!X12</f>
        <v>13.3528522689319</v>
      </c>
      <c r="Y14" s="13" t="n">
        <f aca="false">Y13-Reserves!Y11+Reserves!Y12</f>
        <v>12.808179517624</v>
      </c>
      <c r="Z14" s="13" t="n">
        <f aca="false">Z13-Reserves!Z11+Reserves!Z12</f>
        <v>13.4657980574992</v>
      </c>
      <c r="AA14" s="13" t="n">
        <f aca="false">AA13-Reserves!AA11+Reserves!AA12</f>
        <v>12.672271582203</v>
      </c>
      <c r="AB14" s="13" t="n">
        <f aca="false">AB13-Reserves!AB11+Reserves!AB12</f>
        <v>14.6723585306206</v>
      </c>
      <c r="AC14" s="13" t="n">
        <f aca="false">AC13-Reserves!AC11+Reserves!AC12</f>
        <v>13.5450155643363</v>
      </c>
      <c r="AD14" s="13" t="n">
        <f aca="false">AD13-Reserves!AD11+Reserves!AD12</f>
        <v>14.6192906911585</v>
      </c>
      <c r="AE14" s="13" t="n">
        <f aca="false">AE13-Reserves!AE11+Reserves!AE12</f>
        <v>15.5601206978694</v>
      </c>
      <c r="AF14" s="13" t="n">
        <f aca="false">AF13-Reserves!AF11+Reserves!AF12</f>
        <v>18.7934324791823</v>
      </c>
      <c r="AG14" s="13" t="n">
        <f aca="false">AG13-Reserves!AG11+Reserves!AG12</f>
        <v>20.217028612964</v>
      </c>
      <c r="AH14" s="13" t="n">
        <f aca="false">AH13-Reserves!AH11+Reserves!AH12</f>
        <v>22.99051205322</v>
      </c>
      <c r="AI14" s="13" t="n">
        <f aca="false">AI13-Reserves!AI11+Reserves!AI12</f>
        <v>24.8388230091739</v>
      </c>
      <c r="AJ14" s="13" t="n">
        <f aca="false">AJ13-Reserves!AJ11+Reserves!AJ12</f>
        <v>28.7225799940223</v>
      </c>
      <c r="AK14" s="13" t="n">
        <f aca="false">AK13-Reserves!AK11+Reserves!AK12</f>
        <v>32.4730780462588</v>
      </c>
      <c r="AL14" s="13" t="n">
        <f aca="false">AL13-Reserves!AL11+Reserves!AL12</f>
        <v>32.0379617961174</v>
      </c>
      <c r="AM14" s="13" t="n">
        <f aca="false">AM13-Reserves!AM11+Reserves!AM12</f>
        <v>33.2173968236204</v>
      </c>
      <c r="AN14" s="13" t="n">
        <f aca="false">AN13-Reserves!AN11+Reserves!AN12</f>
        <v>27.4194254104008</v>
      </c>
      <c r="AO14" s="13" t="n">
        <f aca="false">AO13-Reserves!AO11+Reserves!AO12</f>
        <v>41.9313665418203</v>
      </c>
      <c r="AP14" s="13" t="n">
        <f aca="false">AP13-Reserves!AP11+Reserves!AP12</f>
        <v>41.8536383389252</v>
      </c>
      <c r="AQ14" s="13" t="n">
        <f aca="false">AQ13-Reserves!AQ11+Reserves!AQ12</f>
        <v>41.4244393119057</v>
      </c>
      <c r="AR14" s="13" t="n">
        <f aca="false">AR13-Reserves!AR11+Reserves!AR12</f>
        <v>42.0423434696002</v>
      </c>
      <c r="AS14" s="13" t="n">
        <f aca="false">AS13-Reserves!AS11+Reserves!AS12</f>
        <v>41.4761529871317</v>
      </c>
      <c r="AT14" s="13" t="n">
        <f aca="false">AT13-Reserves!AT11+Reserves!AT12</f>
        <v>47.0884082336434</v>
      </c>
      <c r="AU14" s="13" t="n">
        <f aca="false">AU13-Reserves!AU11+Reserves!AU12</f>
        <v>42.4462424901245</v>
      </c>
      <c r="AV14" s="13" t="n">
        <f aca="false">AV13-Reserves!AV11+Reserves!AV12</f>
        <v>43.6813718528973</v>
      </c>
      <c r="AW14" s="13" t="n">
        <f aca="false">AW13-Reserves!AW11+Reserves!AW12</f>
        <v>43.7883002909771</v>
      </c>
      <c r="AX14" s="13" t="n">
        <f aca="false">AX13-Reserves!AX11+Reserves!AX12</f>
        <v>44.4335074848987</v>
      </c>
      <c r="AY14" s="13" t="n">
        <f aca="false">AY13-Reserves!AY11+Reserves!AY12</f>
        <v>43.9951746603934</v>
      </c>
      <c r="AZ14" s="13" t="n">
        <f aca="false">AZ13-Reserves!AZ11+Reserves!AZ12</f>
        <v>44.6356353924781</v>
      </c>
      <c r="BA14" s="13" t="n">
        <f aca="false">BA13-Reserves!BA11+Reserves!BA12</f>
        <v>44.2481816195899</v>
      </c>
      <c r="BB14" s="13" t="n">
        <f aca="false">BB13-Reserves!BB11+Reserves!BB12</f>
        <v>45.5707018550213</v>
      </c>
      <c r="BC14" s="13" t="n">
        <f aca="false">BC13-Reserves!BC11+Reserves!BC12</f>
        <v>42.2034950942024</v>
      </c>
      <c r="BD14" s="13" t="n">
        <f aca="false">BD13-Reserves!BD11+Reserves!BD12</f>
        <v>36.8345311775702</v>
      </c>
      <c r="BE14" s="13" t="n">
        <f aca="false">BE13-Reserves!BE11+Reserves!BE12</f>
        <v>36.6734099670342</v>
      </c>
      <c r="BF14" s="13" t="n">
        <f aca="false">BF13-Reserves!BF11+Reserves!BF12</f>
        <v>37.3473095949916</v>
      </c>
      <c r="BG14" s="13" t="n">
        <f aca="false">BG13-Reserves!BG11+Reserves!BG12</f>
        <v>36.8990851867622</v>
      </c>
      <c r="BH14" s="13" t="n">
        <f aca="false">BH13-Reserves!BH11+Reserves!BH12</f>
        <v>37.5639461089914</v>
      </c>
      <c r="BI14" s="13" t="n">
        <f aca="false">BI13-Reserves!BI11+Reserves!BI12</f>
        <v>36.9794648900747</v>
      </c>
      <c r="BJ14" s="13" t="n">
        <f aca="false">BJ13-Reserves!BJ11+Reserves!BJ12</f>
        <v>43.7700598903247</v>
      </c>
      <c r="BK14" s="13" t="n">
        <f aca="false">BK13-Reserves!BK11+Reserves!BK12</f>
        <v>38.303654922166</v>
      </c>
      <c r="BL14" s="13" t="n">
        <f aca="false">BL13-Reserves!BL11+Reserves!BL12</f>
        <v>40.2676114636771</v>
      </c>
      <c r="BM14" s="13" t="n">
        <f aca="false">BM13-Reserves!BM11+Reserves!BM12</f>
        <v>37.1827357974818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1871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1.94526082211453</v>
      </c>
      <c r="P15" s="13" t="n">
        <f aca="false">P14-Reserves!P14+Reserves!P15</f>
        <v>15.3470396910385</v>
      </c>
      <c r="Q15" s="13" t="n">
        <f aca="false">Q14-Reserves!Q14+Reserves!Q15</f>
        <v>12.8174341873273</v>
      </c>
      <c r="R15" s="13" t="n">
        <f aca="false">R14-Reserves!R14+Reserves!R15</f>
        <v>13.6944211771493</v>
      </c>
      <c r="S15" s="13" t="n">
        <f aca="false">S14-Reserves!S14+Reserves!S15</f>
        <v>12.9200584533269</v>
      </c>
      <c r="T15" s="13" t="n">
        <f aca="false">T14-Reserves!T14+Reserves!T15</f>
        <v>13.6845286636698</v>
      </c>
      <c r="U15" s="13" t="n">
        <f aca="false">U14-Reserves!U14+Reserves!U15</f>
        <v>12.5914558454883</v>
      </c>
      <c r="V15" s="13" t="n">
        <f aca="false">V14-Reserves!V14+Reserves!V15</f>
        <v>12.5515835902634</v>
      </c>
      <c r="W15" s="13" t="n">
        <f aca="false">W14-Reserves!W14+Reserves!W15</f>
        <v>13.5633080451606</v>
      </c>
      <c r="X15" s="13" t="n">
        <f aca="false">X14-Reserves!X14+Reserves!X15</f>
        <v>13.3528522689319</v>
      </c>
      <c r="Y15" s="13" t="n">
        <f aca="false">Y14-Reserves!Y14+Reserves!Y15</f>
        <v>12.808179517624</v>
      </c>
      <c r="Z15" s="13" t="n">
        <f aca="false">Z14-Reserves!Z14+Reserves!Z15</f>
        <v>13.4657980574992</v>
      </c>
      <c r="AA15" s="13" t="n">
        <f aca="false">AA14-Reserves!AA14+Reserves!AA15</f>
        <v>12.672271582203</v>
      </c>
      <c r="AB15" s="13" t="n">
        <f aca="false">AB14-Reserves!AB14+Reserves!AB15</f>
        <v>14.6723585306206</v>
      </c>
      <c r="AC15" s="13" t="n">
        <f aca="false">AC14-Reserves!AC14+Reserves!AC15</f>
        <v>13.5450155643363</v>
      </c>
      <c r="AD15" s="13" t="n">
        <f aca="false">AD14-Reserves!AD14+Reserves!AD15</f>
        <v>14.6192906911585</v>
      </c>
      <c r="AE15" s="13" t="n">
        <f aca="false">AE14-Reserves!AE14+Reserves!AE15</f>
        <v>15.5601206978694</v>
      </c>
      <c r="AF15" s="13" t="n">
        <f aca="false">AF14-Reserves!AF14+Reserves!AF15</f>
        <v>18.7934324791823</v>
      </c>
      <c r="AG15" s="13" t="n">
        <f aca="false">AG14-Reserves!AG14+Reserves!AG15</f>
        <v>20.217028612964</v>
      </c>
      <c r="AH15" s="13" t="n">
        <f aca="false">AH14-Reserves!AH14+Reserves!AH15</f>
        <v>22.99051205322</v>
      </c>
      <c r="AI15" s="13" t="n">
        <f aca="false">AI14-Reserves!AI14+Reserves!AI15</f>
        <v>24.8388230091739</v>
      </c>
      <c r="AJ15" s="13" t="n">
        <f aca="false">AJ14-Reserves!AJ14+Reserves!AJ15</f>
        <v>28.7225799940223</v>
      </c>
      <c r="AK15" s="13" t="n">
        <f aca="false">AK14-Reserves!AK14+Reserves!AK15</f>
        <v>32.4730780462588</v>
      </c>
      <c r="AL15" s="13" t="n">
        <f aca="false">AL14-Reserves!AL14+Reserves!AL15</f>
        <v>32.0379617961174</v>
      </c>
      <c r="AM15" s="13" t="n">
        <f aca="false">AM14-Reserves!AM14+Reserves!AM15</f>
        <v>33.2173968236204</v>
      </c>
      <c r="AN15" s="13" t="n">
        <f aca="false">AN14-Reserves!AN14+Reserves!AN15</f>
        <v>27.4194254104008</v>
      </c>
      <c r="AO15" s="13" t="n">
        <f aca="false">AO14-Reserves!AO14+Reserves!AO15</f>
        <v>41.9313665418203</v>
      </c>
      <c r="AP15" s="13" t="n">
        <f aca="false">AP14-Reserves!AP14+Reserves!AP15</f>
        <v>41.8536383389252</v>
      </c>
      <c r="AQ15" s="13" t="n">
        <f aca="false">AQ14-Reserves!AQ14+Reserves!AQ15</f>
        <v>41.4244393119057</v>
      </c>
      <c r="AR15" s="13" t="n">
        <f aca="false">AR14-Reserves!AR14+Reserves!AR15</f>
        <v>42.0423434696002</v>
      </c>
      <c r="AS15" s="13" t="n">
        <f aca="false">AS14-Reserves!AS14+Reserves!AS15</f>
        <v>41.4761529871317</v>
      </c>
      <c r="AT15" s="13" t="n">
        <f aca="false">AT14-Reserves!AT14+Reserves!AT15</f>
        <v>47.0884082336434</v>
      </c>
      <c r="AU15" s="13" t="n">
        <f aca="false">AU14-Reserves!AU14+Reserves!AU15</f>
        <v>42.4462424901245</v>
      </c>
      <c r="AV15" s="13" t="n">
        <f aca="false">AV14-Reserves!AV14+Reserves!AV15</f>
        <v>43.6813718528973</v>
      </c>
      <c r="AW15" s="13" t="n">
        <f aca="false">AW14-Reserves!AW14+Reserves!AW15</f>
        <v>43.7883002909771</v>
      </c>
      <c r="AX15" s="13" t="n">
        <f aca="false">AX14-Reserves!AX14+Reserves!AX15</f>
        <v>44.4335074848987</v>
      </c>
      <c r="AY15" s="13" t="n">
        <f aca="false">AY14-Reserves!AY14+Reserves!AY15</f>
        <v>43.9951746603934</v>
      </c>
      <c r="AZ15" s="13" t="n">
        <f aca="false">AZ14-Reserves!AZ14+Reserves!AZ15</f>
        <v>44.6356353924781</v>
      </c>
      <c r="BA15" s="13" t="n">
        <f aca="false">BA14-Reserves!BA14+Reserves!BA15</f>
        <v>43.7532132329812</v>
      </c>
      <c r="BB15" s="13" t="n">
        <f aca="false">BB14-Reserves!BB14+Reserves!BB15</f>
        <v>44.0695516003769</v>
      </c>
      <c r="BC15" s="13" t="n">
        <f aca="false">BC14-Reserves!BC14+Reserves!BC15</f>
        <v>40.6859220208602</v>
      </c>
      <c r="BD15" s="13" t="n">
        <f aca="false">BD14-Reserves!BD14+Reserves!BD15</f>
        <v>35.3003556173236</v>
      </c>
      <c r="BE15" s="13" t="n">
        <f aca="false">BE14-Reserves!BE14+Reserves!BE15</f>
        <v>35.1224502860784</v>
      </c>
      <c r="BF15" s="13" t="n">
        <f aca="false">BF14-Reserves!BF14+Reserves!BF15</f>
        <v>35.7793821724196</v>
      </c>
      <c r="BG15" s="13" t="n">
        <f aca="false">BG14-Reserves!BG14+Reserves!BG15</f>
        <v>35.3140043928254</v>
      </c>
      <c r="BH15" s="13" t="n">
        <f aca="false">BH14-Reserves!BH14+Reserves!BH15</f>
        <v>35.9615242831228</v>
      </c>
      <c r="BI15" s="13" t="n">
        <f aca="false">BI14-Reserves!BI14+Reserves!BI15</f>
        <v>35.3595123186713</v>
      </c>
      <c r="BJ15" s="13" t="n">
        <f aca="false">BJ14-Reserves!BJ14+Reserves!BJ15</f>
        <v>42.132384784287</v>
      </c>
      <c r="BK15" s="13" t="n">
        <f aca="false">BK14-Reserves!BK14+Reserves!BK15</f>
        <v>36.6480633941918</v>
      </c>
      <c r="BL15" s="13" t="n">
        <f aca="false">BL14-Reserves!BL14+Reserves!BL15</f>
        <v>38.5939075053066</v>
      </c>
      <c r="BM15" s="13" t="n">
        <f aca="false">BM14-Reserves!BM14+Reserves!BM15</f>
        <v>55.1239159594428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1872</v>
      </c>
    </row>
    <row r="17" customFormat="false" ht="15" hidden="false" customHeight="false" outlineLevel="0" collapsed="false">
      <c r="D17" s="0" t="s">
        <v>1873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1.35743267092938</v>
      </c>
      <c r="Q17" s="3" t="n">
        <f aca="false">IF(Debt!Q114&gt;Inputs!$F$253,Q7/Debt!Q114,0)</f>
        <v>1.35754223797653</v>
      </c>
      <c r="R17" s="3" t="n">
        <f aca="false">IF(Debt!R114&gt;Inputs!$F$253,R7/Debt!R114,0)</f>
        <v>1.35622658178874</v>
      </c>
      <c r="S17" s="3" t="n">
        <f aca="false">IF(Debt!S114&gt;Inputs!$F$253,S7/Debt!S114,0)</f>
        <v>1.35726708540069</v>
      </c>
      <c r="T17" s="3" t="n">
        <f aca="false">IF(Debt!T114&gt;Inputs!$F$253,T7/Debt!T114,0)</f>
        <v>1.35771041122741</v>
      </c>
      <c r="U17" s="3" t="n">
        <f aca="false">IF(Debt!U114&gt;Inputs!$F$253,U7/Debt!U114,0)</f>
        <v>1.35423044799117</v>
      </c>
      <c r="V17" s="3" t="n">
        <f aca="false">IF(Debt!V114&gt;Inputs!$F$253,V7/Debt!V114,0)</f>
        <v>1.32090776165902</v>
      </c>
      <c r="W17" s="3" t="n">
        <f aca="false">IF(Debt!W114&gt;Inputs!$F$253,W7/Debt!W114,0)</f>
        <v>1.32787526304083</v>
      </c>
      <c r="X17" s="3" t="n">
        <f aca="false">IF(Debt!X114&gt;Inputs!$F$253,X7/Debt!X114,0)</f>
        <v>1.35195172537715</v>
      </c>
      <c r="Y17" s="3" t="n">
        <f aca="false">IF(Debt!Y114&gt;Inputs!$F$253,Y7/Debt!Y114,0)</f>
        <v>1.35846349597978</v>
      </c>
      <c r="Z17" s="3" t="n">
        <f aca="false">IF(Debt!Z114&gt;Inputs!$F$253,Z7/Debt!Z114,0)</f>
        <v>1.35715311813475</v>
      </c>
      <c r="AA17" s="3" t="n">
        <f aca="false">IF(Debt!AA114&gt;Inputs!$F$253,AA7/Debt!AA114,0)</f>
        <v>1.35824984728321</v>
      </c>
      <c r="AB17" s="3" t="n">
        <f aca="false">IF(Debt!AB114&gt;Inputs!$F$253,AB7/Debt!AB114,0)</f>
        <v>1.38205142507673</v>
      </c>
      <c r="AC17" s="3" t="n">
        <f aca="false">IF(Debt!AC114&gt;Inputs!$F$253,AC7/Debt!AC114,0)</f>
        <v>1.39842071488931</v>
      </c>
      <c r="AD17" s="3" t="n">
        <f aca="false">IF(Debt!AD114&gt;Inputs!$F$253,AD7/Debt!AD114,0)</f>
        <v>1.38573476094767</v>
      </c>
      <c r="AE17" s="3" t="n">
        <f aca="false">IF(Debt!AE114&gt;Inputs!$F$253,AE7/Debt!AE114,0)</f>
        <v>1.41929082558483</v>
      </c>
      <c r="AF17" s="3" t="n">
        <f aca="false">IF(Debt!AF114&gt;Inputs!$F$253,AF7/Debt!AF114,0)</f>
        <v>1.51038370543235</v>
      </c>
      <c r="AG17" s="3" t="n">
        <f aca="false">IF(Debt!AG114&gt;Inputs!$F$253,AG7/Debt!AG114,0)</f>
        <v>1.58991529680785</v>
      </c>
      <c r="AH17" s="3" t="n">
        <f aca="false">IF(Debt!AH114&gt;Inputs!$F$253,AH7/Debt!AH114,0)</f>
        <v>1.67318141784137</v>
      </c>
      <c r="AI17" s="3" t="n">
        <f aca="false">IF(Debt!AI114&gt;Inputs!$F$253,AI7/Debt!AI114,0)</f>
        <v>1.79311862233983</v>
      </c>
      <c r="AJ17" s="3" t="n">
        <f aca="false">IF(Debt!AJ114&gt;Inputs!$F$253,AJ7/Debt!AJ114,0)</f>
        <v>1.97221805403833</v>
      </c>
      <c r="AK17" s="3" t="n">
        <f aca="false">IF(Debt!AK114&gt;Inputs!$F$253,AK7/Debt!AK114,0)</f>
        <v>2.27052984779837</v>
      </c>
      <c r="AL17" s="3" t="n">
        <f aca="false">IF(Debt!AL114&gt;Inputs!$F$253,AL7/Debt!AL114,0)</f>
        <v>2.38743948391729</v>
      </c>
      <c r="AM17" s="3" t="n">
        <f aca="false">IF(Debt!AM114&gt;Inputs!$F$253,AM7/Debt!AM114,0)</f>
        <v>2.39123188330442</v>
      </c>
      <c r="AN17" s="3" t="n">
        <f aca="false">IF(Debt!AN114&gt;Inputs!$F$253,AN7/Debt!AN114,0)</f>
        <v>2.41323940262469</v>
      </c>
      <c r="AO17" s="3" t="n">
        <f aca="false">IF(Debt!AO114&gt;Inputs!$F$253,AO7/Debt!AO114,0)</f>
        <v>2.3265219837781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1874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1.35743267092938</v>
      </c>
      <c r="Q18" s="3" t="n">
        <f aca="false">IF(Debt!Q114&gt;Inputs!$F$253,IF(Debt!P114&gt;Inputs!$F$253,(Q7+P7)/(Debt!Q114+Debt!P114),Q17),0)</f>
        <v>1.35748738901058</v>
      </c>
      <c r="R18" s="3" t="n">
        <f aca="false">IF(Debt!R114&gt;Inputs!$F$253,IF(Debt!Q114&gt;Inputs!$F$253,(R7+Q7)/(Debt!R114+Debt!Q114),R17),0)</f>
        <v>1.35688029509346</v>
      </c>
      <c r="S18" s="3" t="n">
        <f aca="false">IF(Debt!S114&gt;Inputs!$F$253,IF(Debt!R114&gt;Inputs!$F$253,(S7+R7)/(Debt!S114+Debt!R114),S17),0)</f>
        <v>1.35674481060922</v>
      </c>
      <c r="T18" s="3" t="n">
        <f aca="false">IF(Debt!T114&gt;Inputs!$F$253,IF(Debt!S114&gt;Inputs!$F$253,(T7+S7)/(Debt!T114+Debt!S114),T17),0)</f>
        <v>1.35748998204493</v>
      </c>
      <c r="U18" s="3" t="n">
        <f aca="false">IF(Debt!U114&gt;Inputs!$F$253,IF(Debt!T114&gt;Inputs!$F$253,(U7+T7)/(Debt!U114+Debt!T114),U17),0)</f>
        <v>1.35597459984642</v>
      </c>
      <c r="V18" s="3" t="n">
        <f aca="false">IF(Debt!V114&gt;Inputs!$F$253,IF(Debt!U114&gt;Inputs!$F$253,(V7+U7)/(Debt!V114+Debt!U114),V17),0)</f>
        <v>1.33741157527498</v>
      </c>
      <c r="W18" s="3" t="n">
        <f aca="false">IF(Debt!W114&gt;Inputs!$F$253,IF(Debt!V114&gt;Inputs!$F$253,(W7+V7)/(Debt!W114+Debt!V114),W17),0)</f>
        <v>1.324379428614</v>
      </c>
      <c r="X18" s="3" t="n">
        <f aca="false">IF(Debt!X114&gt;Inputs!$F$253,IF(Debt!W114&gt;Inputs!$F$253,(X7+W7)/(Debt!X114+Debt!W114),X17),0)</f>
        <v>1.33973738877679</v>
      </c>
      <c r="Y18" s="3" t="n">
        <f aca="false">IF(Debt!Y114&gt;Inputs!$F$253,IF(Debt!X114&gt;Inputs!$F$253,(Y7+X7)/(Debt!Y114+Debt!X114),Y17),0)</f>
        <v>1.35519182221863</v>
      </c>
      <c r="Z18" s="3" t="n">
        <f aca="false">IF(Debt!Z114&gt;Inputs!$F$253,IF(Debt!Y114&gt;Inputs!$F$253,(Z7+Y7)/(Debt!Z114+Debt!Y114),Z17),0)</f>
        <v>1.35780562203283</v>
      </c>
      <c r="AA18" s="3" t="n">
        <f aca="false">IF(Debt!AA114&gt;Inputs!$F$253,IF(Debt!Z114&gt;Inputs!$F$253,(AA7+Z7)/(Debt!AA114+Debt!Z114),AA17),0)</f>
        <v>1.35769926466315</v>
      </c>
      <c r="AB18" s="3" t="n">
        <f aca="false">IF(Debt!AB114&gt;Inputs!$F$253,IF(Debt!AA114&gt;Inputs!$F$253,(AB7+AA7)/(Debt!AB114+Debt!AA114),AB17),0)</f>
        <v>1.37011891382127</v>
      </c>
      <c r="AC18" s="3" t="n">
        <f aca="false">IF(Debt!AC114&gt;Inputs!$F$253,IF(Debt!AB114&gt;Inputs!$F$253,(AC7+AB7)/(Debt!AC114+Debt!AB114),AC17),0)</f>
        <v>1.39013290647151</v>
      </c>
      <c r="AD18" s="3" t="n">
        <f aca="false">IF(Debt!AD114&gt;Inputs!$F$253,IF(Debt!AC114&gt;Inputs!$F$253,(AD7+AC7)/(Debt!AD114+Debt!AC114),AD17),0)</f>
        <v>1.39202727910918</v>
      </c>
      <c r="AE18" s="3" t="n">
        <f aca="false">IF(Debt!AE114&gt;Inputs!$F$253,IF(Debt!AD114&gt;Inputs!$F$253,(AE7+AD7)/(Debt!AE114+Debt!AD114),AE17),0)</f>
        <v>1.40231565059001</v>
      </c>
      <c r="AF18" s="3" t="n">
        <f aca="false">IF(Debt!AF114&gt;Inputs!$F$253,IF(Debt!AE114&gt;Inputs!$F$253,(AF7+AE7)/(Debt!AF114+Debt!AE114),AF17),0)</f>
        <v>1.4642210009257</v>
      </c>
      <c r="AG18" s="3" t="n">
        <f aca="false">IF(Debt!AG114&gt;Inputs!$F$253,IF(Debt!AF114&gt;Inputs!$F$253,(AG7+AF7)/(Debt!AG114+Debt!AF114),AG17),0)</f>
        <v>1.54917802577352</v>
      </c>
      <c r="AH18" s="3" t="n">
        <f aca="false">IF(Debt!AH114&gt;Inputs!$F$253,IF(Debt!AG114&gt;Inputs!$F$253,(AH7+AG7)/(Debt!AH114+Debt!AG114),AH17),0)</f>
        <v>1.63073381377671</v>
      </c>
      <c r="AI18" s="3" t="n">
        <f aca="false">IF(Debt!AI114&gt;Inputs!$F$253,IF(Debt!AH114&gt;Inputs!$F$253,(AI7+AH7)/(Debt!AI114+Debt!AH114),AI17),0)</f>
        <v>1.7308643588568</v>
      </c>
      <c r="AJ18" s="3" t="n">
        <f aca="false">IF(Debt!AJ114&gt;Inputs!$F$253,IF(Debt!AI114&gt;Inputs!$F$253,(AJ7+AI7)/(Debt!AJ114+Debt!AI114),AJ17),0)</f>
        <v>1.87893964417944</v>
      </c>
      <c r="AK18" s="3" t="n">
        <f aca="false">IF(Debt!AK114&gt;Inputs!$F$253,IF(Debt!AJ114&gt;Inputs!$F$253,(AK7+AJ7)/(Debt!AK114+Debt!AJ114),AK17),0)</f>
        <v>2.11035427401371</v>
      </c>
      <c r="AL18" s="3" t="n">
        <f aca="false">IF(Debt!AL114&gt;Inputs!$F$253,IF(Debt!AK114&gt;Inputs!$F$253,(AL7+AK7)/(Debt!AL114+Debt!AK114),AL17),0)</f>
        <v>2.32737613293489</v>
      </c>
      <c r="AM18" s="3" t="n">
        <f aca="false">IF(Debt!AM114&gt;Inputs!$F$253,IF(Debt!AL114&gt;Inputs!$F$253,(AM7+AL7)/(Debt!AM114+Debt!AL114),AM17),0)</f>
        <v>2.38933272525431</v>
      </c>
      <c r="AN18" s="3" t="n">
        <f aca="false">IF(Debt!AN114&gt;Inputs!$F$253,IF(Debt!AM114&gt;Inputs!$F$253,(AN7+AM7)/(Debt!AN114+Debt!AM114),AN17),0)</f>
        <v>2.40143994302883</v>
      </c>
      <c r="AO18" s="3" t="n">
        <f aca="false">IF(Debt!AO114&gt;Inputs!$F$253,IF(Debt!AN114&gt;Inputs!$F$253,(AO7+AN7)/(Debt!AO114+Debt!AN114),AO17),0)</f>
        <v>2.37083054792736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1875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1876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1877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1878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1879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1880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1881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1882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1883</v>
      </c>
    </row>
    <row r="28" customFormat="false" ht="15" hidden="false" customHeight="false" outlineLevel="0" collapsed="false">
      <c r="D28" s="0" t="s">
        <v>1884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1885</v>
      </c>
      <c r="E29" s="0" t="s">
        <v>151</v>
      </c>
      <c r="G29" s="13" t="n">
        <f aca="false">SUM(J29:BN29)</f>
        <v>98.536231383159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6.33613579110148</v>
      </c>
      <c r="AB29" s="13" t="n">
        <f aca="false">IF(AND(AB24=1,Time!AB52=1,Inputs!$F$52=1),MIN(Inputs!$F$111*AB15,Debt!AB73),0)</f>
        <v>7.3361792653103</v>
      </c>
      <c r="AC29" s="13" t="n">
        <f aca="false">IF(AND(AC24=1,Time!AC52=1,Inputs!$F$52=1),MIN(Inputs!$F$111*AC15,Debt!AC73),0)</f>
        <v>6.77250778216815</v>
      </c>
      <c r="AD29" s="13" t="n">
        <f aca="false">IF(AND(AD24=1,Time!AD52=1,Inputs!$F$52=1),MIN(Inputs!$F$111*AD15,Debt!AD73),0)</f>
        <v>7.30964534557927</v>
      </c>
      <c r="AE29" s="13" t="n">
        <f aca="false">IF(AND(AE24=1,Time!AE52=1,Inputs!$F$52=1),MIN(Inputs!$F$111*AE15,Debt!AE73),0)</f>
        <v>7.78006034893469</v>
      </c>
      <c r="AF29" s="13" t="n">
        <f aca="false">IF(AND(AF24=1,Time!AF52=1,Inputs!$F$52=1),MIN(Inputs!$F$111*AF15,Debt!AF73),0)</f>
        <v>9.39671623959113</v>
      </c>
      <c r="AG29" s="13" t="n">
        <f aca="false">IF(AND(AG24=1,Time!AG52=1,Inputs!$F$52=1),MIN(Inputs!$F$111*AG15,Debt!AG73),0)</f>
        <v>10.108514306482</v>
      </c>
      <c r="AH29" s="13" t="n">
        <f aca="false">IF(AND(AH24=1,Time!AH52=1,Inputs!$F$52=1),MIN(Inputs!$F$111*AH15,Debt!AH73),0)</f>
        <v>11.49525602661</v>
      </c>
      <c r="AI29" s="13" t="n">
        <f aca="false">IF(AND(AI24=1,Time!AI52=1,Inputs!$F$52=1),MIN(Inputs!$F$111*AI15,Debt!AI73),0)</f>
        <v>12.419411504587</v>
      </c>
      <c r="AJ29" s="13" t="n">
        <f aca="false">IF(AND(AJ24=1,Time!AJ52=1,Inputs!$F$52=1),MIN(Inputs!$F$111*AJ15,Debt!AJ73),0)</f>
        <v>14.3612899970111</v>
      </c>
      <c r="AK29" s="13" t="n">
        <f aca="false">IF(AND(AK24=1,Time!AK52=1,Inputs!$F$52=1),MIN(Inputs!$F$111*AK15,Debt!AK73),0)</f>
        <v>5.22051477578384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1886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1.94526082211453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1887</v>
      </c>
      <c r="E31" s="0" t="s">
        <v>151</v>
      </c>
      <c r="G31" s="13" t="n">
        <f aca="false">SUM(J31:BN31)</f>
        <v>1392.68049202815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15.3470396910385</v>
      </c>
      <c r="Q31" s="13" t="n">
        <f aca="false">IF(Q24=1,Q15-Q29,0)</f>
        <v>12.8174341873273</v>
      </c>
      <c r="R31" s="13" t="n">
        <f aca="false">IF(R24=1,R15-R29,0)</f>
        <v>13.6944211771493</v>
      </c>
      <c r="S31" s="13" t="n">
        <f aca="false">IF(S24=1,S15-S29,0)</f>
        <v>12.9200584533269</v>
      </c>
      <c r="T31" s="13" t="n">
        <f aca="false">IF(T24=1,T15-T29,0)</f>
        <v>13.6845286636698</v>
      </c>
      <c r="U31" s="13" t="n">
        <f aca="false">IF(U24=1,U15-U29,0)</f>
        <v>12.5914558454883</v>
      </c>
      <c r="V31" s="13" t="n">
        <f aca="false">IF(V24=1,V15-V29,0)</f>
        <v>12.5515835902634</v>
      </c>
      <c r="W31" s="13" t="n">
        <f aca="false">IF(W24=1,W15-W29,0)</f>
        <v>13.5633080451606</v>
      </c>
      <c r="X31" s="13" t="n">
        <f aca="false">IF(X24=1,X15-X29,0)</f>
        <v>13.3528522689319</v>
      </c>
      <c r="Y31" s="13" t="n">
        <f aca="false">IF(Y24=1,Y15-Y29,0)</f>
        <v>12.808179517624</v>
      </c>
      <c r="Z31" s="13" t="n">
        <f aca="false">IF(Z24=1,Z15-Z29,0)</f>
        <v>13.4657980574992</v>
      </c>
      <c r="AA31" s="13" t="n">
        <f aca="false">IF(AA24=1,AA15-AA29,0)</f>
        <v>6.33613579110148</v>
      </c>
      <c r="AB31" s="13" t="n">
        <f aca="false">IF(AB24=1,AB15-AB29,0)</f>
        <v>7.3361792653103</v>
      </c>
      <c r="AC31" s="13" t="n">
        <f aca="false">IF(AC24=1,AC15-AC29,0)</f>
        <v>6.77250778216815</v>
      </c>
      <c r="AD31" s="13" t="n">
        <f aca="false">IF(AD24=1,AD15-AD29,0)</f>
        <v>7.30964534557927</v>
      </c>
      <c r="AE31" s="13" t="n">
        <f aca="false">IF(AE24=1,AE15-AE29,0)</f>
        <v>7.78006034893469</v>
      </c>
      <c r="AF31" s="13" t="n">
        <f aca="false">IF(AF24=1,AF15-AF29,0)</f>
        <v>9.39671623959113</v>
      </c>
      <c r="AG31" s="13" t="n">
        <f aca="false">IF(AG24=1,AG15-AG29,0)</f>
        <v>10.108514306482</v>
      </c>
      <c r="AH31" s="13" t="n">
        <f aca="false">IF(AH24=1,AH15-AH29,0)</f>
        <v>11.49525602661</v>
      </c>
      <c r="AI31" s="13" t="n">
        <f aca="false">IF(AI24=1,AI15-AI29,0)</f>
        <v>12.419411504587</v>
      </c>
      <c r="AJ31" s="13" t="n">
        <f aca="false">IF(AJ24=1,AJ15-AJ29,0)</f>
        <v>14.3612899970111</v>
      </c>
      <c r="AK31" s="13" t="n">
        <f aca="false">IF(AK24=1,AK15-AK29,0)</f>
        <v>27.2525632704749</v>
      </c>
      <c r="AL31" s="13" t="n">
        <f aca="false">IF(AL24=1,AL15-AL29,0)</f>
        <v>32.0379617961174</v>
      </c>
      <c r="AM31" s="13" t="n">
        <f aca="false">IF(AM24=1,AM15-AM29,0)</f>
        <v>33.2173968236204</v>
      </c>
      <c r="AN31" s="13" t="n">
        <f aca="false">IF(AN24=1,AN15-AN29,0)</f>
        <v>27.4194254104008</v>
      </c>
      <c r="AO31" s="13" t="n">
        <f aca="false">IF(AO24=1,AO15-AO29,0)</f>
        <v>41.9313665418203</v>
      </c>
      <c r="AP31" s="13" t="n">
        <f aca="false">IF(AP24=1,AP15-AP29,0)</f>
        <v>41.8536383389252</v>
      </c>
      <c r="AQ31" s="13" t="n">
        <f aca="false">IF(AQ24=1,AQ15-AQ29,0)</f>
        <v>41.4244393119057</v>
      </c>
      <c r="AR31" s="13" t="n">
        <f aca="false">IF(AR24=1,AR15-AR29,0)</f>
        <v>42.0423434696002</v>
      </c>
      <c r="AS31" s="13" t="n">
        <f aca="false">IF(AS24=1,AS15-AS29,0)</f>
        <v>41.4761529871317</v>
      </c>
      <c r="AT31" s="13" t="n">
        <f aca="false">IF(AT24=1,AT15-AT29,0)</f>
        <v>47.0884082336434</v>
      </c>
      <c r="AU31" s="13" t="n">
        <f aca="false">IF(AU24=1,AU15-AU29,0)</f>
        <v>42.4462424901245</v>
      </c>
      <c r="AV31" s="13" t="n">
        <f aca="false">IF(AV24=1,AV15-AV29,0)</f>
        <v>43.6813718528973</v>
      </c>
      <c r="AW31" s="13" t="n">
        <f aca="false">IF(AW24=1,AW15-AW29,0)</f>
        <v>43.7883002909771</v>
      </c>
      <c r="AX31" s="13" t="n">
        <f aca="false">IF(AX24=1,AX15-AX29,0)</f>
        <v>44.4335074848987</v>
      </c>
      <c r="AY31" s="13" t="n">
        <f aca="false">IF(AY24=1,AY15-AY29,0)</f>
        <v>43.9951746603934</v>
      </c>
      <c r="AZ31" s="13" t="n">
        <f aca="false">IF(AZ24=1,AZ15-AZ29,0)</f>
        <v>44.6356353924781</v>
      </c>
      <c r="BA31" s="13" t="n">
        <f aca="false">IF(BA24=1,BA15-BA29,0)</f>
        <v>43.7532132329812</v>
      </c>
      <c r="BB31" s="13" t="n">
        <f aca="false">IF(BB24=1,BB15-BB29,0)</f>
        <v>44.0695516003769</v>
      </c>
      <c r="BC31" s="13" t="n">
        <f aca="false">IF(BC24=1,BC15-BC29,0)</f>
        <v>40.6859220208602</v>
      </c>
      <c r="BD31" s="13" t="n">
        <f aca="false">IF(BD24=1,BD15-BD29,0)</f>
        <v>35.3003556173236</v>
      </c>
      <c r="BE31" s="13" t="n">
        <f aca="false">IF(BE24=1,BE15-BE29,0)</f>
        <v>35.1224502860784</v>
      </c>
      <c r="BF31" s="13" t="n">
        <f aca="false">IF(BF24=1,BF15-BF29,0)</f>
        <v>35.7793821724196</v>
      </c>
      <c r="BG31" s="13" t="n">
        <f aca="false">IF(BG24=1,BG15-BG29,0)</f>
        <v>35.3140043928254</v>
      </c>
      <c r="BH31" s="13" t="n">
        <f aca="false">IF(BH24=1,BH15-BH29,0)</f>
        <v>35.9615242831228</v>
      </c>
      <c r="BI31" s="13" t="n">
        <f aca="false">IF(BI24=1,BI15-BI29,0)</f>
        <v>35.3595123186713</v>
      </c>
      <c r="BJ31" s="13" t="n">
        <f aca="false">IF(BJ24=1,BJ15-BJ29,0)</f>
        <v>42.132384784287</v>
      </c>
      <c r="BK31" s="13" t="n">
        <f aca="false">IF(BK24=1,BK15-BK29,0)</f>
        <v>36.6480633941918</v>
      </c>
      <c r="BL31" s="13" t="n">
        <f aca="false">IF(BL24=1,BL15-BL29,0)</f>
        <v>38.5939075053066</v>
      </c>
      <c r="BM31" s="13" t="n">
        <f aca="false">IF(BM24=1,BM15-BM29,0)</f>
        <v>55.1239159594428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1888</v>
      </c>
      <c r="E32" s="0" t="s">
        <v>151</v>
      </c>
      <c r="F32" s="17" t="n">
        <f aca="false">SUM(Funding!$J$69:$BJ$69)</f>
        <v>44.920443917829</v>
      </c>
    </row>
    <row r="33" customFormat="false" ht="15" hidden="false" customHeight="false" outlineLevel="0" collapsed="false">
      <c r="D33" s="0" t="s">
        <v>1889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204.178340702494</v>
      </c>
      <c r="P33" s="13" t="n">
        <f aca="false">IF(Time!P20&lt;Time!$F$12,0,IF(Time!P34=1,INDEX(Funding!$J$72:$BJ$72,1,Time!$F$14),O36))</f>
        <v>207.420021481593</v>
      </c>
      <c r="Q33" s="13" t="n">
        <f aca="false">IF(Time!Q20&lt;Time!$F$12,0,IF(Time!Q34=1,INDEX(Funding!$J$72:$BJ$72,1,Time!$F$14),P36))</f>
        <v>202.006411860413</v>
      </c>
      <c r="R33" s="13" t="n">
        <f aca="false">IF(Time!R20&lt;Time!$F$12,0,IF(Time!R34=1,INDEX(Funding!$J$72:$BJ$72,1,Time!$F$14),Q36))</f>
        <v>198.705416719496</v>
      </c>
      <c r="S33" s="13" t="n">
        <f aca="false">IF(Time!S20&lt;Time!$F$12,0,IF(Time!S34=1,INDEX(Funding!$J$72:$BJ$72,1,Time!$F$14),R36))</f>
        <v>194.527079608803</v>
      </c>
      <c r="T33" s="13" t="n">
        <f aca="false">IF(Time!T20&lt;Time!$F$12,0,IF(Time!T34=1,INDEX(Funding!$J$72:$BJ$72,1,Time!$F$14),S36))</f>
        <v>190.771111933212</v>
      </c>
      <c r="U33" s="13" t="n">
        <f aca="false">IF(Time!U20&lt;Time!$F$12,0,IF(Time!U34=1,INDEX(Funding!$J$72:$BJ$72,1,Time!$F$14),T36))</f>
        <v>186.22269021911</v>
      </c>
      <c r="V33" s="13" t="n">
        <f aca="false">IF(Time!V20&lt;Time!$F$12,0,IF(Time!V34=1,INDEX(Funding!$J$72:$BJ$72,1,Time!$F$14),U36))</f>
        <v>182.452577699344</v>
      </c>
      <c r="W33" s="13" t="n">
        <f aca="false">IF(Time!W20&lt;Time!$F$12,0,IF(Time!W34=1,INDEX(Funding!$J$72:$BJ$72,1,Time!$F$14),V36))</f>
        <v>178.638723035613</v>
      </c>
      <c r="X33" s="13" t="n">
        <f aca="false">IF(Time!X20&lt;Time!$F$12,0,IF(Time!X34=1,INDEX(Funding!$J$72:$BJ$72,1,Time!$F$14),W36))</f>
        <v>173.491011819487</v>
      </c>
      <c r="Y33" s="13" t="n">
        <f aca="false">IF(Time!Y20&lt;Time!$F$12,0,IF(Time!Y34=1,INDEX(Funding!$J$72:$BJ$72,1,Time!$F$14),X36))</f>
        <v>168.446715404266</v>
      </c>
      <c r="Z33" s="13" t="n">
        <f aca="false">IF(Time!Z20&lt;Time!$F$12,0,IF(Time!Z34=1,INDEX(Funding!$J$72:$BJ$72,1,Time!$F$14),Y36))</f>
        <v>163.573991424659</v>
      </c>
      <c r="AA33" s="13" t="n">
        <f aca="false">IF(Time!AA20&lt;Time!$F$12,0,IF(Time!AA34=1,INDEX(Funding!$J$72:$BJ$72,1,Time!$F$14),Z36))</f>
        <v>157.941819038675</v>
      </c>
      <c r="AB33" s="13" t="n">
        <f aca="false">IF(Time!AB20&lt;Time!$F$12,0,IF(Time!AB34=1,INDEX(Funding!$J$72:$BJ$72,1,Time!$F$14),AA36))</f>
        <v>159.046257434889</v>
      </c>
      <c r="AC33" s="13" t="n">
        <f aca="false">IF(Time!AC20&lt;Time!$F$12,0,IF(Time!AC34=1,INDEX(Funding!$J$72:$BJ$72,1,Time!$F$14),AB36))</f>
        <v>159.326868799611</v>
      </c>
      <c r="AD33" s="13" t="n">
        <f aca="false">IF(Time!AD20&lt;Time!$F$12,0,IF(Time!AD34=1,INDEX(Funding!$J$72:$BJ$72,1,Time!$F$14),AC36))</f>
        <v>160.101652966882</v>
      </c>
      <c r="AE33" s="13" t="n">
        <f aca="false">IF(Time!AE20&lt;Time!$F$12,0,IF(Time!AE34=1,INDEX(Funding!$J$72:$BJ$72,1,Time!$F$14),AD36))</f>
        <v>160.459341577087</v>
      </c>
      <c r="AF33" s="13" t="n">
        <f aca="false">IF(Time!AF20&lt;Time!$F$12,0,IF(Time!AF34=1,INDEX(Funding!$J$72:$BJ$72,1,Time!$F$14),AE36))</f>
        <v>160.238454867653</v>
      </c>
      <c r="AG33" s="13" t="n">
        <f aca="false">IF(Time!AG20&lt;Time!$F$12,0,IF(Time!AG34=1,INDEX(Funding!$J$72:$BJ$72,1,Time!$F$14),AF36))</f>
        <v>158.515624083094</v>
      </c>
      <c r="AH33" s="13" t="n">
        <f aca="false">IF(Time!AH20&lt;Time!$F$12,0,IF(Time!AH34=1,INDEX(Funding!$J$72:$BJ$72,1,Time!$F$14),AG36))</f>
        <v>155.874715683759</v>
      </c>
      <c r="AI33" s="13" t="n">
        <f aca="false">IF(Time!AI20&lt;Time!$F$12,0,IF(Time!AI34=1,INDEX(Funding!$J$72:$BJ$72,1,Time!$F$14),AH36))</f>
        <v>151.844363849347</v>
      </c>
      <c r="AJ33" s="13" t="n">
        <f aca="false">IF(Time!AJ20&lt;Time!$F$12,0,IF(Time!AJ34=1,INDEX(Funding!$J$72:$BJ$72,1,Time!$F$14),AI36))</f>
        <v>146.578277923909</v>
      </c>
      <c r="AK33" s="13" t="n">
        <f aca="false">IF(Time!AK20&lt;Time!$F$12,0,IF(Time!AK34=1,INDEX(Funding!$J$72:$BJ$72,1,Time!$F$14),AJ36))</f>
        <v>139.236681894323</v>
      </c>
      <c r="AL33" s="13" t="n">
        <f aca="false">IF(Time!AL20&lt;Time!$F$12,0,IF(Time!AL34=1,INDEX(Funding!$J$72:$BJ$72,1,Time!$F$14),AK36))</f>
        <v>118.579741171664</v>
      </c>
      <c r="AM33" s="13" t="n">
        <f aca="false">IF(Time!AM20&lt;Time!$F$12,0,IF(Time!AM34=1,INDEX(Funding!$J$72:$BJ$72,1,Time!$F$14),AL36))</f>
        <v>92.2206119116578</v>
      </c>
      <c r="AN33" s="13" t="n">
        <f aca="false">IF(Time!AN20&lt;Time!$F$12,0,IF(Time!AN34=1,INDEX(Funding!$J$72:$BJ$72,1,Time!$F$14),AM36))</f>
        <v>63.347690216314</v>
      </c>
      <c r="AO33" s="13" t="n">
        <f aca="false">IF(Time!AO20&lt;Time!$F$12,0,IF(Time!AO34=1,INDEX(Funding!$J$72:$BJ$72,1,Time!$F$14),AN36))</f>
        <v>38.9620117236698</v>
      </c>
      <c r="AP33" s="13" t="n">
        <f aca="false">IF(Time!AP20&lt;Time!$F$12,0,IF(Time!AP34=1,INDEX(Funding!$J$72:$BJ$72,1,Time!$F$14),AO36))</f>
        <v>0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1890</v>
      </c>
      <c r="E34" s="0" t="s">
        <v>151</v>
      </c>
      <c r="G34" s="13" t="n">
        <f aca="false">SUM(J34:BN34)</f>
        <v>190.89967546965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9.9334300698582</v>
      </c>
      <c r="Q34" s="13" t="n">
        <f aca="false">Q24*MIN(Q31,Tax!Q13)</f>
        <v>9.51643904641039</v>
      </c>
      <c r="R34" s="13" t="n">
        <f aca="false">R24*MIN(R31,Tax!R13)</f>
        <v>9.51608406645694</v>
      </c>
      <c r="S34" s="13" t="n">
        <f aca="false">S24*MIN(S31,Tax!S13)</f>
        <v>9.16409077773526</v>
      </c>
      <c r="T34" s="13" t="n">
        <f aca="false">T24*MIN(T31,Tax!T13)</f>
        <v>9.1361069495686</v>
      </c>
      <c r="U34" s="13" t="n">
        <f aca="false">U24*MIN(U31,Tax!U13)</f>
        <v>8.82134332572169</v>
      </c>
      <c r="V34" s="13" t="n">
        <f aca="false">V24*MIN(V31,Tax!V13)</f>
        <v>8.73772892653295</v>
      </c>
      <c r="W34" s="13" t="n">
        <f aca="false">W24*MIN(W31,Tax!W13)</f>
        <v>8.41559682903389</v>
      </c>
      <c r="X34" s="13" t="n">
        <f aca="false">X24*MIN(X31,Tax!X13)</f>
        <v>8.3085558537113</v>
      </c>
      <c r="Y34" s="13" t="n">
        <f aca="false">Y24*MIN(Y31,Tax!Y13)</f>
        <v>7.93545553801741</v>
      </c>
      <c r="Z34" s="13" t="n">
        <f aca="false">Z24*MIN(Z31,Tax!Z13)</f>
        <v>7.83362567151519</v>
      </c>
      <c r="AA34" s="13" t="n">
        <f aca="false">AA24*MIN(AA31,Tax!AA13)</f>
        <v>6.33613579110148</v>
      </c>
      <c r="AB34" s="13" t="n">
        <f aca="false">AB24*MIN(AB31,Tax!AB13)</f>
        <v>7.3361792653103</v>
      </c>
      <c r="AC34" s="13" t="n">
        <f aca="false">AC24*MIN(AC31,Tax!AC13)</f>
        <v>6.77250778216815</v>
      </c>
      <c r="AD34" s="13" t="n">
        <f aca="false">AD24*MIN(AD31,Tax!AD13)</f>
        <v>7.30964534557927</v>
      </c>
      <c r="AE34" s="13" t="n">
        <f aca="false">AE24*MIN(AE31,Tax!AE13)</f>
        <v>7.55917363950139</v>
      </c>
      <c r="AF34" s="13" t="n">
        <f aca="false">AF24*MIN(AF31,Tax!AF13)</f>
        <v>7.67388545503173</v>
      </c>
      <c r="AG34" s="13" t="n">
        <f aca="false">AG24*MIN(AG31,Tax!AG13)</f>
        <v>7.4676059071474</v>
      </c>
      <c r="AH34" s="13" t="n">
        <f aca="false">AH24*MIN(AH31,Tax!AH13)</f>
        <v>7.46490419219757</v>
      </c>
      <c r="AI34" s="13" t="n">
        <f aca="false">AI24*MIN(AI31,Tax!AI13)</f>
        <v>7.15332557914937</v>
      </c>
      <c r="AJ34" s="13" t="n">
        <f aca="false">AJ24*MIN(AJ31,Tax!AJ13)</f>
        <v>7.01969396742448</v>
      </c>
      <c r="AK34" s="13" t="n">
        <f aca="false">AK24*MIN(AK31,Tax!AK13)</f>
        <v>6.595622547816</v>
      </c>
      <c r="AL34" s="13" t="n">
        <f aca="false">AL24*MIN(AL31,Tax!AL13)</f>
        <v>5.67883253611146</v>
      </c>
      <c r="AM34" s="13" t="n">
        <f aca="false">AM24*MIN(AM31,Tax!AM13)</f>
        <v>4.34447512827659</v>
      </c>
      <c r="AN34" s="13" t="n">
        <f aca="false">AN24*MIN(AN31,Tax!AN13)</f>
        <v>3.03374691775663</v>
      </c>
      <c r="AO34" s="13" t="n">
        <f aca="false">AO24*MIN(AO31,Tax!AO13)</f>
        <v>1.83548436051644</v>
      </c>
      <c r="AP34" s="13" t="n">
        <f aca="false">AP24*MIN(AP31,Tax!AP13)</f>
        <v>0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1891</v>
      </c>
      <c r="E35" s="0" t="s">
        <v>151</v>
      </c>
      <c r="G35" s="13" t="n">
        <f aca="false">SUM(J35:BN35)</f>
        <v>209.937544020004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5.41360962118026</v>
      </c>
      <c r="Q35" s="13" t="n">
        <f aca="false">Q24*MIN(Q31-Q34,Q33+Tax!Q13-Q34)</f>
        <v>3.30099514091695</v>
      </c>
      <c r="R35" s="13" t="n">
        <f aca="false">R24*MIN(R31-R34,R33+Tax!R13-R34)</f>
        <v>4.1783371106924</v>
      </c>
      <c r="S35" s="13" t="n">
        <f aca="false">S24*MIN(S31-S34,S33+Tax!S13-S34)</f>
        <v>3.75596767559165</v>
      </c>
      <c r="T35" s="13" t="n">
        <f aca="false">T24*MIN(T31-T34,T33+Tax!T13-T34)</f>
        <v>4.54842171410122</v>
      </c>
      <c r="U35" s="13" t="n">
        <f aca="false">U24*MIN(U31-U34,U33+Tax!U13-U34)</f>
        <v>3.77011251976658</v>
      </c>
      <c r="V35" s="13" t="n">
        <f aca="false">V24*MIN(V31-V34,V33+Tax!V13-V34)</f>
        <v>3.81385466373049</v>
      </c>
      <c r="W35" s="13" t="n">
        <f aca="false">W24*MIN(W31-W34,W33+Tax!W13-W34)</f>
        <v>5.14771121612671</v>
      </c>
      <c r="X35" s="13" t="n">
        <f aca="false">X24*MIN(X31-X34,X33+Tax!X13-X34)</f>
        <v>5.04429641522061</v>
      </c>
      <c r="Y35" s="13" t="n">
        <f aca="false">Y24*MIN(Y31-Y34,Y33+Tax!Y13-Y34)</f>
        <v>4.8727239796066</v>
      </c>
      <c r="Z35" s="13" t="n">
        <f aca="false">Z24*MIN(Z31-Z34,Z33+Tax!Z13-Z34)</f>
        <v>5.63217238598399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0.220886709433309</v>
      </c>
      <c r="AF35" s="13" t="n">
        <f aca="false">AF24*MIN(AF31-AF34,AF33+Tax!AF13-AF34)</f>
        <v>1.7228307845594</v>
      </c>
      <c r="AG35" s="13" t="n">
        <f aca="false">AG24*MIN(AG31-AG34,AG33+Tax!AG13-AG34)</f>
        <v>2.6409083993346</v>
      </c>
      <c r="AH35" s="13" t="n">
        <f aca="false">AH24*MIN(AH31-AH34,AH33+Tax!AH13-AH34)</f>
        <v>4.03035183441242</v>
      </c>
      <c r="AI35" s="13" t="n">
        <f aca="false">AI24*MIN(AI31-AI34,AI33+Tax!AI13-AI34)</f>
        <v>5.26608592543759</v>
      </c>
      <c r="AJ35" s="13" t="n">
        <f aca="false">AJ24*MIN(AJ31-AJ34,AJ33+Tax!AJ13-AJ34)</f>
        <v>7.34159602958666</v>
      </c>
      <c r="AK35" s="13" t="n">
        <f aca="false">AK24*MIN(AK31-AK34,AK33+Tax!AK13-AK34)</f>
        <v>20.6569407226589</v>
      </c>
      <c r="AL35" s="13" t="n">
        <f aca="false">AL24*MIN(AL31-AL34,AL33+Tax!AL13-AL34)</f>
        <v>26.3591292600059</v>
      </c>
      <c r="AM35" s="13" t="n">
        <f aca="false">AM24*MIN(AM31-AM34,AM33+Tax!AM13-AM34)</f>
        <v>28.8729216953438</v>
      </c>
      <c r="AN35" s="13" t="n">
        <f aca="false">AN24*MIN(AN31-AN34,AN33+Tax!AN13-AN34)</f>
        <v>24.3856784926442</v>
      </c>
      <c r="AO35" s="13" t="n">
        <f aca="false">AO24*MIN(AO31-AO34,AO33+Tax!AO13-AO34)</f>
        <v>38.9620117236698</v>
      </c>
      <c r="AP35" s="13" t="n">
        <f aca="false">AP24*MIN(AP31-AP34,AP33+Tax!AP13-AP34)</f>
        <v>0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1892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207.420021481593</v>
      </c>
      <c r="P36" s="13" t="n">
        <f aca="false">P33+Tax!P13-P34-P35</f>
        <v>202.006411860413</v>
      </c>
      <c r="Q36" s="13" t="n">
        <f aca="false">Q33+Tax!Q13-Q34-Q35</f>
        <v>198.705416719496</v>
      </c>
      <c r="R36" s="13" t="n">
        <f aca="false">R33+Tax!R13-R34-R35</f>
        <v>194.527079608803</v>
      </c>
      <c r="S36" s="13" t="n">
        <f aca="false">S33+Tax!S13-S34-S35</f>
        <v>190.771111933212</v>
      </c>
      <c r="T36" s="13" t="n">
        <f aca="false">T33+Tax!T13-T34-T35</f>
        <v>186.22269021911</v>
      </c>
      <c r="U36" s="13" t="n">
        <f aca="false">U33+Tax!U13-U34-U35</f>
        <v>182.452577699344</v>
      </c>
      <c r="V36" s="13" t="n">
        <f aca="false">V33+Tax!V13-V34-V35</f>
        <v>178.638723035613</v>
      </c>
      <c r="W36" s="13" t="n">
        <f aca="false">W33+Tax!W13-W34-W35</f>
        <v>173.491011819487</v>
      </c>
      <c r="X36" s="13" t="n">
        <f aca="false">X33+Tax!X13-X34-X35</f>
        <v>168.446715404266</v>
      </c>
      <c r="Y36" s="13" t="n">
        <f aca="false">Y33+Tax!Y13-Y34-Y35</f>
        <v>163.573991424659</v>
      </c>
      <c r="Z36" s="13" t="n">
        <f aca="false">Z33+Tax!Z13-Z34-Z35</f>
        <v>157.941819038675</v>
      </c>
      <c r="AA36" s="13" t="n">
        <f aca="false">AA33+Tax!AA13-AA34-AA35</f>
        <v>159.046257434889</v>
      </c>
      <c r="AB36" s="13" t="n">
        <f aca="false">AB33+Tax!AB13-AB34-AB35</f>
        <v>159.326868799611</v>
      </c>
      <c r="AC36" s="13" t="n">
        <f aca="false">AC33+Tax!AC13-AC34-AC35</f>
        <v>160.101652966882</v>
      </c>
      <c r="AD36" s="13" t="n">
        <f aca="false">AD33+Tax!AD13-AD34-AD35</f>
        <v>160.459341577087</v>
      </c>
      <c r="AE36" s="13" t="n">
        <f aca="false">AE33+Tax!AE13-AE34-AE35</f>
        <v>160.238454867653</v>
      </c>
      <c r="AF36" s="13" t="n">
        <f aca="false">AF33+Tax!AF13-AF34-AF35</f>
        <v>158.515624083094</v>
      </c>
      <c r="AG36" s="13" t="n">
        <f aca="false">AG33+Tax!AG13-AG34-AG35</f>
        <v>155.874715683759</v>
      </c>
      <c r="AH36" s="13" t="n">
        <f aca="false">AH33+Tax!AH13-AH34-AH35</f>
        <v>151.844363849347</v>
      </c>
      <c r="AI36" s="13" t="n">
        <f aca="false">AI33+Tax!AI13-AI34-AI35</f>
        <v>146.578277923909</v>
      </c>
      <c r="AJ36" s="13" t="n">
        <f aca="false">AJ33+Tax!AJ13-AJ34-AJ35</f>
        <v>139.236681894323</v>
      </c>
      <c r="AK36" s="13" t="n">
        <f aca="false">AK33+Tax!AK13-AK34-AK35</f>
        <v>118.579741171664</v>
      </c>
      <c r="AL36" s="13" t="n">
        <f aca="false">AL33+Tax!AL13-AL34-AL35</f>
        <v>92.2206119116578</v>
      </c>
      <c r="AM36" s="13" t="n">
        <f aca="false">AM33+Tax!AM13-AM34-AM35</f>
        <v>63.347690216314</v>
      </c>
      <c r="AN36" s="13" t="n">
        <f aca="false">AN33+Tax!AN13-AN34-AN35</f>
        <v>38.9620117236698</v>
      </c>
      <c r="AO36" s="13" t="n">
        <f aca="false">AO33+Tax!AO13-AO34-AO35</f>
        <v>0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1893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9.8310550474566</v>
      </c>
      <c r="P37" s="13" t="n">
        <f aca="false">MAX(0,O43+Financials!P14)</f>
        <v>17.4844197964498</v>
      </c>
      <c r="Q37" s="13" t="n">
        <f aca="false">MAX(0,P43+Financials!Q14)</f>
        <v>26.4669787284524</v>
      </c>
      <c r="R37" s="13" t="n">
        <f aca="false">MAX(0,Q43+Financials!R14)</f>
        <v>35.8215551891522</v>
      </c>
      <c r="S37" s="13" t="n">
        <f aca="false">MAX(0,R43+Financials!S14)</f>
        <v>46.4461586238426</v>
      </c>
      <c r="T37" s="13" t="n">
        <f aca="false">MAX(0,S43+Financials!T14)</f>
        <v>57.5256318898185</v>
      </c>
      <c r="U37" s="13" t="n">
        <f aca="false">MAX(0,T43+Financials!U14)</f>
        <v>69.6379907532318</v>
      </c>
      <c r="V37" s="13" t="n">
        <f aca="false">MAX(0,U43+Financials!V14)</f>
        <v>78.4249985550905</v>
      </c>
      <c r="W37" s="13" t="n">
        <f aca="false">MAX(0,V43+Financials!W14)</f>
        <v>91.7930929630061</v>
      </c>
      <c r="X37" s="13" t="n">
        <f aca="false">MAX(0,W43+Financials!X14)</f>
        <v>106.716769008522</v>
      </c>
      <c r="Y37" s="13" t="n">
        <f aca="false">MAX(0,X43+Financials!Y14)</f>
        <v>119.603954569435</v>
      </c>
      <c r="Z37" s="13" t="n">
        <f aca="false">MAX(0,Y43+Financials!Z14)</f>
        <v>127.238331747244</v>
      </c>
      <c r="AA37" s="13" t="n">
        <f aca="false">MAX(0,Z43+Financials!AA14)</f>
        <v>135.885696568296</v>
      </c>
      <c r="AB37" s="13" t="n">
        <f aca="false">MAX(0,AA43+Financials!AB14)</f>
        <v>145.082923840084</v>
      </c>
      <c r="AC37" s="13" t="n">
        <f aca="false">MAX(0,AB43+Financials!AC14)</f>
        <v>154.897694944927</v>
      </c>
      <c r="AD37" s="13" t="n">
        <f aca="false">MAX(0,AC43+Financials!AD14)</f>
        <v>154.649309716926</v>
      </c>
      <c r="AE37" s="13" t="n">
        <f aca="false">MAX(0,AD43+Financials!AE14)</f>
        <v>166.01618122004</v>
      </c>
      <c r="AF37" s="13" t="n">
        <f aca="false">MAX(0,AE43+Financials!AF14)</f>
        <v>178.770308488836</v>
      </c>
      <c r="AG37" s="13" t="n">
        <f aca="false">MAX(0,AF43+Financials!AG14)</f>
        <v>192.591670427452</v>
      </c>
      <c r="AH37" s="13" t="n">
        <f aca="false">MAX(0,AG43+Financials!AH14)</f>
        <v>207.377316389801</v>
      </c>
      <c r="AI37" s="13" t="n">
        <f aca="false">MAX(0,AH43+Financials!AI14)</f>
        <v>223.545070267055</v>
      </c>
      <c r="AJ37" s="13" t="n">
        <f aca="false">MAX(0,AI43+Financials!AJ14)</f>
        <v>240.831883276345</v>
      </c>
      <c r="AK37" s="13" t="n">
        <f aca="false">MAX(0,AJ43+Financials!AK14)</f>
        <v>259.455044094536</v>
      </c>
      <c r="AL37" s="13" t="n">
        <f aca="false">MAX(0,AK43+Financials!AL14)</f>
        <v>276.217343571698</v>
      </c>
      <c r="AM37" s="13" t="n">
        <f aca="false">MAX(0,AL43+Financials!AM14)</f>
        <v>297.0721847122</v>
      </c>
      <c r="AN37" s="13" t="n">
        <f aca="false">MAX(0,AM43+Financials!AN14)</f>
        <v>320.323009190557</v>
      </c>
      <c r="AO37" s="13" t="n">
        <f aca="false">MAX(0,AN43+Financials!AO14)</f>
        <v>344.873382663217</v>
      </c>
      <c r="AP37" s="13" t="n">
        <f aca="false">MAX(0,AO43+Financials!AP14)</f>
        <v>369.990440771824</v>
      </c>
      <c r="AQ37" s="13" t="n">
        <f aca="false">MAX(0,AP43+Financials!AQ14)</f>
        <v>354.523185514881</v>
      </c>
      <c r="AR37" s="13" t="n">
        <f aca="false">MAX(0,AQ43+Financials!AR14)</f>
        <v>339.555611659196</v>
      </c>
      <c r="AS37" s="13" t="n">
        <f aca="false">MAX(0,AR43+Financials!AS14)</f>
        <v>323.683407391979</v>
      </c>
      <c r="AT37" s="13" t="n">
        <f aca="false">MAX(0,AS43+Financials!AT14)</f>
        <v>296.656192026514</v>
      </c>
      <c r="AU37" s="13" t="n">
        <f aca="false">MAX(0,AT43+Financials!AU14)</f>
        <v>274.959621032853</v>
      </c>
      <c r="AV37" s="13" t="n">
        <f aca="false">MAX(0,AU43+Financials!AV14)</f>
        <v>259.377900544992</v>
      </c>
      <c r="AW37" s="13" t="n">
        <f aca="false">MAX(0,AV43+Financials!AW14)</f>
        <v>242.680462060112</v>
      </c>
      <c r="AX37" s="13" t="n">
        <f aca="false">MAX(0,AW43+Financials!AX14)</f>
        <v>225.961553227533</v>
      </c>
      <c r="AY37" s="13" t="n">
        <f aca="false">MAX(0,AX43+Financials!AY14)</f>
        <v>208.740753991001</v>
      </c>
      <c r="AZ37" s="13" t="n">
        <f aca="false">MAX(0,AY43+Financials!AZ14)</f>
        <v>192.034379336394</v>
      </c>
      <c r="BA37" s="13" t="n">
        <f aca="false">MAX(0,AZ43+Financials!BA14)</f>
        <v>174.709702295926</v>
      </c>
      <c r="BB37" s="13" t="n">
        <f aca="false">MAX(0,BA43+Financials!BB14)</f>
        <v>154.698841303734</v>
      </c>
      <c r="BC37" s="13" t="n">
        <f aca="false">MAX(0,BB43+Financials!BC14)</f>
        <v>137.598707128814</v>
      </c>
      <c r="BD37" s="13" t="n">
        <f aca="false">MAX(0,BC43+Financials!BD14)</f>
        <v>124.643170981103</v>
      </c>
      <c r="BE37" s="13" t="n">
        <f aca="false">MAX(0,BD43+Financials!BE14)</f>
        <v>117.202395885147</v>
      </c>
      <c r="BF37" s="13" t="n">
        <f aca="false">MAX(0,BE43+Financials!BF14)</f>
        <v>110.036006495811</v>
      </c>
      <c r="BG37" s="13" t="n">
        <f aca="false">MAX(0,BF43+Financials!BG14)</f>
        <v>102.364471047576</v>
      </c>
      <c r="BH37" s="13" t="n">
        <f aca="false">MAX(0,BG43+Financials!BH14)</f>
        <v>95.2404613466096</v>
      </c>
      <c r="BI37" s="13" t="n">
        <f aca="false">MAX(0,BH43+Financials!BI14)</f>
        <v>87.1821502144758</v>
      </c>
      <c r="BJ37" s="13" t="n">
        <f aca="false">MAX(0,BI43+Financials!BJ14)</f>
        <v>65.9854285585487</v>
      </c>
      <c r="BK37" s="13" t="n">
        <f aca="false">MAX(0,BJ43+Financials!BK14)</f>
        <v>50.931752332199</v>
      </c>
      <c r="BL37" s="13" t="n">
        <f aca="false">MAX(0,BK43+Financials!BL14)</f>
        <v>42.9520603794754</v>
      </c>
      <c r="BM37" s="13" t="n">
        <f aca="false">MAX(0,BL43+Financials!BM14)</f>
        <v>10.2034720416138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1894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1.13387045763407</v>
      </c>
      <c r="AP38" s="13" t="n">
        <f aca="false">AP24*MIN(AP31-AP34-AP35,AP37)</f>
        <v>41.8536383389252</v>
      </c>
      <c r="AQ38" s="13" t="n">
        <f aca="false">AQ24*MIN(AQ31-AQ34-AQ35,AQ37)</f>
        <v>41.4244393119057</v>
      </c>
      <c r="AR38" s="13" t="n">
        <f aca="false">AR24*MIN(AR31-AR34-AR35,AR37)</f>
        <v>42.0423434696002</v>
      </c>
      <c r="AS38" s="13" t="n">
        <f aca="false">AS24*MIN(AS31-AS34-AS35,AS37)</f>
        <v>41.4761529871317</v>
      </c>
      <c r="AT38" s="13" t="n">
        <f aca="false">AT24*MIN(AT31-AT34-AT35,AT37)</f>
        <v>47.0884082336434</v>
      </c>
      <c r="AU38" s="13" t="n">
        <f aca="false">AU24*MIN(AU31-AU34-AU35,AU37)</f>
        <v>42.4462424901245</v>
      </c>
      <c r="AV38" s="13" t="n">
        <f aca="false">AV24*MIN(AV31-AV34-AV35,AV37)</f>
        <v>43.6813718528973</v>
      </c>
      <c r="AW38" s="13" t="n">
        <f aca="false">AW24*MIN(AW31-AW34-AW35,AW37)</f>
        <v>43.7883002909771</v>
      </c>
      <c r="AX38" s="13" t="n">
        <f aca="false">AX24*MIN(AX31-AX34-AX35,AX37)</f>
        <v>44.4335074848987</v>
      </c>
      <c r="AY38" s="13" t="n">
        <f aca="false">AY24*MIN(AY31-AY34-AY35,AY37)</f>
        <v>43.9951746603934</v>
      </c>
      <c r="AZ38" s="13" t="n">
        <f aca="false">AZ24*MIN(AZ31-AZ34-AZ35,AZ37)</f>
        <v>44.6356353924781</v>
      </c>
      <c r="BA38" s="13" t="n">
        <f aca="false">BA24*MIN(BA31-BA34-BA35,BA37)</f>
        <v>43.7532132329812</v>
      </c>
      <c r="BB38" s="13" t="n">
        <f aca="false">BB24*MIN(BB31-BB34-BB35,BB37)</f>
        <v>44.0695516003769</v>
      </c>
      <c r="BC38" s="13" t="n">
        <f aca="false">BC24*MIN(BC31-BC34-BC35,BC37)</f>
        <v>40.6859220208602</v>
      </c>
      <c r="BD38" s="13" t="n">
        <f aca="false">BD24*MIN(BD31-BD34-BD35,BD37)</f>
        <v>35.3003556173236</v>
      </c>
      <c r="BE38" s="13" t="n">
        <f aca="false">BE24*MIN(BE31-BE34-BE35,BE37)</f>
        <v>35.1224502860784</v>
      </c>
      <c r="BF38" s="13" t="n">
        <f aca="false">BF24*MIN(BF31-BF34-BF35,BF37)</f>
        <v>35.7793821724196</v>
      </c>
      <c r="BG38" s="13" t="n">
        <f aca="false">BG24*MIN(BG31-BG34-BG35,BG37)</f>
        <v>35.3140043928254</v>
      </c>
      <c r="BH38" s="13" t="n">
        <f aca="false">BH24*MIN(BH31-BH34-BH35,BH37)</f>
        <v>35.9615242831228</v>
      </c>
      <c r="BI38" s="13" t="n">
        <f aca="false">BI24*MIN(BI31-BI34-BI35,BI37)</f>
        <v>35.3595123186713</v>
      </c>
      <c r="BJ38" s="13" t="n">
        <f aca="false">BJ24*MIN(BJ31-BJ34-BJ35,BJ37)</f>
        <v>42.132384784287</v>
      </c>
      <c r="BK38" s="13" t="n">
        <f aca="false">BK24*MIN(BK31-BK34-BK35,BK37)</f>
        <v>36.6480633941918</v>
      </c>
      <c r="BL38" s="13" t="n">
        <f aca="false">BL24*MIN(BL31-BL34-BL35,BL37)</f>
        <v>38.5939075053066</v>
      </c>
      <c r="BM38" s="13" t="n">
        <f aca="false">BM24*MIN(BM31-BM34-BM35,BM37)</f>
        <v>10.2034720416138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1895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44.920443917829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1896</v>
      </c>
      <c r="E40" s="0" t="s">
        <v>151</v>
      </c>
      <c r="G40" s="13" t="n">
        <f aca="false">SUM(J40:BN40)</f>
        <v>44.920443917829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44.920443917829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1897</v>
      </c>
      <c r="E41" s="0" t="s">
        <v>151</v>
      </c>
      <c r="G41" s="13" t="n">
        <f aca="false">SUM(J41:BN41)</f>
        <v>991.843272538497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1.13387045763407</v>
      </c>
      <c r="AP41" s="13" t="n">
        <f aca="false">AP38+AP40</f>
        <v>41.8536383389252</v>
      </c>
      <c r="AQ41" s="13" t="n">
        <f aca="false">AQ38+AQ40</f>
        <v>41.4244393119057</v>
      </c>
      <c r="AR41" s="13" t="n">
        <f aca="false">AR38+AR40</f>
        <v>42.0423434696002</v>
      </c>
      <c r="AS41" s="13" t="n">
        <f aca="false">AS38+AS40</f>
        <v>41.4761529871317</v>
      </c>
      <c r="AT41" s="13" t="n">
        <f aca="false">AT38+AT40</f>
        <v>47.0884082336434</v>
      </c>
      <c r="AU41" s="13" t="n">
        <f aca="false">AU38+AU40</f>
        <v>42.4462424901245</v>
      </c>
      <c r="AV41" s="13" t="n">
        <f aca="false">AV38+AV40</f>
        <v>43.6813718528973</v>
      </c>
      <c r="AW41" s="13" t="n">
        <f aca="false">AW38+AW40</f>
        <v>43.7883002909771</v>
      </c>
      <c r="AX41" s="13" t="n">
        <f aca="false">AX38+AX40</f>
        <v>44.4335074848987</v>
      </c>
      <c r="AY41" s="13" t="n">
        <f aca="false">AY38+AY40</f>
        <v>43.9951746603934</v>
      </c>
      <c r="AZ41" s="13" t="n">
        <f aca="false">AZ38+AZ40</f>
        <v>44.6356353924781</v>
      </c>
      <c r="BA41" s="13" t="n">
        <f aca="false">BA38+BA40</f>
        <v>43.7532132329812</v>
      </c>
      <c r="BB41" s="13" t="n">
        <f aca="false">BB38+BB40</f>
        <v>44.0695516003769</v>
      </c>
      <c r="BC41" s="13" t="n">
        <f aca="false">BC38+BC40</f>
        <v>40.6859220208602</v>
      </c>
      <c r="BD41" s="13" t="n">
        <f aca="false">BD38+BD40</f>
        <v>35.3003556173236</v>
      </c>
      <c r="BE41" s="13" t="n">
        <f aca="false">BE38+BE40</f>
        <v>35.1224502860784</v>
      </c>
      <c r="BF41" s="13" t="n">
        <f aca="false">BF38+BF40</f>
        <v>35.7793821724196</v>
      </c>
      <c r="BG41" s="13" t="n">
        <f aca="false">BG38+BG40</f>
        <v>35.3140043928254</v>
      </c>
      <c r="BH41" s="13" t="n">
        <f aca="false">BH38+BH40</f>
        <v>35.9615242831228</v>
      </c>
      <c r="BI41" s="13" t="n">
        <f aca="false">BI38+BI40</f>
        <v>35.3595123186713</v>
      </c>
      <c r="BJ41" s="13" t="n">
        <f aca="false">BJ38+BJ40</f>
        <v>42.132384784287</v>
      </c>
      <c r="BK41" s="13" t="n">
        <f aca="false">BK38+BK40</f>
        <v>36.6480633941918</v>
      </c>
      <c r="BL41" s="13" t="n">
        <f aca="false">BL38+BL40</f>
        <v>38.5939075053066</v>
      </c>
      <c r="BM41" s="13" t="n">
        <f aca="false">BM38+BM40</f>
        <v>55.1239159594428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1898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1899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9.8310550474566</v>
      </c>
      <c r="P43" s="13" t="n">
        <f aca="false">IF(Time!P20&lt;Time!$F$12,0,O43+Financials!P14-P41)</f>
        <v>17.4844197964498</v>
      </c>
      <c r="Q43" s="13" t="n">
        <f aca="false">IF(Time!Q20&lt;Time!$F$12,0,P43+Financials!Q14-Q41)</f>
        <v>26.4669787284524</v>
      </c>
      <c r="R43" s="13" t="n">
        <f aca="false">IF(Time!R20&lt;Time!$F$12,0,Q43+Financials!R14-R41)</f>
        <v>35.8215551891522</v>
      </c>
      <c r="S43" s="13" t="n">
        <f aca="false">IF(Time!S20&lt;Time!$F$12,0,R43+Financials!S14-S41)</f>
        <v>46.4461586238426</v>
      </c>
      <c r="T43" s="13" t="n">
        <f aca="false">IF(Time!T20&lt;Time!$F$12,0,S43+Financials!T14-T41)</f>
        <v>57.5256318898185</v>
      </c>
      <c r="U43" s="13" t="n">
        <f aca="false">IF(Time!U20&lt;Time!$F$12,0,T43+Financials!U14-U41)</f>
        <v>69.6379907532318</v>
      </c>
      <c r="V43" s="13" t="n">
        <f aca="false">IF(Time!V20&lt;Time!$F$12,0,U43+Financials!V14-V41)</f>
        <v>78.4249985550905</v>
      </c>
      <c r="W43" s="13" t="n">
        <f aca="false">IF(Time!W20&lt;Time!$F$12,0,V43+Financials!W14-W41)</f>
        <v>91.7930929630061</v>
      </c>
      <c r="X43" s="13" t="n">
        <f aca="false">IF(Time!X20&lt;Time!$F$12,0,W43+Financials!X14-X41)</f>
        <v>106.716769008522</v>
      </c>
      <c r="Y43" s="13" t="n">
        <f aca="false">IF(Time!Y20&lt;Time!$F$12,0,X43+Financials!Y14-Y41)</f>
        <v>119.603954569435</v>
      </c>
      <c r="Z43" s="13" t="n">
        <f aca="false">IF(Time!Z20&lt;Time!$F$12,0,Y43+Financials!Z14-Z41)</f>
        <v>127.238331747244</v>
      </c>
      <c r="AA43" s="13" t="n">
        <f aca="false">IF(Time!AA20&lt;Time!$F$12,0,Z43+Financials!AA14-AA41)</f>
        <v>135.885696568296</v>
      </c>
      <c r="AB43" s="13" t="n">
        <f aca="false">IF(Time!AB20&lt;Time!$F$12,0,AA43+Financials!AB14-AB41)</f>
        <v>145.082923840084</v>
      </c>
      <c r="AC43" s="13" t="n">
        <f aca="false">IF(Time!AC20&lt;Time!$F$12,0,AB43+Financials!AC14-AC41)</f>
        <v>154.897694944927</v>
      </c>
      <c r="AD43" s="13" t="n">
        <f aca="false">IF(Time!AD20&lt;Time!$F$12,0,AC43+Financials!AD14-AD41)</f>
        <v>154.649309716926</v>
      </c>
      <c r="AE43" s="13" t="n">
        <f aca="false">IF(Time!AE20&lt;Time!$F$12,0,AD43+Financials!AE14-AE41)</f>
        <v>166.01618122004</v>
      </c>
      <c r="AF43" s="13" t="n">
        <f aca="false">IF(Time!AF20&lt;Time!$F$12,0,AE43+Financials!AF14-AF41)</f>
        <v>178.770308488836</v>
      </c>
      <c r="AG43" s="13" t="n">
        <f aca="false">IF(Time!AG20&lt;Time!$F$12,0,AF43+Financials!AG14-AG41)</f>
        <v>192.591670427452</v>
      </c>
      <c r="AH43" s="13" t="n">
        <f aca="false">IF(Time!AH20&lt;Time!$F$12,0,AG43+Financials!AH14-AH41)</f>
        <v>207.377316389801</v>
      </c>
      <c r="AI43" s="13" t="n">
        <f aca="false">IF(Time!AI20&lt;Time!$F$12,0,AH43+Financials!AI14-AI41)</f>
        <v>223.545070267055</v>
      </c>
      <c r="AJ43" s="13" t="n">
        <f aca="false">IF(Time!AJ20&lt;Time!$F$12,0,AI43+Financials!AJ14-AJ41)</f>
        <v>240.831883276345</v>
      </c>
      <c r="AK43" s="13" t="n">
        <f aca="false">IF(Time!AK20&lt;Time!$F$12,0,AJ43+Financials!AK14-AK41)</f>
        <v>259.455044094536</v>
      </c>
      <c r="AL43" s="13" t="n">
        <f aca="false">IF(Time!AL20&lt;Time!$F$12,0,AK43+Financials!AL14-AL41)</f>
        <v>276.217343571698</v>
      </c>
      <c r="AM43" s="13" t="n">
        <f aca="false">IF(Time!AM20&lt;Time!$F$12,0,AL43+Financials!AM14-AM41)</f>
        <v>297.0721847122</v>
      </c>
      <c r="AN43" s="13" t="n">
        <f aca="false">IF(Time!AN20&lt;Time!$F$12,0,AM43+Financials!AN14-AN41)</f>
        <v>320.323009190557</v>
      </c>
      <c r="AO43" s="13" t="n">
        <f aca="false">IF(Time!AO20&lt;Time!$F$12,0,AN43+Financials!AO14-AO41)</f>
        <v>343.739512205583</v>
      </c>
      <c r="AP43" s="13" t="n">
        <f aca="false">IF(Time!AP20&lt;Time!$F$12,0,AO43+Financials!AP14-AP41)</f>
        <v>328.136802432899</v>
      </c>
      <c r="AQ43" s="13" t="n">
        <f aca="false">IF(Time!AQ20&lt;Time!$F$12,0,AP43+Financials!AQ14-AQ41)</f>
        <v>313.098746202975</v>
      </c>
      <c r="AR43" s="13" t="n">
        <f aca="false">IF(Time!AR20&lt;Time!$F$12,0,AQ43+Financials!AR14-AR41)</f>
        <v>297.513268189595</v>
      </c>
      <c r="AS43" s="13" t="n">
        <f aca="false">IF(Time!AS20&lt;Time!$F$12,0,AR43+Financials!AS14-AS41)</f>
        <v>282.207254404847</v>
      </c>
      <c r="AT43" s="13" t="n">
        <f aca="false">IF(Time!AT20&lt;Time!$F$12,0,AS43+Financials!AT14-AT41)</f>
        <v>249.567783792871</v>
      </c>
      <c r="AU43" s="13" t="n">
        <f aca="false">IF(Time!AU20&lt;Time!$F$12,0,AT43+Financials!AU14-AU41)</f>
        <v>232.513378542728</v>
      </c>
      <c r="AV43" s="13" t="n">
        <f aca="false">IF(Time!AV20&lt;Time!$F$12,0,AU43+Financials!AV14-AV41)</f>
        <v>215.696528692095</v>
      </c>
      <c r="AW43" s="13" t="n">
        <f aca="false">IF(Time!AW20&lt;Time!$F$12,0,AV43+Financials!AW14-AW41)</f>
        <v>198.892161769134</v>
      </c>
      <c r="AX43" s="13" t="n">
        <f aca="false">IF(Time!AX20&lt;Time!$F$12,0,AW43+Financials!AX14-AX41)</f>
        <v>181.528045742634</v>
      </c>
      <c r="AY43" s="13" t="n">
        <f aca="false">IF(Time!AY20&lt;Time!$F$12,0,AX43+Financials!AY14-AY41)</f>
        <v>164.745579330607</v>
      </c>
      <c r="AZ43" s="13" t="n">
        <f aca="false">IF(Time!AZ20&lt;Time!$F$12,0,AY43+Financials!AZ14-AZ41)</f>
        <v>147.398743943916</v>
      </c>
      <c r="BA43" s="13" t="n">
        <f aca="false">IF(Time!BA20&lt;Time!$F$12,0,AZ43+Financials!BA14-BA41)</f>
        <v>130.956489062945</v>
      </c>
      <c r="BB43" s="13" t="n">
        <f aca="false">IF(Time!BB20&lt;Time!$F$12,0,BA43+Financials!BB14-BB41)</f>
        <v>110.629289703357</v>
      </c>
      <c r="BC43" s="13" t="n">
        <f aca="false">IF(Time!BC20&lt;Time!$F$12,0,BB43+Financials!BC14-BC41)</f>
        <v>96.9127851079534</v>
      </c>
      <c r="BD43" s="13" t="n">
        <f aca="false">IF(Time!BD20&lt;Time!$F$12,0,BC43+Financials!BD14-BD41)</f>
        <v>89.3428153637797</v>
      </c>
      <c r="BE43" s="13" t="n">
        <f aca="false">IF(Time!BE20&lt;Time!$F$12,0,BD43+Financials!BE14-BE41)</f>
        <v>82.0799455990687</v>
      </c>
      <c r="BF43" s="13" t="n">
        <f aca="false">IF(Time!BF20&lt;Time!$F$12,0,BE43+Financials!BF14-BF41)</f>
        <v>74.256624323391</v>
      </c>
      <c r="BG43" s="13" t="n">
        <f aca="false">IF(Time!BG20&lt;Time!$F$12,0,BF43+Financials!BG14-BG41)</f>
        <v>67.0504666547503</v>
      </c>
      <c r="BH43" s="13" t="n">
        <f aca="false">IF(Time!BH20&lt;Time!$F$12,0,BG43+Financials!BH14-BH41)</f>
        <v>59.2789370634868</v>
      </c>
      <c r="BI43" s="13" t="n">
        <f aca="false">IF(Time!BI20&lt;Time!$F$12,0,BH43+Financials!BI14-BI41)</f>
        <v>51.8226378958045</v>
      </c>
      <c r="BJ43" s="13" t="n">
        <f aca="false">IF(Time!BJ20&lt;Time!$F$12,0,BI43+Financials!BJ14-BJ41)</f>
        <v>23.8530437742617</v>
      </c>
      <c r="BK43" s="13" t="n">
        <f aca="false">IF(Time!BK20&lt;Time!$F$12,0,BJ43+Financials!BK14-BK41)</f>
        <v>14.2836889380073</v>
      </c>
      <c r="BL43" s="13" t="n">
        <f aca="false">IF(Time!BL20&lt;Time!$F$12,0,BK43+Financials!BL14-BL41)</f>
        <v>4.35815287416884</v>
      </c>
      <c r="BM43" s="13" t="n">
        <f aca="false">IF(Time!BM20&lt;Time!$F$12,0,BL43+Financials!BM14-BM41)</f>
        <v>-44.920443917829</v>
      </c>
      <c r="BN43" s="13" t="n">
        <f aca="false">IF(Time!BN20&lt;Time!$F$12,0,BM43+Financials!BN14-BN41)</f>
        <v>-44.920443917829</v>
      </c>
    </row>
    <row r="44" customFormat="false" ht="15" hidden="false" customHeight="false" outlineLevel="0" collapsed="false">
      <c r="D44" s="0" t="s">
        <v>1900</v>
      </c>
      <c r="E44" s="0" t="s">
        <v>151</v>
      </c>
      <c r="G44" s="13" t="n">
        <f aca="false">SUM(J44:BN44)</f>
        <v>1392.68049202815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15.3470396910385</v>
      </c>
      <c r="Q44" s="13" t="n">
        <f aca="false">Q34+Q35+Q41</f>
        <v>12.8174341873273</v>
      </c>
      <c r="R44" s="13" t="n">
        <f aca="false">R34+R35+R41</f>
        <v>13.6944211771493</v>
      </c>
      <c r="S44" s="13" t="n">
        <f aca="false">S34+S35+S41</f>
        <v>12.9200584533269</v>
      </c>
      <c r="T44" s="13" t="n">
        <f aca="false">T34+T35+T41</f>
        <v>13.6845286636698</v>
      </c>
      <c r="U44" s="13" t="n">
        <f aca="false">U34+U35+U41</f>
        <v>12.5914558454883</v>
      </c>
      <c r="V44" s="13" t="n">
        <f aca="false">V34+V35+V41</f>
        <v>12.5515835902634</v>
      </c>
      <c r="W44" s="13" t="n">
        <f aca="false">W34+W35+W41</f>
        <v>13.5633080451606</v>
      </c>
      <c r="X44" s="13" t="n">
        <f aca="false">X34+X35+X41</f>
        <v>13.3528522689319</v>
      </c>
      <c r="Y44" s="13" t="n">
        <f aca="false">Y34+Y35+Y41</f>
        <v>12.808179517624</v>
      </c>
      <c r="Z44" s="13" t="n">
        <f aca="false">Z34+Z35+Z41</f>
        <v>13.4657980574992</v>
      </c>
      <c r="AA44" s="13" t="n">
        <f aca="false">AA34+AA35+AA41</f>
        <v>6.33613579110148</v>
      </c>
      <c r="AB44" s="13" t="n">
        <f aca="false">AB34+AB35+AB41</f>
        <v>7.3361792653103</v>
      </c>
      <c r="AC44" s="13" t="n">
        <f aca="false">AC34+AC35+AC41</f>
        <v>6.77250778216815</v>
      </c>
      <c r="AD44" s="13" t="n">
        <f aca="false">AD34+AD35+AD41</f>
        <v>7.30964534557927</v>
      </c>
      <c r="AE44" s="13" t="n">
        <f aca="false">AE34+AE35+AE41</f>
        <v>7.78006034893469</v>
      </c>
      <c r="AF44" s="13" t="n">
        <f aca="false">AF34+AF35+AF41</f>
        <v>9.39671623959113</v>
      </c>
      <c r="AG44" s="13" t="n">
        <f aca="false">AG34+AG35+AG41</f>
        <v>10.108514306482</v>
      </c>
      <c r="AH44" s="13" t="n">
        <f aca="false">AH34+AH35+AH41</f>
        <v>11.49525602661</v>
      </c>
      <c r="AI44" s="13" t="n">
        <f aca="false">AI34+AI35+AI41</f>
        <v>12.419411504587</v>
      </c>
      <c r="AJ44" s="13" t="n">
        <f aca="false">AJ34+AJ35+AJ41</f>
        <v>14.3612899970111</v>
      </c>
      <c r="AK44" s="13" t="n">
        <f aca="false">AK34+AK35+AK41</f>
        <v>27.2525632704749</v>
      </c>
      <c r="AL44" s="13" t="n">
        <f aca="false">AL34+AL35+AL41</f>
        <v>32.0379617961174</v>
      </c>
      <c r="AM44" s="13" t="n">
        <f aca="false">AM34+AM35+AM41</f>
        <v>33.2173968236204</v>
      </c>
      <c r="AN44" s="13" t="n">
        <f aca="false">AN34+AN35+AN41</f>
        <v>27.4194254104008</v>
      </c>
      <c r="AO44" s="13" t="n">
        <f aca="false">AO34+AO35+AO41</f>
        <v>41.9313665418203</v>
      </c>
      <c r="AP44" s="13" t="n">
        <f aca="false">AP34+AP35+AP41</f>
        <v>41.8536383389252</v>
      </c>
      <c r="AQ44" s="13" t="n">
        <f aca="false">AQ34+AQ35+AQ41</f>
        <v>41.4244393119057</v>
      </c>
      <c r="AR44" s="13" t="n">
        <f aca="false">AR34+AR35+AR41</f>
        <v>42.0423434696002</v>
      </c>
      <c r="AS44" s="13" t="n">
        <f aca="false">AS34+AS35+AS41</f>
        <v>41.4761529871317</v>
      </c>
      <c r="AT44" s="13" t="n">
        <f aca="false">AT34+AT35+AT41</f>
        <v>47.0884082336434</v>
      </c>
      <c r="AU44" s="13" t="n">
        <f aca="false">AU34+AU35+AU41</f>
        <v>42.4462424901245</v>
      </c>
      <c r="AV44" s="13" t="n">
        <f aca="false">AV34+AV35+AV41</f>
        <v>43.6813718528973</v>
      </c>
      <c r="AW44" s="13" t="n">
        <f aca="false">AW34+AW35+AW41</f>
        <v>43.7883002909771</v>
      </c>
      <c r="AX44" s="13" t="n">
        <f aca="false">AX34+AX35+AX41</f>
        <v>44.4335074848987</v>
      </c>
      <c r="AY44" s="13" t="n">
        <f aca="false">AY34+AY35+AY41</f>
        <v>43.9951746603934</v>
      </c>
      <c r="AZ44" s="13" t="n">
        <f aca="false">AZ34+AZ35+AZ41</f>
        <v>44.6356353924781</v>
      </c>
      <c r="BA44" s="13" t="n">
        <f aca="false">BA34+BA35+BA41</f>
        <v>43.7532132329812</v>
      </c>
      <c r="BB44" s="13" t="n">
        <f aca="false">BB34+BB35+BB41</f>
        <v>44.0695516003769</v>
      </c>
      <c r="BC44" s="13" t="n">
        <f aca="false">BC34+BC35+BC41</f>
        <v>40.6859220208602</v>
      </c>
      <c r="BD44" s="13" t="n">
        <f aca="false">BD34+BD35+BD41</f>
        <v>35.3003556173236</v>
      </c>
      <c r="BE44" s="13" t="n">
        <f aca="false">BE34+BE35+BE41</f>
        <v>35.1224502860784</v>
      </c>
      <c r="BF44" s="13" t="n">
        <f aca="false">BF34+BF35+BF41</f>
        <v>35.7793821724196</v>
      </c>
      <c r="BG44" s="13" t="n">
        <f aca="false">BG34+BG35+BG41</f>
        <v>35.3140043928254</v>
      </c>
      <c r="BH44" s="13" t="n">
        <f aca="false">BH34+BH35+BH41</f>
        <v>35.9615242831228</v>
      </c>
      <c r="BI44" s="13" t="n">
        <f aca="false">BI34+BI35+BI41</f>
        <v>35.3595123186713</v>
      </c>
      <c r="BJ44" s="13" t="n">
        <f aca="false">BJ34+BJ35+BJ41</f>
        <v>42.132384784287</v>
      </c>
      <c r="BK44" s="13" t="n">
        <f aca="false">BK34+BK35+BK41</f>
        <v>36.6480633941918</v>
      </c>
      <c r="BL44" s="13" t="n">
        <f aca="false">BL34+BL35+BL41</f>
        <v>38.5939075053066</v>
      </c>
      <c r="BM44" s="13" t="n">
        <f aca="false">BM34+BM35+BM41</f>
        <v>55.1239159594428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1901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1902</v>
      </c>
    </row>
    <row r="8" customFormat="false" ht="15" hidden="false" customHeight="false" outlineLevel="0" collapsed="false">
      <c r="D8" s="0" t="s">
        <v>1903</v>
      </c>
      <c r="E8" s="0" t="s">
        <v>151</v>
      </c>
      <c r="G8" s="13" t="n">
        <f aca="false">SUM(J8:BN8)</f>
        <v>836.452563962178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5.57635042641452</v>
      </c>
      <c r="P8" s="13" t="n">
        <f aca="false">Funding!$F$76/Time!$F$9*Time!P30</f>
        <v>16.7290512792436</v>
      </c>
      <c r="Q8" s="13" t="n">
        <f aca="false">Funding!$F$76/Time!$F$9*Time!Q30</f>
        <v>16.7290512792436</v>
      </c>
      <c r="R8" s="13" t="n">
        <f aca="false">Funding!$F$76/Time!$F$9*Time!R30</f>
        <v>16.7290512792436</v>
      </c>
      <c r="S8" s="13" t="n">
        <f aca="false">Funding!$F$76/Time!$F$9*Time!S30</f>
        <v>16.7290512792436</v>
      </c>
      <c r="T8" s="13" t="n">
        <f aca="false">Funding!$F$76/Time!$F$9*Time!T30</f>
        <v>16.7290512792436</v>
      </c>
      <c r="U8" s="13" t="n">
        <f aca="false">Funding!$F$76/Time!$F$9*Time!U30</f>
        <v>16.7290512792436</v>
      </c>
      <c r="V8" s="13" t="n">
        <f aca="false">Funding!$F$76/Time!$F$9*Time!V30</f>
        <v>16.7290512792436</v>
      </c>
      <c r="W8" s="13" t="n">
        <f aca="false">Funding!$F$76/Time!$F$9*Time!W30</f>
        <v>16.7290512792436</v>
      </c>
      <c r="X8" s="13" t="n">
        <f aca="false">Funding!$F$76/Time!$F$9*Time!X30</f>
        <v>16.7290512792436</v>
      </c>
      <c r="Y8" s="13" t="n">
        <f aca="false">Funding!$F$76/Time!$F$9*Time!Y30</f>
        <v>16.7290512792436</v>
      </c>
      <c r="Z8" s="13" t="n">
        <f aca="false">Funding!$F$76/Time!$F$9*Time!Z30</f>
        <v>16.7290512792436</v>
      </c>
      <c r="AA8" s="13" t="n">
        <f aca="false">Funding!$F$76/Time!$F$9*Time!AA30</f>
        <v>16.7290512792436</v>
      </c>
      <c r="AB8" s="13" t="n">
        <f aca="false">Funding!$F$76/Time!$F$9*Time!AB30</f>
        <v>16.7290512792436</v>
      </c>
      <c r="AC8" s="13" t="n">
        <f aca="false">Funding!$F$76/Time!$F$9*Time!AC30</f>
        <v>16.7290512792436</v>
      </c>
      <c r="AD8" s="13" t="n">
        <f aca="false">Funding!$F$76/Time!$F$9*Time!AD30</f>
        <v>16.7290512792436</v>
      </c>
      <c r="AE8" s="13" t="n">
        <f aca="false">Funding!$F$76/Time!$F$9*Time!AE30</f>
        <v>16.7290512792436</v>
      </c>
      <c r="AF8" s="13" t="n">
        <f aca="false">Funding!$F$76/Time!$F$9*Time!AF30</f>
        <v>16.7290512792436</v>
      </c>
      <c r="AG8" s="13" t="n">
        <f aca="false">Funding!$F$76/Time!$F$9*Time!AG30</f>
        <v>16.7290512792436</v>
      </c>
      <c r="AH8" s="13" t="n">
        <f aca="false">Funding!$F$76/Time!$F$9*Time!AH30</f>
        <v>16.7290512792436</v>
      </c>
      <c r="AI8" s="13" t="n">
        <f aca="false">Funding!$F$76/Time!$F$9*Time!AI30</f>
        <v>16.7290512792436</v>
      </c>
      <c r="AJ8" s="13" t="n">
        <f aca="false">Funding!$F$76/Time!$F$9*Time!AJ30</f>
        <v>16.7290512792436</v>
      </c>
      <c r="AK8" s="13" t="n">
        <f aca="false">Funding!$F$76/Time!$F$9*Time!AK30</f>
        <v>16.7290512792436</v>
      </c>
      <c r="AL8" s="13" t="n">
        <f aca="false">Funding!$F$76/Time!$F$9*Time!AL30</f>
        <v>16.7290512792436</v>
      </c>
      <c r="AM8" s="13" t="n">
        <f aca="false">Funding!$F$76/Time!$F$9*Time!AM30</f>
        <v>16.7290512792436</v>
      </c>
      <c r="AN8" s="13" t="n">
        <f aca="false">Funding!$F$76/Time!$F$9*Time!AN30</f>
        <v>16.7290512792436</v>
      </c>
      <c r="AO8" s="13" t="n">
        <f aca="false">Funding!$F$76/Time!$F$9*Time!AO30</f>
        <v>16.7290512792436</v>
      </c>
      <c r="AP8" s="13" t="n">
        <f aca="false">Funding!$F$76/Time!$F$9*Time!AP30</f>
        <v>16.7290512792436</v>
      </c>
      <c r="AQ8" s="13" t="n">
        <f aca="false">Funding!$F$76/Time!$F$9*Time!AQ30</f>
        <v>16.7290512792436</v>
      </c>
      <c r="AR8" s="13" t="n">
        <f aca="false">Funding!$F$76/Time!$F$9*Time!AR30</f>
        <v>16.7290512792436</v>
      </c>
      <c r="AS8" s="13" t="n">
        <f aca="false">Funding!$F$76/Time!$F$9*Time!AS30</f>
        <v>16.7290512792436</v>
      </c>
      <c r="AT8" s="13" t="n">
        <f aca="false">Funding!$F$76/Time!$F$9*Time!AT30</f>
        <v>16.7290512792436</v>
      </c>
      <c r="AU8" s="13" t="n">
        <f aca="false">Funding!$F$76/Time!$F$9*Time!AU30</f>
        <v>16.7290512792436</v>
      </c>
      <c r="AV8" s="13" t="n">
        <f aca="false">Funding!$F$76/Time!$F$9*Time!AV30</f>
        <v>16.7290512792436</v>
      </c>
      <c r="AW8" s="13" t="n">
        <f aca="false">Funding!$F$76/Time!$F$9*Time!AW30</f>
        <v>16.7290512792436</v>
      </c>
      <c r="AX8" s="13" t="n">
        <f aca="false">Funding!$F$76/Time!$F$9*Time!AX30</f>
        <v>16.7290512792436</v>
      </c>
      <c r="AY8" s="13" t="n">
        <f aca="false">Funding!$F$76/Time!$F$9*Time!AY30</f>
        <v>16.7290512792436</v>
      </c>
      <c r="AZ8" s="13" t="n">
        <f aca="false">Funding!$F$76/Time!$F$9*Time!AZ30</f>
        <v>16.7290512792436</v>
      </c>
      <c r="BA8" s="13" t="n">
        <f aca="false">Funding!$F$76/Time!$F$9*Time!BA30</f>
        <v>16.7290512792436</v>
      </c>
      <c r="BB8" s="13" t="n">
        <f aca="false">Funding!$F$76/Time!$F$9*Time!BB30</f>
        <v>16.7290512792436</v>
      </c>
      <c r="BC8" s="13" t="n">
        <f aca="false">Funding!$F$76/Time!$F$9*Time!BC30</f>
        <v>16.7290512792436</v>
      </c>
      <c r="BD8" s="13" t="n">
        <f aca="false">Funding!$F$76/Time!$F$9*Time!BD30</f>
        <v>16.7290512792436</v>
      </c>
      <c r="BE8" s="13" t="n">
        <f aca="false">Funding!$F$76/Time!$F$9*Time!BE30</f>
        <v>16.7290512792436</v>
      </c>
      <c r="BF8" s="13" t="n">
        <f aca="false">Funding!$F$76/Time!$F$9*Time!BF30</f>
        <v>16.7290512792436</v>
      </c>
      <c r="BG8" s="13" t="n">
        <f aca="false">Funding!$F$76/Time!$F$9*Time!BG30</f>
        <v>16.7290512792436</v>
      </c>
      <c r="BH8" s="13" t="n">
        <f aca="false">Funding!$F$76/Time!$F$9*Time!BH30</f>
        <v>16.7290512792436</v>
      </c>
      <c r="BI8" s="13" t="n">
        <f aca="false">Funding!$F$76/Time!$F$9*Time!BI30</f>
        <v>16.7290512792436</v>
      </c>
      <c r="BJ8" s="13" t="n">
        <f aca="false">Funding!$F$76/Time!$F$9*Time!BJ30</f>
        <v>16.7290512792436</v>
      </c>
      <c r="BK8" s="13" t="n">
        <f aca="false">Funding!$F$76/Time!$F$9*Time!BK30</f>
        <v>16.7290512792436</v>
      </c>
      <c r="BL8" s="13" t="n">
        <f aca="false">Funding!$F$76/Time!$F$9*Time!BL30</f>
        <v>16.7290512792436</v>
      </c>
      <c r="BM8" s="13" t="n">
        <f aca="false">Funding!$F$76/Time!$F$9*Time!BM30</f>
        <v>11.152700852829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1904</v>
      </c>
      <c r="E9" s="0" t="s">
        <v>151</v>
      </c>
      <c r="G9" s="13" t="n">
        <f aca="false">SUM(J9:BN9)</f>
        <v>513.911563120654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3.24168077909851</v>
      </c>
      <c r="P9" s="13" t="n">
        <f aca="false">Debt!P112+Debt!P110+Debt!P104-Debt!P103+Tax!P13</f>
        <v>31.576019236817</v>
      </c>
      <c r="Q9" s="13" t="n">
        <f aca="false">Debt!Q112+Debt!Q110+Debt!Q104-Debt!Q103+Tax!Q13</f>
        <v>30.4573748672878</v>
      </c>
      <c r="R9" s="13" t="n">
        <f aca="false">Debt!R112+Debt!R110+Debt!R104-Debt!R103+Tax!R13</f>
        <v>30.1695258579737</v>
      </c>
      <c r="S9" s="13" t="n">
        <f aca="false">Debt!S112+Debt!S110+Debt!S104-Debt!S103+Tax!S13</f>
        <v>29.0638993590484</v>
      </c>
      <c r="T9" s="13" t="n">
        <f aca="false">Debt!T112+Debt!T110+Debt!T104-Debt!T103+Tax!T13</f>
        <v>28.689054826432</v>
      </c>
      <c r="U9" s="13" t="n">
        <f aca="false">Debt!U112+Debt!U110+Debt!U104-Debt!U103+Tax!U13</f>
        <v>27.6445602580149</v>
      </c>
      <c r="V9" s="13" t="n">
        <f aca="false">Debt!V112+Debt!V110+Debt!V104-Debt!V103+Tax!V13</f>
        <v>27.0817436297598</v>
      </c>
      <c r="W9" s="13" t="n">
        <f aca="false">Debt!W112+Debt!W110+Debt!W104-Debt!W103+Tax!W13</f>
        <v>25.9057943035169</v>
      </c>
      <c r="X9" s="13" t="n">
        <f aca="false">Debt!X112+Debt!X110+Debt!X104-Debt!X103+Tax!X13</f>
        <v>25.3032473612323</v>
      </c>
      <c r="Y9" s="13" t="n">
        <f aca="false">Debt!Y112+Debt!Y110+Debt!Y104-Debt!Y103+Tax!Y13</f>
        <v>24.6108118724833</v>
      </c>
      <c r="Z9" s="13" t="n">
        <f aca="false">Debt!Z112+Debt!Z110+Debt!Z104-Debt!Z103+Tax!Z13</f>
        <v>24.013778446866</v>
      </c>
      <c r="AA9" s="13" t="n">
        <f aca="false">Debt!AA112+Debt!AA110+Debt!AA104-Debt!AA103+Tax!AA13</f>
        <v>22.7370332621425</v>
      </c>
      <c r="AB9" s="13" t="n">
        <f aca="false">Debt!AB112+Debt!AB110+Debt!AB104-Debt!AB103+Tax!AB13</f>
        <v>22.0351661860758</v>
      </c>
      <c r="AC9" s="13" t="n">
        <f aca="false">Debt!AC112+Debt!AC110+Debt!AC104-Debt!AC103+Tax!AC13</f>
        <v>20.7468487111625</v>
      </c>
      <c r="AD9" s="13" t="n">
        <f aca="false">Debt!AD112+Debt!AD110+Debt!AD104-Debt!AD103+Tax!AD13</f>
        <v>19.8570985994333</v>
      </c>
      <c r="AE9" s="13" t="n">
        <f aca="false">Debt!AE112+Debt!AE110+Debt!AE104-Debt!AE103+Tax!AE13</f>
        <v>18.4411864542772</v>
      </c>
      <c r="AF9" s="13" t="n">
        <f aca="false">Debt!AF112+Debt!AF110+Debt!AF104-Debt!AF103+Tax!AF13</f>
        <v>17.4406463448946</v>
      </c>
      <c r="AG9" s="13" t="n">
        <f aca="false">Debt!AG112+Debt!AG110+Debt!AG104-Debt!AG103+Tax!AG13</f>
        <v>16.0595380061503</v>
      </c>
      <c r="AH9" s="13" t="n">
        <f aca="false">Debt!AH112+Debt!AH110+Debt!AH104-Debt!AH103+Tax!AH13</f>
        <v>14.7749141308565</v>
      </c>
      <c r="AI9" s="13" t="n">
        <f aca="false">Debt!AI112+Debt!AI110+Debt!AI104-Debt!AI103+Tax!AI13</f>
        <v>12.9802987717526</v>
      </c>
      <c r="AJ9" s="13" t="n">
        <f aca="false">Debt!AJ112+Debt!AJ110+Debt!AJ104-Debt!AJ103+Tax!AJ13</f>
        <v>11.4719255274318</v>
      </c>
      <c r="AK9" s="13" t="n">
        <f aca="false">Debt!AK112+Debt!AK110+Debt!AK104-Debt!AK103+Tax!AK13</f>
        <v>9.57060036163503</v>
      </c>
      <c r="AL9" s="13" t="n">
        <f aca="false">Debt!AL112+Debt!AL110+Debt!AL104-Debt!AL103+Tax!AL13</f>
        <v>7.79818459519179</v>
      </c>
      <c r="AM9" s="13" t="n">
        <f aca="false">Debt!AM112+Debt!AM110+Debt!AM104-Debt!AM103+Tax!AM13</f>
        <v>5.89844823814591</v>
      </c>
      <c r="AN9" s="13" t="n">
        <f aca="false">Debt!AN112+Debt!AN110+Debt!AN104-Debt!AN103+Tax!AN13</f>
        <v>4.02049571803848</v>
      </c>
      <c r="AO9" s="13" t="n">
        <f aca="false">Debt!AO112+Debt!AO110+Debt!AO104-Debt!AO103+Tax!AO13</f>
        <v>2.32168741493562</v>
      </c>
      <c r="AP9" s="13" t="n">
        <f aca="false">Debt!AP112+Debt!AP110+Debt!AP104-Debt!AP103+Tax!AP13</f>
        <v>0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1905</v>
      </c>
      <c r="E10" s="0" t="s">
        <v>151</v>
      </c>
      <c r="J10" s="13" t="n">
        <f aca="false">Funding!$F$76-SUM(Tax!J$10:J$10)</f>
        <v>836.452563962178</v>
      </c>
      <c r="K10" s="13" t="n">
        <f aca="false">Funding!$F$76-SUM(Tax!$J$10:K$10)</f>
        <v>836.452563962178</v>
      </c>
      <c r="L10" s="13" t="n">
        <f aca="false">Funding!$F$76-SUM(Tax!$J$10:L$10)</f>
        <v>836.452563962178</v>
      </c>
      <c r="M10" s="13" t="n">
        <f aca="false">Funding!$F$76-SUM(Tax!$J$10:M$10)</f>
        <v>836.452563962178</v>
      </c>
      <c r="N10" s="13" t="n">
        <f aca="false">Funding!$F$76-SUM(Tax!$J$10:N$10)</f>
        <v>836.452563962178</v>
      </c>
      <c r="O10" s="13" t="n">
        <f aca="false">Funding!$F$76-SUM(Tax!$J$10:O$10)</f>
        <v>828.924490886519</v>
      </c>
      <c r="P10" s="13" t="n">
        <f aca="false">Funding!$F$76-SUM(Tax!$J$10:P$10)</f>
        <v>806.34027165954</v>
      </c>
      <c r="Q10" s="13" t="n">
        <f aca="false">Funding!$F$76-SUM(Tax!$J$10:Q$10)</f>
        <v>783.756052432561</v>
      </c>
      <c r="R10" s="13" t="n">
        <f aca="false">Funding!$F$76-SUM(Tax!$J$10:R$10)</f>
        <v>761.171833205582</v>
      </c>
      <c r="S10" s="13" t="n">
        <f aca="false">Funding!$F$76-SUM(Tax!$J$10:S$10)</f>
        <v>738.587613978603</v>
      </c>
      <c r="T10" s="13" t="n">
        <f aca="false">Funding!$F$76-SUM(Tax!$J$10:T$10)</f>
        <v>716.003394751625</v>
      </c>
      <c r="U10" s="13" t="n">
        <f aca="false">Funding!$F$76-SUM(Tax!$J$10:U$10)</f>
        <v>693.419175524646</v>
      </c>
      <c r="V10" s="13" t="n">
        <f aca="false">Funding!$F$76-SUM(Tax!$J$10:V$10)</f>
        <v>670.834956297667</v>
      </c>
      <c r="W10" s="13" t="n">
        <f aca="false">Funding!$F$76-SUM(Tax!$J$10:W$10)</f>
        <v>648.250737070688</v>
      </c>
      <c r="X10" s="13" t="n">
        <f aca="false">Funding!$F$76-SUM(Tax!$J$10:X$10)</f>
        <v>625.666517843709</v>
      </c>
      <c r="Y10" s="13" t="n">
        <f aca="false">Funding!$F$76-SUM(Tax!$J$10:Y$10)</f>
        <v>603.918751180693</v>
      </c>
      <c r="Z10" s="13" t="n">
        <f aca="false">Funding!$F$76-SUM(Tax!$J$10:Z$10)</f>
        <v>583.8438896456</v>
      </c>
      <c r="AA10" s="13" t="n">
        <f aca="false">Funding!$F$76-SUM(Tax!$J$10:AA$10)</f>
        <v>563.769028110508</v>
      </c>
      <c r="AB10" s="13" t="n">
        <f aca="false">Funding!$F$76-SUM(Tax!$J$10:AB$10)</f>
        <v>543.694166575416</v>
      </c>
      <c r="AC10" s="13" t="n">
        <f aca="false">Funding!$F$76-SUM(Tax!$J$10:AC$10)</f>
        <v>523.619305040324</v>
      </c>
      <c r="AD10" s="13" t="n">
        <f aca="false">Funding!$F$76-SUM(Tax!$J$10:AD$10)</f>
        <v>503.544443505231</v>
      </c>
      <c r="AE10" s="13" t="n">
        <f aca="false">Funding!$F$76-SUM(Tax!$J$10:AE$10)</f>
        <v>483.469581970139</v>
      </c>
      <c r="AF10" s="13" t="n">
        <f aca="false">Funding!$F$76-SUM(Tax!$J$10:AF$10)</f>
        <v>463.394720435047</v>
      </c>
      <c r="AG10" s="13" t="n">
        <f aca="false">Funding!$F$76-SUM(Tax!$J$10:AG$10)</f>
        <v>443.319858899954</v>
      </c>
      <c r="AH10" s="13" t="n">
        <f aca="false">Funding!$F$76-SUM(Tax!$J$10:AH$10)</f>
        <v>423.244997364862</v>
      </c>
      <c r="AI10" s="13" t="n">
        <f aca="false">Funding!$F$76-SUM(Tax!$J$10:AI$10)</f>
        <v>403.17013582977</v>
      </c>
      <c r="AJ10" s="13" t="n">
        <f aca="false">Funding!$F$76-SUM(Tax!$J$10:AJ$10)</f>
        <v>383.095274294678</v>
      </c>
      <c r="AK10" s="13" t="n">
        <f aca="false">Funding!$F$76-SUM(Tax!$J$10:AK$10)</f>
        <v>363.020412759585</v>
      </c>
      <c r="AL10" s="13" t="n">
        <f aca="false">Funding!$F$76-SUM(Tax!$J$10:AL$10)</f>
        <v>342.945551224493</v>
      </c>
      <c r="AM10" s="13" t="n">
        <f aca="false">Funding!$F$76-SUM(Tax!$J$10:AM$10)</f>
        <v>322.870689689401</v>
      </c>
      <c r="AN10" s="13" t="n">
        <f aca="false">Funding!$F$76-SUM(Tax!$J$10:AN$10)</f>
        <v>302.795828154308</v>
      </c>
      <c r="AO10" s="13" t="n">
        <f aca="false">Funding!$F$76-SUM(Tax!$J$10:AO$10)</f>
        <v>282.720966619216</v>
      </c>
      <c r="AP10" s="13" t="n">
        <f aca="false">Funding!$F$76-SUM(Tax!$J$10:AP$10)</f>
        <v>262.646105084124</v>
      </c>
      <c r="AQ10" s="13" t="n">
        <f aca="false">Funding!$F$76-SUM(Tax!$J$10:AQ$10)</f>
        <v>242.571243549032</v>
      </c>
      <c r="AR10" s="13" t="n">
        <f aca="false">Funding!$F$76-SUM(Tax!$J$10:AR$10)</f>
        <v>222.496382013939</v>
      </c>
      <c r="AS10" s="13" t="n">
        <f aca="false">Funding!$F$76-SUM(Tax!$J$10:AS$10)</f>
        <v>202.421520478847</v>
      </c>
      <c r="AT10" s="13" t="n">
        <f aca="false">Funding!$F$76-SUM(Tax!$J$10:AT$10)</f>
        <v>182.346658943755</v>
      </c>
      <c r="AU10" s="13" t="n">
        <f aca="false">Funding!$F$76-SUM(Tax!$J$10:AU$10)</f>
        <v>162.271797408662</v>
      </c>
      <c r="AV10" s="13" t="n">
        <f aca="false">Funding!$F$76-SUM(Tax!$J$10:AV$10)</f>
        <v>142.19693587357</v>
      </c>
      <c r="AW10" s="13" t="n">
        <f aca="false">Funding!$F$76-SUM(Tax!$J$10:AW$10)</f>
        <v>122.122074338478</v>
      </c>
      <c r="AX10" s="13" t="n">
        <f aca="false">Funding!$F$76-SUM(Tax!$J$10:AX$10)</f>
        <v>102.047212803386</v>
      </c>
      <c r="AY10" s="13" t="n">
        <f aca="false">Funding!$F$76-SUM(Tax!$J$10:AY$10)</f>
        <v>81.9723512682933</v>
      </c>
      <c r="AZ10" s="13" t="n">
        <f aca="false">Funding!$F$76-SUM(Tax!$J$10:AZ$10)</f>
        <v>61.897489733201</v>
      </c>
      <c r="BA10" s="13" t="n">
        <f aca="false">Funding!$F$76-SUM(Tax!$J$10:BA$10)</f>
        <v>41.8226281981088</v>
      </c>
      <c r="BB10" s="13" t="n">
        <f aca="false">Funding!$F$76-SUM(Tax!$J$10:BB$10)</f>
        <v>21.7477666630165</v>
      </c>
      <c r="BC10" s="13" t="n">
        <f aca="false">Funding!$F$76-SUM(Tax!$J$10:BC$10)</f>
        <v>8.08570811830089</v>
      </c>
      <c r="BD10" s="13" t="n">
        <f aca="false">Funding!$F$76-SUM(Tax!$J$10:BD$10)</f>
        <v>7.24925555433867</v>
      </c>
      <c r="BE10" s="13" t="n">
        <f aca="false">Funding!$F$76-SUM(Tax!$J$10:BE$10)</f>
        <v>6.41280299037658</v>
      </c>
      <c r="BF10" s="13" t="n">
        <f aca="false">Funding!$F$76-SUM(Tax!$J$10:BF$10)</f>
        <v>5.57635042641437</v>
      </c>
      <c r="BG10" s="13" t="n">
        <f aca="false">Funding!$F$76-SUM(Tax!$J$10:BG$10)</f>
        <v>4.73989786245215</v>
      </c>
      <c r="BH10" s="13" t="n">
        <f aca="false">Funding!$F$76-SUM(Tax!$J$10:BH$10)</f>
        <v>3.90344529849006</v>
      </c>
      <c r="BI10" s="13" t="n">
        <f aca="false">Funding!$F$76-SUM(Tax!$J$10:BI$10)</f>
        <v>3.06699273452784</v>
      </c>
      <c r="BJ10" s="13" t="n">
        <f aca="false">Funding!$F$76-SUM(Tax!$J$10:BJ$10)</f>
        <v>2.23054017056563</v>
      </c>
      <c r="BK10" s="13" t="n">
        <f aca="false">Funding!$F$76-SUM(Tax!$J$10:BK$10)</f>
        <v>1.39408760660353</v>
      </c>
      <c r="BL10" s="13" t="n">
        <f aca="false">Funding!$F$76-SUM(Tax!$J$10:BL$10)</f>
        <v>0.557635042641323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1906</v>
      </c>
      <c r="E11" s="0" t="s">
        <v>151</v>
      </c>
      <c r="J11" s="13" t="n">
        <f aca="false">Funding!$F$76-SUM(J$8:J$8)</f>
        <v>836.452563962178</v>
      </c>
      <c r="K11" s="13" t="n">
        <f aca="false">Funding!$F$76-SUM($J$8:K$8)</f>
        <v>836.452563962178</v>
      </c>
      <c r="L11" s="13" t="n">
        <f aca="false">Funding!$F$76-SUM($J$8:L$8)</f>
        <v>836.452563962178</v>
      </c>
      <c r="M11" s="13" t="n">
        <f aca="false">Funding!$F$76-SUM($J$8:M$8)</f>
        <v>836.452563962178</v>
      </c>
      <c r="N11" s="13" t="n">
        <f aca="false">Funding!$F$76-SUM($J$8:N$8)</f>
        <v>836.452563962178</v>
      </c>
      <c r="O11" s="13" t="n">
        <f aca="false">Funding!$F$76-SUM($J$8:O$8)</f>
        <v>830.876213535764</v>
      </c>
      <c r="P11" s="13" t="n">
        <f aca="false">Funding!$F$76-SUM($J$8:P$8)</f>
        <v>814.14716225652</v>
      </c>
      <c r="Q11" s="13" t="n">
        <f aca="false">Funding!$F$76-SUM($J$8:Q$8)</f>
        <v>797.418110977277</v>
      </c>
      <c r="R11" s="13" t="n">
        <f aca="false">Funding!$F$76-SUM($J$8:R$8)</f>
        <v>780.689059698033</v>
      </c>
      <c r="S11" s="13" t="n">
        <f aca="false">Funding!$F$76-SUM($J$8:S$8)</f>
        <v>763.960008418789</v>
      </c>
      <c r="T11" s="13" t="n">
        <f aca="false">Funding!$F$76-SUM($J$8:T$8)</f>
        <v>747.230957139546</v>
      </c>
      <c r="U11" s="13" t="n">
        <f aca="false">Funding!$F$76-SUM($J$8:U$8)</f>
        <v>730.501905860302</v>
      </c>
      <c r="V11" s="13" t="n">
        <f aca="false">Funding!$F$76-SUM($J$8:V$8)</f>
        <v>713.772854581059</v>
      </c>
      <c r="W11" s="13" t="n">
        <f aca="false">Funding!$F$76-SUM($J$8:W$8)</f>
        <v>697.043803301815</v>
      </c>
      <c r="X11" s="13" t="n">
        <f aca="false">Funding!$F$76-SUM($J$8:X$8)</f>
        <v>680.314752022572</v>
      </c>
      <c r="Y11" s="13" t="n">
        <f aca="false">Funding!$F$76-SUM($J$8:Y$8)</f>
        <v>663.585700743328</v>
      </c>
      <c r="Z11" s="13" t="n">
        <f aca="false">Funding!$F$76-SUM($J$8:Z$8)</f>
        <v>646.856649464085</v>
      </c>
      <c r="AA11" s="13" t="n">
        <f aca="false">Funding!$F$76-SUM($J$8:AA$8)</f>
        <v>630.127598184841</v>
      </c>
      <c r="AB11" s="13" t="n">
        <f aca="false">Funding!$F$76-SUM($J$8:AB$8)</f>
        <v>613.398546905597</v>
      </c>
      <c r="AC11" s="13" t="n">
        <f aca="false">Funding!$F$76-SUM($J$8:AC$8)</f>
        <v>596.669495626354</v>
      </c>
      <c r="AD11" s="13" t="n">
        <f aca="false">Funding!$F$76-SUM($J$8:AD$8)</f>
        <v>579.94044434711</v>
      </c>
      <c r="AE11" s="13" t="n">
        <f aca="false">Funding!$F$76-SUM($J$8:AE$8)</f>
        <v>563.211393067867</v>
      </c>
      <c r="AF11" s="13" t="n">
        <f aca="false">Funding!$F$76-SUM($J$8:AF$8)</f>
        <v>546.482341788623</v>
      </c>
      <c r="AG11" s="13" t="n">
        <f aca="false">Funding!$F$76-SUM($J$8:AG$8)</f>
        <v>529.753290509379</v>
      </c>
      <c r="AH11" s="13" t="n">
        <f aca="false">Funding!$F$76-SUM($J$8:AH$8)</f>
        <v>513.024239230136</v>
      </c>
      <c r="AI11" s="13" t="n">
        <f aca="false">Funding!$F$76-SUM($J$8:AI$8)</f>
        <v>496.295187950892</v>
      </c>
      <c r="AJ11" s="13" t="n">
        <f aca="false">Funding!$F$76-SUM($J$8:AJ$8)</f>
        <v>479.566136671649</v>
      </c>
      <c r="AK11" s="13" t="n">
        <f aca="false">Funding!$F$76-SUM($J$8:AK$8)</f>
        <v>462.837085392405</v>
      </c>
      <c r="AL11" s="13" t="n">
        <f aca="false">Funding!$F$76-SUM($J$8:AL$8)</f>
        <v>446.108034113162</v>
      </c>
      <c r="AM11" s="13" t="n">
        <f aca="false">Funding!$F$76-SUM($J$8:AM$8)</f>
        <v>429.378982833918</v>
      </c>
      <c r="AN11" s="13" t="n">
        <f aca="false">Funding!$F$76-SUM($J$8:AN$8)</f>
        <v>412.649931554675</v>
      </c>
      <c r="AO11" s="13" t="n">
        <f aca="false">Funding!$F$76-SUM($J$8:AO$8)</f>
        <v>395.920880275431</v>
      </c>
      <c r="AP11" s="13" t="n">
        <f aca="false">Funding!$F$76-SUM($J$8:AP$8)</f>
        <v>379.191828996187</v>
      </c>
      <c r="AQ11" s="13" t="n">
        <f aca="false">Funding!$F$76-SUM($J$8:AQ$8)</f>
        <v>362.462777716944</v>
      </c>
      <c r="AR11" s="13" t="n">
        <f aca="false">Funding!$F$76-SUM($J$8:AR$8)</f>
        <v>345.7337264377</v>
      </c>
      <c r="AS11" s="13" t="n">
        <f aca="false">Funding!$F$76-SUM($J$8:AS$8)</f>
        <v>329.004675158457</v>
      </c>
      <c r="AT11" s="13" t="n">
        <f aca="false">Funding!$F$76-SUM($J$8:AT$8)</f>
        <v>312.275623879213</v>
      </c>
      <c r="AU11" s="13" t="n">
        <f aca="false">Funding!$F$76-SUM($J$8:AU$8)</f>
        <v>295.54657259997</v>
      </c>
      <c r="AV11" s="13" t="n">
        <f aca="false">Funding!$F$76-SUM($J$8:AV$8)</f>
        <v>278.817521320726</v>
      </c>
      <c r="AW11" s="13" t="n">
        <f aca="false">Funding!$F$76-SUM($J$8:AW$8)</f>
        <v>262.088470041482</v>
      </c>
      <c r="AX11" s="13" t="n">
        <f aca="false">Funding!$F$76-SUM($J$8:AX$8)</f>
        <v>245.359418762239</v>
      </c>
      <c r="AY11" s="13" t="n">
        <f aca="false">Funding!$F$76-SUM($J$8:AY$8)</f>
        <v>228.630367482995</v>
      </c>
      <c r="AZ11" s="13" t="n">
        <f aca="false">Funding!$F$76-SUM($J$8:AZ$8)</f>
        <v>211.901316203752</v>
      </c>
      <c r="BA11" s="13" t="n">
        <f aca="false">Funding!$F$76-SUM($J$8:BA$8)</f>
        <v>195.172264924508</v>
      </c>
      <c r="BB11" s="13" t="n">
        <f aca="false">Funding!$F$76-SUM($J$8:BB$8)</f>
        <v>178.443213645265</v>
      </c>
      <c r="BC11" s="13" t="n">
        <f aca="false">Funding!$F$76-SUM($J$8:BC$8)</f>
        <v>161.714162366021</v>
      </c>
      <c r="BD11" s="13" t="n">
        <f aca="false">Funding!$F$76-SUM($J$8:BD$8)</f>
        <v>144.985111086778</v>
      </c>
      <c r="BE11" s="13" t="n">
        <f aca="false">Funding!$F$76-SUM($J$8:BE$8)</f>
        <v>128.256059807534</v>
      </c>
      <c r="BF11" s="13" t="n">
        <f aca="false">Funding!$F$76-SUM($J$8:BF$8)</f>
        <v>111.52700852829</v>
      </c>
      <c r="BG11" s="13" t="n">
        <f aca="false">Funding!$F$76-SUM($J$8:BG$8)</f>
        <v>94.7979572490468</v>
      </c>
      <c r="BH11" s="13" t="n">
        <f aca="false">Funding!$F$76-SUM($J$8:BH$8)</f>
        <v>78.0689059698033</v>
      </c>
      <c r="BI11" s="13" t="n">
        <f aca="false">Funding!$F$76-SUM($J$8:BI$8)</f>
        <v>61.3398546905597</v>
      </c>
      <c r="BJ11" s="13" t="n">
        <f aca="false">Funding!$F$76-SUM($J$8:BJ$8)</f>
        <v>44.6108034113162</v>
      </c>
      <c r="BK11" s="13" t="n">
        <f aca="false">Funding!$F$76-SUM($J$8:BK$8)</f>
        <v>27.8817521320726</v>
      </c>
      <c r="BL11" s="13" t="n">
        <f aca="false">Funding!$F$76-SUM($J$8:BL$8)</f>
        <v>11.1527008528291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1907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-1.67290512792436</v>
      </c>
      <c r="P12" s="13" t="n">
        <f aca="false">IF(Time!P20&gt;=Time!$F$12,Inputs!$F$184/100*(P11-P10-Tax!P21),0)</f>
        <v>-6.69162051169746</v>
      </c>
      <c r="Q12" s="13" t="n">
        <f aca="false">IF(Time!Q20&gt;=Time!$F$12,Inputs!$F$184/100*(Q11-Q10-Tax!Q21),0)</f>
        <v>-11.7103358954705</v>
      </c>
      <c r="R12" s="13" t="n">
        <f aca="false">IF(Time!R20&gt;=Time!$F$12,Inputs!$F$184/100*(R11-R10-Tax!R21),0)</f>
        <v>-16.7290512792436</v>
      </c>
      <c r="S12" s="13" t="n">
        <f aca="false">IF(Time!S20&gt;=Time!$F$12,Inputs!$F$184/100*(S11-S10-Tax!S21),0)</f>
        <v>-21.7477666630166</v>
      </c>
      <c r="T12" s="13" t="n">
        <f aca="false">IF(Time!T20&gt;=Time!$F$12,Inputs!$F$184/100*(T11-T10-Tax!T21),0)</f>
        <v>-26.7664820467897</v>
      </c>
      <c r="U12" s="13" t="n">
        <f aca="false">IF(Time!U20&gt;=Time!$F$12,Inputs!$F$184/100*(U11-U10-Tax!U21),0)</f>
        <v>-31.7851974305628</v>
      </c>
      <c r="V12" s="13" t="n">
        <f aca="false">IF(Time!V20&gt;=Time!$F$12,Inputs!$F$184/100*(V11-V10-Tax!V21),0)</f>
        <v>-36.8039128143358</v>
      </c>
      <c r="W12" s="13" t="n">
        <f aca="false">IF(Time!W20&gt;=Time!$F$12,Inputs!$F$184/100*(W11-W10-Tax!W21),0)</f>
        <v>-41.8226281981089</v>
      </c>
      <c r="X12" s="13" t="n">
        <f aca="false">IF(Time!X20&gt;=Time!$F$12,Inputs!$F$184/100*(X11-X10-Tax!X21),0)</f>
        <v>-46.841343581882</v>
      </c>
      <c r="Y12" s="13" t="n">
        <f aca="false">IF(Time!Y20&gt;=Time!$F$12,Inputs!$F$184/100*(Y11-Y10-Tax!Y21),0)</f>
        <v>-49.1139343127336</v>
      </c>
      <c r="Z12" s="13" t="n">
        <f aca="false">IF(Time!Z20&gt;=Time!$F$12,Inputs!$F$184/100*(Z11-Z10-Tax!Z21),0)</f>
        <v>-45.6904327468146</v>
      </c>
      <c r="AA12" s="13" t="n">
        <f aca="false">IF(Time!AA20&gt;=Time!$F$12,Inputs!$F$184/100*(AA11-AA10-Tax!AA21),0)</f>
        <v>-41.8318894040185</v>
      </c>
      <c r="AB12" s="13" t="n">
        <f aca="false">IF(Time!AB20&gt;=Time!$F$12,Inputs!$F$184/100*(AB11-AB10-Tax!AB21),0)</f>
        <v>-37.7368681896669</v>
      </c>
      <c r="AC12" s="13" t="n">
        <f aca="false">IF(Time!AC20&gt;=Time!$F$12,Inputs!$F$184/100*(AC11-AC10-Tax!AC21),0)</f>
        <v>-33.3781701947118</v>
      </c>
      <c r="AD12" s="13" t="n">
        <f aca="false">IF(Time!AD20&gt;=Time!$F$12,Inputs!$F$184/100*(AD11-AD10-Tax!AD21),0)</f>
        <v>-32.3744271179572</v>
      </c>
      <c r="AE12" s="13" t="n">
        <f aca="false">IF(Time!AE20&gt;=Time!$F$12,Inputs!$F$184/100*(AE11-AE10-Tax!AE21),0)</f>
        <v>-28.3150016120872</v>
      </c>
      <c r="AF12" s="13" t="n">
        <f aca="false">IF(Time!AF20&gt;=Time!$F$12,Inputs!$F$184/100*(AF11-AF10-Tax!AF21),0)</f>
        <v>-22.6926955201504</v>
      </c>
      <c r="AG12" s="13" t="n">
        <f aca="false">IF(Time!AG20&gt;=Time!$F$12,Inputs!$F$184/100*(AG11-AG10-Tax!AG21),0)</f>
        <v>-16.612320901727</v>
      </c>
      <c r="AH12" s="13" t="n">
        <f aca="false">IF(Time!AH20&gt;=Time!$F$12,Inputs!$F$184/100*(AH11-AH10-Tax!AH21),0)</f>
        <v>-10.1182096486959</v>
      </c>
      <c r="AI12" s="13" t="n">
        <f aca="false">IF(Time!AI20&gt;=Time!$F$12,Inputs!$F$184/100*(AI11-AI10-Tax!AI21),0)</f>
        <v>-3.03079040093862</v>
      </c>
      <c r="AJ12" s="13" t="n">
        <f aca="false">IF(Time!AJ20&gt;=Time!$F$12,Inputs!$F$184/100*(AJ11-AJ10-Tax!AJ21),0)</f>
        <v>4.53712091034717</v>
      </c>
      <c r="AK12" s="13" t="n">
        <f aca="false">IF(Time!AK20&gt;=Time!$F$12,Inputs!$F$184/100*(AK11-AK10-Tax!AK21),0)</f>
        <v>12.6778833548126</v>
      </c>
      <c r="AL12" s="13" t="n">
        <f aca="false">IF(Time!AL20&gt;=Time!$F$12,Inputs!$F$184/100*(AL11-AL10-Tax!AL21),0)</f>
        <v>20.0181065058351</v>
      </c>
      <c r="AM12" s="13" t="n">
        <f aca="false">IF(Time!AM20&gt;=Time!$F$12,Inputs!$F$184/100*(AM11-AM10-Tax!AM21),0)</f>
        <v>29.1149603218493</v>
      </c>
      <c r="AN12" s="13" t="n">
        <f aca="false">IF(Time!AN20&gt;=Time!$F$12,Inputs!$F$184/100*(AN11-AN10-Tax!AN21),0)</f>
        <v>32.9562310201098</v>
      </c>
      <c r="AO12" s="13" t="n">
        <f aca="false">IF(Time!AO20&gt;=Time!$F$12,Inputs!$F$184/100*(AO11-AO10-Tax!AO21),0)</f>
        <v>33.9599740968645</v>
      </c>
      <c r="AP12" s="13" t="n">
        <f aca="false">IF(Time!AP20&gt;=Time!$F$12,Inputs!$F$184/100*(AP11-AP10-Tax!AP21),0)</f>
        <v>34.9637171736191</v>
      </c>
      <c r="AQ12" s="13" t="n">
        <f aca="false">IF(Time!AQ20&gt;=Time!$F$12,Inputs!$F$184/100*(AQ11-AQ10-Tax!AQ21),0)</f>
        <v>35.9674602503737</v>
      </c>
      <c r="AR12" s="13" t="n">
        <f aca="false">IF(Time!AR20&gt;=Time!$F$12,Inputs!$F$184/100*(AR11-AR10-Tax!AR21),0)</f>
        <v>36.9712033271283</v>
      </c>
      <c r="AS12" s="13" t="n">
        <f aca="false">IF(Time!AS20&gt;=Time!$F$12,Inputs!$F$184/100*(AS11-AS10-Tax!AS21),0)</f>
        <v>37.9749464038829</v>
      </c>
      <c r="AT12" s="13" t="n">
        <f aca="false">IF(Time!AT20&gt;=Time!$F$12,Inputs!$F$184/100*(AT11-AT10-Tax!AT21),0)</f>
        <v>38.9786894806375</v>
      </c>
      <c r="AU12" s="13" t="n">
        <f aca="false">IF(Time!AU20&gt;=Time!$F$12,Inputs!$F$184/100*(AU11-AU10-Tax!AU21),0)</f>
        <v>39.9824325573922</v>
      </c>
      <c r="AV12" s="13" t="n">
        <f aca="false">IF(Time!AV20&gt;=Time!$F$12,Inputs!$F$184/100*(AV11-AV10-Tax!AV21),0)</f>
        <v>40.9861756341468</v>
      </c>
      <c r="AW12" s="13" t="n">
        <f aca="false">IF(Time!AW20&gt;=Time!$F$12,Inputs!$F$184/100*(AW11-AW10-Tax!AW21),0)</f>
        <v>41.9899187109014</v>
      </c>
      <c r="AX12" s="13" t="n">
        <f aca="false">IF(Time!AX20&gt;=Time!$F$12,Inputs!$F$184/100*(AX11-AX10-Tax!AX21),0)</f>
        <v>42.993661787656</v>
      </c>
      <c r="AY12" s="13" t="n">
        <f aca="false">IF(Time!AY20&gt;=Time!$F$12,Inputs!$F$184/100*(AY11-AY10-Tax!AY21),0)</f>
        <v>43.9974048644106</v>
      </c>
      <c r="AZ12" s="13" t="n">
        <f aca="false">IF(Time!AZ20&gt;=Time!$F$12,Inputs!$F$184/100*(AZ11-AZ10-Tax!AZ21),0)</f>
        <v>45.0011479411652</v>
      </c>
      <c r="BA12" s="13" t="n">
        <f aca="false">IF(Time!BA20&gt;=Time!$F$12,Inputs!$F$184/100*(BA11-BA10-Tax!BA21),0)</f>
        <v>46.0048910179198</v>
      </c>
      <c r="BB12" s="13" t="n">
        <f aca="false">IF(Time!BB20&gt;=Time!$F$12,Inputs!$F$184/100*(BB11-BB10-Tax!BB21),0)</f>
        <v>47.0086340946745</v>
      </c>
      <c r="BC12" s="13" t="n">
        <f aca="false">IF(Time!BC20&gt;=Time!$F$12,Inputs!$F$184/100*(BC11-BC10-Tax!BC21),0)</f>
        <v>46.0885362743161</v>
      </c>
      <c r="BD12" s="13" t="n">
        <f aca="false">IF(Time!BD20&gt;=Time!$F$12,Inputs!$F$184/100*(BD11-BD10-Tax!BD21),0)</f>
        <v>41.3207566597317</v>
      </c>
      <c r="BE12" s="13" t="n">
        <f aca="false">IF(Time!BE20&gt;=Time!$F$12,Inputs!$F$184/100*(BE11-BE10-Tax!BE21),0)</f>
        <v>36.5529770451472</v>
      </c>
      <c r="BF12" s="13" t="n">
        <f aca="false">IF(Time!BF20&gt;=Time!$F$12,Inputs!$F$184/100*(BF11-BF10-Tax!BF21),0)</f>
        <v>31.7851974305628</v>
      </c>
      <c r="BG12" s="13" t="n">
        <f aca="false">IF(Time!BG20&gt;=Time!$F$12,Inputs!$F$184/100*(BG11-BG10-Tax!BG21),0)</f>
        <v>27.0174178159784</v>
      </c>
      <c r="BH12" s="13" t="n">
        <f aca="false">IF(Time!BH20&gt;=Time!$F$12,Inputs!$F$184/100*(BH11-BH10-Tax!BH21),0)</f>
        <v>22.249638201394</v>
      </c>
      <c r="BI12" s="13" t="n">
        <f aca="false">IF(Time!BI20&gt;=Time!$F$12,Inputs!$F$184/100*(BI11-BI10-Tax!BI21),0)</f>
        <v>17.4818585868096</v>
      </c>
      <c r="BJ12" s="13" t="n">
        <f aca="false">IF(Time!BJ20&gt;=Time!$F$12,Inputs!$F$184/100*(BJ11-BJ10-Tax!BJ21),0)</f>
        <v>12.7140789722252</v>
      </c>
      <c r="BK12" s="13" t="n">
        <f aca="false">IF(Time!BK20&gt;=Time!$F$12,Inputs!$F$184/100*(BK11-BK10-Tax!BK21),0)</f>
        <v>7.94629935764073</v>
      </c>
      <c r="BL12" s="13" t="n">
        <f aca="false">IF(Time!BL20&gt;=Time!$F$12,Inputs!$F$184/100*(BL11-BL10-Tax!BL21),0)</f>
        <v>3.17851974305632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1908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-1.67290512792436</v>
      </c>
      <c r="P13" s="13" t="n">
        <f aca="false">P12-O12</f>
        <v>-5.0187153837731</v>
      </c>
      <c r="Q13" s="13" t="n">
        <f aca="false">Q12-P12</f>
        <v>-5.01871538377303</v>
      </c>
      <c r="R13" s="13" t="n">
        <f aca="false">R12-Q12</f>
        <v>-5.01871538377307</v>
      </c>
      <c r="S13" s="13" t="n">
        <f aca="false">S12-R12</f>
        <v>-5.01871538377307</v>
      </c>
      <c r="T13" s="13" t="n">
        <f aca="false">T12-S12</f>
        <v>-5.01871538377307</v>
      </c>
      <c r="U13" s="13" t="n">
        <f aca="false">U12-T12</f>
        <v>-5.01871538377307</v>
      </c>
      <c r="V13" s="13" t="n">
        <f aca="false">V12-U12</f>
        <v>-5.01871538377307</v>
      </c>
      <c r="W13" s="13" t="n">
        <f aca="false">W12-V12</f>
        <v>-5.01871538377306</v>
      </c>
      <c r="X13" s="13" t="n">
        <f aca="false">X12-W12</f>
        <v>-5.01871538377306</v>
      </c>
      <c r="Y13" s="13" t="n">
        <f aca="false">Y12-X12</f>
        <v>-2.27259073085159</v>
      </c>
      <c r="Z13" s="13" t="n">
        <f aca="false">Z12-Y12</f>
        <v>3.42350156591898</v>
      </c>
      <c r="AA13" s="13" t="n">
        <f aca="false">AA12-Z12</f>
        <v>3.85854334279606</v>
      </c>
      <c r="AB13" s="13" t="n">
        <f aca="false">AB12-AA12</f>
        <v>4.09502121435165</v>
      </c>
      <c r="AC13" s="13" t="n">
        <f aca="false">AC12-AB12</f>
        <v>4.35869799495504</v>
      </c>
      <c r="AD13" s="13" t="n">
        <f aca="false">AD12-AC12</f>
        <v>1.00374307675463</v>
      </c>
      <c r="AE13" s="13" t="n">
        <f aca="false">AE12-AD12</f>
        <v>4.05942550586997</v>
      </c>
      <c r="AF13" s="13" t="n">
        <f aca="false">AF12-AE12</f>
        <v>5.6223060919368</v>
      </c>
      <c r="AG13" s="13" t="n">
        <f aca="false">AG12-AF12</f>
        <v>6.08037461842342</v>
      </c>
      <c r="AH13" s="13" t="n">
        <f aca="false">AH12-AG12</f>
        <v>6.49411125303107</v>
      </c>
      <c r="AI13" s="13" t="n">
        <f aca="false">AI12-AH12</f>
        <v>7.08741924775731</v>
      </c>
      <c r="AJ13" s="13" t="n">
        <f aca="false">AJ12-AI12</f>
        <v>7.56791131128579</v>
      </c>
      <c r="AK13" s="13" t="n">
        <f aca="false">AK12-AJ12</f>
        <v>8.14076244446545</v>
      </c>
      <c r="AL13" s="13" t="n">
        <f aca="false">AL12-AK12</f>
        <v>7.34022315102246</v>
      </c>
      <c r="AM13" s="13" t="n">
        <f aca="false">AM12-AL12</f>
        <v>9.0968538160142</v>
      </c>
      <c r="AN13" s="13" t="n">
        <f aca="false">AN12-AM12</f>
        <v>3.84127069826055</v>
      </c>
      <c r="AO13" s="13" t="n">
        <f aca="false">AO12-AN12</f>
        <v>1.00374307675462</v>
      </c>
      <c r="AP13" s="13" t="n">
        <f aca="false">AP12-AO12</f>
        <v>1.00374307675462</v>
      </c>
      <c r="AQ13" s="13" t="n">
        <f aca="false">AQ12-AP12</f>
        <v>1.0037430767546</v>
      </c>
      <c r="AR13" s="13" t="n">
        <f aca="false">AR12-AQ12</f>
        <v>1.00374307675462</v>
      </c>
      <c r="AS13" s="13" t="n">
        <f aca="false">AS12-AR12</f>
        <v>1.00374307675462</v>
      </c>
      <c r="AT13" s="13" t="n">
        <f aca="false">AT12-AS12</f>
        <v>1.00374307675462</v>
      </c>
      <c r="AU13" s="13" t="n">
        <f aca="false">AU12-AT12</f>
        <v>1.00374307675462</v>
      </c>
      <c r="AV13" s="13" t="n">
        <f aca="false">AV12-AU12</f>
        <v>1.00374307675462</v>
      </c>
      <c r="AW13" s="13" t="n">
        <f aca="false">AW12-AV12</f>
        <v>1.00374307675458</v>
      </c>
      <c r="AX13" s="13" t="n">
        <f aca="false">AX12-AW12</f>
        <v>1.00374307675462</v>
      </c>
      <c r="AY13" s="13" t="n">
        <f aca="false">AY12-AX12</f>
        <v>1.00374307675462</v>
      </c>
      <c r="AZ13" s="13" t="n">
        <f aca="false">AZ12-AY12</f>
        <v>1.00374307675462</v>
      </c>
      <c r="BA13" s="13" t="n">
        <f aca="false">BA12-AZ12</f>
        <v>1.00374307675462</v>
      </c>
      <c r="BB13" s="13" t="n">
        <f aca="false">BB12-BA12</f>
        <v>1.00374307675462</v>
      </c>
      <c r="BC13" s="13" t="n">
        <f aca="false">BC12-BB12</f>
        <v>-0.920097820358386</v>
      </c>
      <c r="BD13" s="13" t="n">
        <f aca="false">BD12-BC12</f>
        <v>-4.7677796145844</v>
      </c>
      <c r="BE13" s="13" t="n">
        <f aca="false">BE12-BD12</f>
        <v>-4.76777961458443</v>
      </c>
      <c r="BF13" s="13" t="n">
        <f aca="false">BF12-BE12</f>
        <v>-4.76777961458444</v>
      </c>
      <c r="BG13" s="13" t="n">
        <f aca="false">BG12-BF12</f>
        <v>-4.7677796145844</v>
      </c>
      <c r="BH13" s="13" t="n">
        <f aca="false">BH12-BG12</f>
        <v>-4.76777961458443</v>
      </c>
      <c r="BI13" s="13" t="n">
        <f aca="false">BI12-BH12</f>
        <v>-4.7677796145844</v>
      </c>
      <c r="BJ13" s="13" t="n">
        <f aca="false">BJ12-BI12</f>
        <v>-4.7677796145844</v>
      </c>
      <c r="BK13" s="13" t="n">
        <f aca="false">BK12-BJ12</f>
        <v>-4.76777961458444</v>
      </c>
      <c r="BL13" s="13" t="n">
        <f aca="false">BL12-BK12</f>
        <v>-4.7677796145844</v>
      </c>
      <c r="BM13" s="13" t="n">
        <f aca="false">BM12-BL12</f>
        <v>-3.17851974305632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1909</v>
      </c>
      <c r="E14" s="0" t="s">
        <v>151</v>
      </c>
      <c r="G14" s="13" t="n">
        <f aca="false">SUM(J14:BN14)</f>
        <v>946.922828620668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9.8310550474566</v>
      </c>
      <c r="P14" s="13" t="n">
        <f aca="false">Operations!P84-P8-P9-Tax!P27-P13</f>
        <v>7.65336474899324</v>
      </c>
      <c r="Q14" s="13" t="n">
        <f aca="false">Operations!Q84-Q8-Q9-Tax!Q27-Q13</f>
        <v>8.98255893200256</v>
      </c>
      <c r="R14" s="13" t="n">
        <f aca="false">Operations!R84-R8-R9-Tax!R27-R13</f>
        <v>9.35457646069982</v>
      </c>
      <c r="S14" s="13" t="n">
        <f aca="false">Operations!S84-S8-S9-Tax!S27-S13</f>
        <v>10.6246034346904</v>
      </c>
      <c r="T14" s="13" t="n">
        <f aca="false">Operations!T84-T8-T9-Tax!T27-T13</f>
        <v>11.0794732659759</v>
      </c>
      <c r="U14" s="13" t="n">
        <f aca="false">Operations!U84-U8-U9-Tax!U27-U13</f>
        <v>12.1123588634133</v>
      </c>
      <c r="V14" s="13" t="n">
        <f aca="false">Operations!V84-V8-V9-Tax!V27-V13</f>
        <v>8.78700780185867</v>
      </c>
      <c r="W14" s="13" t="n">
        <f aca="false">Operations!W84-W8-W9-Tax!W27-W13</f>
        <v>13.3680944079157</v>
      </c>
      <c r="X14" s="13" t="n">
        <f aca="false">Operations!X84-X8-X9-Tax!X27-X13</f>
        <v>14.923676045516</v>
      </c>
      <c r="Y14" s="13" t="n">
        <f aca="false">Operations!Y84-Y8-Y9-Tax!Y27-Y13</f>
        <v>12.887185560913</v>
      </c>
      <c r="Z14" s="13" t="n">
        <f aca="false">Operations!Z84-Z8-Z9-Tax!Z27-Z13</f>
        <v>7.63437717780886</v>
      </c>
      <c r="AA14" s="13" t="n">
        <f aca="false">Operations!AA84-AA8-AA9-Tax!AA27-AA13</f>
        <v>8.64736482105166</v>
      </c>
      <c r="AB14" s="13" t="n">
        <f aca="false">Operations!AB84-AB8-AB9-Tax!AB27-AB13</f>
        <v>9.19722727178807</v>
      </c>
      <c r="AC14" s="13" t="n">
        <f aca="false">Operations!AC84-AC8-AC9-Tax!AC27-AC13</f>
        <v>9.81477110484358</v>
      </c>
      <c r="AD14" s="13" t="n">
        <f aca="false">Operations!AD84-AD8-AD9-Tax!AD27-AD13</f>
        <v>-0.248385228001487</v>
      </c>
      <c r="AE14" s="13" t="n">
        <f aca="false">Operations!AE84-AE8-AE9-Tax!AE27-AE13</f>
        <v>11.3668715031141</v>
      </c>
      <c r="AF14" s="13" t="n">
        <f aca="false">Operations!AF84-AF8-AF9-Tax!AF27-AF13</f>
        <v>12.7541272687958</v>
      </c>
      <c r="AG14" s="13" t="n">
        <f aca="false">Operations!AG84-AG8-AG9-Tax!AG27-AG13</f>
        <v>13.8213619386162</v>
      </c>
      <c r="AH14" s="13" t="n">
        <f aca="false">Operations!AH84-AH8-AH9-Tax!AH27-AH13</f>
        <v>14.7856459623488</v>
      </c>
      <c r="AI14" s="13" t="n">
        <f aca="false">Operations!AI84-AI8-AI9-Tax!AI27-AI13</f>
        <v>16.1677538772548</v>
      </c>
      <c r="AJ14" s="13" t="n">
        <f aca="false">Operations!AJ84-AJ8-AJ9-Tax!AJ27-AJ13</f>
        <v>17.2868130092893</v>
      </c>
      <c r="AK14" s="13" t="n">
        <f aca="false">Operations!AK84-AK8-AK9-Tax!AK27-AK13</f>
        <v>18.6231608181913</v>
      </c>
      <c r="AL14" s="13" t="n">
        <f aca="false">Operations!AL84-AL8-AL9-Tax!AL27-AL13</f>
        <v>16.7622994771625</v>
      </c>
      <c r="AM14" s="13" t="n">
        <f aca="false">Operations!AM84-AM8-AM9-Tax!AM27-AM13</f>
        <v>20.8548411405012</v>
      </c>
      <c r="AN14" s="13" t="n">
        <f aca="false">Operations!AN84-AN8-AN9-Tax!AN27-AN13</f>
        <v>23.2508244783572</v>
      </c>
      <c r="AO14" s="13" t="n">
        <f aca="false">Operations!AO84-AO8-AO9-Tax!AO27-AO13</f>
        <v>24.5503734726601</v>
      </c>
      <c r="AP14" s="13" t="n">
        <f aca="false">Operations!AP84-AP8-AP9-Tax!AP27-AP13</f>
        <v>26.2509285662413</v>
      </c>
      <c r="AQ14" s="13" t="n">
        <f aca="false">Operations!AQ84-AQ8-AQ9-Tax!AQ27-AQ13</f>
        <v>26.3863830819816</v>
      </c>
      <c r="AR14" s="13" t="n">
        <f aca="false">Operations!AR84-AR8-AR9-Tax!AR27-AR13</f>
        <v>26.4568654562208</v>
      </c>
      <c r="AS14" s="13" t="n">
        <f aca="false">Operations!AS84-AS8-AS9-Tax!AS27-AS13</f>
        <v>26.1701392023837</v>
      </c>
      <c r="AT14" s="13" t="n">
        <f aca="false">Operations!AT84-AT8-AT9-Tax!AT27-AT13</f>
        <v>14.4489376216667</v>
      </c>
      <c r="AU14" s="13" t="n">
        <f aca="false">Operations!AU84-AU8-AU9-Tax!AU27-AU13</f>
        <v>25.3918372399819</v>
      </c>
      <c r="AV14" s="13" t="n">
        <f aca="false">Operations!AV84-AV8-AV9-Tax!AV27-AV13</f>
        <v>26.8645220022642</v>
      </c>
      <c r="AW14" s="13" t="n">
        <f aca="false">Operations!AW84-AW8-AW9-Tax!AW27-AW13</f>
        <v>26.9839333680164</v>
      </c>
      <c r="AX14" s="13" t="n">
        <f aca="false">Operations!AX84-AX8-AX9-Tax!AX27-AX13</f>
        <v>27.0693914583983</v>
      </c>
      <c r="AY14" s="13" t="n">
        <f aca="false">Operations!AY84-AY8-AY9-Tax!AY27-AY13</f>
        <v>27.2127082483669</v>
      </c>
      <c r="AZ14" s="13" t="n">
        <f aca="false">Operations!AZ84-AZ8-AZ9-Tax!AZ27-AZ13</f>
        <v>27.2888000057866</v>
      </c>
      <c r="BA14" s="13" t="n">
        <f aca="false">Operations!BA84-BA8-BA9-Tax!BA27-BA13</f>
        <v>27.3109583520097</v>
      </c>
      <c r="BB14" s="13" t="n">
        <f aca="false">Operations!BB84-BB8-BB9-Tax!BB27-BB13</f>
        <v>23.7423522407894</v>
      </c>
      <c r="BC14" s="13" t="n">
        <f aca="false">Operations!BC84-BC8-BC9-Tax!BC27-BC13</f>
        <v>26.9694174254566</v>
      </c>
      <c r="BD14" s="13" t="n">
        <f aca="false">Operations!BD84-BD8-BD9-Tax!BD27-BD13</f>
        <v>27.7303858731499</v>
      </c>
      <c r="BE14" s="13" t="n">
        <f aca="false">Operations!BE84-BE8-BE9-Tax!BE27-BE13</f>
        <v>27.8595805213675</v>
      </c>
      <c r="BF14" s="13" t="n">
        <f aca="false">Operations!BF84-BF8-BF9-Tax!BF27-BF13</f>
        <v>27.9560608967419</v>
      </c>
      <c r="BG14" s="13" t="n">
        <f aca="false">Operations!BG84-BG8-BG9-Tax!BG27-BG13</f>
        <v>28.1078467241847</v>
      </c>
      <c r="BH14" s="13" t="n">
        <f aca="false">Operations!BH84-BH8-BH9-Tax!BH27-BH13</f>
        <v>28.1899946918593</v>
      </c>
      <c r="BI14" s="13" t="n">
        <f aca="false">Operations!BI84-BI8-BI9-Tax!BI27-BI13</f>
        <v>27.9032131509891</v>
      </c>
      <c r="BJ14" s="13" t="n">
        <f aca="false">Operations!BJ84-BJ8-BJ9-Tax!BJ27-BJ13</f>
        <v>14.1627906627442</v>
      </c>
      <c r="BK14" s="13" t="n">
        <f aca="false">Operations!BK84-BK8-BK9-Tax!BK27-BK13</f>
        <v>27.0787085579373</v>
      </c>
      <c r="BL14" s="13" t="n">
        <f aca="false">Operations!BL84-BL8-BL9-Tax!BL27-BL13</f>
        <v>28.6683714414682</v>
      </c>
      <c r="BM14" s="13" t="n">
        <f aca="false">Operations!BM84-BM8-BM9-Tax!BM27-BM13</f>
        <v>5.84531916744491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1910</v>
      </c>
    </row>
    <row r="16" customFormat="false" ht="15" hidden="false" customHeight="false" outlineLevel="0" collapsed="false">
      <c r="D16" s="0" t="s">
        <v>1911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139.023735628092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239.252582641448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433.346347179502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635.339408885473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752.897995822184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830.876213535764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814.14716225652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797.418110977277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780.689059698033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763.960008418789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747.230957139546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730.501905860302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713.772854581059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697.043803301815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680.314752022572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663.585700743328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646.856649464085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630.127598184841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613.398546905597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596.669495626354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579.94044434711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563.211393067867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546.482341788623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529.753290509379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513.024239230136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496.295187950892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479.566136671649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462.837085392405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446.108034113162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429.378982833918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412.649931554675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395.920880275431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379.191828996187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362.462777716944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345.7337264377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329.004675158457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312.275623879213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295.54657259997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278.817521320726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262.088470041482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245.359418762239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228.630367482995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211.901316203752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195.172264924508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178.443213645265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161.714162366021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144.985111086778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128.256059807534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111.52700852829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94.7979572490468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78.0689059698033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61.3398546905597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44.6108034113162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27.8817521320726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11.1527008528291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1912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39.1911562587103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37.5732847571856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38.4573216920684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38.5821173995084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39.4162909910576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39.6520342667047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40.7855300494119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38.0232274255105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36.9267950741505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38.5431345878479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40.8168481953774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42.4925149854519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44.8957188061428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46.0950661291778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48.6564247741598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36.1037410220838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35.3051246004947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34.4958763852537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34.0241544878683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32.6529897167491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31.369569215916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29.1498152701931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26.4830801163231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21.7661643202512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18.8305492762072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20.3710871614951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1913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38.4207127281762</v>
      </c>
      <c r="P18" s="13" t="n">
        <f aca="false">Operations!P88+Operations!P89</f>
        <v>38.2953922057586</v>
      </c>
      <c r="Q18" s="13" t="n">
        <f aca="false">Operations!Q88+Operations!Q89</f>
        <v>39.3039104786019</v>
      </c>
      <c r="R18" s="13" t="n">
        <f aca="false">Operations!R88+Operations!R89</f>
        <v>38.6212628229736</v>
      </c>
      <c r="S18" s="13" t="n">
        <f aca="false">Operations!S88+Operations!S89</f>
        <v>39.799782116238</v>
      </c>
      <c r="T18" s="13" t="n">
        <f aca="false">Operations!T88+Operations!T89</f>
        <v>39.4092216789825</v>
      </c>
      <c r="U18" s="13" t="n">
        <f aca="false">Operations!U88+Operations!U89</f>
        <v>40.0128872883052</v>
      </c>
      <c r="V18" s="13" t="n">
        <f aca="false">Operations!V88+Operations!V89</f>
        <v>38.8067538518055</v>
      </c>
      <c r="W18" s="13" t="n">
        <f aca="false">Operations!W88+Operations!W89</f>
        <v>40.3546065229662</v>
      </c>
      <c r="X18" s="13" t="n">
        <f aca="false">Operations!X88+Operations!X89</f>
        <v>40.5669112327118</v>
      </c>
      <c r="Y18" s="13" t="n">
        <f aca="false">Operations!Y88+Operations!Y89</f>
        <v>41.6435007899242</v>
      </c>
      <c r="Z18" s="13" t="n">
        <f aca="false">Operations!Z88+Operations!Z89</f>
        <v>40.9198383176405</v>
      </c>
      <c r="AA18" s="13" t="n">
        <f aca="false">Operations!AA88+Operations!AA89</f>
        <v>42.1792207864513</v>
      </c>
      <c r="AB18" s="13" t="n">
        <f aca="false">Operations!AB88+Operations!AB89</f>
        <v>41.7701907394751</v>
      </c>
      <c r="AC18" s="13" t="n">
        <f aca="false">Operations!AC88+Operations!AC89</f>
        <v>42.1385699976597</v>
      </c>
      <c r="AD18" s="13" t="n">
        <f aca="false">Operations!AD88+Operations!AD89</f>
        <v>40.3148298175659</v>
      </c>
      <c r="AE18" s="13" t="n">
        <f aca="false">Operations!AE88+Operations!AE89</f>
        <v>42.2239175742502</v>
      </c>
      <c r="AF18" s="13" t="n">
        <f aca="false">Operations!AF88+Operations!AF89</f>
        <v>43.0208583188408</v>
      </c>
      <c r="AG18" s="13" t="n">
        <f aca="false">Operations!AG88+Operations!AG89</f>
        <v>44.1710054424924</v>
      </c>
      <c r="AH18" s="13" t="n">
        <f aca="false">Operations!AH88+Operations!AH89</f>
        <v>43.4030297550563</v>
      </c>
      <c r="AI18" s="13" t="n">
        <f aca="false">Operations!AI88+Operations!AI89</f>
        <v>44.7497850013882</v>
      </c>
      <c r="AJ18" s="13" t="n">
        <f aca="false">Operations!AJ88+Operations!AJ89</f>
        <v>44.320783027817</v>
      </c>
      <c r="AK18" s="13" t="n">
        <f aca="false">Operations!AK88+Operations!AK89</f>
        <v>45.0118828801579</v>
      </c>
      <c r="AL18" s="13" t="n">
        <f aca="false">Operations!AL88+Operations!AL89</f>
        <v>43.6592206395646</v>
      </c>
      <c r="AM18" s="13" t="n">
        <f aca="false">Operations!AM88+Operations!AM89</f>
        <v>45.4207589739277</v>
      </c>
      <c r="AN18" s="13" t="n">
        <f aca="false">Operations!AN88+Operations!AN89</f>
        <v>45.6719076571363</v>
      </c>
      <c r="AO18" s="13" t="n">
        <f aca="false">Operations!AO88+Operations!AO89</f>
        <v>46.9015400690611</v>
      </c>
      <c r="AP18" s="13" t="n">
        <f aca="false">Operations!AP88+Operations!AP89</f>
        <v>46.0856891549707</v>
      </c>
      <c r="AQ18" s="13" t="n">
        <f aca="false">Operations!AQ88+Operations!AQ89</f>
        <v>47.5268495283118</v>
      </c>
      <c r="AR18" s="13" t="n">
        <f aca="false">Operations!AR88+Operations!AR89</f>
        <v>47.0762516375828</v>
      </c>
      <c r="AS18" s="13" t="n">
        <f aca="false">Operations!AS88+Operations!AS89</f>
        <v>47.5037589696788</v>
      </c>
      <c r="AT18" s="13" t="n">
        <f aca="false">Operations!AT88+Operations!AT89</f>
        <v>45.4517763792731</v>
      </c>
      <c r="AU18" s="13" t="n">
        <f aca="false">Operations!AU88+Operations!AU89</f>
        <v>47.6244944951818</v>
      </c>
      <c r="AV18" s="13" t="n">
        <f aca="false">Operations!AV88+Operations!AV89</f>
        <v>48.5359140606831</v>
      </c>
      <c r="AW18" s="13" t="n">
        <f aca="false">Operations!AW88+Operations!AW89</f>
        <v>49.8514363502115</v>
      </c>
      <c r="AX18" s="13" t="n">
        <f aca="false">Operations!AX88+Operations!AX89</f>
        <v>48.9838636655846</v>
      </c>
      <c r="AY18" s="13" t="n">
        <f aca="false">Operations!AY88+Operations!AY89</f>
        <v>50.5270260993808</v>
      </c>
      <c r="AZ18" s="13" t="n">
        <f aca="false">Operations!AZ88+Operations!AZ89</f>
        <v>50.0530768182482</v>
      </c>
      <c r="BA18" s="13" t="n">
        <f aca="false">Operations!BA88+Operations!BA89</f>
        <v>50.8462165637435</v>
      </c>
      <c r="BB18" s="13" t="n">
        <f aca="false">Operations!BB88+Operations!BB89</f>
        <v>49.3222303009087</v>
      </c>
      <c r="BC18" s="13" t="n">
        <f aca="false">Operations!BC88+Operations!BC89</f>
        <v>51.3333965026773</v>
      </c>
      <c r="BD18" s="13" t="n">
        <f aca="false">Operations!BD88+Operations!BD89</f>
        <v>51.6300078654333</v>
      </c>
      <c r="BE18" s="13" t="n">
        <f aca="false">Operations!BE88+Operations!BE89</f>
        <v>53.0383397507632</v>
      </c>
      <c r="BF18" s="13" t="n">
        <f aca="false">Operations!BF88+Operations!BF89</f>
        <v>52.1148916533904</v>
      </c>
      <c r="BG18" s="13" t="n">
        <f aca="false">Operations!BG88+Operations!BG89</f>
        <v>53.7682628354808</v>
      </c>
      <c r="BH18" s="13" t="n">
        <f aca="false">Operations!BH88+Operations!BH89</f>
        <v>53.2690646121621</v>
      </c>
      <c r="BI18" s="13" t="n">
        <f aca="false">Operations!BI88+Operations!BI89</f>
        <v>53.7654617142916</v>
      </c>
      <c r="BJ18" s="13" t="n">
        <f aca="false">Operations!BJ88+Operations!BJ89</f>
        <v>51.4465414503758</v>
      </c>
      <c r="BK18" s="13" t="n">
        <f aca="false">Operations!BK88+Operations!BK89</f>
        <v>53.927299895042</v>
      </c>
      <c r="BL18" s="13" t="n">
        <f aca="false">Operations!BL88+Operations!BL89</f>
        <v>54.9726974479527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1914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1915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1.67290512792436</v>
      </c>
      <c r="P20" s="13" t="n">
        <f aca="false">MAX(0,-P12)</f>
        <v>6.69162051169746</v>
      </c>
      <c r="Q20" s="13" t="n">
        <f aca="false">MAX(0,-Q12)</f>
        <v>11.7103358954705</v>
      </c>
      <c r="R20" s="13" t="n">
        <f aca="false">MAX(0,-R12)</f>
        <v>16.7290512792436</v>
      </c>
      <c r="S20" s="13" t="n">
        <f aca="false">MAX(0,-S12)</f>
        <v>21.7477666630166</v>
      </c>
      <c r="T20" s="13" t="n">
        <f aca="false">MAX(0,-T12)</f>
        <v>26.7664820467897</v>
      </c>
      <c r="U20" s="13" t="n">
        <f aca="false">MAX(0,-U12)</f>
        <v>31.7851974305628</v>
      </c>
      <c r="V20" s="13" t="n">
        <f aca="false">MAX(0,-V12)</f>
        <v>36.8039128143358</v>
      </c>
      <c r="W20" s="13" t="n">
        <f aca="false">MAX(0,-W12)</f>
        <v>41.8226281981089</v>
      </c>
      <c r="X20" s="13" t="n">
        <f aca="false">MAX(0,-X12)</f>
        <v>46.841343581882</v>
      </c>
      <c r="Y20" s="13" t="n">
        <f aca="false">MAX(0,-Y12)</f>
        <v>49.1139343127336</v>
      </c>
      <c r="Z20" s="13" t="n">
        <f aca="false">MAX(0,-Z12)</f>
        <v>45.6904327468146</v>
      </c>
      <c r="AA20" s="13" t="n">
        <f aca="false">MAX(0,-AA12)</f>
        <v>41.8318894040185</v>
      </c>
      <c r="AB20" s="13" t="n">
        <f aca="false">MAX(0,-AB12)</f>
        <v>37.7368681896669</v>
      </c>
      <c r="AC20" s="13" t="n">
        <f aca="false">MAX(0,-AC12)</f>
        <v>33.3781701947118</v>
      </c>
      <c r="AD20" s="13" t="n">
        <f aca="false">MAX(0,-AD12)</f>
        <v>32.3744271179572</v>
      </c>
      <c r="AE20" s="13" t="n">
        <f aca="false">MAX(0,-AE12)</f>
        <v>28.3150016120872</v>
      </c>
      <c r="AF20" s="13" t="n">
        <f aca="false">MAX(0,-AF12)</f>
        <v>22.6926955201504</v>
      </c>
      <c r="AG20" s="13" t="n">
        <f aca="false">MAX(0,-AG12)</f>
        <v>16.612320901727</v>
      </c>
      <c r="AH20" s="13" t="n">
        <f aca="false">MAX(0,-AH12)</f>
        <v>10.1182096486959</v>
      </c>
      <c r="AI20" s="13" t="n">
        <f aca="false">MAX(0,-AI12)</f>
        <v>3.03079040093862</v>
      </c>
      <c r="AJ20" s="13" t="n">
        <f aca="false">MAX(0,-AJ12)</f>
        <v>0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1916</v>
      </c>
      <c r="E21" s="0" t="s">
        <v>151</v>
      </c>
      <c r="J21" s="13" t="n">
        <f aca="false">J16+J17+J18+J19+J20</f>
        <v>139.023735628092</v>
      </c>
      <c r="K21" s="13" t="n">
        <f aca="false">K16+K17+K18+K19+K20</f>
        <v>239.252582641448</v>
      </c>
      <c r="L21" s="13" t="n">
        <f aca="false">L16+L17+L18+L19+L20</f>
        <v>433.346347179502</v>
      </c>
      <c r="M21" s="13" t="n">
        <f aca="false">M16+M17+M18+M19+M20</f>
        <v>635.339408885473</v>
      </c>
      <c r="N21" s="13" t="n">
        <f aca="false">N16+N17+N18+N19+N20</f>
        <v>752.897995822184</v>
      </c>
      <c r="O21" s="13" t="n">
        <f aca="false">O16+O17+O18+O19+O20</f>
        <v>915.510987650574</v>
      </c>
      <c r="P21" s="13" t="n">
        <f aca="false">P16+P17+P18+P19+P20</f>
        <v>902.057459731162</v>
      </c>
      <c r="Q21" s="13" t="n">
        <f aca="false">Q16+Q17+Q18+Q19+Q20</f>
        <v>892.239679043417</v>
      </c>
      <c r="R21" s="13" t="n">
        <f aca="false">R16+R17+R18+R19+R20</f>
        <v>879.971491199758</v>
      </c>
      <c r="S21" s="13" t="n">
        <f aca="false">S16+S17+S18+S19+S20</f>
        <v>870.273848189102</v>
      </c>
      <c r="T21" s="13" t="n">
        <f aca="false">T16+T17+T18+T19+T20</f>
        <v>858.408695132023</v>
      </c>
      <c r="U21" s="13" t="n">
        <f aca="false">U16+U17+U18+U19+U20</f>
        <v>848.435520628582</v>
      </c>
      <c r="V21" s="13" t="n">
        <f aca="false">V16+V17+V18+V19+V20</f>
        <v>832.756748672711</v>
      </c>
      <c r="W21" s="13" t="n">
        <f aca="false">W16+W17+W18+W19+W20</f>
        <v>821.497833097041</v>
      </c>
      <c r="X21" s="13" t="n">
        <f aca="false">X16+X17+X18+X19+X20</f>
        <v>811.616141425013</v>
      </c>
      <c r="Y21" s="13" t="n">
        <f aca="false">Y16+Y17+Y18+Y19+Y20</f>
        <v>800.509984041363</v>
      </c>
      <c r="Z21" s="13" t="n">
        <f aca="false">Z16+Z17+Z18+Z19+Z20</f>
        <v>781.309435513992</v>
      </c>
      <c r="AA21" s="13" t="n">
        <f aca="false">AA16+AA17+AA18+AA19+AA20</f>
        <v>764.384427181454</v>
      </c>
      <c r="AB21" s="13" t="n">
        <f aca="false">AB16+AB17+AB18+AB19+AB20</f>
        <v>744.350671963917</v>
      </c>
      <c r="AC21" s="13" t="n">
        <f aca="false">AC16+AC17+AC18+AC19+AC20</f>
        <v>726.192660592885</v>
      </c>
      <c r="AD21" s="13" t="n">
        <f aca="false">AD16+AD17+AD18+AD19+AD20</f>
        <v>694.083442304717</v>
      </c>
      <c r="AE21" s="13" t="n">
        <f aca="false">AE16+AE17+AE18+AE19+AE20</f>
        <v>674.405436854699</v>
      </c>
      <c r="AF21" s="13" t="n">
        <f aca="false">AF16+AF17+AF18+AF19+AF20</f>
        <v>652.041772012868</v>
      </c>
      <c r="AG21" s="13" t="n">
        <f aca="false">AG16+AG17+AG18+AG19+AG20</f>
        <v>629.910771341467</v>
      </c>
      <c r="AH21" s="13" t="n">
        <f aca="false">AH16+AH17+AH18+AH19+AH20</f>
        <v>604.548468350637</v>
      </c>
      <c r="AI21" s="13" t="n">
        <f aca="false">AI16+AI17+AI18+AI19+AI20</f>
        <v>580.795332569135</v>
      </c>
      <c r="AJ21" s="13" t="n">
        <f aca="false">AJ16+AJ17+AJ18+AJ19+AJ20</f>
        <v>558.386734969659</v>
      </c>
      <c r="AK21" s="13" t="n">
        <f aca="false">AK16+AK17+AK18+AK19+AK20</f>
        <v>539.682048388886</v>
      </c>
      <c r="AL21" s="13" t="n">
        <f aca="false">AL16+AL17+AL18+AL19+AL20</f>
        <v>516.883419072978</v>
      </c>
      <c r="AM21" s="13" t="n">
        <f aca="false">AM16+AM17+AM18+AM19+AM20</f>
        <v>498.980291084053</v>
      </c>
      <c r="AN21" s="13" t="n">
        <f aca="false">AN16+AN17+AN18+AN19+AN20</f>
        <v>484.042926373306</v>
      </c>
      <c r="AO21" s="13" t="n">
        <f aca="false">AO16+AO17+AO18+AO19+AO20</f>
        <v>452.868198515466</v>
      </c>
      <c r="AP21" s="13" t="n">
        <f aca="false">AP16+AP17+AP18+AP19+AP20</f>
        <v>437.671185407619</v>
      </c>
      <c r="AQ21" s="13" t="n">
        <f aca="false">AQ16+AQ17+AQ18+AQ19+AQ20</f>
        <v>424.731183587203</v>
      </c>
      <c r="AR21" s="13" t="n">
        <f aca="false">AR16+AR17+AR18+AR19+AR20</f>
        <v>409.899423502718</v>
      </c>
      <c r="AS21" s="13" t="n">
        <f aca="false">AS16+AS17+AS18+AS19+AS20</f>
        <v>395.945768641057</v>
      </c>
      <c r="AT21" s="13" t="n">
        <f aca="false">AT16+AT17+AT18+AT19+AT20</f>
        <v>363.077400258486</v>
      </c>
      <c r="AU21" s="13" t="n">
        <f aca="false">AU16+AU17+AU18+AU19+AU20</f>
        <v>348.521067095151</v>
      </c>
      <c r="AV21" s="13" t="n">
        <f aca="false">AV16+AV17+AV18+AV19+AV20</f>
        <v>333.293076382333</v>
      </c>
      <c r="AW21" s="13" t="n">
        <f aca="false">AW16+AW17+AW18+AW19+AW20</f>
        <v>318.469188393541</v>
      </c>
      <c r="AX21" s="13" t="n">
        <f aca="false">AX16+AX17+AX18+AX19+AX20</f>
        <v>301.462205430594</v>
      </c>
      <c r="AY21" s="13" t="n">
        <f aca="false">AY16+AY17+AY18+AY19+AY20</f>
        <v>286.86595758607</v>
      </c>
      <c r="AZ21" s="13" t="n">
        <f aca="false">AZ16+AZ17+AZ18+AZ19+AZ20</f>
        <v>270.252598026617</v>
      </c>
      <c r="BA21" s="13" t="n">
        <f aca="false">BA16+BA17+BA18+BA19+BA20</f>
        <v>255.401295880401</v>
      </c>
      <c r="BB21" s="13" t="n">
        <f aca="false">BB16+BB17+BB18+BB19+BB20</f>
        <v>235.111562587426</v>
      </c>
      <c r="BC21" s="13" t="n">
        <f aca="false">BC16+BC17+BC18+BC19+BC20</f>
        <v>221.911250583294</v>
      </c>
      <c r="BD21" s="13" t="n">
        <f aca="false">BD16+BD17+BD18+BD19+BD20</f>
        <v>209.807361588166</v>
      </c>
      <c r="BE21" s="13" t="n">
        <f aca="false">BE16+BE17+BE18+BE19+BE20</f>
        <v>198.831977236321</v>
      </c>
      <c r="BF21" s="13" t="n">
        <f aca="false">BF16+BF17+BF18+BF19+BF20</f>
        <v>185.541780643389</v>
      </c>
      <c r="BG21" s="13" t="n">
        <f aca="false">BG16+BG17+BG18+BG19+BG20</f>
        <v>174.845556701286</v>
      </c>
      <c r="BH21" s="13" t="n">
        <f aca="false">BH16+BH17+BH18+BH19+BH20</f>
        <v>162.014104385705</v>
      </c>
      <c r="BI21" s="13" t="n">
        <f aca="false">BI16+BI17+BI18+BI19+BI20</f>
        <v>150.195778141108</v>
      </c>
      <c r="BJ21" s="13" t="n">
        <f aca="false">BJ16+BJ17+BJ18+BJ19+BJ20</f>
        <v>116.019229537308</v>
      </c>
      <c r="BK21" s="13" t="n">
        <f aca="false">BK16+BK17+BK18+BK19+BK20</f>
        <v>103.426528230705</v>
      </c>
      <c r="BL21" s="13" t="n">
        <f aca="false">BL16+BL17+BL18+BL19+BL20</f>
        <v>89.4165784627428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1917</v>
      </c>
      <c r="E22" s="0" t="s">
        <v>151</v>
      </c>
      <c r="J22" s="13" t="n">
        <f aca="false">IF(Time!J20&lt;Time!$F$12,SUMIFS(Funding!$J$73:$BJ$73,Construction!$J$12:$BJ$12,"&lt;="&amp;Time!J20),Debt!J116)</f>
        <v>101.855993628955</v>
      </c>
      <c r="K22" s="13" t="n">
        <f aca="false">IF(Time!K20&lt;Time!$F$12,SUMIFS(Funding!$J$73:$BJ$73,Construction!$J$12:$BJ$12,"&lt;="&amp;Time!K20),Debt!K116)</f>
        <v>174.44510151424</v>
      </c>
      <c r="L22" s="13" t="n">
        <f aca="false">IF(Time!L20&lt;Time!$F$12,SUMIFS(Funding!$J$73:$BJ$73,Construction!$J$12:$BJ$12,"&lt;="&amp;Time!L20),Debt!L116)</f>
        <v>315.080146348246</v>
      </c>
      <c r="M22" s="13" t="n">
        <f aca="false">IF(Time!M20&lt;Time!$F$12,SUMIFS(Funding!$J$73:$BJ$73,Construction!$J$12:$BJ$12,"&lt;="&amp;Time!M20),Debt!M116)</f>
        <v>459.929704282762</v>
      </c>
      <c r="N22" s="13" t="n">
        <f aca="false">IF(Time!N20&lt;Time!$F$12,SUMIFS(Funding!$J$73:$BJ$73,Construction!$J$12:$BJ$12,"&lt;="&amp;Time!N20),Debt!N116)</f>
        <v>541.046357359561</v>
      </c>
      <c r="O22" s="13" t="n">
        <f aca="false">IF(Time!O20&lt;Time!$F$12,SUMIFS(Funding!$J$73:$BJ$73,Construction!$J$12:$BJ$12,"&lt;="&amp;Time!O20),Debt!O116)</f>
        <v>629.94967477845</v>
      </c>
      <c r="P22" s="13" t="n">
        <f aca="false">IF(Time!P20&lt;Time!$F$12,SUMIFS(Funding!$J$73:$BJ$73,Construction!$J$12:$BJ$12,"&lt;="&amp;Time!P20),Debt!P116)</f>
        <v>614.346368508813</v>
      </c>
      <c r="Q22" s="13" t="n">
        <f aca="false">IF(Time!Q20&lt;Time!$F$12,SUMIFS(Funding!$J$73:$BJ$73,Construction!$J$12:$BJ$12,"&lt;="&amp;Time!Q20),Debt!Q116)</f>
        <v>598.130287874959</v>
      </c>
      <c r="R22" s="13" t="n">
        <f aca="false">IF(Time!R20&lt;Time!$F$12,SUMIFS(Funding!$J$73:$BJ$73,Construction!$J$12:$BJ$12,"&lt;="&amp;Time!R20),Debt!R116)</f>
        <v>581.158944579318</v>
      </c>
      <c r="S22" s="13" t="n">
        <f aca="false">IF(Time!S20&lt;Time!$F$12,SUMIFS(Funding!$J$73:$BJ$73,Construction!$J$12:$BJ$12,"&lt;="&amp;Time!S20),Debt!S116)</f>
        <v>563.725440668487</v>
      </c>
      <c r="T22" s="13" t="n">
        <f aca="false">IF(Time!T20&lt;Time!$F$12,SUMIFS(Funding!$J$73:$BJ$73,Construction!$J$12:$BJ$12,"&lt;="&amp;Time!T20),Debt!T116)</f>
        <v>545.527170764112</v>
      </c>
      <c r="U22" s="13" t="n">
        <f aca="false">IF(Time!U20&lt;Time!$F$12,SUMIFS(Funding!$J$73:$BJ$73,Construction!$J$12:$BJ$12,"&lt;="&amp;Time!U20),Debt!U116)</f>
        <v>526.779694941975</v>
      </c>
      <c r="V22" s="13" t="n">
        <f aca="false">IF(Time!V20&lt;Time!$F$12,SUMIFS(Funding!$J$73:$BJ$73,Construction!$J$12:$BJ$12,"&lt;="&amp;Time!V20),Debt!V116)</f>
        <v>506.835789410519</v>
      </c>
      <c r="W22" s="13" t="n">
        <f aca="false">IF(Time!W20&lt;Time!$F$12,SUMIFS(Funding!$J$73:$BJ$73,Construction!$J$12:$BJ$12,"&lt;="&amp;Time!W20),Debt!W116)</f>
        <v>486.302759459492</v>
      </c>
      <c r="X22" s="13" t="n">
        <f aca="false">IF(Time!X20&lt;Time!$F$12,SUMIFS(Funding!$J$73:$BJ$73,Construction!$J$12:$BJ$12,"&lt;="&amp;Time!X20),Debt!X116)</f>
        <v>466.370655892862</v>
      </c>
      <c r="Y22" s="13" t="n">
        <f aca="false">IF(Time!Y20&lt;Time!$F$12,SUMIFS(Funding!$J$73:$BJ$73,Construction!$J$12:$BJ$12,"&lt;="&amp;Time!Y20),Debt!Y116)</f>
        <v>446.475620183114</v>
      </c>
      <c r="Z22" s="13" t="n">
        <f aca="false">IF(Time!Z20&lt;Time!$F$12,SUMIFS(Funding!$J$73:$BJ$73,Construction!$J$12:$BJ$12,"&lt;="&amp;Time!Z20),Debt!Z116)</f>
        <v>425.784409850354</v>
      </c>
      <c r="AA22" s="13" t="n">
        <f aca="false">IF(Time!AA20&lt;Time!$F$12,SUMIFS(Funding!$J$73:$BJ$73,Construction!$J$12:$BJ$12,"&lt;="&amp;Time!AA20),Debt!AA116)</f>
        <v>398.170445779528</v>
      </c>
      <c r="AB22" s="13" t="n">
        <f aca="false">IF(Time!AB20&lt;Time!$F$12,SUMIFS(Funding!$J$73:$BJ$73,Construction!$J$12:$BJ$12,"&lt;="&amp;Time!AB20),Debt!AB116)</f>
        <v>368.872818837746</v>
      </c>
      <c r="AC22" s="13" t="n">
        <f aca="false">IF(Time!AC20&lt;Time!$F$12,SUMIFS(Funding!$J$73:$BJ$73,Construction!$J$12:$BJ$12,"&lt;="&amp;Time!AC20),Debt!AC116)</f>
        <v>339.825729205779</v>
      </c>
      <c r="AD22" s="13" t="n">
        <f aca="false">IF(Time!AD20&lt;Time!$F$12,SUMIFS(Funding!$J$73:$BJ$73,Construction!$J$12:$BJ$12,"&lt;="&amp;Time!AD20),Debt!AD116)</f>
        <v>308.662785735209</v>
      </c>
      <c r="AE22" s="13" t="n">
        <f aca="false">IF(Time!AE20&lt;Time!$F$12,SUMIFS(Funding!$J$73:$BJ$73,Construction!$J$12:$BJ$12,"&lt;="&amp;Time!AE20),Debt!AE116)</f>
        <v>276.558853942335</v>
      </c>
      <c r="AF22" s="13" t="n">
        <f aca="false">IF(Time!AF20&lt;Time!$F$12,SUMIFS(Funding!$J$73:$BJ$73,Construction!$J$12:$BJ$12,"&lt;="&amp;Time!AF20),Debt!AF116)</f>
        <v>242.662999969902</v>
      </c>
      <c r="AG22" s="13" t="n">
        <f aca="false">IF(Time!AG20&lt;Time!$F$12,SUMIFS(Funding!$J$73:$BJ$73,Construction!$J$12:$BJ$12,"&lt;="&amp;Time!AG20),Debt!AG116)</f>
        <v>208.514819862135</v>
      </c>
      <c r="AH22" s="13" t="n">
        <f aca="false">IF(Time!AH20&lt;Time!$F$12,SUMIFS(Funding!$J$73:$BJ$73,Construction!$J$12:$BJ$12,"&lt;="&amp;Time!AH20),Debt!AH116)</f>
        <v>172.950336666124</v>
      </c>
      <c r="AI22" s="13" t="n">
        <f aca="false">IF(Time!AI20&lt;Time!$F$12,SUMIFS(Funding!$J$73:$BJ$73,Construction!$J$12:$BJ$12,"&lt;="&amp;Time!AI20),Debt!AI116)</f>
        <v>137.282834544146</v>
      </c>
      <c r="AJ22" s="13" t="n">
        <f aca="false">IF(Time!AJ20&lt;Time!$F$12,SUMIFS(Funding!$J$73:$BJ$73,Construction!$J$12:$BJ$12,"&lt;="&amp;Time!AJ20),Debt!AJ116)</f>
        <v>100.62319480971</v>
      </c>
      <c r="AK22" s="13" t="n">
        <f aca="false">IF(Time!AK20&lt;Time!$F$12,SUMIFS(Funding!$J$73:$BJ$73,Construction!$J$12:$BJ$12,"&lt;="&amp;Time!AK20),Debt!AK116)</f>
        <v>75.3078220715423</v>
      </c>
      <c r="AL22" s="13" t="n">
        <f aca="false">IF(Time!AL20&lt;Time!$F$12,SUMIFS(Funding!$J$73:$BJ$73,Construction!$J$12:$BJ$12,"&lt;="&amp;Time!AL20),Debt!AL116)</f>
        <v>55.5929867078963</v>
      </c>
      <c r="AM22" s="13" t="n">
        <f aca="false">IF(Time!AM20&lt;Time!$F$12,SUMIFS(Funding!$J$73:$BJ$73,Construction!$J$12:$BJ$12,"&lt;="&amp;Time!AM20),Debt!AM116)</f>
        <v>35.3807954975144</v>
      </c>
      <c r="AN22" s="13" t="n">
        <f aca="false">IF(Time!AN20&lt;Time!$F$12,SUMIFS(Funding!$J$73:$BJ$73,Construction!$J$12:$BJ$12,"&lt;="&amp;Time!AN20),Debt!AN116)</f>
        <v>17.536995021589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1918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29.9045960167012</v>
      </c>
      <c r="K23" s="13" t="n">
        <f aca="false">IF(Time!K20&lt;Time!$F$12,SUMIFS(Funding!$J$70:$BJ$70,Construction!$J$12:$BJ$12,"&lt;="&amp;Time!K20)+SUMIFS(Funding!$J$71:$BJ$71,Construction!$J$12:$BJ$12,"&lt;="&amp;Time!K20),Waterfall!K36)</f>
        <v>52.3681519029072</v>
      </c>
      <c r="L23" s="13" t="n">
        <f aca="false">IF(Time!L20&lt;Time!$F$12,SUMIFS(Funding!$J$70:$BJ$70,Construction!$J$12:$BJ$12,"&lt;="&amp;Time!L20)+SUMIFS(Funding!$J$71:$BJ$71,Construction!$J$12:$BJ$12,"&lt;="&amp;Time!L20),Waterfall!L36)</f>
        <v>95.7984695023439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142.613042719135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173.270711246074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207.420021481593</v>
      </c>
      <c r="P23" s="13" t="n">
        <f aca="false">IF(Time!P20&lt;Time!$F$12,SUMIFS(Funding!$J$70:$BJ$70,Construction!$J$12:$BJ$12,"&lt;="&amp;Time!P20)+SUMIFS(Funding!$J$71:$BJ$71,Construction!$J$12:$BJ$12,"&lt;="&amp;Time!P20),Waterfall!P36)</f>
        <v>202.006411860413</v>
      </c>
      <c r="Q23" s="13" t="n">
        <f aca="false">IF(Time!Q20&lt;Time!$F$12,SUMIFS(Funding!$J$70:$BJ$70,Construction!$J$12:$BJ$12,"&lt;="&amp;Time!Q20)+SUMIFS(Funding!$J$71:$BJ$71,Construction!$J$12:$BJ$12,"&lt;="&amp;Time!Q20),Waterfall!Q36)</f>
        <v>198.705416719496</v>
      </c>
      <c r="R23" s="13" t="n">
        <f aca="false">IF(Time!R20&lt;Time!$F$12,SUMIFS(Funding!$J$70:$BJ$70,Construction!$J$12:$BJ$12,"&lt;="&amp;Time!R20)+SUMIFS(Funding!$J$71:$BJ$71,Construction!$J$12:$BJ$12,"&lt;="&amp;Time!R20),Waterfall!R36)</f>
        <v>194.527079608803</v>
      </c>
      <c r="S23" s="13" t="n">
        <f aca="false">IF(Time!S20&lt;Time!$F$12,SUMIFS(Funding!$J$70:$BJ$70,Construction!$J$12:$BJ$12,"&lt;="&amp;Time!S20)+SUMIFS(Funding!$J$71:$BJ$71,Construction!$J$12:$BJ$12,"&lt;="&amp;Time!S20),Waterfall!S36)</f>
        <v>190.771111933212</v>
      </c>
      <c r="T23" s="13" t="n">
        <f aca="false">IF(Time!T20&lt;Time!$F$12,SUMIFS(Funding!$J$70:$BJ$70,Construction!$J$12:$BJ$12,"&lt;="&amp;Time!T20)+SUMIFS(Funding!$J$71:$BJ$71,Construction!$J$12:$BJ$12,"&lt;="&amp;Time!T20),Waterfall!T36)</f>
        <v>186.22269021911</v>
      </c>
      <c r="U23" s="13" t="n">
        <f aca="false">IF(Time!U20&lt;Time!$F$12,SUMIFS(Funding!$J$70:$BJ$70,Construction!$J$12:$BJ$12,"&lt;="&amp;Time!U20)+SUMIFS(Funding!$J$71:$BJ$71,Construction!$J$12:$BJ$12,"&lt;="&amp;Time!U20),Waterfall!U36)</f>
        <v>182.452577699344</v>
      </c>
      <c r="V23" s="13" t="n">
        <f aca="false">IF(Time!V20&lt;Time!$F$12,SUMIFS(Funding!$J$70:$BJ$70,Construction!$J$12:$BJ$12,"&lt;="&amp;Time!V20)+SUMIFS(Funding!$J$71:$BJ$71,Construction!$J$12:$BJ$12,"&lt;="&amp;Time!V20),Waterfall!V36)</f>
        <v>178.638723035613</v>
      </c>
      <c r="W23" s="13" t="n">
        <f aca="false">IF(Time!W20&lt;Time!$F$12,SUMIFS(Funding!$J$70:$BJ$70,Construction!$J$12:$BJ$12,"&lt;="&amp;Time!W20)+SUMIFS(Funding!$J$71:$BJ$71,Construction!$J$12:$BJ$12,"&lt;="&amp;Time!W20),Waterfall!W36)</f>
        <v>173.491011819487</v>
      </c>
      <c r="X23" s="13" t="n">
        <f aca="false">IF(Time!X20&lt;Time!$F$12,SUMIFS(Funding!$J$70:$BJ$70,Construction!$J$12:$BJ$12,"&lt;="&amp;Time!X20)+SUMIFS(Funding!$J$71:$BJ$71,Construction!$J$12:$BJ$12,"&lt;="&amp;Time!X20),Waterfall!X36)</f>
        <v>168.446715404266</v>
      </c>
      <c r="Y23" s="13" t="n">
        <f aca="false">IF(Time!Y20&lt;Time!$F$12,SUMIFS(Funding!$J$70:$BJ$70,Construction!$J$12:$BJ$12,"&lt;="&amp;Time!Y20)+SUMIFS(Funding!$J$71:$BJ$71,Construction!$J$12:$BJ$12,"&lt;="&amp;Time!Y20),Waterfall!Y36)</f>
        <v>163.573991424659</v>
      </c>
      <c r="Z23" s="13" t="n">
        <f aca="false">IF(Time!Z20&lt;Time!$F$12,SUMIFS(Funding!$J$70:$BJ$70,Construction!$J$12:$BJ$12,"&lt;="&amp;Time!Z20)+SUMIFS(Funding!$J$71:$BJ$71,Construction!$J$12:$BJ$12,"&lt;="&amp;Time!Z20),Waterfall!Z36)</f>
        <v>157.941819038675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159.046257434889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159.326868799611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160.101652966882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160.459341577087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160.238454867653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158.515624083094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155.874715683759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151.844363849347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146.578277923909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139.236681894323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118.579741171664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92.2206119116578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63.347690216314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38.9620117236698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0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1919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23.3897924252464</v>
      </c>
      <c r="P24" s="13" t="n">
        <f aca="false">Operations!P90+Operations!P91+Operations!P92+Operations!P93+Operations!P94</f>
        <v>23.2998156476577</v>
      </c>
      <c r="Q24" s="13" t="n">
        <f aca="false">Operations!Q90+Operations!Q91+Operations!Q92+Operations!Q93+Operations!Q94</f>
        <v>24.0165518026808</v>
      </c>
      <c r="R24" s="13" t="n">
        <f aca="false">Operations!R90+Operations!R91+Operations!R92+Operations!R93+Operations!R94</f>
        <v>23.5434679046565</v>
      </c>
      <c r="S24" s="13" t="n">
        <f aca="false">Operations!S90+Operations!S91+Operations!S92+Operations!S93+Operations!S94</f>
        <v>24.4106930457316</v>
      </c>
      <c r="T24" s="13" t="n">
        <f aca="false">Operations!T90+Operations!T91+Operations!T92+Operations!T93+Operations!T94</f>
        <v>24.2127583411527</v>
      </c>
      <c r="U24" s="13" t="n">
        <f aca="false">Operations!U90+Operations!U91+Operations!U92+Operations!U93+Operations!U94</f>
        <v>24.6448133162026</v>
      </c>
      <c r="V24" s="13" t="n">
        <f aca="false">Operations!V90+Operations!V91+Operations!V92+Operations!V93+Operations!V94</f>
        <v>23.9367937536587</v>
      </c>
      <c r="W24" s="13" t="n">
        <f aca="false">Operations!W90+Operations!W91+Operations!W92+Operations!W93+Operations!W94</f>
        <v>24.9905249372275</v>
      </c>
      <c r="X24" s="13" t="n">
        <f aca="false">Operations!X90+Operations!X91+Operations!X92+Operations!X93+Operations!X94</f>
        <v>25.1615572015341</v>
      </c>
      <c r="Y24" s="13" t="n">
        <f aca="false">Operations!Y90+Operations!Y91+Operations!Y92+Operations!Y93+Operations!Y94</f>
        <v>25.9359739463262</v>
      </c>
      <c r="Z24" s="13" t="n">
        <f aca="false">Operations!Z90+Operations!Z91+Operations!Z92+Operations!Z93+Operations!Z94</f>
        <v>25.4244309598892</v>
      </c>
      <c r="AA24" s="13" t="n">
        <f aca="false">Operations!AA90+Operations!AA91+Operations!AA92+Operations!AA93+Operations!AA94</f>
        <v>26.3615834809117</v>
      </c>
      <c r="AB24" s="13" t="n">
        <f aca="false">Operations!AB90+Operations!AB91+Operations!AB92+Operations!AB93+Operations!AB94</f>
        <v>26.1476165686476</v>
      </c>
      <c r="AC24" s="13" t="n">
        <f aca="false">Operations!AC90+Operations!AC91+Operations!AC92+Operations!AC93+Operations!AC94</f>
        <v>26.4471395574673</v>
      </c>
      <c r="AD24" s="13" t="n">
        <f aca="false">Operations!AD90+Operations!AD91+Operations!AD92+Operations!AD93+Operations!AD94</f>
        <v>25.3915613576666</v>
      </c>
      <c r="AE24" s="13" t="n">
        <f aca="false">Operations!AE90+Operations!AE91+Operations!AE92+Operations!AE93+Operations!AE94</f>
        <v>26.6715029068411</v>
      </c>
      <c r="AF24" s="13" t="n">
        <f aca="false">Operations!AF90+Operations!AF91+Operations!AF92+Operations!AF93+Operations!AF94</f>
        <v>27.172395553207</v>
      </c>
      <c r="AG24" s="13" t="n">
        <f aca="false">Operations!AG90+Operations!AG91+Operations!AG92+Operations!AG93+Operations!AG94</f>
        <v>28.0091214502915</v>
      </c>
      <c r="AH24" s="13" t="n">
        <f aca="false">Operations!AH90+Operations!AH91+Operations!AH92+Operations!AH93+Operations!AH94</f>
        <v>27.4560075275368</v>
      </c>
      <c r="AI24" s="13" t="n">
        <f aca="false">Operations!AI90+Operations!AI91+Operations!AI92+Operations!AI93+Operations!AI94</f>
        <v>28.4687059161953</v>
      </c>
      <c r="AJ24" s="13" t="n">
        <f aca="false">Operations!AJ90+Operations!AJ91+Operations!AJ92+Operations!AJ93+Operations!AJ94</f>
        <v>28.2374101611049</v>
      </c>
      <c r="AK24" s="13" t="n">
        <f aca="false">Operations!AK90+Operations!AK91+Operations!AK92+Operations!AK93+Operations!AK94</f>
        <v>28.7411137785025</v>
      </c>
      <c r="AL24" s="13" t="n">
        <f aca="false">Operations!AL90+Operations!AL91+Operations!AL92+Operations!AL93+Operations!AL94</f>
        <v>27.9139264580607</v>
      </c>
      <c r="AM24" s="13" t="n">
        <f aca="false">Operations!AM90+Operations!AM91+Operations!AM92+Operations!AM93+Operations!AM94</f>
        <v>29.1442164183466</v>
      </c>
      <c r="AN24" s="13" t="n">
        <f aca="false">Operations!AN90+Operations!AN91+Operations!AN92+Operations!AN93+Operations!AN94</f>
        <v>29.3442354995514</v>
      </c>
      <c r="AO24" s="13" t="n">
        <f aca="false">Operations!AO90+Operations!AO91+Operations!AO92+Operations!AO93+Operations!AO94</f>
        <v>30.2482682951895</v>
      </c>
      <c r="AP24" s="13" t="n">
        <f aca="false">Operations!AP90+Operations!AP91+Operations!AP92+Operations!AP93+Operations!AP94</f>
        <v>29.6502218832718</v>
      </c>
      <c r="AQ24" s="13" t="n">
        <f aca="false">Operations!AQ90+Operations!AQ91+Operations!AQ92+Operations!AQ93+Operations!AQ94</f>
        <v>30.7445332160257</v>
      </c>
      <c r="AR24" s="13" t="n">
        <f aca="false">Operations!AR90+Operations!AR91+Operations!AR92+Operations!AR93+Operations!AR94</f>
        <v>30.4945080681649</v>
      </c>
      <c r="AS24" s="13" t="n">
        <f aca="false">Operations!AS90+Operations!AS91+Operations!AS92+Operations!AS93+Operations!AS94</f>
        <v>30.8431239144976</v>
      </c>
      <c r="AT24" s="13" t="n">
        <f aca="false">Operations!AT90+Operations!AT91+Operations!AT92+Operations!AT93+Operations!AT94</f>
        <v>29.6104830671488</v>
      </c>
      <c r="AU24" s="13" t="n">
        <f aca="false">Operations!AU90+Operations!AU91+Operations!AU92+Operations!AU93+Operations!AU94</f>
        <v>31.104812077202</v>
      </c>
      <c r="AV24" s="13" t="n">
        <f aca="false">Operations!AV90+Operations!AV91+Operations!AV92+Operations!AV93+Operations!AV94</f>
        <v>31.6899281382616</v>
      </c>
      <c r="AW24" s="13" t="n">
        <f aca="false">Operations!AW90+Operations!AW91+Operations!AW92+Operations!AW93+Operations!AW94</f>
        <v>32.6666639956759</v>
      </c>
      <c r="AX24" s="13" t="n">
        <f aca="false">Operations!AX90+Operations!AX91+Operations!AX92+Operations!AX93+Operations!AX94</f>
        <v>32.0200539824747</v>
      </c>
      <c r="AY24" s="13" t="n">
        <f aca="false">Operations!AY90+Operations!AY91+Operations!AY92+Operations!AY93+Operations!AY94</f>
        <v>33.2025294732226</v>
      </c>
      <c r="AZ24" s="13" t="n">
        <f aca="false">Operations!AZ90+Operations!AZ91+Operations!AZ92+Operations!AZ93+Operations!AZ94</f>
        <v>32.9322622237067</v>
      </c>
      <c r="BA24" s="13" t="n">
        <f aca="false">Operations!BA90+Operations!BA91+Operations!BA92+Operations!BA93+Operations!BA94</f>
        <v>33.5194718817074</v>
      </c>
      <c r="BB24" s="13" t="n">
        <f aca="false">Operations!BB90+Operations!BB91+Operations!BB92+Operations!BB93+Operations!BB94</f>
        <v>32.5531948715659</v>
      </c>
      <c r="BC24" s="13" t="n">
        <f aca="false">Operations!BC90+Operations!BC91+Operations!BC92+Operations!BC93+Operations!BC94</f>
        <v>33.9894852831952</v>
      </c>
      <c r="BD24" s="13" t="n">
        <f aca="false">Operations!BD90+Operations!BD91+Operations!BD92+Operations!BD93+Operations!BD94</f>
        <v>34.2233456468253</v>
      </c>
      <c r="BE24" s="13" t="n">
        <f aca="false">Operations!BE90+Operations!BE91+Operations!BE92+Operations!BE93+Operations!BE94</f>
        <v>35.2786106742758</v>
      </c>
      <c r="BF24" s="13" t="n">
        <f aca="false">Operations!BF90+Operations!BF91+Operations!BF92+Operations!BF93+Operations!BF94</f>
        <v>34.5795149716066</v>
      </c>
      <c r="BG24" s="13" t="n">
        <f aca="false">Operations!BG90+Operations!BG91+Operations!BG92+Operations!BG93+Operations!BG94</f>
        <v>35.8572283127284</v>
      </c>
      <c r="BH24" s="13" t="n">
        <f aca="false">Operations!BH90+Operations!BH91+Operations!BH92+Operations!BH93+Operations!BH94</f>
        <v>35.5650852029957</v>
      </c>
      <c r="BI24" s="13" t="n">
        <f aca="false">Operations!BI90+Operations!BI91+Operations!BI92+Operations!BI93+Operations!BI94</f>
        <v>35.9708377406646</v>
      </c>
      <c r="BJ24" s="13" t="n">
        <f aca="false">Operations!BJ90+Operations!BJ91+Operations!BJ92+Operations!BJ93+Operations!BJ94</f>
        <v>34.5316628729923</v>
      </c>
      <c r="BK24" s="13" t="n">
        <f aca="false">Operations!BK90+Operations!BK91+Operations!BK92+Operations!BK93+Operations!BK94</f>
        <v>36.2760960172281</v>
      </c>
      <c r="BL24" s="13" t="n">
        <f aca="false">Operations!BL90+Operations!BL91+Operations!BL92+Operations!BL93+Operations!BL94</f>
        <v>36.9594619276886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1920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4.53712091034717</v>
      </c>
      <c r="AK25" s="13" t="n">
        <f aca="false">MAX(0,AK12)</f>
        <v>12.6778833548126</v>
      </c>
      <c r="AL25" s="13" t="n">
        <f aca="false">MAX(0,AL12)</f>
        <v>20.0181065058351</v>
      </c>
      <c r="AM25" s="13" t="n">
        <f aca="false">MAX(0,AM12)</f>
        <v>29.1149603218493</v>
      </c>
      <c r="AN25" s="13" t="n">
        <f aca="false">MAX(0,AN12)</f>
        <v>32.9562310201098</v>
      </c>
      <c r="AO25" s="13" t="n">
        <f aca="false">MAX(0,AO12)</f>
        <v>33.9599740968645</v>
      </c>
      <c r="AP25" s="13" t="n">
        <f aca="false">MAX(0,AP12)</f>
        <v>34.9637171736191</v>
      </c>
      <c r="AQ25" s="13" t="n">
        <f aca="false">MAX(0,AQ12)</f>
        <v>35.9674602503737</v>
      </c>
      <c r="AR25" s="13" t="n">
        <f aca="false">MAX(0,AR12)</f>
        <v>36.9712033271283</v>
      </c>
      <c r="AS25" s="13" t="n">
        <f aca="false">MAX(0,AS12)</f>
        <v>37.9749464038829</v>
      </c>
      <c r="AT25" s="13" t="n">
        <f aca="false">MAX(0,AT12)</f>
        <v>38.9786894806375</v>
      </c>
      <c r="AU25" s="13" t="n">
        <f aca="false">MAX(0,AU12)</f>
        <v>39.9824325573922</v>
      </c>
      <c r="AV25" s="13" t="n">
        <f aca="false">MAX(0,AV12)</f>
        <v>40.9861756341468</v>
      </c>
      <c r="AW25" s="13" t="n">
        <f aca="false">MAX(0,AW12)</f>
        <v>41.9899187109014</v>
      </c>
      <c r="AX25" s="13" t="n">
        <f aca="false">MAX(0,AX12)</f>
        <v>42.993661787656</v>
      </c>
      <c r="AY25" s="13" t="n">
        <f aca="false">MAX(0,AY12)</f>
        <v>43.9974048644106</v>
      </c>
      <c r="AZ25" s="13" t="n">
        <f aca="false">MAX(0,AZ12)</f>
        <v>45.0011479411652</v>
      </c>
      <c r="BA25" s="13" t="n">
        <f aca="false">MAX(0,BA12)</f>
        <v>46.0048910179198</v>
      </c>
      <c r="BB25" s="13" t="n">
        <f aca="false">MAX(0,BB12)</f>
        <v>47.0086340946745</v>
      </c>
      <c r="BC25" s="13" t="n">
        <f aca="false">MAX(0,BC12)</f>
        <v>46.0885362743161</v>
      </c>
      <c r="BD25" s="13" t="n">
        <f aca="false">MAX(0,BD12)</f>
        <v>41.3207566597317</v>
      </c>
      <c r="BE25" s="13" t="n">
        <f aca="false">MAX(0,BE12)</f>
        <v>36.5529770451472</v>
      </c>
      <c r="BF25" s="13" t="n">
        <f aca="false">MAX(0,BF12)</f>
        <v>31.7851974305628</v>
      </c>
      <c r="BG25" s="13" t="n">
        <f aca="false">MAX(0,BG12)</f>
        <v>27.0174178159784</v>
      </c>
      <c r="BH25" s="13" t="n">
        <f aca="false">MAX(0,BH12)</f>
        <v>22.249638201394</v>
      </c>
      <c r="BI25" s="13" t="n">
        <f aca="false">MAX(0,BI12)</f>
        <v>17.4818585868096</v>
      </c>
      <c r="BJ25" s="13" t="n">
        <f aca="false">MAX(0,BJ12)</f>
        <v>12.7140789722252</v>
      </c>
      <c r="BK25" s="13" t="n">
        <f aca="false">MAX(0,BK12)</f>
        <v>7.94629935764073</v>
      </c>
      <c r="BL25" s="13" t="n">
        <f aca="false">MAX(0,BL12)</f>
        <v>3.17851974305632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7.2631459824364</v>
      </c>
      <c r="K26" s="13" t="n">
        <f aca="false">SUMIFS(Funding!$J$69:$BJ$69,Construction!$J$12:$BJ$12,"&lt;="&amp;Time!K20)</f>
        <v>12.4393292243009</v>
      </c>
      <c r="L26" s="13" t="n">
        <f aca="false">SUMIFS(Funding!$J$69:$BJ$69,Construction!$J$12:$BJ$12,"&lt;="&amp;Time!L20)</f>
        <v>22.4677313289121</v>
      </c>
      <c r="M26" s="13" t="n">
        <f aca="false">SUMIFS(Funding!$J$69:$BJ$69,Construction!$J$12:$BJ$12,"&lt;="&amp;Time!M20)</f>
        <v>32.7966618835761</v>
      </c>
      <c r="N26" s="13" t="n">
        <f aca="false">SUMIFS(Funding!$J$69:$BJ$69,Construction!$J$12:$BJ$12,"&lt;="&amp;Time!N20)</f>
        <v>38.5809272165487</v>
      </c>
      <c r="O26" s="13" t="n">
        <f aca="false">SUMIFS(Funding!$J$69:$BJ$69,Construction!$J$12:$BJ$12,"&lt;="&amp;Time!O20)</f>
        <v>44.920443917829</v>
      </c>
      <c r="P26" s="13" t="n">
        <f aca="false">SUMIFS(Funding!$J$69:$BJ$69,Construction!$J$12:$BJ$12,"&lt;="&amp;Time!P20)</f>
        <v>44.920443917829</v>
      </c>
      <c r="Q26" s="13" t="n">
        <f aca="false">SUMIFS(Funding!$J$69:$BJ$69,Construction!$J$12:$BJ$12,"&lt;="&amp;Time!Q20)</f>
        <v>44.920443917829</v>
      </c>
      <c r="R26" s="13" t="n">
        <f aca="false">SUMIFS(Funding!$J$69:$BJ$69,Construction!$J$12:$BJ$12,"&lt;="&amp;Time!R20)</f>
        <v>44.920443917829</v>
      </c>
      <c r="S26" s="13" t="n">
        <f aca="false">SUMIFS(Funding!$J$69:$BJ$69,Construction!$J$12:$BJ$12,"&lt;="&amp;Time!S20)</f>
        <v>44.920443917829</v>
      </c>
      <c r="T26" s="13" t="n">
        <f aca="false">SUMIFS(Funding!$J$69:$BJ$69,Construction!$J$12:$BJ$12,"&lt;="&amp;Time!T20)</f>
        <v>44.920443917829</v>
      </c>
      <c r="U26" s="13" t="n">
        <f aca="false">SUMIFS(Funding!$J$69:$BJ$69,Construction!$J$12:$BJ$12,"&lt;="&amp;Time!U20)</f>
        <v>44.920443917829</v>
      </c>
      <c r="V26" s="13" t="n">
        <f aca="false">SUMIFS(Funding!$J$69:$BJ$69,Construction!$J$12:$BJ$12,"&lt;="&amp;Time!V20)</f>
        <v>44.920443917829</v>
      </c>
      <c r="W26" s="13" t="n">
        <f aca="false">SUMIFS(Funding!$J$69:$BJ$69,Construction!$J$12:$BJ$12,"&lt;="&amp;Time!W20)</f>
        <v>44.920443917829</v>
      </c>
      <c r="X26" s="13" t="n">
        <f aca="false">SUMIFS(Funding!$J$69:$BJ$69,Construction!$J$12:$BJ$12,"&lt;="&amp;Time!X20)</f>
        <v>44.920443917829</v>
      </c>
      <c r="Y26" s="13" t="n">
        <f aca="false">SUMIFS(Funding!$J$69:$BJ$69,Construction!$J$12:$BJ$12,"&lt;="&amp;Time!Y20)</f>
        <v>44.920443917829</v>
      </c>
      <c r="Z26" s="13" t="n">
        <f aca="false">SUMIFS(Funding!$J$69:$BJ$69,Construction!$J$12:$BJ$12,"&lt;="&amp;Time!Z20)</f>
        <v>44.920443917829</v>
      </c>
      <c r="AA26" s="13" t="n">
        <f aca="false">SUMIFS(Funding!$J$69:$BJ$69,Construction!$J$12:$BJ$12,"&lt;="&amp;Time!AA20)</f>
        <v>44.920443917829</v>
      </c>
      <c r="AB26" s="13" t="n">
        <f aca="false">SUMIFS(Funding!$J$69:$BJ$69,Construction!$J$12:$BJ$12,"&lt;="&amp;Time!AB20)</f>
        <v>44.920443917829</v>
      </c>
      <c r="AC26" s="13" t="n">
        <f aca="false">SUMIFS(Funding!$J$69:$BJ$69,Construction!$J$12:$BJ$12,"&lt;="&amp;Time!AC20)</f>
        <v>44.920443917829</v>
      </c>
      <c r="AD26" s="13" t="n">
        <f aca="false">SUMIFS(Funding!$J$69:$BJ$69,Construction!$J$12:$BJ$12,"&lt;="&amp;Time!AD20)</f>
        <v>44.920443917829</v>
      </c>
      <c r="AE26" s="13" t="n">
        <f aca="false">SUMIFS(Funding!$J$69:$BJ$69,Construction!$J$12:$BJ$12,"&lt;="&amp;Time!AE20)</f>
        <v>44.920443917829</v>
      </c>
      <c r="AF26" s="13" t="n">
        <f aca="false">SUMIFS(Funding!$J$69:$BJ$69,Construction!$J$12:$BJ$12,"&lt;="&amp;Time!AF20)</f>
        <v>44.920443917829</v>
      </c>
      <c r="AG26" s="13" t="n">
        <f aca="false">SUMIFS(Funding!$J$69:$BJ$69,Construction!$J$12:$BJ$12,"&lt;="&amp;Time!AG20)</f>
        <v>44.920443917829</v>
      </c>
      <c r="AH26" s="13" t="n">
        <f aca="false">SUMIFS(Funding!$J$69:$BJ$69,Construction!$J$12:$BJ$12,"&lt;="&amp;Time!AH20)</f>
        <v>44.920443917829</v>
      </c>
      <c r="AI26" s="13" t="n">
        <f aca="false">SUMIFS(Funding!$J$69:$BJ$69,Construction!$J$12:$BJ$12,"&lt;="&amp;Time!AI20)</f>
        <v>44.920443917829</v>
      </c>
      <c r="AJ26" s="13" t="n">
        <f aca="false">SUMIFS(Funding!$J$69:$BJ$69,Construction!$J$12:$BJ$12,"&lt;="&amp;Time!AJ20)</f>
        <v>44.920443917829</v>
      </c>
      <c r="AK26" s="13" t="n">
        <f aca="false">SUMIFS(Funding!$J$69:$BJ$69,Construction!$J$12:$BJ$12,"&lt;="&amp;Time!AK20)</f>
        <v>44.920443917829</v>
      </c>
      <c r="AL26" s="13" t="n">
        <f aca="false">SUMIFS(Funding!$J$69:$BJ$69,Construction!$J$12:$BJ$12,"&lt;="&amp;Time!AL20)</f>
        <v>44.920443917829</v>
      </c>
      <c r="AM26" s="13" t="n">
        <f aca="false">SUMIFS(Funding!$J$69:$BJ$69,Construction!$J$12:$BJ$12,"&lt;="&amp;Time!AM20)</f>
        <v>44.920443917829</v>
      </c>
      <c r="AN26" s="13" t="n">
        <f aca="false">SUMIFS(Funding!$J$69:$BJ$69,Construction!$J$12:$BJ$12,"&lt;="&amp;Time!AN20)</f>
        <v>44.920443917829</v>
      </c>
      <c r="AO26" s="13" t="n">
        <f aca="false">SUMIFS(Funding!$J$69:$BJ$69,Construction!$J$12:$BJ$12,"&lt;="&amp;Time!AO20)</f>
        <v>44.920443917829</v>
      </c>
      <c r="AP26" s="13" t="n">
        <f aca="false">SUMIFS(Funding!$J$69:$BJ$69,Construction!$J$12:$BJ$12,"&lt;="&amp;Time!AP20)</f>
        <v>44.920443917829</v>
      </c>
      <c r="AQ26" s="13" t="n">
        <f aca="false">SUMIFS(Funding!$J$69:$BJ$69,Construction!$J$12:$BJ$12,"&lt;="&amp;Time!AQ20)</f>
        <v>44.920443917829</v>
      </c>
      <c r="AR26" s="13" t="n">
        <f aca="false">SUMIFS(Funding!$J$69:$BJ$69,Construction!$J$12:$BJ$12,"&lt;="&amp;Time!AR20)</f>
        <v>44.920443917829</v>
      </c>
      <c r="AS26" s="13" t="n">
        <f aca="false">SUMIFS(Funding!$J$69:$BJ$69,Construction!$J$12:$BJ$12,"&lt;="&amp;Time!AS20)</f>
        <v>44.920443917829</v>
      </c>
      <c r="AT26" s="13" t="n">
        <f aca="false">SUMIFS(Funding!$J$69:$BJ$69,Construction!$J$12:$BJ$12,"&lt;="&amp;Time!AT20)</f>
        <v>44.920443917829</v>
      </c>
      <c r="AU26" s="13" t="n">
        <f aca="false">SUMIFS(Funding!$J$69:$BJ$69,Construction!$J$12:$BJ$12,"&lt;="&amp;Time!AU20)</f>
        <v>44.920443917829</v>
      </c>
      <c r="AV26" s="13" t="n">
        <f aca="false">SUMIFS(Funding!$J$69:$BJ$69,Construction!$J$12:$BJ$12,"&lt;="&amp;Time!AV20)</f>
        <v>44.920443917829</v>
      </c>
      <c r="AW26" s="13" t="n">
        <f aca="false">SUMIFS(Funding!$J$69:$BJ$69,Construction!$J$12:$BJ$12,"&lt;="&amp;Time!AW20)</f>
        <v>44.920443917829</v>
      </c>
      <c r="AX26" s="13" t="n">
        <f aca="false">SUMIFS(Funding!$J$69:$BJ$69,Construction!$J$12:$BJ$12,"&lt;="&amp;Time!AX20)</f>
        <v>44.920443917829</v>
      </c>
      <c r="AY26" s="13" t="n">
        <f aca="false">SUMIFS(Funding!$J$69:$BJ$69,Construction!$J$12:$BJ$12,"&lt;="&amp;Time!AY20)</f>
        <v>44.920443917829</v>
      </c>
      <c r="AZ26" s="13" t="n">
        <f aca="false">SUMIFS(Funding!$J$69:$BJ$69,Construction!$J$12:$BJ$12,"&lt;="&amp;Time!AZ20)</f>
        <v>44.920443917829</v>
      </c>
      <c r="BA26" s="13" t="n">
        <f aca="false">SUMIFS(Funding!$J$69:$BJ$69,Construction!$J$12:$BJ$12,"&lt;="&amp;Time!BA20)</f>
        <v>44.920443917829</v>
      </c>
      <c r="BB26" s="13" t="n">
        <f aca="false">SUMIFS(Funding!$J$69:$BJ$69,Construction!$J$12:$BJ$12,"&lt;="&amp;Time!BB20)</f>
        <v>44.920443917829</v>
      </c>
      <c r="BC26" s="13" t="n">
        <f aca="false">SUMIFS(Funding!$J$69:$BJ$69,Construction!$J$12:$BJ$12,"&lt;="&amp;Time!BC20)</f>
        <v>44.920443917829</v>
      </c>
      <c r="BD26" s="13" t="n">
        <f aca="false">SUMIFS(Funding!$J$69:$BJ$69,Construction!$J$12:$BJ$12,"&lt;="&amp;Time!BD20)</f>
        <v>44.920443917829</v>
      </c>
      <c r="BE26" s="13" t="n">
        <f aca="false">SUMIFS(Funding!$J$69:$BJ$69,Construction!$J$12:$BJ$12,"&lt;="&amp;Time!BE20)</f>
        <v>44.920443917829</v>
      </c>
      <c r="BF26" s="13" t="n">
        <f aca="false">SUMIFS(Funding!$J$69:$BJ$69,Construction!$J$12:$BJ$12,"&lt;="&amp;Time!BF20)</f>
        <v>44.920443917829</v>
      </c>
      <c r="BG26" s="13" t="n">
        <f aca="false">SUMIFS(Funding!$J$69:$BJ$69,Construction!$J$12:$BJ$12,"&lt;="&amp;Time!BG20)</f>
        <v>44.920443917829</v>
      </c>
      <c r="BH26" s="13" t="n">
        <f aca="false">SUMIFS(Funding!$J$69:$BJ$69,Construction!$J$12:$BJ$12,"&lt;="&amp;Time!BH20)</f>
        <v>44.920443917829</v>
      </c>
      <c r="BI26" s="13" t="n">
        <f aca="false">SUMIFS(Funding!$J$69:$BJ$69,Construction!$J$12:$BJ$12,"&lt;="&amp;Time!BI20)</f>
        <v>44.920443917829</v>
      </c>
      <c r="BJ26" s="13" t="n">
        <f aca="false">SUMIFS(Funding!$J$69:$BJ$69,Construction!$J$12:$BJ$12,"&lt;="&amp;Time!BJ20)</f>
        <v>44.920443917829</v>
      </c>
      <c r="BK26" s="13" t="n">
        <f aca="false">SUMIFS(Funding!$J$69:$BJ$69,Construction!$J$12:$BJ$12,"&lt;="&amp;Time!BK20)</f>
        <v>44.920443917829</v>
      </c>
      <c r="BL26" s="13" t="n">
        <f aca="false">SUMIFS(Funding!$J$69:$BJ$69,Construction!$J$12:$BJ$12,"&lt;="&amp;Time!BL20)</f>
        <v>44.920443917829</v>
      </c>
      <c r="BM26" s="13" t="n">
        <f aca="false">SUMIFS(Funding!$J$69:$BJ$69,Construction!$J$12:$BJ$12,"&lt;="&amp;Time!BM20)</f>
        <v>44.920443917829</v>
      </c>
      <c r="BN26" s="13" t="n">
        <f aca="false">SUMIFS(Funding!$J$69:$BJ$69,Construction!$J$12:$BJ$12,"&lt;="&amp;Time!BN20)</f>
        <v>44.920443917829</v>
      </c>
    </row>
    <row r="27" customFormat="false" ht="15" hidden="false" customHeight="false" outlineLevel="0" collapsed="false">
      <c r="D27" s="0" t="s">
        <v>1921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9.8310550474566</v>
      </c>
      <c r="P27" s="18" t="n">
        <f aca="false">Waterfall!P43</f>
        <v>17.4844197964498</v>
      </c>
      <c r="Q27" s="18" t="n">
        <f aca="false">Waterfall!Q43</f>
        <v>26.4669787284524</v>
      </c>
      <c r="R27" s="18" t="n">
        <f aca="false">Waterfall!R43</f>
        <v>35.8215551891522</v>
      </c>
      <c r="S27" s="18" t="n">
        <f aca="false">Waterfall!S43</f>
        <v>46.4461586238426</v>
      </c>
      <c r="T27" s="18" t="n">
        <f aca="false">Waterfall!T43</f>
        <v>57.5256318898185</v>
      </c>
      <c r="U27" s="18" t="n">
        <f aca="false">Waterfall!U43</f>
        <v>69.6379907532318</v>
      </c>
      <c r="V27" s="18" t="n">
        <f aca="false">Waterfall!V43</f>
        <v>78.4249985550905</v>
      </c>
      <c r="W27" s="18" t="n">
        <f aca="false">Waterfall!W43</f>
        <v>91.7930929630061</v>
      </c>
      <c r="X27" s="18" t="n">
        <f aca="false">Waterfall!X43</f>
        <v>106.716769008522</v>
      </c>
      <c r="Y27" s="18" t="n">
        <f aca="false">Waterfall!Y43</f>
        <v>119.603954569435</v>
      </c>
      <c r="Z27" s="18" t="n">
        <f aca="false">Waterfall!Z43</f>
        <v>127.238331747244</v>
      </c>
      <c r="AA27" s="18" t="n">
        <f aca="false">Waterfall!AA43</f>
        <v>135.885696568296</v>
      </c>
      <c r="AB27" s="18" t="n">
        <f aca="false">Waterfall!AB43</f>
        <v>145.082923840084</v>
      </c>
      <c r="AC27" s="18" t="n">
        <f aca="false">Waterfall!AC43</f>
        <v>154.897694944927</v>
      </c>
      <c r="AD27" s="18" t="n">
        <f aca="false">Waterfall!AD43</f>
        <v>154.649309716926</v>
      </c>
      <c r="AE27" s="18" t="n">
        <f aca="false">Waterfall!AE43</f>
        <v>166.01618122004</v>
      </c>
      <c r="AF27" s="18" t="n">
        <f aca="false">Waterfall!AF43</f>
        <v>178.770308488836</v>
      </c>
      <c r="AG27" s="18" t="n">
        <f aca="false">Waterfall!AG43</f>
        <v>192.591670427452</v>
      </c>
      <c r="AH27" s="18" t="n">
        <f aca="false">Waterfall!AH43</f>
        <v>207.377316389801</v>
      </c>
      <c r="AI27" s="18" t="n">
        <f aca="false">Waterfall!AI43</f>
        <v>223.545070267055</v>
      </c>
      <c r="AJ27" s="18" t="n">
        <f aca="false">Waterfall!AJ43</f>
        <v>240.831883276345</v>
      </c>
      <c r="AK27" s="18" t="n">
        <f aca="false">Waterfall!AK43</f>
        <v>259.455044094536</v>
      </c>
      <c r="AL27" s="18" t="n">
        <f aca="false">Waterfall!AL43</f>
        <v>276.217343571698</v>
      </c>
      <c r="AM27" s="18" t="n">
        <f aca="false">Waterfall!AM43</f>
        <v>297.0721847122</v>
      </c>
      <c r="AN27" s="18" t="n">
        <f aca="false">Waterfall!AN43</f>
        <v>320.323009190557</v>
      </c>
      <c r="AO27" s="18" t="n">
        <f aca="false">Waterfall!AO43</f>
        <v>343.739512205583</v>
      </c>
      <c r="AP27" s="18" t="n">
        <f aca="false">Waterfall!AP43</f>
        <v>328.136802432899</v>
      </c>
      <c r="AQ27" s="18" t="n">
        <f aca="false">Waterfall!AQ43</f>
        <v>313.098746202975</v>
      </c>
      <c r="AR27" s="18" t="n">
        <f aca="false">Waterfall!AR43</f>
        <v>297.513268189595</v>
      </c>
      <c r="AS27" s="18" t="n">
        <f aca="false">Waterfall!AS43</f>
        <v>282.207254404847</v>
      </c>
      <c r="AT27" s="18" t="n">
        <f aca="false">Waterfall!AT43</f>
        <v>249.567783792871</v>
      </c>
      <c r="AU27" s="18" t="n">
        <f aca="false">Waterfall!AU43</f>
        <v>232.513378542728</v>
      </c>
      <c r="AV27" s="18" t="n">
        <f aca="false">Waterfall!AV43</f>
        <v>215.696528692095</v>
      </c>
      <c r="AW27" s="18" t="n">
        <f aca="false">Waterfall!AW43</f>
        <v>198.892161769134</v>
      </c>
      <c r="AX27" s="18" t="n">
        <f aca="false">Waterfall!AX43</f>
        <v>181.528045742634</v>
      </c>
      <c r="AY27" s="18" t="n">
        <f aca="false">Waterfall!AY43</f>
        <v>164.745579330607</v>
      </c>
      <c r="AZ27" s="18" t="n">
        <f aca="false">Waterfall!AZ43</f>
        <v>147.398743943916</v>
      </c>
      <c r="BA27" s="18" t="n">
        <f aca="false">Waterfall!BA43</f>
        <v>130.956489062945</v>
      </c>
      <c r="BB27" s="18" t="n">
        <f aca="false">Waterfall!BB43</f>
        <v>110.629289703357</v>
      </c>
      <c r="BC27" s="18" t="n">
        <f aca="false">Waterfall!BC43</f>
        <v>96.9127851079534</v>
      </c>
      <c r="BD27" s="18" t="n">
        <f aca="false">Waterfall!BD43</f>
        <v>89.3428153637797</v>
      </c>
      <c r="BE27" s="18" t="n">
        <f aca="false">Waterfall!BE43</f>
        <v>82.0799455990687</v>
      </c>
      <c r="BF27" s="18" t="n">
        <f aca="false">Waterfall!BF43</f>
        <v>74.256624323391</v>
      </c>
      <c r="BG27" s="18" t="n">
        <f aca="false">Waterfall!BG43</f>
        <v>67.0504666547503</v>
      </c>
      <c r="BH27" s="18" t="n">
        <f aca="false">Waterfall!BH43</f>
        <v>59.2789370634868</v>
      </c>
      <c r="BI27" s="18" t="n">
        <f aca="false">Waterfall!BI43</f>
        <v>51.8226378958045</v>
      </c>
      <c r="BJ27" s="18" t="n">
        <f aca="false">Waterfall!BJ43</f>
        <v>23.8530437742617</v>
      </c>
      <c r="BK27" s="18" t="n">
        <f aca="false">Waterfall!BK43</f>
        <v>14.2836889380073</v>
      </c>
      <c r="BL27" s="18" t="n">
        <f aca="false">Waterfall!BL43</f>
        <v>4.35815287416884</v>
      </c>
      <c r="BM27" s="18" t="n">
        <f aca="false">Waterfall!BM43</f>
        <v>-44.920443917829</v>
      </c>
      <c r="BN27" s="18" t="n">
        <f aca="false">Waterfall!BN43</f>
        <v>-44.920443917829</v>
      </c>
    </row>
    <row r="28" customFormat="false" ht="15" hidden="false" customHeight="false" outlineLevel="0" collapsed="false">
      <c r="D28" s="0" t="s">
        <v>1922</v>
      </c>
      <c r="E28" s="0" t="s">
        <v>151</v>
      </c>
      <c r="J28" s="13" t="n">
        <f aca="false">J22+J23+J24+J25+J26+J27</f>
        <v>139.023735628092</v>
      </c>
      <c r="K28" s="13" t="n">
        <f aca="false">K22+K23+K24+K25+K26+K27</f>
        <v>239.252582641448</v>
      </c>
      <c r="L28" s="13" t="n">
        <f aca="false">L22+L23+L24+L25+L26+L27</f>
        <v>433.346347179502</v>
      </c>
      <c r="M28" s="13" t="n">
        <f aca="false">M22+M23+M24+M25+M26+M27</f>
        <v>635.339408885473</v>
      </c>
      <c r="N28" s="13" t="n">
        <f aca="false">N22+N23+N24+N25+N26+N27</f>
        <v>752.897995822184</v>
      </c>
      <c r="O28" s="13" t="n">
        <f aca="false">O22+O23+O24+O25+O26+O27</f>
        <v>915.510987650575</v>
      </c>
      <c r="P28" s="13" t="n">
        <f aca="false">P22+P23+P24+P25+P26+P27</f>
        <v>902.057459731162</v>
      </c>
      <c r="Q28" s="13" t="n">
        <f aca="false">Q22+Q23+Q24+Q25+Q26+Q27</f>
        <v>892.239679043417</v>
      </c>
      <c r="R28" s="13" t="n">
        <f aca="false">R22+R23+R24+R25+R26+R27</f>
        <v>879.971491199759</v>
      </c>
      <c r="S28" s="13" t="n">
        <f aca="false">S22+S23+S24+S25+S26+S27</f>
        <v>870.273848189102</v>
      </c>
      <c r="T28" s="13" t="n">
        <f aca="false">T22+T23+T24+T25+T26+T27</f>
        <v>858.408695132023</v>
      </c>
      <c r="U28" s="13" t="n">
        <f aca="false">U22+U23+U24+U25+U26+U27</f>
        <v>848.435520628582</v>
      </c>
      <c r="V28" s="13" t="n">
        <f aca="false">V22+V23+V24+V25+V26+V27</f>
        <v>832.756748672711</v>
      </c>
      <c r="W28" s="13" t="n">
        <f aca="false">W22+W23+W24+W25+W26+W27</f>
        <v>821.497833097041</v>
      </c>
      <c r="X28" s="13" t="n">
        <f aca="false">X22+X23+X24+X25+X26+X27</f>
        <v>811.616141425013</v>
      </c>
      <c r="Y28" s="13" t="n">
        <f aca="false">Y22+Y23+Y24+Y25+Y26+Y27</f>
        <v>800.509984041363</v>
      </c>
      <c r="Z28" s="13" t="n">
        <f aca="false">Z22+Z23+Z24+Z25+Z26+Z27</f>
        <v>781.309435513991</v>
      </c>
      <c r="AA28" s="13" t="n">
        <f aca="false">AA22+AA23+AA24+AA25+AA26+AA27</f>
        <v>764.384427181454</v>
      </c>
      <c r="AB28" s="13" t="n">
        <f aca="false">AB22+AB23+AB24+AB25+AB26+AB27</f>
        <v>744.350671963917</v>
      </c>
      <c r="AC28" s="13" t="n">
        <f aca="false">AC22+AC23+AC24+AC25+AC26+AC27</f>
        <v>726.192660592885</v>
      </c>
      <c r="AD28" s="13" t="n">
        <f aca="false">AD22+AD23+AD24+AD25+AD26+AD27</f>
        <v>694.083442304717</v>
      </c>
      <c r="AE28" s="13" t="n">
        <f aca="false">AE22+AE23+AE24+AE25+AE26+AE27</f>
        <v>674.405436854699</v>
      </c>
      <c r="AF28" s="13" t="n">
        <f aca="false">AF22+AF23+AF24+AF25+AF26+AF27</f>
        <v>652.041772012868</v>
      </c>
      <c r="AG28" s="13" t="n">
        <f aca="false">AG22+AG23+AG24+AG25+AG26+AG27</f>
        <v>629.910771341467</v>
      </c>
      <c r="AH28" s="13" t="n">
        <f aca="false">AH22+AH23+AH24+AH25+AH26+AH27</f>
        <v>604.548468350637</v>
      </c>
      <c r="AI28" s="13" t="n">
        <f aca="false">AI22+AI23+AI24+AI25+AI26+AI27</f>
        <v>580.795332569135</v>
      </c>
      <c r="AJ28" s="13" t="n">
        <f aca="false">AJ22+AJ23+AJ24+AJ25+AJ26+AJ27</f>
        <v>558.386734969659</v>
      </c>
      <c r="AK28" s="13" t="n">
        <f aca="false">AK22+AK23+AK24+AK25+AK26+AK27</f>
        <v>539.682048388886</v>
      </c>
      <c r="AL28" s="13" t="n">
        <f aca="false">AL22+AL23+AL24+AL25+AL26+AL27</f>
        <v>516.883419072977</v>
      </c>
      <c r="AM28" s="13" t="n">
        <f aca="false">AM22+AM23+AM24+AM25+AM26+AM27</f>
        <v>498.980291084053</v>
      </c>
      <c r="AN28" s="13" t="n">
        <f aca="false">AN22+AN23+AN24+AN25+AN26+AN27</f>
        <v>484.042926373306</v>
      </c>
      <c r="AO28" s="13" t="n">
        <f aca="false">AO22+AO23+AO24+AO25+AO26+AO27</f>
        <v>452.868198515466</v>
      </c>
      <c r="AP28" s="13" t="n">
        <f aca="false">AP22+AP23+AP24+AP25+AP26+AP27</f>
        <v>437.671185407619</v>
      </c>
      <c r="AQ28" s="13" t="n">
        <f aca="false">AQ22+AQ23+AQ24+AQ25+AQ26+AQ27</f>
        <v>424.731183587203</v>
      </c>
      <c r="AR28" s="13" t="n">
        <f aca="false">AR22+AR23+AR24+AR25+AR26+AR27</f>
        <v>409.899423502718</v>
      </c>
      <c r="AS28" s="13" t="n">
        <f aca="false">AS22+AS23+AS24+AS25+AS26+AS27</f>
        <v>395.945768641057</v>
      </c>
      <c r="AT28" s="13" t="n">
        <f aca="false">AT22+AT23+AT24+AT25+AT26+AT27</f>
        <v>363.077400258486</v>
      </c>
      <c r="AU28" s="13" t="n">
        <f aca="false">AU22+AU23+AU24+AU25+AU26+AU27</f>
        <v>348.521067095151</v>
      </c>
      <c r="AV28" s="13" t="n">
        <f aca="false">AV22+AV23+AV24+AV25+AV26+AV27</f>
        <v>333.293076382333</v>
      </c>
      <c r="AW28" s="13" t="n">
        <f aca="false">AW22+AW23+AW24+AW25+AW26+AW27</f>
        <v>318.469188393541</v>
      </c>
      <c r="AX28" s="13" t="n">
        <f aca="false">AX22+AX23+AX24+AX25+AX26+AX27</f>
        <v>301.462205430594</v>
      </c>
      <c r="AY28" s="13" t="n">
        <f aca="false">AY22+AY23+AY24+AY25+AY26+AY27</f>
        <v>286.86595758607</v>
      </c>
      <c r="AZ28" s="13" t="n">
        <f aca="false">AZ22+AZ23+AZ24+AZ25+AZ26+AZ27</f>
        <v>270.252598026617</v>
      </c>
      <c r="BA28" s="13" t="n">
        <f aca="false">BA22+BA23+BA24+BA25+BA26+BA27</f>
        <v>255.401295880401</v>
      </c>
      <c r="BB28" s="13" t="n">
        <f aca="false">BB22+BB23+BB24+BB25+BB26+BB27</f>
        <v>235.111562587426</v>
      </c>
      <c r="BC28" s="13" t="n">
        <f aca="false">BC22+BC23+BC24+BC25+BC26+BC27</f>
        <v>221.911250583294</v>
      </c>
      <c r="BD28" s="13" t="n">
        <f aca="false">BD22+BD23+BD24+BD25+BD26+BD27</f>
        <v>209.807361588166</v>
      </c>
      <c r="BE28" s="13" t="n">
        <f aca="false">BE22+BE23+BE24+BE25+BE26+BE27</f>
        <v>198.831977236321</v>
      </c>
      <c r="BF28" s="13" t="n">
        <f aca="false">BF22+BF23+BF24+BF25+BF26+BF27</f>
        <v>185.541780643389</v>
      </c>
      <c r="BG28" s="13" t="n">
        <f aca="false">BG22+BG23+BG24+BG25+BG26+BG27</f>
        <v>174.845556701286</v>
      </c>
      <c r="BH28" s="13" t="n">
        <f aca="false">BH22+BH23+BH24+BH25+BH26+BH27</f>
        <v>162.014104385705</v>
      </c>
      <c r="BI28" s="13" t="n">
        <f aca="false">BI22+BI23+BI24+BI25+BI26+BI27</f>
        <v>150.195778141108</v>
      </c>
      <c r="BJ28" s="13" t="n">
        <f aca="false">BJ22+BJ23+BJ24+BJ25+BJ26+BJ27</f>
        <v>116.019229537308</v>
      </c>
      <c r="BK28" s="13" t="n">
        <f aca="false">BK22+BK23+BK24+BK25+BK26+BK27</f>
        <v>103.426528230705</v>
      </c>
      <c r="BL28" s="13" t="n">
        <f aca="false">BL22+BL23+BL24+BL25+BL26+BL27</f>
        <v>89.4165784627428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1923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  <row r="31" customFormat="false" ht="15" hidden="false" customHeight="false" outlineLevel="0" collapsed="false">
      <c r="B31" s="2" t="s">
        <v>1924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2610.0927926011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16.9761811250453</v>
      </c>
      <c r="P32" s="18" t="n">
        <f aca="false">Operations!P84</f>
        <v>50.9397198812807</v>
      </c>
      <c r="Q32" s="18" t="n">
        <f aca="false">Operations!Q84</f>
        <v>51.1502696947609</v>
      </c>
      <c r="R32" s="18" t="n">
        <f aca="false">Operations!R84</f>
        <v>51.234438214144</v>
      </c>
      <c r="S32" s="18" t="n">
        <f aca="false">Operations!S84</f>
        <v>51.3988386892092</v>
      </c>
      <c r="T32" s="18" t="n">
        <f aca="false">Operations!T84</f>
        <v>51.4788639878784</v>
      </c>
      <c r="U32" s="18" t="n">
        <f aca="false">Operations!U84</f>
        <v>51.4672550168988</v>
      </c>
      <c r="V32" s="18" t="n">
        <f aca="false">Operations!V84</f>
        <v>47.5790873270889</v>
      </c>
      <c r="W32" s="18" t="n">
        <f aca="false">Operations!W84</f>
        <v>50.984224606903</v>
      </c>
      <c r="X32" s="18" t="n">
        <f aca="false">Operations!X84</f>
        <v>51.9372593022188</v>
      </c>
      <c r="Y32" s="18" t="n">
        <f aca="false">Operations!Y84</f>
        <v>52.0720584016982</v>
      </c>
      <c r="Z32" s="18" t="n">
        <f aca="false">Operations!Z84</f>
        <v>52.1545016125061</v>
      </c>
      <c r="AA32" s="18" t="n">
        <f aca="false">Operations!AA84</f>
        <v>52.3278956840398</v>
      </c>
      <c r="AB32" s="18" t="n">
        <f aca="false">Operations!AB84</f>
        <v>52.4142881798247</v>
      </c>
      <c r="AC32" s="18" t="n">
        <f aca="false">Operations!AC84</f>
        <v>52.0048933069229</v>
      </c>
      <c r="AD32" s="18" t="n">
        <f aca="false">Operations!AD84</f>
        <v>37.6850634622443</v>
      </c>
      <c r="AE32" s="18" t="n">
        <f aca="false">Operations!AE84</f>
        <v>50.9485527587019</v>
      </c>
      <c r="AF32" s="18" t="n">
        <f aca="false">Operations!AF84</f>
        <v>52.9107179305942</v>
      </c>
      <c r="AG32" s="18" t="n">
        <f aca="false">Operations!AG84</f>
        <v>53.0565046801386</v>
      </c>
      <c r="AH32" s="18" t="n">
        <f aca="false">Operations!AH84</f>
        <v>53.1510029202036</v>
      </c>
      <c r="AI32" s="18" t="n">
        <f aca="false">Operations!AI84</f>
        <v>53.3340808768538</v>
      </c>
      <c r="AJ32" s="18" t="n">
        <f aca="false">Operations!AJ84</f>
        <v>53.4273478442946</v>
      </c>
      <c r="AK32" s="18" t="n">
        <f aca="false">Operations!AK84</f>
        <v>53.4355264557635</v>
      </c>
      <c r="AL32" s="18" t="n">
        <f aca="false">Operations!AL84</f>
        <v>48.9946463778435</v>
      </c>
      <c r="AM32" s="18" t="n">
        <f aca="false">Operations!AM84</f>
        <v>52.9503455707701</v>
      </c>
      <c r="AN32" s="18" t="n">
        <f aca="false">Operations!AN84</f>
        <v>53.9650105377922</v>
      </c>
      <c r="AO32" s="18" t="n">
        <f aca="false">Operations!AO84</f>
        <v>54.1227007979793</v>
      </c>
      <c r="AP32" s="18" t="n">
        <f aca="false">Operations!AP84</f>
        <v>54.2303778024455</v>
      </c>
      <c r="AQ32" s="18" t="n">
        <f aca="false">Operations!AQ84</f>
        <v>54.423884253503</v>
      </c>
      <c r="AR32" s="18" t="n">
        <f aca="false">Operations!AR84</f>
        <v>54.524573359559</v>
      </c>
      <c r="AS32" s="18" t="n">
        <f aca="false">Operations!AS84</f>
        <v>54.1149644255061</v>
      </c>
      <c r="AT32" s="18" t="n">
        <f aca="false">Operations!AT84</f>
        <v>37.3703907387674</v>
      </c>
      <c r="AU32" s="18" t="n">
        <f aca="false">Operations!AU84</f>
        <v>53.0031044792177</v>
      </c>
      <c r="AV32" s="18" t="n">
        <f aca="false">Operations!AV84</f>
        <v>55.1069398539067</v>
      </c>
      <c r="AW32" s="18" t="n">
        <f aca="false">Operations!AW84</f>
        <v>55.2775275192669</v>
      </c>
      <c r="AX32" s="18" t="n">
        <f aca="false">Operations!AX84</f>
        <v>55.3996105055268</v>
      </c>
      <c r="AY32" s="18" t="n">
        <f aca="false">Operations!AY84</f>
        <v>55.6043487769106</v>
      </c>
      <c r="AZ32" s="18" t="n">
        <f aca="false">Operations!AZ84</f>
        <v>55.7130512875102</v>
      </c>
      <c r="BA32" s="18" t="n">
        <f aca="false">Operations!BA84</f>
        <v>55.7447060678288</v>
      </c>
      <c r="BB32" s="18" t="n">
        <f aca="false">Operations!BB84</f>
        <v>50.6466973375141</v>
      </c>
      <c r="BC32" s="18" t="n">
        <f aca="false">Operations!BC84</f>
        <v>55.2567904584672</v>
      </c>
      <c r="BD32" s="18" t="n">
        <f aca="false">Operations!BD84</f>
        <v>56.3438882408863</v>
      </c>
      <c r="BE32" s="18" t="n">
        <f aca="false">Operations!BE84</f>
        <v>56.5284520240542</v>
      </c>
      <c r="BF32" s="18" t="n">
        <f aca="false">Operations!BF84</f>
        <v>56.6662811317319</v>
      </c>
      <c r="BG32" s="18" t="n">
        <f aca="false">Operations!BG84</f>
        <v>56.8831180280789</v>
      </c>
      <c r="BH32" s="18" t="n">
        <f aca="false">Operations!BH84</f>
        <v>57.0004722676139</v>
      </c>
      <c r="BI32" s="18" t="n">
        <f aca="false">Operations!BI84</f>
        <v>56.5907843520851</v>
      </c>
      <c r="BJ32" s="18" t="n">
        <f aca="false">Operations!BJ84</f>
        <v>36.9616093688782</v>
      </c>
      <c r="BK32" s="18" t="n">
        <f aca="false">Operations!BK84</f>
        <v>55.4129206477255</v>
      </c>
      <c r="BL32" s="18" t="n">
        <f aca="false">Operations!BL84</f>
        <v>57.6838676241981</v>
      </c>
      <c r="BM32" s="18" t="n">
        <f aca="false">Operations!BM84</f>
        <v>19.5031568063217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1925</v>
      </c>
      <c r="E33" s="0" t="s">
        <v>151</v>
      </c>
      <c r="G33" s="13" t="n">
        <f aca="false">SUM(J33:BN33)</f>
        <v>-312.805836897603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-0.117600419909946</v>
      </c>
      <c r="Z33" s="13" t="n">
        <f aca="false">-Tax!Z27</f>
        <v>-0.353793142668634</v>
      </c>
      <c r="AA33" s="13" t="n">
        <f aca="false">-Tax!AA27</f>
        <v>-0.355902978806001</v>
      </c>
      <c r="AB33" s="13" t="n">
        <f aca="false">-Tax!AB27</f>
        <v>-0.357822228365636</v>
      </c>
      <c r="AC33" s="13" t="n">
        <f aca="false">-Tax!AC27</f>
        <v>-0.35552421671826</v>
      </c>
      <c r="AD33" s="13" t="n">
        <f aca="false">-Tax!AD27</f>
        <v>-0.343555734814318</v>
      </c>
      <c r="AE33" s="13" t="n">
        <f aca="false">-Tax!AE27</f>
        <v>-0.352018016197102</v>
      </c>
      <c r="AF33" s="13" t="n">
        <f aca="false">-Tax!AF27</f>
        <v>-0.364586945723495</v>
      </c>
      <c r="AG33" s="13" t="n">
        <f aca="false">-Tax!AG27</f>
        <v>-0.366178837705143</v>
      </c>
      <c r="AH33" s="13" t="n">
        <f aca="false">-Tax!AH27</f>
        <v>-0.367280294723665</v>
      </c>
      <c r="AI33" s="13" t="n">
        <f aca="false">-Tax!AI27</f>
        <v>-0.369557700845569</v>
      </c>
      <c r="AJ33" s="13" t="n">
        <f aca="false">-Tax!AJ27</f>
        <v>-0.3716467170442</v>
      </c>
      <c r="AK33" s="13" t="n">
        <f aca="false">-Tax!AK27</f>
        <v>-0.371951552228156</v>
      </c>
      <c r="AL33" s="13" t="n">
        <f aca="false">-Tax!AL27</f>
        <v>-0.364887875223189</v>
      </c>
      <c r="AM33" s="13" t="n">
        <f aca="false">-Tax!AM27</f>
        <v>-0.371151096865272</v>
      </c>
      <c r="AN33" s="13" t="n">
        <f aca="false">-Tax!AN27</f>
        <v>-6.1233683638925</v>
      </c>
      <c r="AO33" s="13" t="n">
        <f aca="false">-Tax!AO27</f>
        <v>-9.51784555438541</v>
      </c>
      <c r="AP33" s="13" t="n">
        <f aca="false">-Tax!AP27</f>
        <v>-10.246654880206</v>
      </c>
      <c r="AQ33" s="13" t="n">
        <f aca="false">-Tax!AQ27</f>
        <v>-10.3047068155232</v>
      </c>
      <c r="AR33" s="13" t="n">
        <f aca="false">-Tax!AR27</f>
        <v>-10.33491354734</v>
      </c>
      <c r="AS33" s="13" t="n">
        <f aca="false">-Tax!AS27</f>
        <v>-10.2120308671241</v>
      </c>
      <c r="AT33" s="13" t="n">
        <f aca="false">-Tax!AT27</f>
        <v>-5.18865876110253</v>
      </c>
      <c r="AU33" s="13" t="n">
        <f aca="false">-Tax!AU27</f>
        <v>-9.87847288323764</v>
      </c>
      <c r="AV33" s="13" t="n">
        <f aca="false">-Tax!AV27</f>
        <v>-10.5096234956443</v>
      </c>
      <c r="AW33" s="13" t="n">
        <f aca="false">-Tax!AW27</f>
        <v>-10.5607997952524</v>
      </c>
      <c r="AX33" s="13" t="n">
        <f aca="false">-Tax!AX27</f>
        <v>-10.5974246911304</v>
      </c>
      <c r="AY33" s="13" t="n">
        <f aca="false">-Tax!AY27</f>
        <v>-10.6588461725455</v>
      </c>
      <c r="AZ33" s="13" t="n">
        <f aca="false">-Tax!AZ27</f>
        <v>-10.6914569257254</v>
      </c>
      <c r="BA33" s="13" t="n">
        <f aca="false">-Tax!BA27</f>
        <v>-10.700953359821</v>
      </c>
      <c r="BB33" s="13" t="n">
        <f aca="false">-Tax!BB27</f>
        <v>-9.17155074072655</v>
      </c>
      <c r="BC33" s="13" t="n">
        <f aca="false">-Tax!BC27</f>
        <v>-12.4784195741255</v>
      </c>
      <c r="BD33" s="13" t="n">
        <f aca="false">-Tax!BD27</f>
        <v>-16.6522307030773</v>
      </c>
      <c r="BE33" s="13" t="n">
        <f aca="false">-Tax!BE27</f>
        <v>-16.7075998380276</v>
      </c>
      <c r="BF33" s="13" t="n">
        <f aca="false">-Tax!BF27</f>
        <v>-16.7489485703309</v>
      </c>
      <c r="BG33" s="13" t="n">
        <f aca="false">-Tax!BG27</f>
        <v>-16.813999639235</v>
      </c>
      <c r="BH33" s="13" t="n">
        <f aca="false">-Tax!BH27</f>
        <v>-16.8492059110955</v>
      </c>
      <c r="BI33" s="13" t="n">
        <f aca="false">-Tax!BI27</f>
        <v>-16.7262995364369</v>
      </c>
      <c r="BJ33" s="13" t="n">
        <f aca="false">-Tax!BJ27</f>
        <v>-10.8375470414748</v>
      </c>
      <c r="BK33" s="13" t="n">
        <f aca="false">-Tax!BK27</f>
        <v>-16.372940425129</v>
      </c>
      <c r="BL33" s="13" t="n">
        <f aca="false">-Tax!BL27</f>
        <v>-17.0542245180708</v>
      </c>
      <c r="BM33" s="13" t="n">
        <f aca="false">-Tax!BM27</f>
        <v>-5.68365652910407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1926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-15.0309203029298</v>
      </c>
      <c r="P34" s="13" t="n">
        <f aca="false">-Operations!P96+Operations!P97</f>
        <v>0.0353437448288112</v>
      </c>
      <c r="Q34" s="13" t="n">
        <f aca="false">-Operations!Q96+Operations!Q97</f>
        <v>-0.291782117820111</v>
      </c>
      <c r="R34" s="13" t="n">
        <f aca="false">-Operations!R96+Operations!R97</f>
        <v>0.209563757603965</v>
      </c>
      <c r="S34" s="13" t="n">
        <f aca="false">-Operations!S96+Operations!S97</f>
        <v>-0.311294152189305</v>
      </c>
      <c r="T34" s="13" t="n">
        <f aca="false">-Operations!T96+Operations!T97</f>
        <v>0.192625732676673</v>
      </c>
      <c r="U34" s="13" t="n">
        <f aca="false">-Operations!U96+Operations!U97</f>
        <v>-0.171610634272831</v>
      </c>
      <c r="V34" s="13" t="n">
        <f aca="false">-Operations!V96+Operations!V97</f>
        <v>0.498113873955845</v>
      </c>
      <c r="W34" s="13" t="n">
        <f aca="false">-Operations!W96+Operations!W97</f>
        <v>-0.494121487591972</v>
      </c>
      <c r="X34" s="13" t="n">
        <f aca="false">-Operations!X96+Operations!X97</f>
        <v>-0.0412724454389863</v>
      </c>
      <c r="Y34" s="13" t="n">
        <f aca="false">-Operations!Y96+Operations!Y97</f>
        <v>-0.30217281242037</v>
      </c>
      <c r="Z34" s="13" t="n">
        <f aca="false">-Operations!Z96+Operations!Z97</f>
        <v>0.212119485846758</v>
      </c>
      <c r="AA34" s="13" t="n">
        <f aca="false">-Operations!AA96+Operations!AA97</f>
        <v>-0.322229947788335</v>
      </c>
      <c r="AB34" s="13" t="n">
        <f aca="false">-Operations!AB96+Operations!AB97</f>
        <v>0.19506313471218</v>
      </c>
      <c r="AC34" s="13" t="n">
        <f aca="false">-Operations!AC96+Operations!AC97</f>
        <v>-0.0688562693649608</v>
      </c>
      <c r="AD34" s="13" t="n">
        <f aca="false">-Operations!AD96+Operations!AD97</f>
        <v>0.768161980293163</v>
      </c>
      <c r="AE34" s="13" t="n">
        <f aca="false">-Operations!AE96+Operations!AE97</f>
        <v>-0.629146207509884</v>
      </c>
      <c r="AF34" s="13" t="n">
        <f aca="false">-Operations!AF96+Operations!AF97</f>
        <v>-0.296048098224633</v>
      </c>
      <c r="AG34" s="13" t="n">
        <f aca="false">-Operations!AG96+Operations!AG97</f>
        <v>-0.313421226567128</v>
      </c>
      <c r="AH34" s="13" t="n">
        <f aca="false">-Operations!AH96+Operations!AH97</f>
        <v>0.21486176468138</v>
      </c>
      <c r="AI34" s="13" t="n">
        <f aca="false">-Operations!AI96+Operations!AI97</f>
        <v>-0.334056857673378</v>
      </c>
      <c r="AJ34" s="13" t="n">
        <f aca="false">-Operations!AJ96+Operations!AJ97</f>
        <v>0.197706218480807</v>
      </c>
      <c r="AK34" s="13" t="n">
        <f aca="false">-Operations!AK96+Operations!AK97</f>
        <v>-0.187396234943293</v>
      </c>
      <c r="AL34" s="13" t="n">
        <f aca="false">-Operations!AL96+Operations!AL97</f>
        <v>0.525474920151487</v>
      </c>
      <c r="AM34" s="13" t="n">
        <f aca="false">-Operations!AM96+Operations!AM97</f>
        <v>-0.531248374077231</v>
      </c>
      <c r="AN34" s="13" t="n">
        <f aca="false">-Operations!AN96+Operations!AN97</f>
        <v>-0.0511296020037833</v>
      </c>
      <c r="AO34" s="13" t="n">
        <f aca="false">-Operations!AO96+Operations!AO97</f>
        <v>-0.32559961628662</v>
      </c>
      <c r="AP34" s="13" t="n">
        <f aca="false">-Operations!AP96+Operations!AP97</f>
        <v>0.217804502172619</v>
      </c>
      <c r="AQ34" s="13" t="n">
        <f aca="false">-Operations!AQ96+Operations!AQ97</f>
        <v>-0.346849040587152</v>
      </c>
      <c r="AR34" s="13" t="n">
        <f aca="false">-Operations!AR96+Operations!AR97</f>
        <v>0.200572742868168</v>
      </c>
      <c r="AS34" s="13" t="n">
        <f aca="false">-Operations!AS96+Operations!AS97</f>
        <v>-0.0788914857632435</v>
      </c>
      <c r="AT34" s="13" t="n">
        <f aca="false">-Operations!AT96+Operations!AT97</f>
        <v>0.819341743056882</v>
      </c>
      <c r="AU34" s="13" t="n">
        <f aca="false">-Operations!AU96+Operations!AU97</f>
        <v>-0.678389105855572</v>
      </c>
      <c r="AV34" s="13" t="n">
        <f aca="false">-Operations!AV96+Operations!AV97</f>
        <v>-0.326303504441729</v>
      </c>
      <c r="AW34" s="13" t="n">
        <f aca="false">-Operations!AW96+Operations!AW97</f>
        <v>-0.338786432114016</v>
      </c>
      <c r="AX34" s="13" t="n">
        <f aca="false">-Operations!AX96+Operations!AX97</f>
        <v>0.220962671425692</v>
      </c>
      <c r="AY34" s="13" t="n">
        <f aca="false">-Operations!AY96+Operations!AY97</f>
        <v>-0.360686943048318</v>
      </c>
      <c r="AZ34" s="13" t="n">
        <f aca="false">-Operations!AZ96+Operations!AZ97</f>
        <v>0.203682031616687</v>
      </c>
      <c r="BA34" s="13" t="n">
        <f aca="false">-Operations!BA96+Operations!BA97</f>
        <v>-0.205930087494625</v>
      </c>
      <c r="BB34" s="13" t="n">
        <f aca="false">-Operations!BB96+Operations!BB97</f>
        <v>0.557709252693396</v>
      </c>
      <c r="BC34" s="13" t="n">
        <f aca="false">-Operations!BC96+Operations!BC97</f>
        <v>-0.574875790139355</v>
      </c>
      <c r="BD34" s="13" t="n">
        <f aca="false">-Operations!BD96+Operations!BD97</f>
        <v>-0.0627509991258641</v>
      </c>
      <c r="BE34" s="13" t="n">
        <f aca="false">-Operations!BE96+Operations!BE97</f>
        <v>-0.353066857879409</v>
      </c>
      <c r="BF34" s="13" t="n">
        <f aca="false">-Operations!BF96+Operations!BF97</f>
        <v>0.224352394703626</v>
      </c>
      <c r="BG34" s="13" t="n">
        <f aca="false">-Operations!BG96+Operations!BG97</f>
        <v>-0.375657840968696</v>
      </c>
      <c r="BH34" s="13" t="n">
        <f aca="false">-Operations!BH96+Operations!BH97</f>
        <v>0.207055113586016</v>
      </c>
      <c r="BI34" s="13" t="n">
        <f aca="false">-Operations!BI96+Operations!BI97</f>
        <v>-0.0906445644605007</v>
      </c>
      <c r="BJ34" s="13" t="n">
        <f aca="false">-Operations!BJ96+Operations!BJ97</f>
        <v>0.879745396243443</v>
      </c>
      <c r="BK34" s="13" t="n">
        <f aca="false">-Operations!BK96+Operations!BK97</f>
        <v>-0.73632530043043</v>
      </c>
      <c r="BL34" s="13" t="n">
        <f aca="false">-Operations!BL96+Operations!BL97</f>
        <v>-0.362031642450219</v>
      </c>
      <c r="BM34" s="13" t="n">
        <f aca="false">-Operations!BM96+Operations!BM97</f>
        <v>23.3632355202641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1927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1863</v>
      </c>
      <c r="E36" s="0" t="s">
        <v>151</v>
      </c>
      <c r="G36" s="13" t="n">
        <f aca="false">SUM(J36:BN36)</f>
        <v>2302.6369557035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1.94526082211549</v>
      </c>
      <c r="P36" s="13" t="n">
        <f aca="false">P32+P33+P34+P35</f>
        <v>50.5587953236546</v>
      </c>
      <c r="Q36" s="13" t="n">
        <f aca="false">Q32+Q33+Q34+Q35</f>
        <v>50.442219274486</v>
      </c>
      <c r="R36" s="13" t="n">
        <f aca="false">R32+R33+R34+R35</f>
        <v>51.0277336692931</v>
      </c>
      <c r="S36" s="13" t="n">
        <f aca="false">S32+S33+S34+S35</f>
        <v>50.6712762345651</v>
      </c>
      <c r="T36" s="13" t="n">
        <f aca="false">T32+T33+T34+T35</f>
        <v>51.2552214181002</v>
      </c>
      <c r="U36" s="13" t="n">
        <f aca="false">U32+U33+U34+U35</f>
        <v>50.8793760801711</v>
      </c>
      <c r="V36" s="13" t="n">
        <f aca="false">V32+V33+V34+V35</f>
        <v>50.5748110157739</v>
      </c>
      <c r="W36" s="13" t="n">
        <f aca="false">W32+W33+W34+W35</f>
        <v>50.4901031193111</v>
      </c>
      <c r="X36" s="13" t="n">
        <f aca="false">X32+X33+X34+X35</f>
        <v>49.9232443131463</v>
      </c>
      <c r="Y36" s="13" t="n">
        <f aca="false">Y32+Y33+Y34+Y35</f>
        <v>49.6795426257345</v>
      </c>
      <c r="Z36" s="13" t="n">
        <f aca="false">Z32+Z33+Z34+Z35</f>
        <v>50.0400854120507</v>
      </c>
      <c r="AA36" s="13" t="n">
        <f aca="false">AA32+AA33+AA34+AA35</f>
        <v>49.677020213812</v>
      </c>
      <c r="AB36" s="13" t="n">
        <f aca="false">AB32+AB33+AB34+AB35</f>
        <v>50.2787865425378</v>
      </c>
      <c r="AC36" s="13" t="n">
        <f aca="false">AC32+AC33+AC34+AC35</f>
        <v>49.6077702772062</v>
      </c>
      <c r="AD36" s="13" t="n">
        <f aca="false">AD32+AD33+AD34+AD35</f>
        <v>49.9461249695239</v>
      </c>
      <c r="AE36" s="13" t="n">
        <f aca="false">AE32+AE33+AE34+AE35</f>
        <v>49.9673885349949</v>
      </c>
      <c r="AF36" s="13" t="n">
        <f aca="false">AF32+AF33+AF34+AF35</f>
        <v>51.7546549317302</v>
      </c>
      <c r="AG36" s="13" t="n">
        <f aca="false">AG32+AG33+AG34+AG35</f>
        <v>51.8814766609504</v>
      </c>
      <c r="AH36" s="13" t="n">
        <f aca="false">AH32+AH33+AH34+AH35</f>
        <v>52.5031564352454</v>
      </c>
      <c r="AI36" s="13" t="n">
        <f aca="false">AI32+AI33+AI34+AI35</f>
        <v>52.135038363419</v>
      </c>
      <c r="AJ36" s="13" t="n">
        <f aca="false">AJ32+AJ33+AJ34+AJ35</f>
        <v>52.7579793908153</v>
      </c>
      <c r="AK36" s="13" t="n">
        <f aca="false">AK32+AK33+AK34+AK35</f>
        <v>52.3807507136761</v>
      </c>
      <c r="AL36" s="13" t="n">
        <f aca="false">AL32+AL33+AL34+AL35</f>
        <v>52.1278011522673</v>
      </c>
      <c r="AM36" s="13" t="n">
        <f aca="false">AM32+AM33+AM34+AM35</f>
        <v>52.0479460998276</v>
      </c>
      <c r="AN36" s="13" t="n">
        <f aca="false">AN32+AN33+AN34+AN35</f>
        <v>45.442623486409</v>
      </c>
      <c r="AO36" s="13" t="n">
        <f aca="false">AO32+AO33+AO34+AO35</f>
        <v>41.9313665418203</v>
      </c>
      <c r="AP36" s="13" t="n">
        <f aca="false">AP32+AP33+AP34+AP35</f>
        <v>41.8536383389252</v>
      </c>
      <c r="AQ36" s="13" t="n">
        <f aca="false">AQ32+AQ33+AQ34+AQ35</f>
        <v>41.4244393119057</v>
      </c>
      <c r="AR36" s="13" t="n">
        <f aca="false">AR32+AR33+AR34+AR35</f>
        <v>42.0423434696002</v>
      </c>
      <c r="AS36" s="13" t="n">
        <f aca="false">AS32+AS33+AS34+AS35</f>
        <v>41.4761529871317</v>
      </c>
      <c r="AT36" s="13" t="n">
        <f aca="false">AT32+AT33+AT34+AT35</f>
        <v>47.0884082336434</v>
      </c>
      <c r="AU36" s="13" t="n">
        <f aca="false">AU32+AU33+AU34+AU35</f>
        <v>42.4462424901245</v>
      </c>
      <c r="AV36" s="13" t="n">
        <f aca="false">AV32+AV33+AV34+AV35</f>
        <v>43.6813718528973</v>
      </c>
      <c r="AW36" s="13" t="n">
        <f aca="false">AW32+AW33+AW34+AW35</f>
        <v>43.7883002909771</v>
      </c>
      <c r="AX36" s="13" t="n">
        <f aca="false">AX32+AX33+AX34+AX35</f>
        <v>44.4335074848987</v>
      </c>
      <c r="AY36" s="13" t="n">
        <f aca="false">AY32+AY33+AY34+AY35</f>
        <v>43.9951746603934</v>
      </c>
      <c r="AZ36" s="13" t="n">
        <f aca="false">AZ32+AZ33+AZ34+AZ35</f>
        <v>44.6356353924781</v>
      </c>
      <c r="BA36" s="13" t="n">
        <f aca="false">BA32+BA33+BA34+BA35</f>
        <v>44.2481816195899</v>
      </c>
      <c r="BB36" s="13" t="n">
        <f aca="false">BB32+BB33+BB34+BB35</f>
        <v>45.5707018550213</v>
      </c>
      <c r="BC36" s="13" t="n">
        <f aca="false">BC32+BC33+BC34+BC35</f>
        <v>42.2034950942024</v>
      </c>
      <c r="BD36" s="13" t="n">
        <f aca="false">BD32+BD33+BD34+BD35</f>
        <v>36.8345311775702</v>
      </c>
      <c r="BE36" s="13" t="n">
        <f aca="false">BE32+BE33+BE34+BE35</f>
        <v>36.6734099670342</v>
      </c>
      <c r="BF36" s="13" t="n">
        <f aca="false">BF32+BF33+BF34+BF35</f>
        <v>37.3473095949916</v>
      </c>
      <c r="BG36" s="13" t="n">
        <f aca="false">BG32+BG33+BG34+BG35</f>
        <v>36.8990851867622</v>
      </c>
      <c r="BH36" s="13" t="n">
        <f aca="false">BH32+BH33+BH34+BH35</f>
        <v>37.5639461089914</v>
      </c>
      <c r="BI36" s="13" t="n">
        <f aca="false">BI32+BI33+BI34+BI35</f>
        <v>36.9794648900747</v>
      </c>
      <c r="BJ36" s="13" t="n">
        <f aca="false">BJ32+BJ33+BJ34+BJ35</f>
        <v>43.7700598903247</v>
      </c>
      <c r="BK36" s="13" t="n">
        <f aca="false">BK32+BK33+BK34+BK35</f>
        <v>38.303654922166</v>
      </c>
      <c r="BL36" s="13" t="n">
        <f aca="false">BL32+BL33+BL34+BL35</f>
        <v>40.2676114636771</v>
      </c>
      <c r="BM36" s="13" t="n">
        <f aca="false">BM32+BM33+BM34+BM35</f>
        <v>37.1827357974818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1928</v>
      </c>
      <c r="E37" s="0" t="s">
        <v>151</v>
      </c>
      <c r="G37" s="13" t="n">
        <f aca="false">SUM(J37:BN37)</f>
        <v>-848.666127728785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-37.2458954365957</v>
      </c>
      <c r="Q37" s="13" t="n">
        <f aca="false">-(Debt!Q114+Debt!Q110)</f>
        <v>-37.1570164547307</v>
      </c>
      <c r="R37" s="13" t="n">
        <f aca="false">-(Debt!R114+Debt!R110)</f>
        <v>-37.6247850871586</v>
      </c>
      <c r="S37" s="13" t="n">
        <f aca="false">-(Debt!S114+Debt!S110)</f>
        <v>-37.3333124921438</v>
      </c>
      <c r="T37" s="13" t="n">
        <f aca="false">-(Debt!T114+Debt!T110)</f>
        <v>-37.7512177812382</v>
      </c>
      <c r="U37" s="13" t="n">
        <f aca="false">-(Debt!U114+Debt!U110)</f>
        <v>-37.5706927544304</v>
      </c>
      <c r="V37" s="13" t="n">
        <f aca="false">-(Debt!V114+Debt!V110)</f>
        <v>-38.2879202346828</v>
      </c>
      <c r="W37" s="13" t="n">
        <f aca="false">-(Debt!W114+Debt!W110)</f>
        <v>-38.0232274255105</v>
      </c>
      <c r="X37" s="13" t="n">
        <f aca="false">-(Debt!X114+Debt!X110)</f>
        <v>-36.9267950741505</v>
      </c>
      <c r="Y37" s="13" t="n">
        <f aca="false">-(Debt!Y114+Debt!Y110)</f>
        <v>-36.5703920442144</v>
      </c>
      <c r="Z37" s="13" t="n">
        <f aca="false">-(Debt!Z114+Debt!Z110)</f>
        <v>-36.8713631081105</v>
      </c>
      <c r="AA37" s="13" t="n">
        <f aca="false">-(Debt!AA114+Debt!AA110)</f>
        <v>-36.5742873545516</v>
      </c>
      <c r="AB37" s="13" t="n">
        <f aca="false">-(Debt!AB114+Debt!AB110)</f>
        <v>-36.3798232325157</v>
      </c>
      <c r="AC37" s="13" t="n">
        <f aca="false">-(Debt!AC114+Debt!AC110)</f>
        <v>-35.4741386115214</v>
      </c>
      <c r="AD37" s="13" t="n">
        <f aca="false">-(Debt!AD114+Debt!AD110)</f>
        <v>-36.0430627686406</v>
      </c>
      <c r="AE37" s="13" t="n">
        <f aca="false">-(Debt!AE114+Debt!AE110)</f>
        <v>-35.2058842587146</v>
      </c>
      <c r="AF37" s="13" t="n">
        <f aca="false">-(Debt!AF114+Debt!AF110)</f>
        <v>-34.2658986227048</v>
      </c>
      <c r="AG37" s="13" t="n">
        <f aca="false">-(Debt!AG114+Debt!AG110)</f>
        <v>-32.6315979002878</v>
      </c>
      <c r="AH37" s="13" t="n">
        <f aca="false">-(Debt!AH114+Debt!AH110)</f>
        <v>-31.3792371080606</v>
      </c>
      <c r="AI37" s="13" t="n">
        <f aca="false">-(Debt!AI114+Debt!AI110)</f>
        <v>-29.075063809994</v>
      </c>
      <c r="AJ37" s="13" t="n">
        <f aca="false">-(Debt!AJ114+Debt!AJ110)</f>
        <v>-26.7505812974318</v>
      </c>
      <c r="AK37" s="13" t="n">
        <f aca="false">-(Debt!AK114+Debt!AK110)</f>
        <v>-23.0698357762032</v>
      </c>
      <c r="AL37" s="13" t="n">
        <f aca="false">-(Debt!AL114+Debt!AL110)</f>
        <v>-21.8341874227264</v>
      </c>
      <c r="AM37" s="13" t="n">
        <f aca="false">-(Debt!AM114+Debt!AM110)</f>
        <v>-21.7661643202512</v>
      </c>
      <c r="AN37" s="13" t="n">
        <f aca="false">-(Debt!AN114+Debt!AN110)</f>
        <v>-18.8305492762072</v>
      </c>
      <c r="AO37" s="13" t="n">
        <f aca="false">-(Debt!AO114+Debt!AO110)</f>
        <v>-18.0231980760082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1929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1930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1931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1932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1933</v>
      </c>
      <c r="E43" s="0" t="s">
        <v>151</v>
      </c>
      <c r="G43" s="13" t="n">
        <f aca="false">SUM(J43:BN43)</f>
        <v>-98.536231383159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-6.33613579110148</v>
      </c>
      <c r="AB43" s="13" t="n">
        <f aca="false">-(Waterfall!AB28+Waterfall!AB29)</f>
        <v>-7.3361792653103</v>
      </c>
      <c r="AC43" s="13" t="n">
        <f aca="false">-(Waterfall!AC28+Waterfall!AC29)</f>
        <v>-6.77250778216815</v>
      </c>
      <c r="AD43" s="13" t="n">
        <f aca="false">-(Waterfall!AD28+Waterfall!AD29)</f>
        <v>-7.30964534557927</v>
      </c>
      <c r="AE43" s="13" t="n">
        <f aca="false">-(Waterfall!AE28+Waterfall!AE29)</f>
        <v>-7.78006034893469</v>
      </c>
      <c r="AF43" s="13" t="n">
        <f aca="false">-(Waterfall!AF28+Waterfall!AF29)</f>
        <v>-9.39671623959113</v>
      </c>
      <c r="AG43" s="13" t="n">
        <f aca="false">-(Waterfall!AG28+Waterfall!AG29)</f>
        <v>-10.108514306482</v>
      </c>
      <c r="AH43" s="13" t="n">
        <f aca="false">-(Waterfall!AH28+Waterfall!AH29)</f>
        <v>-11.49525602661</v>
      </c>
      <c r="AI43" s="13" t="n">
        <f aca="false">-(Waterfall!AI28+Waterfall!AI29)</f>
        <v>-12.419411504587</v>
      </c>
      <c r="AJ43" s="13" t="n">
        <f aca="false">-(Waterfall!AJ28+Waterfall!AJ29)</f>
        <v>-14.3612899970111</v>
      </c>
      <c r="AK43" s="13" t="n">
        <f aca="false">-(Waterfall!AK28+Waterfall!AK29)</f>
        <v>-5.22051477578384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1934</v>
      </c>
      <c r="E44" s="0" t="s">
        <v>151</v>
      </c>
      <c r="G44" s="13" t="n">
        <f aca="false">SUM(J44:BN44)</f>
        <v>-400.837219489654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-15.3470396910385</v>
      </c>
      <c r="Q44" s="13" t="n">
        <f aca="false">-(Waterfall!Q34+Waterfall!Q35)</f>
        <v>-12.8174341873273</v>
      </c>
      <c r="R44" s="13" t="n">
        <f aca="false">-(Waterfall!R34+Waterfall!R35)</f>
        <v>-13.6944211771493</v>
      </c>
      <c r="S44" s="13" t="n">
        <f aca="false">-(Waterfall!S34+Waterfall!S35)</f>
        <v>-12.9200584533269</v>
      </c>
      <c r="T44" s="13" t="n">
        <f aca="false">-(Waterfall!T34+Waterfall!T35)</f>
        <v>-13.6845286636698</v>
      </c>
      <c r="U44" s="13" t="n">
        <f aca="false">-(Waterfall!U34+Waterfall!U35)</f>
        <v>-12.5914558454883</v>
      </c>
      <c r="V44" s="13" t="n">
        <f aca="false">-(Waterfall!V34+Waterfall!V35)</f>
        <v>-12.5515835902634</v>
      </c>
      <c r="W44" s="13" t="n">
        <f aca="false">-(Waterfall!W34+Waterfall!W35)</f>
        <v>-13.5633080451606</v>
      </c>
      <c r="X44" s="13" t="n">
        <f aca="false">-(Waterfall!X34+Waterfall!X35)</f>
        <v>-13.3528522689319</v>
      </c>
      <c r="Y44" s="13" t="n">
        <f aca="false">-(Waterfall!Y34+Waterfall!Y35)</f>
        <v>-12.808179517624</v>
      </c>
      <c r="Z44" s="13" t="n">
        <f aca="false">-(Waterfall!Z34+Waterfall!Z35)</f>
        <v>-13.4657980574992</v>
      </c>
      <c r="AA44" s="13" t="n">
        <f aca="false">-(Waterfall!AA34+Waterfall!AA35)</f>
        <v>-6.33613579110148</v>
      </c>
      <c r="AB44" s="13" t="n">
        <f aca="false">-(Waterfall!AB34+Waterfall!AB35)</f>
        <v>-7.3361792653103</v>
      </c>
      <c r="AC44" s="13" t="n">
        <f aca="false">-(Waterfall!AC34+Waterfall!AC35)</f>
        <v>-6.77250778216815</v>
      </c>
      <c r="AD44" s="13" t="n">
        <f aca="false">-(Waterfall!AD34+Waterfall!AD35)</f>
        <v>-7.30964534557927</v>
      </c>
      <c r="AE44" s="13" t="n">
        <f aca="false">-(Waterfall!AE34+Waterfall!AE35)</f>
        <v>-7.78006034893469</v>
      </c>
      <c r="AF44" s="13" t="n">
        <f aca="false">-(Waterfall!AF34+Waterfall!AF35)</f>
        <v>-9.39671623959113</v>
      </c>
      <c r="AG44" s="13" t="n">
        <f aca="false">-(Waterfall!AG34+Waterfall!AG35)</f>
        <v>-10.108514306482</v>
      </c>
      <c r="AH44" s="13" t="n">
        <f aca="false">-(Waterfall!AH34+Waterfall!AH35)</f>
        <v>-11.49525602661</v>
      </c>
      <c r="AI44" s="13" t="n">
        <f aca="false">-(Waterfall!AI34+Waterfall!AI35)</f>
        <v>-12.419411504587</v>
      </c>
      <c r="AJ44" s="13" t="n">
        <f aca="false">-(Waterfall!AJ34+Waterfall!AJ35)</f>
        <v>-14.3612899970111</v>
      </c>
      <c r="AK44" s="13" t="n">
        <f aca="false">-(Waterfall!AK34+Waterfall!AK35)</f>
        <v>-27.2525632704749</v>
      </c>
      <c r="AL44" s="13" t="n">
        <f aca="false">-(Waterfall!AL34+Waterfall!AL35)</f>
        <v>-32.0379617961174</v>
      </c>
      <c r="AM44" s="13" t="n">
        <f aca="false">-(Waterfall!AM34+Waterfall!AM35)</f>
        <v>-33.2173968236204</v>
      </c>
      <c r="AN44" s="13" t="n">
        <f aca="false">-(Waterfall!AN34+Waterfall!AN35)</f>
        <v>-27.4194254104008</v>
      </c>
      <c r="AO44" s="13" t="n">
        <f aca="false">-(Waterfall!AO34+Waterfall!AO35)</f>
        <v>-40.7974960841862</v>
      </c>
      <c r="AP44" s="13" t="n">
        <f aca="false">-(Waterfall!AP34+Waterfall!AP35)</f>
        <v>-0</v>
      </c>
      <c r="AQ44" s="13" t="n">
        <f aca="false">-(Waterfall!AQ34+Waterfall!AQ35)</f>
        <v>-0</v>
      </c>
      <c r="AR44" s="13" t="n">
        <f aca="false">-(Waterfall!AR34+Waterfall!AR35)</f>
        <v>-0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1897</v>
      </c>
      <c r="E45" s="0" t="s">
        <v>151</v>
      </c>
      <c r="G45" s="13" t="n">
        <f aca="false">SUM(J45:BN45)</f>
        <v>-991.843272538497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-1.13387045763407</v>
      </c>
      <c r="AP45" s="13" t="n">
        <f aca="false">-Waterfall!AP41</f>
        <v>-41.8536383389252</v>
      </c>
      <c r="AQ45" s="13" t="n">
        <f aca="false">-Waterfall!AQ41</f>
        <v>-41.4244393119057</v>
      </c>
      <c r="AR45" s="13" t="n">
        <f aca="false">-Waterfall!AR41</f>
        <v>-42.0423434696002</v>
      </c>
      <c r="AS45" s="13" t="n">
        <f aca="false">-Waterfall!AS41</f>
        <v>-41.4761529871317</v>
      </c>
      <c r="AT45" s="13" t="n">
        <f aca="false">-Waterfall!AT41</f>
        <v>-47.0884082336434</v>
      </c>
      <c r="AU45" s="13" t="n">
        <f aca="false">-Waterfall!AU41</f>
        <v>-42.4462424901245</v>
      </c>
      <c r="AV45" s="13" t="n">
        <f aca="false">-Waterfall!AV41</f>
        <v>-43.6813718528973</v>
      </c>
      <c r="AW45" s="13" t="n">
        <f aca="false">-Waterfall!AW41</f>
        <v>-43.7883002909771</v>
      </c>
      <c r="AX45" s="13" t="n">
        <f aca="false">-Waterfall!AX41</f>
        <v>-44.4335074848987</v>
      </c>
      <c r="AY45" s="13" t="n">
        <f aca="false">-Waterfall!AY41</f>
        <v>-43.9951746603934</v>
      </c>
      <c r="AZ45" s="13" t="n">
        <f aca="false">-Waterfall!AZ41</f>
        <v>-44.6356353924781</v>
      </c>
      <c r="BA45" s="13" t="n">
        <f aca="false">-Waterfall!BA41</f>
        <v>-43.7532132329812</v>
      </c>
      <c r="BB45" s="13" t="n">
        <f aca="false">-Waterfall!BB41</f>
        <v>-44.0695516003769</v>
      </c>
      <c r="BC45" s="13" t="n">
        <f aca="false">-Waterfall!BC41</f>
        <v>-40.6859220208602</v>
      </c>
      <c r="BD45" s="13" t="n">
        <f aca="false">-Waterfall!BD41</f>
        <v>-35.3003556173236</v>
      </c>
      <c r="BE45" s="13" t="n">
        <f aca="false">-Waterfall!BE41</f>
        <v>-35.1224502860784</v>
      </c>
      <c r="BF45" s="13" t="n">
        <f aca="false">-Waterfall!BF41</f>
        <v>-35.7793821724196</v>
      </c>
      <c r="BG45" s="13" t="n">
        <f aca="false">-Waterfall!BG41</f>
        <v>-35.3140043928254</v>
      </c>
      <c r="BH45" s="13" t="n">
        <f aca="false">-Waterfall!BH41</f>
        <v>-35.9615242831228</v>
      </c>
      <c r="BI45" s="13" t="n">
        <f aca="false">-Waterfall!BI41</f>
        <v>-35.3595123186713</v>
      </c>
      <c r="BJ45" s="13" t="n">
        <f aca="false">-Waterfall!BJ41</f>
        <v>-42.132384784287</v>
      </c>
      <c r="BK45" s="13" t="n">
        <f aca="false">-Waterfall!BK41</f>
        <v>-36.6480633941918</v>
      </c>
      <c r="BL45" s="13" t="n">
        <f aca="false">-Waterfall!BL41</f>
        <v>-38.5939075053066</v>
      </c>
      <c r="BM45" s="13" t="n">
        <f aca="false">-Waterfall!BM41</f>
        <v>-55.1239159594428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1935</v>
      </c>
      <c r="E46" s="0" t="s">
        <v>151</v>
      </c>
      <c r="G46" s="13" t="n">
        <f aca="false">SUM(J46:BN46)</f>
        <v>37.2458954365948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37.2458954365948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1936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1937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1938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39.1911562587103</v>
      </c>
      <c r="P49" s="13" t="n">
        <f aca="false">P36+P37+P38+P39+P40+P41+P42+P43+P44+P45+P46+P47+P48</f>
        <v>-1.61787150152473</v>
      </c>
      <c r="Q49" s="13" t="n">
        <f aca="false">Q36+Q37+Q38+Q39+Q40+Q41+Q42+Q43+Q44+Q45+Q46+Q47+Q48</f>
        <v>0.884036934882815</v>
      </c>
      <c r="R49" s="13" t="n">
        <f aca="false">R36+R37+R38+R39+R40+R41+R42+R43+R44+R45+R46+R47+R48</f>
        <v>0.124795707439993</v>
      </c>
      <c r="S49" s="13" t="n">
        <f aca="false">S36+S37+S38+S39+S40+S41+S42+S43+S44+S45+S46+S47+S48</f>
        <v>0.834173591549245</v>
      </c>
      <c r="T49" s="13" t="n">
        <f aca="false">T36+T37+T38+T39+T40+T41+T42+T43+T44+T45+T46+T47+T48</f>
        <v>0.235743275647117</v>
      </c>
      <c r="U49" s="13" t="n">
        <f aca="false">U36+U37+U38+U39+U40+U41+U42+U43+U44+U45+U46+U47+U48</f>
        <v>1.13349578270723</v>
      </c>
      <c r="V49" s="13" t="n">
        <f aca="false">V36+V37+V38+V39+V40+V41+V42+V43+V44+V45+V46+V47+V48</f>
        <v>-2.76230262390146</v>
      </c>
      <c r="W49" s="13" t="n">
        <f aca="false">W36+W37+W38+W39+W40+W41+W42+W43+W44+W45+W46+W47+W48</f>
        <v>-1.09643235136002</v>
      </c>
      <c r="X49" s="13" t="n">
        <f aca="false">X36+X37+X38+X39+X40+X41+X42+X43+X44+X45+X46+X47+X48</f>
        <v>1.61633951369738</v>
      </c>
      <c r="Y49" s="13" t="n">
        <f aca="false">Y36+Y37+Y38+Y39+Y40+Y41+Y42+Y43+Y44+Y45+Y46+Y47+Y48</f>
        <v>2.27371360752954</v>
      </c>
      <c r="Z49" s="13" t="n">
        <f aca="false">Z36+Z37+Z38+Z39+Z40+Z41+Z42+Z43+Z44+Z45+Z46+Z47+Z48</f>
        <v>1.67566679007455</v>
      </c>
      <c r="AA49" s="13" t="n">
        <f aca="false">AA36+AA37+AA38+AA39+AA40+AA41+AA42+AA43+AA44+AA45+AA46+AA47+AA48</f>
        <v>2.40320382069091</v>
      </c>
      <c r="AB49" s="13" t="n">
        <f aca="false">AB36+AB37+AB38+AB39+AB40+AB41+AB42+AB43+AB44+AB45+AB46+AB47+AB48</f>
        <v>1.19934732303494</v>
      </c>
      <c r="AC49" s="13" t="n">
        <f aca="false">AC36+AC37+AC38+AC39+AC40+AC41+AC42+AC43+AC44+AC45+AC46+AC47+AC48</f>
        <v>2.56135864498197</v>
      </c>
      <c r="AD49" s="13" t="n">
        <f aca="false">AD36+AD37+AD38+AD39+AD40+AD41+AD42+AD43+AD44+AD45+AD46+AD47+AD48</f>
        <v>-12.552683752076</v>
      </c>
      <c r="AE49" s="13" t="n">
        <f aca="false">AE36+AE37+AE38+AE39+AE40+AE41+AE42+AE43+AE44+AE45+AE46+AE47+AE48</f>
        <v>-0.798616421589081</v>
      </c>
      <c r="AF49" s="13" t="n">
        <f aca="false">AF36+AF37+AF38+AF39+AF40+AF41+AF42+AF43+AF44+AF45+AF46+AF47+AF48</f>
        <v>-0.809248215240954</v>
      </c>
      <c r="AG49" s="13" t="n">
        <f aca="false">AG36+AG37+AG38+AG39+AG40+AG41+AG42+AG43+AG44+AG45+AG46+AG47+AG48</f>
        <v>-0.471721897385455</v>
      </c>
      <c r="AH49" s="13" t="n">
        <f aca="false">AH36+AH37+AH38+AH39+AH40+AH41+AH42+AH43+AH44+AH45+AH46+AH47+AH48</f>
        <v>-1.37116477111923</v>
      </c>
      <c r="AI49" s="13" t="n">
        <f aca="false">AI36+AI37+AI38+AI39+AI40+AI41+AI42+AI43+AI44+AI45+AI46+AI47+AI48</f>
        <v>-1.28342050083301</v>
      </c>
      <c r="AJ49" s="13" t="n">
        <f aca="false">AJ36+AJ37+AJ38+AJ39+AJ40+AJ41+AJ42+AJ43+AJ44+AJ45+AJ46+AJ47+AJ48</f>
        <v>-2.21975394572294</v>
      </c>
      <c r="AK49" s="13" t="n">
        <f aca="false">AK36+AK37+AK38+AK39+AK40+AK41+AK42+AK43+AK44+AK45+AK46+AK47+AK48</f>
        <v>-2.66673515386998</v>
      </c>
      <c r="AL49" s="13" t="n">
        <f aca="false">AL36+AL37+AL38+AL39+AL40+AL41+AL42+AL43+AL44+AL45+AL46+AL47+AL48</f>
        <v>-4.71691579607192</v>
      </c>
      <c r="AM49" s="13" t="n">
        <f aca="false">AM36+AM37+AM38+AM39+AM40+AM41+AM42+AM43+AM44+AM45+AM46+AM47+AM48</f>
        <v>-2.93561504404399</v>
      </c>
      <c r="AN49" s="13" t="n">
        <f aca="false">AN36+AN37+AN38+AN39+AN40+AN41+AN42+AN43+AN44+AN45+AN46+AN47+AN48</f>
        <v>1.54053788528794</v>
      </c>
      <c r="AO49" s="13" t="n">
        <f aca="false">AO36+AO37+AO38+AO39+AO40+AO41+AO42+AO43+AO44+AO45+AO46+AO47+AO48</f>
        <v>-15.6753089905213</v>
      </c>
      <c r="AP49" s="13" t="n">
        <f aca="false">AP36+AP37+AP38+AP39+AP40+AP41+AP42+AP43+AP44+AP45+AP46+AP47+AP48</f>
        <v>2.34788908548694</v>
      </c>
      <c r="AQ49" s="13" t="n">
        <f aca="false">AQ36+AQ37+AQ38+AQ39+AQ40+AQ41+AQ42+AQ43+AQ44+AQ45+AQ46+AQ47+AQ48</f>
        <v>2.34788908548694</v>
      </c>
      <c r="AR49" s="13" t="n">
        <f aca="false">AR36+AR37+AR38+AR39+AR40+AR41+AR42+AR43+AR44+AR45+AR46+AR47+AR48</f>
        <v>2.34788908548694</v>
      </c>
      <c r="AS49" s="13" t="n">
        <f aca="false">AS36+AS37+AS38+AS39+AS40+AS41+AS42+AS43+AS44+AS45+AS46+AS47+AS48</f>
        <v>2.34788908548694</v>
      </c>
      <c r="AT49" s="13" t="n">
        <f aca="false">AT36+AT37+AT38+AT39+AT40+AT41+AT42+AT43+AT44+AT45+AT46+AT47+AT48</f>
        <v>-14.0873345129217</v>
      </c>
      <c r="AU49" s="13" t="n">
        <f aca="false">AU36+AU37+AU38+AU39+AU40+AU41+AU42+AU43+AU44+AU45+AU46+AU47+AU48</f>
        <v>0</v>
      </c>
      <c r="AV49" s="13" t="n">
        <f aca="false">AV36+AV37+AV38+AV39+AV40+AV41+AV42+AV43+AV44+AV45+AV46+AV47+AV48</f>
        <v>0.589641000923391</v>
      </c>
      <c r="AW49" s="13" t="n">
        <f aca="false">AW36+AW37+AW38+AW39+AW40+AW41+AW42+AW43+AW44+AW45+AW46+AW47+AW48</f>
        <v>0.589641000923391</v>
      </c>
      <c r="AX49" s="13" t="n">
        <f aca="false">AX36+AX37+AX38+AX39+AX40+AX41+AX42+AX43+AX44+AX45+AX46+AX47+AX48</f>
        <v>0.589641000923391</v>
      </c>
      <c r="AY49" s="13" t="n">
        <f aca="false">AY36+AY37+AY38+AY39+AY40+AY41+AY42+AY43+AY44+AY45+AY46+AY47+AY48</f>
        <v>0.589641000923391</v>
      </c>
      <c r="AZ49" s="13" t="n">
        <f aca="false">AZ36+AZ37+AZ38+AZ39+AZ40+AZ41+AZ42+AZ43+AZ44+AZ45+AZ46+AZ47+AZ48</f>
        <v>0.589641000923391</v>
      </c>
      <c r="BA49" s="13" t="n">
        <f aca="false">BA36+BA37+BA38+BA39+BA40+BA41+BA42+BA43+BA44+BA45+BA46+BA47+BA48</f>
        <v>1.08460938753208</v>
      </c>
      <c r="BB49" s="13" t="n">
        <f aca="false">BB36+BB37+BB38+BB39+BB40+BB41+BB42+BB43+BB44+BB45+BB46+BB47+BB48</f>
        <v>-2.03669575089593</v>
      </c>
      <c r="BC49" s="13" t="n">
        <f aca="false">BC36+BC37+BC38+BC39+BC40+BC41+BC42+BC43+BC44+BC45+BC46+BC47+BC48</f>
        <v>1.51757307334223</v>
      </c>
      <c r="BD49" s="13" t="n">
        <f aca="false">BD36+BD37+BD38+BD39+BD40+BD41+BD42+BD43+BD44+BD45+BD46+BD47+BD48</f>
        <v>4.32855092135958</v>
      </c>
      <c r="BE49" s="13" t="n">
        <f aca="false">BE36+BE37+BE38+BE39+BE40+BE41+BE42+BE43+BE44+BE45+BE46+BE47+BE48</f>
        <v>4.34533504206875</v>
      </c>
      <c r="BF49" s="13" t="n">
        <f aca="false">BF36+BF37+BF38+BF39+BF40+BF41+BF42+BF43+BF44+BF45+BF46+BF47+BF48</f>
        <v>4.362302783685</v>
      </c>
      <c r="BG49" s="13" t="n">
        <f aca="false">BG36+BG37+BG38+BG39+BG40+BG41+BG42+BG43+BG44+BG45+BG46+BG47+BG48</f>
        <v>4.37945615504978</v>
      </c>
      <c r="BH49" s="13" t="n">
        <f aca="false">BH36+BH37+BH38+BH39+BH40+BH41+BH42+BH43+BH44+BH45+BH46+BH47+BH48</f>
        <v>4.39679718698159</v>
      </c>
      <c r="BI49" s="13" t="n">
        <f aca="false">BI36+BI37+BI38+BI39+BI40+BI41+BI42+BI43+BI44+BI45+BI46+BI47+BI48</f>
        <v>4.41432793251639</v>
      </c>
      <c r="BJ49" s="13" t="n">
        <f aca="false">BJ36+BJ37+BJ38+BJ39+BJ40+BJ41+BJ42+BJ43+BJ44+BJ45+BJ46+BJ47+BJ48</f>
        <v>-15.1285770606402</v>
      </c>
      <c r="BK49" s="13" t="n">
        <f aca="false">BK36+BK37+BK38+BK39+BK40+BK41+BK42+BK43+BK44+BK45+BK46+BK47+BK48</f>
        <v>1.65559152797427</v>
      </c>
      <c r="BL49" s="13" t="n">
        <f aca="false">BL36+BL37+BL38+BL39+BL40+BL41+BL42+BL43+BL44+BL45+BL46+BL47+BL48</f>
        <v>1.67370395837054</v>
      </c>
      <c r="BM49" s="13" t="n">
        <f aca="false">BM36+BM37+BM38+BM39+BM40+BM41+BM42+BM43+BM44+BM45+BM46+BM47+BM48</f>
        <v>-17.941180161961</v>
      </c>
      <c r="BN49" s="13" t="n">
        <f aca="false">BN36+BN37+BN38+BN39+BN40+BN41+BN42+BN43+BN44+BN45+BN46+BN47+BN48</f>
        <v>0</v>
      </c>
    </row>
    <row r="50" customFormat="false" ht="15" hidden="false" customHeight="false" outlineLevel="0" collapsed="false">
      <c r="D50" s="0" t="s">
        <v>1939</v>
      </c>
      <c r="E50" s="0" t="s">
        <v>151</v>
      </c>
      <c r="G50" s="13" t="n">
        <f aca="false">SUM(J50:BN50)</f>
        <v>-37.2458954365948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9.59232693276135E-013</v>
      </c>
      <c r="P50" s="13" t="n">
        <f aca="false">Reserves!P11-Reserves!P10-Reserves!P12</f>
        <v>-0.0888789818650579</v>
      </c>
      <c r="Q50" s="13" t="n">
        <f aca="false">Reserves!Q11-Reserves!Q10-Reserves!Q12</f>
        <v>0.467768632427955</v>
      </c>
      <c r="R50" s="13" t="n">
        <f aca="false">Reserves!R11-Reserves!R10-Reserves!R12</f>
        <v>-0.291472595014866</v>
      </c>
      <c r="S50" s="13" t="n">
        <f aca="false">Reserves!S11-Reserves!S10-Reserves!S12</f>
        <v>0.417905289094385</v>
      </c>
      <c r="T50" s="13" t="n">
        <f aca="false">Reserves!T11-Reserves!T10-Reserves!T12</f>
        <v>-0.180525026807743</v>
      </c>
      <c r="U50" s="13" t="n">
        <f aca="false">Reserves!U11-Reserves!U10-Reserves!U12</f>
        <v>0.717227480252369</v>
      </c>
      <c r="V50" s="13" t="n">
        <f aca="false">Reserves!V11-Reserves!V10-Reserves!V12</f>
        <v>-0.264692809172296</v>
      </c>
      <c r="W50" s="13" t="n">
        <f aca="false">Reserves!W11-Reserves!W10-Reserves!W12</f>
        <v>-1.09643235136002</v>
      </c>
      <c r="X50" s="13" t="n">
        <f aca="false">Reserves!X11-Reserves!X10-Reserves!X12</f>
        <v>-0.356403029936082</v>
      </c>
      <c r="Y50" s="13" t="n">
        <f aca="false">Reserves!Y11-Reserves!Y10-Reserves!Y12</f>
        <v>0.300971063896078</v>
      </c>
      <c r="Z50" s="13" t="n">
        <f aca="false">Reserves!Z11-Reserves!Z10-Reserves!Z12</f>
        <v>-0.297075753558914</v>
      </c>
      <c r="AA50" s="13" t="n">
        <f aca="false">Reserves!AA11-Reserves!AA10-Reserves!AA12</f>
        <v>0.430461277057447</v>
      </c>
      <c r="AB50" s="13" t="n">
        <f aca="false">Reserves!AB11-Reserves!AB10-Reserves!AB12</f>
        <v>-0.773395220598516</v>
      </c>
      <c r="AC50" s="13" t="n">
        <f aca="false">Reserves!AC11-Reserves!AC10-Reserves!AC12</f>
        <v>0.588616101348514</v>
      </c>
      <c r="AD50" s="13" t="n">
        <f aca="false">Reserves!AD11-Reserves!AD10-Reserves!AD12</f>
        <v>-0.716228490275235</v>
      </c>
      <c r="AE50" s="13" t="n">
        <f aca="false">Reserves!AE11-Reserves!AE10-Reserves!AE12</f>
        <v>-0.798616421589081</v>
      </c>
      <c r="AF50" s="13" t="n">
        <f aca="false">Reserves!AF11-Reserves!AF10-Reserves!AF12</f>
        <v>-1.30467617015687</v>
      </c>
      <c r="AG50" s="13" t="n">
        <f aca="false">Reserves!AG11-Reserves!AG10-Reserves!AG12</f>
        <v>-0.967149852301368</v>
      </c>
      <c r="AH50" s="13" t="n">
        <f aca="false">Reserves!AH11-Reserves!AH10-Reserves!AH12</f>
        <v>-1.86659272603514</v>
      </c>
      <c r="AI50" s="13" t="n">
        <f aca="false">Reserves!AI11-Reserves!AI10-Reserves!AI12</f>
        <v>-1.77884845574892</v>
      </c>
      <c r="AJ50" s="13" t="n">
        <f aca="false">Reserves!AJ11-Reserves!AJ10-Reserves!AJ12</f>
        <v>-2.71518190063885</v>
      </c>
      <c r="AK50" s="13" t="n">
        <f aca="false">Reserves!AK11-Reserves!AK10-Reserves!AK12</f>
        <v>-3.16216310878589</v>
      </c>
      <c r="AL50" s="13" t="n">
        <f aca="false">Reserves!AL11-Reserves!AL10-Reserves!AL12</f>
        <v>-1.74434806657644</v>
      </c>
      <c r="AM50" s="13" t="n">
        <f aca="false">Reserves!AM11-Reserves!AM10-Reserves!AM12</f>
        <v>-2.935615044044</v>
      </c>
      <c r="AN50" s="13" t="n">
        <f aca="false">Reserves!AN11-Reserves!AN10-Reserves!AN12</f>
        <v>-0.807351200199008</v>
      </c>
      <c r="AO50" s="13" t="n">
        <f aca="false">Reserves!AO11-Reserves!AO10-Reserves!AO12</f>
        <v>-18.0231980760082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1940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39.1911562587103</v>
      </c>
      <c r="P51" s="13" t="n">
        <f aca="false">P17-O17</f>
        <v>-1.61787150152473</v>
      </c>
      <c r="Q51" s="13" t="n">
        <f aca="false">Q17-P17</f>
        <v>0.884036934882815</v>
      </c>
      <c r="R51" s="13" t="n">
        <f aca="false">R17-Q17</f>
        <v>0.124795707439993</v>
      </c>
      <c r="S51" s="13" t="n">
        <f aca="false">S17-R17</f>
        <v>0.834173591549245</v>
      </c>
      <c r="T51" s="13" t="n">
        <f aca="false">T17-S17</f>
        <v>0.235743275647117</v>
      </c>
      <c r="U51" s="13" t="n">
        <f aca="false">U17-T17</f>
        <v>1.13349578270723</v>
      </c>
      <c r="V51" s="13" t="n">
        <f aca="false">V17-U17</f>
        <v>-2.76230262390146</v>
      </c>
      <c r="W51" s="13" t="n">
        <f aca="false">W17-V17</f>
        <v>-1.09643235136002</v>
      </c>
      <c r="X51" s="13" t="n">
        <f aca="false">X17-W17</f>
        <v>1.61633951369738</v>
      </c>
      <c r="Y51" s="13" t="n">
        <f aca="false">Y17-X17</f>
        <v>2.27371360752954</v>
      </c>
      <c r="Z51" s="13" t="n">
        <f aca="false">Z17-Y17</f>
        <v>1.67566679007455</v>
      </c>
      <c r="AA51" s="13" t="n">
        <f aca="false">AA17-Z17</f>
        <v>2.40320382069091</v>
      </c>
      <c r="AB51" s="13" t="n">
        <f aca="false">AB17-AA17</f>
        <v>1.19934732303494</v>
      </c>
      <c r="AC51" s="13" t="n">
        <f aca="false">AC17-AB17</f>
        <v>2.56135864498197</v>
      </c>
      <c r="AD51" s="13" t="n">
        <f aca="false">AD17-AC17</f>
        <v>-12.552683752076</v>
      </c>
      <c r="AE51" s="13" t="n">
        <f aca="false">AE17-AD17</f>
        <v>-0.798616421589081</v>
      </c>
      <c r="AF51" s="13" t="n">
        <f aca="false">AF17-AE17</f>
        <v>-0.809248215240956</v>
      </c>
      <c r="AG51" s="13" t="n">
        <f aca="false">AG17-AF17</f>
        <v>-0.47172189738545</v>
      </c>
      <c r="AH51" s="13" t="n">
        <f aca="false">AH17-AG17</f>
        <v>-1.37116477111923</v>
      </c>
      <c r="AI51" s="13" t="n">
        <f aca="false">AI17-AH17</f>
        <v>-1.28342050083301</v>
      </c>
      <c r="AJ51" s="13" t="n">
        <f aca="false">AJ17-AI17</f>
        <v>-2.21975394572294</v>
      </c>
      <c r="AK51" s="13" t="n">
        <f aca="false">AK17-AJ17</f>
        <v>-2.66673515386998</v>
      </c>
      <c r="AL51" s="13" t="n">
        <f aca="false">AL17-AK17</f>
        <v>-4.71691579607192</v>
      </c>
      <c r="AM51" s="13" t="n">
        <f aca="false">AM17-AL17</f>
        <v>-2.935615044044</v>
      </c>
      <c r="AN51" s="13" t="n">
        <f aca="false">AN17-AM17</f>
        <v>1.54053788528793</v>
      </c>
      <c r="AO51" s="13" t="n">
        <f aca="false">AO17-AN17</f>
        <v>-15.6753089905213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1941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4.71844785465692E-015</v>
      </c>
      <c r="AH52" s="13" t="n">
        <f aca="false">AH51-AH49</f>
        <v>0</v>
      </c>
      <c r="AI52" s="13" t="n">
        <f aca="false">AI51-AI49</f>
        <v>0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1942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1943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0.0343560605449481</v>
      </c>
      <c r="Q7" s="16" t="n">
        <f aca="false">IF(Debt!Q115&gt;Inputs!$F$253,Debt!Q112/Debt!Q115,0)</f>
        <v>0.0340865298377312</v>
      </c>
      <c r="R7" s="16" t="n">
        <f aca="false">IF(Debt!R115&gt;Inputs!$F$253,Debt!R112/Debt!R115,0)</f>
        <v>0.0345300049340327</v>
      </c>
      <c r="S7" s="16" t="n">
        <f aca="false">IF(Debt!S115&gt;Inputs!$F$253,Debt!S112/Debt!S115,0)</f>
        <v>0.0342415939166486</v>
      </c>
      <c r="T7" s="16" t="n">
        <f aca="false">IF(Debt!T115&gt;Inputs!$F$253,Debt!T112/Debt!T115,0)</f>
        <v>0.0346852323245813</v>
      </c>
      <c r="U7" s="16" t="n">
        <f aca="false">IF(Debt!U115&gt;Inputs!$F$253,Debt!U112/Debt!U115,0)</f>
        <v>0.0345046368743244</v>
      </c>
      <c r="V7" s="16" t="n">
        <f aca="false">IF(Debt!V115&gt;Inputs!$F$253,Debt!V112/Debt!V115,0)</f>
        <v>0.0348229342918151</v>
      </c>
      <c r="W7" s="16" t="n">
        <f aca="false">IF(Debt!W115&gt;Inputs!$F$253,Debt!W112/Debt!W115,0)</f>
        <v>0.0345086077974587</v>
      </c>
      <c r="X7" s="16" t="n">
        <f aca="false">IF(Debt!X115&gt;Inputs!$F$253,Debt!X112/Debt!X115,0)</f>
        <v>0.0349467305643299</v>
      </c>
      <c r="Y7" s="16" t="n">
        <f aca="false">IF(Debt!Y115&gt;Inputs!$F$253,Debt!Y112/Debt!Y115,0)</f>
        <v>0.0357555865142097</v>
      </c>
      <c r="Z7" s="16" t="n">
        <f aca="false">IF(Debt!Z115&gt;Inputs!$F$253,Debt!Z112/Debt!Z115,0)</f>
        <v>0.0362397229410082</v>
      </c>
      <c r="AA7" s="16" t="n">
        <f aca="false">IF(Debt!AA115&gt;Inputs!$F$253,Debt!AA112/Debt!AA115,0)</f>
        <v>0.0359253620399193</v>
      </c>
      <c r="AB7" s="16" t="n">
        <f aca="false">IF(Debt!AB115&gt;Inputs!$F$253,Debt!AB112/Debt!AB115,0)</f>
        <v>0.0362115664506827</v>
      </c>
      <c r="AC7" s="16" t="n">
        <f aca="false">IF(Debt!AC115&gt;Inputs!$F$253,Debt!AC112/Debt!AC115,0)</f>
        <v>0.0357834898307576</v>
      </c>
      <c r="AD7" s="16" t="n">
        <f aca="false">IF(Debt!AD115&gt;Inputs!$F$253,Debt!AD112/Debt!AD115,0)</f>
        <v>0.0358706348460979</v>
      </c>
      <c r="AE7" s="16" t="n">
        <f aca="false">IF(Debt!AE115&gt;Inputs!$F$253,Debt!AE112/Debt!AE115,0)</f>
        <v>0.0352553444007051</v>
      </c>
      <c r="AF7" s="16" t="n">
        <f aca="false">IF(Debt!AF115&gt;Inputs!$F$253,Debt!AF112/Debt!AF115,0)</f>
        <v>0.0353153072144972</v>
      </c>
      <c r="AG7" s="16" t="n">
        <f aca="false">IF(Debt!AG115&gt;Inputs!$F$253,Debt!AG112/Debt!AG115,0)</f>
        <v>0.0354068485927749</v>
      </c>
      <c r="AH7" s="16" t="n">
        <f aca="false">IF(Debt!AH115&gt;Inputs!$F$253,Debt!AH112/Debt!AH115,0)</f>
        <v>0.0350575078715849</v>
      </c>
      <c r="AI7" s="16" t="n">
        <f aca="false">IF(Debt!AI115&gt;Inputs!$F$253,Debt!AI112/Debt!AI115,0)</f>
        <v>0.0336915978594017</v>
      </c>
      <c r="AJ7" s="16" t="n">
        <f aca="false">IF(Debt!AJ115&gt;Inputs!$F$253,Debt!AJ112/Debt!AJ115,0)</f>
        <v>0.0324310870677395</v>
      </c>
      <c r="AK7" s="16" t="n">
        <f aca="false">IF(Debt!AK115&gt;Inputs!$F$253,Debt!AK112/Debt!AK115,0)</f>
        <v>0.0295655273065524</v>
      </c>
      <c r="AL7" s="16" t="n">
        <f aca="false">IF(Debt!AL115&gt;Inputs!$F$253,Debt!AL112/Debt!AL115,0)</f>
        <v>0.0281425222610601</v>
      </c>
      <c r="AM7" s="16" t="n">
        <f aca="false">IF(Debt!AM115&gt;Inputs!$F$253,Debt!AM112/Debt!AM115,0)</f>
        <v>0.0279526825575032</v>
      </c>
      <c r="AN7" s="16" t="n">
        <f aca="false">IF(Debt!AN115&gt;Inputs!$F$253,Debt!AN112/Debt!AN115,0)</f>
        <v>0.0278893898909416</v>
      </c>
      <c r="AO7" s="16" t="n">
        <f aca="false">IF(Debt!AO115&gt;Inputs!$F$253,Debt!AO112/Debt!AO115,0)</f>
        <v>0.027724422218324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1944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1945</v>
      </c>
      <c r="E9" s="0" t="s">
        <v>101</v>
      </c>
      <c r="F9" s="16" t="n">
        <f aca="false">INDEX(Ratios!$J$7:$BN$7,1,Ratios!$F$8)</f>
        <v>0.027724422218324</v>
      </c>
    </row>
    <row r="10" customFormat="false" ht="15" hidden="false" customHeight="false" outlineLevel="0" collapsed="false">
      <c r="D10" s="0" t="s">
        <v>1946</v>
      </c>
      <c r="E10" s="0" t="s">
        <v>101</v>
      </c>
      <c r="J10" s="16" t="n">
        <f aca="false">IF(J7&gt;0,J7,$F$9)</f>
        <v>0.027724422218324</v>
      </c>
      <c r="K10" s="16" t="n">
        <f aca="false">IF(K7&gt;0,K7,$F$9)</f>
        <v>0.027724422218324</v>
      </c>
      <c r="L10" s="16" t="n">
        <f aca="false">IF(L7&gt;0,L7,$F$9)</f>
        <v>0.027724422218324</v>
      </c>
      <c r="M10" s="16" t="n">
        <f aca="false">IF(M7&gt;0,M7,$F$9)</f>
        <v>0.027724422218324</v>
      </c>
      <c r="N10" s="16" t="n">
        <f aca="false">IF(N7&gt;0,N7,$F$9)</f>
        <v>0.027724422218324</v>
      </c>
      <c r="O10" s="16" t="n">
        <f aca="false">IF(O7&gt;0,O7,$F$9)</f>
        <v>0.027724422218324</v>
      </c>
      <c r="P10" s="16" t="n">
        <f aca="false">IF(P7&gt;0,P7,$F$9)</f>
        <v>0.0343560605449481</v>
      </c>
      <c r="Q10" s="16" t="n">
        <f aca="false">IF(Q7&gt;0,Q7,$F$9)</f>
        <v>0.0340865298377312</v>
      </c>
      <c r="R10" s="16" t="n">
        <f aca="false">IF(R7&gt;0,R7,$F$9)</f>
        <v>0.0345300049340327</v>
      </c>
      <c r="S10" s="16" t="n">
        <f aca="false">IF(S7&gt;0,S7,$F$9)</f>
        <v>0.0342415939166486</v>
      </c>
      <c r="T10" s="16" t="n">
        <f aca="false">IF(T7&gt;0,T7,$F$9)</f>
        <v>0.0346852323245813</v>
      </c>
      <c r="U10" s="16" t="n">
        <f aca="false">IF(U7&gt;0,U7,$F$9)</f>
        <v>0.0345046368743244</v>
      </c>
      <c r="V10" s="16" t="n">
        <f aca="false">IF(V7&gt;0,V7,$F$9)</f>
        <v>0.0348229342918151</v>
      </c>
      <c r="W10" s="16" t="n">
        <f aca="false">IF(W7&gt;0,W7,$F$9)</f>
        <v>0.0345086077974587</v>
      </c>
      <c r="X10" s="16" t="n">
        <f aca="false">IF(X7&gt;0,X7,$F$9)</f>
        <v>0.0349467305643299</v>
      </c>
      <c r="Y10" s="16" t="n">
        <f aca="false">IF(Y7&gt;0,Y7,$F$9)</f>
        <v>0.0357555865142097</v>
      </c>
      <c r="Z10" s="16" t="n">
        <f aca="false">IF(Z7&gt;0,Z7,$F$9)</f>
        <v>0.0362397229410082</v>
      </c>
      <c r="AA10" s="16" t="n">
        <f aca="false">IF(AA7&gt;0,AA7,$F$9)</f>
        <v>0.0359253620399193</v>
      </c>
      <c r="AB10" s="16" t="n">
        <f aca="false">IF(AB7&gt;0,AB7,$F$9)</f>
        <v>0.0362115664506827</v>
      </c>
      <c r="AC10" s="16" t="n">
        <f aca="false">IF(AC7&gt;0,AC7,$F$9)</f>
        <v>0.0357834898307576</v>
      </c>
      <c r="AD10" s="16" t="n">
        <f aca="false">IF(AD7&gt;0,AD7,$F$9)</f>
        <v>0.0358706348460979</v>
      </c>
      <c r="AE10" s="16" t="n">
        <f aca="false">IF(AE7&gt;0,AE7,$F$9)</f>
        <v>0.0352553444007051</v>
      </c>
      <c r="AF10" s="16" t="n">
        <f aca="false">IF(AF7&gt;0,AF7,$F$9)</f>
        <v>0.0353153072144972</v>
      </c>
      <c r="AG10" s="16" t="n">
        <f aca="false">IF(AG7&gt;0,AG7,$F$9)</f>
        <v>0.0354068485927749</v>
      </c>
      <c r="AH10" s="16" t="n">
        <f aca="false">IF(AH7&gt;0,AH7,$F$9)</f>
        <v>0.0350575078715849</v>
      </c>
      <c r="AI10" s="16" t="n">
        <f aca="false">IF(AI7&gt;0,AI7,$F$9)</f>
        <v>0.0336915978594017</v>
      </c>
      <c r="AJ10" s="16" t="n">
        <f aca="false">IF(AJ7&gt;0,AJ7,$F$9)</f>
        <v>0.0324310870677395</v>
      </c>
      <c r="AK10" s="16" t="n">
        <f aca="false">IF(AK7&gt;0,AK7,$F$9)</f>
        <v>0.0295655273065524</v>
      </c>
      <c r="AL10" s="16" t="n">
        <f aca="false">IF(AL7&gt;0,AL7,$F$9)</f>
        <v>0.0281425222610601</v>
      </c>
      <c r="AM10" s="16" t="n">
        <f aca="false">IF(AM7&gt;0,AM7,$F$9)</f>
        <v>0.0279526825575032</v>
      </c>
      <c r="AN10" s="16" t="n">
        <f aca="false">IF(AN7&gt;0,AN7,$F$9)</f>
        <v>0.0278893898909416</v>
      </c>
      <c r="AO10" s="16" t="n">
        <f aca="false">IF(AO7&gt;0,AO7,$F$9)</f>
        <v>0.027724422218324</v>
      </c>
      <c r="AP10" s="16" t="n">
        <f aca="false">IF(AP7&gt;0,AP7,$F$9)</f>
        <v>0.027724422218324</v>
      </c>
      <c r="AQ10" s="16" t="n">
        <f aca="false">IF(AQ7&gt;0,AQ7,$F$9)</f>
        <v>0.027724422218324</v>
      </c>
      <c r="AR10" s="16" t="n">
        <f aca="false">IF(AR7&gt;0,AR7,$F$9)</f>
        <v>0.027724422218324</v>
      </c>
      <c r="AS10" s="16" t="n">
        <f aca="false">IF(AS7&gt;0,AS7,$F$9)</f>
        <v>0.027724422218324</v>
      </c>
      <c r="AT10" s="16" t="n">
        <f aca="false">IF(AT7&gt;0,AT7,$F$9)</f>
        <v>0.027724422218324</v>
      </c>
      <c r="AU10" s="16" t="n">
        <f aca="false">IF(AU7&gt;0,AU7,$F$9)</f>
        <v>0.027724422218324</v>
      </c>
      <c r="AV10" s="16" t="n">
        <f aca="false">IF(AV7&gt;0,AV7,$F$9)</f>
        <v>0.027724422218324</v>
      </c>
      <c r="AW10" s="16" t="n">
        <f aca="false">IF(AW7&gt;0,AW7,$F$9)</f>
        <v>0.027724422218324</v>
      </c>
      <c r="AX10" s="16" t="n">
        <f aca="false">IF(AX7&gt;0,AX7,$F$9)</f>
        <v>0.027724422218324</v>
      </c>
      <c r="AY10" s="16" t="n">
        <f aca="false">IF(AY7&gt;0,AY7,$F$9)</f>
        <v>0.027724422218324</v>
      </c>
      <c r="AZ10" s="16" t="n">
        <f aca="false">IF(AZ7&gt;0,AZ7,$F$9)</f>
        <v>0.027724422218324</v>
      </c>
      <c r="BA10" s="16" t="n">
        <f aca="false">IF(BA7&gt;0,BA7,$F$9)</f>
        <v>0.027724422218324</v>
      </c>
      <c r="BB10" s="16" t="n">
        <f aca="false">IF(BB7&gt;0,BB7,$F$9)</f>
        <v>0.027724422218324</v>
      </c>
      <c r="BC10" s="16" t="n">
        <f aca="false">IF(BC7&gt;0,BC7,$F$9)</f>
        <v>0.027724422218324</v>
      </c>
      <c r="BD10" s="16" t="n">
        <f aca="false">IF(BD7&gt;0,BD7,$F$9)</f>
        <v>0.027724422218324</v>
      </c>
      <c r="BE10" s="16" t="n">
        <f aca="false">IF(BE7&gt;0,BE7,$F$9)</f>
        <v>0.027724422218324</v>
      </c>
      <c r="BF10" s="16" t="n">
        <f aca="false">IF(BF7&gt;0,BF7,$F$9)</f>
        <v>0.027724422218324</v>
      </c>
      <c r="BG10" s="16" t="n">
        <f aca="false">IF(BG7&gt;0,BG7,$F$9)</f>
        <v>0.027724422218324</v>
      </c>
      <c r="BH10" s="16" t="n">
        <f aca="false">IF(BH7&gt;0,BH7,$F$9)</f>
        <v>0.027724422218324</v>
      </c>
      <c r="BI10" s="16" t="n">
        <f aca="false">IF(BI7&gt;0,BI7,$F$9)</f>
        <v>0.027724422218324</v>
      </c>
      <c r="BJ10" s="16" t="n">
        <f aca="false">IF(BJ7&gt;0,BJ7,$F$9)</f>
        <v>0.027724422218324</v>
      </c>
      <c r="BK10" s="16" t="n">
        <f aca="false">IF(BK7&gt;0,BK7,$F$9)</f>
        <v>0.027724422218324</v>
      </c>
      <c r="BL10" s="16" t="n">
        <f aca="false">IF(BL7&gt;0,BL7,$F$9)</f>
        <v>0.027724422218324</v>
      </c>
      <c r="BM10" s="16" t="n">
        <f aca="false">IF(BM7&gt;0,BM7,$F$9)</f>
        <v>0.027724422218324</v>
      </c>
      <c r="BN10" s="16" t="n">
        <f aca="false">IF(BN7&gt;0,BN7,$F$9)</f>
        <v>0.027724422218324</v>
      </c>
    </row>
    <row r="11" customFormat="false" ht="15" hidden="false" customHeight="false" outlineLevel="0" collapsed="false">
      <c r="D11" s="0" t="s">
        <v>1947</v>
      </c>
      <c r="E11" s="0" t="s">
        <v>151</v>
      </c>
      <c r="J11" s="13" t="n">
        <f aca="false">IF(Time!J20&lt;=$F$8,(Waterfall!J7+K11)/(1+J10),0)</f>
        <v>727.69587395756</v>
      </c>
      <c r="K11" s="13" t="n">
        <f aca="false">IF(Time!K20&lt;=$F$8,(Waterfall!K7+L11)/(1+K10),0)</f>
        <v>747.870821613692</v>
      </c>
      <c r="L11" s="13" t="n">
        <f aca="false">IF(Time!L20&lt;=$F$8,(Waterfall!L7+M11)/(1+L10),0)</f>
        <v>768.605108036875</v>
      </c>
      <c r="M11" s="13" t="n">
        <f aca="false">IF(Time!M20&lt;=$F$8,(Waterfall!M7+N11)/(1+M10),0)</f>
        <v>789.91424057125</v>
      </c>
      <c r="N11" s="13" t="n">
        <f aca="false">IF(Time!N20&lt;=$F$8,(Waterfall!N7+O11)/(1+N10),0)</f>
        <v>811.814156493114</v>
      </c>
      <c r="O11" s="13" t="n">
        <f aca="false">IF(Time!O20&lt;=$F$8,(Waterfall!O7+P11)/(1+O10),0)</f>
        <v>834.321234930541</v>
      </c>
      <c r="P11" s="13" t="n">
        <f aca="false">IF(Time!P20&lt;=$F$8,(Waterfall!P7+Q11)/(1+P10),0)</f>
        <v>855.507048291353</v>
      </c>
      <c r="Q11" s="13" t="n">
        <f aca="false">IF(Time!Q20&lt;=$F$8,(Waterfall!Q7+R11)/(1+Q10),0)</f>
        <v>834.340104915426</v>
      </c>
      <c r="R11" s="13" t="n">
        <f aca="false">IF(Time!R20&lt;=$F$8,(Waterfall!R7+S11)/(1+R10),0)</f>
        <v>812.337644521956</v>
      </c>
      <c r="S11" s="13" t="n">
        <f aca="false">IF(Time!S20&lt;=$F$8,(Waterfall!S7+T11)/(1+S10),0)</f>
        <v>789.359933726106</v>
      </c>
      <c r="T11" s="13" t="n">
        <f aca="false">IF(Time!T20&lt;=$F$8,(Waterfall!T7+U11)/(1+T10),0)</f>
        <v>765.717599796263</v>
      </c>
      <c r="U11" s="13" t="n">
        <f aca="false">IF(Time!U20&lt;=$F$8,(Waterfall!U7+V11)/(1+U10),0)</f>
        <v>741.021471222117</v>
      </c>
      <c r="V11" s="13" t="n">
        <f aca="false">IF(Time!V20&lt;=$F$8,(Waterfall!V7+W11)/(1+V10),0)</f>
        <v>715.710771922543</v>
      </c>
      <c r="W11" s="13" t="n">
        <f aca="false">IF(Time!W20&lt;=$F$8,(Waterfall!W7+X11)/(1+W10),0)</f>
        <v>690.059110089372</v>
      </c>
      <c r="X11" s="13" t="n">
        <f aca="false">IF(Time!X20&lt;=$F$8,(Waterfall!X7+Y11)/(1+X10),0)</f>
        <v>663.381986157199</v>
      </c>
      <c r="Y11" s="13" t="n">
        <f aca="false">IF(Time!Y20&lt;=$F$8,(Waterfall!Y7+Z11)/(1+Y10),0)</f>
        <v>636.641773375518</v>
      </c>
      <c r="Z11" s="13" t="n">
        <f aca="false">IF(Time!Z20&lt;=$F$8,(Waterfall!Z7+AA11)/(1+Z10),0)</f>
        <v>609.725730756272</v>
      </c>
      <c r="AA11" s="13" t="n">
        <f aca="false">IF(Time!AA20&lt;=$F$8,(Waterfall!AA7+AB11)/(1+AA10),0)</f>
        <v>581.781936896832</v>
      </c>
      <c r="AB11" s="13" t="n">
        <f aca="false">IF(Time!AB20&lt;=$F$8,(Waterfall!AB7+AC11)/(1+AB10),0)</f>
        <v>553.005643394324</v>
      </c>
      <c r="AC11" s="13" t="n">
        <f aca="false">IF(Time!AC20&lt;=$F$8,(Waterfall!AC7+AD11)/(1+AC10),0)</f>
        <v>522.752057455162</v>
      </c>
      <c r="AD11" s="13" t="n">
        <f aca="false">IF(Time!AD20&lt;=$F$8,(Waterfall!AD7+AE11)/(1+AD10),0)</f>
        <v>491.850180109911</v>
      </c>
      <c r="AE11" s="13" t="n">
        <f aca="false">IF(Time!AE20&lt;=$F$8,(Waterfall!AE7+AF11)/(1+AE10),0)</f>
        <v>459.547033350097</v>
      </c>
      <c r="AF11" s="13" t="n">
        <f aca="false">IF(Time!AF20&lt;=$F$8,(Waterfall!AF7+AG11)/(1+AF10),0)</f>
        <v>425.781133744182</v>
      </c>
      <c r="AG11" s="13" t="n">
        <f aca="false">IF(Time!AG20&lt;=$F$8,(Waterfall!AG7+AH11)/(1+AG10),0)</f>
        <v>389.063070356764</v>
      </c>
      <c r="AH11" s="13" t="n">
        <f aca="false">IF(Time!AH20&lt;=$F$8,(Waterfall!AH7+AI11)/(1+AH10),0)</f>
        <v>350.957090920976</v>
      </c>
      <c r="AI11" s="13" t="n">
        <f aca="false">IF(Time!AI20&lt;=$F$8,(Waterfall!AI7+AJ11)/(1+AI10),0)</f>
        <v>310.757615463281</v>
      </c>
      <c r="AJ11" s="13" t="n">
        <f aca="false">IF(Time!AJ20&lt;=$F$8,(Waterfall!AJ7+AK11)/(1+AJ10),0)</f>
        <v>269.092497711798</v>
      </c>
      <c r="AK11" s="13" t="n">
        <f aca="false">IF(Time!AK20&lt;=$F$8,(Waterfall!AK7+AL11)/(1+AK10),0)</f>
        <v>225.061480543549</v>
      </c>
      <c r="AL11" s="13" t="n">
        <f aca="false">IF(Time!AL20&lt;=$F$8,(Waterfall!AL7+AM11)/(1+AL10),0)</f>
        <v>179.334791178537</v>
      </c>
      <c r="AM11" s="13" t="n">
        <f aca="false">IF(Time!AM20&lt;=$F$8,(Waterfall!AM7+AN11)/(1+AM10),0)</f>
        <v>132.253923379194</v>
      </c>
      <c r="AN11" s="13" t="n">
        <f aca="false">IF(Time!AN20&lt;=$F$8,(Waterfall!AN7+AO11)/(1+AN10),0)</f>
        <v>83.9028292165691</v>
      </c>
      <c r="AO11" s="13" t="n">
        <f aca="false">IF(Time!AO20&lt;=$F$8,(Waterfall!AO7+AP11)/(1+AO10),0)</f>
        <v>40.800204447134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1948</v>
      </c>
      <c r="E12" s="0" t="s">
        <v>151</v>
      </c>
      <c r="J12" s="13" t="n">
        <f aca="false">IF(Time!J20&lt;=Time!$F$15,(Waterfall!J7+K12)/(1+J10),0)</f>
        <v>986.986834765458</v>
      </c>
      <c r="K12" s="13" t="n">
        <f aca="false">IF(Time!K20&lt;=Time!$F$15,(Waterfall!K7+L12)/(1+K10),0)</f>
        <v>1014.35047449642</v>
      </c>
      <c r="L12" s="13" t="n">
        <f aca="false">IF(Time!L20&lt;=Time!$F$15,(Waterfall!L7+M12)/(1+L10),0)</f>
        <v>1042.47275532872</v>
      </c>
      <c r="M12" s="13" t="n">
        <f aca="false">IF(Time!M20&lt;=Time!$F$15,(Waterfall!M7+N12)/(1+M10),0)</f>
        <v>1071.37471014855</v>
      </c>
      <c r="N12" s="13" t="n">
        <f aca="false">IF(Time!N20&lt;=Time!$F$15,(Waterfall!N7+O12)/(1+N10),0)</f>
        <v>1101.07795496674</v>
      </c>
      <c r="O12" s="13" t="n">
        <f aca="false">IF(Time!O20&lt;=Time!$F$15,(Waterfall!O7+P12)/(1+O10),0)</f>
        <v>1131.60470508553</v>
      </c>
      <c r="P12" s="13" t="n">
        <f aca="false">IF(Time!P20&lt;=Time!$F$15,(Waterfall!P7+Q12)/(1+P10),0)</f>
        <v>1161.03253089145</v>
      </c>
      <c r="Q12" s="13" t="n">
        <f aca="false">IF(Time!Q20&lt;=Time!$F$15,(Waterfall!Q7+R12)/(1+Q10),0)</f>
        <v>1150.36223949376</v>
      </c>
      <c r="R12" s="13" t="n">
        <f aca="false">IF(Time!R20&lt;=Time!$F$15,(Waterfall!R7+S12)/(1+R10),0)</f>
        <v>1139.13187701997</v>
      </c>
      <c r="S12" s="13" t="n">
        <f aca="false">IF(Time!S20&lt;=Time!$F$15,(Waterfall!S7+T12)/(1+S10),0)</f>
        <v>1127.43837268469</v>
      </c>
      <c r="T12" s="13" t="n">
        <f aca="false">IF(Time!T20&lt;=Time!$F$15,(Waterfall!T7+U12)/(1+T10),0)</f>
        <v>1115.37238337364</v>
      </c>
      <c r="U12" s="13" t="n">
        <f aca="false">IF(Time!U20&lt;=Time!$F$15,(Waterfall!U7+V12)/(1+U10),0)</f>
        <v>1102.80411220128</v>
      </c>
      <c r="V12" s="13" t="n">
        <f aca="false">IF(Time!V20&lt;=Time!$F$15,(Waterfall!V7+W12)/(1+V10),0)</f>
        <v>1089.97659155613</v>
      </c>
      <c r="W12" s="13" t="n">
        <f aca="false">IF(Time!W20&lt;=Time!$F$15,(Waterfall!W7+X12)/(1+W10),0)</f>
        <v>1077.35796376773</v>
      </c>
      <c r="X12" s="13" t="n">
        <f aca="false">IF(Time!X20&lt;=Time!$F$15,(Waterfall!X7+Y12)/(1+X10),0)</f>
        <v>1064.04598407755</v>
      </c>
      <c r="Y12" s="13" t="n">
        <f aca="false">IF(Time!Y20&lt;=Time!$F$15,(Waterfall!Y7+Z12)/(1+Y10),0)</f>
        <v>1051.30766807802</v>
      </c>
      <c r="Z12" s="13" t="n">
        <f aca="false">IF(Time!Z20&lt;=Time!$F$15,(Waterfall!Z7+AA12)/(1+Z10),0)</f>
        <v>1039.2182477313</v>
      </c>
      <c r="AA12" s="13" t="n">
        <f aca="false">IF(Time!AA20&lt;=Time!$F$15,(Waterfall!AA7+AB12)/(1+AA10),0)</f>
        <v>1026.83914369227</v>
      </c>
      <c r="AB12" s="13" t="n">
        <f aca="false">IF(Time!AB20&lt;=Time!$F$15,(Waterfall!AB7+AC12)/(1+AB10),0)</f>
        <v>1014.05169147236</v>
      </c>
      <c r="AC12" s="13" t="n">
        <f aca="false">IF(Time!AC20&lt;=Time!$F$15,(Waterfall!AC7+AD12)/(1+AC10),0)</f>
        <v>1000.49330514</v>
      </c>
      <c r="AD12" s="13" t="n">
        <f aca="false">IF(Time!AD20&lt;=Time!$F$15,(Waterfall!AD7+AE12)/(1+AD10),0)</f>
        <v>986.686676873015</v>
      </c>
      <c r="AE12" s="13" t="n">
        <f aca="false">IF(Time!AE20&lt;=Time!$F$15,(Waterfall!AE7+AF12)/(1+AE10),0)</f>
        <v>972.133629397112</v>
      </c>
      <c r="AF12" s="13" t="n">
        <f aca="false">IF(Time!AF20&lt;=Time!$F$15,(Waterfall!AF7+AG12)/(1+AF10),0)</f>
        <v>956.43914677002</v>
      </c>
      <c r="AG12" s="13" t="n">
        <f aca="false">IF(Time!AG20&lt;=Time!$F$15,(Waterfall!AG7+AH12)/(1+AG10),0)</f>
        <v>938.461434138445</v>
      </c>
      <c r="AH12" s="13" t="n">
        <f aca="false">IF(Time!AH20&lt;=Time!$F$15,(Waterfall!AH7+AI12)/(1+AH10),0)</f>
        <v>919.807919386193</v>
      </c>
      <c r="AI12" s="13" t="n">
        <f aca="false">IF(Time!AI20&lt;=Time!$F$15,(Waterfall!AI7+AJ12)/(1+AI10),0)</f>
        <v>899.550936325175</v>
      </c>
      <c r="AJ12" s="13" t="n">
        <f aca="false">IF(Time!AJ20&lt;=Time!$F$15,(Waterfall!AJ7+AK12)/(1+AJ10),0)</f>
        <v>877.723206362472</v>
      </c>
      <c r="AK12" s="13" t="n">
        <f aca="false">IF(Time!AK20&lt;=Time!$F$15,(Waterfall!AK7+AL12)/(1+AK10),0)</f>
        <v>853.430744698573</v>
      </c>
      <c r="AL12" s="13" t="n">
        <f aca="false">IF(Time!AL20&lt;=Time!$F$15,(Waterfall!AL7+AM12)/(1+AL10),0)</f>
        <v>826.282123971534</v>
      </c>
      <c r="AM12" s="13" t="n">
        <f aca="false">IF(Time!AM20&lt;=Time!$F$15,(Waterfall!AM7+AN12)/(1+AM10),0)</f>
        <v>797.407985887052</v>
      </c>
      <c r="AN12" s="13" t="n">
        <f aca="false">IF(Time!AN20&lt;=Time!$F$15,(Waterfall!AN7+AO12)/(1+AN10),0)</f>
        <v>767.649732085543</v>
      </c>
      <c r="AO12" s="13" t="n">
        <f aca="false">IF(Time!AO20&lt;=Time!$F$15,(Waterfall!AO7+AP12)/(1+AO10),0)</f>
        <v>743.616391276945</v>
      </c>
      <c r="AP12" s="13" t="n">
        <f aca="false">IF(Time!AP20&lt;=Time!$F$15,(Waterfall!AP7+AQ12)/(1+AP10),0)</f>
        <v>722.301359535353</v>
      </c>
      <c r="AQ12" s="13" t="n">
        <f aca="false">IF(Time!AQ20&lt;=Time!$F$15,(Waterfall!AQ7+AR12)/(1+AQ10),0)</f>
        <v>700.473109057055</v>
      </c>
      <c r="AR12" s="13" t="n">
        <f aca="false">IF(Time!AR20&lt;=Time!$F$15,(Waterfall!AR7+AS12)/(1+AR10),0)</f>
        <v>678.468881973229</v>
      </c>
      <c r="AS12" s="13" t="n">
        <f aca="false">IF(Time!AS20&lt;=Time!$F$15,(Waterfall!AS7+AT12)/(1+AS10),0)</f>
        <v>655.236696249449</v>
      </c>
      <c r="AT12" s="13" t="n">
        <f aca="false">IF(Time!AT20&lt;=Time!$F$15,(Waterfall!AT7+AU12)/(1+AT10),0)</f>
        <v>631.926602082076</v>
      </c>
      <c r="AU12" s="13" t="n">
        <f aca="false">IF(Time!AU20&lt;=Time!$F$15,(Waterfall!AU7+AV12)/(1+AU10),0)</f>
        <v>602.357993775547</v>
      </c>
      <c r="AV12" s="13" t="n">
        <f aca="false">IF(Time!AV20&lt;=Time!$F$15,(Waterfall!AV7+AW12)/(1+AV10),0)</f>
        <v>576.611778631439</v>
      </c>
      <c r="AW12" s="13" t="n">
        <f aca="false">IF(Time!AW20&lt;=Time!$F$15,(Waterfall!AW7+AX12)/(1+AW10),0)</f>
        <v>548.916635185378</v>
      </c>
      <c r="AX12" s="13" t="n">
        <f aca="false">IF(Time!AX20&lt;=Time!$F$15,(Waterfall!AX7+AY12)/(1+AX10),0)</f>
        <v>520.346731450942</v>
      </c>
      <c r="AY12" s="13" t="n">
        <f aca="false">IF(Time!AY20&lt;=Time!$F$15,(Waterfall!AY7+AZ12)/(1+AY10),0)</f>
        <v>490.339536448714</v>
      </c>
      <c r="AZ12" s="13" t="n">
        <f aca="false">IF(Time!AZ20&lt;=Time!$F$15,(Waterfall!AZ7+BA12)/(1+AZ10),0)</f>
        <v>459.938742127162</v>
      </c>
      <c r="BA12" s="13" t="n">
        <f aca="false">IF(Time!BA20&lt;=Time!$F$15,(Waterfall!BA7+BB12)/(1+BA10),0)</f>
        <v>428.054642615982</v>
      </c>
      <c r="BB12" s="13" t="n">
        <f aca="false">IF(Time!BB20&lt;=Time!$F$15,(Waterfall!BB7+BC12)/(1+BB10),0)</f>
        <v>395.674028640792</v>
      </c>
      <c r="BC12" s="13" t="n">
        <f aca="false">IF(Time!BC20&lt;=Time!$F$15,(Waterfall!BC7+BD12)/(1+BC10),0)</f>
        <v>361.073160616633</v>
      </c>
      <c r="BD12" s="13" t="n">
        <f aca="false">IF(Time!BD20&lt;=Time!$F$15,(Waterfall!BD7+BE12)/(1+BD10),0)</f>
        <v>328.880210279071</v>
      </c>
      <c r="BE12" s="13" t="n">
        <f aca="false">IF(Time!BE20&lt;=Time!$F$15,(Waterfall!BE7+BF12)/(1+BE10),0)</f>
        <v>301.163692910529</v>
      </c>
      <c r="BF12" s="13" t="n">
        <f aca="false">IF(Time!BF20&lt;=Time!$F$15,(Waterfall!BF7+BG12)/(1+BF10),0)</f>
        <v>272.839872322576</v>
      </c>
      <c r="BG12" s="13" t="n">
        <f aca="false">IF(Time!BG20&lt;=Time!$F$15,(Waterfall!BG7+BH12)/(1+BG10),0)</f>
        <v>243.056890545849</v>
      </c>
      <c r="BH12" s="13" t="n">
        <f aca="false">IF(Time!BH20&lt;=Time!$F$15,(Waterfall!BH7+BI12)/(1+BH10),0)</f>
        <v>212.896417215653</v>
      </c>
      <c r="BI12" s="13" t="n">
        <f aca="false">IF(Time!BI20&lt;=Time!$F$15,(Waterfall!BI7+BJ12)/(1+BI10),0)</f>
        <v>181.234901266317</v>
      </c>
      <c r="BJ12" s="13" t="n">
        <f aca="false">IF(Time!BJ20&lt;=Time!$F$15,(Waterfall!BJ7+BK12)/(1+BJ10),0)</f>
        <v>149.280069299645</v>
      </c>
      <c r="BK12" s="13" t="n">
        <f aca="false">IF(Time!BK20&lt;=Time!$F$15,(Waterfall!BK7+BL12)/(1+BK10),0)</f>
        <v>109.648713079365</v>
      </c>
      <c r="BL12" s="13" t="n">
        <f aca="false">IF(Time!BL20&lt;=Time!$F$15,(Waterfall!BL7+BM12)/(1+BL10),0)</f>
        <v>74.3850053743069</v>
      </c>
      <c r="BM12" s="13" t="n">
        <f aca="false">IF(Time!BM20&lt;=Time!$F$15,(Waterfall!BM7+BN12)/(1+BM10),0)</f>
        <v>36.1796752063394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1949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1.41718137094352</v>
      </c>
      <c r="Q13" s="3" t="n">
        <f aca="false">IF(Debt!Q115&gt;Inputs!$F$253,(Q11+Reserves!Q9)/Debt!Q115,0)</f>
        <v>1.41857617468387</v>
      </c>
      <c r="R13" s="3" t="n">
        <f aca="false">IF(Debt!R115&gt;Inputs!$F$253,(R11+Reserves!R9)/Debt!R115,0)</f>
        <v>1.42103225139938</v>
      </c>
      <c r="S13" s="3" t="n">
        <f aca="false">IF(Debt!S115&gt;Inputs!$F$253,(S11+Reserves!S9)/Debt!S115,0)</f>
        <v>1.42249079004827</v>
      </c>
      <c r="T13" s="3" t="n">
        <f aca="false">IF(Debt!T115&gt;Inputs!$F$253,(T11+Reserves!T9)/Debt!T115,0)</f>
        <v>1.42528394075087</v>
      </c>
      <c r="U13" s="3" t="n">
        <f aca="false">IF(Debt!U115&gt;Inputs!$F$253,(U11+Reserves!U9)/Debt!U115,0)</f>
        <v>1.42722893689417</v>
      </c>
      <c r="V13" s="3" t="n">
        <f aca="false">IF(Debt!V115&gt;Inputs!$F$253,(V11+Reserves!V9)/Debt!V115,0)</f>
        <v>1.4313359064462</v>
      </c>
      <c r="W13" s="3" t="n">
        <f aca="false">IF(Debt!W115&gt;Inputs!$F$253,(W11+Reserves!W9)/Debt!W115,0)</f>
        <v>1.43652510877672</v>
      </c>
      <c r="X13" s="3" t="n">
        <f aca="false">IF(Debt!X115&gt;Inputs!$F$253,(X11+Reserves!X9)/Debt!X115,0)</f>
        <v>1.44006746334263</v>
      </c>
      <c r="Y13" s="3" t="n">
        <f aca="false">IF(Debt!Y115&gt;Inputs!$F$253,(Y11+Reserves!Y9)/Debt!Y115,0)</f>
        <v>1.44351313041099</v>
      </c>
      <c r="Z13" s="3" t="n">
        <f aca="false">IF(Debt!Z115&gt;Inputs!$F$253,(Z11+Reserves!Z9)/Debt!Z115,0)</f>
        <v>1.44822486298175</v>
      </c>
      <c r="AA13" s="3" t="n">
        <f aca="false">IF(Debt!AA115&gt;Inputs!$F$253,(AA11+Reserves!AA9)/Debt!AA115,0)</f>
        <v>1.45227540028699</v>
      </c>
      <c r="AB13" s="3" t="n">
        <f aca="false">IF(Debt!AB115&gt;Inputs!$F$253,(AB11+Reserves!AB9)/Debt!AB115,0)</f>
        <v>1.48180358004931</v>
      </c>
      <c r="AC13" s="3" t="n">
        <f aca="false">IF(Debt!AC115&gt;Inputs!$F$253,(AC11+Reserves!AC9)/Debt!AC115,0)</f>
        <v>1.51538249044056</v>
      </c>
      <c r="AD13" s="3" t="n">
        <f aca="false">IF(Debt!AD115&gt;Inputs!$F$253,(AD11+Reserves!AD9)/Debt!AD115,0)</f>
        <v>1.55570960108832</v>
      </c>
      <c r="AE13" s="3" t="n">
        <f aca="false">IF(Debt!AE115&gt;Inputs!$F$253,(AE11+Reserves!AE9)/Debt!AE115,0)</f>
        <v>1.60580023662905</v>
      </c>
      <c r="AF13" s="3" t="n">
        <f aca="false">IF(Debt!AF115&gt;Inputs!$F$253,(AF11+Reserves!AF9)/Debt!AF115,0)</f>
        <v>1.66722652980337</v>
      </c>
      <c r="AG13" s="3" t="n">
        <f aca="false">IF(Debt!AG115&gt;Inputs!$F$253,(AG11+Reserves!AG9)/Debt!AG115,0)</f>
        <v>1.74341996447573</v>
      </c>
      <c r="AH13" s="3" t="n">
        <f aca="false">IF(Debt!AH115&gt;Inputs!$F$253,(AH11+Reserves!AH9)/Debt!AH115,0)</f>
        <v>1.84154963063487</v>
      </c>
      <c r="AI13" s="3" t="n">
        <f aca="false">IF(Debt!AI115&gt;Inputs!$F$253,(AI11+Reserves!AI9)/Debt!AI115,0)</f>
        <v>1.97700870611983</v>
      </c>
      <c r="AJ13" s="3" t="n">
        <f aca="false">IF(Debt!AJ115&gt;Inputs!$F$253,(AJ11+Reserves!AJ9)/Debt!AJ115,0)</f>
        <v>2.17420011831172</v>
      </c>
      <c r="AK13" s="3" t="n">
        <f aca="false">IF(Debt!AK115&gt;Inputs!$F$253,(AK11+Reserves!AK9)/Debt!AK115,0)</f>
        <v>2.50175077938263</v>
      </c>
      <c r="AL13" s="3" t="n">
        <f aca="false">IF(Debt!AL115&gt;Inputs!$F$253,(AL11+Reserves!AL9)/Debt!AL115,0)</f>
        <v>2.6935489300522</v>
      </c>
      <c r="AM13" s="3" t="n">
        <f aca="false">IF(Debt!AM115&gt;Inputs!$F$253,(AM11+Reserves!AM9)/Debt!AM115,0)</f>
        <v>2.77049492787133</v>
      </c>
      <c r="AN13" s="3" t="n">
        <f aca="false">IF(Debt!AN115&gt;Inputs!$F$253,(AN11+Reserves!AN9)/Debt!AN115,0)</f>
        <v>2.90364806805979</v>
      </c>
      <c r="AO13" s="3" t="n">
        <f aca="false">IF(Debt!AO115&gt;Inputs!$F$253,(AO11+Reserves!AO9)/Debt!AO115,0)</f>
        <v>3.35424640599643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1950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1.35805617899911</v>
      </c>
      <c r="Q14" s="3" t="n">
        <f aca="false">IF(Debt!Q115&gt;Inputs!$F$253,Q11/Debt!Q115,0)</f>
        <v>1.35809398033979</v>
      </c>
      <c r="R14" s="3" t="n">
        <f aca="false">IF(Debt!R115&gt;Inputs!$F$253,R11/Debt!R115,0)</f>
        <v>1.35812825564817</v>
      </c>
      <c r="S14" s="3" t="n">
        <f aca="false">IF(Debt!S115&gt;Inputs!$F$253,S11/Debt!S115,0)</f>
        <v>1.35825137182995</v>
      </c>
      <c r="T14" s="3" t="n">
        <f aca="false">IF(Debt!T115&gt;Inputs!$F$253,T11/Debt!T115,0)</f>
        <v>1.35831655723795</v>
      </c>
      <c r="U14" s="3" t="n">
        <f aca="false">IF(Debt!U115&gt;Inputs!$F$253,U11/Debt!U115,0)</f>
        <v>1.3583585033614</v>
      </c>
      <c r="V14" s="3" t="n">
        <f aca="false">IF(Debt!V115&gt;Inputs!$F$253,V11/Debt!V115,0)</f>
        <v>1.35865292226455</v>
      </c>
      <c r="W14" s="3" t="n">
        <f aca="false">IF(Debt!W115&gt;Inputs!$F$253,W11/Debt!W115,0)</f>
        <v>1.36150430673405</v>
      </c>
      <c r="X14" s="3" t="n">
        <f aca="false">IF(Debt!X115&gt;Inputs!$F$253,X11/Debt!X115,0)</f>
        <v>1.36413370735244</v>
      </c>
      <c r="Y14" s="3" t="n">
        <f aca="false">IF(Debt!Y115&gt;Inputs!$F$253,Y11/Debt!Y115,0)</f>
        <v>1.36509826536293</v>
      </c>
      <c r="Z14" s="3" t="n">
        <f aca="false">IF(Debt!Z115&gt;Inputs!$F$253,Z11/Debt!Z115,0)</f>
        <v>1.36564171299254</v>
      </c>
      <c r="AA14" s="3" t="n">
        <f aca="false">IF(Debt!AA115&gt;Inputs!$F$253,AA11/Debt!AA115,0)</f>
        <v>1.36637679407122</v>
      </c>
      <c r="AB14" s="3" t="n">
        <f aca="false">IF(Debt!AB115&gt;Inputs!$F$253,AB11/Debt!AB115,0)</f>
        <v>1.38886662547659</v>
      </c>
      <c r="AC14" s="3" t="n">
        <f aca="false">IF(Debt!AC115&gt;Inputs!$F$253,AC11/Debt!AC115,0)</f>
        <v>1.41716068725872</v>
      </c>
      <c r="AD14" s="3" t="n">
        <f aca="false">IF(Debt!AD115&gt;Inputs!$F$253,AD11/Debt!AD115,0)</f>
        <v>1.44736003733276</v>
      </c>
      <c r="AE14" s="3" t="n">
        <f aca="false">IF(Debt!AE115&gt;Inputs!$F$253,AE11/Debt!AE115,0)</f>
        <v>1.48883200239217</v>
      </c>
      <c r="AF14" s="3" t="n">
        <f aca="false">IF(Debt!AF115&gt;Inputs!$F$253,AF11/Debt!AF115,0)</f>
        <v>1.53956789910968</v>
      </c>
      <c r="AG14" s="3" t="n">
        <f aca="false">IF(Debt!AG115&gt;Inputs!$F$253,AG11/Debt!AG115,0)</f>
        <v>1.60330610931629</v>
      </c>
      <c r="AH14" s="3" t="n">
        <f aca="false">IF(Debt!AH115&gt;Inputs!$F$253,AH11/Debt!AH115,0)</f>
        <v>1.68312780431156</v>
      </c>
      <c r="AI14" s="3" t="n">
        <f aca="false">IF(Debt!AI115&gt;Inputs!$F$253,AI11/Debt!AI115,0)</f>
        <v>1.79680260503448</v>
      </c>
      <c r="AJ14" s="3" t="n">
        <f aca="false">IF(Debt!AJ115&gt;Inputs!$F$253,AJ11/Debt!AJ115,0)</f>
        <v>1.96013215057317</v>
      </c>
      <c r="AK14" s="3" t="n">
        <f aca="false">IF(Debt!AK115&gt;Inputs!$F$253,AK11/Debt!AK115,0)</f>
        <v>2.23667595696167</v>
      </c>
      <c r="AL14" s="3" t="n">
        <f aca="false">IF(Debt!AL115&gt;Inputs!$F$253,AL11/Debt!AL115,0)</f>
        <v>2.38135676010081</v>
      </c>
      <c r="AM14" s="3" t="n">
        <f aca="false">IF(Debt!AM115&gt;Inputs!$F$253,AM11/Debt!AM115,0)</f>
        <v>2.37896776573813</v>
      </c>
      <c r="AN14" s="3" t="n">
        <f aca="false">IF(Debt!AN115&gt;Inputs!$F$253,AN11/Debt!AN115,0)</f>
        <v>2.3714229156454</v>
      </c>
      <c r="AO14" s="3" t="n">
        <f aca="false">IF(Debt!AO115&gt;Inputs!$F$253,AO11/Debt!AO115,0)</f>
        <v>2.3265219837781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1951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1.84305600490988</v>
      </c>
      <c r="Q15" s="3" t="n">
        <f aca="false">IF(Debt!Q115&gt;Inputs!$F$253,Q12/Debt!Q115,0)</f>
        <v>1.8724978260814</v>
      </c>
      <c r="R15" s="3" t="n">
        <f aca="false">IF(Debt!R115&gt;Inputs!$F$253,R12/Debt!R115,0)</f>
        <v>1.90448786846606</v>
      </c>
      <c r="S15" s="3" t="n">
        <f aca="false">IF(Debt!S115&gt;Inputs!$F$253,S12/Debt!S115,0)</f>
        <v>1.93998282776291</v>
      </c>
      <c r="T15" s="3" t="n">
        <f aca="false">IF(Debt!T115&gt;Inputs!$F$253,T12/Debt!T115,0)</f>
        <v>1.97857379303477</v>
      </c>
      <c r="U15" s="3" t="n">
        <f aca="false">IF(Debt!U115&gt;Inputs!$F$253,U12/Debt!U115,0)</f>
        <v>2.02153837847636</v>
      </c>
      <c r="V15" s="3" t="n">
        <f aca="false">IF(Debt!V115&gt;Inputs!$F$253,V12/Debt!V115,0)</f>
        <v>2.06913174904395</v>
      </c>
      <c r="W15" s="3" t="n">
        <f aca="false">IF(Debt!W115&gt;Inputs!$F$253,W12/Debt!W115,0)</f>
        <v>2.12565486944156</v>
      </c>
      <c r="X15" s="3" t="n">
        <f aca="false">IF(Debt!X115&gt;Inputs!$F$253,X12/Debt!X115,0)</f>
        <v>2.18803196852141</v>
      </c>
      <c r="Y15" s="3" t="n">
        <f aca="false">IF(Debt!Y115&gt;Inputs!$F$253,Y12/Debt!Y115,0)</f>
        <v>2.2542320250945</v>
      </c>
      <c r="Z15" s="3" t="n">
        <f aca="false">IF(Debt!Z115&gt;Inputs!$F$253,Z12/Debt!Z115,0)</f>
        <v>2.3276035706162</v>
      </c>
      <c r="AA15" s="3" t="n">
        <f aca="false">IF(Debt!AA115&gt;Inputs!$F$253,AA12/Debt!AA115,0)</f>
        <v>2.41164100877522</v>
      </c>
      <c r="AB15" s="3" t="n">
        <f aca="false">IF(Debt!AB115&gt;Inputs!$F$253,AB12/Debt!AB115,0)</f>
        <v>2.54677789931665</v>
      </c>
      <c r="AC15" s="3" t="n">
        <f aca="false">IF(Debt!AC115&gt;Inputs!$F$253,AC12/Debt!AC115,0)</f>
        <v>2.71229880339892</v>
      </c>
      <c r="AD15" s="3" t="n">
        <f aca="false">IF(Debt!AD115&gt;Inputs!$F$253,AD12/Debt!AD115,0)</f>
        <v>2.90350786321872</v>
      </c>
      <c r="AE15" s="3" t="n">
        <f aca="false">IF(Debt!AE115&gt;Inputs!$F$253,AE12/Debt!AE115,0)</f>
        <v>3.14950060170542</v>
      </c>
      <c r="AF15" s="3" t="n">
        <f aca="false">IF(Debt!AF115&gt;Inputs!$F$253,AF12/Debt!AF115,0)</f>
        <v>3.4583566323624</v>
      </c>
      <c r="AG15" s="3" t="n">
        <f aca="false">IF(Debt!AG115&gt;Inputs!$F$253,AG12/Debt!AG115,0)</f>
        <v>3.86734456532245</v>
      </c>
      <c r="AH15" s="3" t="n">
        <f aca="false">IF(Debt!AH115&gt;Inputs!$F$253,AH12/Debt!AH115,0)</f>
        <v>4.4112352301594</v>
      </c>
      <c r="AI15" s="3" t="n">
        <f aca="false">IF(Debt!AI115&gt;Inputs!$F$253,AI12/Debt!AI115,0)</f>
        <v>5.20120951288886</v>
      </c>
      <c r="AJ15" s="3" t="n">
        <f aca="false">IF(Debt!AJ115&gt;Inputs!$F$253,AJ12/Debt!AJ115,0)</f>
        <v>6.3935393618364</v>
      </c>
      <c r="AK15" s="3" t="n">
        <f aca="false">IF(Debt!AK115&gt;Inputs!$F$253,AK12/Debt!AK115,0)</f>
        <v>8.48145148156452</v>
      </c>
      <c r="AL15" s="3" t="n">
        <f aca="false">IF(Debt!AL115&gt;Inputs!$F$253,AL12/Debt!AL115,0)</f>
        <v>10.9720624132055</v>
      </c>
      <c r="AM15" s="3" t="n">
        <f aca="false">IF(Debt!AM115&gt;Inputs!$F$253,AM12/Debt!AM115,0)</f>
        <v>14.3436795377966</v>
      </c>
      <c r="AN15" s="3" t="n">
        <f aca="false">IF(Debt!AN115&gt;Inputs!$F$253,AN12/Debt!AN115,0)</f>
        <v>21.6967911911272</v>
      </c>
      <c r="AO15" s="3" t="n">
        <f aca="false">IF(Debt!AO115&gt;Inputs!$F$253,AO12/Debt!AO115,0)</f>
        <v>42.4027258011713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1952</v>
      </c>
      <c r="E16" s="0" t="s">
        <v>204</v>
      </c>
      <c r="F16" s="3" t="n">
        <f aca="false">_xlfn.MINIFS(Waterfall!$J$17:$BN$17,Debt!$J$114:$BN$114,"&gt;"&amp;Inputs!$F$253)</f>
        <v>1.32090776165902</v>
      </c>
    </row>
    <row r="17" customFormat="false" ht="15" hidden="false" customHeight="false" outlineLevel="0" collapsed="false">
      <c r="D17" s="0" t="s">
        <v>1953</v>
      </c>
      <c r="E17" s="0" t="s">
        <v>204</v>
      </c>
      <c r="F17" s="3" t="n">
        <f aca="false">SUMIFS(Waterfall!$J$7:$BN$7,Debt!$J$114:$BN$114,"&gt;"&amp;Inputs!$F$253)/SUM(Debt!$J$114:$BN$114)</f>
        <v>1.54357791597777</v>
      </c>
    </row>
    <row r="18" customFormat="false" ht="15" hidden="false" customHeight="false" outlineLevel="0" collapsed="false">
      <c r="D18" s="0" t="s">
        <v>1954</v>
      </c>
      <c r="E18" s="0" t="s">
        <v>204</v>
      </c>
      <c r="F18" s="3" t="n">
        <f aca="false">INDEX(Ratios!$J$13:$BN$13,1,Time!$F$13)</f>
        <v>1.41718137094352</v>
      </c>
    </row>
    <row r="19" customFormat="false" ht="15" hidden="false" customHeight="false" outlineLevel="0" collapsed="false">
      <c r="D19" s="0" t="s">
        <v>1955</v>
      </c>
      <c r="E19" s="0" t="s">
        <v>204</v>
      </c>
      <c r="F19" s="3" t="n">
        <f aca="false">INDEX(Ratios!$J$15:$BN$15,1,Time!$F$13)</f>
        <v>1.84305600490988</v>
      </c>
    </row>
    <row r="20" customFormat="false" ht="15" hidden="false" customHeight="false" outlineLevel="0" collapsed="false">
      <c r="D20" s="0" t="s">
        <v>1956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1.35748738901058</v>
      </c>
      <c r="P20" s="3" t="n">
        <f aca="false">IF(Debt!Q114&gt;Inputs!$F$253,(Waterfall!Q7+IF(Debt!R114&gt;Inputs!$F$253,Waterfall!R7,0))/(Debt!Q114+Debt!R114),0)</f>
        <v>1.35688029509346</v>
      </c>
      <c r="Q20" s="3" t="n">
        <f aca="false">IF(Debt!R114&gt;Inputs!$F$253,(Waterfall!R7+IF(Debt!S114&gt;Inputs!$F$253,Waterfall!S7,0))/(Debt!R114+Debt!S114),0)</f>
        <v>1.35674481060922</v>
      </c>
      <c r="R20" s="3" t="n">
        <f aca="false">IF(Debt!S114&gt;Inputs!$F$253,(Waterfall!S7+IF(Debt!T114&gt;Inputs!$F$253,Waterfall!T7,0))/(Debt!S114+Debt!T114),0)</f>
        <v>1.35748998204493</v>
      </c>
      <c r="S20" s="3" t="n">
        <f aca="false">IF(Debt!T114&gt;Inputs!$F$253,(Waterfall!T7+IF(Debt!U114&gt;Inputs!$F$253,Waterfall!U7,0))/(Debt!T114+Debt!U114),0)</f>
        <v>1.35597459984642</v>
      </c>
      <c r="T20" s="3" t="n">
        <f aca="false">IF(Debt!U114&gt;Inputs!$F$253,(Waterfall!U7+IF(Debt!V114&gt;Inputs!$F$253,Waterfall!V7,0))/(Debt!U114+Debt!V114),0)</f>
        <v>1.33741157527498</v>
      </c>
      <c r="U20" s="3" t="n">
        <f aca="false">IF(Debt!V114&gt;Inputs!$F$253,(Waterfall!V7+IF(Debt!W114&gt;Inputs!$F$253,Waterfall!W7,0))/(Debt!V114+Debt!W114),0)</f>
        <v>1.324379428614</v>
      </c>
      <c r="V20" s="3" t="n">
        <f aca="false">IF(Debt!W114&gt;Inputs!$F$253,(Waterfall!W7+IF(Debt!X114&gt;Inputs!$F$253,Waterfall!X7,0))/(Debt!W114+Debt!X114),0)</f>
        <v>1.33973738877679</v>
      </c>
      <c r="W20" s="3" t="n">
        <f aca="false">IF(Debt!X114&gt;Inputs!$F$253,(Waterfall!X7+IF(Debt!Y114&gt;Inputs!$F$253,Waterfall!Y7,0))/(Debt!X114+Debt!Y114),0)</f>
        <v>1.35519182221863</v>
      </c>
      <c r="X20" s="3" t="n">
        <f aca="false">IF(Debt!Y114&gt;Inputs!$F$253,(Waterfall!Y7+IF(Debt!Z114&gt;Inputs!$F$253,Waterfall!Z7,0))/(Debt!Y114+Debt!Z114),0)</f>
        <v>1.35780562203283</v>
      </c>
      <c r="Y20" s="3" t="n">
        <f aca="false">IF(Debt!Z114&gt;Inputs!$F$253,(Waterfall!Z7+IF(Debt!AA114&gt;Inputs!$F$253,Waterfall!AA7,0))/(Debt!Z114+Debt!AA114),0)</f>
        <v>1.35769926466315</v>
      </c>
      <c r="Z20" s="3" t="n">
        <f aca="false">IF(Debt!AA114&gt;Inputs!$F$253,(Waterfall!AA7+IF(Debt!AB114&gt;Inputs!$F$253,Waterfall!AB7,0))/(Debt!AA114+Debt!AB114),0)</f>
        <v>1.37011891382127</v>
      </c>
      <c r="AA20" s="3" t="n">
        <f aca="false">IF(Debt!AB114&gt;Inputs!$F$253,(Waterfall!AB7+IF(Debt!AC114&gt;Inputs!$F$253,Waterfall!AC7,0))/(Debt!AB114+Debt!AC114),0)</f>
        <v>1.39013290647151</v>
      </c>
      <c r="AB20" s="3" t="n">
        <f aca="false">IF(Debt!AC114&gt;Inputs!$F$253,(Waterfall!AC7+IF(Debt!AD114&gt;Inputs!$F$253,Waterfall!AD7,0))/(Debt!AC114+Debt!AD114),0)</f>
        <v>1.39202727910918</v>
      </c>
      <c r="AC20" s="3" t="n">
        <f aca="false">IF(Debt!AD114&gt;Inputs!$F$253,(Waterfall!AD7+IF(Debt!AE114&gt;Inputs!$F$253,Waterfall!AE7,0))/(Debt!AD114+Debt!AE114),0)</f>
        <v>1.40231565059001</v>
      </c>
      <c r="AD20" s="3" t="n">
        <f aca="false">IF(Debt!AE114&gt;Inputs!$F$253,(Waterfall!AE7+IF(Debt!AF114&gt;Inputs!$F$253,Waterfall!AF7,0))/(Debt!AE114+Debt!AF114),0)</f>
        <v>1.4642210009257</v>
      </c>
      <c r="AE20" s="3" t="n">
        <f aca="false">IF(Debt!AF114&gt;Inputs!$F$253,(Waterfall!AF7+IF(Debt!AG114&gt;Inputs!$F$253,Waterfall!AG7,0))/(Debt!AF114+Debt!AG114),0)</f>
        <v>1.54917802577352</v>
      </c>
      <c r="AF20" s="3" t="n">
        <f aca="false">IF(Debt!AG114&gt;Inputs!$F$253,(Waterfall!AG7+IF(Debt!AH114&gt;Inputs!$F$253,Waterfall!AH7,0))/(Debt!AG114+Debt!AH114),0)</f>
        <v>1.63073381377671</v>
      </c>
      <c r="AG20" s="3" t="n">
        <f aca="false">IF(Debt!AH114&gt;Inputs!$F$253,(Waterfall!AH7+IF(Debt!AI114&gt;Inputs!$F$253,Waterfall!AI7,0))/(Debt!AH114+Debt!AI114),0)</f>
        <v>1.7308643588568</v>
      </c>
      <c r="AH20" s="3" t="n">
        <f aca="false">IF(Debt!AI114&gt;Inputs!$F$253,(Waterfall!AI7+IF(Debt!AJ114&gt;Inputs!$F$253,Waterfall!AJ7,0))/(Debt!AI114+Debt!AJ114),0)</f>
        <v>1.87893964417944</v>
      </c>
      <c r="AI20" s="3" t="n">
        <f aca="false">IF(Debt!AJ114&gt;Inputs!$F$253,(Waterfall!AJ7+IF(Debt!AK114&gt;Inputs!$F$253,Waterfall!AK7,0))/(Debt!AJ114+Debt!AK114),0)</f>
        <v>2.11035427401371</v>
      </c>
      <c r="AJ20" s="3" t="n">
        <f aca="false">IF(Debt!AK114&gt;Inputs!$F$253,(Waterfall!AK7+IF(Debt!AL114&gt;Inputs!$F$253,Waterfall!AL7,0))/(Debt!AK114+Debt!AL114),0)</f>
        <v>2.32737613293489</v>
      </c>
      <c r="AK20" s="3" t="n">
        <f aca="false">IF(Debt!AL114&gt;Inputs!$F$253,(Waterfall!AL7+IF(Debt!AM114&gt;Inputs!$F$253,Waterfall!AM7,0))/(Debt!AL114+Debt!AM114),0)</f>
        <v>2.38933272525431</v>
      </c>
      <c r="AL20" s="3" t="n">
        <f aca="false">IF(Debt!AM114&gt;Inputs!$F$253,(Waterfall!AM7+IF(Debt!AN114&gt;Inputs!$F$253,Waterfall!AN7,0))/(Debt!AM114+Debt!AN114),0)</f>
        <v>2.40143994302883</v>
      </c>
      <c r="AM20" s="3" t="n">
        <f aca="false">IF(Debt!AN114&gt;Inputs!$F$253,(Waterfall!AN7+IF(Debt!AO114&gt;Inputs!$F$253,Waterfall!AO7,0))/(Debt!AN114+Debt!AO114),0)</f>
        <v>2.37083054792736</v>
      </c>
      <c r="AN20" s="3" t="n">
        <f aca="false">IF(Debt!AO114&gt;Inputs!$F$253,(Waterfall!AO7+IF(Debt!AP114&gt;Inputs!$F$253,Waterfall!AP7,0))/(Debt!AO114+Debt!AP114),0)</f>
        <v>2.3265219837781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1957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1959</v>
      </c>
      <c r="J5" s="4" t="s">
        <v>1960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1961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1962</v>
      </c>
      <c r="E8" s="0" t="s">
        <v>151</v>
      </c>
      <c r="G8" s="13" t="n">
        <f aca="false">SUM(J8:DP8)</f>
        <v>1168.07827243901</v>
      </c>
      <c r="J8" s="13" t="n">
        <f aca="false">-Inputs!$F$68</f>
        <v>-14.2</v>
      </c>
      <c r="K8" s="13" t="n">
        <f aca="false">-Funding!J68</f>
        <v>-17.7397396313942</v>
      </c>
      <c r="L8" s="13" t="n">
        <f aca="false">-Funding!K68</f>
        <v>-0.655414234371347</v>
      </c>
      <c r="M8" s="13" t="n">
        <f aca="false">-Funding!L68</f>
        <v>-0.835775507320978</v>
      </c>
      <c r="N8" s="13" t="n">
        <f aca="false">-Funding!M68</f>
        <v>-1.18210967327457</v>
      </c>
      <c r="O8" s="13" t="n">
        <f aca="false">-Funding!N68</f>
        <v>-1.70269086582087</v>
      </c>
      <c r="P8" s="13" t="n">
        <f aca="false">-Funding!O68</f>
        <v>-2.34682436777732</v>
      </c>
      <c r="Q8" s="13" t="n">
        <f aca="false">-Funding!P68</f>
        <v>-3.06201934292396</v>
      </c>
      <c r="R8" s="13" t="n">
        <f aca="false">-Funding!Q68</f>
        <v>-3.88688295412954</v>
      </c>
      <c r="S8" s="13" t="n">
        <f aca="false">-Funding!R68</f>
        <v>-4.70912994244503</v>
      </c>
      <c r="T8" s="13" t="n">
        <f aca="false">-Funding!S68</f>
        <v>-5.54628673400146</v>
      </c>
      <c r="U8" s="13" t="n">
        <f aca="false">-Funding!T68</f>
        <v>-6.32977286804537</v>
      </c>
      <c r="V8" s="13" t="n">
        <f aca="false">-Funding!U68</f>
        <v>-7.08085730463728</v>
      </c>
      <c r="W8" s="13" t="n">
        <f aca="false">-Funding!V68</f>
        <v>-7.7412272578343</v>
      </c>
      <c r="X8" s="13" t="n">
        <f aca="false">-Funding!W68</f>
        <v>-8.29041898566771</v>
      </c>
      <c r="Y8" s="13" t="n">
        <f aca="false">-Funding!X68</f>
        <v>-8.74491378990728</v>
      </c>
      <c r="Z8" s="13" t="n">
        <f aca="false">-Funding!Y68</f>
        <v>-9.04758300758421</v>
      </c>
      <c r="AA8" s="13" t="n">
        <f aca="false">-Funding!Z68</f>
        <v>-9.23701017742518</v>
      </c>
      <c r="AB8" s="13" t="n">
        <f aca="false">-Funding!AA68</f>
        <v>-9.58166871639481</v>
      </c>
      <c r="AC8" s="13" t="n">
        <f aca="false">-Funding!AB68</f>
        <v>-9.13955223504797</v>
      </c>
      <c r="AD8" s="13" t="n">
        <f aca="false">-Funding!AC68</f>
        <v>-8.92193680801217</v>
      </c>
      <c r="AE8" s="13" t="n">
        <f aca="false">-Funding!AD68</f>
        <v>-8.52854380871634</v>
      </c>
      <c r="AF8" s="13" t="n">
        <f aca="false">-Funding!AE68</f>
        <v>-8.04629798402875</v>
      </c>
      <c r="AG8" s="13" t="n">
        <f aca="false">-Funding!AF68</f>
        <v>-7.42665322111993</v>
      </c>
      <c r="AH8" s="13" t="n">
        <f aca="false">-Funding!AG68</f>
        <v>-6.75569208717094</v>
      </c>
      <c r="AI8" s="13" t="n">
        <f aca="false">-Funding!AH68</f>
        <v>-6.00388187042989</v>
      </c>
      <c r="AJ8" s="13" t="n">
        <f aca="false">-Funding!AI68</f>
        <v>-5.19651440652399</v>
      </c>
      <c r="AK8" s="13" t="n">
        <f aca="false">-Funding!AJ68</f>
        <v>-4.41707197822934</v>
      </c>
      <c r="AL8" s="13" t="n">
        <f aca="false">-Funding!AK68</f>
        <v>-3.62373431428645</v>
      </c>
      <c r="AM8" s="13" t="n">
        <f aca="false">-Funding!AL68</f>
        <v>-2.92443200822246</v>
      </c>
      <c r="AN8" s="13" t="n">
        <f aca="false">-Funding!AM68</f>
        <v>-2.2981670998557</v>
      </c>
      <c r="AO8" s="13" t="n">
        <f aca="false">-Funding!AN68</f>
        <v>-1.73829155814645</v>
      </c>
      <c r="AP8" s="13" t="n">
        <f aca="false">-Funding!AO68</f>
        <v>-1.44987741589551</v>
      </c>
      <c r="AQ8" s="13" t="n">
        <f aca="false">-Funding!AP68</f>
        <v>-14.2535211728066</v>
      </c>
      <c r="AR8" s="13" t="n">
        <f aca="false">-Funding!AQ68</f>
        <v>-10.9848423089092</v>
      </c>
      <c r="AS8" s="13" t="n">
        <f aca="false">-Funding!AR68</f>
        <v>-0.972883950788176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15.3470396910385</v>
      </c>
      <c r="BS8" s="18" t="n">
        <f aca="false">Waterfall!Q44</f>
        <v>12.8174341873273</v>
      </c>
      <c r="BT8" s="18" t="n">
        <f aca="false">Waterfall!R44</f>
        <v>13.6944211771493</v>
      </c>
      <c r="BU8" s="18" t="n">
        <f aca="false">Waterfall!S44</f>
        <v>12.9200584533269</v>
      </c>
      <c r="BV8" s="18" t="n">
        <f aca="false">Waterfall!T44</f>
        <v>13.6845286636698</v>
      </c>
      <c r="BW8" s="18" t="n">
        <f aca="false">Waterfall!U44</f>
        <v>12.5914558454883</v>
      </c>
      <c r="BX8" s="18" t="n">
        <f aca="false">Waterfall!V44</f>
        <v>12.5515835902634</v>
      </c>
      <c r="BY8" s="18" t="n">
        <f aca="false">Waterfall!W44</f>
        <v>13.5633080451606</v>
      </c>
      <c r="BZ8" s="18" t="n">
        <f aca="false">Waterfall!X44</f>
        <v>13.3528522689319</v>
      </c>
      <c r="CA8" s="18" t="n">
        <f aca="false">Waterfall!Y44</f>
        <v>12.808179517624</v>
      </c>
      <c r="CB8" s="18" t="n">
        <f aca="false">Waterfall!Z44</f>
        <v>13.4657980574992</v>
      </c>
      <c r="CC8" s="18" t="n">
        <f aca="false">Waterfall!AA44</f>
        <v>6.33613579110148</v>
      </c>
      <c r="CD8" s="18" t="n">
        <f aca="false">Waterfall!AB44</f>
        <v>7.3361792653103</v>
      </c>
      <c r="CE8" s="18" t="n">
        <f aca="false">Waterfall!AC44</f>
        <v>6.77250778216815</v>
      </c>
      <c r="CF8" s="18" t="n">
        <f aca="false">Waterfall!AD44</f>
        <v>7.30964534557927</v>
      </c>
      <c r="CG8" s="18" t="n">
        <f aca="false">Waterfall!AE44</f>
        <v>7.78006034893469</v>
      </c>
      <c r="CH8" s="18" t="n">
        <f aca="false">Waterfall!AF44</f>
        <v>9.39671623959113</v>
      </c>
      <c r="CI8" s="18" t="n">
        <f aca="false">Waterfall!AG44</f>
        <v>10.108514306482</v>
      </c>
      <c r="CJ8" s="18" t="n">
        <f aca="false">Waterfall!AH44</f>
        <v>11.49525602661</v>
      </c>
      <c r="CK8" s="18" t="n">
        <f aca="false">Waterfall!AI44</f>
        <v>12.419411504587</v>
      </c>
      <c r="CL8" s="18" t="n">
        <f aca="false">Waterfall!AJ44</f>
        <v>14.3612899970111</v>
      </c>
      <c r="CM8" s="18" t="n">
        <f aca="false">Waterfall!AK44</f>
        <v>27.2525632704749</v>
      </c>
      <c r="CN8" s="18" t="n">
        <f aca="false">Waterfall!AL44</f>
        <v>32.0379617961174</v>
      </c>
      <c r="CO8" s="18" t="n">
        <f aca="false">Waterfall!AM44</f>
        <v>33.2173968236204</v>
      </c>
      <c r="CP8" s="18" t="n">
        <f aca="false">Waterfall!AN44</f>
        <v>27.4194254104008</v>
      </c>
      <c r="CQ8" s="18" t="n">
        <f aca="false">Waterfall!AO44</f>
        <v>41.9313665418203</v>
      </c>
      <c r="CR8" s="18" t="n">
        <f aca="false">Waterfall!AP44</f>
        <v>41.8536383389252</v>
      </c>
      <c r="CS8" s="18" t="n">
        <f aca="false">Waterfall!AQ44</f>
        <v>41.4244393119057</v>
      </c>
      <c r="CT8" s="18" t="n">
        <f aca="false">Waterfall!AR44</f>
        <v>42.0423434696002</v>
      </c>
      <c r="CU8" s="18" t="n">
        <f aca="false">Waterfall!AS44</f>
        <v>41.4761529871317</v>
      </c>
      <c r="CV8" s="18" t="n">
        <f aca="false">Waterfall!AT44</f>
        <v>47.0884082336434</v>
      </c>
      <c r="CW8" s="18" t="n">
        <f aca="false">Waterfall!AU44</f>
        <v>42.4462424901245</v>
      </c>
      <c r="CX8" s="18" t="n">
        <f aca="false">Waterfall!AV44</f>
        <v>43.6813718528973</v>
      </c>
      <c r="CY8" s="18" t="n">
        <f aca="false">Waterfall!AW44</f>
        <v>43.7883002909771</v>
      </c>
      <c r="CZ8" s="18" t="n">
        <f aca="false">Waterfall!AX44</f>
        <v>44.4335074848987</v>
      </c>
      <c r="DA8" s="18" t="n">
        <f aca="false">Waterfall!AY44</f>
        <v>43.9951746603934</v>
      </c>
      <c r="DB8" s="18" t="n">
        <f aca="false">Waterfall!AZ44</f>
        <v>44.6356353924781</v>
      </c>
      <c r="DC8" s="18" t="n">
        <f aca="false">Waterfall!BA44</f>
        <v>43.7532132329812</v>
      </c>
      <c r="DD8" s="18" t="n">
        <f aca="false">Waterfall!BB44</f>
        <v>44.0695516003769</v>
      </c>
      <c r="DE8" s="18" t="n">
        <f aca="false">Waterfall!BC44</f>
        <v>40.6859220208602</v>
      </c>
      <c r="DF8" s="18" t="n">
        <f aca="false">Waterfall!BD44</f>
        <v>35.3003556173236</v>
      </c>
      <c r="DG8" s="18" t="n">
        <f aca="false">Waterfall!BE44</f>
        <v>35.1224502860784</v>
      </c>
      <c r="DH8" s="18" t="n">
        <f aca="false">Waterfall!BF44</f>
        <v>35.7793821724196</v>
      </c>
      <c r="DI8" s="18" t="n">
        <f aca="false">Waterfall!BG44</f>
        <v>35.3140043928254</v>
      </c>
      <c r="DJ8" s="18" t="n">
        <f aca="false">Waterfall!BH44</f>
        <v>35.9615242831228</v>
      </c>
      <c r="DK8" s="18" t="n">
        <f aca="false">Waterfall!BI44</f>
        <v>35.3595123186713</v>
      </c>
      <c r="DL8" s="18" t="n">
        <f aca="false">Waterfall!BJ44</f>
        <v>42.132384784287</v>
      </c>
      <c r="DM8" s="18" t="n">
        <f aca="false">Waterfall!BK44</f>
        <v>36.6480633941918</v>
      </c>
      <c r="DN8" s="18" t="n">
        <f aca="false">Waterfall!BL44</f>
        <v>38.5939075053066</v>
      </c>
      <c r="DO8" s="18" t="n">
        <f aca="false">Waterfall!BM44</f>
        <v>55.1239159594428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1963</v>
      </c>
      <c r="E9" s="0" t="s">
        <v>151</v>
      </c>
      <c r="G9" s="13" t="n">
        <f aca="false">SUM(J9:DP9)</f>
        <v>1591.6469557035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1.94526082211549</v>
      </c>
      <c r="BR9" s="18" t="n">
        <f aca="false">Waterfall!P7</f>
        <v>50.5587953236546</v>
      </c>
      <c r="BS9" s="18" t="n">
        <f aca="false">Waterfall!Q7</f>
        <v>50.442219274486</v>
      </c>
      <c r="BT9" s="18" t="n">
        <f aca="false">Waterfall!R7</f>
        <v>51.0277336692931</v>
      </c>
      <c r="BU9" s="18" t="n">
        <f aca="false">Waterfall!S7</f>
        <v>50.6712762345651</v>
      </c>
      <c r="BV9" s="18" t="n">
        <f aca="false">Waterfall!T7</f>
        <v>51.2552214181002</v>
      </c>
      <c r="BW9" s="18" t="n">
        <f aca="false">Waterfall!U7</f>
        <v>50.8793760801711</v>
      </c>
      <c r="BX9" s="18" t="n">
        <f aca="false">Waterfall!V7</f>
        <v>50.5748110157739</v>
      </c>
      <c r="BY9" s="18" t="n">
        <f aca="false">Waterfall!W7</f>
        <v>50.4901031193111</v>
      </c>
      <c r="BZ9" s="18" t="n">
        <f aca="false">Waterfall!X7</f>
        <v>49.9232443131463</v>
      </c>
      <c r="CA9" s="18" t="n">
        <f aca="false">Waterfall!Y7</f>
        <v>49.6795426257345</v>
      </c>
      <c r="CB9" s="18" t="n">
        <f aca="false">Waterfall!Z7</f>
        <v>50.0400854120507</v>
      </c>
      <c r="CC9" s="18" t="n">
        <f aca="false">Waterfall!AA7</f>
        <v>49.677020213812</v>
      </c>
      <c r="CD9" s="18" t="n">
        <f aca="false">Waterfall!AB7</f>
        <v>50.2787865425378</v>
      </c>
      <c r="CE9" s="18" t="n">
        <f aca="false">Waterfall!AC7</f>
        <v>49.6077702772062</v>
      </c>
      <c r="CF9" s="18" t="n">
        <f aca="false">Waterfall!AD7</f>
        <v>49.9461249695239</v>
      </c>
      <c r="CG9" s="18" t="n">
        <f aca="false">Waterfall!AE7</f>
        <v>49.9673885349949</v>
      </c>
      <c r="CH9" s="18" t="n">
        <f aca="false">Waterfall!AF7</f>
        <v>51.7546549317302</v>
      </c>
      <c r="CI9" s="18" t="n">
        <f aca="false">Waterfall!AG7</f>
        <v>51.8814766609504</v>
      </c>
      <c r="CJ9" s="18" t="n">
        <f aca="false">Waterfall!AH7</f>
        <v>52.5031564352454</v>
      </c>
      <c r="CK9" s="18" t="n">
        <f aca="false">Waterfall!AI7</f>
        <v>52.135038363419</v>
      </c>
      <c r="CL9" s="18" t="n">
        <f aca="false">Waterfall!AJ7</f>
        <v>52.7579793908153</v>
      </c>
      <c r="CM9" s="18" t="n">
        <f aca="false">Waterfall!AK7</f>
        <v>52.3807507136761</v>
      </c>
      <c r="CN9" s="18" t="n">
        <f aca="false">Waterfall!AL7</f>
        <v>52.1278011522673</v>
      </c>
      <c r="CO9" s="18" t="n">
        <f aca="false">Waterfall!AM7</f>
        <v>52.0479460998276</v>
      </c>
      <c r="CP9" s="18" t="n">
        <f aca="false">Waterfall!AN7</f>
        <v>45.442623486409</v>
      </c>
      <c r="CQ9" s="18" t="n">
        <f aca="false">Waterfall!AO7</f>
        <v>41.9313665418203</v>
      </c>
      <c r="CR9" s="18" t="n">
        <f aca="false">Waterfall!AP7</f>
        <v>41.8536383389252</v>
      </c>
      <c r="CS9" s="18" t="n">
        <f aca="false">Waterfall!AQ7</f>
        <v>41.4244393119057</v>
      </c>
      <c r="CT9" s="18" t="n">
        <f aca="false">Waterfall!AR7</f>
        <v>42.0423434696002</v>
      </c>
      <c r="CU9" s="18" t="n">
        <f aca="false">Waterfall!AS7</f>
        <v>41.4761529871317</v>
      </c>
      <c r="CV9" s="18" t="n">
        <f aca="false">Waterfall!AT7</f>
        <v>47.0884082336434</v>
      </c>
      <c r="CW9" s="18" t="n">
        <f aca="false">Waterfall!AU7</f>
        <v>42.4462424901245</v>
      </c>
      <c r="CX9" s="18" t="n">
        <f aca="false">Waterfall!AV7</f>
        <v>43.6813718528973</v>
      </c>
      <c r="CY9" s="18" t="n">
        <f aca="false">Waterfall!AW7</f>
        <v>43.7883002909771</v>
      </c>
      <c r="CZ9" s="18" t="n">
        <f aca="false">Waterfall!AX7</f>
        <v>44.4335074848987</v>
      </c>
      <c r="DA9" s="18" t="n">
        <f aca="false">Waterfall!AY7</f>
        <v>43.9951746603934</v>
      </c>
      <c r="DB9" s="18" t="n">
        <f aca="false">Waterfall!AZ7</f>
        <v>44.6356353924781</v>
      </c>
      <c r="DC9" s="18" t="n">
        <f aca="false">Waterfall!BA7</f>
        <v>44.2481816195899</v>
      </c>
      <c r="DD9" s="18" t="n">
        <f aca="false">Waterfall!BB7</f>
        <v>45.5707018550213</v>
      </c>
      <c r="DE9" s="18" t="n">
        <f aca="false">Waterfall!BC7</f>
        <v>42.2034950942024</v>
      </c>
      <c r="DF9" s="18" t="n">
        <f aca="false">Waterfall!BD7</f>
        <v>36.8345311775702</v>
      </c>
      <c r="DG9" s="18" t="n">
        <f aca="false">Waterfall!BE7</f>
        <v>36.6734099670342</v>
      </c>
      <c r="DH9" s="18" t="n">
        <f aca="false">Waterfall!BF7</f>
        <v>37.3473095949916</v>
      </c>
      <c r="DI9" s="18" t="n">
        <f aca="false">Waterfall!BG7</f>
        <v>36.8990851867622</v>
      </c>
      <c r="DJ9" s="18" t="n">
        <f aca="false">Waterfall!BH7</f>
        <v>37.5639461089914</v>
      </c>
      <c r="DK9" s="18" t="n">
        <f aca="false">Waterfall!BI7</f>
        <v>36.9794648900747</v>
      </c>
      <c r="DL9" s="18" t="n">
        <f aca="false">Waterfall!BJ7</f>
        <v>43.7700598903247</v>
      </c>
      <c r="DM9" s="18" t="n">
        <f aca="false">Waterfall!BK7</f>
        <v>38.303654922166</v>
      </c>
      <c r="DN9" s="18" t="n">
        <f aca="false">Waterfall!BL7</f>
        <v>40.2676114636771</v>
      </c>
      <c r="DO9" s="18" t="n">
        <f aca="false">Waterfall!BM7</f>
        <v>37.1827357974818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1964</v>
      </c>
      <c r="E10" s="0" t="s">
        <v>151</v>
      </c>
      <c r="G10" s="13" t="n">
        <f aca="false">SUM(J10:DP10)</f>
        <v>1904.4527926011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1.94526082211549</v>
      </c>
      <c r="BR10" s="13" t="n">
        <f aca="false">Waterfall!P7+Tax!P27</f>
        <v>50.5587953236546</v>
      </c>
      <c r="BS10" s="13" t="n">
        <f aca="false">Waterfall!Q7+Tax!Q27</f>
        <v>50.442219274486</v>
      </c>
      <c r="BT10" s="13" t="n">
        <f aca="false">Waterfall!R7+Tax!R27</f>
        <v>51.0277336692931</v>
      </c>
      <c r="BU10" s="13" t="n">
        <f aca="false">Waterfall!S7+Tax!S27</f>
        <v>50.6712762345651</v>
      </c>
      <c r="BV10" s="13" t="n">
        <f aca="false">Waterfall!T7+Tax!T27</f>
        <v>51.2552214181002</v>
      </c>
      <c r="BW10" s="13" t="n">
        <f aca="false">Waterfall!U7+Tax!U27</f>
        <v>50.8793760801711</v>
      </c>
      <c r="BX10" s="13" t="n">
        <f aca="false">Waterfall!V7+Tax!V27</f>
        <v>50.5748110157739</v>
      </c>
      <c r="BY10" s="13" t="n">
        <f aca="false">Waterfall!W7+Tax!W27</f>
        <v>50.4901031193111</v>
      </c>
      <c r="BZ10" s="13" t="n">
        <f aca="false">Waterfall!X7+Tax!X27</f>
        <v>49.9232443131463</v>
      </c>
      <c r="CA10" s="13" t="n">
        <f aca="false">Waterfall!Y7+Tax!Y27</f>
        <v>49.7971430456444</v>
      </c>
      <c r="CB10" s="13" t="n">
        <f aca="false">Waterfall!Z7+Tax!Z27</f>
        <v>50.3938785547194</v>
      </c>
      <c r="CC10" s="13" t="n">
        <f aca="false">Waterfall!AA7+Tax!AA27</f>
        <v>50.032923192618</v>
      </c>
      <c r="CD10" s="13" t="n">
        <f aca="false">Waterfall!AB7+Tax!AB27</f>
        <v>50.6366087709034</v>
      </c>
      <c r="CE10" s="13" t="n">
        <f aca="false">Waterfall!AC7+Tax!AC27</f>
        <v>49.9632944939245</v>
      </c>
      <c r="CF10" s="13" t="n">
        <f aca="false">Waterfall!AD7+Tax!AD27</f>
        <v>50.2896807043382</v>
      </c>
      <c r="CG10" s="13" t="n">
        <f aca="false">Waterfall!AE7+Tax!AE27</f>
        <v>50.319406551192</v>
      </c>
      <c r="CH10" s="13" t="n">
        <f aca="false">Waterfall!AF7+Tax!AF27</f>
        <v>52.1192418774537</v>
      </c>
      <c r="CI10" s="13" t="n">
        <f aca="false">Waterfall!AG7+Tax!AG27</f>
        <v>52.2476554986555</v>
      </c>
      <c r="CJ10" s="13" t="n">
        <f aca="false">Waterfall!AH7+Tax!AH27</f>
        <v>52.8704367299691</v>
      </c>
      <c r="CK10" s="13" t="n">
        <f aca="false">Waterfall!AI7+Tax!AI27</f>
        <v>52.5045960642645</v>
      </c>
      <c r="CL10" s="13" t="n">
        <f aca="false">Waterfall!AJ7+Tax!AJ27</f>
        <v>53.1296261078595</v>
      </c>
      <c r="CM10" s="13" t="n">
        <f aca="false">Waterfall!AK7+Tax!AK27</f>
        <v>52.7527022659043</v>
      </c>
      <c r="CN10" s="13" t="n">
        <f aca="false">Waterfall!AL7+Tax!AL27</f>
        <v>52.4926890274905</v>
      </c>
      <c r="CO10" s="13" t="n">
        <f aca="false">Waterfall!AM7+Tax!AM27</f>
        <v>52.4190971966929</v>
      </c>
      <c r="CP10" s="13" t="n">
        <f aca="false">Waterfall!AN7+Tax!AN27</f>
        <v>51.5659918503015</v>
      </c>
      <c r="CQ10" s="13" t="n">
        <f aca="false">Waterfall!AO7+Tax!AO27</f>
        <v>51.4492120962057</v>
      </c>
      <c r="CR10" s="13" t="n">
        <f aca="false">Waterfall!AP7+Tax!AP27</f>
        <v>52.1002932191312</v>
      </c>
      <c r="CS10" s="13" t="n">
        <f aca="false">Waterfall!AQ7+Tax!AQ27</f>
        <v>51.7291461274289</v>
      </c>
      <c r="CT10" s="13" t="n">
        <f aca="false">Waterfall!AR7+Tax!AR27</f>
        <v>52.3772570169402</v>
      </c>
      <c r="CU10" s="13" t="n">
        <f aca="false">Waterfall!AS7+Tax!AS27</f>
        <v>51.6881838542559</v>
      </c>
      <c r="CV10" s="13" t="n">
        <f aca="false">Waterfall!AT7+Tax!AT27</f>
        <v>52.2770669947459</v>
      </c>
      <c r="CW10" s="13" t="n">
        <f aca="false">Waterfall!AU7+Tax!AU27</f>
        <v>52.3247153733622</v>
      </c>
      <c r="CX10" s="13" t="n">
        <f aca="false">Waterfall!AV7+Tax!AV27</f>
        <v>54.1909953485416</v>
      </c>
      <c r="CY10" s="13" t="n">
        <f aca="false">Waterfall!AW7+Tax!AW27</f>
        <v>54.3491000862295</v>
      </c>
      <c r="CZ10" s="13" t="n">
        <f aca="false">Waterfall!AX7+Tax!AX27</f>
        <v>55.0309321760291</v>
      </c>
      <c r="DA10" s="13" t="n">
        <f aca="false">Waterfall!AY7+Tax!AY27</f>
        <v>54.6540208329389</v>
      </c>
      <c r="DB10" s="13" t="n">
        <f aca="false">Waterfall!AZ7+Tax!AZ27</f>
        <v>55.3270923182035</v>
      </c>
      <c r="DC10" s="13" t="n">
        <f aca="false">Waterfall!BA7+Tax!BA27</f>
        <v>54.9491349794108</v>
      </c>
      <c r="DD10" s="13" t="n">
        <f aca="false">Waterfall!BB7+Tax!BB27</f>
        <v>54.7422525957479</v>
      </c>
      <c r="DE10" s="13" t="n">
        <f aca="false">Waterfall!BC7+Tax!BC27</f>
        <v>54.6819146683279</v>
      </c>
      <c r="DF10" s="13" t="n">
        <f aca="false">Waterfall!BD7+Tax!BD27</f>
        <v>53.4867618806475</v>
      </c>
      <c r="DG10" s="13" t="n">
        <f aca="false">Waterfall!BE7+Tax!BE27</f>
        <v>53.3810098050618</v>
      </c>
      <c r="DH10" s="13" t="n">
        <f aca="false">Waterfall!BF7+Tax!BF27</f>
        <v>54.0962581653226</v>
      </c>
      <c r="DI10" s="13" t="n">
        <f aca="false">Waterfall!BG7+Tax!BG27</f>
        <v>53.7130848259972</v>
      </c>
      <c r="DJ10" s="13" t="n">
        <f aca="false">Waterfall!BH7+Tax!BH27</f>
        <v>54.4131520200869</v>
      </c>
      <c r="DK10" s="13" t="n">
        <f aca="false">Waterfall!BI7+Tax!BI27</f>
        <v>53.7057644265116</v>
      </c>
      <c r="DL10" s="13" t="n">
        <f aca="false">Waterfall!BJ7+Tax!BJ27</f>
        <v>54.6076069317995</v>
      </c>
      <c r="DM10" s="13" t="n">
        <f aca="false">Waterfall!BK7+Tax!BK27</f>
        <v>54.676595347295</v>
      </c>
      <c r="DN10" s="13" t="n">
        <f aca="false">Waterfall!BL7+Tax!BL27</f>
        <v>57.3218359817479</v>
      </c>
      <c r="DO10" s="13" t="n">
        <f aca="false">Waterfall!BM7+Tax!BM27</f>
        <v>42.8663923265858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1965</v>
      </c>
      <c r="E11" s="0" t="s">
        <v>151</v>
      </c>
      <c r="J11" s="13" t="n">
        <f aca="false">J8</f>
        <v>-14.2</v>
      </c>
      <c r="K11" s="13" t="n">
        <f aca="false">J11+K8</f>
        <v>-31.9397396313942</v>
      </c>
      <c r="L11" s="13" t="n">
        <f aca="false">K11+L8</f>
        <v>-32.5951538657656</v>
      </c>
      <c r="M11" s="13" t="n">
        <f aca="false">L11+M8</f>
        <v>-33.4309293730866</v>
      </c>
      <c r="N11" s="13" t="n">
        <f aca="false">M11+N8</f>
        <v>-34.6130390463611</v>
      </c>
      <c r="O11" s="13" t="n">
        <f aca="false">N11+O8</f>
        <v>-36.315729912182</v>
      </c>
      <c r="P11" s="13" t="n">
        <f aca="false">O11+P8</f>
        <v>-38.6625542799593</v>
      </c>
      <c r="Q11" s="13" t="n">
        <f aca="false">P11+Q8</f>
        <v>-41.7245736228833</v>
      </c>
      <c r="R11" s="13" t="n">
        <f aca="false">Q11+R8</f>
        <v>-45.6114565770128</v>
      </c>
      <c r="S11" s="13" t="n">
        <f aca="false">R11+S8</f>
        <v>-50.3205865194579</v>
      </c>
      <c r="T11" s="13" t="n">
        <f aca="false">S11+T8</f>
        <v>-55.8668732534593</v>
      </c>
      <c r="U11" s="13" t="n">
        <f aca="false">T11+U8</f>
        <v>-62.1966461215047</v>
      </c>
      <c r="V11" s="13" t="n">
        <f aca="false">U11+V8</f>
        <v>-69.277503426142</v>
      </c>
      <c r="W11" s="13" t="n">
        <f aca="false">V11+W8</f>
        <v>-77.0187306839763</v>
      </c>
      <c r="X11" s="13" t="n">
        <f aca="false">W11+X8</f>
        <v>-85.309149669644</v>
      </c>
      <c r="Y11" s="13" t="n">
        <f aca="false">X11+Y8</f>
        <v>-94.0540634595513</v>
      </c>
      <c r="Z11" s="13" t="n">
        <f aca="false">Y11+Z8</f>
        <v>-103.101646467135</v>
      </c>
      <c r="AA11" s="13" t="n">
        <f aca="false">Z11+AA8</f>
        <v>-112.338656644561</v>
      </c>
      <c r="AB11" s="13" t="n">
        <f aca="false">AA11+AB8</f>
        <v>-121.920325360955</v>
      </c>
      <c r="AC11" s="13" t="n">
        <f aca="false">AB11+AC8</f>
        <v>-131.059877596003</v>
      </c>
      <c r="AD11" s="13" t="n">
        <f aca="false">AC11+AD8</f>
        <v>-139.981814404016</v>
      </c>
      <c r="AE11" s="13" t="n">
        <f aca="false">AD11+AE8</f>
        <v>-148.510358212732</v>
      </c>
      <c r="AF11" s="13" t="n">
        <f aca="false">AE11+AF8</f>
        <v>-156.556656196761</v>
      </c>
      <c r="AG11" s="13" t="n">
        <f aca="false">AF11+AG8</f>
        <v>-163.983309417881</v>
      </c>
      <c r="AH11" s="13" t="n">
        <f aca="false">AG11+AH8</f>
        <v>-170.739001505052</v>
      </c>
      <c r="AI11" s="13" t="n">
        <f aca="false">AH11+AI8</f>
        <v>-176.742883375481</v>
      </c>
      <c r="AJ11" s="13" t="n">
        <f aca="false">AI11+AJ8</f>
        <v>-181.939397782005</v>
      </c>
      <c r="AK11" s="13" t="n">
        <f aca="false">AJ11+AK8</f>
        <v>-186.356469760235</v>
      </c>
      <c r="AL11" s="13" t="n">
        <f aca="false">AK11+AL8</f>
        <v>-189.980204074521</v>
      </c>
      <c r="AM11" s="13" t="n">
        <f aca="false">AL11+AM8</f>
        <v>-192.904636082744</v>
      </c>
      <c r="AN11" s="13" t="n">
        <f aca="false">AM11+AN8</f>
        <v>-195.202803182599</v>
      </c>
      <c r="AO11" s="13" t="n">
        <f aca="false">AN11+AO8</f>
        <v>-196.941094740746</v>
      </c>
      <c r="AP11" s="13" t="n">
        <f aca="false">AO11+AP8</f>
        <v>-198.390972156641</v>
      </c>
      <c r="AQ11" s="13" t="n">
        <f aca="false">AP11+AQ8</f>
        <v>-212.644493329448</v>
      </c>
      <c r="AR11" s="13" t="n">
        <f aca="false">AQ11+AR8</f>
        <v>-223.629335638357</v>
      </c>
      <c r="AS11" s="13" t="n">
        <f aca="false">AR11+AS8</f>
        <v>-224.602219589145</v>
      </c>
      <c r="AT11" s="13" t="n">
        <f aca="false">AS11+AT8</f>
        <v>-224.602219589145</v>
      </c>
      <c r="AU11" s="13" t="n">
        <f aca="false">AT11+AU8</f>
        <v>-224.602219589145</v>
      </c>
      <c r="AV11" s="13" t="n">
        <f aca="false">AU11+AV8</f>
        <v>-224.602219589145</v>
      </c>
      <c r="AW11" s="13" t="n">
        <f aca="false">AV11+AW8</f>
        <v>-224.602219589145</v>
      </c>
      <c r="AX11" s="13" t="n">
        <f aca="false">AW11+AX8</f>
        <v>-224.602219589145</v>
      </c>
      <c r="AY11" s="13" t="n">
        <f aca="false">AX11+AY8</f>
        <v>-224.602219589145</v>
      </c>
      <c r="AZ11" s="13" t="n">
        <f aca="false">AY11+AZ8</f>
        <v>-224.602219589145</v>
      </c>
      <c r="BA11" s="13" t="n">
        <f aca="false">AZ11+BA8</f>
        <v>-224.602219589145</v>
      </c>
      <c r="BB11" s="13" t="n">
        <f aca="false">BA11+BB8</f>
        <v>-224.602219589145</v>
      </c>
      <c r="BC11" s="13" t="n">
        <f aca="false">BB11+BC8</f>
        <v>-224.602219589145</v>
      </c>
      <c r="BD11" s="13" t="n">
        <f aca="false">BC11+BD8</f>
        <v>-224.602219589145</v>
      </c>
      <c r="BE11" s="13" t="n">
        <f aca="false">BD11+BE8</f>
        <v>-224.602219589145</v>
      </c>
      <c r="BF11" s="13" t="n">
        <f aca="false">BE11+BF8</f>
        <v>-224.602219589145</v>
      </c>
      <c r="BG11" s="13" t="n">
        <f aca="false">BF11+BG8</f>
        <v>-224.602219589145</v>
      </c>
      <c r="BH11" s="13" t="n">
        <f aca="false">BG11+BH8</f>
        <v>-224.602219589145</v>
      </c>
      <c r="BI11" s="13" t="n">
        <f aca="false">BH11+BI8</f>
        <v>-224.602219589145</v>
      </c>
      <c r="BJ11" s="13" t="n">
        <f aca="false">BI11+BJ8</f>
        <v>-224.602219589145</v>
      </c>
      <c r="BK11" s="13" t="n">
        <f aca="false">BJ11+BK8</f>
        <v>-224.602219589145</v>
      </c>
      <c r="BL11" s="13" t="n">
        <f aca="false">BK11+BL8</f>
        <v>-224.602219589145</v>
      </c>
      <c r="BM11" s="13" t="n">
        <f aca="false">BL11+BM8</f>
        <v>-224.602219589145</v>
      </c>
      <c r="BN11" s="13" t="n">
        <f aca="false">BM11+BN8</f>
        <v>-224.602219589145</v>
      </c>
      <c r="BO11" s="13" t="n">
        <f aca="false">BN11+BO8</f>
        <v>-224.602219589145</v>
      </c>
      <c r="BP11" s="13" t="n">
        <f aca="false">BO11+BP8</f>
        <v>-224.602219589145</v>
      </c>
      <c r="BQ11" s="13" t="n">
        <f aca="false">BP11+BQ8</f>
        <v>-224.602219589145</v>
      </c>
      <c r="BR11" s="13" t="n">
        <f aca="false">BQ11+BR8</f>
        <v>-209.255179898107</v>
      </c>
      <c r="BS11" s="13" t="n">
        <f aca="false">BR11+BS8</f>
        <v>-196.437745710779</v>
      </c>
      <c r="BT11" s="13" t="n">
        <f aca="false">BS11+BT8</f>
        <v>-182.74332453363</v>
      </c>
      <c r="BU11" s="13" t="n">
        <f aca="false">BT11+BU8</f>
        <v>-169.823266080303</v>
      </c>
      <c r="BV11" s="13" t="n">
        <f aca="false">BU11+BV8</f>
        <v>-156.138737416633</v>
      </c>
      <c r="BW11" s="13" t="n">
        <f aca="false">BV11+BW8</f>
        <v>-143.547281571145</v>
      </c>
      <c r="BX11" s="13" t="n">
        <f aca="false">BW11+BX8</f>
        <v>-130.995697980882</v>
      </c>
      <c r="BY11" s="13" t="n">
        <f aca="false">BX11+BY8</f>
        <v>-117.432389935721</v>
      </c>
      <c r="BZ11" s="13" t="n">
        <f aca="false">BY11+BZ8</f>
        <v>-104.079537666789</v>
      </c>
      <c r="CA11" s="13" t="n">
        <f aca="false">BZ11+CA8</f>
        <v>-91.2713581491652</v>
      </c>
      <c r="CB11" s="13" t="n">
        <f aca="false">CA11+CB8</f>
        <v>-77.805560091666</v>
      </c>
      <c r="CC11" s="13" t="n">
        <f aca="false">CB11+CC8</f>
        <v>-71.4694243005645</v>
      </c>
      <c r="CD11" s="13" t="n">
        <f aca="false">CC11+CD8</f>
        <v>-64.1332450352542</v>
      </c>
      <c r="CE11" s="13" t="n">
        <f aca="false">CD11+CE8</f>
        <v>-57.3607372530861</v>
      </c>
      <c r="CF11" s="13" t="n">
        <f aca="false">CE11+CF8</f>
        <v>-50.0510919075068</v>
      </c>
      <c r="CG11" s="13" t="n">
        <f aca="false">CF11+CG8</f>
        <v>-42.2710315585721</v>
      </c>
      <c r="CH11" s="13" t="n">
        <f aca="false">CG11+CH8</f>
        <v>-32.874315318981</v>
      </c>
      <c r="CI11" s="13" t="n">
        <f aca="false">CH11+CI8</f>
        <v>-22.765801012499</v>
      </c>
      <c r="CJ11" s="13" t="n">
        <f aca="false">CI11+CJ8</f>
        <v>-11.270544985889</v>
      </c>
      <c r="CK11" s="13" t="n">
        <f aca="false">CJ11+CK8</f>
        <v>1.14886651869799</v>
      </c>
      <c r="CL11" s="13" t="n">
        <f aca="false">CK11+CL8</f>
        <v>15.5101565157091</v>
      </c>
      <c r="CM11" s="13" t="n">
        <f aca="false">CL11+CM8</f>
        <v>42.7627197861841</v>
      </c>
      <c r="CN11" s="13" t="n">
        <f aca="false">CM11+CN8</f>
        <v>74.8006815823015</v>
      </c>
      <c r="CO11" s="13" t="n">
        <f aca="false">CN11+CO8</f>
        <v>108.018078405922</v>
      </c>
      <c r="CP11" s="13" t="n">
        <f aca="false">CO11+CP8</f>
        <v>135.437503816323</v>
      </c>
      <c r="CQ11" s="13" t="n">
        <f aca="false">CP11+CQ8</f>
        <v>177.368870358143</v>
      </c>
      <c r="CR11" s="13" t="n">
        <f aca="false">CQ11+CR8</f>
        <v>219.222508697068</v>
      </c>
      <c r="CS11" s="13" t="n">
        <f aca="false">CR11+CS8</f>
        <v>260.646948008974</v>
      </c>
      <c r="CT11" s="13" t="n">
        <f aca="false">CS11+CT8</f>
        <v>302.689291478574</v>
      </c>
      <c r="CU11" s="13" t="n">
        <f aca="false">CT11+CU8</f>
        <v>344.165444465706</v>
      </c>
      <c r="CV11" s="13" t="n">
        <f aca="false">CU11+CV8</f>
        <v>391.253852699349</v>
      </c>
      <c r="CW11" s="13" t="n">
        <f aca="false">CV11+CW8</f>
        <v>433.700095189474</v>
      </c>
      <c r="CX11" s="13" t="n">
        <f aca="false">CW11+CX8</f>
        <v>477.381467042371</v>
      </c>
      <c r="CY11" s="13" t="n">
        <f aca="false">CX11+CY8</f>
        <v>521.169767333348</v>
      </c>
      <c r="CZ11" s="13" t="n">
        <f aca="false">CY11+CZ8</f>
        <v>565.603274818247</v>
      </c>
      <c r="DA11" s="13" t="n">
        <f aca="false">CZ11+DA8</f>
        <v>609.59844947864</v>
      </c>
      <c r="DB11" s="13" t="n">
        <f aca="false">DA11+DB8</f>
        <v>654.234084871118</v>
      </c>
      <c r="DC11" s="13" t="n">
        <f aca="false">DB11+DC8</f>
        <v>697.9872981041</v>
      </c>
      <c r="DD11" s="13" t="n">
        <f aca="false">DC11+DD8</f>
        <v>742.056849704477</v>
      </c>
      <c r="DE11" s="13" t="n">
        <f aca="false">DD11+DE8</f>
        <v>782.742771725337</v>
      </c>
      <c r="DF11" s="13" t="n">
        <f aca="false">DE11+DF8</f>
        <v>818.04312734266</v>
      </c>
      <c r="DG11" s="13" t="n">
        <f aca="false">DF11+DG8</f>
        <v>853.165577628739</v>
      </c>
      <c r="DH11" s="13" t="n">
        <f aca="false">DG11+DH8</f>
        <v>888.944959801158</v>
      </c>
      <c r="DI11" s="13" t="n">
        <f aca="false">DH11+DI8</f>
        <v>924.258964193984</v>
      </c>
      <c r="DJ11" s="13" t="n">
        <f aca="false">DI11+DJ8</f>
        <v>960.220488477107</v>
      </c>
      <c r="DK11" s="13" t="n">
        <f aca="false">DJ11+DK8</f>
        <v>995.580000795778</v>
      </c>
      <c r="DL11" s="13" t="n">
        <f aca="false">DK11+DL8</f>
        <v>1037.71238558006</v>
      </c>
      <c r="DM11" s="13" t="n">
        <f aca="false">DL11+DM8</f>
        <v>1074.36044897426</v>
      </c>
      <c r="DN11" s="13" t="n">
        <f aca="false">DM11+DN8</f>
        <v>1112.95435647956</v>
      </c>
      <c r="DO11" s="13" t="n">
        <f aca="false">DN11+DO8</f>
        <v>1168.07827243901</v>
      </c>
      <c r="DP11" s="13" t="n">
        <f aca="false">DO11+DP8</f>
        <v>1168.07827243901</v>
      </c>
    </row>
    <row r="12" customFormat="false" ht="15" hidden="false" customHeight="false" outlineLevel="0" collapsed="false">
      <c r="D12" s="0" t="s">
        <v>1966</v>
      </c>
      <c r="E12" s="0" t="s">
        <v>105</v>
      </c>
      <c r="F12" s="20" t="n">
        <f aca="false">XIRR(Returns!$J$8:$DP$8,Returns!$J$7:$DP$7)</f>
        <v>0.131274261736957</v>
      </c>
    </row>
    <row r="13" customFormat="false" ht="15" hidden="false" customHeight="false" outlineLevel="0" collapsed="false">
      <c r="D13" s="0" t="s">
        <v>1967</v>
      </c>
      <c r="E13" s="0" t="s">
        <v>105</v>
      </c>
      <c r="F13" s="20" t="n">
        <f aca="false">XIRR(Returns!$J$9:$DP$9,Returns!$J$7:$DP$7,Inputs!$F$255)</f>
        <v>0.109556084774187</v>
      </c>
    </row>
    <row r="14" customFormat="false" ht="15" hidden="false" customHeight="false" outlineLevel="0" collapsed="false">
      <c r="D14" s="0" t="s">
        <v>1968</v>
      </c>
      <c r="E14" s="0" t="s">
        <v>105</v>
      </c>
      <c r="F14" s="20" t="n">
        <f aca="false">XIRR(Returns!$J$10:$DP$10,Returns!$J$7:$DP$7,Inputs!$F$255)</f>
        <v>0.115671182098685</v>
      </c>
    </row>
    <row r="15" customFormat="false" ht="15" hidden="false" customHeight="false" outlineLevel="0" collapsed="false">
      <c r="D15" s="0" t="s">
        <v>1969</v>
      </c>
      <c r="E15" s="0" t="s">
        <v>151</v>
      </c>
      <c r="F15" s="21" t="n">
        <f aca="false">XNPV(Inputs!$F$252/100,Returns!$J$8:$DP$8,Returns!$J$7:$DP$7)*(1+Inputs!$F$252/100)^((Inputs!$F$187-Inputs!$F$186)/Inputs!$F$248)</f>
        <v>-45.5780192849544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1971</v>
      </c>
      <c r="E7" s="0" t="s">
        <v>1972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1973</v>
      </c>
      <c r="E8" s="0" t="s">
        <v>1972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1974</v>
      </c>
      <c r="E9" s="0" t="s">
        <v>1972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1975</v>
      </c>
      <c r="E10" s="0" t="s">
        <v>1972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1976</v>
      </c>
      <c r="E11" s="0" t="s">
        <v>1972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1977</v>
      </c>
      <c r="E12" s="0" t="s">
        <v>1972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1978</v>
      </c>
      <c r="E13" s="0" t="s">
        <v>1972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1979</v>
      </c>
      <c r="E14" s="0" t="s">
        <v>1972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1980</v>
      </c>
      <c r="E15" s="0" t="s">
        <v>1972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1981</v>
      </c>
      <c r="E16" s="0" t="s">
        <v>1972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1982</v>
      </c>
      <c r="E17" s="0" t="s">
        <v>1972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1983</v>
      </c>
      <c r="E18" s="0" t="s">
        <v>1972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1984</v>
      </c>
      <c r="E19" s="0" t="s">
        <v>1972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1985</v>
      </c>
      <c r="E20" s="0" t="s">
        <v>1972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1986</v>
      </c>
      <c r="E21" s="0" t="s">
        <v>1972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1987</v>
      </c>
      <c r="E22" s="0" t="s">
        <v>1972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1988</v>
      </c>
      <c r="E23" s="0" t="s">
        <v>1972</v>
      </c>
      <c r="F23" s="3" t="n">
        <f aca="false">(Debt!$F$140&gt;Inputs!$F$1315)+(Debt!$F$138&gt;Inputs!$F$1316)+(Debt!$F$139&gt;Inputs!$F$1317/100)+(Debt!$F$141&gt;Inputs!$F$1318)+(Debt!$F$142&lt;Inputs!$F$1319/100)</f>
        <v>0</v>
      </c>
    </row>
    <row r="24" customFormat="false" ht="15" hidden="false" customHeight="false" outlineLevel="0" collapsed="false">
      <c r="D24" s="0" t="s">
        <v>1989</v>
      </c>
      <c r="E24" s="0" t="s">
        <v>1972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1990</v>
      </c>
      <c r="E25" s="0" t="s">
        <v>1972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1991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1992</v>
      </c>
      <c r="E7" s="0" t="s">
        <v>151</v>
      </c>
      <c r="F7" s="22" t="n">
        <f aca="false">Funding!$F$75</f>
        <v>854.551894367595</v>
      </c>
    </row>
    <row r="8" customFormat="false" ht="15" hidden="false" customHeight="false" outlineLevel="0" collapsed="false">
      <c r="D8" s="0" t="s">
        <v>1993</v>
      </c>
      <c r="E8" s="0" t="s">
        <v>151</v>
      </c>
      <c r="F8" s="22" t="n">
        <f aca="false">Funding!$F$25</f>
        <v>629.949674778433</v>
      </c>
    </row>
    <row r="9" customFormat="false" ht="15" hidden="false" customHeight="false" outlineLevel="0" collapsed="false">
      <c r="D9" s="0" t="s">
        <v>1994</v>
      </c>
      <c r="E9" s="0" t="s">
        <v>151</v>
      </c>
      <c r="F9" s="22" t="n">
        <f aca="false">SUM(Funding!$J$67:$BJ$67)</f>
        <v>224.602219589145</v>
      </c>
    </row>
    <row r="10" customFormat="false" ht="15" hidden="false" customHeight="false" outlineLevel="0" collapsed="false">
      <c r="D10" s="0" t="s">
        <v>1995</v>
      </c>
      <c r="E10" s="0" t="s">
        <v>105</v>
      </c>
      <c r="F10" s="20" t="n">
        <f aca="false">SUM(Funding!$J$73:$BJ$73)/Funding!$F$75</f>
        <v>0.737169596054362</v>
      </c>
    </row>
    <row r="11" customFormat="false" ht="15" hidden="false" customHeight="false" outlineLevel="0" collapsed="false">
      <c r="D11" s="0" t="s">
        <v>1996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63.5701663528107</v>
      </c>
    </row>
    <row r="12" customFormat="false" ht="15" hidden="false" customHeight="false" outlineLevel="0" collapsed="false">
      <c r="D12" s="0" t="s">
        <v>1997</v>
      </c>
      <c r="E12" s="0" t="s">
        <v>151</v>
      </c>
      <c r="F12" s="22" t="n">
        <f aca="false">SUM(Funding!$J$40:$BJ$40)+SUM(Funding!$J$41:$BJ$41)+SUM(Funding!$J$42:$BJ$42)+SUM(Funding!$J$43:$BJ$43)</f>
        <v>20.71750073229</v>
      </c>
    </row>
    <row r="13" customFormat="false" ht="15" hidden="false" customHeight="false" outlineLevel="0" collapsed="false">
      <c r="D13" s="0" t="s">
        <v>1998</v>
      </c>
      <c r="E13" s="0" t="s">
        <v>151</v>
      </c>
      <c r="F13" s="22" t="n">
        <f aca="false">SUM(Funding!$J$48:$BJ$48)</f>
        <v>20.504861914038</v>
      </c>
    </row>
    <row r="14" customFormat="false" ht="15" hidden="false" customHeight="false" outlineLevel="0" collapsed="false">
      <c r="D14" s="0" t="s">
        <v>1999</v>
      </c>
      <c r="E14" s="0" t="s">
        <v>151</v>
      </c>
      <c r="F14" s="22" t="n">
        <f aca="false">SUM(Funding!$J$44:$BJ$44)</f>
        <v>37.2458954365948</v>
      </c>
    </row>
    <row r="15" customFormat="false" ht="15" hidden="false" customHeight="false" outlineLevel="0" collapsed="false">
      <c r="D15" s="0" t="s">
        <v>2000</v>
      </c>
      <c r="E15" s="0" t="s">
        <v>151</v>
      </c>
      <c r="F15" s="22" t="n">
        <f aca="false">SUM(Funding!$J$55:$BJ$55)</f>
        <v>1.63349334059149E-011</v>
      </c>
    </row>
    <row r="16" customFormat="false" ht="15" hidden="false" customHeight="false" outlineLevel="0" collapsed="false">
      <c r="D16" s="0" t="s">
        <v>2001</v>
      </c>
      <c r="E16" s="0" t="s">
        <v>151</v>
      </c>
      <c r="F16" s="22" t="n">
        <f aca="false">SUM(Funding!$J$56:$BJ$56)</f>
        <v>5.44497780197162E-012</v>
      </c>
    </row>
    <row r="17" customFormat="false" ht="15" hidden="false" customHeight="false" outlineLevel="0" collapsed="false">
      <c r="D17" s="0" t="s">
        <v>1952</v>
      </c>
      <c r="E17" s="0" t="s">
        <v>204</v>
      </c>
      <c r="F17" s="22" t="n">
        <f aca="false">Ratios!$F$16</f>
        <v>1.32090776165902</v>
      </c>
    </row>
    <row r="18" customFormat="false" ht="15" hidden="false" customHeight="false" outlineLevel="0" collapsed="false">
      <c r="D18" s="0" t="s">
        <v>2002</v>
      </c>
      <c r="E18" s="0" t="s">
        <v>204</v>
      </c>
      <c r="F18" s="22" t="n">
        <f aca="false">Ratios!$F$17</f>
        <v>1.54357791597777</v>
      </c>
    </row>
    <row r="19" customFormat="false" ht="15" hidden="false" customHeight="false" outlineLevel="0" collapsed="false">
      <c r="D19" s="0" t="s">
        <v>2003</v>
      </c>
      <c r="E19" s="0" t="s">
        <v>204</v>
      </c>
      <c r="F19" s="22" t="n">
        <f aca="false">Ratios!$F$18</f>
        <v>1.41718137094352</v>
      </c>
    </row>
    <row r="20" customFormat="false" ht="15" hidden="false" customHeight="false" outlineLevel="0" collapsed="false">
      <c r="D20" s="0" t="s">
        <v>1955</v>
      </c>
      <c r="E20" s="0" t="s">
        <v>204</v>
      </c>
      <c r="F20" s="22" t="n">
        <f aca="false">Ratios!$F$19</f>
        <v>1.84305600490988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0.131274261736957</v>
      </c>
    </row>
    <row r="22" customFormat="false" ht="15" hidden="false" customHeight="false" outlineLevel="0" collapsed="false">
      <c r="D22" s="0" t="s">
        <v>2004</v>
      </c>
      <c r="E22" s="0" t="s">
        <v>105</v>
      </c>
      <c r="F22" s="20" t="n">
        <f aca="false">Returns!$F$13</f>
        <v>0.109556084774187</v>
      </c>
    </row>
    <row r="23" customFormat="false" ht="15" hidden="false" customHeight="false" outlineLevel="0" collapsed="false">
      <c r="D23" s="0" t="s">
        <v>2005</v>
      </c>
      <c r="E23" s="0" t="s">
        <v>151</v>
      </c>
      <c r="F23" s="22" t="n">
        <f aca="false">Returns!$F$15</f>
        <v>-45.5780192849544</v>
      </c>
    </row>
    <row r="24" customFormat="false" ht="15" hidden="false" customHeight="false" outlineLevel="0" collapsed="false">
      <c r="D24" s="0" t="s">
        <v>2006</v>
      </c>
      <c r="E24" s="0" t="s">
        <v>1972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2007</v>
      </c>
    </row>
    <row r="27" customFormat="false" ht="15" hidden="false" customHeight="false" outlineLevel="0" collapsed="false">
      <c r="D27" s="2" t="s">
        <v>2008</v>
      </c>
      <c r="J27" s="2" t="s">
        <v>1992</v>
      </c>
      <c r="K27" s="2" t="s">
        <v>1993</v>
      </c>
      <c r="L27" s="2" t="s">
        <v>1994</v>
      </c>
      <c r="M27" s="2" t="s">
        <v>1995</v>
      </c>
      <c r="N27" s="2" t="s">
        <v>1996</v>
      </c>
      <c r="O27" s="2" t="s">
        <v>1997</v>
      </c>
      <c r="P27" s="2" t="s">
        <v>1998</v>
      </c>
      <c r="Q27" s="2" t="s">
        <v>1999</v>
      </c>
      <c r="R27" s="2" t="s">
        <v>2000</v>
      </c>
      <c r="S27" s="2" t="s">
        <v>2001</v>
      </c>
      <c r="T27" s="2" t="s">
        <v>1952</v>
      </c>
      <c r="U27" s="2" t="s">
        <v>2002</v>
      </c>
      <c r="V27" s="2" t="s">
        <v>2003</v>
      </c>
      <c r="W27" s="2" t="s">
        <v>1955</v>
      </c>
      <c r="X27" s="2" t="s">
        <v>436</v>
      </c>
      <c r="Y27" s="2" t="s">
        <v>2004</v>
      </c>
      <c r="Z27" s="2" t="s">
        <v>2005</v>
      </c>
    </row>
    <row r="28" customFormat="false" ht="15" hidden="false" customHeight="false" outlineLevel="0" collapsed="false">
      <c r="D28" s="0" t="s">
        <v>2009</v>
      </c>
      <c r="J28" s="23" t="n">
        <v>854.551894367595</v>
      </c>
      <c r="K28" s="23" t="n">
        <v>629.949674778433</v>
      </c>
      <c r="L28" s="23" t="n">
        <v>224.602219589146</v>
      </c>
      <c r="M28" s="24" t="n">
        <v>0.737169596054361</v>
      </c>
      <c r="N28" s="23" t="n">
        <v>63.5701663528107</v>
      </c>
      <c r="O28" s="23" t="n">
        <v>20.71750073229</v>
      </c>
      <c r="P28" s="23" t="n">
        <v>20.5048619140385</v>
      </c>
      <c r="Q28" s="23" t="n">
        <v>37.2458954365948</v>
      </c>
      <c r="R28" s="23" t="n">
        <v>0</v>
      </c>
      <c r="S28" s="23" t="n">
        <v>0</v>
      </c>
      <c r="T28" s="23" t="n">
        <v>1.35000000008609</v>
      </c>
      <c r="U28" s="23" t="n">
        <v>1.54813431051052</v>
      </c>
      <c r="V28" s="23" t="n">
        <v>1.41887696415114</v>
      </c>
      <c r="W28" s="23" t="n">
        <v>1.84662112232132</v>
      </c>
      <c r="X28" s="24" t="n">
        <v>0.131518936520674</v>
      </c>
      <c r="Y28" s="24" t="n">
        <v>0.109696244172525</v>
      </c>
      <c r="Z28" s="23" t="n">
        <v>-45.3091649678889</v>
      </c>
    </row>
    <row r="29" customFormat="false" ht="15" hidden="false" customHeight="false" outlineLevel="0" collapsed="false">
      <c r="D29" s="0" t="s">
        <v>2010</v>
      </c>
      <c r="J29" s="23" t="n">
        <v>854.551894367595</v>
      </c>
      <c r="K29" s="23" t="n">
        <v>629.949674778433</v>
      </c>
      <c r="L29" s="23" t="n">
        <v>224.602219589146</v>
      </c>
      <c r="M29" s="24" t="n">
        <v>0.737169596054361</v>
      </c>
      <c r="N29" s="23" t="n">
        <v>63.5701663528107</v>
      </c>
      <c r="O29" s="23" t="n">
        <v>20.71750073229</v>
      </c>
      <c r="P29" s="23" t="n">
        <v>20.5048619140385</v>
      </c>
      <c r="Q29" s="23" t="n">
        <v>37.2458954365948</v>
      </c>
      <c r="R29" s="23" t="n">
        <v>0</v>
      </c>
      <c r="S29" s="23" t="n">
        <v>0</v>
      </c>
      <c r="T29" s="23" t="n">
        <v>1.3477744293201</v>
      </c>
      <c r="U29" s="23" t="n">
        <v>1.5460900962164</v>
      </c>
      <c r="V29" s="23" t="n">
        <v>1.41731192723606</v>
      </c>
      <c r="W29" s="23" t="n">
        <v>1.84428436663989</v>
      </c>
      <c r="X29" s="24" t="n">
        <v>0.131205892884929</v>
      </c>
      <c r="Y29" s="24" t="n">
        <v>0.109551625971133</v>
      </c>
      <c r="Z29" s="23" t="n">
        <v>-45.8165002848036</v>
      </c>
    </row>
    <row r="30" customFormat="false" ht="15" hidden="false" customHeight="false" outlineLevel="0" collapsed="false">
      <c r="D30" s="0" t="s">
        <v>2011</v>
      </c>
      <c r="J30" s="23" t="n">
        <v>854.551894367595</v>
      </c>
      <c r="K30" s="23" t="n">
        <v>629.949674778433</v>
      </c>
      <c r="L30" s="23" t="n">
        <v>224.602219589146</v>
      </c>
      <c r="M30" s="24" t="n">
        <v>0.737169596054361</v>
      </c>
      <c r="N30" s="23" t="n">
        <v>63.5701663528107</v>
      </c>
      <c r="O30" s="23" t="n">
        <v>20.71750073229</v>
      </c>
      <c r="P30" s="23" t="n">
        <v>20.5048619140385</v>
      </c>
      <c r="Q30" s="23" t="n">
        <v>37.2458954365948</v>
      </c>
      <c r="R30" s="23" t="n">
        <v>0</v>
      </c>
      <c r="S30" s="23" t="n">
        <v>0</v>
      </c>
      <c r="T30" s="23" t="n">
        <v>1.20035870382718</v>
      </c>
      <c r="U30" s="23" t="n">
        <v>1.38020999071866</v>
      </c>
      <c r="V30" s="23" t="n">
        <v>1.30453347891839</v>
      </c>
      <c r="W30" s="23" t="n">
        <v>1.70607128341521</v>
      </c>
      <c r="X30" s="24" t="n">
        <v>0.112654932824368</v>
      </c>
      <c r="Y30" s="24" t="n">
        <v>0.100755051336304</v>
      </c>
      <c r="Z30" s="23" t="n">
        <v>-75.8789905688877</v>
      </c>
    </row>
    <row r="31" customFormat="false" ht="15" hidden="false" customHeight="false" outlineLevel="0" collapsed="false">
      <c r="D31" s="0" t="s">
        <v>2012</v>
      </c>
      <c r="J31" s="23" t="n">
        <v>854.551894367595</v>
      </c>
      <c r="K31" s="23" t="n">
        <v>629.949674778433</v>
      </c>
      <c r="L31" s="23" t="n">
        <v>224.602219589146</v>
      </c>
      <c r="M31" s="24" t="n">
        <v>0.737169596054361</v>
      </c>
      <c r="N31" s="23" t="n">
        <v>63.5701663528107</v>
      </c>
      <c r="O31" s="23" t="n">
        <v>20.71750073229</v>
      </c>
      <c r="P31" s="23" t="n">
        <v>20.5048619140385</v>
      </c>
      <c r="Q31" s="23" t="n">
        <v>37.2458954365948</v>
      </c>
      <c r="R31" s="23" t="n">
        <v>0</v>
      </c>
      <c r="S31" s="23" t="n">
        <v>0</v>
      </c>
      <c r="T31" s="23" t="n">
        <v>1.32090776165902</v>
      </c>
      <c r="U31" s="23" t="n">
        <v>1.54357791597778</v>
      </c>
      <c r="V31" s="23" t="n">
        <v>1.41718137094352</v>
      </c>
      <c r="W31" s="23" t="n">
        <v>1.84305600490989</v>
      </c>
      <c r="X31" s="24" t="n">
        <v>0.131274261736958</v>
      </c>
      <c r="Y31" s="24" t="n">
        <v>0.109556084774187</v>
      </c>
      <c r="Z31" s="23" t="n">
        <v>-45.5780192849544</v>
      </c>
    </row>
    <row r="32" customFormat="false" ht="15" hidden="false" customHeight="false" outlineLevel="0" collapsed="false">
      <c r="D32" s="0" t="s">
        <v>2013</v>
      </c>
      <c r="J32" s="23" t="n">
        <v>854.551894367595</v>
      </c>
      <c r="K32" s="23" t="n">
        <v>629.949674778433</v>
      </c>
      <c r="L32" s="23" t="n">
        <v>224.602219589146</v>
      </c>
      <c r="M32" s="24" t="n">
        <v>0.737169596054361</v>
      </c>
      <c r="N32" s="23" t="n">
        <v>63.5701663528107</v>
      </c>
      <c r="O32" s="23" t="n">
        <v>20.71750073229</v>
      </c>
      <c r="P32" s="23" t="n">
        <v>20.5048619140385</v>
      </c>
      <c r="Q32" s="23" t="n">
        <v>37.2458954365948</v>
      </c>
      <c r="R32" s="23" t="n">
        <v>0</v>
      </c>
      <c r="S32" s="23" t="n">
        <v>0</v>
      </c>
      <c r="T32" s="23" t="n">
        <v>1.30330028784806</v>
      </c>
      <c r="U32" s="23" t="n">
        <v>1.49885954966814</v>
      </c>
      <c r="V32" s="23" t="n">
        <v>1.38279142285591</v>
      </c>
      <c r="W32" s="23" t="n">
        <v>1.79316978889944</v>
      </c>
      <c r="X32" s="24" t="n">
        <v>0.124364589453598</v>
      </c>
      <c r="Y32" s="24" t="n">
        <v>0.106332652013404</v>
      </c>
      <c r="Z32" s="23" t="n">
        <v>-56.8194278284499</v>
      </c>
    </row>
    <row r="33" customFormat="false" ht="15" hidden="false" customHeight="false" outlineLevel="0" collapsed="false">
      <c r="D33" s="0" t="s">
        <v>2014</v>
      </c>
      <c r="J33" s="23" t="n">
        <v>854.551894367595</v>
      </c>
      <c r="K33" s="23" t="n">
        <v>629.949674778433</v>
      </c>
      <c r="L33" s="23" t="n">
        <v>224.602219589146</v>
      </c>
      <c r="M33" s="24" t="n">
        <v>0.737169596054361</v>
      </c>
      <c r="N33" s="23" t="n">
        <v>63.5701663528107</v>
      </c>
      <c r="O33" s="23" t="n">
        <v>20.71750073229</v>
      </c>
      <c r="P33" s="23" t="n">
        <v>20.5048619140385</v>
      </c>
      <c r="Q33" s="23" t="n">
        <v>37.2458954365948</v>
      </c>
      <c r="R33" s="23" t="n">
        <v>0</v>
      </c>
      <c r="S33" s="23" t="n">
        <v>0</v>
      </c>
      <c r="T33" s="23" t="n">
        <v>1.31905245223501</v>
      </c>
      <c r="U33" s="23" t="n">
        <v>1.51733468502767</v>
      </c>
      <c r="V33" s="23" t="n">
        <v>1.39617963342938</v>
      </c>
      <c r="W33" s="23" t="n">
        <v>1.81059882070849</v>
      </c>
      <c r="X33" s="24" t="n">
        <v>0.126719661462623</v>
      </c>
      <c r="Y33" s="24" t="n">
        <v>0.107440530001056</v>
      </c>
      <c r="Z33" s="23" t="n">
        <v>-53.0064583252415</v>
      </c>
    </row>
    <row r="34" customFormat="false" ht="15" hidden="false" customHeight="false" outlineLevel="0" collapsed="false">
      <c r="D34" s="0" t="s">
        <v>2015</v>
      </c>
      <c r="J34" s="23" t="n">
        <v>935.843769363983</v>
      </c>
      <c r="K34" s="23" t="n">
        <v>689.875573431621</v>
      </c>
      <c r="L34" s="23" t="n">
        <v>245.968195931945</v>
      </c>
      <c r="M34" s="24" t="n">
        <v>0.737169596054361</v>
      </c>
      <c r="N34" s="23" t="n">
        <v>69.4736719753717</v>
      </c>
      <c r="O34" s="23" t="n">
        <v>22.5730675906079</v>
      </c>
      <c r="P34" s="23" t="n">
        <v>22.4554499152128</v>
      </c>
      <c r="Q34" s="23" t="n">
        <v>40.8397629577425</v>
      </c>
      <c r="R34" s="23" t="n">
        <v>0</v>
      </c>
      <c r="S34" s="23" t="n">
        <v>0</v>
      </c>
      <c r="T34" s="23" t="n">
        <v>1.23095950197492</v>
      </c>
      <c r="U34" s="23" t="n">
        <v>1.38851606708263</v>
      </c>
      <c r="V34" s="23" t="n">
        <v>1.30661689996062</v>
      </c>
      <c r="W34" s="23" t="n">
        <v>1.71342239693395</v>
      </c>
      <c r="X34" s="24" t="n">
        <v>0.113399763895755</v>
      </c>
      <c r="Y34" s="24" t="n">
        <v>0.101229278825841</v>
      </c>
      <c r="Z34" s="23" t="n">
        <v>-82.4605288280906</v>
      </c>
    </row>
    <row r="35" customFormat="false" ht="15" hidden="false" customHeight="false" outlineLevel="0" collapsed="false">
      <c r="D35" s="0" t="s">
        <v>2016</v>
      </c>
      <c r="J35" s="23" t="n">
        <v>887.498302759199</v>
      </c>
      <c r="K35" s="23" t="n">
        <v>654.236765343821</v>
      </c>
      <c r="L35" s="23" t="n">
        <v>233.261537415269</v>
      </c>
      <c r="M35" s="24" t="n">
        <v>0.737169596054362</v>
      </c>
      <c r="N35" s="23" t="n">
        <v>83.9677507839746</v>
      </c>
      <c r="O35" s="23" t="n">
        <v>22.4774635622388</v>
      </c>
      <c r="P35" s="23" t="n">
        <v>21.2954067119449</v>
      </c>
      <c r="Q35" s="23" t="n">
        <v>39.6032169077687</v>
      </c>
      <c r="R35" s="23" t="n">
        <v>0</v>
      </c>
      <c r="S35" s="23" t="n">
        <v>0</v>
      </c>
      <c r="T35" s="23" t="n">
        <v>1.25451733355088</v>
      </c>
      <c r="U35" s="23" t="n">
        <v>1.45295216521133</v>
      </c>
      <c r="V35" s="23" t="n">
        <v>1.34879260324846</v>
      </c>
      <c r="W35" s="23" t="n">
        <v>1.80019409355666</v>
      </c>
      <c r="X35" s="24" t="n">
        <v>0.119786701306052</v>
      </c>
      <c r="Y35" s="24" t="n">
        <v>0.104497055158817</v>
      </c>
      <c r="Z35" s="23" t="n">
        <v>-68.3796434440982</v>
      </c>
    </row>
    <row r="36" customFormat="false" ht="15" hidden="false" customHeight="false" outlineLevel="0" collapsed="false">
      <c r="D36" s="0" t="s">
        <v>2017</v>
      </c>
      <c r="J36" s="23" t="n">
        <v>854.551894367595</v>
      </c>
      <c r="K36" s="23" t="n">
        <v>629.949674778433</v>
      </c>
      <c r="L36" s="23" t="n">
        <v>224.602219589146</v>
      </c>
      <c r="M36" s="24" t="n">
        <v>0.737169596054361</v>
      </c>
      <c r="N36" s="23" t="n">
        <v>63.5701663528107</v>
      </c>
      <c r="O36" s="23" t="n">
        <v>20.71750073229</v>
      </c>
      <c r="P36" s="23" t="n">
        <v>20.5048619140385</v>
      </c>
      <c r="Q36" s="23" t="n">
        <v>37.2458954365948</v>
      </c>
      <c r="R36" s="23" t="n">
        <v>0</v>
      </c>
      <c r="S36" s="23" t="n">
        <v>0</v>
      </c>
      <c r="T36" s="23" t="n">
        <v>1.29768605947768</v>
      </c>
      <c r="U36" s="23" t="n">
        <v>1.52245101538197</v>
      </c>
      <c r="V36" s="23" t="n">
        <v>1.39606919052074</v>
      </c>
      <c r="W36" s="23" t="n">
        <v>1.83293019905486</v>
      </c>
      <c r="X36" s="24" t="n">
        <v>0.12817620169047</v>
      </c>
      <c r="Y36" s="24" t="n">
        <v>0.110013681099237</v>
      </c>
      <c r="Z36" s="23" t="n">
        <v>-51.3901523644316</v>
      </c>
    </row>
    <row r="37" customFormat="false" ht="15" hidden="false" customHeight="false" outlineLevel="0" collapsed="false">
      <c r="D37" s="0" t="s">
        <v>2018</v>
      </c>
      <c r="J37" s="23" t="n">
        <v>854.551894367595</v>
      </c>
      <c r="K37" s="23" t="n">
        <v>629.949674778433</v>
      </c>
      <c r="L37" s="23" t="n">
        <v>224.602219589146</v>
      </c>
      <c r="M37" s="24" t="n">
        <v>0.737169596054361</v>
      </c>
      <c r="N37" s="23" t="n">
        <v>63.5701663528107</v>
      </c>
      <c r="O37" s="23" t="n">
        <v>20.71750073229</v>
      </c>
      <c r="P37" s="23" t="n">
        <v>20.5048619140385</v>
      </c>
      <c r="Q37" s="23" t="n">
        <v>37.2458954365948</v>
      </c>
      <c r="R37" s="23" t="n">
        <v>0</v>
      </c>
      <c r="S37" s="23" t="n">
        <v>0</v>
      </c>
      <c r="T37" s="23" t="n">
        <v>0.450935321178795</v>
      </c>
      <c r="U37" s="23" t="n">
        <v>1.52522086699953</v>
      </c>
      <c r="V37" s="23" t="n">
        <v>1.39946289395333</v>
      </c>
      <c r="W37" s="23" t="n">
        <v>1.81661091984071</v>
      </c>
      <c r="X37" s="24" t="n">
        <v>0.127490290204612</v>
      </c>
      <c r="Y37" s="24" t="n">
        <v>0.107670761239385</v>
      </c>
      <c r="Z37" s="23" t="n">
        <v>-52.0727099497753</v>
      </c>
    </row>
    <row r="38" customFormat="false" ht="15" hidden="false" customHeight="false" outlineLevel="0" collapsed="false">
      <c r="D38" s="0" t="s">
        <v>2019</v>
      </c>
      <c r="J38" s="23" t="n">
        <v>854.551894367595</v>
      </c>
      <c r="K38" s="23" t="n">
        <v>629.949674778433</v>
      </c>
      <c r="L38" s="23" t="n">
        <v>224.602219589146</v>
      </c>
      <c r="M38" s="24" t="n">
        <v>0.737169596054361</v>
      </c>
      <c r="N38" s="23" t="n">
        <v>63.5701663528107</v>
      </c>
      <c r="O38" s="23" t="n">
        <v>20.71750073229</v>
      </c>
      <c r="P38" s="23" t="n">
        <v>20.5048619140385</v>
      </c>
      <c r="Q38" s="23" t="n">
        <v>37.2458954365948</v>
      </c>
      <c r="R38" s="23" t="n">
        <v>0</v>
      </c>
      <c r="S38" s="23" t="n">
        <v>0</v>
      </c>
      <c r="T38" s="23" t="n">
        <v>0.130444886497538</v>
      </c>
      <c r="U38" s="23" t="n">
        <v>1.54909054263884</v>
      </c>
      <c r="V38" s="23" t="n">
        <v>1.41506580216346</v>
      </c>
      <c r="W38" s="23" t="n">
        <v>1.84281775570383</v>
      </c>
      <c r="X38" s="24" t="n">
        <v>0.13090825760992</v>
      </c>
      <c r="Y38" s="24" t="n">
        <v>0.109160184817532</v>
      </c>
      <c r="Z38" s="23" t="n">
        <v>-46.6809267288078</v>
      </c>
    </row>
    <row r="39" customFormat="false" ht="15" hidden="false" customHeight="false" outlineLevel="0" collapsed="false">
      <c r="D39" s="0" t="s">
        <v>2020</v>
      </c>
      <c r="J39" s="23" t="n">
        <v>854.551894367595</v>
      </c>
      <c r="K39" s="23" t="n">
        <v>629.949674778433</v>
      </c>
      <c r="L39" s="23" t="n">
        <v>224.602219589146</v>
      </c>
      <c r="M39" s="24" t="n">
        <v>0.737169596054361</v>
      </c>
      <c r="N39" s="23" t="n">
        <v>63.5701663528107</v>
      </c>
      <c r="O39" s="23" t="n">
        <v>20.71750073229</v>
      </c>
      <c r="P39" s="23" t="n">
        <v>20.5048619140385</v>
      </c>
      <c r="Q39" s="23" t="n">
        <v>37.2458954365948</v>
      </c>
      <c r="R39" s="23" t="n">
        <v>0</v>
      </c>
      <c r="S39" s="23" t="n">
        <v>0</v>
      </c>
      <c r="T39" s="23" t="n">
        <v>1.33689386094541</v>
      </c>
      <c r="U39" s="23" t="n">
        <v>1.53612168937308</v>
      </c>
      <c r="V39" s="23" t="n">
        <v>1.40966255560208</v>
      </c>
      <c r="W39" s="23" t="n">
        <v>1.83300051773085</v>
      </c>
      <c r="X39" s="24" t="n">
        <v>0.129690253742898</v>
      </c>
      <c r="Y39" s="24" t="n">
        <v>0.108850879043274</v>
      </c>
      <c r="Z39" s="23" t="n">
        <v>-48.2799517531757</v>
      </c>
    </row>
    <row r="40" customFormat="false" ht="15" hidden="false" customHeight="false" outlineLevel="0" collapsed="false">
      <c r="D40" s="0" t="s">
        <v>2021</v>
      </c>
      <c r="J40" s="23" t="n">
        <v>854.551894367595</v>
      </c>
      <c r="K40" s="23" t="n">
        <v>629.949674778433</v>
      </c>
      <c r="L40" s="23" t="n">
        <v>224.602219589146</v>
      </c>
      <c r="M40" s="24" t="n">
        <v>0.737169596054361</v>
      </c>
      <c r="N40" s="23" t="n">
        <v>63.5701663528107</v>
      </c>
      <c r="O40" s="23" t="n">
        <v>20.71750073229</v>
      </c>
      <c r="P40" s="23" t="n">
        <v>20.5048619140385</v>
      </c>
      <c r="Q40" s="23" t="n">
        <v>37.2458954365948</v>
      </c>
      <c r="R40" s="23" t="n">
        <v>0</v>
      </c>
      <c r="S40" s="23" t="n">
        <v>0</v>
      </c>
      <c r="T40" s="23" t="n">
        <v>1.35051420143871</v>
      </c>
      <c r="U40" s="23" t="n">
        <v>1.54845111982152</v>
      </c>
      <c r="V40" s="23" t="n">
        <v>1.41926247674249</v>
      </c>
      <c r="W40" s="23" t="n">
        <v>1.84655391948118</v>
      </c>
      <c r="X40" s="24" t="n">
        <v>0.131572363995412</v>
      </c>
      <c r="Y40" s="24" t="n">
        <v>0.10971299545216</v>
      </c>
      <c r="Z40" s="23" t="n">
        <v>-45.1929183516</v>
      </c>
    </row>
    <row r="41" customFormat="false" ht="15" hidden="false" customHeight="false" outlineLevel="0" collapsed="false">
      <c r="D41" s="0" t="s">
        <v>2022</v>
      </c>
      <c r="J41" s="23" t="n">
        <v>887.443321692055</v>
      </c>
      <c r="K41" s="23" t="n">
        <v>629.949674778433</v>
      </c>
      <c r="L41" s="23" t="n">
        <v>228.52015142026</v>
      </c>
      <c r="M41" s="24" t="n">
        <v>0.723092342447609</v>
      </c>
      <c r="N41" s="23" t="n">
        <v>62.4226862423098</v>
      </c>
      <c r="O41" s="23" t="n">
        <v>22.9552002028327</v>
      </c>
      <c r="P41" s="23" t="n">
        <v>20.504861914038</v>
      </c>
      <c r="Q41" s="23" t="n">
        <v>37.1587860496942</v>
      </c>
      <c r="R41" s="23" t="n">
        <v>11.7537954933617</v>
      </c>
      <c r="S41" s="23" t="n">
        <v>3.91793183112057</v>
      </c>
      <c r="T41" s="23" t="n">
        <v>1.28105053687616</v>
      </c>
      <c r="U41" s="23" t="n">
        <v>1.51249421269062</v>
      </c>
      <c r="V41" s="23" t="n">
        <v>1.33855113760227</v>
      </c>
      <c r="W41" s="23" t="n">
        <v>1.78917234145956</v>
      </c>
      <c r="X41" s="24" t="n">
        <v>0.123429095324855</v>
      </c>
      <c r="Y41" s="24" t="n">
        <v>0.100881522974638</v>
      </c>
      <c r="Z41" s="23" t="n">
        <v>-58.8715598299849</v>
      </c>
    </row>
    <row r="42" customFormat="false" ht="15" hidden="false" customHeight="false" outlineLevel="0" collapsed="false">
      <c r="D42" s="0" t="s">
        <v>2023</v>
      </c>
      <c r="J42" s="23" t="n">
        <v>885.214614550362</v>
      </c>
      <c r="K42" s="23" t="n">
        <v>629.949674778433</v>
      </c>
      <c r="L42" s="23" t="n">
        <v>227.962974634837</v>
      </c>
      <c r="M42" s="24" t="n">
        <v>0.723024596968075</v>
      </c>
      <c r="N42" s="23" t="n">
        <v>62.4226862423098</v>
      </c>
      <c r="O42" s="23" t="n">
        <v>22.9552002028327</v>
      </c>
      <c r="P42" s="23" t="n">
        <v>20.504861914038</v>
      </c>
      <c r="Q42" s="23" t="n">
        <v>34.9300789080004</v>
      </c>
      <c r="R42" s="23" t="n">
        <v>10.0822651370914</v>
      </c>
      <c r="S42" s="23" t="n">
        <v>3.36075504569712</v>
      </c>
      <c r="T42" s="23" t="n">
        <v>0.914821132839129</v>
      </c>
      <c r="U42" s="23" t="n">
        <v>1.50206101172829</v>
      </c>
      <c r="V42" s="23" t="n">
        <v>1.46777265359089</v>
      </c>
      <c r="W42" s="23" t="n">
        <v>1.69526223545376</v>
      </c>
      <c r="X42" s="24" t="n">
        <v>0.124090921931466</v>
      </c>
      <c r="Y42" s="24" t="n">
        <v>0.101398543807332</v>
      </c>
      <c r="Z42" s="23" t="n">
        <v>-56.3856318722395</v>
      </c>
    </row>
    <row r="44" customFormat="false" ht="15" hidden="false" customHeight="false" outlineLevel="0" collapsed="false">
      <c r="D44" s="0" t="s">
        <v>2024</v>
      </c>
      <c r="E44" s="0" t="s">
        <v>1972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2026-10-03T23:21:11Z</dcterms:created>
  <dc:creator>openpyxl</dc:creator>
  <dc:description/>
  <dc:language>en-US</dc:language>
  <cp:lastModifiedBy/>
  <dcterms:modified xsi:type="dcterms:W3CDTF">2026-10-03T23:21:12Z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