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<sst xmlns="http://schemas.openxmlformats.org/spreadsheetml/2006/main" count="2466" uniqueCount="947">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</sst>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1.02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6585.36788448</v>
      </c>
      <c r="K39" s="13" t="n">
        <f aca="false">$F$35*(1+Inputs!$F$127/100*K33)*(1+Inputs!$F$128/100)*(1+Inputs!$F$122/100)*Inputs!$F$39</f>
        <v>6585.36788448</v>
      </c>
      <c r="L39" s="13" t="n">
        <f aca="false">$F$35*(1+Inputs!$F$127/100*L33)*(1+Inputs!$F$128/100)*(1+Inputs!$F$122/100)*Inputs!$F$39</f>
        <v>6585.36788448</v>
      </c>
      <c r="M39" s="13" t="n">
        <f aca="false">$F$35*(1+Inputs!$F$127/100*M33)*(1+Inputs!$F$128/100)*(1+Inputs!$F$122/100)*Inputs!$F$39</f>
        <v>6585.36788448</v>
      </c>
      <c r="N39" s="13" t="n">
        <f aca="false">$F$35*(1+Inputs!$F$127/100*N33)*(1+Inputs!$F$128/100)*(1+Inputs!$F$122/100)*Inputs!$F$39</f>
        <v>6585.36788448</v>
      </c>
      <c r="O39" s="13" t="n">
        <f aca="false">$F$35*(1+Inputs!$F$127/100*O33)*(1+Inputs!$F$128/100)*(1+Inputs!$F$122/100)*Inputs!$F$39</f>
        <v>6586.02642126845</v>
      </c>
      <c r="P39" s="13" t="n">
        <f aca="false">$F$35*(1+Inputs!$F$127/100*P33)*(1+Inputs!$F$128/100)*(1+Inputs!$F$122/100)*Inputs!$F$39</f>
        <v>6588.66056842224</v>
      </c>
      <c r="Q39" s="13" t="n">
        <f aca="false">$F$35*(1+Inputs!$F$127/100*Q33)*(1+Inputs!$F$128/100)*(1+Inputs!$F$122/100)*Inputs!$F$39</f>
        <v>6592.61178915293</v>
      </c>
      <c r="R39" s="13" t="n">
        <f aca="false">$F$35*(1+Inputs!$F$127/100*R33)*(1+Inputs!$F$128/100)*(1+Inputs!$F$122/100)*Inputs!$F$39</f>
        <v>6596.56300988362</v>
      </c>
      <c r="S39" s="13" t="n">
        <f aca="false">$F$35*(1+Inputs!$F$127/100*S33)*(1+Inputs!$F$128/100)*(1+Inputs!$F$122/100)*Inputs!$F$39</f>
        <v>6600.5142306143</v>
      </c>
      <c r="T39" s="13" t="n">
        <f aca="false">$F$35*(1+Inputs!$F$127/100*T33)*(1+Inputs!$F$128/100)*(1+Inputs!$F$122/100)*Inputs!$F$39</f>
        <v>6604.46545134499</v>
      </c>
      <c r="U39" s="13" t="n">
        <f aca="false">$F$35*(1+Inputs!$F$127/100*U33)*(1+Inputs!$F$128/100)*(1+Inputs!$F$122/100)*Inputs!$F$39</f>
        <v>6608.41667207568</v>
      </c>
      <c r="V39" s="13" t="n">
        <f aca="false">$F$35*(1+Inputs!$F$127/100*V33)*(1+Inputs!$F$128/100)*(1+Inputs!$F$122/100)*Inputs!$F$39</f>
        <v>6612.36789280637</v>
      </c>
      <c r="W39" s="13" t="n">
        <f aca="false">$F$35*(1+Inputs!$F$127/100*W33)*(1+Inputs!$F$128/100)*(1+Inputs!$F$122/100)*Inputs!$F$39</f>
        <v>6616.31911353706</v>
      </c>
      <c r="X39" s="13" t="n">
        <f aca="false">$F$35*(1+Inputs!$F$127/100*X33)*(1+Inputs!$F$128/100)*(1+Inputs!$F$122/100)*Inputs!$F$39</f>
        <v>6620.27033426774</v>
      </c>
      <c r="Y39" s="13" t="n">
        <f aca="false">$F$35*(1+Inputs!$F$127/100*Y33)*(1+Inputs!$F$128/100)*(1+Inputs!$F$122/100)*Inputs!$F$39</f>
        <v>6624.22155499843</v>
      </c>
      <c r="Z39" s="13" t="n">
        <f aca="false">$F$35*(1+Inputs!$F$127/100*Z33)*(1+Inputs!$F$128/100)*(1+Inputs!$F$122/100)*Inputs!$F$39</f>
        <v>6628.17277572912</v>
      </c>
      <c r="AA39" s="13" t="n">
        <f aca="false">$F$35*(1+Inputs!$F$127/100*AA33)*(1+Inputs!$F$128/100)*(1+Inputs!$F$122/100)*Inputs!$F$39</f>
        <v>6632.12399645981</v>
      </c>
      <c r="AB39" s="13" t="n">
        <f aca="false">$F$35*(1+Inputs!$F$127/100*AB33)*(1+Inputs!$F$128/100)*(1+Inputs!$F$122/100)*Inputs!$F$39</f>
        <v>6636.0752171905</v>
      </c>
      <c r="AC39" s="13" t="n">
        <f aca="false">$F$35*(1+Inputs!$F$127/100*AC33)*(1+Inputs!$F$128/100)*(1+Inputs!$F$122/100)*Inputs!$F$39</f>
        <v>6640.02643792118</v>
      </c>
      <c r="AD39" s="13" t="n">
        <f aca="false">$F$35*(1+Inputs!$F$127/100*AD33)*(1+Inputs!$F$128/100)*(1+Inputs!$F$122/100)*Inputs!$F$39</f>
        <v>6643.97765865187</v>
      </c>
      <c r="AE39" s="13" t="n">
        <f aca="false">$F$35*(1+Inputs!$F$127/100*AE33)*(1+Inputs!$F$128/100)*(1+Inputs!$F$122/100)*Inputs!$F$39</f>
        <v>6647.92887938256</v>
      </c>
      <c r="AF39" s="13" t="n">
        <f aca="false">$F$35*(1+Inputs!$F$127/100*AF33)*(1+Inputs!$F$128/100)*(1+Inputs!$F$122/100)*Inputs!$F$39</f>
        <v>6651.88010011325</v>
      </c>
      <c r="AG39" s="13" t="n">
        <f aca="false">$F$35*(1+Inputs!$F$127/100*AG33)*(1+Inputs!$F$128/100)*(1+Inputs!$F$122/100)*Inputs!$F$39</f>
        <v>6655.83132084394</v>
      </c>
      <c r="AH39" s="13" t="n">
        <f aca="false">$F$35*(1+Inputs!$F$127/100*AH33)*(1+Inputs!$F$128/100)*(1+Inputs!$F$122/100)*Inputs!$F$39</f>
        <v>6659.78254157462</v>
      </c>
      <c r="AI39" s="13" t="n">
        <f aca="false">$F$35*(1+Inputs!$F$127/100*AI33)*(1+Inputs!$F$128/100)*(1+Inputs!$F$122/100)*Inputs!$F$39</f>
        <v>6663.73376230531</v>
      </c>
      <c r="AJ39" s="13" t="n">
        <f aca="false">$F$35*(1+Inputs!$F$127/100*AJ33)*(1+Inputs!$F$128/100)*(1+Inputs!$F$122/100)*Inputs!$F$39</f>
        <v>6667.684983036</v>
      </c>
      <c r="AK39" s="13" t="n">
        <f aca="false">$F$35*(1+Inputs!$F$127/100*AK33)*(1+Inputs!$F$128/100)*(1+Inputs!$F$122/100)*Inputs!$F$39</f>
        <v>6671.63620376669</v>
      </c>
      <c r="AL39" s="13" t="n">
        <f aca="false">$F$35*(1+Inputs!$F$127/100*AL33)*(1+Inputs!$F$128/100)*(1+Inputs!$F$122/100)*Inputs!$F$39</f>
        <v>6675.58742449738</v>
      </c>
      <c r="AM39" s="13" t="n">
        <f aca="false">$F$35*(1+Inputs!$F$127/100*AM33)*(1+Inputs!$F$128/100)*(1+Inputs!$F$122/100)*Inputs!$F$39</f>
        <v>6679.53864522806</v>
      </c>
      <c r="AN39" s="13" t="n">
        <f aca="false">$F$35*(1+Inputs!$F$127/100*AN33)*(1+Inputs!$F$128/100)*(1+Inputs!$F$122/100)*Inputs!$F$39</f>
        <v>6683.48986595875</v>
      </c>
      <c r="AO39" s="13" t="n">
        <f aca="false">$F$35*(1+Inputs!$F$127/100*AO33)*(1+Inputs!$F$128/100)*(1+Inputs!$F$122/100)*Inputs!$F$39</f>
        <v>6687.44108668944</v>
      </c>
      <c r="AP39" s="13" t="n">
        <f aca="false">$F$35*(1+Inputs!$F$127/100*AP33)*(1+Inputs!$F$128/100)*(1+Inputs!$F$122/100)*Inputs!$F$39</f>
        <v>6691.39230742013</v>
      </c>
      <c r="AQ39" s="13" t="n">
        <f aca="false">$F$35*(1+Inputs!$F$127/100*AQ33)*(1+Inputs!$F$128/100)*(1+Inputs!$F$122/100)*Inputs!$F$39</f>
        <v>6695.34352815082</v>
      </c>
      <c r="AR39" s="13" t="n">
        <f aca="false">$F$35*(1+Inputs!$F$127/100*AR33)*(1+Inputs!$F$128/100)*(1+Inputs!$F$122/100)*Inputs!$F$39</f>
        <v>6699.2947488815</v>
      </c>
      <c r="AS39" s="13" t="n">
        <f aca="false">$F$35*(1+Inputs!$F$127/100*AS33)*(1+Inputs!$F$128/100)*(1+Inputs!$F$122/100)*Inputs!$F$39</f>
        <v>6703.24596961219</v>
      </c>
      <c r="AT39" s="13" t="n">
        <f aca="false">$F$35*(1+Inputs!$F$127/100*AT33)*(1+Inputs!$F$128/100)*(1+Inputs!$F$122/100)*Inputs!$F$39</f>
        <v>6707.19719034288</v>
      </c>
      <c r="AU39" s="13" t="n">
        <f aca="false">$F$35*(1+Inputs!$F$127/100*AU33)*(1+Inputs!$F$128/100)*(1+Inputs!$F$122/100)*Inputs!$F$39</f>
        <v>6711.14841107357</v>
      </c>
      <c r="AV39" s="13" t="n">
        <f aca="false">$F$35*(1+Inputs!$F$127/100*AV33)*(1+Inputs!$F$128/100)*(1+Inputs!$F$122/100)*Inputs!$F$39</f>
        <v>6715.09963180426</v>
      </c>
      <c r="AW39" s="13" t="n">
        <f aca="false">$F$35*(1+Inputs!$F$127/100*AW33)*(1+Inputs!$F$128/100)*(1+Inputs!$F$122/100)*Inputs!$F$39</f>
        <v>6719.05085253494</v>
      </c>
      <c r="AX39" s="13" t="n">
        <f aca="false">$F$35*(1+Inputs!$F$127/100*AX33)*(1+Inputs!$F$128/100)*(1+Inputs!$F$122/100)*Inputs!$F$39</f>
        <v>6723.00207326563</v>
      </c>
      <c r="AY39" s="13" t="n">
        <f aca="false">$F$35*(1+Inputs!$F$127/100*AY33)*(1+Inputs!$F$128/100)*(1+Inputs!$F$122/100)*Inputs!$F$39</f>
        <v>6726.95329399632</v>
      </c>
      <c r="AZ39" s="13" t="n">
        <f aca="false">$F$35*(1+Inputs!$F$127/100*AZ33)*(1+Inputs!$F$128/100)*(1+Inputs!$F$122/100)*Inputs!$F$39</f>
        <v>6730.90451472701</v>
      </c>
      <c r="BA39" s="13" t="n">
        <f aca="false">$F$35*(1+Inputs!$F$127/100*BA33)*(1+Inputs!$F$128/100)*(1+Inputs!$F$122/100)*Inputs!$F$39</f>
        <v>6734.8557354577</v>
      </c>
      <c r="BB39" s="13" t="n">
        <f aca="false">$F$35*(1+Inputs!$F$127/100*BB33)*(1+Inputs!$F$128/100)*(1+Inputs!$F$122/100)*Inputs!$F$39</f>
        <v>6738.80695618839</v>
      </c>
      <c r="BC39" s="13" t="n">
        <f aca="false">$F$35*(1+Inputs!$F$127/100*BC33)*(1+Inputs!$F$128/100)*(1+Inputs!$F$122/100)*Inputs!$F$39</f>
        <v>6742.75817691907</v>
      </c>
      <c r="BD39" s="13" t="n">
        <f aca="false">$F$35*(1+Inputs!$F$127/100*BD33)*(1+Inputs!$F$128/100)*(1+Inputs!$F$122/100)*Inputs!$F$39</f>
        <v>6746.70939764976</v>
      </c>
      <c r="BE39" s="13" t="n">
        <f aca="false">$F$35*(1+Inputs!$F$127/100*BE33)*(1+Inputs!$F$128/100)*(1+Inputs!$F$122/100)*Inputs!$F$39</f>
        <v>6750.66061838045</v>
      </c>
      <c r="BF39" s="13" t="n">
        <f aca="false">$F$35*(1+Inputs!$F$127/100*BF33)*(1+Inputs!$F$128/100)*(1+Inputs!$F$122/100)*Inputs!$F$39</f>
        <v>6754.61183911114</v>
      </c>
      <c r="BG39" s="13" t="n">
        <f aca="false">$F$35*(1+Inputs!$F$127/100*BG33)*(1+Inputs!$F$128/100)*(1+Inputs!$F$122/100)*Inputs!$F$39</f>
        <v>6758.56305984182</v>
      </c>
      <c r="BH39" s="13" t="n">
        <f aca="false">$F$35*(1+Inputs!$F$127/100*BH33)*(1+Inputs!$F$128/100)*(1+Inputs!$F$122/100)*Inputs!$F$39</f>
        <v>6762.51428057251</v>
      </c>
      <c r="BI39" s="13" t="n">
        <f aca="false">$F$35*(1+Inputs!$F$127/100*BI33)*(1+Inputs!$F$128/100)*(1+Inputs!$F$122/100)*Inputs!$F$39</f>
        <v>6766.4655013032</v>
      </c>
      <c r="BJ39" s="13" t="n">
        <f aca="false">$F$35*(1+Inputs!$F$127/100*BJ33)*(1+Inputs!$F$128/100)*(1+Inputs!$F$122/100)*Inputs!$F$39</f>
        <v>6770.41672203389</v>
      </c>
      <c r="BK39" s="13" t="n">
        <f aca="false">$F$35*(1+Inputs!$F$127/100*BK33)*(1+Inputs!$F$128/100)*(1+Inputs!$F$122/100)*Inputs!$F$39</f>
        <v>6774.36794276458</v>
      </c>
      <c r="BL39" s="13" t="n">
        <f aca="false">$F$35*(1+Inputs!$F$127/100*BL33)*(1+Inputs!$F$128/100)*(1+Inputs!$F$122/100)*Inputs!$F$39</f>
        <v>6778.31916349526</v>
      </c>
      <c r="BM39" s="13" t="n">
        <f aca="false">$F$35*(1+Inputs!$F$127/100*BM33)*(1+Inputs!$F$128/100)*(1+Inputs!$F$122/100)*Inputs!$F$39</f>
        <v>6781.6118474375</v>
      </c>
      <c r="BN39" s="13" t="n">
        <f aca="false">$F$35*(1+Inputs!$F$127/100*BN33)*(1+Inputs!$F$128/100)*(1+Inputs!$F$122/100)*Inputs!$F$39</f>
        <v>6585.36788448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4220446.65381226</v>
      </c>
      <c r="P42" s="15" t="n">
        <f aca="false">P38*P39*(1000*Inputs!$F$123/Inputs!$F$124)</f>
        <v>12660069.9972737</v>
      </c>
      <c r="Q42" s="15" t="n">
        <f aca="false">Q38*Q39*(1000*Inputs!$F$123/Inputs!$F$124)</f>
        <v>12617671.0487477</v>
      </c>
      <c r="R42" s="15" t="n">
        <f aca="false">R38*R39*(1000*Inputs!$F$123/Inputs!$F$124)</f>
        <v>12534794.6768816</v>
      </c>
      <c r="S42" s="15" t="n">
        <f aca="false">S38*S39*(1000*Inputs!$F$123/Inputs!$F$124)</f>
        <v>12573348.18174</v>
      </c>
      <c r="T42" s="15" t="n">
        <f aca="false">T38*T39*(1000*Inputs!$F$123/Inputs!$F$124)</f>
        <v>12652343.854379</v>
      </c>
      <c r="U42" s="15" t="n">
        <f aca="false">U38*U39*(1000*Inputs!$F$123/Inputs!$F$124)</f>
        <v>12506527.2973914</v>
      </c>
      <c r="V42" s="15" t="n">
        <f aca="false">V38*V39*(1000*Inputs!$F$123/Inputs!$F$124)</f>
        <v>12216910.0676408</v>
      </c>
      <c r="W42" s="15" t="n">
        <f aca="false">W38*W39*(1000*Inputs!$F$123/Inputs!$F$124)</f>
        <v>12358806.4623382</v>
      </c>
      <c r="X42" s="15" t="n">
        <f aca="false">X38*X39*(1000*Inputs!$F$123/Inputs!$F$124)</f>
        <v>12644435.3836285</v>
      </c>
      <c r="Y42" s="15" t="n">
        <f aca="false">Y38*Y39*(1000*Inputs!$F$123/Inputs!$F$124)</f>
        <v>12601995.5668385</v>
      </c>
      <c r="Z42" s="15" t="n">
        <f aca="false">Z38*Z39*(1000*Inputs!$F$123/Inputs!$F$124)</f>
        <v>12519129.4970794</v>
      </c>
      <c r="AA42" s="15" t="n">
        <f aca="false">AA38*AA39*(1000*Inputs!$F$123/Inputs!$F$124)</f>
        <v>12557541.833915</v>
      </c>
      <c r="AB42" s="15" t="n">
        <f aca="false">AB38*AB39*(1000*Inputs!$F$123/Inputs!$F$124)</f>
        <v>12636344.585022</v>
      </c>
      <c r="AC42" s="15" t="n">
        <f aca="false">AC38*AC39*(1000*Inputs!$F$123/Inputs!$F$124)</f>
        <v>12405313.6655737</v>
      </c>
      <c r="AD42" s="15" t="n">
        <f aca="false">AD38*AD39*(1000*Inputs!$F$123/Inputs!$F$124)</f>
        <v>11945403.7643172</v>
      </c>
      <c r="AE42" s="15" t="n">
        <f aca="false">AE38*AE39*(1000*Inputs!$F$123/Inputs!$F$124)</f>
        <v>12172347.3106655</v>
      </c>
      <c r="AF42" s="15" t="n">
        <f aca="false">AF38*AF39*(1000*Inputs!$F$123/Inputs!$F$124)</f>
        <v>12628071.4585597</v>
      </c>
      <c r="AG42" s="15" t="n">
        <f aca="false">AG38*AG39*(1000*Inputs!$F$123/Inputs!$F$124)</f>
        <v>12585593.1060581</v>
      </c>
      <c r="AH42" s="15" t="n">
        <f aca="false">AH38*AH39*(1000*Inputs!$F$123/Inputs!$F$124)</f>
        <v>12502742.003511</v>
      </c>
      <c r="AI42" s="15" t="n">
        <f aca="false">AI38*AI39*(1000*Inputs!$F$123/Inputs!$F$124)</f>
        <v>12541010.8397714</v>
      </c>
      <c r="AJ42" s="15" t="n">
        <f aca="false">AJ38*AJ39*(1000*Inputs!$F$123/Inputs!$F$124)</f>
        <v>12619616.0042414</v>
      </c>
      <c r="AK42" s="15" t="n">
        <f aca="false">AK38*AK39*(1000*Inputs!$F$123/Inputs!$F$124)</f>
        <v>12473991.3644923</v>
      </c>
      <c r="AL42" s="15" t="n">
        <f aca="false">AL38*AL39*(1000*Inputs!$F$123/Inputs!$F$124)</f>
        <v>12184946.5172148</v>
      </c>
      <c r="AM42" s="15" t="n">
        <f aca="false">AM38*AM39*(1000*Inputs!$F$123/Inputs!$F$124)</f>
        <v>12326288.4123418</v>
      </c>
      <c r="AN42" s="15" t="n">
        <f aca="false">AN38*AN39*(1000*Inputs!$F$123/Inputs!$F$124)</f>
        <v>12610978.2220671</v>
      </c>
      <c r="AO42" s="15" t="n">
        <f aca="false">AO38*AO39*(1000*Inputs!$F$123/Inputs!$F$124)</f>
        <v>12568463.6664066</v>
      </c>
      <c r="AP42" s="15" t="n">
        <f aca="false">AP38*AP39*(1000*Inputs!$F$123/Inputs!$F$124)</f>
        <v>12485632.1961766</v>
      </c>
      <c r="AQ42" s="15" t="n">
        <f aca="false">AQ38*AQ39*(1000*Inputs!$F$123/Inputs!$F$124)</f>
        <v>12523755.1993091</v>
      </c>
      <c r="AR42" s="15" t="n">
        <f aca="false">AR38*AR39*(1000*Inputs!$F$123/Inputs!$F$124)</f>
        <v>12602158.112037</v>
      </c>
      <c r="AS42" s="15" t="n">
        <f aca="false">AS38*AS39*(1000*Inputs!$F$123/Inputs!$F$124)</f>
        <v>12371567.7534474</v>
      </c>
      <c r="AT42" s="15" t="n">
        <f aca="false">AT38*AT39*(1000*Inputs!$F$123/Inputs!$F$124)</f>
        <v>11912731.2151124</v>
      </c>
      <c r="AU42" s="15" t="n">
        <f aca="false">AU38*AU39*(1000*Inputs!$F$123/Inputs!$F$124)</f>
        <v>12138872.8493395</v>
      </c>
      <c r="AV42" s="15" t="n">
        <f aca="false">AV38*AV39*(1000*Inputs!$F$123/Inputs!$F$124)</f>
        <v>12593155.6741509</v>
      </c>
      <c r="AW42" s="15" t="n">
        <f aca="false">AW38*AW39*(1000*Inputs!$F$123/Inputs!$F$124)</f>
        <v>12550607.2478839</v>
      </c>
      <c r="AX42" s="15" t="n">
        <f aca="false">AX38*AX39*(1000*Inputs!$F$123/Inputs!$F$124)</f>
        <v>12467800.0750761</v>
      </c>
      <c r="AY42" s="15" t="n">
        <f aca="false">AY38*AY39*(1000*Inputs!$F$123/Inputs!$F$124)</f>
        <v>12505774.9125282</v>
      </c>
      <c r="AZ42" s="15" t="n">
        <f aca="false">AZ38*AZ39*(1000*Inputs!$F$123/Inputs!$F$124)</f>
        <v>12583970.908409</v>
      </c>
      <c r="BA42" s="15" t="n">
        <f aca="false">BA38*BA39*(1000*Inputs!$F$123/Inputs!$F$124)</f>
        <v>12438571.3599788</v>
      </c>
      <c r="BB42" s="15" t="n">
        <f aca="false">BB38*BB39*(1000*Inputs!$F$123/Inputs!$F$124)</f>
        <v>12150165.2433351</v>
      </c>
      <c r="BC42" s="15" t="n">
        <f aca="false">BC38*BC39*(1000*Inputs!$F$123/Inputs!$F$124)</f>
        <v>12290919.4648114</v>
      </c>
      <c r="BD42" s="15" t="n">
        <f aca="false">BD38*BD39*(1000*Inputs!$F$123/Inputs!$F$124)</f>
        <v>12574603.8148111</v>
      </c>
      <c r="BE42" s="15" t="n">
        <f aca="false">BE38*BE39*(1000*Inputs!$F$123/Inputs!$F$124)</f>
        <v>12532023.85049</v>
      </c>
      <c r="BF42" s="15" t="n">
        <f aca="false">BF38*BF39*(1000*Inputs!$F$123/Inputs!$F$124)</f>
        <v>12449245.6402094</v>
      </c>
      <c r="BG42" s="15" t="n">
        <f aca="false">BG38*BG39*(1000*Inputs!$F$123/Inputs!$F$124)</f>
        <v>12487069.9794287</v>
      </c>
      <c r="BH42" s="15" t="n">
        <f aca="false">BH38*BH39*(1000*Inputs!$F$123/Inputs!$F$124)</f>
        <v>12565054.3933572</v>
      </c>
      <c r="BI42" s="15" t="n">
        <f aca="false">BI38*BI39*(1000*Inputs!$F$123/Inputs!$F$124)</f>
        <v>12334957.4668169</v>
      </c>
      <c r="BJ42" s="15" t="n">
        <f aca="false">BJ38*BJ39*(1000*Inputs!$F$123/Inputs!$F$124)</f>
        <v>11877300.0337847</v>
      </c>
      <c r="BK42" s="15" t="n">
        <f aca="false">BK38*BK39*(1000*Inputs!$F$123/Inputs!$F$124)</f>
        <v>12102586.8847002</v>
      </c>
      <c r="BL42" s="15" t="n">
        <f aca="false">BL38*BL39*(1000*Inputs!$F$123/Inputs!$F$124)</f>
        <v>12555322.6440475</v>
      </c>
      <c r="BM42" s="15" t="n">
        <f aca="false">BM38*BM39*(1000*Inputs!$F$123/Inputs!$F$124)</f>
        <v>8368848.1646813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149.358133514926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0.838513661759191</v>
      </c>
      <c r="P53" s="13" t="n">
        <f aca="false">P42*Inputs!$F$148*(1+Inputs!$F$149/100)^(Time!P26-Inputs!$F$256)/1000000</f>
        <v>2.51528867020572</v>
      </c>
      <c r="Q53" s="13" t="n">
        <f aca="false">Q42*Inputs!$F$148*(1+Inputs!$F$149/100)^(Time!Q26-Inputs!$F$256)/1000000</f>
        <v>2.54446786753426</v>
      </c>
      <c r="R53" s="13" t="n">
        <f aca="false">R42*Inputs!$F$148*(1+Inputs!$F$149/100)^(Time!R26-Inputs!$F$256)/1000000</f>
        <v>2.52775509507598</v>
      </c>
      <c r="S53" s="13" t="n">
        <f aca="false">S42*Inputs!$F$148*(1+Inputs!$F$149/100)^(Time!S26-Inputs!$F$256)/1000000</f>
        <v>2.57356270557687</v>
      </c>
      <c r="T53" s="13" t="n">
        <f aca="false">T42*Inputs!$F$148*(1+Inputs!$F$149/100)^(Time!T26-Inputs!$F$256)/1000000</f>
        <v>2.58973185273379</v>
      </c>
      <c r="U53" s="13" t="n">
        <f aca="false">U42*Inputs!$F$148*(1+Inputs!$F$149/100)^(Time!U26-Inputs!$F$256)/1000000</f>
        <v>2.598283825443</v>
      </c>
      <c r="V53" s="13" t="n">
        <f aca="false">V42*Inputs!$F$148*(1+Inputs!$F$149/100)^(Time!V26-Inputs!$F$256)/1000000</f>
        <v>2.53811462373443</v>
      </c>
      <c r="W53" s="13" t="n">
        <f aca="false">W42*Inputs!$F$148*(1+Inputs!$F$149/100)^(Time!W26-Inputs!$F$256)/1000000</f>
        <v>2.6061081115351</v>
      </c>
      <c r="X53" s="13" t="n">
        <f aca="false">X42*Inputs!$F$148*(1+Inputs!$F$149/100)^(Time!X26-Inputs!$F$256)/1000000</f>
        <v>2.66633883453672</v>
      </c>
      <c r="Y53" s="13" t="n">
        <f aca="false">Y42*Inputs!$F$148*(1+Inputs!$F$149/100)^(Time!Y26-Inputs!$F$256)/1000000</f>
        <v>2.69725037064659</v>
      </c>
      <c r="Z53" s="13" t="n">
        <f aca="false">Z42*Inputs!$F$148*(1+Inputs!$F$149/100)^(Time!Z26-Inputs!$F$256)/1000000</f>
        <v>2.67951424812644</v>
      </c>
      <c r="AA53" s="13" t="n">
        <f aca="false">AA42*Inputs!$F$148*(1+Inputs!$F$149/100)^(Time!AA26-Inputs!$F$256)/1000000</f>
        <v>2.72805181521351</v>
      </c>
      <c r="AB53" s="13" t="n">
        <f aca="false">AB42*Inputs!$F$148*(1+Inputs!$F$149/100)^(Time!AB26-Inputs!$F$256)/1000000</f>
        <v>2.74517124758687</v>
      </c>
      <c r="AC53" s="13" t="n">
        <f aca="false">AC42*Inputs!$F$148*(1+Inputs!$F$149/100)^(Time!AC26-Inputs!$F$256)/1000000</f>
        <v>2.73540586166673</v>
      </c>
      <c r="AD53" s="13" t="n">
        <f aca="false">AD42*Inputs!$F$148*(1+Inputs!$F$149/100)^(Time!AD26-Inputs!$F$256)/1000000</f>
        <v>2.63399446058084</v>
      </c>
      <c r="AE53" s="13" t="n">
        <f aca="false">AE42*Inputs!$F$148*(1+Inputs!$F$149/100)^(Time!AE26-Inputs!$F$256)/1000000</f>
        <v>2.72429668025103</v>
      </c>
      <c r="AF53" s="13" t="n">
        <f aca="false">AF42*Inputs!$F$148*(1+Inputs!$F$149/100)^(Time!AF26-Inputs!$F$256)/1000000</f>
        <v>2.82629243764537</v>
      </c>
      <c r="AG53" s="13" t="n">
        <f aca="false">AG42*Inputs!$F$148*(1+Inputs!$F$149/100)^(Time!AG26-Inputs!$F$256)/1000000</f>
        <v>2.85903712508258</v>
      </c>
      <c r="AH53" s="13" t="n">
        <f aca="false">AH42*Inputs!$F$148*(1+Inputs!$F$149/100)^(Time!AH26-Inputs!$F$256)/1000000</f>
        <v>2.8402160511737</v>
      </c>
      <c r="AI53" s="13" t="n">
        <f aca="false">AI42*Inputs!$F$148*(1+Inputs!$F$149/100)^(Time!AI26-Inputs!$F$256)/1000000</f>
        <v>2.89164312749837</v>
      </c>
      <c r="AJ53" s="13" t="n">
        <f aca="false">AJ42*Inputs!$F$148*(1+Inputs!$F$149/100)^(Time!AJ26-Inputs!$F$256)/1000000</f>
        <v>2.90976751049506</v>
      </c>
      <c r="AK53" s="13" t="n">
        <f aca="false">AK42*Inputs!$F$148*(1+Inputs!$F$149/100)^(Time!AK26-Inputs!$F$256)/1000000</f>
        <v>2.91933296608966</v>
      </c>
      <c r="AL53" s="13" t="n">
        <f aca="false">AL42*Inputs!$F$148*(1+Inputs!$F$149/100)^(Time!AL26-Inputs!$F$256)/1000000</f>
        <v>2.85168676314795</v>
      </c>
      <c r="AM53" s="13" t="n">
        <f aca="false">AM42*Inputs!$F$148*(1+Inputs!$F$149/100)^(Time!AM26-Inputs!$F$256)/1000000</f>
        <v>2.92803699682857</v>
      </c>
      <c r="AN53" s="13" t="n">
        <f aca="false">AN42*Inputs!$F$148*(1+Inputs!$F$149/100)^(Time!AN26-Inputs!$F$256)/1000000</f>
        <v>2.99566337937056</v>
      </c>
      <c r="AO53" s="13" t="n">
        <f aca="false">AO42*Inputs!$F$148*(1+Inputs!$F$149/100)^(Time!AO26-Inputs!$F$256)/1000000</f>
        <v>3.03034776228846</v>
      </c>
      <c r="AP53" s="13" t="n">
        <f aca="false">AP42*Inputs!$F$148*(1+Inputs!$F$149/100)^(Time!AP26-Inputs!$F$256)/1000000</f>
        <v>3.01037649395203</v>
      </c>
      <c r="AQ53" s="13" t="n">
        <f aca="false">AQ42*Inputs!$F$148*(1+Inputs!$F$149/100)^(Time!AQ26-Inputs!$F$256)/1000000</f>
        <v>3.06486174995192</v>
      </c>
      <c r="AR53" s="13" t="n">
        <f aca="false">AR42*Inputs!$F$148*(1+Inputs!$F$149/100)^(Time!AR26-Inputs!$F$256)/1000000</f>
        <v>3.08404881361457</v>
      </c>
      <c r="AS53" s="13" t="n">
        <f aca="false">AS42*Inputs!$F$148*(1+Inputs!$F$149/100)^(Time!AS26-Inputs!$F$256)/1000000</f>
        <v>3.07303211807588</v>
      </c>
      <c r="AT53" s="13" t="n">
        <f aca="false">AT42*Inputs!$F$148*(1+Inputs!$F$149/100)^(Time!AT26-Inputs!$F$256)/1000000</f>
        <v>2.9590595442396</v>
      </c>
      <c r="AU53" s="13" t="n">
        <f aca="false">AU42*Inputs!$F$148*(1+Inputs!$F$149/100)^(Time!AU26-Inputs!$F$256)/1000000</f>
        <v>3.0604604113216</v>
      </c>
      <c r="AV53" s="13" t="n">
        <f aca="false">AV42*Inputs!$F$148*(1+Inputs!$F$149/100)^(Time!AV26-Inputs!$F$256)/1000000</f>
        <v>3.17499448859009</v>
      </c>
      <c r="AW53" s="13" t="n">
        <f aca="false">AW42*Inputs!$F$148*(1+Inputs!$F$149/100)^(Time!AW26-Inputs!$F$256)/1000000</f>
        <v>3.2117311593406</v>
      </c>
      <c r="AX53" s="13" t="n">
        <f aca="false">AX42*Inputs!$F$148*(1+Inputs!$F$149/100)^(Time!AX26-Inputs!$F$256)/1000000</f>
        <v>3.19054060083845</v>
      </c>
      <c r="AY53" s="13" t="n">
        <f aca="false">AY42*Inputs!$F$148*(1+Inputs!$F$149/100)^(Time!AY26-Inputs!$F$256)/1000000</f>
        <v>3.24826233165049</v>
      </c>
      <c r="AZ53" s="13" t="n">
        <f aca="false">AZ42*Inputs!$F$148*(1+Inputs!$F$149/100)^(Time!AZ26-Inputs!$F$256)/1000000</f>
        <v>3.26857303687923</v>
      </c>
      <c r="BA53" s="13" t="n">
        <f aca="false">BA42*Inputs!$F$148*(1+Inputs!$F$149/100)^(Time!BA26-Inputs!$F$256)/1000000</f>
        <v>3.27926891673101</v>
      </c>
      <c r="BB53" s="13" t="n">
        <f aca="false">BB42*Inputs!$F$148*(1+Inputs!$F$149/100)^(Time!BB26-Inputs!$F$256)/1000000</f>
        <v>3.20323436369965</v>
      </c>
      <c r="BC53" s="13" t="n">
        <f aca="false">BC42*Inputs!$F$148*(1+Inputs!$F$149/100)^(Time!BC26-Inputs!$F$256)/1000000</f>
        <v>3.28894753484414</v>
      </c>
      <c r="BD53" s="13" t="n">
        <f aca="false">BD42*Inputs!$F$148*(1+Inputs!$F$149/100)^(Time!BD26-Inputs!$F$256)/1000000</f>
        <v>3.36485910079951</v>
      </c>
      <c r="BE53" s="13" t="n">
        <f aca="false">BE42*Inputs!$F$148*(1+Inputs!$F$149/100)^(Time!BE26-Inputs!$F$256)/1000000</f>
        <v>3.40376703335304</v>
      </c>
      <c r="BF53" s="13" t="n">
        <f aca="false">BF42*Inputs!$F$148*(1+Inputs!$F$149/100)^(Time!BF26-Inputs!$F$256)/1000000</f>
        <v>3.38128401332416</v>
      </c>
      <c r="BG53" s="13" t="n">
        <f aca="false">BG42*Inputs!$F$148*(1+Inputs!$F$149/100)^(Time!BG26-Inputs!$F$256)/1000000</f>
        <v>3.44243067288387</v>
      </c>
      <c r="BH53" s="13" t="n">
        <f aca="false">BH42*Inputs!$F$148*(1+Inputs!$F$149/100)^(Time!BH26-Inputs!$F$256)/1000000</f>
        <v>3.46392938626954</v>
      </c>
      <c r="BI53" s="13" t="n">
        <f aca="false">BI42*Inputs!$F$148*(1+Inputs!$F$149/100)^(Time!BI26-Inputs!$F$256)/1000000</f>
        <v>3.45150379892783</v>
      </c>
      <c r="BJ53" s="13" t="n">
        <f aca="false">BJ42*Inputs!$F$148*(1+Inputs!$F$149/100)^(Time!BJ26-Inputs!$F$256)/1000000</f>
        <v>3.32344447055417</v>
      </c>
      <c r="BK53" s="13" t="n">
        <f aca="false">BK42*Inputs!$F$148*(1+Inputs!$F$149/100)^(Time!BK26-Inputs!$F$256)/1000000</f>
        <v>3.43728031430973</v>
      </c>
      <c r="BL53" s="13" t="n">
        <f aca="false">BL42*Inputs!$F$148*(1+Inputs!$F$149/100)^(Time!BL26-Inputs!$F$256)/1000000</f>
        <v>3.56586271805649</v>
      </c>
      <c r="BM53" s="13" t="n">
        <f aca="false">BM42*Inputs!$F$148*(1+Inputs!$F$149/100)^(Time!BM26-Inputs!$F$256)/1000000</f>
        <v>2.41250639089117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9547.15095300091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53.0291189920422</v>
      </c>
      <c r="P56" s="13" t="n">
        <f aca="false">P55+P51+P52+P53+P54</f>
        <v>159.430822576026</v>
      </c>
      <c r="Q56" s="13" t="n">
        <f aca="false">Q55+Q51+Q52+Q53+Q54</f>
        <v>160.987336035979</v>
      </c>
      <c r="R56" s="13" t="n">
        <f aca="false">R55+R51+R52+R53+R54</f>
        <v>160.885514956792</v>
      </c>
      <c r="S56" s="13" t="n">
        <f aca="false">S55+S51+S52+S53+S54</f>
        <v>163.037771976789</v>
      </c>
      <c r="T56" s="13" t="n">
        <f aca="false">T55+T51+T52+T53+T54</f>
        <v>164.096345502708</v>
      </c>
      <c r="U56" s="13" t="n">
        <f aca="false">U55+U51+U52+U53+U54</f>
        <v>165.023427611087</v>
      </c>
      <c r="V56" s="13" t="n">
        <f aca="false">V55+V51+V52+V53+V54</f>
        <v>163.336201154148</v>
      </c>
      <c r="W56" s="13" t="n">
        <f aca="false">W55+W51+W52+W53+W54</f>
        <v>166.302884830713</v>
      </c>
      <c r="X56" s="13" t="n">
        <f aca="false">X55+X51+X52+X53+X54</f>
        <v>168.94552701215</v>
      </c>
      <c r="Y56" s="13" t="n">
        <f aca="false">Y55+Y51+Y52+Y53+Y54</f>
        <v>170.628615743366</v>
      </c>
      <c r="Z56" s="13" t="n">
        <f aca="false">Z55+Z51+Z52+Z53+Z54</f>
        <v>170.517237254907</v>
      </c>
      <c r="AA56" s="13" t="n">
        <f aca="false">AA55+AA51+AA52+AA53+AA54</f>
        <v>172.843762734635</v>
      </c>
      <c r="AB56" s="13" t="n">
        <f aca="false">AB55+AB51+AB52+AB53+AB54</f>
        <v>173.98560690594</v>
      </c>
      <c r="AC56" s="13" t="n">
        <f aca="false">AC55+AC51+AC52+AC53+AC54</f>
        <v>174.312466485373</v>
      </c>
      <c r="AD56" s="13" t="n">
        <f aca="false">AD55+AD51+AD52+AD53+AD54</f>
        <v>170.217731527598</v>
      </c>
      <c r="AE56" s="13" t="n">
        <f aca="false">AE55+AE51+AE52+AE53+AE54</f>
        <v>174.994731681255</v>
      </c>
      <c r="AF56" s="13" t="n">
        <f aca="false">AF55+AF51+AF52+AF53+AF54</f>
        <v>179.224110402458</v>
      </c>
      <c r="AG56" s="13" t="n">
        <f aca="false">AG55+AG51+AG52+AG53+AG54</f>
        <v>181.044011381867</v>
      </c>
      <c r="AH56" s="13" t="n">
        <f aca="false">AH55+AH51+AH52+AH53+AH54</f>
        <v>180.922312372038</v>
      </c>
      <c r="AI56" s="13" t="n">
        <f aca="false">AI55+AI51+AI52+AI53+AI54</f>
        <v>183.437134010001</v>
      </c>
      <c r="AJ56" s="13" t="n">
        <f aca="false">AJ55+AJ51+AJ52+AJ53+AJ54</f>
        <v>184.6688593779</v>
      </c>
      <c r="AK56" s="13" t="n">
        <f aca="false">AK55+AK51+AK52+AK53+AK54</f>
        <v>185.752151088592</v>
      </c>
      <c r="AL56" s="13" t="n">
        <f aca="false">AL55+AL51+AL52+AL53+AL54</f>
        <v>183.783972180243</v>
      </c>
      <c r="AM56" s="13" t="n">
        <f aca="false">AM55+AM51+AM52+AM53+AM54</f>
        <v>187.248800230028</v>
      </c>
      <c r="AN56" s="13" t="n">
        <f aca="false">AN55+AN51+AN52+AN53+AN54</f>
        <v>190.327984049201</v>
      </c>
      <c r="AO56" s="13" t="n">
        <f aca="false">AO55+AO51+AO52+AO53+AO54</f>
        <v>192.295757435292</v>
      </c>
      <c r="AP56" s="13" t="n">
        <f aca="false">AP55+AP51+AP52+AP53+AP54</f>
        <v>192.162922288643</v>
      </c>
      <c r="AQ56" s="13" t="n">
        <f aca="false">AQ55+AQ51+AQ52+AQ53+AQ54</f>
        <v>194.881189704089</v>
      </c>
      <c r="AR56" s="13" t="n">
        <f aca="false">AR55+AR51+AR52+AR53+AR54</f>
        <v>196.209935116184</v>
      </c>
      <c r="AS56" s="13" t="n">
        <f aca="false">AS55+AS51+AS52+AS53+AS54</f>
        <v>196.593399514698</v>
      </c>
      <c r="AT56" s="13" t="n">
        <f aca="false">AT55+AT51+AT52+AT53+AT54</f>
        <v>191.90721358887</v>
      </c>
      <c r="AU56" s="13" t="n">
        <f aca="false">AU55+AU51+AU52+AU53+AU54</f>
        <v>197.394080113427</v>
      </c>
      <c r="AV56" s="13" t="n">
        <f aca="false">AV55+AV51+AV52+AV53+AV54</f>
        <v>202.32349638093</v>
      </c>
      <c r="AW56" s="13" t="n">
        <f aca="false">AW55+AW51+AW52+AW53+AW54</f>
        <v>204.451091301313</v>
      </c>
      <c r="AX56" s="13" t="n">
        <f aca="false">AX55+AX51+AX52+AX53+AX54</f>
        <v>204.30624902502</v>
      </c>
      <c r="AY56" s="13" t="n">
        <f aca="false">AY55+AY51+AY52+AY53+AY54</f>
        <v>207.244322850581</v>
      </c>
      <c r="AZ56" s="13" t="n">
        <f aca="false">AZ55+AZ51+AZ52+AZ53+AZ54</f>
        <v>208.677797863086</v>
      </c>
      <c r="BA56" s="13" t="n">
        <f aca="false">BA55+BA51+BA52+BA53+BA54</f>
        <v>209.943626032217</v>
      </c>
      <c r="BB56" s="13" t="n">
        <f aca="false">BB55+BB51+BB52+BB53+BB54</f>
        <v>207.648492493168</v>
      </c>
      <c r="BC56" s="13" t="n">
        <f aca="false">BC55+BC51+BC52+BC53+BC54</f>
        <v>211.694545716983</v>
      </c>
      <c r="BD56" s="13" t="n">
        <f aca="false">BD55+BD51+BD52+BD53+BD54</f>
        <v>215.282329430548</v>
      </c>
      <c r="BE56" s="13" t="n">
        <f aca="false">BE55+BE51+BE52+BE53+BE54</f>
        <v>217.582654992075</v>
      </c>
      <c r="BF56" s="13" t="n">
        <f aca="false">BF55+BF51+BF52+BF53+BF54</f>
        <v>217.424876268673</v>
      </c>
      <c r="BG56" s="13" t="n">
        <f aca="false">BG55+BG51+BG52+BG53+BG54</f>
        <v>220.600424261363</v>
      </c>
      <c r="BH56" s="13" t="n">
        <f aca="false">BH55+BH51+BH52+BH53+BH54</f>
        <v>222.146954965709</v>
      </c>
      <c r="BI56" s="13" t="n">
        <f aca="false">BI55+BI51+BI52+BI53+BI54</f>
        <v>222.596972384969</v>
      </c>
      <c r="BJ56" s="13" t="n">
        <f aca="false">BJ55+BJ51+BJ52+BJ53+BJ54</f>
        <v>217.220619064439</v>
      </c>
      <c r="BK56" s="13" t="n">
        <f aca="false">BK55+BK51+BK52+BK53+BK54</f>
        <v>223.536982896531</v>
      </c>
      <c r="BL56" s="13" t="n">
        <f aca="false">BL55+BL51+BL52+BL53+BL54</f>
        <v>229.28192708826</v>
      </c>
      <c r="BM56" s="13" t="n">
        <f aca="false">BM55+BM51+BM52+BM53+BM54</f>
        <v>154.758654150012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4988.36472381401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26.245602470229</v>
      </c>
      <c r="P73" s="13" t="n">
        <f aca="false">P42*P41/1000000</f>
        <v>78.7289099113673</v>
      </c>
      <c r="Q73" s="13" t="n">
        <f aca="false">Q42*Q41/1000000</f>
        <v>80.0345493549477</v>
      </c>
      <c r="R73" s="13" t="n">
        <f aca="false">R42*R41/1000000</f>
        <v>79.5088601807053</v>
      </c>
      <c r="S73" s="13" t="n">
        <f aca="false">S42*S41/1000000</f>
        <v>81.3484752261354</v>
      </c>
      <c r="T73" s="13" t="n">
        <f aca="false">T42*T41/1000000</f>
        <v>81.8595703955176</v>
      </c>
      <c r="U73" s="13" t="n">
        <f aca="false">U42*U41/1000000</f>
        <v>82.5344728816343</v>
      </c>
      <c r="V73" s="13" t="n">
        <f aca="false">V42*V41/1000000</f>
        <v>80.623198486552</v>
      </c>
      <c r="W73" s="13" t="n">
        <f aca="false">W42*W41/1000000</f>
        <v>83.1908093758798</v>
      </c>
      <c r="X73" s="13" t="n">
        <f aca="false">X42*X41/1000000</f>
        <v>85.1134627660521</v>
      </c>
      <c r="Y73" s="13" t="n">
        <f aca="false">Y42*Y41/1000000</f>
        <v>86.5243434658788</v>
      </c>
      <c r="Z73" s="13" t="n">
        <f aca="false">Z42*Z41/1000000</f>
        <v>85.9553913309984</v>
      </c>
      <c r="AA73" s="13" t="n">
        <f aca="false">AA42*AA41/1000000</f>
        <v>87.943510065631</v>
      </c>
      <c r="AB73" s="13" t="n">
        <f aca="false">AB42*AB41/1000000</f>
        <v>88.4953848375283</v>
      </c>
      <c r="AC73" s="13" t="n">
        <f aca="false">AC42*AC41/1000000</f>
        <v>88.6149676805878</v>
      </c>
      <c r="AD73" s="13" t="n">
        <f aca="false">AD42*AD41/1000000</f>
        <v>85.3296899250619</v>
      </c>
      <c r="AE73" s="13" t="n">
        <f aca="false">AE42*AE41/1000000</f>
        <v>88.6898337649779</v>
      </c>
      <c r="AF73" s="13" t="n">
        <f aca="false">AF42*AF41/1000000</f>
        <v>92.010318950609</v>
      </c>
      <c r="AG73" s="13" t="n">
        <f aca="false">AG42*AG41/1000000</f>
        <v>93.5348305926623</v>
      </c>
      <c r="AH73" s="13" t="n">
        <f aca="false">AH42*AH41/1000000</f>
        <v>92.9190897391441</v>
      </c>
      <c r="AI73" s="13" t="n">
        <f aca="false">AI42*AI41/1000000</f>
        <v>95.067569781038</v>
      </c>
      <c r="AJ73" s="13" t="n">
        <f aca="false">AJ42*AJ41/1000000</f>
        <v>95.6634389700434</v>
      </c>
      <c r="AK73" s="13" t="n">
        <f aca="false">AK42*AK41/1000000</f>
        <v>96.4507168390124</v>
      </c>
      <c r="AL73" s="13" t="n">
        <f aca="false">AL42*AL41/1000000</f>
        <v>94.2157800089376</v>
      </c>
      <c r="AM73" s="13" t="n">
        <f aca="false">AM42*AM41/1000000</f>
        <v>97.2148292368834</v>
      </c>
      <c r="AN73" s="13" t="n">
        <f aca="false">AN42*AN41/1000000</f>
        <v>99.4601175436392</v>
      </c>
      <c r="AO73" s="13" t="n">
        <f aca="false">AO42*AO41/1000000</f>
        <v>101.107310521295</v>
      </c>
      <c r="AP73" s="13" t="n">
        <f aca="false">AP42*AP41/1000000</f>
        <v>100.440970751872</v>
      </c>
      <c r="AQ73" s="13" t="n">
        <f aca="false">AQ42*AQ41/1000000</f>
        <v>102.762605217849</v>
      </c>
      <c r="AR73" s="13" t="n">
        <f aca="false">AR42*AR41/1000000</f>
        <v>103.40593363176</v>
      </c>
      <c r="AS73" s="13" t="n">
        <f aca="false">AS42*AS41/1000000</f>
        <v>103.544120992111</v>
      </c>
      <c r="AT73" s="13" t="n">
        <f aca="false">AT42*AT41/1000000</f>
        <v>99.7038780263221</v>
      </c>
      <c r="AU73" s="13" t="n">
        <f aca="false">AU42*AU41/1000000</f>
        <v>103.62850715044</v>
      </c>
      <c r="AV73" s="13" t="n">
        <f aca="false">AV42*AV41/1000000</f>
        <v>107.506680317222</v>
      </c>
      <c r="AW73" s="13" t="n">
        <f aca="false">AW42*AW41/1000000</f>
        <v>109.286317045529</v>
      </c>
      <c r="AX73" s="13" t="n">
        <f aca="false">AX42*AX41/1000000</f>
        <v>108.565261023109</v>
      </c>
      <c r="AY73" s="13" t="n">
        <f aca="false">AY42*AY41/1000000</f>
        <v>111.073851336192</v>
      </c>
      <c r="AZ73" s="13" t="n">
        <f aca="false">AZ42*AZ41/1000000</f>
        <v>111.768372905811</v>
      </c>
      <c r="BA73" s="13" t="n">
        <f aca="false">BA42*BA41/1000000</f>
        <v>112.686501752291</v>
      </c>
      <c r="BB73" s="13" t="n">
        <f aca="false">BB42*BB41/1000000</f>
        <v>110.073703591796</v>
      </c>
      <c r="BC73" s="13" t="n">
        <f aca="false">BC42*BC41/1000000</f>
        <v>113.57583530134</v>
      </c>
      <c r="BD73" s="13" t="n">
        <f aca="false">BD42*BD41/1000000</f>
        <v>116.197257328013</v>
      </c>
      <c r="BE73" s="13" t="n">
        <f aca="false">BE42*BE41/1000000</f>
        <v>118.119867478499</v>
      </c>
      <c r="BF73" s="13" t="n">
        <f aca="false">BF42*BF41/1000000</f>
        <v>117.339646235298</v>
      </c>
      <c r="BG73" s="13" t="n">
        <f aca="false">BG42*BG41/1000000</f>
        <v>120.050080508691</v>
      </c>
      <c r="BH73" s="13" t="n">
        <f aca="false">BH42*BH41/1000000</f>
        <v>120.799818852911</v>
      </c>
      <c r="BI73" s="13" t="n">
        <f aca="false">BI42*BI41/1000000</f>
        <v>120.959431811481</v>
      </c>
      <c r="BJ73" s="13" t="n">
        <f aca="false">BJ42*BJ41/1000000</f>
        <v>116.471537693256</v>
      </c>
      <c r="BK73" s="13" t="n">
        <f aca="false">BK42*BK41/1000000</f>
        <v>121.054367451191</v>
      </c>
      <c r="BL73" s="13" t="n">
        <f aca="false">BL42*BL41/1000000</f>
        <v>125.582791125605</v>
      </c>
      <c r="BM73" s="13" t="n">
        <f aca="false">BM42*BM41/1000000</f>
        <v>85.3823519824757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5828.06958928503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30.9004552997394</v>
      </c>
      <c r="P74" s="13" t="n">
        <f aca="false">P73+P52+P53+P54</f>
        <v>92.7557790220031</v>
      </c>
      <c r="Q74" s="13" t="n">
        <f aca="false">Q73+Q52+Q53+Q54</f>
        <v>94.0727672258167</v>
      </c>
      <c r="R74" s="13" t="n">
        <f aca="false">R73+R52+R53+R54</f>
        <v>93.7208694228177</v>
      </c>
      <c r="S74" s="13" t="n">
        <f aca="false">S73+S52+S53+S54</f>
        <v>95.588194185097</v>
      </c>
      <c r="T74" s="13" t="n">
        <f aca="false">T73+T52+T53+T54</f>
        <v>96.3088202074934</v>
      </c>
      <c r="U74" s="13" t="n">
        <f aca="false">U73+U52+U53+U54</f>
        <v>97.0393260147446</v>
      </c>
      <c r="V74" s="13" t="n">
        <f aca="false">V73+V52+V53+V54</f>
        <v>95.198723838917</v>
      </c>
      <c r="W74" s="13" t="n">
        <f aca="false">W73+W52+W53+W54</f>
        <v>97.8156833135582</v>
      </c>
      <c r="X74" s="13" t="n">
        <f aca="false">X73+X52+X53+X54</f>
        <v>99.9977734901489</v>
      </c>
      <c r="Y74" s="13" t="n">
        <f aca="false">Y73+Y52+Y53+Y54</f>
        <v>101.420641150061</v>
      </c>
      <c r="Z74" s="13" t="n">
        <f aca="false">Z73+Z52+Z53+Z54</f>
        <v>101.036147047028</v>
      </c>
      <c r="AA74" s="13" t="n">
        <f aca="false">AA73+AA52+AA53+AA54</f>
        <v>103.053594904083</v>
      </c>
      <c r="AB74" s="13" t="n">
        <f aca="false">AB73+AB52+AB53+AB54</f>
        <v>103.827816175037</v>
      </c>
      <c r="AC74" s="13" t="n">
        <f aca="false">AC73+AC52+AC53+AC54</f>
        <v>103.987572218403</v>
      </c>
      <c r="AD74" s="13" t="n">
        <f aca="false">AD73+AD52+AD53+AD54</f>
        <v>100.739753376914</v>
      </c>
      <c r="AE74" s="13" t="n">
        <f aca="false">AE73+AE52+AE53+AE54</f>
        <v>104.170410416595</v>
      </c>
      <c r="AF74" s="13" t="n">
        <f aca="false">AF73+AF52+AF53+AF54</f>
        <v>107.804321414394</v>
      </c>
      <c r="AG74" s="13" t="n">
        <f aca="false">AG73+AG52+AG53+AG54</f>
        <v>109.341491888681</v>
      </c>
      <c r="AH74" s="13" t="n">
        <f aca="false">AH73+AH52+AH53+AH54</f>
        <v>108.92153146685</v>
      </c>
      <c r="AI74" s="13" t="n">
        <f aca="false">AI73+AI52+AI53+AI54</f>
        <v>111.101051442037</v>
      </c>
      <c r="AJ74" s="13" t="n">
        <f aca="false">AJ73+AJ52+AJ53+AJ54</f>
        <v>111.932865542218</v>
      </c>
      <c r="AK74" s="13" t="n">
        <f aca="false">AK73+AK52+AK53+AK54</f>
        <v>112.782711861972</v>
      </c>
      <c r="AL74" s="13" t="n">
        <f aca="false">AL73+AL52+AL53+AL54</f>
        <v>110.627520719691</v>
      </c>
      <c r="AM74" s="13" t="n">
        <f aca="false">AM73+AM52+AM53+AM54</f>
        <v>113.681916836887</v>
      </c>
      <c r="AN74" s="13" t="n">
        <f aca="false">AN73+AN52+AN53+AN54</f>
        <v>116.219235679829</v>
      </c>
      <c r="AO74" s="13" t="n">
        <f aca="false">AO73+AO52+AO53+AO54</f>
        <v>117.879794645807</v>
      </c>
      <c r="AP74" s="13" t="n">
        <f aca="false">AP73+AP52+AP53+AP54</f>
        <v>117.421253823995</v>
      </c>
      <c r="AQ74" s="13" t="n">
        <f aca="false">AQ73+AQ52+AQ53+AQ54</f>
        <v>119.775735375457</v>
      </c>
      <c r="AR74" s="13" t="n">
        <f aca="false">AR73+AR52+AR53+AR54</f>
        <v>120.669437622219</v>
      </c>
      <c r="AS74" s="13" t="n">
        <f aca="false">AS73+AS52+AS53+AS54</f>
        <v>120.8528637342</v>
      </c>
      <c r="AT74" s="13" t="n">
        <f aca="false">AT73+AT52+AT53+AT54</f>
        <v>117.055084575058</v>
      </c>
      <c r="AU74" s="13" t="n">
        <f aca="false">AU73+AU52+AU53+AU54</f>
        <v>121.058822382039</v>
      </c>
      <c r="AV74" s="13" t="n">
        <f aca="false">AV73+AV52+AV53+AV54</f>
        <v>125.289704015376</v>
      </c>
      <c r="AW74" s="13" t="n">
        <f aca="false">AW73+AW52+AW53+AW54</f>
        <v>127.083450847452</v>
      </c>
      <c r="AX74" s="13" t="n">
        <f aca="false">AX73+AX52+AX53+AX54</f>
        <v>126.582951271655</v>
      </c>
      <c r="AY74" s="13" t="n">
        <f aca="false">AY73+AY52+AY53+AY54</f>
        <v>129.126297350064</v>
      </c>
      <c r="AZ74" s="13" t="n">
        <f aca="false">AZ73+AZ52+AZ53+AZ54</f>
        <v>130.086502835114</v>
      </c>
      <c r="BA74" s="13" t="n">
        <f aca="false">BA73+BA52+BA53+BA54</f>
        <v>131.075035042594</v>
      </c>
      <c r="BB74" s="13" t="n">
        <f aca="false">BB73+BB52+BB53+BB54</f>
        <v>128.552238201305</v>
      </c>
      <c r="BC74" s="13" t="n">
        <f aca="false">BC73+BC52+BC53+BC54</f>
        <v>132.1164229702</v>
      </c>
      <c r="BD74" s="13" t="n">
        <f aca="false">BD73+BD52+BD53+BD54</f>
        <v>135.06654617831</v>
      </c>
      <c r="BE74" s="13" t="n">
        <f aca="false">BE73+BE52+BE53+BE54</f>
        <v>137.004049247878</v>
      </c>
      <c r="BF74" s="13" t="n">
        <f aca="false">BF73+BF52+BF53+BF54</f>
        <v>136.457926444362</v>
      </c>
      <c r="BG74" s="13" t="n">
        <f aca="false">BG73+BG52+BG53+BG54</f>
        <v>139.205132138641</v>
      </c>
      <c r="BH74" s="13" t="n">
        <f aca="false">BH73+BH52+BH53+BH54</f>
        <v>140.236799377856</v>
      </c>
      <c r="BI74" s="13" t="n">
        <f aca="false">BI73+BI52+BI53+BI54</f>
        <v>140.447358093276</v>
      </c>
      <c r="BJ74" s="13" t="n">
        <f aca="false">BJ73+BJ52+BJ53+BJ54</f>
        <v>136.007629069566</v>
      </c>
      <c r="BK74" s="13" t="n">
        <f aca="false">BK73+BK52+BK53+BK54</f>
        <v>140.679182690994</v>
      </c>
      <c r="BL74" s="13" t="n">
        <f aca="false">BL73+BL52+BL53+BL54</f>
        <v>145.604490453003</v>
      </c>
      <c r="BM74" s="13" t="n">
        <f aca="false">BM73+BM52+BM53+BM54</f>
        <v>98.6879067375943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7027.10825057197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36.6588192911158</v>
      </c>
      <c r="P83" s="13" t="n">
        <f aca="false">P72+P74+P75+P76+P79+P82</f>
        <v>110.311890648767</v>
      </c>
      <c r="Q83" s="13" t="n">
        <f aca="false">Q72+Q74+Q75+Q76+Q79+Q82</f>
        <v>111.68726737088</v>
      </c>
      <c r="R83" s="13" t="n">
        <f aca="false">R72+R74+R75+R76+R79+R82</f>
        <v>111.428084195726</v>
      </c>
      <c r="S83" s="13" t="n">
        <f aca="false">S72+S74+S75+S76+S79+S82</f>
        <v>113.522319640116</v>
      </c>
      <c r="T83" s="13" t="n">
        <f aca="false">T72+T74+T75+T76+T79+T82</f>
        <v>114.513575311547</v>
      </c>
      <c r="U83" s="13" t="n">
        <f aca="false">U72+U74+U75+U76+U79+U82</f>
        <v>115.289275538651</v>
      </c>
      <c r="V83" s="13" t="n">
        <f aca="false">V72+V74+V75+V76+V79+V82</f>
        <v>115.842082771314</v>
      </c>
      <c r="W83" s="13" t="n">
        <f aca="false">W72+W74+W75+W76+W79+W82</f>
        <v>116.302629971076</v>
      </c>
      <c r="X83" s="13" t="n">
        <f aca="false">X72+X74+X75+X76+X79+X82</f>
        <v>118.982759000938</v>
      </c>
      <c r="Y83" s="13" t="n">
        <f aca="false">Y72+Y74+Y75+Y76+Y79+Y82</f>
        <v>120.562922533157</v>
      </c>
      <c r="Z83" s="13" t="n">
        <f aca="false">Z72+Z74+Z75+Z76+Z79+Z82</f>
        <v>120.293422818764</v>
      </c>
      <c r="AA83" s="13" t="n">
        <f aca="false">AA72+AA74+AA75+AA76+AA79+AA82</f>
        <v>122.558214785735</v>
      </c>
      <c r="AB83" s="13" t="n">
        <f aca="false">AB72+AB74+AB75+AB76+AB79+AB82</f>
        <v>123.627425245659</v>
      </c>
      <c r="AC83" s="13" t="n">
        <f aca="false">AC72+AC74+AC75+AC76+AC79+AC82</f>
        <v>123.741557682837</v>
      </c>
      <c r="AD83" s="13" t="n">
        <f aca="false">AD72+AD74+AD75+AD76+AD79+AD82</f>
        <v>132.056182276961</v>
      </c>
      <c r="AE83" s="13" t="n">
        <f aca="false">AE72+AE74+AE75+AE76+AE79+AE82</f>
        <v>124.083733677418</v>
      </c>
      <c r="AF83" s="13" t="n">
        <f aca="false">AF72+AF74+AF75+AF76+AF79+AF82</f>
        <v>128.454463147575</v>
      </c>
      <c r="AG83" s="13" t="n">
        <f aca="false">AG72+AG74+AG75+AG76+AG79+AG82</f>
        <v>130.163116125157</v>
      </c>
      <c r="AH83" s="13" t="n">
        <f aca="false">AH72+AH74+AH75+AH76+AH79+AH82</f>
        <v>129.868539222626</v>
      </c>
      <c r="AI83" s="13" t="n">
        <f aca="false">AI72+AI74+AI75+AI76+AI79+AI82</f>
        <v>132.317676594306</v>
      </c>
      <c r="AJ83" s="13" t="n">
        <f aca="false">AJ72+AJ74+AJ75+AJ76+AJ79+AJ82</f>
        <v>133.471031803247</v>
      </c>
      <c r="AK83" s="13" t="n">
        <f aca="false">AK72+AK74+AK75+AK76+AK79+AK82</f>
        <v>134.374684860843</v>
      </c>
      <c r="AL83" s="13" t="n">
        <f aca="false">AL72+AL74+AL75+AL76+AL79+AL82</f>
        <v>135.068442591089</v>
      </c>
      <c r="AM83" s="13" t="n">
        <f aca="false">AM72+AM74+AM75+AM76+AM79+AM82</f>
        <v>135.555625466969</v>
      </c>
      <c r="AN83" s="13" t="n">
        <f aca="false">AN72+AN74+AN75+AN76+AN79+AN82</f>
        <v>138.684570853901</v>
      </c>
      <c r="AO83" s="13" t="n">
        <f aca="false">AO72+AO74+AO75+AO76+AO79+AO82</f>
        <v>140.532078366977</v>
      </c>
      <c r="AP83" s="13" t="n">
        <f aca="false">AP72+AP74+AP75+AP76+AP79+AP82</f>
        <v>140.210248756063</v>
      </c>
      <c r="AQ83" s="13" t="n">
        <f aca="false">AQ72+AQ74+AQ75+AQ76+AQ79+AQ82</f>
        <v>142.858626496473</v>
      </c>
      <c r="AR83" s="13" t="n">
        <f aca="false">AR72+AR74+AR75+AR76+AR79+AR82</f>
        <v>144.102811445942</v>
      </c>
      <c r="AS83" s="13" t="n">
        <f aca="false">AS72+AS74+AS75+AS76+AS79+AS82</f>
        <v>144.232197541571</v>
      </c>
      <c r="AT83" s="13" t="n">
        <f aca="false">AT72+AT74+AT75+AT76+AT79+AT82</f>
        <v>154.197167221418</v>
      </c>
      <c r="AU83" s="13" t="n">
        <f aca="false">AU72+AU74+AU75+AU76+AU79+AU82</f>
        <v>144.627684991598</v>
      </c>
      <c r="AV83" s="13" t="n">
        <f aca="false">AV72+AV74+AV75+AV76+AV79+AV82</f>
        <v>149.733787617893</v>
      </c>
      <c r="AW83" s="13" t="n">
        <f aca="false">AW72+AW74+AW75+AW76+AW79+AW82</f>
        <v>151.731343828514</v>
      </c>
      <c r="AX83" s="13" t="n">
        <f aca="false">AX72+AX74+AX75+AX76+AX79+AX82</f>
        <v>151.379906502548</v>
      </c>
      <c r="AY83" s="13" t="n">
        <f aca="false">AY72+AY74+AY75+AY76+AY79+AY82</f>
        <v>154.243613627432</v>
      </c>
      <c r="AZ83" s="13" t="n">
        <f aca="false">AZ72+AZ74+AZ75+AZ76+AZ79+AZ82</f>
        <v>155.58584813029</v>
      </c>
      <c r="BA83" s="13" t="n">
        <f aca="false">BA72+BA74+BA75+BA76+BA79+BA82</f>
        <v>156.638440563026</v>
      </c>
      <c r="BB83" s="13" t="n">
        <f aca="false">BB72+BB74+BB75+BB76+BB79+BB82</f>
        <v>157.506835171064</v>
      </c>
      <c r="BC83" s="13" t="n">
        <f aca="false">BC72+BC74+BC75+BC76+BC79+BC82</f>
        <v>158.014747549552</v>
      </c>
      <c r="BD83" s="13" t="n">
        <f aca="false">BD72+BD74+BD75+BD76+BD79+BD82</f>
        <v>161.667668755635</v>
      </c>
      <c r="BE83" s="13" t="n">
        <f aca="false">BE72+BE74+BE75+BE76+BE79+BE82</f>
        <v>163.827362601183</v>
      </c>
      <c r="BF83" s="13" t="n">
        <f aca="false">BF72+BF74+BF75+BF76+BF79+BF82</f>
        <v>163.443768879129</v>
      </c>
      <c r="BG83" s="13" t="n">
        <f aca="false">BG72+BG74+BG75+BG76+BG79+BG82</f>
        <v>166.540183356053</v>
      </c>
      <c r="BH83" s="13" t="n">
        <f aca="false">BH72+BH74+BH75+BH76+BH79+BH82</f>
        <v>167.988265046242</v>
      </c>
      <c r="BI83" s="13" t="n">
        <f aca="false">BI72+BI74+BI75+BI76+BI79+BI82</f>
        <v>168.134816195881</v>
      </c>
      <c r="BJ83" s="13" t="n">
        <f aca="false">BJ72+BJ74+BJ75+BJ76+BJ79+BJ82</f>
        <v>180.076737562536</v>
      </c>
      <c r="BK83" s="13" t="n">
        <f aca="false">BK72+BK74+BK75+BK76+BK79+BK82</f>
        <v>168.59208105756</v>
      </c>
      <c r="BL83" s="13" t="n">
        <f aca="false">BL72+BL74+BL75+BL76+BL79+BL82</f>
        <v>174.557005598434</v>
      </c>
      <c r="BM83" s="13" t="n">
        <f aca="false">BM72+BM74+BM75+BM76+BM79+BM82</f>
        <v>137.26471028258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2520.04270242895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16.3702997009264</v>
      </c>
      <c r="P84" s="13" t="n">
        <f aca="false">P56-P83+P58</f>
        <v>49.1189319272593</v>
      </c>
      <c r="Q84" s="13" t="n">
        <f aca="false">Q56-Q83+Q58</f>
        <v>49.3000686650993</v>
      </c>
      <c r="R84" s="13" t="n">
        <f aca="false">R56-R83+R58</f>
        <v>49.4574307610656</v>
      </c>
      <c r="S84" s="13" t="n">
        <f aca="false">S56-S83+S58</f>
        <v>49.5154523366732</v>
      </c>
      <c r="T84" s="13" t="n">
        <f aca="false">T56-T83+T58</f>
        <v>49.5827701911606</v>
      </c>
      <c r="U84" s="13" t="n">
        <f aca="false">U56-U83+U58</f>
        <v>49.7341520724357</v>
      </c>
      <c r="V84" s="13" t="n">
        <f aca="false">V56-V83+V58</f>
        <v>47.4941183828341</v>
      </c>
      <c r="W84" s="13" t="n">
        <f aca="false">W56-W83+W58</f>
        <v>50.0002548596367</v>
      </c>
      <c r="X84" s="13" t="n">
        <f aca="false">X56-X83+X58</f>
        <v>49.962768011212</v>
      </c>
      <c r="Y84" s="13" t="n">
        <f aca="false">Y56-Y83+Y58</f>
        <v>50.0656932102089</v>
      </c>
      <c r="Z84" s="13" t="n">
        <f aca="false">Z56-Z83+Z58</f>
        <v>50.2238144361422</v>
      </c>
      <c r="AA84" s="13" t="n">
        <f aca="false">AA56-AA83+AA58</f>
        <v>50.2855479489001</v>
      </c>
      <c r="AB84" s="13" t="n">
        <f aca="false">AB56-AB83+AB58</f>
        <v>50.3581816602818</v>
      </c>
      <c r="AC84" s="13" t="n">
        <f aca="false">AC56-AC83+AC58</f>
        <v>50.5709088025354</v>
      </c>
      <c r="AD84" s="13" t="n">
        <f aca="false">AD56-AD83+AD58</f>
        <v>38.1615492506369</v>
      </c>
      <c r="AE84" s="13" t="n">
        <f aca="false">AE56-AE83+AE58</f>
        <v>50.9109980038369</v>
      </c>
      <c r="AF84" s="13" t="n">
        <f aca="false">AF56-AF83+AF58</f>
        <v>50.7696472548835</v>
      </c>
      <c r="AG84" s="13" t="n">
        <f aca="false">AG56-AG83+AG58</f>
        <v>50.8808952567098</v>
      </c>
      <c r="AH84" s="13" t="n">
        <f aca="false">AH56-AH83+AH58</f>
        <v>51.0537731494121</v>
      </c>
      <c r="AI84" s="13" t="n">
        <f aca="false">AI56-AI83+AI58</f>
        <v>51.1194574156954</v>
      </c>
      <c r="AJ84" s="13" t="n">
        <f aca="false">AJ56-AJ83+AJ58</f>
        <v>51.1978275746529</v>
      </c>
      <c r="AK84" s="13" t="n">
        <f aca="false">AK56-AK83+AK58</f>
        <v>51.3774662277486</v>
      </c>
      <c r="AL84" s="13" t="n">
        <f aca="false">AL56-AL83+AL58</f>
        <v>48.7155295891534</v>
      </c>
      <c r="AM84" s="13" t="n">
        <f aca="false">AM56-AM83+AM58</f>
        <v>51.693174763059</v>
      </c>
      <c r="AN84" s="13" t="n">
        <f aca="false">AN56-AN83+AN58</f>
        <v>51.6434131952998</v>
      </c>
      <c r="AO84" s="13" t="n">
        <f aca="false">AO56-AO83+AO58</f>
        <v>51.7636790683157</v>
      </c>
      <c r="AP84" s="13" t="n">
        <f aca="false">AP56-AP83+AP58</f>
        <v>51.9526735325803</v>
      </c>
      <c r="AQ84" s="13" t="n">
        <f aca="false">AQ56-AQ83+AQ58</f>
        <v>52.0225632076154</v>
      </c>
      <c r="AR84" s="13" t="n">
        <f aca="false">AR56-AR83+AR58</f>
        <v>52.1071236702427</v>
      </c>
      <c r="AS84" s="13" t="n">
        <f aca="false">AS56-AS83+AS58</f>
        <v>52.3612019731269</v>
      </c>
      <c r="AT84" s="13" t="n">
        <f aca="false">AT56-AT83+AT58</f>
        <v>37.7100463674514</v>
      </c>
      <c r="AU84" s="13" t="n">
        <f aca="false">AU56-AU83+AU58</f>
        <v>52.7663951218286</v>
      </c>
      <c r="AV84" s="13" t="n">
        <f aca="false">AV56-AV83+AV58</f>
        <v>52.5897087630366</v>
      </c>
      <c r="AW84" s="13" t="n">
        <f aca="false">AW56-AW83+AW58</f>
        <v>52.7197474727984</v>
      </c>
      <c r="AX84" s="13" t="n">
        <f aca="false">AX56-AX83+AX58</f>
        <v>52.926342522472</v>
      </c>
      <c r="AY84" s="13" t="n">
        <f aca="false">AY56-AY83+AY58</f>
        <v>53.0007092231493</v>
      </c>
      <c r="AZ84" s="13" t="n">
        <f aca="false">AZ56-AZ83+AZ58</f>
        <v>53.0919497327961</v>
      </c>
      <c r="BA84" s="13" t="n">
        <f aca="false">BA56-BA83+BA58</f>
        <v>53.3051854691917</v>
      </c>
      <c r="BB84" s="13" t="n">
        <f aca="false">BB56-BB83+BB58</f>
        <v>50.1416573221038</v>
      </c>
      <c r="BC84" s="13" t="n">
        <f aca="false">BC56-BC83+BC58</f>
        <v>53.6797981674308</v>
      </c>
      <c r="BD84" s="13" t="n">
        <f aca="false">BD56-BD83+BD58</f>
        <v>53.6146606749134</v>
      </c>
      <c r="BE84" s="13" t="n">
        <f aca="false">BE56-BE83+BE58</f>
        <v>53.7552923908917</v>
      </c>
      <c r="BF84" s="13" t="n">
        <f aca="false">BF56-BF83+BF58</f>
        <v>53.9811073895442</v>
      </c>
      <c r="BG84" s="13" t="n">
        <f aca="false">BG56-BG83+BG58</f>
        <v>54.0602409053099</v>
      </c>
      <c r="BH84" s="13" t="n">
        <f aca="false">BH56-BH83+BH58</f>
        <v>54.158689919467</v>
      </c>
      <c r="BI84" s="13" t="n">
        <f aca="false">BI56-BI83+BI58</f>
        <v>54.4621561890885</v>
      </c>
      <c r="BJ84" s="13" t="n">
        <f aca="false">BJ56-BJ83+BJ58</f>
        <v>37.1438815019031</v>
      </c>
      <c r="BK84" s="13" t="n">
        <f aca="false">BK56-BK83+BK58</f>
        <v>54.9449018389707</v>
      </c>
      <c r="BL84" s="13" t="n">
        <f aca="false">BL56-BL83+BL58</f>
        <v>54.7249214898261</v>
      </c>
      <c r="BM84" s="13" t="n">
        <f aca="false">BM56-BM83+BM58</f>
        <v>17.493943867432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39.1198418793754</v>
      </c>
      <c r="P88" s="13" t="n">
        <f aca="false">(1-P86)*(P56/MAX(Time!P31,1)*Inputs!$F$168+P55/MAX(Time!P31,1)*P87)</f>
        <v>38.9912337821804</v>
      </c>
      <c r="Q88" s="13" t="n">
        <f aca="false">(1-Q86)*(Q56/MAX(Time!Q31,1)*Inputs!$F$168+Q55/MAX(Time!Q31,1)*Q87)</f>
        <v>40.0244758100501</v>
      </c>
      <c r="R88" s="13" t="n">
        <f aca="false">(1-R86)*(R56/MAX(Time!R31,1)*Inputs!$F$168+R55/MAX(Time!R31,1)*R87)</f>
        <v>39.3470009405197</v>
      </c>
      <c r="S88" s="13" t="n">
        <f aca="false">(1-S86)*(S56/MAX(Time!S31,1)*Inputs!$F$168+S55/MAX(Time!S31,1)*S87)</f>
        <v>40.5342527014116</v>
      </c>
      <c r="T88" s="13" t="n">
        <f aca="false">(1-T86)*(T56/MAX(Time!T31,1)*Inputs!$F$168+T55/MAX(Time!T31,1)*T87)</f>
        <v>40.1322584109883</v>
      </c>
      <c r="U88" s="13" t="n">
        <f aca="false">(1-U86)*(U56/MAX(Time!U31,1)*Inputs!$F$168+U55/MAX(Time!U31,1)*U87)</f>
        <v>40.8024958379061</v>
      </c>
      <c r="V88" s="13" t="n">
        <f aca="false">(1-V86)*(V56/MAX(Time!V31,1)*Inputs!$F$168+V55/MAX(Time!V31,1)*V87)</f>
        <v>39.946353543134</v>
      </c>
      <c r="W88" s="13" t="n">
        <f aca="false">(1-W86)*(W56/MAX(Time!W31,1)*Inputs!$F$168+W55/MAX(Time!W31,1)*W87)</f>
        <v>41.3460210905087</v>
      </c>
      <c r="X88" s="13" t="n">
        <f aca="false">(1-X86)*(X56/MAX(Time!X31,1)*Inputs!$F$168+X55/MAX(Time!X31,1)*X87)</f>
        <v>41.318199541015</v>
      </c>
      <c r="Y88" s="13" t="n">
        <f aca="false">(1-Y86)*(Y56/MAX(Time!Y31,1)*Inputs!$F$168+Y55/MAX(Time!Y31,1)*Y87)</f>
        <v>42.421479052218</v>
      </c>
      <c r="Z88" s="13" t="n">
        <f aca="false">(1-Z86)*(Z56/MAX(Time!Z31,1)*Inputs!$F$168+Z55/MAX(Time!Z31,1)*Z87)</f>
        <v>41.7025851982109</v>
      </c>
      <c r="AA88" s="13" t="n">
        <f aca="false">(1-AA86)*(AA56/MAX(Time!AA31,1)*Inputs!$F$168+AA55/MAX(Time!AA31,1)*AA87)</f>
        <v>42.9722062047435</v>
      </c>
      <c r="AB88" s="13" t="n">
        <f aca="false">(1-AB86)*(AB56/MAX(Time!AB31,1)*Inputs!$F$168+AB55/MAX(Time!AB31,1)*AB87)</f>
        <v>42.5508277759093</v>
      </c>
      <c r="AC88" s="13" t="n">
        <f aca="false">(1-AC86)*(AC56/MAX(Time!AC31,1)*Inputs!$F$168+AC55/MAX(Time!AC31,1)*AC87)</f>
        <v>43.0992362189108</v>
      </c>
      <c r="AD88" s="13" t="n">
        <f aca="false">(1-AD86)*(AD56/MAX(Time!AD31,1)*Inputs!$F$168+AD55/MAX(Time!AD31,1)*AD87)</f>
        <v>41.6293365149017</v>
      </c>
      <c r="AE88" s="13" t="n">
        <f aca="false">(1-AE86)*(AE56/MAX(Time!AE31,1)*Inputs!$F$168+AE55/MAX(Time!AE31,1)*AE87)</f>
        <v>43.5069774898148</v>
      </c>
      <c r="AF88" s="13" t="n">
        <f aca="false">(1-AF86)*(AF56/MAX(Time!AF31,1)*Inputs!$F$168+AF55/MAX(Time!AF31,1)*AF87)</f>
        <v>43.8319835223403</v>
      </c>
      <c r="AG88" s="13" t="n">
        <f aca="false">(1-AG86)*(AG56/MAX(Time!AG31,1)*Inputs!$F$168+AG55/MAX(Time!AG31,1)*AG87)</f>
        <v>45.0109420562652</v>
      </c>
      <c r="AH88" s="13" t="n">
        <f aca="false">(1-AH86)*(AH56/MAX(Time!AH31,1)*Inputs!$F$168+AH55/MAX(Time!AH31,1)*AH87)</f>
        <v>44.2473046562049</v>
      </c>
      <c r="AI88" s="13" t="n">
        <f aca="false">(1-AI86)*(AI56/MAX(Time!AI31,1)*Inputs!$F$168+AI55/MAX(Time!AI31,1)*AI87)</f>
        <v>45.6059172953042</v>
      </c>
      <c r="AJ88" s="13" t="n">
        <f aca="false">(1-AJ86)*(AJ56/MAX(Time!AJ31,1)*Inputs!$F$168+AJ55/MAX(Time!AJ31,1)*AJ87)</f>
        <v>45.1635797391603</v>
      </c>
      <c r="AK88" s="13" t="n">
        <f aca="false">(1-AK86)*(AK56/MAX(Time!AK31,1)*Inputs!$F$168+AK55/MAX(Time!AK31,1)*AK87)</f>
        <v>45.9277296647618</v>
      </c>
      <c r="AL88" s="13" t="n">
        <f aca="false">(1-AL86)*(AL56/MAX(Time!AL31,1)*Inputs!$F$168+AL55/MAX(Time!AL31,1)*AL87)</f>
        <v>44.9471671092985</v>
      </c>
      <c r="AM88" s="13" t="n">
        <f aca="false">(1-AM86)*(AM56/MAX(Time!AM31,1)*Inputs!$F$168+AM55/MAX(Time!AM31,1)*AM87)</f>
        <v>46.5535691179628</v>
      </c>
      <c r="AN88" s="13" t="n">
        <f aca="false">(1-AN86)*(AN56/MAX(Time!AN31,1)*Inputs!$F$168+AN55/MAX(Time!AN31,1)*AN87)</f>
        <v>46.5476047946416</v>
      </c>
      <c r="AO88" s="13" t="n">
        <f aca="false">(1-AO86)*(AO56/MAX(Time!AO31,1)*Inputs!$F$168+AO55/MAX(Time!AO31,1)*AO87)</f>
        <v>47.8083374839125</v>
      </c>
      <c r="AP88" s="13" t="n">
        <f aca="false">(1-AP86)*(AP56/MAX(Time!AP31,1)*Inputs!$F$168+AP55/MAX(Time!AP31,1)*AP87)</f>
        <v>46.9963668640704</v>
      </c>
      <c r="AQ88" s="13" t="n">
        <f aca="false">(1-AQ86)*(AQ56/MAX(Time!AQ31,1)*Inputs!$F$168+AQ55/MAX(Time!AQ31,1)*AQ87)</f>
        <v>48.4511245120663</v>
      </c>
      <c r="AR88" s="13" t="n">
        <f aca="false">(1-AR86)*(AR56/MAX(Time!AR31,1)*Inputs!$F$168+AR55/MAX(Time!AR31,1)*AR87)</f>
        <v>47.9861254360233</v>
      </c>
      <c r="AS88" s="13" t="n">
        <f aca="false">(1-AS86)*(AS56/MAX(Time!AS31,1)*Inputs!$F$168+AS55/MAX(Time!AS31,1)*AS87)</f>
        <v>48.608258121766</v>
      </c>
      <c r="AT88" s="13" t="n">
        <f aca="false">(1-AT86)*(AT56/MAX(Time!AT31,1)*Inputs!$F$168+AT55/MAX(Time!AT31,1)*AT87)</f>
        <v>46.9338294103213</v>
      </c>
      <c r="AU88" s="13" t="n">
        <f aca="false">(1-AU86)*(AU56/MAX(Time!AU31,1)*Inputs!$F$168+AU55/MAX(Time!AU31,1)*AU87)</f>
        <v>49.075876271294</v>
      </c>
      <c r="AV88" s="13" t="n">
        <f aca="false">(1-AV86)*(AV56/MAX(Time!AV31,1)*Inputs!$F$168+AV55/MAX(Time!AV31,1)*AV87)</f>
        <v>49.4812898757709</v>
      </c>
      <c r="AW88" s="13" t="n">
        <f aca="false">(1-AW86)*(AW56/MAX(Time!AW31,1)*Inputs!$F$168+AW55/MAX(Time!AW31,1)*AW87)</f>
        <v>50.8303818152435</v>
      </c>
      <c r="AX88" s="13" t="n">
        <f aca="false">(1-AX86)*(AX56/MAX(Time!AX31,1)*Inputs!$F$168+AX55/MAX(Time!AX31,1)*AX87)</f>
        <v>49.966202207206</v>
      </c>
      <c r="AY88" s="13" t="n">
        <f aca="false">(1-AY86)*(AY56/MAX(Time!AY31,1)*Inputs!$F$168+AY55/MAX(Time!AY31,1)*AY87)</f>
        <v>51.5248316479345</v>
      </c>
      <c r="AZ88" s="13" t="n">
        <f aca="false">(1-AZ86)*(AZ56/MAX(Time!AZ31,1)*Inputs!$F$168+AZ55/MAX(Time!AZ31,1)*AZ87)</f>
        <v>51.0353309991242</v>
      </c>
      <c r="BA88" s="13" t="n">
        <f aca="false">(1-BA86)*(BA56/MAX(Time!BA31,1)*Inputs!$F$168+BA55/MAX(Time!BA31,1)*BA87)</f>
        <v>51.9091383046691</v>
      </c>
      <c r="BB88" s="13" t="n">
        <f aca="false">(1-BB86)*(BB56/MAX(Time!BB31,1)*Inputs!$F$168+BB55/MAX(Time!BB31,1)*BB87)</f>
        <v>50.7835987075682</v>
      </c>
      <c r="BC88" s="13" t="n">
        <f aca="false">(1-BC86)*(BC56/MAX(Time!BC31,1)*Inputs!$F$168+BC55/MAX(Time!BC31,1)*BC87)</f>
        <v>52.6312406478686</v>
      </c>
      <c r="BD88" s="13" t="n">
        <f aca="false">(1-BD86)*(BD56/MAX(Time!BD31,1)*Inputs!$F$168+BD55/MAX(Time!BD31,1)*BD87)</f>
        <v>52.6505696976884</v>
      </c>
      <c r="BE88" s="13" t="n">
        <f aca="false">(1-BE86)*(BE56/MAX(Time!BE31,1)*Inputs!$F$168+BE55/MAX(Time!BE31,1)*BE87)</f>
        <v>54.0951352190242</v>
      </c>
      <c r="BF88" s="13" t="n">
        <f aca="false">(1-BF86)*(BF56/MAX(Time!BF31,1)*Inputs!$F$168+BF55/MAX(Time!BF31,1)*BF87)</f>
        <v>53.1745621309255</v>
      </c>
      <c r="BG88" s="13" t="n">
        <f aca="false">(1-BG86)*(BG56/MAX(Time!BG31,1)*Inputs!$F$168+BG55/MAX(Time!BG31,1)*BG87)</f>
        <v>54.8454093467476</v>
      </c>
      <c r="BH88" s="13" t="n">
        <f aca="false">(1-BH86)*(BH56/MAX(Time!BH31,1)*Inputs!$F$168+BH55/MAX(Time!BH31,1)*BH87)</f>
        <v>54.3294183340049</v>
      </c>
      <c r="BI88" s="13" t="n">
        <f aca="false">(1-BI86)*(BI56/MAX(Time!BI31,1)*Inputs!$F$168+BI55/MAX(Time!BI31,1)*BI87)</f>
        <v>55.0377129523275</v>
      </c>
      <c r="BJ88" s="13" t="n">
        <f aca="false">(1-BJ86)*(BJ56/MAX(Time!BJ31,1)*Inputs!$F$168+BJ55/MAX(Time!BJ31,1)*BJ87)</f>
        <v>53.1246079233683</v>
      </c>
      <c r="BK88" s="13" t="n">
        <f aca="false">(1-BK86)*(BK56/MAX(Time!BK31,1)*Inputs!$F$168+BK55/MAX(Time!BK31,1)*BK87)</f>
        <v>55.5754929853254</v>
      </c>
      <c r="BL88" s="13" t="n">
        <f aca="false">(1-BL86)*(BL56/MAX(Time!BL31,1)*Inputs!$F$168+BL55/MAX(Time!BL31,1)*BL87)</f>
        <v>56.0743843422375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19.3615100190214</v>
      </c>
      <c r="P90" s="13" t="n">
        <f aca="false">(1-P86)*(P73+P54)/MAX(Time!P31,1)*Inputs!$F$169</f>
        <v>19.254352967454</v>
      </c>
      <c r="Q90" s="13" t="n">
        <f aca="false">(1-Q86)*(Q73+Q54)/MAX(Time!Q31,1)*Inputs!$F$169</f>
        <v>19.8980923810643</v>
      </c>
      <c r="R90" s="13" t="n">
        <f aca="false">(1-R86)*(R73+R54)/MAX(Time!R31,1)*Inputs!$F$169</f>
        <v>19.445101674629</v>
      </c>
      <c r="S90" s="13" t="n">
        <f aca="false">(1-S86)*(S73+S54)/MAX(Time!S31,1)*Inputs!$F$169</f>
        <v>20.2247590341221</v>
      </c>
      <c r="T90" s="13" t="n">
        <f aca="false">(1-T86)*(T73+T54)/MAX(Time!T31,1)*Inputs!$F$169</f>
        <v>20.0200036293385</v>
      </c>
      <c r="U90" s="13" t="n">
        <f aca="false">(1-U86)*(U73+U54)/MAX(Time!U31,1)*Inputs!$F$169</f>
        <v>20.4068751630415</v>
      </c>
      <c r="V90" s="13" t="n">
        <f aca="false">(1-V86)*(V73+V54)/MAX(Time!V31,1)*Inputs!$F$169</f>
        <v>19.7176300646459</v>
      </c>
      <c r="W90" s="13" t="n">
        <f aca="false">(1-W86)*(W73+W54)/MAX(Time!W31,1)*Inputs!$F$169</f>
        <v>20.6827979111303</v>
      </c>
      <c r="X90" s="13" t="n">
        <f aca="false">(1-X86)*(X73+X54)/MAX(Time!X31,1)*Inputs!$F$169</f>
        <v>20.8157925243062</v>
      </c>
      <c r="Y90" s="13" t="n">
        <f aca="false">(1-Y86)*(Y73+Y54)/MAX(Time!Y31,1)*Inputs!$F$169</f>
        <v>21.5115771047765</v>
      </c>
      <c r="Z90" s="13" t="n">
        <f aca="false">(1-Z86)*(Z73+Z54)/MAX(Time!Z31,1)*Inputs!$F$169</f>
        <v>21.0216989668203</v>
      </c>
      <c r="AA90" s="13" t="n">
        <f aca="false">(1-AA86)*(AA73+AA54)/MAX(Time!AA31,1)*Inputs!$F$169</f>
        <v>21.864408579853</v>
      </c>
      <c r="AB90" s="13" t="n">
        <f aca="false">(1-AB86)*(AB73+AB54)/MAX(Time!AB31,1)*Inputs!$F$169</f>
        <v>21.6428930309172</v>
      </c>
      <c r="AC90" s="13" t="n">
        <f aca="false">(1-AC86)*(AC73+AC54)/MAX(Time!AC31,1)*Inputs!$F$169</f>
        <v>21.9102942067387</v>
      </c>
      <c r="AD90" s="13" t="n">
        <f aca="false">(1-AD86)*(AD73+AD54)/MAX(Time!AD31,1)*Inputs!$F$169</f>
        <v>20.8686741664554</v>
      </c>
      <c r="AE90" s="13" t="n">
        <f aca="false">(1-AE86)*(AE73+AE54)/MAX(Time!AE31,1)*Inputs!$F$169</f>
        <v>22.0499586708509</v>
      </c>
      <c r="AF90" s="13" t="n">
        <f aca="false">(1-AF86)*(AF73+AF54)/MAX(Time!AF31,1)*Inputs!$F$169</f>
        <v>22.5025236563989</v>
      </c>
      <c r="AG90" s="13" t="n">
        <f aca="false">(1-AG86)*(AG73+AG54)/MAX(Time!AG31,1)*Inputs!$F$169</f>
        <v>23.2545158932033</v>
      </c>
      <c r="AH90" s="13" t="n">
        <f aca="false">(1-AH86)*(AH73+AH54)/MAX(Time!AH31,1)*Inputs!$F$169</f>
        <v>22.7247773818559</v>
      </c>
      <c r="AI90" s="13" t="n">
        <f aca="false">(1-AI86)*(AI73+AI54)/MAX(Time!AI31,1)*Inputs!$F$169</f>
        <v>23.6355836472194</v>
      </c>
      <c r="AJ90" s="13" t="n">
        <f aca="false">(1-AJ86)*(AJ73+AJ54)/MAX(Time!AJ31,1)*Inputs!$F$169</f>
        <v>23.3959497481084</v>
      </c>
      <c r="AK90" s="13" t="n">
        <f aca="false">(1-AK86)*(AK73+AK54)/MAX(Time!AK31,1)*Inputs!$F$169</f>
        <v>23.8477047129426</v>
      </c>
      <c r="AL90" s="13" t="n">
        <f aca="false">(1-AL86)*(AL73+AL54)/MAX(Time!AL31,1)*Inputs!$F$169</f>
        <v>23.0419027195771</v>
      </c>
      <c r="AM90" s="13" t="n">
        <f aca="false">(1-AM86)*(AM73+AM54)/MAX(Time!AM31,1)*Inputs!$F$169</f>
        <v>24.1694326832031</v>
      </c>
      <c r="AN90" s="13" t="n">
        <f aca="false">(1-AN86)*(AN73+AN54)/MAX(Time!AN31,1)*Inputs!$F$169</f>
        <v>24.3244852688248</v>
      </c>
      <c r="AO90" s="13" t="n">
        <f aca="false">(1-AO86)*(AO73+AO54)/MAX(Time!AO31,1)*Inputs!$F$169</f>
        <v>25.1371766489407</v>
      </c>
      <c r="AP90" s="13" t="n">
        <f aca="false">(1-AP86)*(AP73+AP54)/MAX(Time!AP31,1)*Inputs!$F$169</f>
        <v>24.5643678469252</v>
      </c>
      <c r="AQ90" s="13" t="n">
        <f aca="false">(1-AQ86)*(AQ73+AQ54)/MAX(Time!AQ31,1)*Inputs!$F$169</f>
        <v>25.5487140044375</v>
      </c>
      <c r="AR90" s="13" t="n">
        <f aca="false">(1-AR86)*(AR73+AR54)/MAX(Time!AR31,1)*Inputs!$F$169</f>
        <v>25.2894946382022</v>
      </c>
      <c r="AS90" s="13" t="n">
        <f aca="false">(1-AS86)*(AS73+AS54)/MAX(Time!AS31,1)*Inputs!$F$169</f>
        <v>25.6015683771704</v>
      </c>
      <c r="AT90" s="13" t="n">
        <f aca="false">(1-AT86)*(AT73+AT54)/MAX(Time!AT31,1)*Inputs!$F$169</f>
        <v>24.3841006042636</v>
      </c>
      <c r="AU90" s="13" t="n">
        <f aca="false">(1-AU86)*(AU73+AU54)/MAX(Time!AU31,1)*Inputs!$F$169</f>
        <v>25.7639934904408</v>
      </c>
      <c r="AV90" s="13" t="n">
        <f aca="false">(1-AV86)*(AV73+AV54)/MAX(Time!AV31,1)*Inputs!$F$169</f>
        <v>26.2923946427988</v>
      </c>
      <c r="AW90" s="13" t="n">
        <f aca="false">(1-AW86)*(AW73+AW54)/MAX(Time!AW31,1)*Inputs!$F$169</f>
        <v>27.1706313096619</v>
      </c>
      <c r="AX90" s="13" t="n">
        <f aca="false">(1-AX86)*(AX73+AX54)/MAX(Time!AX31,1)*Inputs!$F$169</f>
        <v>26.5512866632603</v>
      </c>
      <c r="AY90" s="13" t="n">
        <f aca="false">(1-AY86)*(AY73+AY54)/MAX(Time!AY31,1)*Inputs!$F$169</f>
        <v>27.615045912313</v>
      </c>
      <c r="AZ90" s="13" t="n">
        <f aca="false">(1-AZ86)*(AZ73+AZ54)/MAX(Time!AZ31,1)*Inputs!$F$169</f>
        <v>27.334656417182</v>
      </c>
      <c r="BA90" s="13" t="n">
        <f aca="false">(1-BA86)*(BA73+BA54)/MAX(Time!BA31,1)*Inputs!$F$169</f>
        <v>27.8620471365554</v>
      </c>
      <c r="BB90" s="13" t="n">
        <f aca="false">(1-BB86)*(BB73+BB54)/MAX(Time!BB31,1)*Inputs!$F$169</f>
        <v>26.9201992479936</v>
      </c>
      <c r="BC90" s="13" t="n">
        <f aca="false">(1-BC86)*(BC73+BC54)/MAX(Time!BC31,1)*Inputs!$F$169</f>
        <v>28.2370861246425</v>
      </c>
      <c r="BD90" s="13" t="n">
        <f aca="false">(1-BD86)*(BD73+BD54)/MAX(Time!BD31,1)*Inputs!$F$169</f>
        <v>28.4178074986989</v>
      </c>
      <c r="BE90" s="13" t="n">
        <f aca="false">(1-BE86)*(BE73+BE54)/MAX(Time!BE31,1)*Inputs!$F$169</f>
        <v>29.3668178813948</v>
      </c>
      <c r="BF90" s="13" t="n">
        <f aca="false">(1-BF86)*(BF73+BF54)/MAX(Time!BF31,1)*Inputs!$F$169</f>
        <v>28.6971960901545</v>
      </c>
      <c r="BG90" s="13" t="n">
        <f aca="false">(1-BG86)*(BG73+BG54)/MAX(Time!BG31,1)*Inputs!$F$169</f>
        <v>29.8467050988457</v>
      </c>
      <c r="BH90" s="13" t="n">
        <f aca="false">(1-BH86)*(BH73+BH54)/MAX(Time!BH31,1)*Inputs!$F$169</f>
        <v>29.5434339585925</v>
      </c>
      <c r="BI90" s="13" t="n">
        <f aca="false">(1-BI86)*(BI73+BI54)/MAX(Time!BI31,1)*Inputs!$F$169</f>
        <v>29.9075518215201</v>
      </c>
      <c r="BJ90" s="13" t="n">
        <f aca="false">(1-BJ86)*(BJ73+BJ54)/MAX(Time!BJ31,1)*Inputs!$F$169</f>
        <v>28.4848869358508</v>
      </c>
      <c r="BK90" s="13" t="n">
        <f aca="false">(1-BK86)*(BK73+BK54)/MAX(Time!BK31,1)*Inputs!$F$169</f>
        <v>30.0963896978098</v>
      </c>
      <c r="BL90" s="13" t="n">
        <f aca="false">(1-BL86)*(BL73+BL54)/MAX(Time!BL31,1)*Inputs!$F$169</f>
        <v>30.7131826122403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2.28927188336579</v>
      </c>
      <c r="P91" s="13" t="n">
        <f aca="false">(1-P86)*(P52+P53)/MAX(Time!P31,1)*Inputs!$F$170</f>
        <v>2.286989528908</v>
      </c>
      <c r="Q91" s="13" t="n">
        <f aca="false">(1-Q86)*(Q52+Q53)/MAX(Time!Q31,1)*Inputs!$F$170</f>
        <v>2.32677644268547</v>
      </c>
      <c r="R91" s="13" t="n">
        <f aca="false">(1-R86)*(R52+R53)/MAX(Time!R31,1)*Inputs!$F$170</f>
        <v>2.31717541990963</v>
      </c>
      <c r="S91" s="13" t="n">
        <f aca="false">(1-S86)*(S52+S53)/MAX(Time!S31,1)*Inputs!$F$170</f>
        <v>2.36017441308757</v>
      </c>
      <c r="T91" s="13" t="n">
        <f aca="false">(1-T86)*(T52+T53)/MAX(Time!T31,1)*Inputs!$F$170</f>
        <v>2.35585594760475</v>
      </c>
      <c r="U91" s="13" t="n">
        <f aca="false">(1-U86)*(U52+U53)/MAX(Time!U31,1)*Inputs!$F$170</f>
        <v>2.39090985710608</v>
      </c>
      <c r="V91" s="13" t="n">
        <f aca="false">(1-V86)*(V52+V53)/MAX(Time!V31,1)*Inputs!$F$170</f>
        <v>2.37644435092908</v>
      </c>
      <c r="W91" s="13" t="n">
        <f aca="false">(1-W86)*(W52+W53)/MAX(Time!W31,1)*Inputs!$F$170</f>
        <v>2.42401225486383</v>
      </c>
      <c r="X91" s="13" t="n">
        <f aca="false">(1-X86)*(X52+X53)/MAX(Time!X31,1)*Inputs!$F$170</f>
        <v>2.4267897919723</v>
      </c>
      <c r="Y91" s="13" t="n">
        <f aca="false">(1-Y86)*(Y52+Y53)/MAX(Time!Y31,1)*Inputs!$F$170</f>
        <v>2.46899961616278</v>
      </c>
      <c r="Z91" s="13" t="n">
        <f aca="false">(1-Z86)*(Z52+Z53)/MAX(Time!Z31,1)*Inputs!$F$170</f>
        <v>2.45881886674401</v>
      </c>
      <c r="AA91" s="13" t="n">
        <f aca="false">(1-AA86)*(AA52+AA53)/MAX(Time!AA31,1)*Inputs!$F$170</f>
        <v>2.50443395112465</v>
      </c>
      <c r="AB91" s="13" t="n">
        <f aca="false">(1-AB86)*(AB52+AB53)/MAX(Time!AB31,1)*Inputs!$F$170</f>
        <v>2.49985293546341</v>
      </c>
      <c r="AC91" s="13" t="n">
        <f aca="false">(1-AC86)*(AC52+AC53)/MAX(Time!AC31,1)*Inputs!$F$170</f>
        <v>2.53394580293655</v>
      </c>
      <c r="AD91" s="13" t="n">
        <f aca="false">(1-AD86)*(AD52+AD53)/MAX(Time!AD31,1)*Inputs!$F$170</f>
        <v>2.5125103454106</v>
      </c>
      <c r="AE91" s="13" t="n">
        <f aca="false">(1-AE86)*(AE52+AE53)/MAX(Time!AE31,1)*Inputs!$F$170</f>
        <v>2.56584143396966</v>
      </c>
      <c r="AF91" s="13" t="n">
        <f aca="false">(1-AF86)*(AF52+AF53)/MAX(Time!AF31,1)*Inputs!$F$170</f>
        <v>2.5751090973563</v>
      </c>
      <c r="AG91" s="13" t="n">
        <f aca="false">(1-AG86)*(AG52+AG53)/MAX(Time!AG31,1)*Inputs!$F$170</f>
        <v>2.61988861259983</v>
      </c>
      <c r="AH91" s="13" t="n">
        <f aca="false">(1-AH86)*(AH52+AH53)/MAX(Time!AH31,1)*Inputs!$F$170</f>
        <v>2.60909375995202</v>
      </c>
      <c r="AI91" s="13" t="n">
        <f aca="false">(1-AI86)*(AI52+AI53)/MAX(Time!AI31,1)*Inputs!$F$170</f>
        <v>2.65748314823185</v>
      </c>
      <c r="AJ91" s="13" t="n">
        <f aca="false">(1-AJ86)*(AJ52+AJ53)/MAX(Time!AJ31,1)*Inputs!$F$170</f>
        <v>2.65262389763724</v>
      </c>
      <c r="AK91" s="13" t="n">
        <f aca="false">(1-AK86)*(AK52+AK53)/MAX(Time!AK31,1)*Inputs!$F$170</f>
        <v>2.69208709169671</v>
      </c>
      <c r="AL91" s="13" t="n">
        <f aca="false">(1-AL86)*(AL52+AL53)/MAX(Time!AL31,1)*Inputs!$F$170</f>
        <v>2.67582728979671</v>
      </c>
      <c r="AM91" s="13" t="n">
        <f aca="false">(1-AM86)*(AM52+AM53)/MAX(Time!AM31,1)*Inputs!$F$170</f>
        <v>2.72935153591227</v>
      </c>
      <c r="AN91" s="13" t="n">
        <f aca="false">(1-AN86)*(AN52+AN53)/MAX(Time!AN31,1)*Inputs!$F$170</f>
        <v>2.73246491350921</v>
      </c>
      <c r="AO91" s="13" t="n">
        <f aca="false">(1-AO86)*(AO52+AO53)/MAX(Time!AO31,1)*Inputs!$F$170</f>
        <v>2.77996974439418</v>
      </c>
      <c r="AP91" s="13" t="n">
        <f aca="false">(1-AP86)*(AP52+AP53)/MAX(Time!AP31,1)*Inputs!$F$170</f>
        <v>2.76852441393319</v>
      </c>
      <c r="AQ91" s="13" t="n">
        <f aca="false">(1-AQ86)*(AQ52+AQ53)/MAX(Time!AQ31,1)*Inputs!$F$170</f>
        <v>2.81985582722791</v>
      </c>
      <c r="AR91" s="13" t="n">
        <f aca="false">(1-AR86)*(AR52+AR53)/MAX(Time!AR31,1)*Inputs!$F$170</f>
        <v>2.81470173757479</v>
      </c>
      <c r="AS91" s="13" t="n">
        <f aca="false">(1-AS86)*(AS52+AS53)/MAX(Time!AS31,1)*Inputs!$F$170</f>
        <v>2.8530894629817</v>
      </c>
      <c r="AT91" s="13" t="n">
        <f aca="false">(1-AT86)*(AT52+AT53)/MAX(Time!AT31,1)*Inputs!$F$170</f>
        <v>2.82900106772876</v>
      </c>
      <c r="AU91" s="13" t="n">
        <f aca="false">(1-AU86)*(AU52+AU53)/MAX(Time!AU31,1)*Inputs!$F$170</f>
        <v>2.8890025245745</v>
      </c>
      <c r="AV91" s="13" t="n">
        <f aca="false">(1-AV86)*(AV52+AV53)/MAX(Time!AV31,1)*Inputs!$F$170</f>
        <v>2.89940603774255</v>
      </c>
      <c r="AW91" s="13" t="n">
        <f aca="false">(1-AW86)*(AW52+AW53)/MAX(Time!AW31,1)*Inputs!$F$170</f>
        <v>2.94980118263911</v>
      </c>
      <c r="AX91" s="13" t="n">
        <f aca="false">(1-AX86)*(AX52+AX53)/MAX(Time!AX31,1)*Inputs!$F$170</f>
        <v>2.93766688834992</v>
      </c>
      <c r="AY91" s="13" t="n">
        <f aca="false">(1-AY86)*(AY52+AY53)/MAX(Time!AY31,1)*Inputs!$F$170</f>
        <v>2.99211812384606</v>
      </c>
      <c r="AZ91" s="13" t="n">
        <f aca="false">(1-AZ86)*(AZ52+AZ53)/MAX(Time!AZ31,1)*Inputs!$F$170</f>
        <v>2.98665161890802</v>
      </c>
      <c r="BA91" s="13" t="n">
        <f aca="false">(1-BA86)*(BA52+BA53)/MAX(Time!BA31,1)*Inputs!$F$170</f>
        <v>3.03107691598411</v>
      </c>
      <c r="BB91" s="13" t="n">
        <f aca="false">(1-BB86)*(BB52+BB53)/MAX(Time!BB31,1)*Inputs!$F$170</f>
        <v>3.01280455589826</v>
      </c>
      <c r="BC91" s="13" t="n">
        <f aca="false">(1-BC86)*(BC52+BC53)/MAX(Time!BC31,1)*Inputs!$F$170</f>
        <v>3.07302558047404</v>
      </c>
      <c r="BD91" s="13" t="n">
        <f aca="false">(1-BD86)*(BD52+BD53)/MAX(Time!BD31,1)*Inputs!$F$170</f>
        <v>3.07651448646136</v>
      </c>
      <c r="BE91" s="13" t="n">
        <f aca="false">(1-BE86)*(BE52+BE53)/MAX(Time!BE31,1)*Inputs!$F$170</f>
        <v>3.12997487890262</v>
      </c>
      <c r="BF91" s="13" t="n">
        <f aca="false">(1-BF86)*(BF52+BF53)/MAX(Time!BF31,1)*Inputs!$F$170</f>
        <v>3.11711090365165</v>
      </c>
      <c r="BG91" s="13" t="n">
        <f aca="false">(1-BG86)*(BG52+BG53)/MAX(Time!BG31,1)*Inputs!$F$170</f>
        <v>3.17487043590338</v>
      </c>
      <c r="BH91" s="13" t="n">
        <f aca="false">(1-BH86)*(BH52+BH53)/MAX(Time!BH31,1)*Inputs!$F$170</f>
        <v>3.1690729116758</v>
      </c>
      <c r="BI91" s="13" t="n">
        <f aca="false">(1-BI86)*(BI52+BI53)/MAX(Time!BI31,1)*Inputs!$F$170</f>
        <v>3.21229554095516</v>
      </c>
      <c r="BJ91" s="13" t="n">
        <f aca="false">(1-BJ86)*(BJ52+BJ53)/MAX(Time!BJ31,1)*Inputs!$F$170</f>
        <v>3.1852322896157</v>
      </c>
      <c r="BK91" s="13" t="n">
        <f aca="false">(1-BK86)*(BK52+BK53)/MAX(Time!BK31,1)*Inputs!$F$170</f>
        <v>3.25273180770225</v>
      </c>
      <c r="BL91" s="13" t="n">
        <f aca="false">(1-BL86)*(BL52+BL53)/MAX(Time!BL31,1)*Inputs!$F$170</f>
        <v>3.26440749903233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14.6370776861474</v>
      </c>
      <c r="P95" s="13" t="n">
        <f aca="false">P88+P89-P90-P91-P92-P93-P94</f>
        <v>14.6035653249092</v>
      </c>
      <c r="Q95" s="13" t="n">
        <f aca="false">Q88+Q89-Q90-Q91-Q92-Q93-Q94</f>
        <v>14.882190072057</v>
      </c>
      <c r="R95" s="13" t="n">
        <f aca="false">R88+R89-R90-R91-R92-R93-R94</f>
        <v>14.6976779590938</v>
      </c>
      <c r="S95" s="13" t="n">
        <f aca="false">S88+S89-S90-S91-S92-S93-S94</f>
        <v>14.9768122727072</v>
      </c>
      <c r="T95" s="13" t="n">
        <f aca="false">T88+T89-T90-T91-T92-T93-T94</f>
        <v>14.7882322409928</v>
      </c>
      <c r="U95" s="13" t="n">
        <f aca="false">U88+U89-U90-U91-U92-U93-U94</f>
        <v>14.996477379752</v>
      </c>
      <c r="V95" s="13" t="n">
        <f aca="false">V88+V89-V90-V91-V92-V93-V94</f>
        <v>14.8937330757654</v>
      </c>
      <c r="W95" s="13" t="n">
        <f aca="false">W88+W89-W90-W91-W92-W93-W94</f>
        <v>15.1750761194011</v>
      </c>
      <c r="X95" s="13" t="n">
        <f aca="false">X88+X89-X90-X91-X92-X93-X94</f>
        <v>14.9802391523252</v>
      </c>
      <c r="Y95" s="13" t="n">
        <f aca="false">Y88+Y89-Y90-Y91-Y92-Y93-Y94</f>
        <v>15.2681485108761</v>
      </c>
      <c r="Z95" s="13" t="n">
        <f aca="false">Z88+Z89-Z90-Z91-Z92-Z93-Z94</f>
        <v>15.082294140994</v>
      </c>
      <c r="AA95" s="13" t="n">
        <f aca="false">AA88+AA89-AA90-AA91-AA92-AA93-AA94</f>
        <v>15.3705537486302</v>
      </c>
      <c r="AB95" s="13" t="n">
        <f aca="false">AB88+AB89-AB90-AB91-AB92-AB93-AB94</f>
        <v>15.1798846784491</v>
      </c>
      <c r="AC95" s="13" t="n">
        <f aca="false">AC88+AC89-AC90-AC91-AC92-AC93-AC94</f>
        <v>15.3988447590541</v>
      </c>
      <c r="AD95" s="13" t="n">
        <f aca="false">AD88+AD89-AD90-AD91-AD92-AD93-AD94</f>
        <v>15.072069344626</v>
      </c>
      <c r="AE95" s="13" t="n">
        <f aca="false">AE88+AE89-AE90-AE91-AE92-AE93-AE94</f>
        <v>15.5906265682832</v>
      </c>
      <c r="AF95" s="13" t="n">
        <f aca="false">AF88+AF89-AF90-AF91-AF92-AF93-AF94</f>
        <v>15.3874798338274</v>
      </c>
      <c r="AG95" s="13" t="n">
        <f aca="false">AG88+AG89-AG90-AG91-AG92-AG93-AG94</f>
        <v>15.6854396107147</v>
      </c>
      <c r="AH95" s="13" t="n">
        <f aca="false">AH88+AH89-AH90-AH91-AH92-AH93-AH94</f>
        <v>15.4981605107379</v>
      </c>
      <c r="AI95" s="13" t="n">
        <f aca="false">AI88+AI89-AI90-AI91-AI92-AI93-AI94</f>
        <v>15.796282795057</v>
      </c>
      <c r="AJ95" s="13" t="n">
        <f aca="false">AJ88+AJ89-AJ90-AJ91-AJ92-AJ93-AJ94</f>
        <v>15.6033485508556</v>
      </c>
      <c r="AK95" s="13" t="n">
        <f aca="false">AK88+AK89-AK90-AK91-AK92-AK93-AK94</f>
        <v>15.8288214317371</v>
      </c>
      <c r="AL95" s="13" t="n">
        <f aca="false">AL88+AL89-AL90-AL91-AL92-AL93-AL94</f>
        <v>15.7291619680926</v>
      </c>
      <c r="AM95" s="13" t="n">
        <f aca="false">AM88+AM89-AM90-AM91-AM92-AM93-AM94</f>
        <v>16.0293083303256</v>
      </c>
      <c r="AN95" s="13" t="n">
        <f aca="false">AN88+AN89-AN90-AN91-AN92-AN93-AN94</f>
        <v>15.8278282252306</v>
      </c>
      <c r="AO95" s="13" t="n">
        <f aca="false">AO88+AO89-AO90-AO91-AO92-AO93-AO94</f>
        <v>16.1366689268477</v>
      </c>
      <c r="AP95" s="13" t="n">
        <f aca="false">AP88+AP89-AP90-AP91-AP92-AP93-AP94</f>
        <v>15.9478776034184</v>
      </c>
      <c r="AQ95" s="13" t="n">
        <f aca="false">AQ88+AQ89-AQ90-AQ91-AQ92-AQ93-AQ94</f>
        <v>16.2566611244313</v>
      </c>
      <c r="AR95" s="13" t="n">
        <f aca="false">AR88+AR89-AR90-AR91-AR92-AR93-AR94</f>
        <v>16.0612702846394</v>
      </c>
      <c r="AS95" s="13" t="n">
        <f aca="false">AS88+AS89-AS90-AS91-AS92-AS93-AS94</f>
        <v>16.2998639397396</v>
      </c>
      <c r="AT95" s="13" t="n">
        <f aca="false">AT88+AT89-AT90-AT91-AT92-AT93-AT94</f>
        <v>15.961801412225</v>
      </c>
      <c r="AU95" s="13" t="n">
        <f aca="false">AU88+AU89-AU90-AU91-AU92-AU93-AU94</f>
        <v>16.5164389397772</v>
      </c>
      <c r="AV95" s="13" t="n">
        <f aca="false">AV88+AV89-AV90-AV91-AV92-AV93-AV94</f>
        <v>16.3040407817756</v>
      </c>
      <c r="AW95" s="13" t="n">
        <f aca="false">AW88+AW89-AW90-AW91-AW92-AW93-AW94</f>
        <v>16.6246631934846</v>
      </c>
      <c r="AX95" s="13" t="n">
        <f aca="false">AX88+AX89-AX90-AX91-AX92-AX93-AX94</f>
        <v>16.4342668244719</v>
      </c>
      <c r="AY95" s="13" t="n">
        <f aca="false">AY88+AY89-AY90-AY91-AY92-AY93-AY94</f>
        <v>16.754576516079</v>
      </c>
      <c r="AZ95" s="13" t="n">
        <f aca="false">AZ88+AZ89-AZ90-AZ91-AZ92-AZ93-AZ94</f>
        <v>16.5565210127337</v>
      </c>
      <c r="BA95" s="13" t="n">
        <f aca="false">BA88+BA89-BA90-BA91-BA92-BA93-BA94</f>
        <v>16.8022660894212</v>
      </c>
      <c r="BB95" s="13" t="n">
        <f aca="false">BB88+BB89-BB90-BB91-BB92-BB93-BB94</f>
        <v>16.7065594203799</v>
      </c>
      <c r="BC95" s="13" t="n">
        <f aca="false">BC88+BC89-BC90-BC91-BC92-BC93-BC94</f>
        <v>17.0285889572241</v>
      </c>
      <c r="BD95" s="13" t="n">
        <f aca="false">BD88+BD89-BD90-BD91-BD92-BD93-BD94</f>
        <v>16.8191081618773</v>
      </c>
      <c r="BE95" s="13" t="n">
        <f aca="false">BE88+BE89-BE90-BE91-BE92-BE93-BE94</f>
        <v>17.1524894167425</v>
      </c>
      <c r="BF95" s="13" t="n">
        <f aca="false">BF88+BF89-BF90-BF91-BF92-BF93-BF94</f>
        <v>16.9603895227552</v>
      </c>
      <c r="BG95" s="13" t="n">
        <f aca="false">BG88+BG89-BG90-BG91-BG92-BG93-BG94</f>
        <v>17.2931623394993</v>
      </c>
      <c r="BH95" s="13" t="n">
        <f aca="false">BH88+BH89-BH90-BH91-BH92-BH93-BH94</f>
        <v>17.092215974326</v>
      </c>
      <c r="BI95" s="13" t="n">
        <f aca="false">BI88+BI89-BI90-BI91-BI92-BI93-BI94</f>
        <v>17.3539988696427</v>
      </c>
      <c r="BJ95" s="13" t="n">
        <f aca="false">BJ88+BJ89-BJ90-BJ91-BJ92-BJ93-BJ94</f>
        <v>17.0029360360064</v>
      </c>
      <c r="BK95" s="13" t="n">
        <f aca="false">BK88+BK89-BK90-BK91-BK92-BK93-BK94</f>
        <v>17.5999242367361</v>
      </c>
      <c r="BL95" s="13" t="n">
        <f aca="false">BL88+BL89-BL90-BL91-BL92-BL93-BL94</f>
        <v>17.3762754572533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14.6370776861474</v>
      </c>
      <c r="P96" s="13" t="n">
        <f aca="false">P95-O95</f>
        <v>-0.0335123612381629</v>
      </c>
      <c r="Q96" s="13" t="n">
        <f aca="false">Q95-P95</f>
        <v>0.278624747147751</v>
      </c>
      <c r="R96" s="13" t="n">
        <f aca="false">R95-Q95</f>
        <v>-0.184512112963143</v>
      </c>
      <c r="S96" s="13" t="n">
        <f aca="false">S95-R95</f>
        <v>0.279134313613362</v>
      </c>
      <c r="T96" s="13" t="n">
        <f aca="false">T95-S95</f>
        <v>-0.188580031714412</v>
      </c>
      <c r="U96" s="13" t="n">
        <f aca="false">U95-T95</f>
        <v>0.208245138759215</v>
      </c>
      <c r="V96" s="13" t="n">
        <f aca="false">V95-U95</f>
        <v>-0.102744303986555</v>
      </c>
      <c r="W96" s="13" t="n">
        <f aca="false">W95-V95</f>
        <v>0.281343043635676</v>
      </c>
      <c r="X96" s="13" t="n">
        <f aca="false">X95-W95</f>
        <v>-0.194836967075947</v>
      </c>
      <c r="Y96" s="13" t="n">
        <f aca="false">Y95-X95</f>
        <v>0.287909358550916</v>
      </c>
      <c r="Z96" s="13" t="n">
        <f aca="false">Z95-Y95</f>
        <v>-0.185854369882106</v>
      </c>
      <c r="AA96" s="13" t="n">
        <f aca="false">AA95-Z95</f>
        <v>0.288259607636201</v>
      </c>
      <c r="AB96" s="13" t="n">
        <f aca="false">AB95-AA95</f>
        <v>-0.190669070181057</v>
      </c>
      <c r="AC96" s="13" t="n">
        <f aca="false">AC95-AB95</f>
        <v>0.218960080604944</v>
      </c>
      <c r="AD96" s="13" t="n">
        <f aca="false">AD95-AC95</f>
        <v>-0.326775414428099</v>
      </c>
      <c r="AE96" s="13" t="n">
        <f aca="false">AE95-AD95</f>
        <v>0.518557223657281</v>
      </c>
      <c r="AF96" s="13" t="n">
        <f aca="false">AF95-AE95</f>
        <v>-0.203146734455837</v>
      </c>
      <c r="AG96" s="13" t="n">
        <f aca="false">AG95-AF95</f>
        <v>0.297959776887318</v>
      </c>
      <c r="AH96" s="13" t="n">
        <f aca="false">AH95-AG95</f>
        <v>-0.187279099976836</v>
      </c>
      <c r="AI96" s="13" t="n">
        <f aca="false">AI95-AH95</f>
        <v>0.298122284319083</v>
      </c>
      <c r="AJ96" s="13" t="n">
        <f aca="false">AJ95-AI95</f>
        <v>-0.192934244201357</v>
      </c>
      <c r="AK96" s="13" t="n">
        <f aca="false">AK95-AJ95</f>
        <v>0.22547288088148</v>
      </c>
      <c r="AL96" s="13" t="n">
        <f aca="false">AL95-AK95</f>
        <v>-0.0996594636444659</v>
      </c>
      <c r="AM96" s="13" t="n">
        <f aca="false">AM95-AL95</f>
        <v>0.300146362233013</v>
      </c>
      <c r="AN96" s="13" t="n">
        <f aca="false">AN95-AM95</f>
        <v>-0.201480105095047</v>
      </c>
      <c r="AO96" s="13" t="n">
        <f aca="false">AO95-AN95</f>
        <v>0.308840701617104</v>
      </c>
      <c r="AP96" s="13" t="n">
        <f aca="false">AP95-AO95</f>
        <v>-0.1887913234293</v>
      </c>
      <c r="AQ96" s="13" t="n">
        <f aca="false">AQ95-AP95</f>
        <v>0.308783521012924</v>
      </c>
      <c r="AR96" s="13" t="n">
        <f aca="false">AR95-AQ95</f>
        <v>-0.195390839791934</v>
      </c>
      <c r="AS96" s="13" t="n">
        <f aca="false">AS95-AR95</f>
        <v>0.238593655100225</v>
      </c>
      <c r="AT96" s="13" t="n">
        <f aca="false">AT95-AS95</f>
        <v>-0.338062527514589</v>
      </c>
      <c r="AU96" s="13" t="n">
        <f aca="false">AU95-AT95</f>
        <v>0.554637527552162</v>
      </c>
      <c r="AV96" s="13" t="n">
        <f aca="false">AV95-AU95</f>
        <v>-0.212398158001541</v>
      </c>
      <c r="AW96" s="13" t="n">
        <f aca="false">AW95-AV95</f>
        <v>0.320622411708946</v>
      </c>
      <c r="AX96" s="13" t="n">
        <f aca="false">AX95-AW95</f>
        <v>-0.190396369012685</v>
      </c>
      <c r="AY96" s="13" t="n">
        <f aca="false">AY95-AX95</f>
        <v>0.32030969160715</v>
      </c>
      <c r="AZ96" s="13" t="n">
        <f aca="false">AZ95-AY95</f>
        <v>-0.198055503345337</v>
      </c>
      <c r="BA96" s="13" t="n">
        <f aca="false">BA95-AZ95</f>
        <v>0.245745076687442</v>
      </c>
      <c r="BB96" s="13" t="n">
        <f aca="false">BB95-BA95</f>
        <v>-0.0957066690412418</v>
      </c>
      <c r="BC96" s="13" t="n">
        <f aca="false">BC95-BB95</f>
        <v>0.322029536844227</v>
      </c>
      <c r="BD96" s="13" t="n">
        <f aca="false">BD95-BC95</f>
        <v>-0.20948079534681</v>
      </c>
      <c r="BE96" s="13" t="n">
        <f aca="false">BE95-BD95</f>
        <v>0.333381254865195</v>
      </c>
      <c r="BF96" s="13" t="n">
        <f aca="false">BF95-BE95</f>
        <v>-0.192099893987368</v>
      </c>
      <c r="BG96" s="13" t="n">
        <f aca="false">BG95-BF95</f>
        <v>0.332772816744178</v>
      </c>
      <c r="BH96" s="13" t="n">
        <f aca="false">BH95-BG95</f>
        <v>-0.20094636517338</v>
      </c>
      <c r="BI96" s="13" t="n">
        <f aca="false">BI95-BH95</f>
        <v>0.26178289531677</v>
      </c>
      <c r="BJ96" s="13" t="n">
        <f aca="false">BJ95-BI95</f>
        <v>-0.351062833636338</v>
      </c>
      <c r="BK96" s="13" t="n">
        <f aca="false">BK95-BJ95</f>
        <v>0.59698820072969</v>
      </c>
      <c r="BL96" s="13" t="n">
        <f aca="false">BL95-BK95</f>
        <v>-0.22364877948274</v>
      </c>
      <c r="BM96" s="13" t="n">
        <f aca="false">BM95-BL95</f>
        <v>-17.3762754572533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229.683237000384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9.485983444946</v>
      </c>
      <c r="R13" s="13" t="n">
        <f aca="false">IF(Time!R20&gt;=Time!$F$12,Waterfall!R33*Inputs!$F$104/100*Time!R31/Inputs!$F$248,0)</f>
        <v>9.57164192055118</v>
      </c>
      <c r="S13" s="13" t="n">
        <f aca="false">IF(Time!S20&gt;=Time!$F$12,Waterfall!S33*Inputs!$F$104/100*Time!S31/Inputs!$F$248,0)</f>
        <v>9.30625436846706</v>
      </c>
      <c r="T13" s="13" t="n">
        <f aca="false">IF(Time!T20&gt;=Time!$F$12,Waterfall!T33*Inputs!$F$104/100*Time!T31/Inputs!$F$248,0)</f>
        <v>9.37609111424872</v>
      </c>
      <c r="U13" s="13" t="n">
        <f aca="false">IF(Time!U20&gt;=Time!$F$12,Waterfall!U33*Inputs!$F$104/100*Time!U31/Inputs!$F$248,0)</f>
        <v>9.16009633161106</v>
      </c>
      <c r="V13" s="13" t="n">
        <f aca="false">IF(Time!V20&gt;=Time!$F$12,Waterfall!V33*Inputs!$F$104/100*Time!V31/Inputs!$F$248,0)</f>
        <v>9.18118096733454</v>
      </c>
      <c r="W13" s="13" t="n">
        <f aca="false">IF(Time!W20&gt;=Time!$F$12,Waterfall!W33*Inputs!$F$104/100*Time!W31/Inputs!$F$248,0)</f>
        <v>8.89533806694229</v>
      </c>
      <c r="X13" s="13" t="n">
        <f aca="false">IF(Time!X20&gt;=Time!$F$12,Waterfall!X33*Inputs!$F$104/100*Time!X31/Inputs!$F$248,0)</f>
        <v>8.85615627735206</v>
      </c>
      <c r="Y13" s="13" t="n">
        <f aca="false">IF(Time!Y20&gt;=Time!$F$12,Waterfall!Y33*Inputs!$F$104/100*Time!Y31/Inputs!$F$248,0)</f>
        <v>8.58181938070568</v>
      </c>
      <c r="Z13" s="13" t="n">
        <f aca="false">IF(Time!Z20&gt;=Time!$F$12,Waterfall!Z33*Inputs!$F$104/100*Time!Z31/Inputs!$F$248,0)</f>
        <v>8.6170812591827</v>
      </c>
      <c r="AA13" s="13" t="n">
        <f aca="false">IF(Time!AA20&gt;=Time!$F$12,Waterfall!AA33*Inputs!$F$104/100*Time!AA31/Inputs!$F$248,0)</f>
        <v>8.34043554217027</v>
      </c>
      <c r="AB13" s="13" t="n">
        <f aca="false">IF(Time!AB20&gt;=Time!$F$12,Waterfall!AB33*Inputs!$F$104/100*Time!AB31/Inputs!$F$248,0)</f>
        <v>8.62278520472212</v>
      </c>
      <c r="AC13" s="13" t="n">
        <f aca="false">IF(Time!AC20&gt;=Time!$F$12,Waterfall!AC33*Inputs!$F$104/100*Time!AC31/Inputs!$F$248,0)</f>
        <v>8.64213449441321</v>
      </c>
      <c r="AD13" s="13" t="n">
        <f aca="false">IF(Time!AD20&gt;=Time!$F$12,Waterfall!AD33*Inputs!$F$104/100*Time!AD31/Inputs!$F$248,0)</f>
        <v>8.87086230034192</v>
      </c>
      <c r="AE13" s="13" t="n">
        <f aca="false">IF(Time!AE20&gt;=Time!$F$12,Waterfall!AE33*Inputs!$F$104/100*Time!AE31/Inputs!$F$248,0)</f>
        <v>8.80763601704089</v>
      </c>
      <c r="AF13" s="13" t="n">
        <f aca="false">IF(Time!AF20&gt;=Time!$F$12,Waterfall!AF33*Inputs!$F$104/100*Time!AF31/Inputs!$F$248,0)</f>
        <v>9.00807276373182</v>
      </c>
      <c r="AG13" s="13" t="n">
        <f aca="false">IF(Time!AG20&gt;=Time!$F$12,Waterfall!AG33*Inputs!$F$104/100*Time!AG31/Inputs!$F$248,0)</f>
        <v>8.88801924400626</v>
      </c>
      <c r="AH13" s="13" t="n">
        <f aca="false">IF(Time!AH20&gt;=Time!$F$12,Waterfall!AH33*Inputs!$F$104/100*Time!AH31/Inputs!$F$248,0)</f>
        <v>9.0420400165941</v>
      </c>
      <c r="AI13" s="13" t="n">
        <f aca="false">IF(Time!AI20&gt;=Time!$F$12,Waterfall!AI33*Inputs!$F$104/100*Time!AI31/Inputs!$F$248,0)</f>
        <v>8.84972763133508</v>
      </c>
      <c r="AJ13" s="13" t="n">
        <f aca="false">IF(Time!AJ20&gt;=Time!$F$12,Waterfall!AJ33*Inputs!$F$104/100*Time!AJ31/Inputs!$F$248,0)</f>
        <v>8.90798357440988</v>
      </c>
      <c r="AK13" s="13" t="n">
        <f aca="false">IF(Time!AK20&gt;=Time!$F$12,Waterfall!AK33*Inputs!$F$104/100*Time!AK31/Inputs!$F$248,0)</f>
        <v>8.64791235211512</v>
      </c>
      <c r="AL13" s="13" t="n">
        <f aca="false">IF(Time!AL20&gt;=Time!$F$12,Waterfall!AL33*Inputs!$F$104/100*Time!AL31/Inputs!$F$248,0)</f>
        <v>8.12387940430794</v>
      </c>
      <c r="AM13" s="13" t="n">
        <f aca="false">IF(Time!AM20&gt;=Time!$F$12,Waterfall!AM33*Inputs!$F$104/100*Time!AM31/Inputs!$F$248,0)</f>
        <v>6.96943450291694</v>
      </c>
      <c r="AN13" s="13" t="n">
        <f aca="false">IF(Time!AN20&gt;=Time!$F$12,Waterfall!AN33*Inputs!$F$104/100*Time!AN31/Inputs!$F$248,0)</f>
        <v>5.89180882200248</v>
      </c>
      <c r="AO13" s="13" t="n">
        <f aca="false">IF(Time!AO20&gt;=Time!$F$12,Waterfall!AO33*Inputs!$F$104/100*Time!AO31/Inputs!$F$248,0)</f>
        <v>4.65010191428349</v>
      </c>
      <c r="AP13" s="13" t="n">
        <f aca="false">IF(Time!AP20&gt;=Time!$F$12,Waterfall!AP33*Inputs!$F$104/100*Time!AP31/Inputs!$F$248,0)</f>
        <v>2.61642819912515</v>
      </c>
      <c r="AQ13" s="13" t="n">
        <f aca="false">IF(Time!AQ20&gt;=Time!$F$12,Waterfall!AQ33*Inputs!$F$104/100*Time!AQ31/Inputs!$F$248,0)</f>
        <v>0.759741329509507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0.785372248825672</v>
      </c>
      <c r="Q14" s="6" t="n">
        <f aca="false">IF(Waterfall!Q33&gt;0,MIN(1,Inputs!$F$183*(Waterfall!$F$32+MAX(0,Waterfall!P43))/Waterfall!Q33),1)</f>
        <v>0.886011417133258</v>
      </c>
      <c r="R14" s="6" t="n">
        <f aca="false">IF(Waterfall!R33&gt;0,MIN(1,Inputs!$F$183*(Waterfall!$F$32+MAX(0,Waterfall!Q43))/Waterfall!R33),1)</f>
        <v>0.999038575338169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225.398551177009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7.7052064075819</v>
      </c>
      <c r="Q15" s="13" t="n">
        <f aca="false">Q13*Q14</f>
        <v>8.40468963495922</v>
      </c>
      <c r="R15" s="13" t="n">
        <f aca="false">R13*R14</f>
        <v>9.56243950795455</v>
      </c>
      <c r="S15" s="13" t="n">
        <f aca="false">S13*S14</f>
        <v>9.30625436846706</v>
      </c>
      <c r="T15" s="13" t="n">
        <f aca="false">T13*T14</f>
        <v>9.37609111424872</v>
      </c>
      <c r="U15" s="13" t="n">
        <f aca="false">U13*U14</f>
        <v>9.16009633161106</v>
      </c>
      <c r="V15" s="13" t="n">
        <f aca="false">V13*V14</f>
        <v>9.18118096733454</v>
      </c>
      <c r="W15" s="13" t="n">
        <f aca="false">W13*W14</f>
        <v>8.89533806694229</v>
      </c>
      <c r="X15" s="13" t="n">
        <f aca="false">X13*X14</f>
        <v>8.85615627735206</v>
      </c>
      <c r="Y15" s="13" t="n">
        <f aca="false">Y13*Y14</f>
        <v>8.58181938070568</v>
      </c>
      <c r="Z15" s="13" t="n">
        <f aca="false">Z13*Z14</f>
        <v>8.6170812591827</v>
      </c>
      <c r="AA15" s="13" t="n">
        <f aca="false">AA13*AA14</f>
        <v>8.34043554217027</v>
      </c>
      <c r="AB15" s="13" t="n">
        <f aca="false">AB13*AB14</f>
        <v>8.62278520472212</v>
      </c>
      <c r="AC15" s="13" t="n">
        <f aca="false">AC13*AC14</f>
        <v>8.64213449441321</v>
      </c>
      <c r="AD15" s="13" t="n">
        <f aca="false">AD13*AD14</f>
        <v>8.87086230034192</v>
      </c>
      <c r="AE15" s="13" t="n">
        <f aca="false">AE13*AE14</f>
        <v>8.80763601704089</v>
      </c>
      <c r="AF15" s="13" t="n">
        <f aca="false">AF13*AF14</f>
        <v>9.00807276373182</v>
      </c>
      <c r="AG15" s="13" t="n">
        <f aca="false">AG13*AG14</f>
        <v>8.88801924400626</v>
      </c>
      <c r="AH15" s="13" t="n">
        <f aca="false">AH13*AH14</f>
        <v>9.0420400165941</v>
      </c>
      <c r="AI15" s="13" t="n">
        <f aca="false">AI13*AI14</f>
        <v>8.84972763133508</v>
      </c>
      <c r="AJ15" s="13" t="n">
        <f aca="false">AJ13*AJ14</f>
        <v>8.90798357440988</v>
      </c>
      <c r="AK15" s="13" t="n">
        <f aca="false">AK13*AK14</f>
        <v>8.64791235211512</v>
      </c>
      <c r="AL15" s="13" t="n">
        <f aca="false">AL13*AL14</f>
        <v>8.12387940430794</v>
      </c>
      <c r="AM15" s="13" t="n">
        <f aca="false">AM13*AM14</f>
        <v>6.96943450291694</v>
      </c>
      <c r="AN15" s="13" t="n">
        <f aca="false">AN13*AN14</f>
        <v>5.89180882200248</v>
      </c>
      <c r="AO15" s="13" t="n">
        <f aca="false">AO13*AO14</f>
        <v>4.65010191428349</v>
      </c>
      <c r="AP15" s="13" t="n">
        <f aca="false">AP13*AP14</f>
        <v>2.61642819912515</v>
      </c>
      <c r="AQ15" s="13" t="n">
        <f aca="false">AQ13*AQ14</f>
        <v>0.759741329509507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315.146762853275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14.1677830988847</v>
      </c>
      <c r="AC16" s="13" t="n">
        <f aca="false">Debt!AC112+Debt!AC110+Debt!AC104-Debt!AC103</f>
        <v>12.9826797562495</v>
      </c>
      <c r="AD16" s="13" t="n">
        <f aca="false">Debt!AD112+Debt!AD110+Debt!AD104-Debt!AD103</f>
        <v>11.9948614797537</v>
      </c>
      <c r="AE16" s="13" t="n">
        <f aca="false">Debt!AE112+Debt!AE110+Debt!AE104-Debt!AE103</f>
        <v>10.6863698378172</v>
      </c>
      <c r="AF16" s="13" t="n">
        <f aca="false">Debt!AF112+Debt!AF110+Debt!AF104-Debt!AF103</f>
        <v>9.56653259996616</v>
      </c>
      <c r="AG16" s="13" t="n">
        <f aca="false">Debt!AG112+Debt!AG110+Debt!AG104-Debt!AG103</f>
        <v>8.42267156072208</v>
      </c>
      <c r="AH16" s="13" t="n">
        <f aca="false">Debt!AH112+Debt!AH110+Debt!AH104-Debt!AH103</f>
        <v>7.20645233578525</v>
      </c>
      <c r="AI16" s="13" t="n">
        <f aca="false">Debt!AI112+Debt!AI110+Debt!AI104-Debt!AI103</f>
        <v>5.79872897810981</v>
      </c>
      <c r="AJ16" s="13" t="n">
        <f aca="false">Debt!AJ112+Debt!AJ110+Debt!AJ104-Debt!AJ103</f>
        <v>4.5048949690959</v>
      </c>
      <c r="AK16" s="13" t="n">
        <f aca="false">Debt!AK112+Debt!AK110+Debt!AK104-Debt!AK103</f>
        <v>3.11221145810226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1148.09026969512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1.64511158546516</v>
      </c>
      <c r="Z18" s="13" t="n">
        <f aca="false">(Operations!Z84-Z16-Z15)*Z17-Z12</f>
        <v>5.5900214704125</v>
      </c>
      <c r="AA18" s="13" t="n">
        <f aca="false">(Operations!AA84-AA16-AA15)*AA17-AA12</f>
        <v>6.83641599522597</v>
      </c>
      <c r="AB18" s="13" t="n">
        <f aca="false">(Operations!AB84-AB16-AB15)*AB17-AB12</f>
        <v>7.4871361003402</v>
      </c>
      <c r="AC18" s="13" t="n">
        <f aca="false">(Operations!AC84-AC16-AC15)*AC17-AC12</f>
        <v>8.86561729553798</v>
      </c>
      <c r="AD18" s="13" t="n">
        <f aca="false">(Operations!AD84-AD16-AD15)*AD17-AD12</f>
        <v>-2.78465178579339</v>
      </c>
      <c r="AE18" s="13" t="n">
        <f aca="false">(Operations!AE84-AE16-AE15)*AE17-AE12</f>
        <v>11.336514892644</v>
      </c>
      <c r="AF18" s="13" t="n">
        <f aca="false">(Operations!AF84-AF16-AF15)*AF17-AF12</f>
        <v>12.1145646348508</v>
      </c>
      <c r="AG18" s="13" t="n">
        <f aca="false">(Operations!AG84-AG16-AG15)*AG17-AG12</f>
        <v>13.4897271956468</v>
      </c>
      <c r="AH18" s="13" t="n">
        <f aca="false">(Operations!AH84-AH16-AH15)*AH17-AH12</f>
        <v>14.724803540698</v>
      </c>
      <c r="AI18" s="13" t="n">
        <f aca="false">(Operations!AI84-AI16-AI15)*AI17-AI12</f>
        <v>16.3905235499157</v>
      </c>
      <c r="AJ18" s="13" t="n">
        <f aca="false">(Operations!AJ84-AJ16-AJ15)*AJ17-AJ12</f>
        <v>17.7044717748124</v>
      </c>
      <c r="AK18" s="13" t="n">
        <f aca="false">(Operations!AK84-AK16-AK15)*AK17-AK12</f>
        <v>19.5368651611964</v>
      </c>
      <c r="AL18" s="13" t="n">
        <f aca="false">(Operations!AL84-AL16-AL15)*AL17-AL12</f>
        <v>18.3375196770891</v>
      </c>
      <c r="AM18" s="13" t="n">
        <f aca="false">(Operations!AM84-AM16-AM15)*AM17-AM12</f>
        <v>23.0620739544059</v>
      </c>
      <c r="AN18" s="13" t="n">
        <f aca="false">(Operations!AN84-AN16-AN15)*AN17-AN12</f>
        <v>24.6790336478525</v>
      </c>
      <c r="AO18" s="13" t="n">
        <f aca="false">(Operations!AO84-AO16-AO15)*AO17-AO12</f>
        <v>26.5358465136668</v>
      </c>
      <c r="AP18" s="13" t="n">
        <f aca="false">(Operations!AP84-AP16-AP15)*AP17-AP12</f>
        <v>29.2557680771204</v>
      </c>
      <c r="AQ18" s="13" t="n">
        <f aca="false">(Operations!AQ84-AQ16-AQ15)*AQ17-AQ12</f>
        <v>31.1823446217712</v>
      </c>
      <c r="AR18" s="13" t="n">
        <f aca="false">(Operations!AR84-AR16-AR15)*AR17-AR12</f>
        <v>32.026646413908</v>
      </c>
      <c r="AS18" s="13" t="n">
        <f aca="false">(Operations!AS84-AS16-AS15)*AS17-AS12</f>
        <v>32.2807247167922</v>
      </c>
      <c r="AT18" s="13" t="n">
        <f aca="false">(Operations!AT84-AT16-AT15)*AT17-AT12</f>
        <v>17.6295691111167</v>
      </c>
      <c r="AU18" s="13" t="n">
        <f aca="false">(Operations!AU84-AU16-AU15)*AU17-AU12</f>
        <v>32.6859178654939</v>
      </c>
      <c r="AV18" s="13" t="n">
        <f aca="false">(Operations!AV84-AV16-AV15)*AV17-AV12</f>
        <v>32.5092315067018</v>
      </c>
      <c r="AW18" s="13" t="n">
        <f aca="false">(Operations!AW84-AW16-AW15)*AW17-AW12</f>
        <v>32.6392702164637</v>
      </c>
      <c r="AX18" s="13" t="n">
        <f aca="false">(Operations!AX84-AX16-AX15)*AX17-AX12</f>
        <v>32.8458652661373</v>
      </c>
      <c r="AY18" s="13" t="n">
        <f aca="false">(Operations!AY84-AY16-AY15)*AY17-AY12</f>
        <v>32.9202319668145</v>
      </c>
      <c r="AZ18" s="13" t="n">
        <f aca="false">(Operations!AZ84-AZ16-AZ15)*AZ17-AZ12</f>
        <v>33.0114724764613</v>
      </c>
      <c r="BA18" s="13" t="n">
        <f aca="false">(Operations!BA84-BA16-BA15)*BA17-BA12</f>
        <v>33.224708212857</v>
      </c>
      <c r="BB18" s="13" t="n">
        <f aca="false">(Operations!BB84-BB16-BB15)*BB17-BB12</f>
        <v>30.0611800657691</v>
      </c>
      <c r="BC18" s="13" t="n">
        <f aca="false">(Operations!BC84-BC16-BC15)*BC17-BC12</f>
        <v>40.0139178124252</v>
      </c>
      <c r="BD18" s="13" t="n">
        <f aca="false">(Operations!BD84-BD16-BD15)*BD17-BD12</f>
        <v>52.7779741225661</v>
      </c>
      <c r="BE18" s="13" t="n">
        <f aca="false">(Operations!BE84-BE16-BE15)*BE17-BE12</f>
        <v>52.9186058385444</v>
      </c>
      <c r="BF18" s="13" t="n">
        <f aca="false">(Operations!BF84-BF16-BF15)*BF17-BF12</f>
        <v>53.1444208371969</v>
      </c>
      <c r="BG18" s="13" t="n">
        <f aca="false">(Operations!BG84-BG16-BG15)*BG17-BG12</f>
        <v>53.2235543529626</v>
      </c>
      <c r="BH18" s="13" t="n">
        <f aca="false">(Operations!BH84-BH16-BH15)*BH17-BH12</f>
        <v>53.3220033671197</v>
      </c>
      <c r="BI18" s="13" t="n">
        <f aca="false">(Operations!BI84-BI16-BI15)*BI17-BI12</f>
        <v>53.6254696367413</v>
      </c>
      <c r="BJ18" s="13" t="n">
        <f aca="false">(Operations!BJ84-BJ16-BJ15)*BJ17-BJ12</f>
        <v>36.3071949495558</v>
      </c>
      <c r="BK18" s="13" t="n">
        <f aca="false">(Operations!BK84-BK16-BK15)*BK17-BK12</f>
        <v>54.1082152866235</v>
      </c>
      <c r="BL18" s="13" t="n">
        <f aca="false">(Operations!BL84-BL16-BL15)*BL17-BL12</f>
        <v>53.8882349374788</v>
      </c>
      <c r="BM18" s="13" t="n">
        <f aca="false">(Operations!BM84-BM16-BM15)*BM17-BM12</f>
        <v>16.9361528325338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2.78465178579339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2.78465178579339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1.64511158546516</v>
      </c>
      <c r="Z20" s="13" t="n">
        <f aca="false">MIN(Y21,MAX(0,Z18-Z19))</f>
        <v>5.5900214704125</v>
      </c>
      <c r="AA20" s="13" t="n">
        <f aca="false">MIN(Z21,MAX(0,AA18-AA19))</f>
        <v>6.83641599522597</v>
      </c>
      <c r="AB20" s="13" t="n">
        <f aca="false">MIN(AA21,MAX(0,AB18-AB19))</f>
        <v>7.4871361003402</v>
      </c>
      <c r="AC20" s="13" t="n">
        <f aca="false">MIN(AB21,MAX(0,AC18-AC19))</f>
        <v>8.86561729553798</v>
      </c>
      <c r="AD20" s="13" t="n">
        <f aca="false">MIN(AC21,MAX(0,AD18-AD19))</f>
        <v>0</v>
      </c>
      <c r="AE20" s="13" t="n">
        <f aca="false">MIN(AD21,MAX(0,AE18-AE19))</f>
        <v>8.55186310685064</v>
      </c>
      <c r="AF20" s="13" t="n">
        <f aca="false">MIN(AE21,MAX(0,AF18-AF19))</f>
        <v>12.1145646348508</v>
      </c>
      <c r="AG20" s="13" t="n">
        <f aca="false">MIN(AF21,MAX(0,AG18-AG19))</f>
        <v>13.4897271956468</v>
      </c>
      <c r="AH20" s="13" t="n">
        <f aca="false">MIN(AG21,MAX(0,AH18-AH19))</f>
        <v>14.724803540698</v>
      </c>
      <c r="AI20" s="13" t="n">
        <f aca="false">MIN(AH21,MAX(0,AI18-AI19))</f>
        <v>16.3905235499157</v>
      </c>
      <c r="AJ20" s="13" t="n">
        <f aca="false">MIN(AI21,MAX(0,AJ18-AJ19))</f>
        <v>17.7044717748124</v>
      </c>
      <c r="AK20" s="13" t="n">
        <f aca="false">MIN(AJ21,MAX(0,AK18-AK19))</f>
        <v>19.5368651611964</v>
      </c>
      <c r="AL20" s="13" t="n">
        <f aca="false">MIN(AK21,MAX(0,AL18-AL19))</f>
        <v>18.3375196770891</v>
      </c>
      <c r="AM20" s="13" t="n">
        <f aca="false">MIN(AL21,MAX(0,AM18-AM19))</f>
        <v>23.0620739544059</v>
      </c>
      <c r="AN20" s="13" t="n">
        <f aca="false">MIN(AM21,MAX(0,AN18-AN19))</f>
        <v>24.6790336478525</v>
      </c>
      <c r="AO20" s="13" t="n">
        <f aca="false">MIN(AN21,MAX(0,AO18-AO19))</f>
        <v>26.5358465136668</v>
      </c>
      <c r="AP20" s="13" t="n">
        <f aca="false">MIN(AO21,MAX(0,AP18-AP19))</f>
        <v>0.353773929798926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224.260257548301</v>
      </c>
      <c r="Z21" s="13" t="n">
        <f aca="false">Y21+Z11-Z20</f>
        <v>218.670236077888</v>
      </c>
      <c r="AA21" s="13" t="n">
        <f aca="false">Z21+AA11-AA20</f>
        <v>211.833820082662</v>
      </c>
      <c r="AB21" s="13" t="n">
        <f aca="false">AA21+AB11-AB20</f>
        <v>204.346683982322</v>
      </c>
      <c r="AC21" s="13" t="n">
        <f aca="false">AB21+AC11-AC20</f>
        <v>195.481066686784</v>
      </c>
      <c r="AD21" s="13" t="n">
        <f aca="false">AC21+AD11-AD20</f>
        <v>195.481066686784</v>
      </c>
      <c r="AE21" s="13" t="n">
        <f aca="false">AD21+AE11-AE20</f>
        <v>186.929203579933</v>
      </c>
      <c r="AF21" s="13" t="n">
        <f aca="false">AE21+AF11-AF20</f>
        <v>174.814638945083</v>
      </c>
      <c r="AG21" s="13" t="n">
        <f aca="false">AF21+AG11-AG20</f>
        <v>161.324911749436</v>
      </c>
      <c r="AH21" s="13" t="n">
        <f aca="false">AG21+AH11-AH20</f>
        <v>146.600108208738</v>
      </c>
      <c r="AI21" s="13" t="n">
        <f aca="false">AH21+AI11-AI20</f>
        <v>130.209584658822</v>
      </c>
      <c r="AJ21" s="13" t="n">
        <f aca="false">AI21+AJ11-AJ20</f>
        <v>112.50511288401</v>
      </c>
      <c r="AK21" s="13" t="n">
        <f aca="false">AJ21+AK11-AK20</f>
        <v>92.9682477228133</v>
      </c>
      <c r="AL21" s="13" t="n">
        <f aca="false">AK21+AL11-AL20</f>
        <v>74.6307280457241</v>
      </c>
      <c r="AM21" s="13" t="n">
        <f aca="false">AL21+AM11-AM20</f>
        <v>51.5686540913182</v>
      </c>
      <c r="AN21" s="13" t="n">
        <f aca="false">AM21+AN11-AN20</f>
        <v>26.8896204434657</v>
      </c>
      <c r="AO21" s="13" t="n">
        <f aca="false">AN21+AO11-AO20</f>
        <v>0.353773929798926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2.78465178579339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922.184900561356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28.9019941473214</v>
      </c>
      <c r="AQ23" s="13" t="n">
        <f aca="false">MAX(0,AQ18-AQ19-AQ20)</f>
        <v>31.1823446217712</v>
      </c>
      <c r="AR23" s="13" t="n">
        <f aca="false">MAX(0,AR18-AR19-AR20)</f>
        <v>32.026646413908</v>
      </c>
      <c r="AS23" s="13" t="n">
        <f aca="false">MAX(0,AS18-AS19-AS20)</f>
        <v>32.2807247167922</v>
      </c>
      <c r="AT23" s="13" t="n">
        <f aca="false">MAX(0,AT18-AT19-AT20)</f>
        <v>17.6295691111167</v>
      </c>
      <c r="AU23" s="13" t="n">
        <f aca="false">MAX(0,AU18-AU19-AU20)</f>
        <v>32.6859178654939</v>
      </c>
      <c r="AV23" s="13" t="n">
        <f aca="false">MAX(0,AV18-AV19-AV20)</f>
        <v>32.5092315067018</v>
      </c>
      <c r="AW23" s="13" t="n">
        <f aca="false">MAX(0,AW18-AW19-AW20)</f>
        <v>32.6392702164637</v>
      </c>
      <c r="AX23" s="13" t="n">
        <f aca="false">MAX(0,AX18-AX19-AX20)</f>
        <v>32.8458652661373</v>
      </c>
      <c r="AY23" s="13" t="n">
        <f aca="false">MAX(0,AY18-AY19-AY20)</f>
        <v>32.9202319668145</v>
      </c>
      <c r="AZ23" s="13" t="n">
        <f aca="false">MAX(0,AZ18-AZ19-AZ20)</f>
        <v>33.0114724764613</v>
      </c>
      <c r="BA23" s="13" t="n">
        <f aca="false">MAX(0,BA18-BA19-BA20)</f>
        <v>33.224708212857</v>
      </c>
      <c r="BB23" s="13" t="n">
        <f aca="false">MAX(0,BB18-BB19-BB20)</f>
        <v>30.0611800657691</v>
      </c>
      <c r="BC23" s="13" t="n">
        <f aca="false">MAX(0,BC18-BC19-BC20)</f>
        <v>40.0139178124252</v>
      </c>
      <c r="BD23" s="13" t="n">
        <f aca="false">MAX(0,BD18-BD19-BD20)</f>
        <v>52.7779741225661</v>
      </c>
      <c r="BE23" s="13" t="n">
        <f aca="false">MAX(0,BE18-BE19-BE20)</f>
        <v>52.9186058385444</v>
      </c>
      <c r="BF23" s="13" t="n">
        <f aca="false">MAX(0,BF18-BF19-BF20)</f>
        <v>53.1444208371969</v>
      </c>
      <c r="BG23" s="13" t="n">
        <f aca="false">MAX(0,BG18-BG19-BG20)</f>
        <v>53.2235543529626</v>
      </c>
      <c r="BH23" s="13" t="n">
        <f aca="false">MAX(0,BH18-BH19-BH20)</f>
        <v>53.3220033671197</v>
      </c>
      <c r="BI23" s="13" t="n">
        <f aca="false">MAX(0,BI18-BI19-BI20)</f>
        <v>53.6254696367413</v>
      </c>
      <c r="BJ23" s="13" t="n">
        <f aca="false">MAX(0,BJ18-BJ19-BJ20)</f>
        <v>36.3071949495558</v>
      </c>
      <c r="BK23" s="13" t="n">
        <f aca="false">MAX(0,BK18-BK19-BK20)</f>
        <v>54.1082152866235</v>
      </c>
      <c r="BL23" s="13" t="n">
        <f aca="false">MAX(0,BL18-BL19-BL20)</f>
        <v>53.8882349374788</v>
      </c>
      <c r="BM23" s="13" t="n">
        <f aca="false">MAX(0,BM18-BM19-BM20)</f>
        <v>16.9361528325338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276.655470168407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8.67059824419643</v>
      </c>
      <c r="AQ25" s="13" t="n">
        <f aca="false">AQ23*AQ24</f>
        <v>9.35470338653135</v>
      </c>
      <c r="AR25" s="13" t="n">
        <f aca="false">AR23*AR24</f>
        <v>9.6079939241724</v>
      </c>
      <c r="AS25" s="13" t="n">
        <f aca="false">AS23*AS24</f>
        <v>9.68421741503766</v>
      </c>
      <c r="AT25" s="13" t="n">
        <f aca="false">AT23*AT24</f>
        <v>5.288870733335</v>
      </c>
      <c r="AU25" s="13" t="n">
        <f aca="false">AU23*AU24</f>
        <v>9.80577535964816</v>
      </c>
      <c r="AV25" s="13" t="n">
        <f aca="false">AV23*AV24</f>
        <v>9.75276945201055</v>
      </c>
      <c r="AW25" s="13" t="n">
        <f aca="false">AW23*AW24</f>
        <v>9.79178106493911</v>
      </c>
      <c r="AX25" s="13" t="n">
        <f aca="false">AX23*AX24</f>
        <v>9.85375957984119</v>
      </c>
      <c r="AY25" s="13" t="n">
        <f aca="false">AY23*AY24</f>
        <v>9.87606959004436</v>
      </c>
      <c r="AZ25" s="13" t="n">
        <f aca="false">AZ23*AZ24</f>
        <v>9.90344174293839</v>
      </c>
      <c r="BA25" s="13" t="n">
        <f aca="false">BA23*BA24</f>
        <v>9.96741246385709</v>
      </c>
      <c r="BB25" s="13" t="n">
        <f aca="false">BB23*BB24</f>
        <v>9.01835401973073</v>
      </c>
      <c r="BC25" s="13" t="n">
        <f aca="false">BC23*BC24</f>
        <v>12.0041753437276</v>
      </c>
      <c r="BD25" s="13" t="n">
        <f aca="false">BD23*BD24</f>
        <v>15.8333922367698</v>
      </c>
      <c r="BE25" s="13" t="n">
        <f aca="false">BE23*BE24</f>
        <v>15.8755817515633</v>
      </c>
      <c r="BF25" s="13" t="n">
        <f aca="false">BF23*BF24</f>
        <v>15.9433262511591</v>
      </c>
      <c r="BG25" s="13" t="n">
        <f aca="false">BG23*BG24</f>
        <v>15.9670663058888</v>
      </c>
      <c r="BH25" s="13" t="n">
        <f aca="false">BH23*BH24</f>
        <v>15.9966010101359</v>
      </c>
      <c r="BI25" s="13" t="n">
        <f aca="false">BI23*BI24</f>
        <v>16.0876408910224</v>
      </c>
      <c r="BJ25" s="13" t="n">
        <f aca="false">BJ23*BJ24</f>
        <v>10.8921584848667</v>
      </c>
      <c r="BK25" s="13" t="n">
        <f aca="false">BK23*BK24</f>
        <v>16.232464585987</v>
      </c>
      <c r="BL25" s="13" t="n">
        <f aca="false">BL23*BL24</f>
        <v>16.1664704812436</v>
      </c>
      <c r="BM25" s="13" t="n">
        <f aca="false">BM23*BM24</f>
        <v>5.08084584976015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282.66085281855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8.67059824419643</v>
      </c>
      <c r="AQ27" s="13" t="n">
        <f aca="false">MAX(AQ25,AQ26)</f>
        <v>9.35470338653135</v>
      </c>
      <c r="AR27" s="13" t="n">
        <f aca="false">MAX(AR25,AR26)</f>
        <v>9.6079939241724</v>
      </c>
      <c r="AS27" s="13" t="n">
        <f aca="false">MAX(AS25,AS26)</f>
        <v>9.68421741503766</v>
      </c>
      <c r="AT27" s="13" t="n">
        <f aca="false">MAX(AT25,AT26)</f>
        <v>5.288870733335</v>
      </c>
      <c r="AU27" s="13" t="n">
        <f aca="false">MAX(AU25,AU26)</f>
        <v>9.80577535964816</v>
      </c>
      <c r="AV27" s="13" t="n">
        <f aca="false">MAX(AV25,AV26)</f>
        <v>9.75276945201055</v>
      </c>
      <c r="AW27" s="13" t="n">
        <f aca="false">MAX(AW25,AW26)</f>
        <v>9.79178106493911</v>
      </c>
      <c r="AX27" s="13" t="n">
        <f aca="false">MAX(AX25,AX26)</f>
        <v>9.85375957984119</v>
      </c>
      <c r="AY27" s="13" t="n">
        <f aca="false">MAX(AY25,AY26)</f>
        <v>9.87606959004436</v>
      </c>
      <c r="AZ27" s="13" t="n">
        <f aca="false">MAX(AZ25,AZ26)</f>
        <v>9.90344174293839</v>
      </c>
      <c r="BA27" s="13" t="n">
        <f aca="false">MAX(BA25,BA26)</f>
        <v>9.96741246385709</v>
      </c>
      <c r="BB27" s="13" t="n">
        <f aca="false">MAX(BB25,BB26)</f>
        <v>9.01835401973073</v>
      </c>
      <c r="BC27" s="13" t="n">
        <f aca="false">MAX(BC25,BC26)</f>
        <v>12.0041753437276</v>
      </c>
      <c r="BD27" s="13" t="n">
        <f aca="false">MAX(BD25,BD26)</f>
        <v>15.8333922367698</v>
      </c>
      <c r="BE27" s="13" t="n">
        <f aca="false">MAX(BE25,BE26)</f>
        <v>15.8755817515633</v>
      </c>
      <c r="BF27" s="13" t="n">
        <f aca="false">MAX(BF25,BF26)</f>
        <v>15.9433262511591</v>
      </c>
      <c r="BG27" s="13" t="n">
        <f aca="false">MAX(BG25,BG26)</f>
        <v>15.9670663058888</v>
      </c>
      <c r="BH27" s="13" t="n">
        <f aca="false">MAX(BH25,BH26)</f>
        <v>15.9966010101359</v>
      </c>
      <c r="BI27" s="13" t="n">
        <f aca="false">MAX(BI25,BI26)</f>
        <v>16.0876408910224</v>
      </c>
      <c r="BJ27" s="13" t="n">
        <f aca="false">MAX(BJ25,BJ26)</f>
        <v>10.8921584848667</v>
      </c>
      <c r="BK27" s="13" t="n">
        <f aca="false">MAX(BK25,BK26)</f>
        <v>16.232464585987</v>
      </c>
      <c r="BL27" s="13" t="n">
        <f aca="false">MAX(BL25,BL26)</f>
        <v>16.1664704812436</v>
      </c>
      <c r="BM27" s="13" t="n">
        <f aca="false">MAX(BM25,BM26)</f>
        <v>5.08084584976015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4.2846858233744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2.10569080594088</v>
      </c>
      <c r="Q28" s="13" t="n">
        <f aca="false">Q13-Q15</f>
        <v>1.08129380998678</v>
      </c>
      <c r="R28" s="13" t="n">
        <f aca="false">R13-R15</f>
        <v>0.00920241259663079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149.244548705174</v>
      </c>
      <c r="AC63" s="13" t="n">
        <f aca="false">Time!AC35*AB75</f>
        <v>134.726050991432</v>
      </c>
      <c r="AD63" s="13" t="n">
        <f aca="false">Time!AD35*AC75</f>
        <v>120.69830939484</v>
      </c>
      <c r="AE63" s="13" t="n">
        <f aca="false">Time!AE35*AD75</f>
        <v>105.037787840026</v>
      </c>
      <c r="AF63" s="13" t="n">
        <f aca="false">Time!AF35*AE75</f>
        <v>89.0490597044526</v>
      </c>
      <c r="AG63" s="13" t="n">
        <f aca="false">Time!AG35*AF75</f>
        <v>72.6831143569271</v>
      </c>
      <c r="AH63" s="13" t="n">
        <f aca="false">Time!AH35*AG75</f>
        <v>56.7000634313687</v>
      </c>
      <c r="AI63" s="13" t="n">
        <f aca="false">Time!AI35*AH75</f>
        <v>40.1225326510659</v>
      </c>
      <c r="AJ63" s="13" t="n">
        <f aca="false">Time!AJ35*AI75</f>
        <v>24.0017939211608</v>
      </c>
      <c r="AK63" s="13" t="n">
        <f aca="false">Time!AK35*AJ75</f>
        <v>7.71406668535949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136.218793381724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6.54317581928167</v>
      </c>
      <c r="AC65" s="13" t="n">
        <f aca="false">AC63*AC13</f>
        <v>5.84245341620377</v>
      </c>
      <c r="AD65" s="13" t="n">
        <f aca="false">AD63*AD13</f>
        <v>5.29165230028342</v>
      </c>
      <c r="AE65" s="13" t="n">
        <f aca="false">AE63*AE13</f>
        <v>4.52998153409339</v>
      </c>
      <c r="AF65" s="13" t="n">
        <f aca="false">AF63*AF13</f>
        <v>3.9040866768204</v>
      </c>
      <c r="AG65" s="13" t="n">
        <f aca="false">AG63*AG13</f>
        <v>3.33763553094208</v>
      </c>
      <c r="AH65" s="13" t="n">
        <f aca="false">AH63*AH13</f>
        <v>2.64684296107027</v>
      </c>
      <c r="AI65" s="13" t="n">
        <f aca="false">AI63*AI13</f>
        <v>1.84244155953423</v>
      </c>
      <c r="AJ65" s="13" t="n">
        <f aca="false">AJ63*AJ13</f>
        <v>1.120439298453</v>
      </c>
      <c r="AK65" s="13" t="n">
        <f aca="false">AK63*AK13</f>
        <v>0.356189886542136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152.022691188326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8.28278328852941</v>
      </c>
      <c r="AC66" s="13" t="n">
        <f aca="false">Time!AC35*(AC63-AC64)*AC19</f>
        <v>8.17863585935249</v>
      </c>
      <c r="AD66" s="13" t="n">
        <f aca="false">Time!AD35*(AD63-AD64)*AD19</f>
        <v>8.51770109941476</v>
      </c>
      <c r="AE66" s="13" t="n">
        <f aca="false">Time!AE35*(AE63-AE64)*AE19</f>
        <v>8.31814290158294</v>
      </c>
      <c r="AF66" s="13" t="n">
        <f aca="false">Time!AF35*(AF63-AF64)*AF19</f>
        <v>7.9271246703197</v>
      </c>
      <c r="AG66" s="13" t="n">
        <f aca="false">Time!AG35*(AG63-AG64)*AG19</f>
        <v>7.2350500352283</v>
      </c>
      <c r="AH66" s="13" t="n">
        <f aca="false">Time!AH35*(AH63-AH64)*AH19</f>
        <v>6.58265248418318</v>
      </c>
      <c r="AI66" s="13" t="n">
        <f aca="false">Time!AI35*(AI63-AI64)*AI19</f>
        <v>5.42461588855081</v>
      </c>
      <c r="AJ66" s="13" t="n">
        <f aca="false">Time!AJ35*(AJ63-AJ64)*AJ19</f>
        <v>3.93355860845917</v>
      </c>
      <c r="AK66" s="13" t="n">
        <f aca="false">Time!AK35*(AK63-AK64)*AK19</f>
        <v>1.56096965414917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152.022691188326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8.28278328852941</v>
      </c>
      <c r="AC69" s="13" t="n">
        <f aca="false">AC66-AC67+AC68</f>
        <v>8.17863585935249</v>
      </c>
      <c r="AD69" s="13" t="n">
        <f aca="false">AD66-AD67+AD68</f>
        <v>8.51770109941476</v>
      </c>
      <c r="AE69" s="13" t="n">
        <f aca="false">AE66-AE67+AE68</f>
        <v>8.31814290158294</v>
      </c>
      <c r="AF69" s="13" t="n">
        <f aca="false">AF66-AF67+AF68</f>
        <v>7.9271246703197</v>
      </c>
      <c r="AG69" s="13" t="n">
        <f aca="false">AG66-AG67+AG68</f>
        <v>7.2350500352283</v>
      </c>
      <c r="AH69" s="13" t="n">
        <f aca="false">AH66-AH67+AH68</f>
        <v>6.58265248418318</v>
      </c>
      <c r="AI69" s="13" t="n">
        <f aca="false">AI66-AI67+AI68</f>
        <v>5.42461588855081</v>
      </c>
      <c r="AJ69" s="13" t="n">
        <f aca="false">AJ66-AJ67+AJ68</f>
        <v>3.93355860845917</v>
      </c>
      <c r="AK69" s="13" t="n">
        <f aca="false">AK66-AK67+AK68</f>
        <v>1.56096965414917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140.961765416645</v>
      </c>
      <c r="AC73" s="13" t="n">
        <f aca="false">AC63-AC69-AC70-AC71</f>
        <v>126.54741513208</v>
      </c>
      <c r="AD73" s="13" t="n">
        <f aca="false">AD63-AD69-AD70-AD71</f>
        <v>112.180608295426</v>
      </c>
      <c r="AE73" s="13" t="n">
        <f aca="false">AE63-AE69-AE70-AE71</f>
        <v>96.7196449384435</v>
      </c>
      <c r="AF73" s="13" t="n">
        <f aca="false">AF63-AF69-AF70-AF71</f>
        <v>81.1219350341329</v>
      </c>
      <c r="AG73" s="13" t="n">
        <f aca="false">AG63-AG69-AG70-AG71</f>
        <v>65.4480643216988</v>
      </c>
      <c r="AH73" s="13" t="n">
        <f aca="false">AH63-AH69-AH70-AH71</f>
        <v>50.1174109471856</v>
      </c>
      <c r="AI73" s="13" t="n">
        <f aca="false">AI63-AI69-AI70-AI71</f>
        <v>34.6979167625151</v>
      </c>
      <c r="AJ73" s="13" t="n">
        <f aca="false">AJ63-AJ69-AJ70-AJ71</f>
        <v>20.0682353127016</v>
      </c>
      <c r="AK73" s="13" t="n">
        <f aca="false">AK63-AK69-AK70-AK71</f>
        <v>6.15309703121032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88.6145795179285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5.33126530252416</v>
      </c>
      <c r="AB74" s="13" t="n">
        <f aca="false">Waterfall!AB28*AB73/(AB31+AB45+AB59+AB73+AB87+Inputs!$F$253)+Waterfall!AB29</f>
        <v>6.23571442521261</v>
      </c>
      <c r="AC74" s="13" t="n">
        <f aca="false">Waterfall!AC28*AC73/(AC31+AC45+AC59+AC73+AC87+Inputs!$F$253)+Waterfall!AC29</f>
        <v>5.84910573723931</v>
      </c>
      <c r="AD74" s="13" t="n">
        <f aca="false">Waterfall!AD28*AD73/(AD31+AD45+AD59+AD73+AD87+Inputs!$F$253)+Waterfall!AD29</f>
        <v>7.14282045539922</v>
      </c>
      <c r="AE74" s="13" t="n">
        <f aca="false">Waterfall!AE28*AE73/(AE31+AE45+AE59+AE73+AE87+Inputs!$F$253)+Waterfall!AE29</f>
        <v>7.67058523399088</v>
      </c>
      <c r="AF74" s="13" t="n">
        <f aca="false">Waterfall!AF28*AF73/(AF31+AF45+AF59+AF73+AF87+Inputs!$F$253)+Waterfall!AF29</f>
        <v>8.43882067720587</v>
      </c>
      <c r="AG74" s="13" t="n">
        <f aca="false">Waterfall!AG28*AG73/(AG31+AG45+AG59+AG73+AG87+Inputs!$F$253)+Waterfall!AG29</f>
        <v>8.74800089033003</v>
      </c>
      <c r="AH74" s="13" t="n">
        <f aca="false">Waterfall!AH28*AH73/(AH31+AH45+AH59+AH73+AH87+Inputs!$F$253)+Waterfall!AH29</f>
        <v>9.99487829611962</v>
      </c>
      <c r="AI74" s="13" t="n">
        <f aca="false">Waterfall!AI28*AI73/(AI31+AI45+AI59+AI73+AI87+Inputs!$F$253)+Waterfall!AI29</f>
        <v>10.6961228413543</v>
      </c>
      <c r="AJ74" s="13" t="n">
        <f aca="false">Waterfall!AJ28*AJ73/(AJ31+AJ45+AJ59+AJ73+AJ87+Inputs!$F$253)+Waterfall!AJ29</f>
        <v>12.3541686273421</v>
      </c>
      <c r="AK74" s="13" t="n">
        <f aca="false">Waterfall!AK28*AK73/(AK31+AK45+AK59+AK73+AK87+Inputs!$F$253)+Waterfall!AK29</f>
        <v>6.15309703121032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149.244548705174</v>
      </c>
      <c r="AB75" s="13" t="n">
        <f aca="false">IF(Time!AB34=1,INDEX(Funding!$J$64:$BJ$64,1,Time!$F$14),Time!AB35*(AB73-AB74))</f>
        <v>134.726050991432</v>
      </c>
      <c r="AC75" s="13" t="n">
        <f aca="false">IF(Time!AC34=1,INDEX(Funding!$J$64:$BJ$64,1,Time!$F$14),Time!AC35*(AC73-AC74))</f>
        <v>120.69830939484</v>
      </c>
      <c r="AD75" s="13" t="n">
        <f aca="false">IF(Time!AD34=1,INDEX(Funding!$J$64:$BJ$64,1,Time!$F$14),Time!AD35*(AD73-AD74))</f>
        <v>105.037787840026</v>
      </c>
      <c r="AE75" s="13" t="n">
        <f aca="false">IF(Time!AE34=1,INDEX(Funding!$J$64:$BJ$64,1,Time!$F$14),Time!AE35*(AE73-AE74))</f>
        <v>89.0490597044526</v>
      </c>
      <c r="AF75" s="13" t="n">
        <f aca="false">IF(Time!AF34=1,INDEX(Funding!$J$64:$BJ$64,1,Time!$F$14),Time!AF35*(AF73-AF74))</f>
        <v>72.6831143569271</v>
      </c>
      <c r="AG75" s="13" t="n">
        <f aca="false">IF(Time!AG34=1,INDEX(Funding!$J$64:$BJ$64,1,Time!$F$14),Time!AG35*(AG73-AG74))</f>
        <v>56.7000634313687</v>
      </c>
      <c r="AH75" s="13" t="n">
        <f aca="false">IF(Time!AH34=1,INDEX(Funding!$J$64:$BJ$64,1,Time!$F$14),Time!AH35*(AH73-AH74))</f>
        <v>40.1225326510659</v>
      </c>
      <c r="AI75" s="13" t="n">
        <f aca="false">IF(Time!AI34=1,INDEX(Funding!$J$64:$BJ$64,1,Time!$F$14),Time!AI35*(AI73-AI74))</f>
        <v>24.0017939211608</v>
      </c>
      <c r="AJ75" s="13" t="n">
        <f aca="false">IF(Time!AJ34=1,INDEX(Funding!$J$64:$BJ$64,1,Time!$F$14),Time!AJ35*(AJ73-AJ74))</f>
        <v>7.71406668535949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16.8001282036962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0.778688543983929</v>
      </c>
      <c r="AC108" s="13" t="n">
        <f aca="false">(Inputs!$F$95/100*Inputs!$F$96/100)*AC63*Time!AC25/Inputs!$F$248</f>
        <v>0.695297156856331</v>
      </c>
      <c r="AD108" s="13" t="n">
        <f aca="false">(Inputs!$F$95/100*Inputs!$F$96/100)*AD63*Time!AD25/Inputs!$F$248</f>
        <v>0.629747562771327</v>
      </c>
      <c r="AE108" s="13" t="n">
        <f aca="false">(Inputs!$F$95/100*Inputs!$F$96/100)*AE63*Time!AE25/Inputs!$F$248</f>
        <v>0.539102848904421</v>
      </c>
      <c r="AF108" s="13" t="n">
        <f aca="false">(Inputs!$F$95/100*Inputs!$F$96/100)*AF63*Time!AF25/Inputs!$F$248</f>
        <v>0.464616518633314</v>
      </c>
      <c r="AG108" s="13" t="n">
        <f aca="false">(Inputs!$F$95/100*Inputs!$F$96/100)*AG63*Time!AG25/Inputs!$F$248</f>
        <v>0.373043595289176</v>
      </c>
      <c r="AH108" s="13" t="n">
        <f aca="false">(Inputs!$F$95/100*Inputs!$F$96/100)*AH63*Time!AH25/Inputs!$F$248</f>
        <v>0.295834522736161</v>
      </c>
      <c r="AI108" s="13" t="n">
        <f aca="false">(Inputs!$F$95/100*Inputs!$F$96/100)*AI63*Time!AI25/Inputs!$F$248</f>
        <v>0.205927524772259</v>
      </c>
      <c r="AJ108" s="13" t="n">
        <f aca="false">(Inputs!$F$95/100*Inputs!$F$96/100)*AJ63*Time!AJ25/Inputs!$F$248</f>
        <v>0.1252301817629</v>
      </c>
      <c r="AK108" s="13" t="n">
        <f aca="false">(Inputs!$F$95/100*Inputs!$F$96/100)*AK63*Time!AK25/Inputs!$F$248</f>
        <v>0.0398109244252375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306.680838252564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13.7833984731473</v>
      </c>
      <c r="AC111" s="13" t="n">
        <f aca="false">AC23+AC37+AC51+AC65+AC79+AC92</f>
        <v>12.6065272590812</v>
      </c>
      <c r="AD111" s="13" t="n">
        <f aca="false">AD23+AD37+AD51+AD65+AD79+AD92</f>
        <v>11.7149266748119</v>
      </c>
      <c r="AE111" s="13" t="n">
        <f aca="false">AE23+AE37+AE51+AE65+AE79+AE92</f>
        <v>10.4026276213863</v>
      </c>
      <c r="AF111" s="13" t="n">
        <f aca="false">AF23+AF37+AF51+AF65+AF79+AF92</f>
        <v>9.40129510987905</v>
      </c>
      <c r="AG111" s="13" t="n">
        <f aca="false">AG23+AG37+AG51+AG65+AG79+AG92</f>
        <v>8.26383416484357</v>
      </c>
      <c r="AH111" s="13" t="n">
        <f aca="false">AH23+AH37+AH51+AH65+AH79+AH92</f>
        <v>7.15619816472762</v>
      </c>
      <c r="AI111" s="13" t="n">
        <f aca="false">AI23+AI37+AI51+AI65+AI79+AI92</f>
        <v>5.76329203676749</v>
      </c>
      <c r="AJ111" s="13" t="n">
        <f aca="false">AJ23+AJ37+AJ51+AJ65+AJ79+AJ92</f>
        <v>4.56738617730915</v>
      </c>
      <c r="AK111" s="13" t="n">
        <f aca="false">AK23+AK37+AK51+AK65+AK79+AK92</f>
        <v>3.20690381493603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315.146762853275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14.1677830988847</v>
      </c>
      <c r="AC112" s="13" t="n">
        <f aca="false">AC111+AC107+AC108+AC109</f>
        <v>12.9826797562495</v>
      </c>
      <c r="AD112" s="13" t="n">
        <f aca="false">AD111+AD107+AD108+AD109</f>
        <v>11.9948614797537</v>
      </c>
      <c r="AE112" s="13" t="n">
        <f aca="false">AE111+AE107+AE108+AE109</f>
        <v>10.6863698378172</v>
      </c>
      <c r="AF112" s="13" t="n">
        <f aca="false">AF111+AF107+AF108+AF109</f>
        <v>9.56653259996616</v>
      </c>
      <c r="AG112" s="13" t="n">
        <f aca="false">AG111+AG107+AG108+AG109</f>
        <v>8.42267156072208</v>
      </c>
      <c r="AH112" s="13" t="n">
        <f aca="false">AH111+AH107+AH108+AH109</f>
        <v>7.20645233578525</v>
      </c>
      <c r="AI112" s="13" t="n">
        <f aca="false">AI111+AI107+AI108+AI109</f>
        <v>5.79872897810981</v>
      </c>
      <c r="AJ112" s="13" t="n">
        <f aca="false">AJ111+AJ107+AJ108+AJ109</f>
        <v>4.5048949690959</v>
      </c>
      <c r="AK112" s="13" t="n">
        <f aca="false">AK111+AK107+AK108+AK109</f>
        <v>3.11221145810226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544.641396024863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22.279541377195</v>
      </c>
      <c r="AC113" s="13" t="n">
        <f aca="false">AC27+AC41+AC55+AC69+AC83+AC93</f>
        <v>22.6390849360427</v>
      </c>
      <c r="AD113" s="13" t="n">
        <f aca="false">AD27+AD41+AD55+AD69+AD83+AD93</f>
        <v>24.307456250761</v>
      </c>
      <c r="AE113" s="13" t="n">
        <f aca="false">AE27+AE41+AE55+AE69+AE83+AE93</f>
        <v>24.7865502456262</v>
      </c>
      <c r="AF113" s="13" t="n">
        <f aca="false">AF27+AF41+AF55+AF69+AF83+AF93</f>
        <v>24.9732731728435</v>
      </c>
      <c r="AG113" s="13" t="n">
        <f aca="false">AG27+AG41+AG55+AG69+AG83+AG93</f>
        <v>24.599334492852</v>
      </c>
      <c r="AH113" s="13" t="n">
        <f aca="false">AH27+AH41+AH55+AH69+AH83+AH93</f>
        <v>24.8186507693215</v>
      </c>
      <c r="AI113" s="13" t="n">
        <f aca="false">AI27+AI41+AI55+AI69+AI83+AI93</f>
        <v>24.1960690636163</v>
      </c>
      <c r="AJ113" s="13" t="n">
        <f aca="false">AJ27+AJ41+AJ55+AJ69+AJ83+AJ93</f>
        <v>23.6112536805321</v>
      </c>
      <c r="AK113" s="13" t="n">
        <f aca="false">AK27+AK41+AK55+AK69+AK83+AK93</f>
        <v>21.8755968711052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859.788158878138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36.4473244760797</v>
      </c>
      <c r="AC114" s="13" t="n">
        <f aca="false">AC112+AC113</f>
        <v>35.6217646922922</v>
      </c>
      <c r="AD114" s="13" t="n">
        <f aca="false">AD112+AD113</f>
        <v>36.3023177305147</v>
      </c>
      <c r="AE114" s="13" t="n">
        <f aca="false">AE112+AE113</f>
        <v>35.4729200834434</v>
      </c>
      <c r="AF114" s="13" t="n">
        <f aca="false">AF112+AF113</f>
        <v>34.5398057728096</v>
      </c>
      <c r="AG114" s="13" t="n">
        <f aca="false">AG112+AG113</f>
        <v>33.0220060535741</v>
      </c>
      <c r="AH114" s="13" t="n">
        <f aca="false">AH112+AH113</f>
        <v>32.0251031051067</v>
      </c>
      <c r="AI114" s="13" t="n">
        <f aca="false">AI112+AI113</f>
        <v>29.9947980417261</v>
      </c>
      <c r="AJ114" s="13" t="n">
        <f aca="false">AJ112+AJ113</f>
        <v>28.116148649628</v>
      </c>
      <c r="AK114" s="13" t="n">
        <f aca="false">AK112+AK113</f>
        <v>24.9878083292075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401.447192612483</v>
      </c>
      <c r="AC115" s="13" t="n">
        <f aca="false">AC21+AC35+AC49+AC63+AC77+AC91</f>
        <v>372.931936810075</v>
      </c>
      <c r="AD115" s="13" t="n">
        <f aca="false">AD21+AD35+AD49+AD63+AD77+AD91</f>
        <v>344.443746136793</v>
      </c>
      <c r="AE115" s="13" t="n">
        <f aca="false">AE21+AE35+AE49+AE63+AE77+AE91</f>
        <v>312.993469430633</v>
      </c>
      <c r="AF115" s="13" t="n">
        <f aca="false">AF21+AF35+AF49+AF63+AF77+AF91</f>
        <v>280.536333951016</v>
      </c>
      <c r="AG115" s="13" t="n">
        <f aca="false">AG21+AG35+AG49+AG63+AG77+AG91</f>
        <v>247.124240100967</v>
      </c>
      <c r="AH115" s="13" t="n">
        <f aca="false">AH21+AH35+AH49+AH63+AH77+AH91</f>
        <v>213.776904717785</v>
      </c>
      <c r="AI115" s="13" t="n">
        <f aca="false">AI21+AI35+AI49+AI63+AI77+AI91</f>
        <v>178.963375652344</v>
      </c>
      <c r="AJ115" s="13" t="n">
        <f aca="false">AJ21+AJ35+AJ49+AJ63+AJ77+AJ91</f>
        <v>144.071183747373</v>
      </c>
      <c r="AK115" s="13" t="n">
        <f aca="false">AK21+AK35+AK49+AK63+AK77+AK91</f>
        <v>108.105761439499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401.447192612483</v>
      </c>
      <c r="AB116" s="13" t="n">
        <f aca="false">AB33+AB47+AB61+AB75+AB89+AB95</f>
        <v>372.931936810075</v>
      </c>
      <c r="AC116" s="13" t="n">
        <f aca="false">AC33+AC47+AC61+AC75+AC89+AC95</f>
        <v>344.443746136793</v>
      </c>
      <c r="AD116" s="13" t="n">
        <f aca="false">AD33+AD47+AD61+AD75+AD89+AD95</f>
        <v>312.993469430633</v>
      </c>
      <c r="AE116" s="13" t="n">
        <f aca="false">AE33+AE47+AE61+AE75+AE89+AE95</f>
        <v>280.536333951016</v>
      </c>
      <c r="AF116" s="13" t="n">
        <f aca="false">AF33+AF47+AF61+AF75+AF89+AF95</f>
        <v>247.124240100967</v>
      </c>
      <c r="AG116" s="13" t="n">
        <f aca="false">AG33+AG47+AG61+AG75+AG89+AG95</f>
        <v>213.776904717785</v>
      </c>
      <c r="AH116" s="13" t="n">
        <f aca="false">AH33+AH47+AH61+AH75+AH89+AH95</f>
        <v>178.963375652344</v>
      </c>
      <c r="AI116" s="13" t="n">
        <f aca="false">AI33+AI47+AI61+AI75+AI89+AI95</f>
        <v>144.071183747373</v>
      </c>
      <c r="AJ116" s="13" t="n">
        <f aca="false">AJ33+AJ47+AJ61+AJ75+AJ89+AJ95</f>
        <v>108.105761439499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140.961765416645</v>
      </c>
      <c r="AC118" s="13" t="n">
        <f aca="false">IF(Time!AC34=1,AC75,AC73)</f>
        <v>126.54741513208</v>
      </c>
      <c r="AD118" s="13" t="n">
        <f aca="false">IF(Time!AD34=1,AD75,AD73)</f>
        <v>112.180608295426</v>
      </c>
      <c r="AE118" s="13" t="n">
        <f aca="false">IF(Time!AE34=1,AE75,AE73)</f>
        <v>96.7196449384435</v>
      </c>
      <c r="AF118" s="13" t="n">
        <f aca="false">IF(Time!AF34=1,AF75,AF73)</f>
        <v>81.1219350341329</v>
      </c>
      <c r="AG118" s="13" t="n">
        <f aca="false">IF(Time!AG34=1,AG75,AG73)</f>
        <v>65.4480643216988</v>
      </c>
      <c r="AH118" s="13" t="n">
        <f aca="false">IF(Time!AH34=1,AH75,AH73)</f>
        <v>50.1174109471856</v>
      </c>
      <c r="AI118" s="13" t="n">
        <f aca="false">IF(Time!AI34=1,AI75,AI73)</f>
        <v>34.6979167625151</v>
      </c>
      <c r="AJ118" s="13" t="n">
        <f aca="false">IF(Time!AJ34=1,AJ75,AJ73)</f>
        <v>20.0682353127016</v>
      </c>
      <c r="AK118" s="13" t="n">
        <f aca="false">IF(Time!AK34=1,AK75,AK73)</f>
        <v>6.15309703121032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14.6700469790544</v>
      </c>
      <c r="AC122" s="13" t="n">
        <f aca="false">IF(AND(Time!AC20&gt;=Time!$F$12,Time!AD20&gt;0),(IF(Time!AC34=1,AC75,AC73)-AC72)*AD19+IF(Time!AD46&gt;0,Time!AD45*AC72/Time!AD46,0)+IF(Time!AC34=1,AC75,AC73)*AD13,0)</f>
        <v>14.4785621782032</v>
      </c>
      <c r="AD122" s="13" t="n">
        <f aca="false">IF(AND(Time!AD20&gt;=Time!$F$12,Time!AE20&gt;0),(IF(Time!AD34=1,AD75,AD73)-AD72)*AE19+IF(Time!AE46&gt;0,Time!AE45*AD72/Time!AE46,0)+IF(Time!AD34=1,AD75,AD73)*AE13,0)</f>
        <v>13.721827584989</v>
      </c>
      <c r="AE122" s="13" t="n">
        <f aca="false">IF(AND(Time!AE20&gt;=Time!$F$12,Time!AF20&gt;0),(IF(Time!AE34=1,AE75,AE73)-AE72)*AF19+IF(Time!AF46&gt;0,Time!AF45*AE72/Time!AF46,0)+IF(Time!AE34=1,AE75,AE73)*AF13,0)</f>
        <v>12.8503385042465</v>
      </c>
      <c r="AF122" s="13" t="n">
        <f aca="false">IF(AND(Time!AF20&gt;=Time!$F$12,Time!AG20&gt;0),(IF(Time!AF34=1,AF75,AF73)-AF72)*AG19+IF(Time!AG46&gt;0,Time!AG45*AF72/Time!AG46,0)+IF(Time!AF34=1,AF75,AF73)*AG13,0)</f>
        <v>11.8002196139171</v>
      </c>
      <c r="AG122" s="13" t="n">
        <f aca="false">IF(AND(Time!AG20&gt;=Time!$F$12,Time!AH20&gt;0),(IF(Time!AG34=1,AG75,AG73)-AG72)*AH19+IF(Time!AH46&gt;0,Time!AH45*AG72/Time!AH46,0)+IF(Time!AG34=1,AG75,AG73)*AH13,0)</f>
        <v>10.6534732944159</v>
      </c>
      <c r="AH122" s="13" t="n">
        <f aca="false">IF(AND(Time!AH20&gt;=Time!$F$12,Time!AI20&gt;0),(IF(Time!AH34=1,AH75,AH73)-AH72)*AI19+IF(Time!AI46&gt;0,Time!AI45*AH72/Time!AI46,0)+IF(Time!AH34=1,AH75,AH73)*AI13,0)</f>
        <v>9.07734583132821</v>
      </c>
      <c r="AI122" s="13" t="n">
        <f aca="false">IF(AND(Time!AI20&gt;=Time!$F$12,Time!AJ20&gt;0),(IF(Time!AI34=1,AI75,AI73)-AI72)*AJ19+IF(Time!AJ46&gt;0,Time!AJ45*AI72/Time!AJ46,0)+IF(Time!AI34=1,AI75,AI73)*AJ13,0)</f>
        <v>7.30625382702574</v>
      </c>
      <c r="AJ122" s="13" t="n">
        <f aca="false">IF(AND(Time!AJ20&gt;=Time!$F$12,Time!AK20&gt;0),(IF(Time!AJ34=1,AJ75,AJ73)-AJ72)*AK19+IF(Time!AK46&gt;0,Time!AK45*AJ72/Time!AK46,0)+IF(Time!AJ34=1,AJ75,AJ73)*AK13,0)</f>
        <v>4.98751311906648</v>
      </c>
      <c r="AK122" s="13" t="n">
        <f aca="false">IF(AND(Time!AK20&gt;=Time!$F$12,Time!AL20&gt;0),(IF(Time!AK34=1,AK75,AK73)-AK72)*AL19+IF(Time!AL46&gt;0,Time!AL45*AK72/Time!AL46,0)+IF(Time!AK34=1,AK75,AK73)*AL13,0)</f>
        <v>1.94239230882041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36.3029038074693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37.0020444185156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36.3832835141262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35.5989544710657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34.2928520594459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33.4947239485035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31.8563847955337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30.4242119569719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28.121919571811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25.6885361386996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833.632749087919</v>
      </c>
      <c r="Q128" s="13" t="n">
        <f aca="false">IF(Time!Q53=1,(Waterfall!Q7+R128)/(1+Q127),0)</f>
        <v>813.536910301995</v>
      </c>
      <c r="R128" s="13" t="n">
        <f aca="false">IF(Time!R53=1,(Waterfall!R7+S128)/(1+R127),0)</f>
        <v>792.602126165392</v>
      </c>
      <c r="S128" s="13" t="n">
        <f aca="false">IF(Time!S53=1,(Waterfall!S7+T128)/(1+S127),0)</f>
        <v>770.626763448703</v>
      </c>
      <c r="T128" s="13" t="n">
        <f aca="false">IF(Time!T53=1,(Waterfall!T7+U128)/(1+T127),0)</f>
        <v>748.027010558195</v>
      </c>
      <c r="U128" s="13" t="n">
        <f aca="false">IF(Time!U53=1,(Waterfall!U7+V128)/(1+U127),0)</f>
        <v>724.398972179285</v>
      </c>
      <c r="V128" s="13" t="n">
        <f aca="false">IF(Time!V53=1,(Waterfall!V7+W128)/(1+V127),0)</f>
        <v>700.025742072832</v>
      </c>
      <c r="W128" s="13" t="n">
        <f aca="false">IF(Time!W53=1,(Waterfall!W7+X128)/(1+W127),0)</f>
        <v>674.007395823791</v>
      </c>
      <c r="X128" s="13" t="n">
        <f aca="false">IF(Time!X53=1,(Waterfall!X7+Y128)/(1+X127),0)</f>
        <v>647.221341809265</v>
      </c>
      <c r="Y128" s="13" t="n">
        <f aca="false">IF(Time!Y53=1,(Waterfall!Y7+Z128)/(1+Y127),0)</f>
        <v>621.296493260066</v>
      </c>
      <c r="Z128" s="13" t="n">
        <f aca="false">IF(Time!Z53=1,(Waterfall!Z7+AA128)/(1+Z127),0)</f>
        <v>595.408342569851</v>
      </c>
      <c r="AA128" s="13" t="n">
        <f aca="false">IF(Time!AA53=1,(Waterfall!AA7+AB128)/(1+AA127),0)</f>
        <v>568.447359767869</v>
      </c>
      <c r="AB128" s="13" t="n">
        <f aca="false">IF(Time!AB53=1,(Waterfall!AB7+AC128)/(1+AB127),0)</f>
        <v>540.724657551123</v>
      </c>
      <c r="AC128" s="13" t="n">
        <f aca="false">IF(Time!AC53=1,(Waterfall!AC7+AD128)/(1+AC127),0)</f>
        <v>511.688449617707</v>
      </c>
      <c r="AD128" s="13" t="n">
        <f aca="false">IF(Time!AD53=1,(Waterfall!AD7+AE128)/(1+AD127),0)</f>
        <v>481.688327244581</v>
      </c>
      <c r="AE128" s="13" t="n">
        <f aca="false">IF(Time!AE53=1,(Waterfall!AE7+AF128)/(1+AE127),0)</f>
        <v>448.805680755573</v>
      </c>
      <c r="AF128" s="13" t="n">
        <f aca="false">IF(Time!AF53=1,(Waterfall!AF7+AG128)/(1+AF127),0)</f>
        <v>414.522741381493</v>
      </c>
      <c r="AG128" s="13" t="n">
        <f aca="false">IF(Time!AG53=1,(Waterfall!AG7+AH128)/(1+AG127),0)</f>
        <v>379.115435903374</v>
      </c>
      <c r="AH128" s="13" t="n">
        <f aca="false">IF(Time!AH53=1,(Waterfall!AH7+AI128)/(1+AH127),0)</f>
        <v>343.099622955592</v>
      </c>
      <c r="AI128" s="13" t="n">
        <f aca="false">IF(Time!AI53=1,(Waterfall!AI7+AJ128)/(1+AI127),0)</f>
        <v>305.263814262619</v>
      </c>
      <c r="AJ128" s="13" t="n">
        <f aca="false">IF(Time!AJ53=1,(Waterfall!AJ7+AK128)/(1+AJ127),0)</f>
        <v>266.343460303849</v>
      </c>
      <c r="AK128" s="13" t="n">
        <f aca="false">IF(Time!AK53=1,(Waterfall!AK7+AL128)/(1+AK127),0)</f>
        <v>225.556446789861</v>
      </c>
      <c r="AL128" s="13" t="n">
        <f aca="false">IF(Time!AL53=1,(Waterfall!AL7+AM128)/(1+AL127),0)</f>
        <v>183.457965648134</v>
      </c>
      <c r="AM128" s="13" t="n">
        <f aca="false">IF(Time!AM53=1,(Waterfall!AM7+AN128)/(1+AM127),0)</f>
        <v>138.751012061203</v>
      </c>
      <c r="AN128" s="13" t="n">
        <f aca="false">IF(Time!AN53=1,(Waterfall!AN7+AO128)/(1+AN127),0)</f>
        <v>92.7510704617312</v>
      </c>
      <c r="AO128" s="13" t="n">
        <f aca="false">IF(Time!AO53=1,(Waterfall!AO7+AP128)/(1+AO127),0)</f>
        <v>47.0248013051818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1.31642302841817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617.505740065125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37.0216677572138</v>
      </c>
      <c r="Q132" s="13" t="n">
        <f aca="false">IF(Time!Q53=1,(Waterfall!Q7)/$F$129,0)</f>
        <v>36.9221553909623</v>
      </c>
      <c r="R132" s="13" t="n">
        <f aca="false">IF(Time!R53=1,(Waterfall!R7)/$F$129,0)</f>
        <v>37.3935076407196</v>
      </c>
      <c r="S132" s="13" t="n">
        <f aca="false">IF(Time!S53=1,(Waterfall!S7)/$F$129,0)</f>
        <v>37.0853811173965</v>
      </c>
      <c r="T132" s="13" t="n">
        <f aca="false">IF(Time!T53=1,(Waterfall!T7)/$F$129,0)</f>
        <v>37.4918098931511</v>
      </c>
      <c r="U132" s="13" t="n">
        <f aca="false">IF(Time!U53=1,(Waterfall!U7)/$F$129,0)</f>
        <v>37.3053627679489</v>
      </c>
      <c r="V132" s="13" t="n">
        <f aca="false">IF(Time!V53=1,(Waterfall!V7)/$F$129,0)</f>
        <v>38.0534762915414</v>
      </c>
      <c r="W132" s="13" t="n">
        <f aca="false">IF(Time!W53=1,(Waterfall!W7)/$F$129,0)</f>
        <v>37.7681875375153</v>
      </c>
      <c r="X132" s="13" t="n">
        <f aca="false">IF(Time!X53=1,(Waterfall!X7)/$F$129,0)</f>
        <v>36.6028711094139</v>
      </c>
      <c r="Y132" s="13" t="n">
        <f aca="false">IF(Time!Y53=1,(Waterfall!Y7)/$F$129,0)</f>
        <v>36.2246743202339</v>
      </c>
      <c r="Z132" s="13" t="n">
        <f aca="false">IF(Time!Z53=1,(Waterfall!Z7)/$F$129,0)</f>
        <v>36.5243038823869</v>
      </c>
      <c r="AA132" s="13" t="n">
        <f aca="false">IF(Time!AA53=1,(Waterfall!AA7)/$F$129,0)</f>
        <v>36.2096971930841</v>
      </c>
      <c r="AB132" s="13" t="n">
        <f aca="false">IF(Time!AB53=1,(Waterfall!AB7)/$F$129,0)</f>
        <v>36.6272143992621</v>
      </c>
      <c r="AC132" s="13" t="n">
        <f aca="false">IF(Time!AC53=1,(Waterfall!AC7)/$F$129,0)</f>
        <v>36.476965034194</v>
      </c>
      <c r="AD132" s="13" t="n">
        <f aca="false">IF(Time!AD53=1,(Waterfall!AD7)/$F$129,0)</f>
        <v>37.9583132915622</v>
      </c>
      <c r="AE132" s="13" t="n">
        <f aca="false">IF(Time!AE53=1,(Waterfall!AE7)/$F$129,0)</f>
        <v>38.0043196057434</v>
      </c>
      <c r="AF132" s="13" t="n">
        <f aca="false">IF(Time!AF53=1,(Waterfall!AF7)/$F$129,0)</f>
        <v>38.0662930029537</v>
      </c>
      <c r="AG132" s="13" t="n">
        <f aca="false">IF(Time!AG53=1,(Waterfall!AG7)/$F$129,0)</f>
        <v>37.7689227930295</v>
      </c>
      <c r="AH132" s="13" t="n">
        <f aca="false">IF(Time!AH53=1,(Waterfall!AH7)/$F$129,0)</f>
        <v>38.2677296407594</v>
      </c>
      <c r="AI132" s="13" t="n">
        <f aca="false">IF(Time!AI53=1,(Waterfall!AI7)/$F$129,0)</f>
        <v>37.9474301250256</v>
      </c>
      <c r="AJ132" s="13" t="n">
        <f aca="false">IF(Time!AJ53=1,(Waterfall!AJ7)/$F$129,0)</f>
        <v>38.3783878194986</v>
      </c>
      <c r="AK132" s="13" t="n">
        <f aca="false">IF(Time!AK53=1,(Waterfall!AK7)/$F$129,0)</f>
        <v>38.1960302272089</v>
      </c>
      <c r="AL132" s="13" t="n">
        <f aca="false">IF(Time!AL53=1,(Waterfall!AL7)/$F$129,0)</f>
        <v>39.0547461088284</v>
      </c>
      <c r="AM132" s="13" t="n">
        <f aca="false">IF(Time!AM53=1,(Waterfall!AM7)/$F$129,0)</f>
        <v>38.7530752777377</v>
      </c>
      <c r="AN132" s="13" t="n">
        <f aca="false">IF(Time!AN53=1,(Waterfall!AN7)/$F$129,0)</f>
        <v>37.310525136938</v>
      </c>
      <c r="AO132" s="13" t="n">
        <f aca="false">IF(Time!AO53=1,(Waterfall!AO7)/$F$129,0)</f>
        <v>37.0128964710943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617.990488421912</v>
      </c>
      <c r="R133" s="13" t="n">
        <f aca="false">IF(Time!R53=1,IF(Time!R20=Time!$F$13,Funding!$F$25,Q133-Q134),0)</f>
        <v>602.087709691461</v>
      </c>
      <c r="S133" s="13" t="n">
        <f aca="false">IF(Time!S53=1,IF(Time!S20=Time!$F$13,Funding!$F$25,R133-R134),0)</f>
        <v>585.394471847473</v>
      </c>
      <c r="T133" s="13" t="n">
        <f aca="false">IF(Time!T53=1,IF(Time!T20=Time!$F$13,Funding!$F$25,S133-S134),0)</f>
        <v>568.226925851514</v>
      </c>
      <c r="U133" s="13" t="n">
        <f aca="false">IF(Time!U53=1,IF(Time!U20=Time!$F$13,Funding!$F$25,T133-T134),0)</f>
        <v>550.278258995312</v>
      </c>
      <c r="V133" s="13" t="n">
        <f aca="false">IF(Time!V53=1,IF(Time!V20=Time!$F$13,Funding!$F$25,U133-U134),0)</f>
        <v>531.763518991303</v>
      </c>
      <c r="W133" s="13" t="n">
        <f aca="false">IF(Time!W53=1,IF(Time!W20=Time!$F$13,Funding!$F$25,V133-V134),0)</f>
        <v>511.999092444993</v>
      </c>
      <c r="X133" s="13" t="n">
        <f aca="false">IF(Time!X53=1,IF(Time!X20=Time!$F$13,Funding!$F$25,W133-W134),0)</f>
        <v>491.651488797621</v>
      </c>
      <c r="Y133" s="13" t="n">
        <f aca="false">IF(Time!Y53=1,IF(Time!Y20=Time!$F$13,Funding!$F$25,X133-X134),0)</f>
        <v>471.958086304997</v>
      </c>
      <c r="Z133" s="13" t="n">
        <f aca="false">IF(Time!Z53=1,IF(Time!Z20=Time!$F$13,Funding!$F$25,Y133-Y134),0)</f>
        <v>452.292560762403</v>
      </c>
      <c r="AA133" s="13" t="n">
        <f aca="false">IF(Time!AA53=1,IF(Time!AA20=Time!$F$13,Funding!$F$25,Z133-Z134),0)</f>
        <v>431.81207521941</v>
      </c>
      <c r="AB133" s="13" t="n">
        <f aca="false">IF(Time!AB53=1,IF(Time!AB20=Time!$F$13,Funding!$F$25,AA133-AA134),0)</f>
        <v>410.752961531572</v>
      </c>
      <c r="AC133" s="13" t="n">
        <f aca="false">IF(Time!AC53=1,IF(Time!AC20=Time!$F$13,Funding!$F$25,AB133-AB134),0)</f>
        <v>388.696063933612</v>
      </c>
      <c r="AD133" s="13" t="n">
        <f aca="false">IF(Time!AD53=1,IF(Time!AD20=Time!$F$13,Funding!$F$25,AC133-AC134),0)</f>
        <v>365.906943927731</v>
      </c>
      <c r="AE133" s="13" t="n">
        <f aca="false">IF(Time!AE53=1,IF(Time!AE20=Time!$F$13,Funding!$F$25,AD133-AD134),0)</f>
        <v>340.928159920497</v>
      </c>
      <c r="AF133" s="13" t="n">
        <f aca="false">IF(Time!AF53=1,IF(Time!AF20=Time!$F$13,Funding!$F$25,AE133-AE134),0)</f>
        <v>314.88566549887</v>
      </c>
      <c r="AG133" s="13" t="n">
        <f aca="false">IF(Time!AG53=1,IF(Time!AG20=Time!$F$13,Funding!$F$25,AF133-AF134),0)</f>
        <v>287.989064092053</v>
      </c>
      <c r="AH133" s="13" t="n">
        <f aca="false">IF(Time!AH53=1,IF(Time!AH20=Time!$F$13,Funding!$F$25,AG133-AG134),0)</f>
        <v>260.630219579085</v>
      </c>
      <c r="AI133" s="13" t="n">
        <f aca="false">IF(Time!AI53=1,IF(Time!AI20=Time!$F$13,Funding!$F$25,AH133-AH134),0)</f>
        <v>231.888843990695</v>
      </c>
      <c r="AJ133" s="13" t="n">
        <f aca="false">IF(Time!AJ53=1,IF(Time!AJ20=Time!$F$13,Funding!$F$25,AI133-AI134),0)</f>
        <v>202.323610689104</v>
      </c>
      <c r="AK133" s="13" t="n">
        <f aca="false">IF(Time!AK53=1,IF(Time!AK20=Time!$F$13,Funding!$F$25,AJ133-AJ134),0)</f>
        <v>171.340398884462</v>
      </c>
      <c r="AL133" s="13" t="n">
        <f aca="false">IF(Time!AL53=1,IF(Time!AL20=Time!$F$13,Funding!$F$25,AK133-AK134),0)</f>
        <v>139.360951371824</v>
      </c>
      <c r="AM133" s="13" t="n">
        <f aca="false">IF(Time!AM53=1,IF(Time!AM20=Time!$F$13,Funding!$F$25,AL133-AL134),0)</f>
        <v>105.40001888901</v>
      </c>
      <c r="AN133" s="13" t="n">
        <f aca="false">IF(Time!AN53=1,IF(Time!AN20=Time!$F$13,Funding!$F$25,AM133-AM134),0)</f>
        <v>70.4568884465519</v>
      </c>
      <c r="AO133" s="13" t="n">
        <f aca="false">IF(Time!AO53=1,IF(Time!AO20=Time!$F$13,Funding!$F$25,AN133-AN134),0)</f>
        <v>35.7216489608869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15.2654871208624</v>
      </c>
      <c r="Q134" s="13" t="n">
        <f aca="false">Q132-Q133*Q127</f>
        <v>15.9027787304503</v>
      </c>
      <c r="R134" s="13" t="n">
        <f aca="false">R132-R133*R127</f>
        <v>16.6932378439887</v>
      </c>
      <c r="S134" s="13" t="n">
        <f aca="false">S132-S133*S127</f>
        <v>17.1675459959588</v>
      </c>
      <c r="T134" s="13" t="n">
        <f aca="false">T132-T133*T127</f>
        <v>17.9486668562022</v>
      </c>
      <c r="U134" s="13" t="n">
        <f aca="false">U132-U133*U127</f>
        <v>18.5147400040089</v>
      </c>
      <c r="V134" s="13" t="n">
        <f aca="false">V132-V133*V127</f>
        <v>19.7644265463098</v>
      </c>
      <c r="W134" s="13" t="n">
        <f aca="false">W132-W133*W127</f>
        <v>20.3476036473718</v>
      </c>
      <c r="X134" s="13" t="n">
        <f aca="false">X132-X133*X127</f>
        <v>19.6934024926246</v>
      </c>
      <c r="Y134" s="13" t="n">
        <f aca="false">Y132-Y133*Y127</f>
        <v>19.6655255425931</v>
      </c>
      <c r="Z134" s="13" t="n">
        <f aca="false">Z132-Z133*Z127</f>
        <v>20.4804855429936</v>
      </c>
      <c r="AA134" s="13" t="n">
        <f aca="false">AA132-AA133*AA127</f>
        <v>21.0591136878379</v>
      </c>
      <c r="AB134" s="13" t="n">
        <f aca="false">AB132-AB133*AB127</f>
        <v>22.05689759796</v>
      </c>
      <c r="AC134" s="13" t="n">
        <f aca="false">AC132-AC133*AC127</f>
        <v>22.7891200058807</v>
      </c>
      <c r="AD134" s="13" t="n">
        <f aca="false">AD132-AD133*AD127</f>
        <v>24.9787840072346</v>
      </c>
      <c r="AE134" s="13" t="n">
        <f aca="false">AE132-AE133*AE127</f>
        <v>26.0424944216263</v>
      </c>
      <c r="AF134" s="13" t="n">
        <f aca="false">AF132-AF133*AF127</f>
        <v>26.8966014068173</v>
      </c>
      <c r="AG134" s="13" t="n">
        <f aca="false">AG132-AG133*AG127</f>
        <v>27.3588445129677</v>
      </c>
      <c r="AH134" s="13" t="n">
        <f aca="false">AH132-AH133*AH127</f>
        <v>28.74137558839</v>
      </c>
      <c r="AI134" s="13" t="n">
        <f aca="false">AI132-AI133*AI127</f>
        <v>29.5652333015915</v>
      </c>
      <c r="AJ134" s="13" t="n">
        <f aca="false">AJ132-AJ133*AJ127</f>
        <v>30.9832118046416</v>
      </c>
      <c r="AK134" s="13" t="n">
        <f aca="false">AK132-AK133*AK127</f>
        <v>31.9794475126385</v>
      </c>
      <c r="AL134" s="13" t="n">
        <f aca="false">AL132-AL133*AL127</f>
        <v>33.9609324828141</v>
      </c>
      <c r="AM134" s="13" t="n">
        <f aca="false">AM132-AM133*AM127</f>
        <v>34.9431304424579</v>
      </c>
      <c r="AN134" s="13" t="n">
        <f aca="false">AN132-AN133*AN127</f>
        <v>34.735239485665</v>
      </c>
      <c r="AO134" s="13" t="n">
        <f aca="false">AO132-AO133*AO127</f>
        <v>35.7216489608873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36.3029038074693</v>
      </c>
      <c r="AD9" s="13" t="n">
        <f aca="false">IF(Time!AD34=1,SUM(Funding!$J$44:$BJ$44),AC13)</f>
        <v>37.0020444185156</v>
      </c>
      <c r="AE9" s="13" t="n">
        <f aca="false">IF(Time!AE34=1,SUM(Funding!$J$44:$BJ$44),AD13)</f>
        <v>36.3832835141262</v>
      </c>
      <c r="AF9" s="13" t="n">
        <f aca="false">IF(Time!AF34=1,SUM(Funding!$J$44:$BJ$44),AE13)</f>
        <v>35.5989544710657</v>
      </c>
      <c r="AG9" s="13" t="n">
        <f aca="false">IF(Time!AG34=1,SUM(Funding!$J$44:$BJ$44),AF13)</f>
        <v>34.2928520594459</v>
      </c>
      <c r="AH9" s="13" t="n">
        <f aca="false">IF(Time!AH34=1,SUM(Funding!$J$44:$BJ$44),AG13)</f>
        <v>33.4947239485035</v>
      </c>
      <c r="AI9" s="13" t="n">
        <f aca="false">IF(Time!AI34=1,SUM(Funding!$J$44:$BJ$44),AH13)</f>
        <v>31.8563847955337</v>
      </c>
      <c r="AJ9" s="13" t="n">
        <f aca="false">IF(Time!AJ34=1,SUM(Funding!$J$44:$BJ$44),AI13)</f>
        <v>30.4242119569719</v>
      </c>
      <c r="AK9" s="13" t="n">
        <f aca="false">IF(Time!AK34=1,SUM(Funding!$J$44:$BJ$44),AJ13)</f>
        <v>28.121919571811</v>
      </c>
      <c r="AL9" s="13" t="n">
        <f aca="false">IF(Time!AL34=1,SUM(Funding!$J$44:$BJ$44),AK13)</f>
        <v>25.6885361386996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3.0334743541668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0.699140611046325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40.2793697912622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0.701844824506914</v>
      </c>
      <c r="AC12" s="13" t="n">
        <f aca="false">MAX(0,AC9-AC10-Debt!AC125)</f>
        <v>0</v>
      </c>
      <c r="AD12" s="13" t="n">
        <f aca="false">MAX(0,AD9-AD10-Debt!AD125)</f>
        <v>0.618760904389355</v>
      </c>
      <c r="AE12" s="13" t="n">
        <f aca="false">MAX(0,AE9-AE10-Debt!AE125)</f>
        <v>0.784329043060566</v>
      </c>
      <c r="AF12" s="13" t="n">
        <f aca="false">MAX(0,AF9-AF10-Debt!AF125)</f>
        <v>1.30610241161981</v>
      </c>
      <c r="AG12" s="13" t="n">
        <f aca="false">MAX(0,AG9-AG10-Debt!AG125)</f>
        <v>0.798128110942315</v>
      </c>
      <c r="AH12" s="13" t="n">
        <f aca="false">MAX(0,AH9-AH10-Debt!AH125)</f>
        <v>1.63833915296983</v>
      </c>
      <c r="AI12" s="13" t="n">
        <f aca="false">MAX(0,AI9-AI10-Debt!AI125)</f>
        <v>1.43217283856177</v>
      </c>
      <c r="AJ12" s="13" t="n">
        <f aca="false">MAX(0,AJ9-AJ10-Debt!AJ125)</f>
        <v>2.30229238516099</v>
      </c>
      <c r="AK12" s="13" t="n">
        <f aca="false">MAX(0,AK9-AK10-Debt!AK125)</f>
        <v>2.43338343311132</v>
      </c>
      <c r="AL12" s="13" t="n">
        <f aca="false">MAX(0,AL9-AL10-Debt!AL125)</f>
        <v>2.11924428542156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36.3029038074693</v>
      </c>
      <c r="AC13" s="13" t="n">
        <f aca="false">(1-Time!AC37)*(AC9-AC10+AC11-AC12)</f>
        <v>37.0020444185156</v>
      </c>
      <c r="AD13" s="13" t="n">
        <f aca="false">(1-Time!AD37)*(AD9-AD10+AD11-AD12)</f>
        <v>36.3832835141262</v>
      </c>
      <c r="AE13" s="13" t="n">
        <f aca="false">(1-Time!AE37)*(AE9-AE10+AE11-AE12)</f>
        <v>35.5989544710657</v>
      </c>
      <c r="AF13" s="13" t="n">
        <f aca="false">(1-Time!AF37)*(AF9-AF10+AF11-AF12)</f>
        <v>34.2928520594459</v>
      </c>
      <c r="AG13" s="13" t="n">
        <f aca="false">(1-Time!AG37)*(AG9-AG10+AG11-AG12)</f>
        <v>33.4947239485035</v>
      </c>
      <c r="AH13" s="13" t="n">
        <f aca="false">(1-Time!AH37)*(AH9-AH10+AH11-AH12)</f>
        <v>31.8563847955337</v>
      </c>
      <c r="AI13" s="13" t="n">
        <f aca="false">(1-Time!AI37)*(AI9-AI10+AI11-AI12)</f>
        <v>30.4242119569719</v>
      </c>
      <c r="AJ13" s="13" t="n">
        <f aca="false">(1-Time!AJ37)*(AJ9-AJ10+AJ11-AJ12)</f>
        <v>28.121919571811</v>
      </c>
      <c r="AK13" s="13" t="n">
        <f aca="false">(1-Time!AK37)*(AK9-AK10+AK11-AK12)</f>
        <v>25.6885361386996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2242.7318496104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1.733222014779</v>
      </c>
      <c r="P7" s="13" t="n">
        <f aca="false">Operations!P84-Tax!P27-Operations!P96-Reserves!P7+Operations!P79+Operations!P97</f>
        <v>48.7361759860426</v>
      </c>
      <c r="Q7" s="13" t="n">
        <f aca="false">Operations!Q84-Tax!Q27-Operations!Q96-Reserves!Q7+Operations!Q79+Operations!Q97</f>
        <v>48.6051756154967</v>
      </c>
      <c r="R7" s="13" t="n">
        <f aca="false">Operations!R84-Tax!R27-Operations!R96-Reserves!R7+Operations!R79+Operations!R97</f>
        <v>49.2256745715739</v>
      </c>
      <c r="S7" s="13" t="n">
        <f aca="false">Operations!S84-Tax!S27-Operations!S96-Reserves!S7+Operations!S79+Operations!S97</f>
        <v>48.820049720605</v>
      </c>
      <c r="T7" s="13" t="n">
        <f aca="false">Operations!T84-Tax!T27-Operations!T96-Reserves!T7+Operations!T79+Operations!T97</f>
        <v>49.3550819204202</v>
      </c>
      <c r="U7" s="13" t="n">
        <f aca="false">Operations!U84-Tax!U27-Operations!U96-Reserves!U7+Operations!U79+Operations!U97</f>
        <v>49.1096386312216</v>
      </c>
      <c r="V7" s="13" t="n">
        <f aca="false">Operations!V84-Tax!V27-Operations!V96-Reserves!V7+Operations!V79+Operations!V97</f>
        <v>50.0944725015498</v>
      </c>
      <c r="W7" s="13" t="n">
        <f aca="false">Operations!W84-Tax!W27-Operations!W96-Reserves!W7+Operations!W79+Operations!W97</f>
        <v>49.7189118160011</v>
      </c>
      <c r="X7" s="13" t="n">
        <f aca="false">Operations!X84-Tax!X27-Operations!X96-Reserves!X7+Operations!X79+Operations!X97</f>
        <v>48.1848624346545</v>
      </c>
      <c r="Y7" s="13" t="n">
        <f aca="false">Operations!Y84-Tax!Y27-Operations!Y96-Reserves!Y7+Operations!Y79+Operations!Y97</f>
        <v>47.6869954721041</v>
      </c>
      <c r="Z7" s="13" t="n">
        <f aca="false">Operations!Z84-Tax!Z27-Operations!Z96-Reserves!Z7+Operations!Z79+Operations!Z97</f>
        <v>48.0814347277172</v>
      </c>
      <c r="AA7" s="13" t="n">
        <f aca="false">Operations!AA84-Tax!AA27-Operations!AA96-Reserves!AA7+Operations!AA79+Operations!AA97</f>
        <v>47.6672792370245</v>
      </c>
      <c r="AB7" s="13" t="n">
        <f aca="false">Operations!AB84-Tax!AB27-Operations!AB96-Reserves!AB7+Operations!AB79+Operations!AB97</f>
        <v>48.216908501998</v>
      </c>
      <c r="AC7" s="13" t="n">
        <f aca="false">Operations!AC84-Tax!AC27-Operations!AC96-Reserves!AC7+Operations!AC79+Operations!AC97</f>
        <v>48.0191167778172</v>
      </c>
      <c r="AD7" s="13" t="n">
        <f aca="false">Operations!AD84-Tax!AD27-Operations!AD96-Reserves!AD7+Operations!AD79+Operations!AD97</f>
        <v>49.9691977369238</v>
      </c>
      <c r="AE7" s="13" t="n">
        <f aca="false">Operations!AE84-Tax!AE27-Operations!AE96-Reserves!AE7+Operations!AE79+Operations!AE97</f>
        <v>50.0297615083646</v>
      </c>
      <c r="AF7" s="13" t="n">
        <f aca="false">Operations!AF84-Tax!AF27-Operations!AF96-Reserves!AF7+Operations!AF79+Operations!AF97</f>
        <v>50.1113447156016</v>
      </c>
      <c r="AG7" s="13" t="n">
        <f aca="false">Operations!AG84-Tax!AG27-Operations!AG96-Reserves!AG7+Operations!AG79+Operations!AG97</f>
        <v>49.7198797232919</v>
      </c>
      <c r="AH7" s="13" t="n">
        <f aca="false">Operations!AH84-Tax!AH27-Operations!AH96-Reserves!AH7+Operations!AH79+Operations!AH97</f>
        <v>50.3765205443762</v>
      </c>
      <c r="AI7" s="13" t="n">
        <f aca="false">Operations!AI84-Tax!AI27-Operations!AI96-Reserves!AI7+Operations!AI79+Operations!AI97</f>
        <v>49.954870885873</v>
      </c>
      <c r="AJ7" s="13" t="n">
        <f aca="false">Operations!AJ84-Tax!AJ27-Operations!AJ96-Reserves!AJ7+Operations!AJ79+Operations!AJ97</f>
        <v>50.5221935191513</v>
      </c>
      <c r="AK7" s="13" t="n">
        <f aca="false">Operations!AK84-Tax!AK27-Operations!AK96-Reserves!AK7+Operations!AK79+Operations!AK97</f>
        <v>50.2821337852541</v>
      </c>
      <c r="AL7" s="13" t="n">
        <f aca="false">Operations!AL84-Tax!AL27-Operations!AL96-Reserves!AL7+Operations!AL79+Operations!AL97</f>
        <v>51.4125671466865</v>
      </c>
      <c r="AM7" s="13" t="n">
        <f aca="false">Operations!AM84-Tax!AM27-Operations!AM96-Reserves!AM7+Operations!AM79+Operations!AM97</f>
        <v>51.0154407176367</v>
      </c>
      <c r="AN7" s="13" t="n">
        <f aca="false">Operations!AN84-Tax!AN27-Operations!AN96-Reserves!AN7+Operations!AN79+Operations!AN97</f>
        <v>49.1164344926401</v>
      </c>
      <c r="AO7" s="13" t="n">
        <f aca="false">Operations!AO84-Tax!AO27-Operations!AO96-Reserves!AO7+Operations!AO79+Operations!AO97</f>
        <v>48.724629263006</v>
      </c>
      <c r="AP7" s="13" t="n">
        <f aca="false">Operations!AP84-Tax!AP27-Operations!AP96-Reserves!AP7+Operations!AP79+Operations!AP97</f>
        <v>41.1229775263262</v>
      </c>
      <c r="AQ7" s="13" t="n">
        <f aca="false">Operations!AQ84-Tax!AQ27-Operations!AQ96-Reserves!AQ7+Operations!AQ79+Operations!AQ97</f>
        <v>40.0111872145842</v>
      </c>
      <c r="AR7" s="13" t="n">
        <f aca="false">Operations!AR84-Tax!AR27-Operations!AR96-Reserves!AR7+Operations!AR79+Operations!AR97</f>
        <v>40.3466315003753</v>
      </c>
      <c r="AS7" s="13" t="n">
        <f aca="false">Operations!AS84-Tax!AS27-Operations!AS96-Reserves!AS7+Operations!AS79+Operations!AS97</f>
        <v>40.0905018175021</v>
      </c>
      <c r="AT7" s="13" t="n">
        <f aca="false">Operations!AT84-Tax!AT27-Operations!AT96-Reserves!AT7+Operations!AT79+Operations!AT97</f>
        <v>46.8465726745527</v>
      </c>
      <c r="AU7" s="13" t="n">
        <f aca="false">Operations!AU84-Tax!AU27-Operations!AU96-Reserves!AU7+Operations!AU79+Operations!AU97</f>
        <v>42.4059822346283</v>
      </c>
      <c r="AV7" s="13" t="n">
        <f aca="false">Operations!AV84-Tax!AV27-Operations!AV96-Reserves!AV7+Operations!AV79+Operations!AV97</f>
        <v>42.4596964681042</v>
      </c>
      <c r="AW7" s="13" t="n">
        <f aca="false">Operations!AW84-Tax!AW27-Operations!AW96-Reserves!AW7+Operations!AW79+Operations!AW97</f>
        <v>42.017702995227</v>
      </c>
      <c r="AX7" s="13" t="n">
        <f aca="false">Operations!AX84-Tax!AX27-Operations!AX96-Reserves!AX7+Operations!AX79+Operations!AX97</f>
        <v>42.6733383107201</v>
      </c>
      <c r="AY7" s="13" t="n">
        <f aca="false">Operations!AY84-Tax!AY27-Operations!AY96-Reserves!AY7+Operations!AY79+Operations!AY97</f>
        <v>42.2146889405744</v>
      </c>
      <c r="AZ7" s="13" t="n">
        <f aca="false">Operations!AZ84-Tax!AZ27-Operations!AZ96-Reserves!AZ7+Operations!AZ79+Operations!AZ97</f>
        <v>42.7969224922796</v>
      </c>
      <c r="BA7" s="13" t="n">
        <f aca="false">Operations!BA84-Tax!BA27-Operations!BA96-Reserves!BA7+Operations!BA79+Operations!BA97</f>
        <v>42.5023869277238</v>
      </c>
      <c r="BB7" s="13" t="n">
        <f aca="false">Operations!BB84-Tax!BB27-Operations!BB96-Reserves!BB7+Operations!BB79+Operations!BB97</f>
        <v>44.7568559769547</v>
      </c>
      <c r="BC7" s="13" t="n">
        <f aca="false">Operations!BC84-Tax!BC27-Operations!BC96-Reserves!BC7+Operations!BC79+Operations!BC97</f>
        <v>41.353593286859</v>
      </c>
      <c r="BD7" s="13" t="n">
        <f aca="false">Operations!BD84-Tax!BD27-Operations!BD96-Reserves!BD7+Operations!BD79+Operations!BD97</f>
        <v>35.1963738723774</v>
      </c>
      <c r="BE7" s="13" t="n">
        <f aca="false">Operations!BE84-Tax!BE27-Operations!BE96-Reserves!BE7+Operations!BE79+Operations!BE97</f>
        <v>34.7519540233502</v>
      </c>
      <c r="BF7" s="13" t="n">
        <f aca="false">Operations!BF84-Tax!BF27-Operations!BF96-Reserves!BF7+Operations!BF79+Operations!BF97</f>
        <v>35.4355056712595</v>
      </c>
      <c r="BG7" s="13" t="n">
        <f aca="false">Operations!BG84-Tax!BG27-Operations!BG96-Reserves!BG7+Operations!BG79+Operations!BG97</f>
        <v>34.9660264215639</v>
      </c>
      <c r="BH7" s="13" t="n">
        <f aca="false">Operations!BH84-Tax!BH27-Operations!BH96-Reserves!BH7+Operations!BH79+Operations!BH97</f>
        <v>35.5686599133915</v>
      </c>
      <c r="BI7" s="13" t="n">
        <f aca="false">Operations!BI84-Tax!BI27-Operations!BI96-Reserves!BI7+Operations!BI79+Operations!BI97</f>
        <v>35.3183570416364</v>
      </c>
      <c r="BJ7" s="13" t="n">
        <f aca="false">Operations!BJ84-Tax!BJ27-Operations!BJ96-Reserves!BJ7+Operations!BJ79+Operations!BJ97</f>
        <v>43.3690380173506</v>
      </c>
      <c r="BK7" s="13" t="n">
        <f aca="false">Operations!BK84-Tax!BK27-Operations!BK96-Reserves!BK7+Operations!BK79+Operations!BK97</f>
        <v>38.115449052254</v>
      </c>
      <c r="BL7" s="13" t="n">
        <f aca="false">Operations!BL84-Tax!BL27-Operations!BL96-Reserves!BL7+Operations!BL79+Operations!BL97</f>
        <v>38.7820997880652</v>
      </c>
      <c r="BM7" s="13" t="n">
        <f aca="false">Operations!BM84-Tax!BM27-Operations!BM96-Reserves!BM7+Operations!BM79+Operations!BM97</f>
        <v>35.1393734749252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1.73322201477788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1.733222014779</v>
      </c>
      <c r="P9" s="13" t="n">
        <f aca="false">P7+P8</f>
        <v>50.4693980008205</v>
      </c>
      <c r="Q9" s="13" t="n">
        <f aca="false">Q7+Q8</f>
        <v>48.6051756154967</v>
      </c>
      <c r="R9" s="13" t="n">
        <f aca="false">R7+R8</f>
        <v>49.2256745715739</v>
      </c>
      <c r="S9" s="13" t="n">
        <f aca="false">S7+S8</f>
        <v>48.820049720605</v>
      </c>
      <c r="T9" s="13" t="n">
        <f aca="false">T7+T8</f>
        <v>49.3550819204202</v>
      </c>
      <c r="U9" s="13" t="n">
        <f aca="false">U7+U8</f>
        <v>49.1096386312216</v>
      </c>
      <c r="V9" s="13" t="n">
        <f aca="false">V7+V8</f>
        <v>50.0944725015498</v>
      </c>
      <c r="W9" s="13" t="n">
        <f aca="false">W7+W8</f>
        <v>49.7189118160011</v>
      </c>
      <c r="X9" s="13" t="n">
        <f aca="false">X7+X8</f>
        <v>48.1848624346545</v>
      </c>
      <c r="Y9" s="13" t="n">
        <f aca="false">Y7+Y8</f>
        <v>47.6869954721041</v>
      </c>
      <c r="Z9" s="13" t="n">
        <f aca="false">Z7+Z8</f>
        <v>48.0814347277172</v>
      </c>
      <c r="AA9" s="13" t="n">
        <f aca="false">AA7+AA8</f>
        <v>47.6672792370245</v>
      </c>
      <c r="AB9" s="13" t="n">
        <f aca="false">AB7+AB8</f>
        <v>48.216908501998</v>
      </c>
      <c r="AC9" s="13" t="n">
        <f aca="false">AC7+AC8</f>
        <v>48.0191167778172</v>
      </c>
      <c r="AD9" s="13" t="n">
        <f aca="false">AD7+AD8</f>
        <v>49.9691977369238</v>
      </c>
      <c r="AE9" s="13" t="n">
        <f aca="false">AE7+AE8</f>
        <v>50.0297615083646</v>
      </c>
      <c r="AF9" s="13" t="n">
        <f aca="false">AF7+AF8</f>
        <v>50.1113447156016</v>
      </c>
      <c r="AG9" s="13" t="n">
        <f aca="false">AG7+AG8</f>
        <v>49.7198797232919</v>
      </c>
      <c r="AH9" s="13" t="n">
        <f aca="false">AH7+AH8</f>
        <v>50.3765205443762</v>
      </c>
      <c r="AI9" s="13" t="n">
        <f aca="false">AI7+AI8</f>
        <v>49.954870885873</v>
      </c>
      <c r="AJ9" s="13" t="n">
        <f aca="false">AJ7+AJ8</f>
        <v>50.5221935191513</v>
      </c>
      <c r="AK9" s="13" t="n">
        <f aca="false">AK7+AK8</f>
        <v>50.2821337852541</v>
      </c>
      <c r="AL9" s="13" t="n">
        <f aca="false">AL7+AL8</f>
        <v>51.4125671466865</v>
      </c>
      <c r="AM9" s="13" t="n">
        <f aca="false">AM7+AM8</f>
        <v>51.0154407176367</v>
      </c>
      <c r="AN9" s="13" t="n">
        <f aca="false">AN7+AN8</f>
        <v>49.1164344926401</v>
      </c>
      <c r="AO9" s="13" t="n">
        <f aca="false">AO7+AO8</f>
        <v>48.724629263006</v>
      </c>
      <c r="AP9" s="13" t="n">
        <f aca="false">AP7+AP8</f>
        <v>41.1229775263262</v>
      </c>
      <c r="AQ9" s="13" t="n">
        <f aca="false">AQ7+AQ8</f>
        <v>40.0111872145842</v>
      </c>
      <c r="AR9" s="13" t="n">
        <f aca="false">AR7+AR8</f>
        <v>40.3466315003753</v>
      </c>
      <c r="AS9" s="13" t="n">
        <f aca="false">AS7+AS8</f>
        <v>40.0905018175021</v>
      </c>
      <c r="AT9" s="13" t="n">
        <f aca="false">AT7+AT8</f>
        <v>46.8465726745527</v>
      </c>
      <c r="AU9" s="13" t="n">
        <f aca="false">AU7+AU8</f>
        <v>42.4059822346283</v>
      </c>
      <c r="AV9" s="13" t="n">
        <f aca="false">AV7+AV8</f>
        <v>42.4596964681042</v>
      </c>
      <c r="AW9" s="13" t="n">
        <f aca="false">AW7+AW8</f>
        <v>42.017702995227</v>
      </c>
      <c r="AX9" s="13" t="n">
        <f aca="false">AX7+AX8</f>
        <v>42.6733383107201</v>
      </c>
      <c r="AY9" s="13" t="n">
        <f aca="false">AY7+AY8</f>
        <v>42.2146889405744</v>
      </c>
      <c r="AZ9" s="13" t="n">
        <f aca="false">AZ7+AZ8</f>
        <v>42.7969224922796</v>
      </c>
      <c r="BA9" s="13" t="n">
        <f aca="false">BA7+BA8</f>
        <v>42.5023869277238</v>
      </c>
      <c r="BB9" s="13" t="n">
        <f aca="false">BB7+BB8</f>
        <v>44.7568559769547</v>
      </c>
      <c r="BC9" s="13" t="n">
        <f aca="false">BC7+BC8</f>
        <v>41.353593286859</v>
      </c>
      <c r="BD9" s="13" t="n">
        <f aca="false">BD7+BD8</f>
        <v>35.1963738723774</v>
      </c>
      <c r="BE9" s="13" t="n">
        <f aca="false">BE7+BE8</f>
        <v>34.7519540233502</v>
      </c>
      <c r="BF9" s="13" t="n">
        <f aca="false">BF7+BF8</f>
        <v>35.4355056712595</v>
      </c>
      <c r="BG9" s="13" t="n">
        <f aca="false">BG7+BG8</f>
        <v>34.9660264215639</v>
      </c>
      <c r="BH9" s="13" t="n">
        <f aca="false">BH7+BH8</f>
        <v>35.5686599133915</v>
      </c>
      <c r="BI9" s="13" t="n">
        <f aca="false">BI7+BI8</f>
        <v>35.3183570416364</v>
      </c>
      <c r="BJ9" s="13" t="n">
        <f aca="false">BJ7+BJ8</f>
        <v>43.3690380173506</v>
      </c>
      <c r="BK9" s="13" t="n">
        <f aca="false">BK7+BK8</f>
        <v>38.115449052254</v>
      </c>
      <c r="BL9" s="13" t="n">
        <f aca="false">BL7+BL8</f>
        <v>38.7820997880652</v>
      </c>
      <c r="BM9" s="13" t="n">
        <f aca="false">BM7+BM8</f>
        <v>35.1393734749252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859.788158878138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36.4473244760797</v>
      </c>
      <c r="AC10" s="13" t="n">
        <f aca="false">Debt!AC114+Debt!AC110</f>
        <v>35.6217646922922</v>
      </c>
      <c r="AD10" s="13" t="n">
        <f aca="false">Debt!AD114+Debt!AD110</f>
        <v>36.3023177305147</v>
      </c>
      <c r="AE10" s="13" t="n">
        <f aca="false">Debt!AE114+Debt!AE110</f>
        <v>35.4729200834434</v>
      </c>
      <c r="AF10" s="13" t="n">
        <f aca="false">Debt!AF114+Debt!AF110</f>
        <v>34.5398057728096</v>
      </c>
      <c r="AG10" s="13" t="n">
        <f aca="false">Debt!AG114+Debt!AG110</f>
        <v>33.0220060535741</v>
      </c>
      <c r="AH10" s="13" t="n">
        <f aca="false">Debt!AH114+Debt!AH110</f>
        <v>32.0251031051067</v>
      </c>
      <c r="AI10" s="13" t="n">
        <f aca="false">Debt!AI114+Debt!AI110</f>
        <v>29.9947980417261</v>
      </c>
      <c r="AJ10" s="13" t="n">
        <f aca="false">Debt!AJ114+Debt!AJ110</f>
        <v>28.116148649628</v>
      </c>
      <c r="AK10" s="13" t="n">
        <f aca="false">Debt!AK114+Debt!AK110</f>
        <v>24.9878083292075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1.733222014779</v>
      </c>
      <c r="P13" s="13" t="n">
        <f aca="false">MAX(0,P9-P10)</f>
        <v>13.223502563724</v>
      </c>
      <c r="Q13" s="13" t="n">
        <f aca="false">MAX(0,Q9-Q10)</f>
        <v>11.4481591603509</v>
      </c>
      <c r="R13" s="13" t="n">
        <f aca="false">MAX(0,R9-R10)</f>
        <v>11.6008894838959</v>
      </c>
      <c r="S13" s="13" t="n">
        <f aca="false">MAX(0,S9-S10)</f>
        <v>11.486737228048</v>
      </c>
      <c r="T13" s="13" t="n">
        <f aca="false">MAX(0,T9-T10)</f>
        <v>11.6038641386724</v>
      </c>
      <c r="U13" s="13" t="n">
        <f aca="false">MAX(0,U9-U10)</f>
        <v>11.5389458763689</v>
      </c>
      <c r="V13" s="13" t="n">
        <f aca="false">MAX(0,V9-V10)</f>
        <v>11.8065522663915</v>
      </c>
      <c r="W13" s="13" t="n">
        <f aca="false">MAX(0,W9-W10)</f>
        <v>11.6956843901313</v>
      </c>
      <c r="X13" s="13" t="n">
        <f aca="false">MAX(0,X9-X10)</f>
        <v>11.2580673600651</v>
      </c>
      <c r="Y13" s="13" t="n">
        <f aca="false">MAX(0,Y9-Y10)</f>
        <v>11.116603427559</v>
      </c>
      <c r="Z13" s="13" t="n">
        <f aca="false">MAX(0,Z9-Z10)</f>
        <v>11.2100716192031</v>
      </c>
      <c r="AA13" s="13" t="n">
        <f aca="false">MAX(0,AA9-AA10)</f>
        <v>11.09299188217</v>
      </c>
      <c r="AB13" s="13" t="n">
        <f aca="false">MAX(0,AB9-AB10)</f>
        <v>11.7695840259183</v>
      </c>
      <c r="AC13" s="13" t="n">
        <f aca="false">MAX(0,AC9-AC10)</f>
        <v>12.3973520855249</v>
      </c>
      <c r="AD13" s="13" t="n">
        <f aca="false">MAX(0,AD9-AD10)</f>
        <v>13.6668800064091</v>
      </c>
      <c r="AE13" s="13" t="n">
        <f aca="false">MAX(0,AE9-AE10)</f>
        <v>14.5568414249212</v>
      </c>
      <c r="AF13" s="13" t="n">
        <f aca="false">MAX(0,AF9-AF10)</f>
        <v>15.5715389427919</v>
      </c>
      <c r="AG13" s="13" t="n">
        <f aca="false">MAX(0,AG9-AG10)</f>
        <v>16.6978736697177</v>
      </c>
      <c r="AH13" s="13" t="n">
        <f aca="false">MAX(0,AH9-AH10)</f>
        <v>18.3514174392694</v>
      </c>
      <c r="AI13" s="13" t="n">
        <f aca="false">MAX(0,AI9-AI10)</f>
        <v>19.9600728441469</v>
      </c>
      <c r="AJ13" s="13" t="n">
        <f aca="false">MAX(0,AJ9-AJ10)</f>
        <v>22.4060448695232</v>
      </c>
      <c r="AK13" s="13" t="n">
        <f aca="false">MAX(0,AK9-AK10)</f>
        <v>25.2943254560466</v>
      </c>
      <c r="AL13" s="13" t="n">
        <f aca="false">MAX(0,AL9-AL10)</f>
        <v>27.6985273112901</v>
      </c>
      <c r="AM13" s="13" t="n">
        <f aca="false">MAX(0,AM9-AM10)</f>
        <v>27.4461488643586</v>
      </c>
      <c r="AN13" s="13" t="n">
        <f aca="false">MAX(0,AN9-AN10)</f>
        <v>29.9844172377759</v>
      </c>
      <c r="AO13" s="13" t="n">
        <f aca="false">MAX(0,AO9-AO10)</f>
        <v>29.8187215153979</v>
      </c>
      <c r="AP13" s="13" t="n">
        <f aca="false">MAX(0,AP9-AP10)</f>
        <v>41.1229775263262</v>
      </c>
      <c r="AQ13" s="13" t="n">
        <f aca="false">MAX(0,AQ9-AQ10)</f>
        <v>40.0111872145842</v>
      </c>
      <c r="AR13" s="13" t="n">
        <f aca="false">MAX(0,AR9-AR10)</f>
        <v>40.3466315003753</v>
      </c>
      <c r="AS13" s="13" t="n">
        <f aca="false">MAX(0,AS9-AS10)</f>
        <v>40.0905018175021</v>
      </c>
      <c r="AT13" s="13" t="n">
        <f aca="false">MAX(0,AT9-AT10)</f>
        <v>46.8465726745527</v>
      </c>
      <c r="AU13" s="13" t="n">
        <f aca="false">MAX(0,AU9-AU10)</f>
        <v>42.4059822346283</v>
      </c>
      <c r="AV13" s="13" t="n">
        <f aca="false">MAX(0,AV9-AV10)</f>
        <v>42.4596964681042</v>
      </c>
      <c r="AW13" s="13" t="n">
        <f aca="false">MAX(0,AW9-AW10)</f>
        <v>42.017702995227</v>
      </c>
      <c r="AX13" s="13" t="n">
        <f aca="false">MAX(0,AX9-AX10)</f>
        <v>42.6733383107201</v>
      </c>
      <c r="AY13" s="13" t="n">
        <f aca="false">MAX(0,AY9-AY10)</f>
        <v>42.2146889405744</v>
      </c>
      <c r="AZ13" s="13" t="n">
        <f aca="false">MAX(0,AZ9-AZ10)</f>
        <v>42.7969224922796</v>
      </c>
      <c r="BA13" s="13" t="n">
        <f aca="false">MAX(0,BA9-BA10)</f>
        <v>42.5023869277238</v>
      </c>
      <c r="BB13" s="13" t="n">
        <f aca="false">MAX(0,BB9-BB10)</f>
        <v>44.7568559769547</v>
      </c>
      <c r="BC13" s="13" t="n">
        <f aca="false">MAX(0,BC9-BC10)</f>
        <v>41.353593286859</v>
      </c>
      <c r="BD13" s="13" t="n">
        <f aca="false">MAX(0,BD9-BD10)</f>
        <v>35.1963738723774</v>
      </c>
      <c r="BE13" s="13" t="n">
        <f aca="false">MAX(0,BE9-BE10)</f>
        <v>34.7519540233502</v>
      </c>
      <c r="BF13" s="13" t="n">
        <f aca="false">MAX(0,BF9-BF10)</f>
        <v>35.4355056712595</v>
      </c>
      <c r="BG13" s="13" t="n">
        <f aca="false">MAX(0,BG9-BG10)</f>
        <v>34.9660264215639</v>
      </c>
      <c r="BH13" s="13" t="n">
        <f aca="false">MAX(0,BH9-BH10)</f>
        <v>35.5686599133915</v>
      </c>
      <c r="BI13" s="13" t="n">
        <f aca="false">MAX(0,BI9-BI10)</f>
        <v>35.3183570416364</v>
      </c>
      <c r="BJ13" s="13" t="n">
        <f aca="false">MAX(0,BJ9-BJ10)</f>
        <v>43.3690380173506</v>
      </c>
      <c r="BK13" s="13" t="n">
        <f aca="false">MAX(0,BK9-BK10)</f>
        <v>38.115449052254</v>
      </c>
      <c r="BL13" s="13" t="n">
        <f aca="false">MAX(0,BL9-BL10)</f>
        <v>38.7820997880652</v>
      </c>
      <c r="BM13" s="13" t="n">
        <f aca="false">MAX(0,BM9-BM10)</f>
        <v>35.1393734749252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1.73322201477788</v>
      </c>
      <c r="P14" s="13" t="n">
        <f aca="false">P13-Reserves!P11+Reserves!P12</f>
        <v>13.3123815456747</v>
      </c>
      <c r="Q14" s="13" t="n">
        <f aca="false">Q13-Reserves!Q11+Reserves!Q12</f>
        <v>10.9803905278187</v>
      </c>
      <c r="R14" s="13" t="n">
        <f aca="false">R13-Reserves!R11+Reserves!R12</f>
        <v>11.8923620790169</v>
      </c>
      <c r="S14" s="13" t="n">
        <f aca="false">S13-Reserves!S11+Reserves!S12</f>
        <v>11.0688319388572</v>
      </c>
      <c r="T14" s="13" t="n">
        <f aca="false">T13-Reserves!T11+Reserves!T12</f>
        <v>11.7843891655674</v>
      </c>
      <c r="U14" s="13" t="n">
        <f aca="false">U13-Reserves!U11+Reserves!U12</f>
        <v>10.8217183960632</v>
      </c>
      <c r="V14" s="13" t="n">
        <f aca="false">V13-Reserves!V11+Reserves!V12</f>
        <v>12.07124507568</v>
      </c>
      <c r="W14" s="13" t="n">
        <f aca="false">W13-Reserves!W11+Reserves!W12</f>
        <v>12.7921167414117</v>
      </c>
      <c r="X14" s="13" t="n">
        <f aca="false">X13-Reserves!X11+Reserves!X12</f>
        <v>11.6144703901093</v>
      </c>
      <c r="Y14" s="13" t="n">
        <f aca="false">Y13-Reserves!Y11+Reserves!Y12</f>
        <v>10.81563236359</v>
      </c>
      <c r="Z14" s="13" t="n">
        <f aca="false">Z13-Reserves!Z11+Reserves!Z12</f>
        <v>11.5071473728627</v>
      </c>
      <c r="AA14" s="13" t="n">
        <f aca="false">AA13-Reserves!AA11+Reserves!AA12</f>
        <v>10.6625306050483</v>
      </c>
      <c r="AB14" s="13" t="n">
        <f aca="false">AB13-Reserves!AB11+Reserves!AB12</f>
        <v>12.4714288504252</v>
      </c>
      <c r="AC14" s="13" t="n">
        <f aca="false">AC13-Reserves!AC11+Reserves!AC12</f>
        <v>11.6982114744786</v>
      </c>
      <c r="AD14" s="13" t="n">
        <f aca="false">AD13-Reserves!AD11+Reserves!AD12</f>
        <v>14.2856409107984</v>
      </c>
      <c r="AE14" s="13" t="n">
        <f aca="false">AE13-Reserves!AE11+Reserves!AE12</f>
        <v>15.3411704679818</v>
      </c>
      <c r="AF14" s="13" t="n">
        <f aca="false">AF13-Reserves!AF11+Reserves!AF12</f>
        <v>16.8776413544117</v>
      </c>
      <c r="AG14" s="13" t="n">
        <f aca="false">AG13-Reserves!AG11+Reserves!AG12</f>
        <v>17.4960017806601</v>
      </c>
      <c r="AH14" s="13" t="n">
        <f aca="false">AH13-Reserves!AH11+Reserves!AH12</f>
        <v>19.9897565922392</v>
      </c>
      <c r="AI14" s="13" t="n">
        <f aca="false">AI13-Reserves!AI11+Reserves!AI12</f>
        <v>21.3922456827087</v>
      </c>
      <c r="AJ14" s="13" t="n">
        <f aca="false">AJ13-Reserves!AJ11+Reserves!AJ12</f>
        <v>24.7083372546842</v>
      </c>
      <c r="AK14" s="13" t="n">
        <f aca="false">AK13-Reserves!AK11+Reserves!AK12</f>
        <v>27.7277088891579</v>
      </c>
      <c r="AL14" s="13" t="n">
        <f aca="false">AL13-Reserves!AL11+Reserves!AL12</f>
        <v>29.8177715967116</v>
      </c>
      <c r="AM14" s="13" t="n">
        <f aca="false">AM13-Reserves!AM11+Reserves!AM12</f>
        <v>31.8834234627725</v>
      </c>
      <c r="AN14" s="13" t="n">
        <f aca="false">AN13-Reserves!AN11+Reserves!AN12</f>
        <v>30.2105267450319</v>
      </c>
      <c r="AO14" s="13" t="n">
        <f aca="false">AO13-Reserves!AO11+Reserves!AO12</f>
        <v>48.724629263006</v>
      </c>
      <c r="AP14" s="13" t="n">
        <f aca="false">AP13-Reserves!AP11+Reserves!AP12</f>
        <v>41.1229775263262</v>
      </c>
      <c r="AQ14" s="13" t="n">
        <f aca="false">AQ13-Reserves!AQ11+Reserves!AQ12</f>
        <v>40.0111872145842</v>
      </c>
      <c r="AR14" s="13" t="n">
        <f aca="false">AR13-Reserves!AR11+Reserves!AR12</f>
        <v>40.3466315003753</v>
      </c>
      <c r="AS14" s="13" t="n">
        <f aca="false">AS13-Reserves!AS11+Reserves!AS12</f>
        <v>40.0905018175021</v>
      </c>
      <c r="AT14" s="13" t="n">
        <f aca="false">AT13-Reserves!AT11+Reserves!AT12</f>
        <v>46.8465726745527</v>
      </c>
      <c r="AU14" s="13" t="n">
        <f aca="false">AU13-Reserves!AU11+Reserves!AU12</f>
        <v>42.4059822346283</v>
      </c>
      <c r="AV14" s="13" t="n">
        <f aca="false">AV13-Reserves!AV11+Reserves!AV12</f>
        <v>42.4596964681042</v>
      </c>
      <c r="AW14" s="13" t="n">
        <f aca="false">AW13-Reserves!AW11+Reserves!AW12</f>
        <v>42.017702995227</v>
      </c>
      <c r="AX14" s="13" t="n">
        <f aca="false">AX13-Reserves!AX11+Reserves!AX12</f>
        <v>42.6733383107201</v>
      </c>
      <c r="AY14" s="13" t="n">
        <f aca="false">AY13-Reserves!AY11+Reserves!AY12</f>
        <v>42.2146889405744</v>
      </c>
      <c r="AZ14" s="13" t="n">
        <f aca="false">AZ13-Reserves!AZ11+Reserves!AZ12</f>
        <v>42.7969224922796</v>
      </c>
      <c r="BA14" s="13" t="n">
        <f aca="false">BA13-Reserves!BA11+Reserves!BA12</f>
        <v>42.5023869277238</v>
      </c>
      <c r="BB14" s="13" t="n">
        <f aca="false">BB13-Reserves!BB11+Reserves!BB12</f>
        <v>44.7568559769547</v>
      </c>
      <c r="BC14" s="13" t="n">
        <f aca="false">BC13-Reserves!BC11+Reserves!BC12</f>
        <v>41.353593286859</v>
      </c>
      <c r="BD14" s="13" t="n">
        <f aca="false">BD13-Reserves!BD11+Reserves!BD12</f>
        <v>35.1963738723774</v>
      </c>
      <c r="BE14" s="13" t="n">
        <f aca="false">BE13-Reserves!BE11+Reserves!BE12</f>
        <v>34.7519540233502</v>
      </c>
      <c r="BF14" s="13" t="n">
        <f aca="false">BF13-Reserves!BF11+Reserves!BF12</f>
        <v>35.4355056712595</v>
      </c>
      <c r="BG14" s="13" t="n">
        <f aca="false">BG13-Reserves!BG11+Reserves!BG12</f>
        <v>34.9660264215639</v>
      </c>
      <c r="BH14" s="13" t="n">
        <f aca="false">BH13-Reserves!BH11+Reserves!BH12</f>
        <v>35.5686599133915</v>
      </c>
      <c r="BI14" s="13" t="n">
        <f aca="false">BI13-Reserves!BI11+Reserves!BI12</f>
        <v>35.3183570416364</v>
      </c>
      <c r="BJ14" s="13" t="n">
        <f aca="false">BJ13-Reserves!BJ11+Reserves!BJ12</f>
        <v>43.3690380173506</v>
      </c>
      <c r="BK14" s="13" t="n">
        <f aca="false">BK13-Reserves!BK11+Reserves!BK12</f>
        <v>38.115449052254</v>
      </c>
      <c r="BL14" s="13" t="n">
        <f aca="false">BL13-Reserves!BL11+Reserves!BL12</f>
        <v>38.7820997880652</v>
      </c>
      <c r="BM14" s="13" t="n">
        <f aca="false">BM13-Reserves!BM11+Reserves!BM12</f>
        <v>35.1393734749252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1.73322201477788</v>
      </c>
      <c r="P15" s="13" t="n">
        <f aca="false">P14-Reserves!P14+Reserves!P15</f>
        <v>13.3123815456747</v>
      </c>
      <c r="Q15" s="13" t="n">
        <f aca="false">Q14-Reserves!Q14+Reserves!Q15</f>
        <v>10.9803905278187</v>
      </c>
      <c r="R15" s="13" t="n">
        <f aca="false">R14-Reserves!R14+Reserves!R15</f>
        <v>11.8923620790169</v>
      </c>
      <c r="S15" s="13" t="n">
        <f aca="false">S14-Reserves!S14+Reserves!S15</f>
        <v>11.0688319388572</v>
      </c>
      <c r="T15" s="13" t="n">
        <f aca="false">T14-Reserves!T14+Reserves!T15</f>
        <v>11.7843891655674</v>
      </c>
      <c r="U15" s="13" t="n">
        <f aca="false">U14-Reserves!U14+Reserves!U15</f>
        <v>10.8217183960632</v>
      </c>
      <c r="V15" s="13" t="n">
        <f aca="false">V14-Reserves!V14+Reserves!V15</f>
        <v>12.07124507568</v>
      </c>
      <c r="W15" s="13" t="n">
        <f aca="false">W14-Reserves!W14+Reserves!W15</f>
        <v>12.7921167414117</v>
      </c>
      <c r="X15" s="13" t="n">
        <f aca="false">X14-Reserves!X14+Reserves!X15</f>
        <v>11.6144703901093</v>
      </c>
      <c r="Y15" s="13" t="n">
        <f aca="false">Y14-Reserves!Y14+Reserves!Y15</f>
        <v>10.81563236359</v>
      </c>
      <c r="Z15" s="13" t="n">
        <f aca="false">Z14-Reserves!Z14+Reserves!Z15</f>
        <v>11.5071473728627</v>
      </c>
      <c r="AA15" s="13" t="n">
        <f aca="false">AA14-Reserves!AA14+Reserves!AA15</f>
        <v>10.6625306050483</v>
      </c>
      <c r="AB15" s="13" t="n">
        <f aca="false">AB14-Reserves!AB14+Reserves!AB15</f>
        <v>12.4714288504252</v>
      </c>
      <c r="AC15" s="13" t="n">
        <f aca="false">AC14-Reserves!AC14+Reserves!AC15</f>
        <v>11.6982114744786</v>
      </c>
      <c r="AD15" s="13" t="n">
        <f aca="false">AD14-Reserves!AD14+Reserves!AD15</f>
        <v>14.2856409107984</v>
      </c>
      <c r="AE15" s="13" t="n">
        <f aca="false">AE14-Reserves!AE14+Reserves!AE15</f>
        <v>15.3411704679818</v>
      </c>
      <c r="AF15" s="13" t="n">
        <f aca="false">AF14-Reserves!AF14+Reserves!AF15</f>
        <v>16.8776413544117</v>
      </c>
      <c r="AG15" s="13" t="n">
        <f aca="false">AG14-Reserves!AG14+Reserves!AG15</f>
        <v>17.4960017806601</v>
      </c>
      <c r="AH15" s="13" t="n">
        <f aca="false">AH14-Reserves!AH14+Reserves!AH15</f>
        <v>19.9897565922392</v>
      </c>
      <c r="AI15" s="13" t="n">
        <f aca="false">AI14-Reserves!AI14+Reserves!AI15</f>
        <v>21.3922456827087</v>
      </c>
      <c r="AJ15" s="13" t="n">
        <f aca="false">AJ14-Reserves!AJ14+Reserves!AJ15</f>
        <v>24.7083372546842</v>
      </c>
      <c r="AK15" s="13" t="n">
        <f aca="false">AK14-Reserves!AK14+Reserves!AK15</f>
        <v>27.7277088891579</v>
      </c>
      <c r="AL15" s="13" t="n">
        <f aca="false">AL14-Reserves!AL14+Reserves!AL15</f>
        <v>29.8177715967116</v>
      </c>
      <c r="AM15" s="13" t="n">
        <f aca="false">AM14-Reserves!AM14+Reserves!AM15</f>
        <v>31.8834234627725</v>
      </c>
      <c r="AN15" s="13" t="n">
        <f aca="false">AN14-Reserves!AN14+Reserves!AN15</f>
        <v>30.2105267450319</v>
      </c>
      <c r="AO15" s="13" t="n">
        <f aca="false">AO14-Reserves!AO14+Reserves!AO15</f>
        <v>48.724629263006</v>
      </c>
      <c r="AP15" s="13" t="n">
        <f aca="false">AP14-Reserves!AP14+Reserves!AP15</f>
        <v>41.1229775263262</v>
      </c>
      <c r="AQ15" s="13" t="n">
        <f aca="false">AQ14-Reserves!AQ14+Reserves!AQ15</f>
        <v>40.0111872145842</v>
      </c>
      <c r="AR15" s="13" t="n">
        <f aca="false">AR14-Reserves!AR14+Reserves!AR15</f>
        <v>40.3466315003753</v>
      </c>
      <c r="AS15" s="13" t="n">
        <f aca="false">AS14-Reserves!AS14+Reserves!AS15</f>
        <v>40.0905018175021</v>
      </c>
      <c r="AT15" s="13" t="n">
        <f aca="false">AT14-Reserves!AT14+Reserves!AT15</f>
        <v>46.8465726745527</v>
      </c>
      <c r="AU15" s="13" t="n">
        <f aca="false">AU14-Reserves!AU14+Reserves!AU15</f>
        <v>42.4059822346283</v>
      </c>
      <c r="AV15" s="13" t="n">
        <f aca="false">AV14-Reserves!AV14+Reserves!AV15</f>
        <v>42.4596964681042</v>
      </c>
      <c r="AW15" s="13" t="n">
        <f aca="false">AW14-Reserves!AW14+Reserves!AW15</f>
        <v>42.017702995227</v>
      </c>
      <c r="AX15" s="13" t="n">
        <f aca="false">AX14-Reserves!AX14+Reserves!AX15</f>
        <v>42.6733383107201</v>
      </c>
      <c r="AY15" s="13" t="n">
        <f aca="false">AY14-Reserves!AY14+Reserves!AY15</f>
        <v>42.2146889405744</v>
      </c>
      <c r="AZ15" s="13" t="n">
        <f aca="false">AZ14-Reserves!AZ14+Reserves!AZ15</f>
        <v>42.7969224922796</v>
      </c>
      <c r="BA15" s="13" t="n">
        <f aca="false">BA14-Reserves!BA14+Reserves!BA15</f>
        <v>42.0074185411151</v>
      </c>
      <c r="BB15" s="13" t="n">
        <f aca="false">BB14-Reserves!BB14+Reserves!BB15</f>
        <v>43.2557057223103</v>
      </c>
      <c r="BC15" s="13" t="n">
        <f aca="false">BC14-Reserves!BC14+Reserves!BC15</f>
        <v>39.8360202135168</v>
      </c>
      <c r="BD15" s="13" t="n">
        <f aca="false">BD14-Reserves!BD14+Reserves!BD15</f>
        <v>33.6621983121308</v>
      </c>
      <c r="BE15" s="13" t="n">
        <f aca="false">BE14-Reserves!BE14+Reserves!BE15</f>
        <v>33.2009943423944</v>
      </c>
      <c r="BF15" s="13" t="n">
        <f aca="false">BF14-Reserves!BF14+Reserves!BF15</f>
        <v>33.8675782486875</v>
      </c>
      <c r="BG15" s="13" t="n">
        <f aca="false">BG14-Reserves!BG14+Reserves!BG15</f>
        <v>33.3809456276272</v>
      </c>
      <c r="BH15" s="13" t="n">
        <f aca="false">BH14-Reserves!BH14+Reserves!BH15</f>
        <v>33.9662380875229</v>
      </c>
      <c r="BI15" s="13" t="n">
        <f aca="false">BI14-Reserves!BI14+Reserves!BI15</f>
        <v>33.698404470233</v>
      </c>
      <c r="BJ15" s="13" t="n">
        <f aca="false">BJ14-Reserves!BJ14+Reserves!BJ15</f>
        <v>41.7313629113129</v>
      </c>
      <c r="BK15" s="13" t="n">
        <f aca="false">BK14-Reserves!BK14+Reserves!BK15</f>
        <v>36.4598575242797</v>
      </c>
      <c r="BL15" s="13" t="n">
        <f aca="false">BL14-Reserves!BL14+Reserves!BL15</f>
        <v>37.1083958296947</v>
      </c>
      <c r="BM15" s="13" t="n">
        <f aca="false">BM14-Reserves!BM14+Reserves!BM15</f>
        <v>53.0805536368862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1.30849790061704</v>
      </c>
      <c r="Q17" s="6" t="n">
        <f aca="false">IF(Debt!Q114&gt;Inputs!$F$253,Q7/Debt!Q114,0)</f>
        <v>1.30810221736104</v>
      </c>
      <c r="R17" s="6" t="n">
        <f aca="false">IF(Debt!R114&gt;Inputs!$F$253,R7/Debt!R114,0)</f>
        <v>1.30833104978173</v>
      </c>
      <c r="S17" s="6" t="n">
        <f aca="false">IF(Debt!S114&gt;Inputs!$F$253,S7/Debt!S114,0)</f>
        <v>1.3076806332237</v>
      </c>
      <c r="T17" s="6" t="n">
        <f aca="false">IF(Debt!T114&gt;Inputs!$F$253,T7/Debt!T114,0)</f>
        <v>1.30737721378309</v>
      </c>
      <c r="U17" s="6" t="n">
        <f aca="false">IF(Debt!U114&gt;Inputs!$F$253,U7/Debt!U114,0)</f>
        <v>1.30712624735615</v>
      </c>
      <c r="V17" s="6" t="n">
        <f aca="false">IF(Debt!V114&gt;Inputs!$F$253,V7/Debt!V114,0)</f>
        <v>1.3083623292641</v>
      </c>
      <c r="W17" s="6" t="n">
        <f aca="false">IF(Debt!W114&gt;Inputs!$F$253,W7/Debt!W114,0)</f>
        <v>1.30759315244697</v>
      </c>
      <c r="X17" s="6" t="n">
        <f aca="false">IF(Debt!X114&gt;Inputs!$F$253,X7/Debt!X114,0)</f>
        <v>1.30487529007932</v>
      </c>
      <c r="Y17" s="6" t="n">
        <f aca="false">IF(Debt!Y114&gt;Inputs!$F$253,Y7/Debt!Y114,0)</f>
        <v>1.30397824048531</v>
      </c>
      <c r="Z17" s="6" t="n">
        <f aca="false">IF(Debt!Z114&gt;Inputs!$F$253,Z7/Debt!Z114,0)</f>
        <v>1.30403192814465</v>
      </c>
      <c r="AA17" s="6" t="n">
        <f aca="false">IF(Debt!AA114&gt;Inputs!$F$253,AA7/Debt!AA114,0)</f>
        <v>1.30330028783726</v>
      </c>
      <c r="AB17" s="6" t="n">
        <f aca="false">IF(Debt!AB114&gt;Inputs!$F$253,AB7/Debt!AB114,0)</f>
        <v>1.32292038428342</v>
      </c>
      <c r="AC17" s="6" t="n">
        <f aca="false">IF(Debt!AC114&gt;Inputs!$F$253,AC7/Debt!AC114,0)</f>
        <v>1.34802745435594</v>
      </c>
      <c r="AD17" s="6" t="n">
        <f aca="false">IF(Debt!AD114&gt;Inputs!$F$253,AD7/Debt!AD114,0)</f>
        <v>1.37647403418876</v>
      </c>
      <c r="AE17" s="6" t="n">
        <f aca="false">IF(Debt!AE114&gt;Inputs!$F$253,AE7/Debt!AE114,0)</f>
        <v>1.41036490344406</v>
      </c>
      <c r="AF17" s="6" t="n">
        <f aca="false">IF(Debt!AF114&gt;Inputs!$F$253,AF7/Debt!AF114,0)</f>
        <v>1.45082879287787</v>
      </c>
      <c r="AG17" s="6" t="n">
        <f aca="false">IF(Debt!AG114&gt;Inputs!$F$253,AG7/Debt!AG114,0)</f>
        <v>1.50565897306867</v>
      </c>
      <c r="AH17" s="6" t="n">
        <f aca="false">IF(Debt!AH114&gt;Inputs!$F$253,AH7/Debt!AH114,0)</f>
        <v>1.57303226718864</v>
      </c>
      <c r="AI17" s="6" t="n">
        <f aca="false">IF(Debt!AI114&gt;Inputs!$F$253,AI7/Debt!AI114,0)</f>
        <v>1.66545114977538</v>
      </c>
      <c r="AJ17" s="6" t="n">
        <f aca="false">IF(Debt!AJ114&gt;Inputs!$F$253,AJ7/Debt!AJ114,0)</f>
        <v>1.79691017246844</v>
      </c>
      <c r="AK17" s="6" t="n">
        <f aca="false">IF(Debt!AK114&gt;Inputs!$F$253,AK7/Debt!AK114,0)</f>
        <v>2.01226666712026</v>
      </c>
      <c r="AL17" s="6" t="n">
        <f aca="false">IF(Debt!AL114&gt;Inputs!$F$253,AL7/Debt!AL114,0)</f>
        <v>2.16802229833258</v>
      </c>
      <c r="AM17" s="6" t="n">
        <f aca="false">IF(Debt!AM114&gt;Inputs!$F$253,AM7/Debt!AM114,0)</f>
        <v>2.16448763226381</v>
      </c>
      <c r="AN17" s="6" t="n">
        <f aca="false">IF(Debt!AN114&gt;Inputs!$F$253,AN7/Debt!AN114,0)</f>
        <v>2.56723762258538</v>
      </c>
      <c r="AO17" s="6" t="n">
        <f aca="false">IF(Debt!AO114&gt;Inputs!$F$253,AO7/Debt!AO114,0)</f>
        <v>2.57721712776105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1.30849790061704</v>
      </c>
      <c r="Q18" s="6" t="n">
        <f aca="false">IF(Debt!Q114&gt;Inputs!$F$253,IF(Debt!P114&gt;Inputs!$F$253,(Q7+P7)/(Debt!Q114+Debt!P114),Q17),0)</f>
        <v>1.30830029532337</v>
      </c>
      <c r="R18" s="6" t="n">
        <f aca="false">IF(Debt!R114&gt;Inputs!$F$253,IF(Debt!Q114&gt;Inputs!$F$253,(R7+Q7)/(Debt!R114+Debt!Q114),R17),0)</f>
        <v>1.30821734925773</v>
      </c>
      <c r="S18" s="6" t="n">
        <f aca="false">IF(Debt!S114&gt;Inputs!$F$253,IF(Debt!R114&gt;Inputs!$F$253,(S7+R7)/(Debt!S114+Debt!R114),S17),0)</f>
        <v>1.30800710606657</v>
      </c>
      <c r="T18" s="6" t="n">
        <f aca="false">IF(Debt!T114&gt;Inputs!$F$253,IF(Debt!S114&gt;Inputs!$F$253,(T7+S7)/(Debt!T114+Debt!S114),T17),0)</f>
        <v>1.30752807911782</v>
      </c>
      <c r="U18" s="6" t="n">
        <f aca="false">IF(Debt!U114&gt;Inputs!$F$253,IF(Debt!T114&gt;Inputs!$F$253,(U7+T7)/(Debt!U114+Debt!T114),U17),0)</f>
        <v>1.30725203131691</v>
      </c>
      <c r="V18" s="6" t="n">
        <f aca="false">IF(Debt!V114&gt;Inputs!$F$253,IF(Debt!U114&gt;Inputs!$F$253,(V7+U7)/(Debt!V114+Debt!U114),V17),0)</f>
        <v>1.30775013175939</v>
      </c>
      <c r="W18" s="6" t="n">
        <f aca="false">IF(Debt!W114&gt;Inputs!$F$253,IF(Debt!V114&gt;Inputs!$F$253,(W7+V7)/(Debt!W114+Debt!V114),W17),0)</f>
        <v>1.3079790748387</v>
      </c>
      <c r="X18" s="6" t="n">
        <f aca="false">IF(Debt!X114&gt;Inputs!$F$253,IF(Debt!W114&gt;Inputs!$F$253,(X7+W7)/(Debt!X114+Debt!W114),X17),0)</f>
        <v>1.30625410085842</v>
      </c>
      <c r="Y18" s="6" t="n">
        <f aca="false">IF(Debt!Y114&gt;Inputs!$F$253,IF(Debt!X114&gt;Inputs!$F$253,(Y7+X7)/(Debt!Y114+Debt!X114),Y17),0)</f>
        <v>1.30442894027163</v>
      </c>
      <c r="Z18" s="6" t="n">
        <f aca="false">IF(Debt!Z114&gt;Inputs!$F$253,IF(Debt!Y114&gt;Inputs!$F$253,(Z7+Y7)/(Debt!Z114+Debt!Y114),Z17),0)</f>
        <v>1.30400519432346</v>
      </c>
      <c r="AA18" s="6" t="n">
        <f aca="false">IF(Debt!AA114&gt;Inputs!$F$253,IF(Debt!Z114&gt;Inputs!$F$253,(AA7+Z7)/(Debt!AA114+Debt!Z114),AA17),0)</f>
        <v>1.30366758767419</v>
      </c>
      <c r="AB18" s="6" t="n">
        <f aca="false">IF(Debt!AB114&gt;Inputs!$F$253,IF(Debt!AA114&gt;Inputs!$F$253,(AB7+AA7)/(Debt!AB114+Debt!AA114),AB17),0)</f>
        <v>1.31309327930232</v>
      </c>
      <c r="AC18" s="6" t="n">
        <f aca="false">IF(Debt!AC114&gt;Inputs!$F$253,IF(Debt!AB114&gt;Inputs!$F$253,(AC7+AB7)/(Debt!AC114+Debt!AB114),AC17),0)</f>
        <v>1.33533011711835</v>
      </c>
      <c r="AD18" s="6" t="n">
        <f aca="false">IF(Debt!AD114&gt;Inputs!$F$253,IF(Debt!AC114&gt;Inputs!$F$253,(AD7+AC7)/(Debt!AD114+Debt!AC114),AD17),0)</f>
        <v>1.36238532649906</v>
      </c>
      <c r="AE18" s="6" t="n">
        <f aca="false">IF(Debt!AE114&gt;Inputs!$F$253,IF(Debt!AD114&gt;Inputs!$F$253,(AE7+AD7)/(Debt!AE114+Debt!AD114),AE17),0)</f>
        <v>1.39322365610946</v>
      </c>
      <c r="AF18" s="6" t="n">
        <f aca="false">IF(Debt!AF114&gt;Inputs!$F$253,IF(Debt!AE114&gt;Inputs!$F$253,(AF7+AE7)/(Debt!AF114+Debt!AE114),AF17),0)</f>
        <v>1.43032720122298</v>
      </c>
      <c r="AG18" s="6" t="n">
        <f aca="false">IF(Debt!AG114&gt;Inputs!$F$253,IF(Debt!AF114&gt;Inputs!$F$253,(AG7+AF7)/(Debt!AG114+Debt!AF114),AG17),0)</f>
        <v>1.4776279933912</v>
      </c>
      <c r="AH18" s="6" t="n">
        <f aca="false">IF(Debt!AH114&gt;Inputs!$F$253,IF(Debt!AG114&gt;Inputs!$F$253,(AH7+AG7)/(Debt!AH114+Debt!AG114),AH17),0)</f>
        <v>1.53882934326082</v>
      </c>
      <c r="AI18" s="6" t="n">
        <f aca="false">IF(Debt!AI114&gt;Inputs!$F$253,IF(Debt!AH114&gt;Inputs!$F$253,(AI7+AH7)/(Debt!AI114+Debt!AH114),AI17),0)</f>
        <v>1.61772898013355</v>
      </c>
      <c r="AJ18" s="6" t="n">
        <f aca="false">IF(Debt!AJ114&gt;Inputs!$F$253,IF(Debt!AI114&gt;Inputs!$F$253,(AJ7+AI7)/(Debt!AJ114+Debt!AI114),AJ17),0)</f>
        <v>1.72905571369694</v>
      </c>
      <c r="AK18" s="6" t="n">
        <f aca="false">IF(Debt!AK114&gt;Inputs!$F$253,IF(Debt!AJ114&gt;Inputs!$F$253,(AK7+AJ7)/(Debt!AK114+Debt!AJ114),AK17),0)</f>
        <v>1.89824512219646</v>
      </c>
      <c r="AL18" s="6" t="n">
        <f aca="false">IF(Debt!AL114&gt;Inputs!$F$253,IF(Debt!AK114&gt;Inputs!$F$253,(AL7+AK7)/(Debt!AL114+Debt!AK114),AL17),0)</f>
        <v>2.08810763378486</v>
      </c>
      <c r="AM18" s="6" t="n">
        <f aca="false">IF(Debt!AM114&gt;Inputs!$F$253,IF(Debt!AL114&gt;Inputs!$F$253,(AM7+AL7)/(Debt!AM114+Debt!AL114),AM17),0)</f>
        <v>2.16626037561683</v>
      </c>
      <c r="AN18" s="6" t="n">
        <f aca="false">IF(Debt!AN114&gt;Inputs!$F$253,IF(Debt!AM114&gt;Inputs!$F$253,(AN7+AM7)/(Debt!AN114+Debt!AM114),AN17),0)</f>
        <v>2.34493689541672</v>
      </c>
      <c r="AO18" s="6" t="n">
        <f aca="false">IF(Debt!AO114&gt;Inputs!$F$253,IF(Debt!AN114&gt;Inputs!$F$253,(AO7+AN7)/(Debt!AO114+Debt!AN114),AO17),0)</f>
        <v>2.57219771449906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88.6145795179285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5.33126530252416</v>
      </c>
      <c r="AB29" s="13" t="n">
        <f aca="false">IF(AND(AB24=1,Time!AB52=1,Inputs!$F$52=1),MIN(Inputs!$F$111*AB15,Debt!AB73),0)</f>
        <v>6.23571442521261</v>
      </c>
      <c r="AC29" s="13" t="n">
        <f aca="false">IF(AND(AC24=1,Time!AC52=1,Inputs!$F$52=1),MIN(Inputs!$F$111*AC15,Debt!AC73),0)</f>
        <v>5.84910573723931</v>
      </c>
      <c r="AD29" s="13" t="n">
        <f aca="false">IF(AND(AD24=1,Time!AD52=1,Inputs!$F$52=1),MIN(Inputs!$F$111*AD15,Debt!AD73),0)</f>
        <v>7.14282045539922</v>
      </c>
      <c r="AE29" s="13" t="n">
        <f aca="false">IF(AND(AE24=1,Time!AE52=1,Inputs!$F$52=1),MIN(Inputs!$F$111*AE15,Debt!AE73),0)</f>
        <v>7.67058523399088</v>
      </c>
      <c r="AF29" s="13" t="n">
        <f aca="false">IF(AND(AF24=1,Time!AF52=1,Inputs!$F$52=1),MIN(Inputs!$F$111*AF15,Debt!AF73),0)</f>
        <v>8.43882067720587</v>
      </c>
      <c r="AG29" s="13" t="n">
        <f aca="false">IF(AND(AG24=1,Time!AG52=1,Inputs!$F$52=1),MIN(Inputs!$F$111*AG15,Debt!AG73),0)</f>
        <v>8.74800089033003</v>
      </c>
      <c r="AH29" s="13" t="n">
        <f aca="false">IF(AND(AH24=1,Time!AH52=1,Inputs!$F$52=1),MIN(Inputs!$F$111*AH15,Debt!AH73),0)</f>
        <v>9.99487829611962</v>
      </c>
      <c r="AI29" s="13" t="n">
        <f aca="false">IF(AND(AI24=1,Time!AI52=1,Inputs!$F$52=1),MIN(Inputs!$F$111*AI15,Debt!AI73),0)</f>
        <v>10.6961228413543</v>
      </c>
      <c r="AJ29" s="13" t="n">
        <f aca="false">IF(AND(AJ24=1,Time!AJ52=1,Inputs!$F$52=1),MIN(Inputs!$F$111*AJ15,Debt!AJ73),0)</f>
        <v>12.3541686273421</v>
      </c>
      <c r="AK29" s="13" t="n">
        <f aca="false">IF(AND(AK24=1,Time!AK52=1,Inputs!$F$52=1),MIN(Inputs!$F$111*AK15,Debt!AK73),0)</f>
        <v>6.15309703121032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1.73322201477788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1331.57500665143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13.3123815456747</v>
      </c>
      <c r="Q31" s="13" t="n">
        <f aca="false">IF(Q24=1,Q15-Q29,0)</f>
        <v>10.9803905278187</v>
      </c>
      <c r="R31" s="13" t="n">
        <f aca="false">IF(R24=1,R15-R29,0)</f>
        <v>11.8923620790169</v>
      </c>
      <c r="S31" s="13" t="n">
        <f aca="false">IF(S24=1,S15-S29,0)</f>
        <v>11.0688319388572</v>
      </c>
      <c r="T31" s="13" t="n">
        <f aca="false">IF(T24=1,T15-T29,0)</f>
        <v>11.7843891655674</v>
      </c>
      <c r="U31" s="13" t="n">
        <f aca="false">IF(U24=1,U15-U29,0)</f>
        <v>10.8217183960632</v>
      </c>
      <c r="V31" s="13" t="n">
        <f aca="false">IF(V24=1,V15-V29,0)</f>
        <v>12.07124507568</v>
      </c>
      <c r="W31" s="13" t="n">
        <f aca="false">IF(W24=1,W15-W29,0)</f>
        <v>12.7921167414117</v>
      </c>
      <c r="X31" s="13" t="n">
        <f aca="false">IF(X24=1,X15-X29,0)</f>
        <v>11.6144703901093</v>
      </c>
      <c r="Y31" s="13" t="n">
        <f aca="false">IF(Y24=1,Y15-Y29,0)</f>
        <v>10.81563236359</v>
      </c>
      <c r="Z31" s="13" t="n">
        <f aca="false">IF(Z24=1,Z15-Z29,0)</f>
        <v>11.5071473728627</v>
      </c>
      <c r="AA31" s="13" t="n">
        <f aca="false">IF(AA24=1,AA15-AA29,0)</f>
        <v>5.33126530252416</v>
      </c>
      <c r="AB31" s="13" t="n">
        <f aca="false">IF(AB24=1,AB15-AB29,0)</f>
        <v>6.23571442521261</v>
      </c>
      <c r="AC31" s="13" t="n">
        <f aca="false">IF(AC24=1,AC15-AC29,0)</f>
        <v>5.84910573723931</v>
      </c>
      <c r="AD31" s="13" t="n">
        <f aca="false">IF(AD24=1,AD15-AD29,0)</f>
        <v>7.14282045539922</v>
      </c>
      <c r="AE31" s="13" t="n">
        <f aca="false">IF(AE24=1,AE15-AE29,0)</f>
        <v>7.67058523399088</v>
      </c>
      <c r="AF31" s="13" t="n">
        <f aca="false">IF(AF24=1,AF15-AF29,0)</f>
        <v>8.43882067720587</v>
      </c>
      <c r="AG31" s="13" t="n">
        <f aca="false">IF(AG24=1,AG15-AG29,0)</f>
        <v>8.74800089033003</v>
      </c>
      <c r="AH31" s="13" t="n">
        <f aca="false">IF(AH24=1,AH15-AH29,0)</f>
        <v>9.99487829611962</v>
      </c>
      <c r="AI31" s="13" t="n">
        <f aca="false">IF(AI24=1,AI15-AI29,0)</f>
        <v>10.6961228413543</v>
      </c>
      <c r="AJ31" s="13" t="n">
        <f aca="false">IF(AJ24=1,AJ15-AJ29,0)</f>
        <v>12.3541686273421</v>
      </c>
      <c r="AK31" s="13" t="n">
        <f aca="false">IF(AK24=1,AK15-AK29,0)</f>
        <v>21.5746118579476</v>
      </c>
      <c r="AL31" s="13" t="n">
        <f aca="false">IF(AL24=1,AL15-AL29,0)</f>
        <v>29.8177715967116</v>
      </c>
      <c r="AM31" s="13" t="n">
        <f aca="false">IF(AM24=1,AM15-AM29,0)</f>
        <v>31.8834234627725</v>
      </c>
      <c r="AN31" s="13" t="n">
        <f aca="false">IF(AN24=1,AN15-AN29,0)</f>
        <v>30.2105267450319</v>
      </c>
      <c r="AO31" s="13" t="n">
        <f aca="false">IF(AO24=1,AO15-AO29,0)</f>
        <v>48.724629263006</v>
      </c>
      <c r="AP31" s="13" t="n">
        <f aca="false">IF(AP24=1,AP15-AP29,0)</f>
        <v>41.1229775263262</v>
      </c>
      <c r="AQ31" s="13" t="n">
        <f aca="false">IF(AQ24=1,AQ15-AQ29,0)</f>
        <v>40.0111872145842</v>
      </c>
      <c r="AR31" s="13" t="n">
        <f aca="false">IF(AR24=1,AR15-AR29,0)</f>
        <v>40.3466315003753</v>
      </c>
      <c r="AS31" s="13" t="n">
        <f aca="false">IF(AS24=1,AS15-AS29,0)</f>
        <v>40.0905018175021</v>
      </c>
      <c r="AT31" s="13" t="n">
        <f aca="false">IF(AT24=1,AT15-AT29,0)</f>
        <v>46.8465726745527</v>
      </c>
      <c r="AU31" s="13" t="n">
        <f aca="false">IF(AU24=1,AU15-AU29,0)</f>
        <v>42.4059822346283</v>
      </c>
      <c r="AV31" s="13" t="n">
        <f aca="false">IF(AV24=1,AV15-AV29,0)</f>
        <v>42.4596964681042</v>
      </c>
      <c r="AW31" s="13" t="n">
        <f aca="false">IF(AW24=1,AW15-AW29,0)</f>
        <v>42.017702995227</v>
      </c>
      <c r="AX31" s="13" t="n">
        <f aca="false">IF(AX24=1,AX15-AX29,0)</f>
        <v>42.6733383107201</v>
      </c>
      <c r="AY31" s="13" t="n">
        <f aca="false">IF(AY24=1,AY15-AY29,0)</f>
        <v>42.2146889405744</v>
      </c>
      <c r="AZ31" s="13" t="n">
        <f aca="false">IF(AZ24=1,AZ15-AZ29,0)</f>
        <v>42.7969224922796</v>
      </c>
      <c r="BA31" s="13" t="n">
        <f aca="false">IF(BA24=1,BA15-BA29,0)</f>
        <v>42.0074185411151</v>
      </c>
      <c r="BB31" s="13" t="n">
        <f aca="false">IF(BB24=1,BB15-BB29,0)</f>
        <v>43.2557057223103</v>
      </c>
      <c r="BC31" s="13" t="n">
        <f aca="false">IF(BC24=1,BC15-BC29,0)</f>
        <v>39.8360202135168</v>
      </c>
      <c r="BD31" s="13" t="n">
        <f aca="false">IF(BD24=1,BD15-BD29,0)</f>
        <v>33.6621983121308</v>
      </c>
      <c r="BE31" s="13" t="n">
        <f aca="false">IF(BE24=1,BE15-BE29,0)</f>
        <v>33.2009943423944</v>
      </c>
      <c r="BF31" s="13" t="n">
        <f aca="false">IF(BF24=1,BF15-BF29,0)</f>
        <v>33.8675782486875</v>
      </c>
      <c r="BG31" s="13" t="n">
        <f aca="false">IF(BG24=1,BG15-BG29,0)</f>
        <v>33.3809456276272</v>
      </c>
      <c r="BH31" s="13" t="n">
        <f aca="false">IF(BH24=1,BH15-BH29,0)</f>
        <v>33.9662380875229</v>
      </c>
      <c r="BI31" s="13" t="n">
        <f aca="false">IF(BI24=1,BI15-BI29,0)</f>
        <v>33.698404470233</v>
      </c>
      <c r="BJ31" s="13" t="n">
        <f aca="false">IF(BJ24=1,BJ15-BJ29,0)</f>
        <v>41.7313629113129</v>
      </c>
      <c r="BK31" s="13" t="n">
        <f aca="false">IF(BK24=1,BK15-BK29,0)</f>
        <v>36.4598575242797</v>
      </c>
      <c r="BL31" s="13" t="n">
        <f aca="false">IF(BL24=1,BL15-BL29,0)</f>
        <v>37.1083958296947</v>
      </c>
      <c r="BM31" s="13" t="n">
        <f aca="false">IF(BM24=1,BM15-BM29,0)</f>
        <v>53.0805536368862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201.359927735114</v>
      </c>
      <c r="R33" s="13" t="n">
        <f aca="false">IF(Time!R20&lt;Time!$F$12,0,IF(Time!R34=1,INDEX(Funding!$J$72:$BJ$72,1,Time!$F$14),Q36))</f>
        <v>199.865520652242</v>
      </c>
      <c r="S33" s="13" t="n">
        <f aca="false">IF(Time!S20&lt;Time!$F$12,0,IF(Time!S34=1,INDEX(Funding!$J$72:$BJ$72,1,Time!$F$14),R36))</f>
        <v>197.544800493776</v>
      </c>
      <c r="T33" s="13" t="n">
        <f aca="false">IF(Time!T20&lt;Time!$F$12,0,IF(Time!T34=1,INDEX(Funding!$J$72:$BJ$72,1,Time!$F$14),S36))</f>
        <v>195.782222923386</v>
      </c>
      <c r="U33" s="13" t="n">
        <f aca="false">IF(Time!U20&lt;Time!$F$12,0,IF(Time!U34=1,INDEX(Funding!$J$72:$BJ$72,1,Time!$F$14),T36))</f>
        <v>193.373924872067</v>
      </c>
      <c r="V33" s="13" t="n">
        <f aca="false">IF(Time!V20&lt;Time!$F$12,0,IF(Time!V34=1,INDEX(Funding!$J$72:$BJ$72,1,Time!$F$14),U36))</f>
        <v>191.712302807615</v>
      </c>
      <c r="W33" s="13" t="n">
        <f aca="false">IF(Time!W20&lt;Time!$F$12,0,IF(Time!W34=1,INDEX(Funding!$J$72:$BJ$72,1,Time!$F$14),V36))</f>
        <v>188.822238699269</v>
      </c>
      <c r="X33" s="13" t="n">
        <f aca="false">IF(Time!X20&lt;Time!$F$12,0,IF(Time!X34=1,INDEX(Funding!$J$72:$BJ$72,1,Time!$F$14),W36))</f>
        <v>184.9254600248</v>
      </c>
      <c r="Y33" s="13" t="n">
        <f aca="false">IF(Time!Y20&lt;Time!$F$12,0,IF(Time!Y34=1,INDEX(Funding!$J$72:$BJ$72,1,Time!$F$14),X36))</f>
        <v>182.167145912043</v>
      </c>
      <c r="Z33" s="13" t="n">
        <f aca="false">IF(Time!Z20&lt;Time!$F$12,0,IF(Time!Z34=1,INDEX(Funding!$J$72:$BJ$72,1,Time!$F$14),Y36))</f>
        <v>179.933332929158</v>
      </c>
      <c r="AA33" s="13" t="n">
        <f aca="false">IF(Time!AA20&lt;Time!$F$12,0,IF(Time!AA34=1,INDEX(Funding!$J$72:$BJ$72,1,Time!$F$14),Z36))</f>
        <v>177.043266815478</v>
      </c>
      <c r="AB33" s="13" t="n">
        <f aca="false">IF(Time!AB20&lt;Time!$F$12,0,IF(Time!AB34=1,INDEX(Funding!$J$72:$BJ$72,1,Time!$F$14),AA36))</f>
        <v>180.052437055124</v>
      </c>
      <c r="AC33" s="13" t="n">
        <f aca="false">IF(Time!AC20&lt;Time!$F$12,0,IF(Time!AC34=1,INDEX(Funding!$J$72:$BJ$72,1,Time!$F$14),AB36))</f>
        <v>182.439507834634</v>
      </c>
      <c r="AD33" s="13" t="n">
        <f aca="false">IF(Time!AD20&lt;Time!$F$12,0,IF(Time!AD34=1,INDEX(Funding!$J$72:$BJ$72,1,Time!$F$14),AC36))</f>
        <v>185.232536591808</v>
      </c>
      <c r="AE33" s="13" t="n">
        <f aca="false">IF(Time!AE20&lt;Time!$F$12,0,IF(Time!AE34=1,INDEX(Funding!$J$72:$BJ$72,1,Time!$F$14),AD36))</f>
        <v>186.960578436751</v>
      </c>
      <c r="AF33" s="13" t="n">
        <f aca="false">IF(Time!AF20&lt;Time!$F$12,0,IF(Time!AF34=1,INDEX(Funding!$J$72:$BJ$72,1,Time!$F$14),AE36))</f>
        <v>188.097629219801</v>
      </c>
      <c r="AG33" s="13" t="n">
        <f aca="false">IF(Time!AG20&lt;Time!$F$12,0,IF(Time!AG34=1,INDEX(Funding!$J$72:$BJ$72,1,Time!$F$14),AF36))</f>
        <v>188.666881306326</v>
      </c>
      <c r="AH33" s="13" t="n">
        <f aca="false">IF(Time!AH20&lt;Time!$F$12,0,IF(Time!AH34=1,INDEX(Funding!$J$72:$BJ$72,1,Time!$F$14),AG36))</f>
        <v>188.806899660003</v>
      </c>
      <c r="AI33" s="13" t="n">
        <f aca="false">IF(Time!AI20&lt;Time!$F$12,0,IF(Time!AI34=1,INDEX(Funding!$J$72:$BJ$72,1,Time!$F$14),AH36))</f>
        <v>187.854061380477</v>
      </c>
      <c r="AJ33" s="13" t="n">
        <f aca="false">IF(Time!AJ20&lt;Time!$F$12,0,IF(Time!AJ34=1,INDEX(Funding!$J$72:$BJ$72,1,Time!$F$14),AI36))</f>
        <v>186.007666170458</v>
      </c>
      <c r="AK33" s="13" t="n">
        <f aca="false">IF(Time!AK20&lt;Time!$F$12,0,IF(Time!AK34=1,INDEX(Funding!$J$72:$BJ$72,1,Time!$F$14),AJ36))</f>
        <v>182.561481117526</v>
      </c>
      <c r="AL33" s="13" t="n">
        <f aca="false">IF(Time!AL20&lt;Time!$F$12,0,IF(Time!AL34=1,INDEX(Funding!$J$72:$BJ$72,1,Time!$F$14),AK36))</f>
        <v>169.634781611693</v>
      </c>
      <c r="AM33" s="13" t="n">
        <f aca="false">IF(Time!AM20&lt;Time!$F$12,0,IF(Time!AM34=1,INDEX(Funding!$J$72:$BJ$72,1,Time!$F$14),AL36))</f>
        <v>147.940889419289</v>
      </c>
      <c r="AN33" s="13" t="n">
        <f aca="false">IF(Time!AN20&lt;Time!$F$12,0,IF(Time!AN34=1,INDEX(Funding!$J$72:$BJ$72,1,Time!$F$14),AM36))</f>
        <v>123.026900459434</v>
      </c>
      <c r="AO33" s="13" t="n">
        <f aca="false">IF(Time!AO20&lt;Time!$F$12,0,IF(Time!AO34=1,INDEX(Funding!$J$72:$BJ$72,1,Time!$F$14),AN36))</f>
        <v>98.7081825364045</v>
      </c>
      <c r="AP33" s="13" t="n">
        <f aca="false">IF(Time!AP20&lt;Time!$F$12,0,IF(Time!AP34=1,INDEX(Funding!$J$72:$BJ$72,1,Time!$F$14),AO36))</f>
        <v>54.633655187682</v>
      </c>
      <c r="AQ33" s="13" t="n">
        <f aca="false">IF(Time!AQ20&lt;Time!$F$12,0,IF(Time!AQ34=1,INDEX(Funding!$J$72:$BJ$72,1,Time!$F$14),AP36))</f>
        <v>16.1271058604809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214.717910813366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9.485983444946</v>
      </c>
      <c r="R34" s="13" t="n">
        <f aca="false">R24*MIN(R31,Tax!R13)</f>
        <v>9.57164192055118</v>
      </c>
      <c r="S34" s="13" t="n">
        <f aca="false">S24*MIN(S31,Tax!S13)</f>
        <v>9.30625436846706</v>
      </c>
      <c r="T34" s="13" t="n">
        <f aca="false">T24*MIN(T31,Tax!T13)</f>
        <v>9.37609111424872</v>
      </c>
      <c r="U34" s="13" t="n">
        <f aca="false">U24*MIN(U31,Tax!U13)</f>
        <v>9.16009633161106</v>
      </c>
      <c r="V34" s="13" t="n">
        <f aca="false">V24*MIN(V31,Tax!V13)</f>
        <v>9.18118096733454</v>
      </c>
      <c r="W34" s="13" t="n">
        <f aca="false">W24*MIN(W31,Tax!W13)</f>
        <v>8.89533806694229</v>
      </c>
      <c r="X34" s="13" t="n">
        <f aca="false">X24*MIN(X31,Tax!X13)</f>
        <v>8.85615627735206</v>
      </c>
      <c r="Y34" s="13" t="n">
        <f aca="false">Y24*MIN(Y31,Tax!Y13)</f>
        <v>8.58181938070568</v>
      </c>
      <c r="Z34" s="13" t="n">
        <f aca="false">Z24*MIN(Z31,Tax!Z13)</f>
        <v>8.6170812591827</v>
      </c>
      <c r="AA34" s="13" t="n">
        <f aca="false">AA24*MIN(AA31,Tax!AA13)</f>
        <v>5.33126530252416</v>
      </c>
      <c r="AB34" s="13" t="n">
        <f aca="false">AB24*MIN(AB31,Tax!AB13)</f>
        <v>6.23571442521261</v>
      </c>
      <c r="AC34" s="13" t="n">
        <f aca="false">AC24*MIN(AC31,Tax!AC13)</f>
        <v>5.84910573723931</v>
      </c>
      <c r="AD34" s="13" t="n">
        <f aca="false">AD24*MIN(AD31,Tax!AD13)</f>
        <v>7.14282045539922</v>
      </c>
      <c r="AE34" s="13" t="n">
        <f aca="false">AE24*MIN(AE31,Tax!AE13)</f>
        <v>7.67058523399088</v>
      </c>
      <c r="AF34" s="13" t="n">
        <f aca="false">AF24*MIN(AF31,Tax!AF13)</f>
        <v>8.43882067720587</v>
      </c>
      <c r="AG34" s="13" t="n">
        <f aca="false">AG24*MIN(AG31,Tax!AG13)</f>
        <v>8.74800089033003</v>
      </c>
      <c r="AH34" s="13" t="n">
        <f aca="false">AH24*MIN(AH31,Tax!AH13)</f>
        <v>9.0420400165941</v>
      </c>
      <c r="AI34" s="13" t="n">
        <f aca="false">AI24*MIN(AI31,Tax!AI13)</f>
        <v>8.84972763133508</v>
      </c>
      <c r="AJ34" s="13" t="n">
        <f aca="false">AJ24*MIN(AJ31,Tax!AJ13)</f>
        <v>8.90798357440988</v>
      </c>
      <c r="AK34" s="13" t="n">
        <f aca="false">AK24*MIN(AK31,Tax!AK13)</f>
        <v>8.64791235211512</v>
      </c>
      <c r="AL34" s="13" t="n">
        <f aca="false">AL24*MIN(AL31,Tax!AL13)</f>
        <v>8.12387940430794</v>
      </c>
      <c r="AM34" s="13" t="n">
        <f aca="false">AM24*MIN(AM31,Tax!AM13)</f>
        <v>6.96943450291694</v>
      </c>
      <c r="AN34" s="13" t="n">
        <f aca="false">AN24*MIN(AN31,Tax!AN13)</f>
        <v>5.89180882200248</v>
      </c>
      <c r="AO34" s="13" t="n">
        <f aca="false">AO24*MIN(AO31,Tax!AO13)</f>
        <v>4.65010191428349</v>
      </c>
      <c r="AP34" s="13" t="n">
        <f aca="false">AP24*MIN(AP31,Tax!AP13)</f>
        <v>2.61642819912515</v>
      </c>
      <c r="AQ34" s="13" t="n">
        <f aca="false">AQ24*MIN(AQ31,Tax!AQ13)</f>
        <v>0.759741329509507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216.625044911791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3.50148433215194</v>
      </c>
      <c r="Q35" s="13" t="n">
        <f aca="false">Q24*MIN(Q31-Q34,Q33+Tax!Q13-Q34)</f>
        <v>1.49440708287272</v>
      </c>
      <c r="R35" s="13" t="n">
        <f aca="false">R24*MIN(R31-R34,R33+Tax!R13-R34)</f>
        <v>2.32072015846573</v>
      </c>
      <c r="S35" s="13" t="n">
        <f aca="false">S24*MIN(S31-S34,S33+Tax!S13-S34)</f>
        <v>1.76257757039014</v>
      </c>
      <c r="T35" s="13" t="n">
        <f aca="false">T24*MIN(T31-T34,T33+Tax!T13-T34)</f>
        <v>2.40829805131872</v>
      </c>
      <c r="U35" s="13" t="n">
        <f aca="false">U24*MIN(U31-U34,U33+Tax!U13-U34)</f>
        <v>1.66162206445216</v>
      </c>
      <c r="V35" s="13" t="n">
        <f aca="false">V24*MIN(V31-V34,V33+Tax!V13-V34)</f>
        <v>2.89006410834549</v>
      </c>
      <c r="W35" s="13" t="n">
        <f aca="false">W24*MIN(W31-W34,W33+Tax!W13-W34)</f>
        <v>3.89677867446939</v>
      </c>
      <c r="X35" s="13" t="n">
        <f aca="false">X24*MIN(X31-X34,X33+Tax!X13-X34)</f>
        <v>2.75831411275722</v>
      </c>
      <c r="Y35" s="13" t="n">
        <f aca="false">Y24*MIN(Y31-Y34,Y33+Tax!Y13-Y34)</f>
        <v>2.23381298288435</v>
      </c>
      <c r="Z35" s="13" t="n">
        <f aca="false">Z24*MIN(Z31-Z34,Z33+Tax!Z13-Z34)</f>
        <v>2.89006611368001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0.952838279525517</v>
      </c>
      <c r="AI35" s="13" t="n">
        <f aca="false">AI24*MIN(AI31-AI34,AI33+Tax!AI13-AI34)</f>
        <v>1.84639521001926</v>
      </c>
      <c r="AJ35" s="13" t="n">
        <f aca="false">AJ24*MIN(AJ31-AJ34,AJ33+Tax!AJ13-AJ34)</f>
        <v>3.44618505293224</v>
      </c>
      <c r="AK35" s="13" t="n">
        <f aca="false">AK24*MIN(AK31-AK34,AK33+Tax!AK13-AK34)</f>
        <v>12.9266995058325</v>
      </c>
      <c r="AL35" s="13" t="n">
        <f aca="false">AL24*MIN(AL31-AL34,AL33+Tax!AL13-AL34)</f>
        <v>21.6938921924037</v>
      </c>
      <c r="AM35" s="13" t="n">
        <f aca="false">AM24*MIN(AM31-AM34,AM33+Tax!AM13-AM34)</f>
        <v>24.9139889598555</v>
      </c>
      <c r="AN35" s="13" t="n">
        <f aca="false">AN24*MIN(AN31-AN34,AN33+Tax!AN13-AN34)</f>
        <v>24.3187179230294</v>
      </c>
      <c r="AO35" s="13" t="n">
        <f aca="false">AO24*MIN(AO31-AO34,AO33+Tax!AO13-AO34)</f>
        <v>44.0745273487225</v>
      </c>
      <c r="AP35" s="13" t="n">
        <f aca="false">AP24*MIN(AP31-AP34,AP33+Tax!AP13-AP34)</f>
        <v>38.506549327201</v>
      </c>
      <c r="AQ35" s="13" t="n">
        <f aca="false">AQ24*MIN(AQ31-AQ34,AQ33+Tax!AQ13-AQ34)</f>
        <v>16.1271058604809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201.359927735114</v>
      </c>
      <c r="Q36" s="13" t="n">
        <f aca="false">Q33+Tax!Q13-Q34-Q35</f>
        <v>199.865520652242</v>
      </c>
      <c r="R36" s="13" t="n">
        <f aca="false">R33+Tax!R13-R34-R35</f>
        <v>197.544800493776</v>
      </c>
      <c r="S36" s="13" t="n">
        <f aca="false">S33+Tax!S13-S34-S35</f>
        <v>195.782222923386</v>
      </c>
      <c r="T36" s="13" t="n">
        <f aca="false">T33+Tax!T13-T34-T35</f>
        <v>193.373924872067</v>
      </c>
      <c r="U36" s="13" t="n">
        <f aca="false">U33+Tax!U13-U34-U35</f>
        <v>191.712302807615</v>
      </c>
      <c r="V36" s="13" t="n">
        <f aca="false">V33+Tax!V13-V34-V35</f>
        <v>188.822238699269</v>
      </c>
      <c r="W36" s="13" t="n">
        <f aca="false">W33+Tax!W13-W34-W35</f>
        <v>184.9254600248</v>
      </c>
      <c r="X36" s="13" t="n">
        <f aca="false">X33+Tax!X13-X34-X35</f>
        <v>182.167145912043</v>
      </c>
      <c r="Y36" s="13" t="n">
        <f aca="false">Y33+Tax!Y13-Y34-Y35</f>
        <v>179.933332929158</v>
      </c>
      <c r="Z36" s="13" t="n">
        <f aca="false">Z33+Tax!Z13-Z34-Z35</f>
        <v>177.043266815478</v>
      </c>
      <c r="AA36" s="13" t="n">
        <f aca="false">AA33+Tax!AA13-AA34-AA35</f>
        <v>180.052437055124</v>
      </c>
      <c r="AB36" s="13" t="n">
        <f aca="false">AB33+Tax!AB13-AB34-AB35</f>
        <v>182.439507834634</v>
      </c>
      <c r="AC36" s="13" t="n">
        <f aca="false">AC33+Tax!AC13-AC34-AC35</f>
        <v>185.232536591808</v>
      </c>
      <c r="AD36" s="13" t="n">
        <f aca="false">AD33+Tax!AD13-AD34-AD35</f>
        <v>186.960578436751</v>
      </c>
      <c r="AE36" s="13" t="n">
        <f aca="false">AE33+Tax!AE13-AE34-AE35</f>
        <v>188.097629219801</v>
      </c>
      <c r="AF36" s="13" t="n">
        <f aca="false">AF33+Tax!AF13-AF34-AF35</f>
        <v>188.666881306326</v>
      </c>
      <c r="AG36" s="13" t="n">
        <f aca="false">AG33+Tax!AG13-AG34-AG35</f>
        <v>188.806899660003</v>
      </c>
      <c r="AH36" s="13" t="n">
        <f aca="false">AH33+Tax!AH13-AH34-AH35</f>
        <v>187.854061380477</v>
      </c>
      <c r="AI36" s="13" t="n">
        <f aca="false">AI33+Tax!AI13-AI34-AI35</f>
        <v>186.007666170458</v>
      </c>
      <c r="AJ36" s="13" t="n">
        <f aca="false">AJ33+Tax!AJ13-AJ34-AJ35</f>
        <v>182.561481117526</v>
      </c>
      <c r="AK36" s="13" t="n">
        <f aca="false">AK33+Tax!AK13-AK34-AK35</f>
        <v>169.634781611693</v>
      </c>
      <c r="AL36" s="13" t="n">
        <f aca="false">AL33+Tax!AL13-AL34-AL35</f>
        <v>147.940889419289</v>
      </c>
      <c r="AM36" s="13" t="n">
        <f aca="false">AM33+Tax!AM13-AM34-AM35</f>
        <v>123.026900459434</v>
      </c>
      <c r="AN36" s="13" t="n">
        <f aca="false">AN33+Tax!AN13-AN34-AN35</f>
        <v>98.7081825364045</v>
      </c>
      <c r="AO36" s="13" t="n">
        <f aca="false">AO33+Tax!AO13-AO34-AO35</f>
        <v>54.633655187682</v>
      </c>
      <c r="AP36" s="13" t="n">
        <f aca="false">AP33+Tax!AP13-AP34-AP35</f>
        <v>16.1271058604809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9.26406911414573</v>
      </c>
      <c r="P37" s="13" t="n">
        <f aca="false">MAX(0,O43+Financials!P14)</f>
        <v>15.1023114586682</v>
      </c>
      <c r="Q37" s="13" t="n">
        <f aca="false">MAX(0,P43+Financials!Q14)</f>
        <v>22.1910348204008</v>
      </c>
      <c r="R37" s="13" t="n">
        <f aca="false">MAX(0,Q43+Financials!R14)</f>
        <v>29.6789881858059</v>
      </c>
      <c r="S37" s="13" t="n">
        <f aca="false">MAX(0,R43+Financials!S14)</f>
        <v>38.281034210893</v>
      </c>
      <c r="T37" s="13" t="n">
        <f aca="false">MAX(0,S43+Financials!T14)</f>
        <v>47.2648793309572</v>
      </c>
      <c r="U37" s="13" t="n">
        <f aca="false">MAX(0,T43+Financials!U14)</f>
        <v>57.3783954936851</v>
      </c>
      <c r="V37" s="13" t="n">
        <f aca="false">MAX(0,U43+Financials!V14)</f>
        <v>65.743309112911</v>
      </c>
      <c r="W37" s="13" t="n">
        <f aca="false">MAX(0,V43+Financials!W14)</f>
        <v>77.7779183559751</v>
      </c>
      <c r="X37" s="13" t="n">
        <f aca="false">MAX(0,W43+Financials!X14)</f>
        <v>90.336998818119</v>
      </c>
      <c r="Y37" s="13" t="n">
        <f aca="false">MAX(0,X43+Financials!Y14)</f>
        <v>101.019572060794</v>
      </c>
      <c r="Z37" s="13" t="n">
        <f aca="false">MAX(0,Y43+Financials!Z14)</f>
        <v>106.919817901981</v>
      </c>
      <c r="AA37" s="13" t="n">
        <f aca="false">MAX(0,Z43+Financials!AA14)</f>
        <v>113.690764884606</v>
      </c>
      <c r="AB37" s="13" t="n">
        <f aca="false">MAX(0,AA43+Financials!AB14)</f>
        <v>120.915282816585</v>
      </c>
      <c r="AC37" s="13" t="n">
        <f aca="false">MAX(0,AB43+Financials!AC14)</f>
        <v>129.103847869554</v>
      </c>
      <c r="AD37" s="13" t="n">
        <f aca="false">MAX(0,AC43+Financials!AD14)</f>
        <v>128.306336240391</v>
      </c>
      <c r="AE37" s="13" t="n">
        <f aca="false">MAX(0,AD43+Financials!AE14)</f>
        <v>139.057335275737</v>
      </c>
      <c r="AF37" s="13" t="n">
        <f aca="false">MAX(0,AE43+Financials!AF14)</f>
        <v>149.514231547884</v>
      </c>
      <c r="AG37" s="13" t="n">
        <f aca="false">MAX(0,AF43+Financials!AG14)</f>
        <v>160.932135129794</v>
      </c>
      <c r="AH37" s="13" t="n">
        <f aca="false">MAX(0,AG43+Financials!AH14)</f>
        <v>173.213116204758</v>
      </c>
      <c r="AI37" s="13" t="n">
        <f aca="false">MAX(0,AH43+Financials!AI14)</f>
        <v>186.658168745684</v>
      </c>
      <c r="AJ37" s="13" t="n">
        <f aca="false">MAX(0,AI43+Financials!AJ14)</f>
        <v>201.020880989838</v>
      </c>
      <c r="AK37" s="13" t="n">
        <f aca="false">MAX(0,AJ43+Financials!AK14)</f>
        <v>216.664977342551</v>
      </c>
      <c r="AL37" s="13" t="n">
        <f aca="false">MAX(0,AK43+Financials!AL14)</f>
        <v>231.468773827479</v>
      </c>
      <c r="AM37" s="13" t="n">
        <f aca="false">MAX(0,AL43+Financials!AM14)</f>
        <v>249.577360258946</v>
      </c>
      <c r="AN37" s="13" t="n">
        <f aca="false">MAX(0,AM43+Financials!AN14)</f>
        <v>268.814836436747</v>
      </c>
      <c r="AO37" s="13" t="n">
        <f aca="false">MAX(0,AN43+Financials!AO14)</f>
        <v>289.350331324681</v>
      </c>
      <c r="AP37" s="13" t="n">
        <f aca="false">MAX(0,AO43+Financials!AP14)</f>
        <v>312.172091325237</v>
      </c>
      <c r="AQ37" s="13" t="n">
        <f aca="false">MAX(0,AP43+Financials!AQ14)</f>
        <v>336.34245490705</v>
      </c>
      <c r="AR37" s="13" t="n">
        <f aca="false">MAX(0,AQ43+Financials!AR14)</f>
        <v>337.979489718764</v>
      </c>
      <c r="AS37" s="13" t="n">
        <f aca="false">MAX(0,AR43+Financials!AS14)</f>
        <v>322.572087866715</v>
      </c>
      <c r="AT37" s="13" t="n">
        <f aca="false">MAX(0,AS43+Financials!AT14)</f>
        <v>297.165006773567</v>
      </c>
      <c r="AU37" s="13" t="n">
        <f aca="false">MAX(0,AT43+Financials!AU14)</f>
        <v>275.541298951433</v>
      </c>
      <c r="AV37" s="13" t="n">
        <f aca="false">MAX(0,AU43+Financials!AV14)</f>
        <v>258.234501118068</v>
      </c>
      <c r="AW37" s="13" t="n">
        <f aca="false">MAX(0,AV43+Financials!AW14)</f>
        <v>240.965016148061</v>
      </c>
      <c r="AX37" s="13" t="n">
        <f aca="false">MAX(0,AW43+Financials!AX14)</f>
        <v>224.282141185703</v>
      </c>
      <c r="AY37" s="13" t="n">
        <f aca="false">MAX(0,AX43+Financials!AY14)</f>
        <v>206.995687598325</v>
      </c>
      <c r="AZ37" s="13" t="n">
        <f aca="false">MAX(0,AY43+Financials!AZ14)</f>
        <v>190.231751737846</v>
      </c>
      <c r="BA37" s="13" t="n">
        <f aca="false">MAX(0,AZ43+Financials!BA14)</f>
        <v>173.034847341139</v>
      </c>
      <c r="BB37" s="13" t="n">
        <f aca="false">MAX(0,BA43+Financials!BB14)</f>
        <v>154.412977192634</v>
      </c>
      <c r="BC37" s="13" t="n">
        <f aca="false">MAX(0,BB43+Financials!BC14)</f>
        <v>137.019518454664</v>
      </c>
      <c r="BD37" s="13" t="n">
        <f aca="false">MAX(0,BC43+Financials!BD14)</f>
        <v>123.000148980724</v>
      </c>
      <c r="BE37" s="13" t="n">
        <f aca="false">MAX(0,BD43+Financials!BE14)</f>
        <v>115.253043609356</v>
      </c>
      <c r="BF37" s="13" t="n">
        <f aca="false">MAX(0,BE43+Financials!BF14)</f>
        <v>108.12521270678</v>
      </c>
      <c r="BG37" s="13" t="n">
        <f aca="false">MAX(0,BF43+Financials!BG14)</f>
        <v>100.386191358948</v>
      </c>
      <c r="BH37" s="13" t="n">
        <f aca="false">MAX(0,BG43+Financials!BH14)</f>
        <v>93.2027169420856</v>
      </c>
      <c r="BI37" s="13" t="n">
        <f aca="false">MAX(0,BH43+Financials!BI14)</f>
        <v>85.6463764540629</v>
      </c>
      <c r="BJ37" s="13" t="n">
        <f aca="false">MAX(0,BI43+Financials!BJ14)</f>
        <v>66.2350773023001</v>
      </c>
      <c r="BK37" s="13" t="n">
        <f aca="false">MAX(0,BJ43+Financials!BK14)</f>
        <v>51.2515339454048</v>
      </c>
      <c r="BL37" s="13" t="n">
        <f aca="false">MAX(0,BK43+Financials!BL14)</f>
        <v>41.3855097311413</v>
      </c>
      <c r="BM37" s="13" t="n">
        <f aca="false">MAX(0,BL43+Financials!BM14)</f>
        <v>8.71380012007449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23.1243400245937</v>
      </c>
      <c r="AR38" s="13" t="n">
        <f aca="false">AR24*MIN(AR31-AR34-AR35,AR37)</f>
        <v>40.3466315003753</v>
      </c>
      <c r="AS38" s="13" t="n">
        <f aca="false">AS24*MIN(AS31-AS34-AS35,AS37)</f>
        <v>40.0905018175021</v>
      </c>
      <c r="AT38" s="13" t="n">
        <f aca="false">AT24*MIN(AT31-AT34-AT35,AT37)</f>
        <v>46.8465726745527</v>
      </c>
      <c r="AU38" s="13" t="n">
        <f aca="false">AU24*MIN(AU31-AU34-AU35,AU37)</f>
        <v>42.4059822346283</v>
      </c>
      <c r="AV38" s="13" t="n">
        <f aca="false">AV24*MIN(AV31-AV34-AV35,AV37)</f>
        <v>42.4596964681042</v>
      </c>
      <c r="AW38" s="13" t="n">
        <f aca="false">AW24*MIN(AW31-AW34-AW35,AW37)</f>
        <v>42.017702995227</v>
      </c>
      <c r="AX38" s="13" t="n">
        <f aca="false">AX24*MIN(AX31-AX34-AX35,AX37)</f>
        <v>42.6733383107201</v>
      </c>
      <c r="AY38" s="13" t="n">
        <f aca="false">AY24*MIN(AY31-AY34-AY35,AY37)</f>
        <v>42.2146889405744</v>
      </c>
      <c r="AZ38" s="13" t="n">
        <f aca="false">AZ24*MIN(AZ31-AZ34-AZ35,AZ37)</f>
        <v>42.7969224922796</v>
      </c>
      <c r="BA38" s="13" t="n">
        <f aca="false">BA24*MIN(BA31-BA34-BA35,BA37)</f>
        <v>42.0074185411151</v>
      </c>
      <c r="BB38" s="13" t="n">
        <f aca="false">BB24*MIN(BB31-BB34-BB35,BB37)</f>
        <v>43.2557057223103</v>
      </c>
      <c r="BC38" s="13" t="n">
        <f aca="false">BC24*MIN(BC31-BC34-BC35,BC37)</f>
        <v>39.8360202135168</v>
      </c>
      <c r="BD38" s="13" t="n">
        <f aca="false">BD24*MIN(BD31-BD34-BD35,BD37)</f>
        <v>33.6621983121308</v>
      </c>
      <c r="BE38" s="13" t="n">
        <f aca="false">BE24*MIN(BE31-BE34-BE35,BE37)</f>
        <v>33.2009943423944</v>
      </c>
      <c r="BF38" s="13" t="n">
        <f aca="false">BF24*MIN(BF31-BF34-BF35,BF37)</f>
        <v>33.8675782486875</v>
      </c>
      <c r="BG38" s="13" t="n">
        <f aca="false">BG24*MIN(BG31-BG34-BG35,BG37)</f>
        <v>33.3809456276272</v>
      </c>
      <c r="BH38" s="13" t="n">
        <f aca="false">BH24*MIN(BH31-BH34-BH35,BH37)</f>
        <v>33.9662380875229</v>
      </c>
      <c r="BI38" s="13" t="n">
        <f aca="false">BI24*MIN(BI31-BI34-BI35,BI37)</f>
        <v>33.698404470233</v>
      </c>
      <c r="BJ38" s="13" t="n">
        <f aca="false">BJ24*MIN(BJ31-BJ34-BJ35,BJ37)</f>
        <v>41.7313629113129</v>
      </c>
      <c r="BK38" s="13" t="n">
        <f aca="false">BK24*MIN(BK31-BK34-BK35,BK37)</f>
        <v>36.4598575242797</v>
      </c>
      <c r="BL38" s="13" t="n">
        <f aca="false">BL24*MIN(BL31-BL34-BL35,BL37)</f>
        <v>37.1083958296947</v>
      </c>
      <c r="BM38" s="13" t="n">
        <f aca="false">BM24*MIN(BM31-BM34-BM35,BM37)</f>
        <v>8.71380012007449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900.232050926269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23.1243400245937</v>
      </c>
      <c r="AR41" s="13" t="n">
        <f aca="false">AR38+AR40</f>
        <v>40.3466315003753</v>
      </c>
      <c r="AS41" s="13" t="n">
        <f aca="false">AS38+AS40</f>
        <v>40.0905018175021</v>
      </c>
      <c r="AT41" s="13" t="n">
        <f aca="false">AT38+AT40</f>
        <v>46.8465726745527</v>
      </c>
      <c r="AU41" s="13" t="n">
        <f aca="false">AU38+AU40</f>
        <v>42.4059822346283</v>
      </c>
      <c r="AV41" s="13" t="n">
        <f aca="false">AV38+AV40</f>
        <v>42.4596964681042</v>
      </c>
      <c r="AW41" s="13" t="n">
        <f aca="false">AW38+AW40</f>
        <v>42.017702995227</v>
      </c>
      <c r="AX41" s="13" t="n">
        <f aca="false">AX38+AX40</f>
        <v>42.6733383107201</v>
      </c>
      <c r="AY41" s="13" t="n">
        <f aca="false">AY38+AY40</f>
        <v>42.2146889405744</v>
      </c>
      <c r="AZ41" s="13" t="n">
        <f aca="false">AZ38+AZ40</f>
        <v>42.7969224922796</v>
      </c>
      <c r="BA41" s="13" t="n">
        <f aca="false">BA38+BA40</f>
        <v>42.0074185411151</v>
      </c>
      <c r="BB41" s="13" t="n">
        <f aca="false">BB38+BB40</f>
        <v>43.2557057223103</v>
      </c>
      <c r="BC41" s="13" t="n">
        <f aca="false">BC38+BC40</f>
        <v>39.8360202135168</v>
      </c>
      <c r="BD41" s="13" t="n">
        <f aca="false">BD38+BD40</f>
        <v>33.6621983121308</v>
      </c>
      <c r="BE41" s="13" t="n">
        <f aca="false">BE38+BE40</f>
        <v>33.2009943423944</v>
      </c>
      <c r="BF41" s="13" t="n">
        <f aca="false">BF38+BF40</f>
        <v>33.8675782486875</v>
      </c>
      <c r="BG41" s="13" t="n">
        <f aca="false">BG38+BG40</f>
        <v>33.3809456276272</v>
      </c>
      <c r="BH41" s="13" t="n">
        <f aca="false">BH38+BH40</f>
        <v>33.9662380875229</v>
      </c>
      <c r="BI41" s="13" t="n">
        <f aca="false">BI38+BI40</f>
        <v>33.698404470233</v>
      </c>
      <c r="BJ41" s="13" t="n">
        <f aca="false">BJ38+BJ40</f>
        <v>41.7313629113129</v>
      </c>
      <c r="BK41" s="13" t="n">
        <f aca="false">BK38+BK40</f>
        <v>36.4598575242797</v>
      </c>
      <c r="BL41" s="13" t="n">
        <f aca="false">BL38+BL40</f>
        <v>37.1083958296947</v>
      </c>
      <c r="BM41" s="13" t="n">
        <f aca="false">BM38+BM40</f>
        <v>53.0805536368862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9.26406911414573</v>
      </c>
      <c r="P43" s="13" t="n">
        <f aca="false">IF(Time!P20&lt;Time!$F$12,0,O43+Financials!P14-P41)</f>
        <v>15.1023114586682</v>
      </c>
      <c r="Q43" s="13" t="n">
        <f aca="false">IF(Time!Q20&lt;Time!$F$12,0,P43+Financials!Q14-Q41)</f>
        <v>22.1910348204008</v>
      </c>
      <c r="R43" s="13" t="n">
        <f aca="false">IF(Time!R20&lt;Time!$F$12,0,Q43+Financials!R14-R41)</f>
        <v>29.6789881858059</v>
      </c>
      <c r="S43" s="13" t="n">
        <f aca="false">IF(Time!S20&lt;Time!$F$12,0,R43+Financials!S14-S41)</f>
        <v>38.281034210893</v>
      </c>
      <c r="T43" s="13" t="n">
        <f aca="false">IF(Time!T20&lt;Time!$F$12,0,S43+Financials!T14-T41)</f>
        <v>47.2648793309572</v>
      </c>
      <c r="U43" s="13" t="n">
        <f aca="false">IF(Time!U20&lt;Time!$F$12,0,T43+Financials!U14-U41)</f>
        <v>57.3783954936851</v>
      </c>
      <c r="V43" s="13" t="n">
        <f aca="false">IF(Time!V20&lt;Time!$F$12,0,U43+Financials!V14-V41)</f>
        <v>65.743309112911</v>
      </c>
      <c r="W43" s="13" t="n">
        <f aca="false">IF(Time!W20&lt;Time!$F$12,0,V43+Financials!W14-W41)</f>
        <v>77.7779183559751</v>
      </c>
      <c r="X43" s="13" t="n">
        <f aca="false">IF(Time!X20&lt;Time!$F$12,0,W43+Financials!X14-X41)</f>
        <v>90.336998818119</v>
      </c>
      <c r="Y43" s="13" t="n">
        <f aca="false">IF(Time!Y20&lt;Time!$F$12,0,X43+Financials!Y14-Y41)</f>
        <v>101.019572060794</v>
      </c>
      <c r="Z43" s="13" t="n">
        <f aca="false">IF(Time!Z20&lt;Time!$F$12,0,Y43+Financials!Z14-Z41)</f>
        <v>106.919817901981</v>
      </c>
      <c r="AA43" s="13" t="n">
        <f aca="false">IF(Time!AA20&lt;Time!$F$12,0,Z43+Financials!AA14-AA41)</f>
        <v>113.690764884606</v>
      </c>
      <c r="AB43" s="13" t="n">
        <f aca="false">IF(Time!AB20&lt;Time!$F$12,0,AA43+Financials!AB14-AB41)</f>
        <v>120.915282816585</v>
      </c>
      <c r="AC43" s="13" t="n">
        <f aca="false">IF(Time!AC20&lt;Time!$F$12,0,AB43+Financials!AC14-AC41)</f>
        <v>129.103847869554</v>
      </c>
      <c r="AD43" s="13" t="n">
        <f aca="false">IF(Time!AD20&lt;Time!$F$12,0,AC43+Financials!AD14-AD41)</f>
        <v>128.306336240391</v>
      </c>
      <c r="AE43" s="13" t="n">
        <f aca="false">IF(Time!AE20&lt;Time!$F$12,0,AD43+Financials!AE14-AE41)</f>
        <v>139.057335275737</v>
      </c>
      <c r="AF43" s="13" t="n">
        <f aca="false">IF(Time!AF20&lt;Time!$F$12,0,AE43+Financials!AF14-AF41)</f>
        <v>149.514231547884</v>
      </c>
      <c r="AG43" s="13" t="n">
        <f aca="false">IF(Time!AG20&lt;Time!$F$12,0,AF43+Financials!AG14-AG41)</f>
        <v>160.932135129794</v>
      </c>
      <c r="AH43" s="13" t="n">
        <f aca="false">IF(Time!AH20&lt;Time!$F$12,0,AG43+Financials!AH14-AH41)</f>
        <v>173.213116204758</v>
      </c>
      <c r="AI43" s="13" t="n">
        <f aca="false">IF(Time!AI20&lt;Time!$F$12,0,AH43+Financials!AI14-AI41)</f>
        <v>186.658168745684</v>
      </c>
      <c r="AJ43" s="13" t="n">
        <f aca="false">IF(Time!AJ20&lt;Time!$F$12,0,AI43+Financials!AJ14-AJ41)</f>
        <v>201.020880989838</v>
      </c>
      <c r="AK43" s="13" t="n">
        <f aca="false">IF(Time!AK20&lt;Time!$F$12,0,AJ43+Financials!AK14-AK41)</f>
        <v>216.664977342551</v>
      </c>
      <c r="AL43" s="13" t="n">
        <f aca="false">IF(Time!AL20&lt;Time!$F$12,0,AK43+Financials!AL14-AL41)</f>
        <v>231.468773827479</v>
      </c>
      <c r="AM43" s="13" t="n">
        <f aca="false">IF(Time!AM20&lt;Time!$F$12,0,AL43+Financials!AM14-AM41)</f>
        <v>249.577360258946</v>
      </c>
      <c r="AN43" s="13" t="n">
        <f aca="false">IF(Time!AN20&lt;Time!$F$12,0,AM43+Financials!AN14-AN41)</f>
        <v>268.814836436747</v>
      </c>
      <c r="AO43" s="13" t="n">
        <f aca="false">IF(Time!AO20&lt;Time!$F$12,0,AN43+Financials!AO14-AO41)</f>
        <v>289.350331324681</v>
      </c>
      <c r="AP43" s="13" t="n">
        <f aca="false">IF(Time!AP20&lt;Time!$F$12,0,AO43+Financials!AP14-AP41)</f>
        <v>312.172091325237</v>
      </c>
      <c r="AQ43" s="13" t="n">
        <f aca="false">IF(Time!AQ20&lt;Time!$F$12,0,AP43+Financials!AQ14-AQ41)</f>
        <v>313.218114882456</v>
      </c>
      <c r="AR43" s="13" t="n">
        <f aca="false">IF(Time!AR20&lt;Time!$F$12,0,AQ43+Financials!AR14-AR41)</f>
        <v>297.632858218389</v>
      </c>
      <c r="AS43" s="13" t="n">
        <f aca="false">IF(Time!AS20&lt;Time!$F$12,0,AR43+Financials!AS14-AS41)</f>
        <v>282.481586049213</v>
      </c>
      <c r="AT43" s="13" t="n">
        <f aca="false">IF(Time!AT20&lt;Time!$F$12,0,AS43+Financials!AT14-AT41)</f>
        <v>250.318434099015</v>
      </c>
      <c r="AU43" s="13" t="n">
        <f aca="false">IF(Time!AU20&lt;Time!$F$12,0,AT43+Financials!AU14-AU41)</f>
        <v>233.135316716805</v>
      </c>
      <c r="AV43" s="13" t="n">
        <f aca="false">IF(Time!AV20&lt;Time!$F$12,0,AU43+Financials!AV14-AV41)</f>
        <v>215.774804649964</v>
      </c>
      <c r="AW43" s="13" t="n">
        <f aca="false">IF(Time!AW20&lt;Time!$F$12,0,AV43+Financials!AW14-AW41)</f>
        <v>198.947313152834</v>
      </c>
      <c r="AX43" s="13" t="n">
        <f aca="false">IF(Time!AX20&lt;Time!$F$12,0,AW43+Financials!AX14-AX41)</f>
        <v>181.608802874982</v>
      </c>
      <c r="AY43" s="13" t="n">
        <f aca="false">IF(Time!AY20&lt;Time!$F$12,0,AX43+Financials!AY14-AY41)</f>
        <v>164.780998657751</v>
      </c>
      <c r="AZ43" s="13" t="n">
        <f aca="false">IF(Time!AZ20&lt;Time!$F$12,0,AY43+Financials!AZ14-AZ41)</f>
        <v>147.434829245566</v>
      </c>
      <c r="BA43" s="13" t="n">
        <f aca="false">IF(Time!BA20&lt;Time!$F$12,0,AZ43+Financials!BA14-BA41)</f>
        <v>131.027428800024</v>
      </c>
      <c r="BB43" s="13" t="n">
        <f aca="false">IF(Time!BB20&lt;Time!$F$12,0,BA43+Financials!BB14-BB41)</f>
        <v>111.157271470324</v>
      </c>
      <c r="BC43" s="13" t="n">
        <f aca="false">IF(Time!BC20&lt;Time!$F$12,0,BB43+Financials!BC14-BC41)</f>
        <v>97.1834982411468</v>
      </c>
      <c r="BD43" s="13" t="n">
        <f aca="false">IF(Time!BD20&lt;Time!$F$12,0,BC43+Financials!BD14-BD41)</f>
        <v>89.3379506685935</v>
      </c>
      <c r="BE43" s="13" t="n">
        <f aca="false">IF(Time!BE20&lt;Time!$F$12,0,BD43+Financials!BE14-BE41)</f>
        <v>82.0520492669613</v>
      </c>
      <c r="BF43" s="13" t="n">
        <f aca="false">IF(Time!BF20&lt;Time!$F$12,0,BE43+Financials!BF14-BF41)</f>
        <v>74.2576344580928</v>
      </c>
      <c r="BG43" s="13" t="n">
        <f aca="false">IF(Time!BG20&lt;Time!$F$12,0,BF43+Financials!BG14-BG41)</f>
        <v>67.0052457313207</v>
      </c>
      <c r="BH43" s="13" t="n">
        <f aca="false">IF(Time!BH20&lt;Time!$F$12,0,BG43+Financials!BH14-BH41)</f>
        <v>59.2364788545628</v>
      </c>
      <c r="BI43" s="13" t="n">
        <f aca="false">IF(Time!BI20&lt;Time!$F$12,0,BH43+Financials!BI14-BI41)</f>
        <v>51.9479719838298</v>
      </c>
      <c r="BJ43" s="13" t="n">
        <f aca="false">IF(Time!BJ20&lt;Time!$F$12,0,BI43+Financials!BJ14-BJ41)</f>
        <v>24.5037143909872</v>
      </c>
      <c r="BK43" s="13" t="n">
        <f aca="false">IF(Time!BK20&lt;Time!$F$12,0,BJ43+Financials!BK14-BK41)</f>
        <v>14.791676421125</v>
      </c>
      <c r="BL43" s="13" t="n">
        <f aca="false">IF(Time!BL20&lt;Time!$F$12,0,BK43+Financials!BL14-BL41)</f>
        <v>4.27711390144667</v>
      </c>
      <c r="BM43" s="13" t="n">
        <f aca="false">IF(Time!BM20&lt;Time!$F$12,0,BL43+Financials!BM14-BM41)</f>
        <v>-44.3667535168117</v>
      </c>
      <c r="BN43" s="13" t="n">
        <f aca="false">IF(Time!BN20&lt;Time!$F$12,0,BM43+Financials!BN14-BN41)</f>
        <v>-44.3667535168117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1331.57500665143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13.3123815456747</v>
      </c>
      <c r="Q44" s="13" t="n">
        <f aca="false">Q34+Q35+Q41</f>
        <v>10.9803905278187</v>
      </c>
      <c r="R44" s="13" t="n">
        <f aca="false">R34+R35+R41</f>
        <v>11.8923620790169</v>
      </c>
      <c r="S44" s="13" t="n">
        <f aca="false">S34+S35+S41</f>
        <v>11.0688319388572</v>
      </c>
      <c r="T44" s="13" t="n">
        <f aca="false">T34+T35+T41</f>
        <v>11.7843891655674</v>
      </c>
      <c r="U44" s="13" t="n">
        <f aca="false">U34+U35+U41</f>
        <v>10.8217183960632</v>
      </c>
      <c r="V44" s="13" t="n">
        <f aca="false">V34+V35+V41</f>
        <v>12.07124507568</v>
      </c>
      <c r="W44" s="13" t="n">
        <f aca="false">W34+W35+W41</f>
        <v>12.7921167414117</v>
      </c>
      <c r="X44" s="13" t="n">
        <f aca="false">X34+X35+X41</f>
        <v>11.6144703901093</v>
      </c>
      <c r="Y44" s="13" t="n">
        <f aca="false">Y34+Y35+Y41</f>
        <v>10.81563236359</v>
      </c>
      <c r="Z44" s="13" t="n">
        <f aca="false">Z34+Z35+Z41</f>
        <v>11.5071473728627</v>
      </c>
      <c r="AA44" s="13" t="n">
        <f aca="false">AA34+AA35+AA41</f>
        <v>5.33126530252416</v>
      </c>
      <c r="AB44" s="13" t="n">
        <f aca="false">AB34+AB35+AB41</f>
        <v>6.23571442521261</v>
      </c>
      <c r="AC44" s="13" t="n">
        <f aca="false">AC34+AC35+AC41</f>
        <v>5.84910573723931</v>
      </c>
      <c r="AD44" s="13" t="n">
        <f aca="false">AD34+AD35+AD41</f>
        <v>7.14282045539922</v>
      </c>
      <c r="AE44" s="13" t="n">
        <f aca="false">AE34+AE35+AE41</f>
        <v>7.67058523399088</v>
      </c>
      <c r="AF44" s="13" t="n">
        <f aca="false">AF34+AF35+AF41</f>
        <v>8.43882067720587</v>
      </c>
      <c r="AG44" s="13" t="n">
        <f aca="false">AG34+AG35+AG41</f>
        <v>8.74800089033003</v>
      </c>
      <c r="AH44" s="13" t="n">
        <f aca="false">AH34+AH35+AH41</f>
        <v>9.99487829611962</v>
      </c>
      <c r="AI44" s="13" t="n">
        <f aca="false">AI34+AI35+AI41</f>
        <v>10.6961228413543</v>
      </c>
      <c r="AJ44" s="13" t="n">
        <f aca="false">AJ34+AJ35+AJ41</f>
        <v>12.3541686273421</v>
      </c>
      <c r="AK44" s="13" t="n">
        <f aca="false">AK34+AK35+AK41</f>
        <v>21.5746118579476</v>
      </c>
      <c r="AL44" s="13" t="n">
        <f aca="false">AL34+AL35+AL41</f>
        <v>29.8177715967116</v>
      </c>
      <c r="AM44" s="13" t="n">
        <f aca="false">AM34+AM35+AM41</f>
        <v>31.8834234627725</v>
      </c>
      <c r="AN44" s="13" t="n">
        <f aca="false">AN34+AN35+AN41</f>
        <v>30.2105267450319</v>
      </c>
      <c r="AO44" s="13" t="n">
        <f aca="false">AO34+AO35+AO41</f>
        <v>48.724629263006</v>
      </c>
      <c r="AP44" s="13" t="n">
        <f aca="false">AP34+AP35+AP41</f>
        <v>41.1229775263262</v>
      </c>
      <c r="AQ44" s="13" t="n">
        <f aca="false">AQ34+AQ35+AQ41</f>
        <v>40.0111872145842</v>
      </c>
      <c r="AR44" s="13" t="n">
        <f aca="false">AR34+AR35+AR41</f>
        <v>40.3466315003753</v>
      </c>
      <c r="AS44" s="13" t="n">
        <f aca="false">AS34+AS35+AS41</f>
        <v>40.0905018175021</v>
      </c>
      <c r="AT44" s="13" t="n">
        <f aca="false">AT34+AT35+AT41</f>
        <v>46.8465726745527</v>
      </c>
      <c r="AU44" s="13" t="n">
        <f aca="false">AU34+AU35+AU41</f>
        <v>42.4059822346283</v>
      </c>
      <c r="AV44" s="13" t="n">
        <f aca="false">AV34+AV35+AV41</f>
        <v>42.4596964681042</v>
      </c>
      <c r="AW44" s="13" t="n">
        <f aca="false">AW34+AW35+AW41</f>
        <v>42.017702995227</v>
      </c>
      <c r="AX44" s="13" t="n">
        <f aca="false">AX34+AX35+AX41</f>
        <v>42.6733383107201</v>
      </c>
      <c r="AY44" s="13" t="n">
        <f aca="false">AY34+AY35+AY41</f>
        <v>42.2146889405744</v>
      </c>
      <c r="AZ44" s="13" t="n">
        <f aca="false">AZ34+AZ35+AZ41</f>
        <v>42.7969224922796</v>
      </c>
      <c r="BA44" s="13" t="n">
        <f aca="false">BA34+BA35+BA41</f>
        <v>42.0074185411151</v>
      </c>
      <c r="BB44" s="13" t="n">
        <f aca="false">BB34+BB35+BB41</f>
        <v>43.2557057223103</v>
      </c>
      <c r="BC44" s="13" t="n">
        <f aca="false">BC34+BC35+BC41</f>
        <v>39.8360202135168</v>
      </c>
      <c r="BD44" s="13" t="n">
        <f aca="false">BD34+BD35+BD41</f>
        <v>33.6621983121308</v>
      </c>
      <c r="BE44" s="13" t="n">
        <f aca="false">BE34+BE35+BE41</f>
        <v>33.2009943423944</v>
      </c>
      <c r="BF44" s="13" t="n">
        <f aca="false">BF34+BF35+BF41</f>
        <v>33.8675782486875</v>
      </c>
      <c r="BG44" s="13" t="n">
        <f aca="false">BG34+BG35+BG41</f>
        <v>33.3809456276272</v>
      </c>
      <c r="BH44" s="13" t="n">
        <f aca="false">BH34+BH35+BH41</f>
        <v>33.9662380875229</v>
      </c>
      <c r="BI44" s="13" t="n">
        <f aca="false">BI34+BI35+BI41</f>
        <v>33.698404470233</v>
      </c>
      <c r="BJ44" s="13" t="n">
        <f aca="false">BJ34+BJ35+BJ41</f>
        <v>41.7313629113129</v>
      </c>
      <c r="BK44" s="13" t="n">
        <f aca="false">BK34+BK35+BK41</f>
        <v>36.4598575242797</v>
      </c>
      <c r="BL44" s="13" t="n">
        <f aca="false">BL34+BL35+BL41</f>
        <v>37.1083958296947</v>
      </c>
      <c r="BM44" s="13" t="n">
        <f aca="false">BM34+BM35+BM41</f>
        <v>53.0805536368862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544.829999853658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30.4977335705047</v>
      </c>
      <c r="R9" s="13" t="n">
        <f aca="false">Debt!R112+Debt!R110+Debt!R104-Debt!R103+Tax!R13</f>
        <v>30.2558656627986</v>
      </c>
      <c r="S9" s="13" t="n">
        <f aca="false">Debt!S112+Debt!S110+Debt!S104-Debt!S103+Tax!S13</f>
        <v>29.1997945787242</v>
      </c>
      <c r="T9" s="13" t="n">
        <f aca="false">Debt!T112+Debt!T110+Debt!T104-Debt!T103+Tax!T13</f>
        <v>28.8853133382345</v>
      </c>
      <c r="U9" s="13" t="n">
        <f aca="false">Debt!U112+Debt!U110+Debt!U104-Debt!U103+Tax!U13</f>
        <v>27.9070241768459</v>
      </c>
      <c r="V9" s="13" t="n">
        <f aca="false">Debt!V112+Debt!V110+Debt!V104-Debt!V103+Tax!V13</f>
        <v>27.4155930307462</v>
      </c>
      <c r="W9" s="13" t="n">
        <f aca="false">Debt!W112+Debt!W110+Debt!W104-Debt!W103+Tax!W13</f>
        <v>26.2520338837108</v>
      </c>
      <c r="X9" s="13" t="n">
        <f aca="false">Debt!X112+Debt!X110+Debt!X104-Debt!X103+Tax!X13</f>
        <v>25.6900758162061</v>
      </c>
      <c r="Y9" s="13" t="n">
        <f aca="false">Debt!Y112+Debt!Y110+Debt!Y104-Debt!Y103+Tax!Y13</f>
        <v>25.0498811974786</v>
      </c>
      <c r="Z9" s="13" t="n">
        <f aca="false">Debt!Z112+Debt!Z110+Debt!Z104-Debt!Z103+Tax!Z13</f>
        <v>24.5533157093949</v>
      </c>
      <c r="AA9" s="13" t="n">
        <f aca="false">Debt!AA112+Debt!AA110+Debt!AA104-Debt!AA103+Tax!AA13</f>
        <v>23.3686546973394</v>
      </c>
      <c r="AB9" s="13" t="n">
        <f aca="false">Debt!AB112+Debt!AB110+Debt!AB104-Debt!AB103+Tax!AB13</f>
        <v>22.7905683036069</v>
      </c>
      <c r="AC9" s="13" t="n">
        <f aca="false">Debt!AC112+Debt!AC110+Debt!AC104-Debt!AC103+Tax!AC13</f>
        <v>21.6248142506627</v>
      </c>
      <c r="AD9" s="13" t="n">
        <f aca="false">Debt!AD112+Debt!AD110+Debt!AD104-Debt!AD103+Tax!AD13</f>
        <v>20.8657237800956</v>
      </c>
      <c r="AE9" s="13" t="n">
        <f aca="false">Debt!AE112+Debt!AE110+Debt!AE104-Debt!AE103+Tax!AE13</f>
        <v>19.4940058548581</v>
      </c>
      <c r="AF9" s="13" t="n">
        <f aca="false">Debt!AF112+Debt!AF110+Debt!AF104-Debt!AF103+Tax!AF13</f>
        <v>18.574605363698</v>
      </c>
      <c r="AG9" s="13" t="n">
        <f aca="false">Debt!AG112+Debt!AG110+Debt!AG104-Debt!AG103+Tax!AG13</f>
        <v>17.3106908047283</v>
      </c>
      <c r="AH9" s="13" t="n">
        <f aca="false">Debt!AH112+Debt!AH110+Debt!AH104-Debt!AH103+Tax!AH13</f>
        <v>16.2484923523794</v>
      </c>
      <c r="AI9" s="13" t="n">
        <f aca="false">Debt!AI112+Debt!AI110+Debt!AI104-Debt!AI103+Tax!AI13</f>
        <v>14.6484566094449</v>
      </c>
      <c r="AJ9" s="13" t="n">
        <f aca="false">Debt!AJ112+Debt!AJ110+Debt!AJ104-Debt!AJ103+Tax!AJ13</f>
        <v>13.4128785435058</v>
      </c>
      <c r="AK9" s="13" t="n">
        <f aca="false">Debt!AK112+Debt!AK110+Debt!AK104-Debt!AK103+Tax!AK13</f>
        <v>11.7601238102174</v>
      </c>
      <c r="AL9" s="13" t="n">
        <f aca="false">Debt!AL112+Debt!AL110+Debt!AL104-Debt!AL103+Tax!AL13</f>
        <v>10.2975326557295</v>
      </c>
      <c r="AM9" s="13" t="n">
        <f aca="false">Debt!AM112+Debt!AM110+Debt!AM104-Debt!AM103+Tax!AM13</f>
        <v>8.55062355231829</v>
      </c>
      <c r="AN9" s="13" t="n">
        <f aca="false">Debt!AN112+Debt!AN110+Debt!AN104-Debt!AN103+Tax!AN13</f>
        <v>6.88390229111262</v>
      </c>
      <c r="AO9" s="13" t="n">
        <f aca="false">Debt!AO112+Debt!AO110+Debt!AO104-Debt!AO103+Tax!AO13</f>
        <v>5.14735529831411</v>
      </c>
      <c r="AP9" s="13" t="n">
        <f aca="false">Debt!AP112+Debt!AP110+Debt!AP104-Debt!AP103+Tax!AP13</f>
        <v>2.61642819912515</v>
      </c>
      <c r="AQ9" s="13" t="n">
        <f aca="false">Debt!AQ112+Debt!AQ110+Debt!AQ104-Debt!AQ103+Tax!AQ13</f>
        <v>0.759741329509507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-49.3729850442584</v>
      </c>
      <c r="Z12" s="13" t="n">
        <f aca="false">IF(Time!Z20&gt;=Time!$F$12,Inputs!$F$184/100*(Z11-Z10-Tax!Z21),0)</f>
        <v>-46.6919547403179</v>
      </c>
      <c r="AA12" s="13" t="n">
        <f aca="false">IF(Time!AA20&gt;=Time!$F$12,Inputs!$F$184/100*(AA11-AA10-Tax!AA21),0)</f>
        <v>-43.6370060789334</v>
      </c>
      <c r="AB12" s="13" t="n">
        <f aca="false">IF(Time!AB20&gt;=Time!$F$12,Inputs!$F$184/100*(AB11-AB10-Tax!AB21),0)</f>
        <v>-40.3868413860145</v>
      </c>
      <c r="AC12" s="13" t="n">
        <f aca="false">IF(Time!AC20&gt;=Time!$F$12,Inputs!$F$184/100*(AC11-AC10-Tax!AC21),0)</f>
        <v>-36.7231323345364</v>
      </c>
      <c r="AD12" s="13" t="n">
        <f aca="false">IF(Time!AD20&gt;=Time!$F$12,Inputs!$F$184/100*(AD11-AD10-Tax!AD21),0)</f>
        <v>-35.7191084717197</v>
      </c>
      <c r="AE12" s="13" t="n">
        <f aca="false">IF(Time!AE20&gt;=Time!$F$12,Inputs!$F$184/100*(AE11-AE10-Tax!AE21),0)</f>
        <v>-32.1495256768478</v>
      </c>
      <c r="AF12" s="13" t="n">
        <f aca="false">IF(Time!AF20&gt;=Time!$F$12,Inputs!$F$184/100*(AF11-AF10-Tax!AF21),0)</f>
        <v>-27.5111324235758</v>
      </c>
      <c r="AG12" s="13" t="n">
        <f aca="false">IF(Time!AG20&gt;=Time!$F$12,Inputs!$F$184/100*(AG11-AG10-Tax!AG21),0)</f>
        <v>-22.460190402065</v>
      </c>
      <c r="AH12" s="13" t="n">
        <f aca="false">IF(Time!AH20&gt;=Time!$F$12,Inputs!$F$184/100*(AH11-AH10-Tax!AH21),0)</f>
        <v>-17.0387254770389</v>
      </c>
      <c r="AI12" s="13" t="n">
        <f aca="false">IF(Time!AI20&gt;=Time!$F$12,Inputs!$F$184/100*(AI11-AI10-Tax!AI21),0)</f>
        <v>-11.1175445492474</v>
      </c>
      <c r="AJ12" s="13" t="n">
        <f aca="false">IF(Time!AJ20&gt;=Time!$F$12,Inputs!$F$184/100*(AJ11-AJ10-Tax!AJ21),0)</f>
        <v>-4.80217915398697</v>
      </c>
      <c r="AK12" s="13" t="n">
        <f aca="false">IF(Time!AK20&gt;=Time!$F$12,Inputs!$F$184/100*(AK11-AK10-Tax!AK21),0)</f>
        <v>2.06290425718871</v>
      </c>
      <c r="AL12" s="13" t="n">
        <f aca="false">IF(Time!AL20&gt;=Time!$F$12,Inputs!$F$184/100*(AL11-AL10-Tax!AL21),0)</f>
        <v>8.56818402313215</v>
      </c>
      <c r="AM12" s="13" t="n">
        <f aca="false">IF(Time!AM20&gt;=Time!$F$12,Inputs!$F$184/100*(AM11-AM10-Tax!AM21),0)</f>
        <v>16.4908300722707</v>
      </c>
      <c r="AN12" s="13" t="n">
        <f aca="false">IF(Time!AN20&gt;=Time!$F$12,Inputs!$F$184/100*(AN11-AN10-Tax!AN21),0)</f>
        <v>24.8985640294432</v>
      </c>
      <c r="AO12" s="13" t="n">
        <f aca="false">IF(Time!AO20&gt;=Time!$F$12,Inputs!$F$184/100*(AO11-AO10-Tax!AO21),0)</f>
        <v>33.8633418463599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-2.51853811281066</v>
      </c>
      <c r="Z13" s="13" t="n">
        <f aca="false">Z12-Y12</f>
        <v>2.68103030394046</v>
      </c>
      <c r="AA13" s="13" t="n">
        <f aca="false">AA12-Z12</f>
        <v>3.0549486613845</v>
      </c>
      <c r="AB13" s="13" t="n">
        <f aca="false">AB12-AA12</f>
        <v>3.25016469291884</v>
      </c>
      <c r="AC13" s="13" t="n">
        <f aca="false">AC12-AB12</f>
        <v>3.66370905147814</v>
      </c>
      <c r="AD13" s="13" t="n">
        <f aca="false">AD12-AC12</f>
        <v>1.00402386281673</v>
      </c>
      <c r="AE13" s="13" t="n">
        <f aca="false">AE12-AD12</f>
        <v>3.56958279487193</v>
      </c>
      <c r="AF13" s="13" t="n">
        <f aca="false">AF12-AE12</f>
        <v>4.63839325327195</v>
      </c>
      <c r="AG13" s="13" t="n">
        <f aca="false">AG12-AF12</f>
        <v>5.05094202151076</v>
      </c>
      <c r="AH13" s="13" t="n">
        <f aca="false">AH12-AG12</f>
        <v>5.42146492502616</v>
      </c>
      <c r="AI13" s="13" t="n">
        <f aca="false">AI12-AH12</f>
        <v>5.92118092779145</v>
      </c>
      <c r="AJ13" s="13" t="n">
        <f aca="false">AJ12-AI12</f>
        <v>6.31536539526046</v>
      </c>
      <c r="AK13" s="13" t="n">
        <f aca="false">AK12-AJ12</f>
        <v>6.86508341117568</v>
      </c>
      <c r="AL13" s="13" t="n">
        <f aca="false">AL12-AK12</f>
        <v>6.50527976594345</v>
      </c>
      <c r="AM13" s="13" t="n">
        <f aca="false">AM12-AL12</f>
        <v>7.9226460491385</v>
      </c>
      <c r="AN13" s="13" t="n">
        <f aca="false">AN12-AM12</f>
        <v>8.40773395717251</v>
      </c>
      <c r="AO13" s="13" t="n">
        <f aca="false">AO12-AN12</f>
        <v>8.96477781691675</v>
      </c>
      <c r="AP13" s="13" t="n">
        <f aca="false">AP12-AO12</f>
        <v>1.11015604175641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855.865297409457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9.26406911414573</v>
      </c>
      <c r="P14" s="13" t="n">
        <f aca="false">Operations!P84-P8-P9-Tax!P27-P13</f>
        <v>5.83824234452247</v>
      </c>
      <c r="Q14" s="13" t="n">
        <f aca="false">Operations!Q84-Q8-Q9-Tax!Q27-Q13</f>
        <v>7.08872336173265</v>
      </c>
      <c r="R14" s="13" t="n">
        <f aca="false">Operations!R84-R8-R9-Tax!R27-R13</f>
        <v>7.48795336540503</v>
      </c>
      <c r="S14" s="13" t="n">
        <f aca="false">Operations!S84-S8-S9-Tax!S27-S13</f>
        <v>8.60204602508713</v>
      </c>
      <c r="T14" s="13" t="n">
        <f aca="false">Operations!T84-T8-T9-Tax!T27-T13</f>
        <v>8.98384512006423</v>
      </c>
      <c r="U14" s="13" t="n">
        <f aca="false">Operations!U84-U8-U9-Tax!U27-U13</f>
        <v>10.1135161627278</v>
      </c>
      <c r="V14" s="13" t="n">
        <f aca="false">Operations!V84-V8-V9-Tax!V27-V13</f>
        <v>8.36491361922596</v>
      </c>
      <c r="W14" s="13" t="n">
        <f aca="false">Operations!W84-W8-W9-Tax!W27-W13</f>
        <v>12.0346092430641</v>
      </c>
      <c r="X14" s="13" t="n">
        <f aca="false">Operations!X84-X8-X9-Tax!X27-X13</f>
        <v>12.5590804621439</v>
      </c>
      <c r="Y14" s="13" t="n">
        <f aca="false">Operations!Y84-Y8-Y9-Tax!Y27-Y13</f>
        <v>10.6825732426749</v>
      </c>
      <c r="Z14" s="13" t="n">
        <f aca="false">Operations!Z84-Z8-Z9-Tax!Z27-Z13</f>
        <v>5.90024584118751</v>
      </c>
      <c r="AA14" s="13" t="n">
        <f aca="false">Operations!AA84-AA8-AA9-Tax!AA27-AA13</f>
        <v>6.77094698262462</v>
      </c>
      <c r="AB14" s="13" t="n">
        <f aca="false">Operations!AB84-AB8-AB9-Tax!AB27-AB13</f>
        <v>7.2245179319791</v>
      </c>
      <c r="AC14" s="13" t="n">
        <f aca="false">Operations!AC84-AC8-AC9-Tax!AC27-AC13</f>
        <v>8.18856505296913</v>
      </c>
      <c r="AD14" s="13" t="n">
        <f aca="false">Operations!AD84-AD8-AD9-Tax!AD27-AD13</f>
        <v>-0.797511629163006</v>
      </c>
      <c r="AE14" s="13" t="n">
        <f aca="false">Operations!AE84-AE8-AE9-Tax!AE27-AE13</f>
        <v>10.7509990353462</v>
      </c>
      <c r="AF14" s="13" t="n">
        <f aca="false">Operations!AF84-AF8-AF9-Tax!AF27-AF13</f>
        <v>10.4568962721461</v>
      </c>
      <c r="AG14" s="13" t="n">
        <f aca="false">Operations!AG84-AG8-AG9-Tax!AG27-AG13</f>
        <v>11.4179035819104</v>
      </c>
      <c r="AH14" s="13" t="n">
        <f aca="false">Operations!AH84-AH8-AH9-Tax!AH27-AH13</f>
        <v>12.2809810749641</v>
      </c>
      <c r="AI14" s="13" t="n">
        <f aca="false">Operations!AI84-AI8-AI9-Tax!AI27-AI13</f>
        <v>13.445052540926</v>
      </c>
      <c r="AJ14" s="13" t="n">
        <f aca="false">Operations!AJ84-AJ8-AJ9-Tax!AJ27-AJ13</f>
        <v>14.362712244154</v>
      </c>
      <c r="AK14" s="13" t="n">
        <f aca="false">Operations!AK84-AK8-AK9-Tax!AK27-AK13</f>
        <v>15.6440963527128</v>
      </c>
      <c r="AL14" s="13" t="n">
        <f aca="false">Operations!AL84-AL8-AL9-Tax!AL27-AL13</f>
        <v>14.8037964849279</v>
      </c>
      <c r="AM14" s="13" t="n">
        <f aca="false">Operations!AM84-AM8-AM9-Tax!AM27-AM13</f>
        <v>18.1085864314673</v>
      </c>
      <c r="AN14" s="13" t="n">
        <f aca="false">Operations!AN84-AN8-AN9-Tax!AN27-AN13</f>
        <v>19.2374761778012</v>
      </c>
      <c r="AO14" s="13" t="n">
        <f aca="false">Operations!AO84-AO8-AO9-Tax!AO27-AO13</f>
        <v>20.5354948879336</v>
      </c>
      <c r="AP14" s="13" t="n">
        <f aca="false">Operations!AP84-AP8-AP9-Tax!AP27-AP13</f>
        <v>22.8217600005567</v>
      </c>
      <c r="AQ14" s="13" t="n">
        <f aca="false">Operations!AQ84-AQ8-AQ9-Tax!AQ27-AQ13</f>
        <v>24.1703635818122</v>
      </c>
      <c r="AR14" s="13" t="n">
        <f aca="false">Operations!AR84-AR8-AR9-Tax!AR27-AR13</f>
        <v>24.761374836308</v>
      </c>
      <c r="AS14" s="13" t="n">
        <f aca="false">Operations!AS84-AS8-AS9-Tax!AS27-AS13</f>
        <v>24.9392296483269</v>
      </c>
      <c r="AT14" s="13" t="n">
        <f aca="false">Operations!AT84-AT8-AT9-Tax!AT27-AT13</f>
        <v>14.6834207243541</v>
      </c>
      <c r="AU14" s="13" t="n">
        <f aca="false">Operations!AU84-AU8-AU9-Tax!AU27-AU13</f>
        <v>25.2228648524181</v>
      </c>
      <c r="AV14" s="13" t="n">
        <f aca="false">Operations!AV84-AV8-AV9-Tax!AV27-AV13</f>
        <v>25.0991844012637</v>
      </c>
      <c r="AW14" s="13" t="n">
        <f aca="false">Operations!AW84-AW8-AW9-Tax!AW27-AW13</f>
        <v>25.190211498097</v>
      </c>
      <c r="AX14" s="13" t="n">
        <f aca="false">Operations!AX84-AX8-AX9-Tax!AX27-AX13</f>
        <v>25.3348280328685</v>
      </c>
      <c r="AY14" s="13" t="n">
        <f aca="false">Operations!AY84-AY8-AY9-Tax!AY27-AY13</f>
        <v>25.3868847233425</v>
      </c>
      <c r="AZ14" s="13" t="n">
        <f aca="false">Operations!AZ84-AZ8-AZ9-Tax!AZ27-AZ13</f>
        <v>25.4507530800953</v>
      </c>
      <c r="BA14" s="13" t="n">
        <f aca="false">Operations!BA84-BA8-BA9-Tax!BA27-BA13</f>
        <v>25.6000180955723</v>
      </c>
      <c r="BB14" s="13" t="n">
        <f aca="false">Operations!BB84-BB8-BB9-Tax!BB27-BB13</f>
        <v>23.3855483926107</v>
      </c>
      <c r="BC14" s="13" t="n">
        <f aca="false">Operations!BC84-BC8-BC9-Tax!BC27-BC13</f>
        <v>25.8622469843396</v>
      </c>
      <c r="BD14" s="13" t="n">
        <f aca="false">Operations!BD84-BD8-BD9-Tax!BD27-BD13</f>
        <v>25.8166507395775</v>
      </c>
      <c r="BE14" s="13" t="n">
        <f aca="false">Operations!BE84-BE8-BE9-Tax!BE27-BE13</f>
        <v>25.9150929407623</v>
      </c>
      <c r="BF14" s="13" t="n">
        <f aca="false">Operations!BF84-BF8-BF9-Tax!BF27-BF13</f>
        <v>26.073163439819</v>
      </c>
      <c r="BG14" s="13" t="n">
        <f aca="false">Operations!BG84-BG8-BG9-Tax!BG27-BG13</f>
        <v>26.128556900855</v>
      </c>
      <c r="BH14" s="13" t="n">
        <f aca="false">Operations!BH84-BH8-BH9-Tax!BH27-BH13</f>
        <v>26.1974712107649</v>
      </c>
      <c r="BI14" s="13" t="n">
        <f aca="false">Operations!BI84-BI8-BI9-Tax!BI27-BI13</f>
        <v>26.4098975995001</v>
      </c>
      <c r="BJ14" s="13" t="n">
        <f aca="false">Operations!BJ84-BJ8-BJ9-Tax!BJ27-BJ13</f>
        <v>14.2871053184702</v>
      </c>
      <c r="BK14" s="13" t="n">
        <f aca="false">Operations!BK84-BK8-BK9-Tax!BK27-BK13</f>
        <v>26.7478195544176</v>
      </c>
      <c r="BL14" s="13" t="n">
        <f aca="false">Operations!BL84-BL8-BL9-Tax!BL27-BL13</f>
        <v>26.5938333100163</v>
      </c>
      <c r="BM14" s="13" t="n">
        <f aca="false">Operations!BM84-BM8-BM9-Tax!BM27-BM13</f>
        <v>4.43668621862782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38.9791174518744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46.1666165256366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48.8384996803163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36.3832835141262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35.5989544710657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34.7882800143618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34.4855798583354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33.3426686602815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32.4059237766356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30.5990593463905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28.6611038681951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39.1198418793754</v>
      </c>
      <c r="P18" s="13" t="n">
        <f aca="false">Operations!P88+Operations!P89</f>
        <v>38.9912337821804</v>
      </c>
      <c r="Q18" s="13" t="n">
        <f aca="false">Operations!Q88+Operations!Q89</f>
        <v>40.0244758100501</v>
      </c>
      <c r="R18" s="13" t="n">
        <f aca="false">Operations!R88+Operations!R89</f>
        <v>39.3470009405197</v>
      </c>
      <c r="S18" s="13" t="n">
        <f aca="false">Operations!S88+Operations!S89</f>
        <v>40.5342527014116</v>
      </c>
      <c r="T18" s="13" t="n">
        <f aca="false">Operations!T88+Operations!T89</f>
        <v>40.1322584109883</v>
      </c>
      <c r="U18" s="13" t="n">
        <f aca="false">Operations!U88+Operations!U89</f>
        <v>40.8024958379061</v>
      </c>
      <c r="V18" s="13" t="n">
        <f aca="false">Operations!V88+Operations!V89</f>
        <v>39.946353543134</v>
      </c>
      <c r="W18" s="13" t="n">
        <f aca="false">Operations!W88+Operations!W89</f>
        <v>41.3460210905087</v>
      </c>
      <c r="X18" s="13" t="n">
        <f aca="false">Operations!X88+Operations!X89</f>
        <v>41.318199541015</v>
      </c>
      <c r="Y18" s="13" t="n">
        <f aca="false">Operations!Y88+Operations!Y89</f>
        <v>42.421479052218</v>
      </c>
      <c r="Z18" s="13" t="n">
        <f aca="false">Operations!Z88+Operations!Z89</f>
        <v>41.7025851982109</v>
      </c>
      <c r="AA18" s="13" t="n">
        <f aca="false">Operations!AA88+Operations!AA89</f>
        <v>42.9722062047435</v>
      </c>
      <c r="AB18" s="13" t="n">
        <f aca="false">Operations!AB88+Operations!AB89</f>
        <v>42.5508277759093</v>
      </c>
      <c r="AC18" s="13" t="n">
        <f aca="false">Operations!AC88+Operations!AC89</f>
        <v>43.0992362189108</v>
      </c>
      <c r="AD18" s="13" t="n">
        <f aca="false">Operations!AD88+Operations!AD89</f>
        <v>41.6293365149017</v>
      </c>
      <c r="AE18" s="13" t="n">
        <f aca="false">Operations!AE88+Operations!AE89</f>
        <v>43.5069774898148</v>
      </c>
      <c r="AF18" s="13" t="n">
        <f aca="false">Operations!AF88+Operations!AF89</f>
        <v>43.8319835223403</v>
      </c>
      <c r="AG18" s="13" t="n">
        <f aca="false">Operations!AG88+Operations!AG89</f>
        <v>45.0109420562652</v>
      </c>
      <c r="AH18" s="13" t="n">
        <f aca="false">Operations!AH88+Operations!AH89</f>
        <v>44.2473046562049</v>
      </c>
      <c r="AI18" s="13" t="n">
        <f aca="false">Operations!AI88+Operations!AI89</f>
        <v>45.6059172953042</v>
      </c>
      <c r="AJ18" s="13" t="n">
        <f aca="false">Operations!AJ88+Operations!AJ89</f>
        <v>45.1635797391603</v>
      </c>
      <c r="AK18" s="13" t="n">
        <f aca="false">Operations!AK88+Operations!AK89</f>
        <v>45.9277296647618</v>
      </c>
      <c r="AL18" s="13" t="n">
        <f aca="false">Operations!AL88+Operations!AL89</f>
        <v>44.9471671092985</v>
      </c>
      <c r="AM18" s="13" t="n">
        <f aca="false">Operations!AM88+Operations!AM89</f>
        <v>46.5535691179628</v>
      </c>
      <c r="AN18" s="13" t="n">
        <f aca="false">Operations!AN88+Operations!AN89</f>
        <v>46.5476047946416</v>
      </c>
      <c r="AO18" s="13" t="n">
        <f aca="false">Operations!AO88+Operations!AO89</f>
        <v>47.8083374839125</v>
      </c>
      <c r="AP18" s="13" t="n">
        <f aca="false">Operations!AP88+Operations!AP89</f>
        <v>46.9963668640704</v>
      </c>
      <c r="AQ18" s="13" t="n">
        <f aca="false">Operations!AQ88+Operations!AQ89</f>
        <v>48.4511245120663</v>
      </c>
      <c r="AR18" s="13" t="n">
        <f aca="false">Operations!AR88+Operations!AR89</f>
        <v>47.9861254360233</v>
      </c>
      <c r="AS18" s="13" t="n">
        <f aca="false">Operations!AS88+Operations!AS89</f>
        <v>48.608258121766</v>
      </c>
      <c r="AT18" s="13" t="n">
        <f aca="false">Operations!AT88+Operations!AT89</f>
        <v>46.9338294103213</v>
      </c>
      <c r="AU18" s="13" t="n">
        <f aca="false">Operations!AU88+Operations!AU89</f>
        <v>49.075876271294</v>
      </c>
      <c r="AV18" s="13" t="n">
        <f aca="false">Operations!AV88+Operations!AV89</f>
        <v>49.4812898757709</v>
      </c>
      <c r="AW18" s="13" t="n">
        <f aca="false">Operations!AW88+Operations!AW89</f>
        <v>50.8303818152435</v>
      </c>
      <c r="AX18" s="13" t="n">
        <f aca="false">Operations!AX88+Operations!AX89</f>
        <v>49.966202207206</v>
      </c>
      <c r="AY18" s="13" t="n">
        <f aca="false">Operations!AY88+Operations!AY89</f>
        <v>51.5248316479345</v>
      </c>
      <c r="AZ18" s="13" t="n">
        <f aca="false">Operations!AZ88+Operations!AZ89</f>
        <v>51.0353309991242</v>
      </c>
      <c r="BA18" s="13" t="n">
        <f aca="false">Operations!BA88+Operations!BA89</f>
        <v>51.9091383046691</v>
      </c>
      <c r="BB18" s="13" t="n">
        <f aca="false">Operations!BB88+Operations!BB89</f>
        <v>50.7835987075682</v>
      </c>
      <c r="BC18" s="13" t="n">
        <f aca="false">Operations!BC88+Operations!BC89</f>
        <v>52.6312406478686</v>
      </c>
      <c r="BD18" s="13" t="n">
        <f aca="false">Operations!BD88+Operations!BD89</f>
        <v>52.6505696976884</v>
      </c>
      <c r="BE18" s="13" t="n">
        <f aca="false">Operations!BE88+Operations!BE89</f>
        <v>54.0951352190242</v>
      </c>
      <c r="BF18" s="13" t="n">
        <f aca="false">Operations!BF88+Operations!BF89</f>
        <v>53.1745621309255</v>
      </c>
      <c r="BG18" s="13" t="n">
        <f aca="false">Operations!BG88+Operations!BG89</f>
        <v>54.8454093467476</v>
      </c>
      <c r="BH18" s="13" t="n">
        <f aca="false">Operations!BH88+Operations!BH89</f>
        <v>54.3294183340049</v>
      </c>
      <c r="BI18" s="13" t="n">
        <f aca="false">Operations!BI88+Operations!BI89</f>
        <v>55.0377129523275</v>
      </c>
      <c r="BJ18" s="13" t="n">
        <f aca="false">Operations!BJ88+Operations!BJ89</f>
        <v>53.1246079233683</v>
      </c>
      <c r="BK18" s="13" t="n">
        <f aca="false">Operations!BK88+Operations!BK89</f>
        <v>55.5754929853254</v>
      </c>
      <c r="BL18" s="13" t="n">
        <f aca="false">Operations!BL88+Operations!BL89</f>
        <v>56.0743843422375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49.3729850442584</v>
      </c>
      <c r="Z20" s="13" t="n">
        <f aca="false">MAX(0,-Z12)</f>
        <v>46.6919547403179</v>
      </c>
      <c r="AA20" s="13" t="n">
        <f aca="false">MAX(0,-AA12)</f>
        <v>43.6370060789334</v>
      </c>
      <c r="AB20" s="13" t="n">
        <f aca="false">MAX(0,-AB12)</f>
        <v>40.3868413860145</v>
      </c>
      <c r="AC20" s="13" t="n">
        <f aca="false">MAX(0,-AC12)</f>
        <v>36.7231323345364</v>
      </c>
      <c r="AD20" s="13" t="n">
        <f aca="false">MAX(0,-AD12)</f>
        <v>35.7191084717197</v>
      </c>
      <c r="AE20" s="13" t="n">
        <f aca="false">MAX(0,-AE12)</f>
        <v>32.1495256768478</v>
      </c>
      <c r="AF20" s="13" t="n">
        <f aca="false">MAX(0,-AF12)</f>
        <v>27.5111324235758</v>
      </c>
      <c r="AG20" s="13" t="n">
        <f aca="false">MAX(0,-AG12)</f>
        <v>22.460190402065</v>
      </c>
      <c r="AH20" s="13" t="n">
        <f aca="false">MAX(0,-AH12)</f>
        <v>17.0387254770389</v>
      </c>
      <c r="AI20" s="13" t="n">
        <f aca="false">MAX(0,-AI12)</f>
        <v>11.1175445492474</v>
      </c>
      <c r="AJ20" s="13" t="n">
        <f aca="false">MAX(0,-AJ12)</f>
        <v>4.80217915398697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916.230974434243</v>
      </c>
      <c r="P21" s="13" t="n">
        <f aca="false">P16+P17+P18+P19+P20</f>
        <v>902.982921909912</v>
      </c>
      <c r="Q21" s="13" t="n">
        <f aca="false">Q16+Q17+Q18+Q19+Q20</f>
        <v>893.186589139907</v>
      </c>
      <c r="R21" s="13" t="n">
        <f aca="false">R16+R17+R18+R19+R20</f>
        <v>880.920298244849</v>
      </c>
      <c r="S21" s="13" t="n">
        <f aca="false">S16+S17+S18+S19+S20</f>
        <v>871.228111864524</v>
      </c>
      <c r="T21" s="13" t="n">
        <f aca="false">T16+T17+T18+T19+T20</f>
        <v>859.348249116799</v>
      </c>
      <c r="U21" s="13" t="n">
        <f aca="false">U16+U17+U18+U19+U20</f>
        <v>849.438370593615</v>
      </c>
      <c r="V21" s="13" t="n">
        <f aca="false">V16+V17+V18+V19+V20</f>
        <v>834.106313941964</v>
      </c>
      <c r="W21" s="13" t="n">
        <f aca="false">W16+W17+W18+W19+W20</f>
        <v>822.695937405196</v>
      </c>
      <c r="X21" s="13" t="n">
        <f aca="false">X16+X17+X18+X19+X20</f>
        <v>812.57084363643</v>
      </c>
      <c r="Y21" s="13" t="n">
        <f aca="false">Y16+Y17+Y18+Y19+Y20</f>
        <v>801.7326438211</v>
      </c>
      <c r="Z21" s="13" t="n">
        <f aca="false">Z16+Z17+Z18+Z19+Z20</f>
        <v>783.274655406181</v>
      </c>
      <c r="AA21" s="13" t="n">
        <f aca="false">AA16+AA17+AA18+AA19+AA20</f>
        <v>767.158800525138</v>
      </c>
      <c r="AB21" s="13" t="n">
        <f aca="false">AB16+AB17+AB18+AB19+AB20</f>
        <v>748.024424075566</v>
      </c>
      <c r="AC21" s="13" t="n">
        <f aca="false">AC16+AC17+AC18+AC19+AC20</f>
        <v>730.847275574824</v>
      </c>
      <c r="AD21" s="13" t="n">
        <f aca="false">AD16+AD17+AD18+AD19+AD20</f>
        <v>699.184404794862</v>
      </c>
      <c r="AE21" s="13" t="n">
        <f aca="false">AE16+AE17+AE18+AE19+AE20</f>
        <v>679.974402884897</v>
      </c>
      <c r="AF21" s="13" t="n">
        <f aca="false">AF16+AF17+AF18+AF19+AF20</f>
        <v>658.116610160501</v>
      </c>
      <c r="AG21" s="13" t="n">
        <f aca="false">AG16+AG17+AG18+AG19+AG20</f>
        <v>637.208195469943</v>
      </c>
      <c r="AH21" s="13" t="n">
        <f aca="false">AH16+AH17+AH18+AH19+AH20</f>
        <v>613.146450899857</v>
      </c>
      <c r="AI21" s="13" t="n">
        <f aca="false">AI16+AI17+AI18+AI19+AI20</f>
        <v>590.913406680574</v>
      </c>
      <c r="AJ21" s="13" t="n">
        <f aca="false">AJ16+AJ17+AJ18+AJ19+AJ20</f>
        <v>565.615108251979</v>
      </c>
      <c r="AK21" s="13" t="n">
        <f aca="false">AK16+AK17+AK18+AK19+AK20</f>
        <v>542.905392498452</v>
      </c>
      <c r="AL21" s="13" t="n">
        <f aca="false">AL16+AL17+AL18+AL19+AL20</f>
        <v>520.099286881126</v>
      </c>
      <c r="AM21" s="13" t="n">
        <f aca="false">AM16+AM17+AM18+AM19+AM20</f>
        <v>500.534683244431</v>
      </c>
      <c r="AN21" s="13" t="n">
        <f aca="false">AN16+AN17+AN18+AN19+AN20</f>
        <v>485.916767452395</v>
      </c>
      <c r="AO21" s="13" t="n">
        <f aca="false">AO16+AO17+AO18+AO19+AO20</f>
        <v>453.885750432599</v>
      </c>
      <c r="AP21" s="13" t="n">
        <f aca="false">AP16+AP17+AP18+AP19+AP20</f>
        <v>438.687937851299</v>
      </c>
      <c r="AQ21" s="13" t="n">
        <f aca="false">AQ16+AQ17+AQ18+AQ19+AQ20</f>
        <v>425.756853537836</v>
      </c>
      <c r="AR21" s="13" t="n">
        <f aca="false">AR16+AR17+AR18+AR19+AR20</f>
        <v>410.906012500334</v>
      </c>
      <c r="AS21" s="13" t="n">
        <f aca="false">AS16+AS17+AS18+AS19+AS20</f>
        <v>397.142303224618</v>
      </c>
      <c r="AT21" s="13" t="n">
        <f aca="false">AT16+AT17+AT18+AT19+AT20</f>
        <v>364.646808953306</v>
      </c>
      <c r="AU21" s="13" t="n">
        <f aca="false">AU16+AU17+AU18+AU19+AU20</f>
        <v>350.055124767333</v>
      </c>
      <c r="AV21" s="13" t="n">
        <f aca="false">AV16+AV17+AV18+AV19+AV20</f>
        <v>334.316448325788</v>
      </c>
      <c r="AW21" s="13" t="n">
        <f aca="false">AW16+AW17+AW18+AW19+AW20</f>
        <v>319.521450219238</v>
      </c>
      <c r="AX21" s="13" t="n">
        <f aca="false">AX16+AX17+AX18+AX19+AX20</f>
        <v>302.513180565178</v>
      </c>
      <c r="AY21" s="13" t="n">
        <f aca="false">AY16+AY17+AY18+AY19+AY20</f>
        <v>287.927719959885</v>
      </c>
      <c r="AZ21" s="13" t="n">
        <f aca="false">AZ16+AZ17+AZ18+AZ19+AZ20</f>
        <v>271.294129265052</v>
      </c>
      <c r="BA21" s="13" t="n">
        <f aca="false">BA16+BA17+BA18+BA19+BA20</f>
        <v>256.518814911184</v>
      </c>
      <c r="BB21" s="13" t="n">
        <f aca="false">BB16+BB17+BB18+BB19+BB20</f>
        <v>236.622848516241</v>
      </c>
      <c r="BC21" s="13" t="n">
        <f aca="false">BC16+BC17+BC18+BC19+BC20</f>
        <v>223.254332482938</v>
      </c>
      <c r="BD21" s="13" t="n">
        <f aca="false">BD16+BD17+BD18+BD19+BD20</f>
        <v>210.868481407172</v>
      </c>
      <c r="BE21" s="13" t="n">
        <f aca="false">BE16+BE17+BE18+BE19+BE20</f>
        <v>199.924650923631</v>
      </c>
      <c r="BF21" s="13" t="n">
        <f aca="false">BF16+BF17+BF18+BF19+BF20</f>
        <v>186.632649572272</v>
      </c>
      <c r="BG21" s="13" t="n">
        <f aca="false">BG16+BG17+BG18+BG19+BG20</f>
        <v>175.949221896198</v>
      </c>
      <c r="BH21" s="13" t="n">
        <f aca="false">BH16+BH17+BH18+BH19+BH20</f>
        <v>163.096297023491</v>
      </c>
      <c r="BI21" s="13" t="n">
        <f aca="false">BI16+BI17+BI18+BI19+BI20</f>
        <v>151.485188527384</v>
      </c>
      <c r="BJ21" s="13" t="n">
        <f aca="false">BJ16+BJ17+BJ18+BJ19+BJ20</f>
        <v>117.709775390839</v>
      </c>
      <c r="BK21" s="13" t="n">
        <f aca="false">BK16+BK17+BK18+BK19+BK20</f>
        <v>105.082520933825</v>
      </c>
      <c r="BL21" s="13" t="n">
        <f aca="false">BL16+BL17+BL18+BL19+BL20</f>
        <v>90.5213852021622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401.447192612483</v>
      </c>
      <c r="AB22" s="13" t="n">
        <f aca="false">IF(Time!AB20&lt;Time!$F$12,SUMIFS(Funding!$J$73:$BJ$73,Construction!$J$12:$BJ$12,"&lt;="&amp;Time!AB20),Debt!AB116)</f>
        <v>372.931936810075</v>
      </c>
      <c r="AC22" s="13" t="n">
        <f aca="false">IF(Time!AC20&lt;Time!$F$12,SUMIFS(Funding!$J$73:$BJ$73,Construction!$J$12:$BJ$12,"&lt;="&amp;Time!AC20),Debt!AC116)</f>
        <v>344.443746136793</v>
      </c>
      <c r="AD22" s="13" t="n">
        <f aca="false">IF(Time!AD20&lt;Time!$F$12,SUMIFS(Funding!$J$73:$BJ$73,Construction!$J$12:$BJ$12,"&lt;="&amp;Time!AD20),Debt!AD116)</f>
        <v>312.993469430633</v>
      </c>
      <c r="AE22" s="13" t="n">
        <f aca="false">IF(Time!AE20&lt;Time!$F$12,SUMIFS(Funding!$J$73:$BJ$73,Construction!$J$12:$BJ$12,"&lt;="&amp;Time!AE20),Debt!AE116)</f>
        <v>280.536333951016</v>
      </c>
      <c r="AF22" s="13" t="n">
        <f aca="false">IF(Time!AF20&lt;Time!$F$12,SUMIFS(Funding!$J$73:$BJ$73,Construction!$J$12:$BJ$12,"&lt;="&amp;Time!AF20),Debt!AF116)</f>
        <v>247.124240100967</v>
      </c>
      <c r="AG22" s="13" t="n">
        <f aca="false">IF(Time!AG20&lt;Time!$F$12,SUMIFS(Funding!$J$73:$BJ$73,Construction!$J$12:$BJ$12,"&lt;="&amp;Time!AG20),Debt!AG116)</f>
        <v>213.776904717785</v>
      </c>
      <c r="AH22" s="13" t="n">
        <f aca="false">IF(Time!AH20&lt;Time!$F$12,SUMIFS(Funding!$J$73:$BJ$73,Construction!$J$12:$BJ$12,"&lt;="&amp;Time!AH20),Debt!AH116)</f>
        <v>178.963375652344</v>
      </c>
      <c r="AI22" s="13" t="n">
        <f aca="false">IF(Time!AI20&lt;Time!$F$12,SUMIFS(Funding!$J$73:$BJ$73,Construction!$J$12:$BJ$12,"&lt;="&amp;Time!AI20),Debt!AI116)</f>
        <v>144.071183747373</v>
      </c>
      <c r="AJ22" s="13" t="n">
        <f aca="false">IF(Time!AJ20&lt;Time!$F$12,SUMIFS(Funding!$J$73:$BJ$73,Construction!$J$12:$BJ$12,"&lt;="&amp;Time!AJ20),Debt!AJ116)</f>
        <v>108.105761439499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201.359927735114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199.865520652242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197.544800493776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195.782222923386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193.373924872067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191.712302807615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188.822238699269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184.9254600248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182.167145912043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179.933332929158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177.043266815478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180.052437055124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182.439507834634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185.232536591808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186.960578436751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188.097629219801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188.666881306326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188.806899660003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187.854061380477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186.007666170458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182.561481117526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169.634781611693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147.940889419289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123.026900459434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98.7081825364045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54.633655187682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16.1271058604809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24.482764193228</v>
      </c>
      <c r="P24" s="13" t="n">
        <f aca="false">Operations!P90+Operations!P91+Operations!P92+Operations!P93+Operations!P94</f>
        <v>24.3876684572712</v>
      </c>
      <c r="Q24" s="13" t="n">
        <f aca="false">Operations!Q90+Operations!Q91+Operations!Q92+Operations!Q93+Operations!Q94</f>
        <v>25.1422857379931</v>
      </c>
      <c r="R24" s="13" t="n">
        <f aca="false">Operations!R90+Operations!R91+Operations!R92+Operations!R93+Operations!R94</f>
        <v>24.6493229814259</v>
      </c>
      <c r="S24" s="13" t="n">
        <f aca="false">Operations!S90+Operations!S91+Operations!S92+Operations!S93+Operations!S94</f>
        <v>25.5574404287044</v>
      </c>
      <c r="T24" s="13" t="n">
        <f aca="false">Operations!T90+Operations!T91+Operations!T92+Operations!T93+Operations!T94</f>
        <v>25.3440261699955</v>
      </c>
      <c r="U24" s="13" t="n">
        <f aca="false">Operations!U90+Operations!U91+Operations!U92+Operations!U93+Operations!U94</f>
        <v>25.8060184581542</v>
      </c>
      <c r="V24" s="13" t="n">
        <f aca="false">Operations!V90+Operations!V91+Operations!V92+Operations!V93+Operations!V94</f>
        <v>25.0526204673686</v>
      </c>
      <c r="W24" s="13" t="n">
        <f aca="false">Operations!W90+Operations!W91+Operations!W92+Operations!W93+Operations!W94</f>
        <v>26.1709449711076</v>
      </c>
      <c r="X24" s="13" t="n">
        <f aca="false">Operations!X90+Operations!X91+Operations!X92+Operations!X93+Operations!X94</f>
        <v>26.3379603886898</v>
      </c>
      <c r="Y24" s="13" t="n">
        <f aca="false">Operations!Y90+Operations!Y91+Operations!Y92+Operations!Y93+Operations!Y94</f>
        <v>27.1533305413419</v>
      </c>
      <c r="Z24" s="13" t="n">
        <f aca="false">Operations!Z90+Operations!Z91+Operations!Z92+Operations!Z93+Operations!Z94</f>
        <v>26.6202910572169</v>
      </c>
      <c r="AA24" s="13" t="n">
        <f aca="false">Operations!AA90+Operations!AA91+Operations!AA92+Operations!AA93+Operations!AA94</f>
        <v>27.6016524561133</v>
      </c>
      <c r="AB24" s="13" t="n">
        <f aca="false">Operations!AB90+Operations!AB91+Operations!AB92+Operations!AB93+Operations!AB94</f>
        <v>27.3709430974602</v>
      </c>
      <c r="AC24" s="13" t="n">
        <f aca="false">Operations!AC90+Operations!AC91+Operations!AC92+Operations!AC93+Operations!AC94</f>
        <v>27.7003914598568</v>
      </c>
      <c r="AD24" s="13" t="n">
        <f aca="false">Operations!AD90+Operations!AD91+Operations!AD92+Operations!AD93+Operations!AD94</f>
        <v>26.5572671702758</v>
      </c>
      <c r="AE24" s="13" t="n">
        <f aca="false">Operations!AE90+Operations!AE91+Operations!AE92+Operations!AE93+Operations!AE94</f>
        <v>27.9163509215316</v>
      </c>
      <c r="AF24" s="13" t="n">
        <f aca="false">Operations!AF90+Operations!AF91+Operations!AF92+Operations!AF93+Operations!AF94</f>
        <v>28.4445036885129</v>
      </c>
      <c r="AG24" s="13" t="n">
        <f aca="false">Operations!AG90+Operations!AG91+Operations!AG92+Operations!AG93+Operations!AG94</f>
        <v>29.3255024455505</v>
      </c>
      <c r="AH24" s="13" t="n">
        <f aca="false">Operations!AH90+Operations!AH91+Operations!AH92+Operations!AH93+Operations!AH94</f>
        <v>28.7491441454671</v>
      </c>
      <c r="AI24" s="13" t="n">
        <f aca="false">Operations!AI90+Operations!AI91+Operations!AI92+Operations!AI93+Operations!AI94</f>
        <v>29.8096345002472</v>
      </c>
      <c r="AJ24" s="13" t="n">
        <f aca="false">Operations!AJ90+Operations!AJ91+Operations!AJ92+Operations!AJ93+Operations!AJ94</f>
        <v>29.5602311883047</v>
      </c>
      <c r="AK24" s="13" t="n">
        <f aca="false">Operations!AK90+Operations!AK91+Operations!AK92+Operations!AK93+Operations!AK94</f>
        <v>30.0989082330247</v>
      </c>
      <c r="AL24" s="13" t="n">
        <f aca="false">Operations!AL90+Operations!AL91+Operations!AL92+Operations!AL93+Operations!AL94</f>
        <v>29.2180051412059</v>
      </c>
      <c r="AM24" s="13" t="n">
        <f aca="false">Operations!AM90+Operations!AM91+Operations!AM92+Operations!AM93+Operations!AM94</f>
        <v>30.5242607876372</v>
      </c>
      <c r="AN24" s="13" t="n">
        <f aca="false">Operations!AN90+Operations!AN91+Operations!AN92+Operations!AN93+Operations!AN94</f>
        <v>30.719776569411</v>
      </c>
      <c r="AO24" s="13" t="n">
        <f aca="false">Operations!AO90+Operations!AO91+Operations!AO92+Operations!AO93+Operations!AO94</f>
        <v>31.6716685570648</v>
      </c>
      <c r="AP24" s="13" t="n">
        <f aca="false">Operations!AP90+Operations!AP91+Operations!AP92+Operations!AP93+Operations!AP94</f>
        <v>31.048489260652</v>
      </c>
      <c r="AQ24" s="13" t="n">
        <f aca="false">Operations!AQ90+Operations!AQ91+Operations!AQ92+Operations!AQ93+Operations!AQ94</f>
        <v>32.194463387635</v>
      </c>
      <c r="AR24" s="13" t="n">
        <f aca="false">Operations!AR90+Operations!AR91+Operations!AR92+Operations!AR93+Operations!AR94</f>
        <v>31.924855151384</v>
      </c>
      <c r="AS24" s="13" t="n">
        <f aca="false">Operations!AS90+Operations!AS91+Operations!AS92+Operations!AS93+Operations!AS94</f>
        <v>32.3083941820264</v>
      </c>
      <c r="AT24" s="13" t="n">
        <f aca="false">Operations!AT90+Operations!AT91+Operations!AT92+Operations!AT93+Operations!AT94</f>
        <v>30.9720279980963</v>
      </c>
      <c r="AU24" s="13" t="n">
        <f aca="false">Operations!AU90+Operations!AU91+Operations!AU92+Operations!AU93+Operations!AU94</f>
        <v>32.5594373315168</v>
      </c>
      <c r="AV24" s="13" t="n">
        <f aca="false">Operations!AV90+Operations!AV91+Operations!AV92+Operations!AV93+Operations!AV94</f>
        <v>33.1772490939952</v>
      </c>
      <c r="AW24" s="13" t="n">
        <f aca="false">Operations!AW90+Operations!AW91+Operations!AW92+Operations!AW93+Operations!AW94</f>
        <v>34.2057186217589</v>
      </c>
      <c r="AX24" s="13" t="n">
        <f aca="false">Operations!AX90+Operations!AX91+Operations!AX92+Operations!AX93+Operations!AX94</f>
        <v>33.5319353827341</v>
      </c>
      <c r="AY24" s="13" t="n">
        <f aca="false">Operations!AY90+Operations!AY91+Operations!AY92+Operations!AY93+Operations!AY94</f>
        <v>34.7702551318555</v>
      </c>
      <c r="AZ24" s="13" t="n">
        <f aca="false">Operations!AZ90+Operations!AZ91+Operations!AZ92+Operations!AZ93+Operations!AZ94</f>
        <v>34.4788099863905</v>
      </c>
      <c r="BA24" s="13" t="n">
        <f aca="false">Operations!BA90+Operations!BA91+Operations!BA92+Operations!BA93+Operations!BA94</f>
        <v>35.106872215248</v>
      </c>
      <c r="BB24" s="13" t="n">
        <f aca="false">Operations!BB90+Operations!BB91+Operations!BB92+Operations!BB93+Operations!BB94</f>
        <v>34.0770392871883</v>
      </c>
      <c r="BC24" s="13" t="n">
        <f aca="false">Operations!BC90+Operations!BC91+Operations!BC92+Operations!BC93+Operations!BC94</f>
        <v>35.6026516906445</v>
      </c>
      <c r="BD24" s="13" t="n">
        <f aca="false">Operations!BD90+Operations!BD91+Operations!BD92+Operations!BD93+Operations!BD94</f>
        <v>35.8314615358111</v>
      </c>
      <c r="BE24" s="13" t="n">
        <f aca="false">Operations!BE90+Operations!BE91+Operations!BE92+Operations!BE93+Operations!BE94</f>
        <v>36.9426458022817</v>
      </c>
      <c r="BF24" s="13" t="n">
        <f aca="false">Operations!BF90+Operations!BF91+Operations!BF92+Operations!BF93+Operations!BF94</f>
        <v>36.2141726081704</v>
      </c>
      <c r="BG24" s="13" t="n">
        <f aca="false">Operations!BG90+Operations!BG91+Operations!BG92+Operations!BG93+Operations!BG94</f>
        <v>37.5522470072483</v>
      </c>
      <c r="BH24" s="13" t="n">
        <f aca="false">Operations!BH90+Operations!BH91+Operations!BH92+Operations!BH93+Operations!BH94</f>
        <v>37.237202359679</v>
      </c>
      <c r="BI24" s="13" t="n">
        <f aca="false">Operations!BI90+Operations!BI91+Operations!BI92+Operations!BI93+Operations!BI94</f>
        <v>37.6837140826848</v>
      </c>
      <c r="BJ24" s="13" t="n">
        <f aca="false">Operations!BJ90+Operations!BJ91+Operations!BJ92+Operations!BJ93+Operations!BJ94</f>
        <v>36.1216718873619</v>
      </c>
      <c r="BK24" s="13" t="n">
        <f aca="false">Operations!BK90+Operations!BK91+Operations!BK92+Operations!BK93+Operations!BK94</f>
        <v>37.9755687485893</v>
      </c>
      <c r="BL24" s="13" t="n">
        <f aca="false">Operations!BL90+Operations!BL91+Operations!BL92+Operations!BL93+Operations!BL94</f>
        <v>38.6981088849841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2.06290425718871</v>
      </c>
      <c r="AL25" s="13" t="n">
        <f aca="false">MAX(0,AL12)</f>
        <v>8.56818402313215</v>
      </c>
      <c r="AM25" s="13" t="n">
        <f aca="false">MAX(0,AM12)</f>
        <v>16.4908300722707</v>
      </c>
      <c r="AN25" s="13" t="n">
        <f aca="false">MAX(0,AN12)</f>
        <v>24.8985640294432</v>
      </c>
      <c r="AO25" s="13" t="n">
        <f aca="false">MAX(0,AO12)</f>
        <v>33.8633418463599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9.26406911414573</v>
      </c>
      <c r="P27" s="18" t="n">
        <f aca="false">Waterfall!P43</f>
        <v>15.1023114586682</v>
      </c>
      <c r="Q27" s="18" t="n">
        <f aca="false">Waterfall!Q43</f>
        <v>22.1910348204008</v>
      </c>
      <c r="R27" s="18" t="n">
        <f aca="false">Waterfall!R43</f>
        <v>29.6789881858059</v>
      </c>
      <c r="S27" s="18" t="n">
        <f aca="false">Waterfall!S43</f>
        <v>38.281034210893</v>
      </c>
      <c r="T27" s="18" t="n">
        <f aca="false">Waterfall!T43</f>
        <v>47.2648793309572</v>
      </c>
      <c r="U27" s="18" t="n">
        <f aca="false">Waterfall!U43</f>
        <v>57.3783954936851</v>
      </c>
      <c r="V27" s="18" t="n">
        <f aca="false">Waterfall!V43</f>
        <v>65.743309112911</v>
      </c>
      <c r="W27" s="18" t="n">
        <f aca="false">Waterfall!W43</f>
        <v>77.7779183559751</v>
      </c>
      <c r="X27" s="18" t="n">
        <f aca="false">Waterfall!X43</f>
        <v>90.336998818119</v>
      </c>
      <c r="Y27" s="18" t="n">
        <f aca="false">Waterfall!Y43</f>
        <v>101.019572060794</v>
      </c>
      <c r="Z27" s="18" t="n">
        <f aca="false">Waterfall!Z43</f>
        <v>106.919817901981</v>
      </c>
      <c r="AA27" s="18" t="n">
        <f aca="false">Waterfall!AA43</f>
        <v>113.690764884606</v>
      </c>
      <c r="AB27" s="18" t="n">
        <f aca="false">Waterfall!AB43</f>
        <v>120.915282816585</v>
      </c>
      <c r="AC27" s="18" t="n">
        <f aca="false">Waterfall!AC43</f>
        <v>129.103847869554</v>
      </c>
      <c r="AD27" s="18" t="n">
        <f aca="false">Waterfall!AD43</f>
        <v>128.306336240391</v>
      </c>
      <c r="AE27" s="18" t="n">
        <f aca="false">Waterfall!AE43</f>
        <v>139.057335275737</v>
      </c>
      <c r="AF27" s="18" t="n">
        <f aca="false">Waterfall!AF43</f>
        <v>149.514231547884</v>
      </c>
      <c r="AG27" s="18" t="n">
        <f aca="false">Waterfall!AG43</f>
        <v>160.932135129794</v>
      </c>
      <c r="AH27" s="18" t="n">
        <f aca="false">Waterfall!AH43</f>
        <v>173.213116204758</v>
      </c>
      <c r="AI27" s="18" t="n">
        <f aca="false">Waterfall!AI43</f>
        <v>186.658168745684</v>
      </c>
      <c r="AJ27" s="18" t="n">
        <f aca="false">Waterfall!AJ43</f>
        <v>201.020880989838</v>
      </c>
      <c r="AK27" s="18" t="n">
        <f aca="false">Waterfall!AK43</f>
        <v>216.664977342551</v>
      </c>
      <c r="AL27" s="18" t="n">
        <f aca="false">Waterfall!AL43</f>
        <v>231.468773827479</v>
      </c>
      <c r="AM27" s="18" t="n">
        <f aca="false">Waterfall!AM43</f>
        <v>249.577360258946</v>
      </c>
      <c r="AN27" s="18" t="n">
        <f aca="false">Waterfall!AN43</f>
        <v>268.814836436747</v>
      </c>
      <c r="AO27" s="18" t="n">
        <f aca="false">Waterfall!AO43</f>
        <v>289.350331324681</v>
      </c>
      <c r="AP27" s="18" t="n">
        <f aca="false">Waterfall!AP43</f>
        <v>312.172091325237</v>
      </c>
      <c r="AQ27" s="18" t="n">
        <f aca="false">Waterfall!AQ43</f>
        <v>313.218114882456</v>
      </c>
      <c r="AR27" s="18" t="n">
        <f aca="false">Waterfall!AR43</f>
        <v>297.632858218389</v>
      </c>
      <c r="AS27" s="18" t="n">
        <f aca="false">Waterfall!AS43</f>
        <v>282.481586049213</v>
      </c>
      <c r="AT27" s="18" t="n">
        <f aca="false">Waterfall!AT43</f>
        <v>250.318434099015</v>
      </c>
      <c r="AU27" s="18" t="n">
        <f aca="false">Waterfall!AU43</f>
        <v>233.135316716805</v>
      </c>
      <c r="AV27" s="18" t="n">
        <f aca="false">Waterfall!AV43</f>
        <v>215.774804649964</v>
      </c>
      <c r="AW27" s="18" t="n">
        <f aca="false">Waterfall!AW43</f>
        <v>198.947313152834</v>
      </c>
      <c r="AX27" s="18" t="n">
        <f aca="false">Waterfall!AX43</f>
        <v>181.608802874982</v>
      </c>
      <c r="AY27" s="18" t="n">
        <f aca="false">Waterfall!AY43</f>
        <v>164.780998657751</v>
      </c>
      <c r="AZ27" s="18" t="n">
        <f aca="false">Waterfall!AZ43</f>
        <v>147.434829245566</v>
      </c>
      <c r="BA27" s="18" t="n">
        <f aca="false">Waterfall!BA43</f>
        <v>131.027428800024</v>
      </c>
      <c r="BB27" s="18" t="n">
        <f aca="false">Waterfall!BB43</f>
        <v>111.157271470324</v>
      </c>
      <c r="BC27" s="18" t="n">
        <f aca="false">Waterfall!BC43</f>
        <v>97.1834982411468</v>
      </c>
      <c r="BD27" s="18" t="n">
        <f aca="false">Waterfall!BD43</f>
        <v>89.3379506685935</v>
      </c>
      <c r="BE27" s="18" t="n">
        <f aca="false">Waterfall!BE43</f>
        <v>82.0520492669613</v>
      </c>
      <c r="BF27" s="18" t="n">
        <f aca="false">Waterfall!BF43</f>
        <v>74.2576344580928</v>
      </c>
      <c r="BG27" s="18" t="n">
        <f aca="false">Waterfall!BG43</f>
        <v>67.0052457313207</v>
      </c>
      <c r="BH27" s="18" t="n">
        <f aca="false">Waterfall!BH43</f>
        <v>59.2364788545628</v>
      </c>
      <c r="BI27" s="18" t="n">
        <f aca="false">Waterfall!BI43</f>
        <v>51.9479719838298</v>
      </c>
      <c r="BJ27" s="18" t="n">
        <f aca="false">Waterfall!BJ43</f>
        <v>24.5037143909872</v>
      </c>
      <c r="BK27" s="18" t="n">
        <f aca="false">Waterfall!BK43</f>
        <v>14.791676421125</v>
      </c>
      <c r="BL27" s="18" t="n">
        <f aca="false">Waterfall!BL43</f>
        <v>4.27711390144667</v>
      </c>
      <c r="BM27" s="18" t="n">
        <f aca="false">Waterfall!BM43</f>
        <v>-44.3667535168117</v>
      </c>
      <c r="BN27" s="18" t="n">
        <f aca="false">Waterfall!BN43</f>
        <v>-44.3667535168117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916.230974434243</v>
      </c>
      <c r="P28" s="13" t="n">
        <f aca="false">P22+P23+P24+P25+P26+P27</f>
        <v>902.982921909912</v>
      </c>
      <c r="Q28" s="13" t="n">
        <f aca="false">Q22+Q23+Q24+Q25+Q26+Q27</f>
        <v>893.186589139907</v>
      </c>
      <c r="R28" s="13" t="n">
        <f aca="false">R22+R23+R24+R25+R26+R27</f>
        <v>880.920298244849</v>
      </c>
      <c r="S28" s="13" t="n">
        <f aca="false">S22+S23+S24+S25+S26+S27</f>
        <v>871.228111864524</v>
      </c>
      <c r="T28" s="13" t="n">
        <f aca="false">T22+T23+T24+T25+T26+T27</f>
        <v>859.348249116799</v>
      </c>
      <c r="U28" s="13" t="n">
        <f aca="false">U22+U23+U24+U25+U26+U27</f>
        <v>849.438370593615</v>
      </c>
      <c r="V28" s="13" t="n">
        <f aca="false">V22+V23+V24+V25+V26+V27</f>
        <v>834.106313941964</v>
      </c>
      <c r="W28" s="13" t="n">
        <f aca="false">W22+W23+W24+W25+W26+W27</f>
        <v>822.695937405196</v>
      </c>
      <c r="X28" s="13" t="n">
        <f aca="false">X22+X23+X24+X25+X26+X27</f>
        <v>812.570843636429</v>
      </c>
      <c r="Y28" s="13" t="n">
        <f aca="false">Y22+Y23+Y24+Y25+Y26+Y27</f>
        <v>801.7326438211</v>
      </c>
      <c r="Z28" s="13" t="n">
        <f aca="false">Z22+Z23+Z24+Z25+Z26+Z27</f>
        <v>783.274655406181</v>
      </c>
      <c r="AA28" s="13" t="n">
        <f aca="false">AA22+AA23+AA24+AA25+AA26+AA27</f>
        <v>767.158800525138</v>
      </c>
      <c r="AB28" s="13" t="n">
        <f aca="false">AB22+AB23+AB24+AB25+AB26+AB27</f>
        <v>748.024424075566</v>
      </c>
      <c r="AC28" s="13" t="n">
        <f aca="false">AC22+AC23+AC24+AC25+AC26+AC27</f>
        <v>730.847275574824</v>
      </c>
      <c r="AD28" s="13" t="n">
        <f aca="false">AD22+AD23+AD24+AD25+AD26+AD27</f>
        <v>699.184404794862</v>
      </c>
      <c r="AE28" s="13" t="n">
        <f aca="false">AE22+AE23+AE24+AE25+AE26+AE27</f>
        <v>679.974402884897</v>
      </c>
      <c r="AF28" s="13" t="n">
        <f aca="false">AF22+AF23+AF24+AF25+AF26+AF27</f>
        <v>658.116610160501</v>
      </c>
      <c r="AG28" s="13" t="n">
        <f aca="false">AG22+AG23+AG24+AG25+AG26+AG27</f>
        <v>637.208195469943</v>
      </c>
      <c r="AH28" s="13" t="n">
        <f aca="false">AH22+AH23+AH24+AH25+AH26+AH27</f>
        <v>613.146450899857</v>
      </c>
      <c r="AI28" s="13" t="n">
        <f aca="false">AI22+AI23+AI24+AI25+AI26+AI27</f>
        <v>590.913406680573</v>
      </c>
      <c r="AJ28" s="13" t="n">
        <f aca="false">AJ22+AJ23+AJ24+AJ25+AJ26+AJ27</f>
        <v>565.615108251978</v>
      </c>
      <c r="AK28" s="13" t="n">
        <f aca="false">AK22+AK23+AK24+AK25+AK26+AK27</f>
        <v>542.905392498452</v>
      </c>
      <c r="AL28" s="13" t="n">
        <f aca="false">AL22+AL23+AL24+AL25+AL26+AL27</f>
        <v>520.099286881126</v>
      </c>
      <c r="AM28" s="13" t="n">
        <f aca="false">AM22+AM23+AM24+AM25+AM26+AM27</f>
        <v>500.534683244431</v>
      </c>
      <c r="AN28" s="13" t="n">
        <f aca="false">AN22+AN23+AN24+AN25+AN26+AN27</f>
        <v>485.916767452395</v>
      </c>
      <c r="AO28" s="13" t="n">
        <f aca="false">AO22+AO23+AO24+AO25+AO26+AO27</f>
        <v>453.885750432599</v>
      </c>
      <c r="AP28" s="13" t="n">
        <f aca="false">AP22+AP23+AP24+AP25+AP26+AP27</f>
        <v>438.687937851298</v>
      </c>
      <c r="AQ28" s="13" t="n">
        <f aca="false">AQ22+AQ23+AQ24+AQ25+AQ26+AQ27</f>
        <v>425.756853537835</v>
      </c>
      <c r="AR28" s="13" t="n">
        <f aca="false">AR22+AR23+AR24+AR25+AR26+AR27</f>
        <v>410.906012500334</v>
      </c>
      <c r="AS28" s="13" t="n">
        <f aca="false">AS22+AS23+AS24+AS25+AS26+AS27</f>
        <v>397.142303224618</v>
      </c>
      <c r="AT28" s="13" t="n">
        <f aca="false">AT22+AT23+AT24+AT25+AT26+AT27</f>
        <v>364.646808953306</v>
      </c>
      <c r="AU28" s="13" t="n">
        <f aca="false">AU22+AU23+AU24+AU25+AU26+AU27</f>
        <v>350.055124767333</v>
      </c>
      <c r="AV28" s="13" t="n">
        <f aca="false">AV22+AV23+AV24+AV25+AV26+AV27</f>
        <v>334.316448325787</v>
      </c>
      <c r="AW28" s="13" t="n">
        <f aca="false">AW22+AW23+AW24+AW25+AW26+AW27</f>
        <v>319.521450219238</v>
      </c>
      <c r="AX28" s="13" t="n">
        <f aca="false">AX22+AX23+AX24+AX25+AX26+AX27</f>
        <v>302.513180565178</v>
      </c>
      <c r="AY28" s="13" t="n">
        <f aca="false">AY22+AY23+AY24+AY25+AY26+AY27</f>
        <v>287.927719959885</v>
      </c>
      <c r="AZ28" s="13" t="n">
        <f aca="false">AZ22+AZ23+AZ24+AZ25+AZ26+AZ27</f>
        <v>271.294129265052</v>
      </c>
      <c r="BA28" s="13" t="n">
        <f aca="false">BA22+BA23+BA24+BA25+BA26+BA27</f>
        <v>256.518814911183</v>
      </c>
      <c r="BB28" s="13" t="n">
        <f aca="false">BB22+BB23+BB24+BB25+BB26+BB27</f>
        <v>236.622848516241</v>
      </c>
      <c r="BC28" s="13" t="n">
        <f aca="false">BC22+BC23+BC24+BC25+BC26+BC27</f>
        <v>223.254332482938</v>
      </c>
      <c r="BD28" s="13" t="n">
        <f aca="false">BD22+BD23+BD24+BD25+BD26+BD27</f>
        <v>210.868481407172</v>
      </c>
      <c r="BE28" s="13" t="n">
        <f aca="false">BE22+BE23+BE24+BE25+BE26+BE27</f>
        <v>199.924650923631</v>
      </c>
      <c r="BF28" s="13" t="n">
        <f aca="false">BF22+BF23+BF24+BF25+BF26+BF27</f>
        <v>186.632649572271</v>
      </c>
      <c r="BG28" s="13" t="n">
        <f aca="false">BG22+BG23+BG24+BG25+BG26+BG27</f>
        <v>175.949221896198</v>
      </c>
      <c r="BH28" s="13" t="n">
        <f aca="false">BH22+BH23+BH24+BH25+BH26+BH27</f>
        <v>163.096297023491</v>
      </c>
      <c r="BI28" s="13" t="n">
        <f aca="false">BI22+BI23+BI24+BI25+BI26+BI27</f>
        <v>151.485188527384</v>
      </c>
      <c r="BJ28" s="13" t="n">
        <f aca="false">BJ22+BJ23+BJ24+BJ25+BJ26+BJ27</f>
        <v>117.709775390839</v>
      </c>
      <c r="BK28" s="13" t="n">
        <f aca="false">BK22+BK23+BK24+BK25+BK26+BK27</f>
        <v>105.082520933825</v>
      </c>
      <c r="BL28" s="13" t="n">
        <f aca="false">BL22+BL23+BL24+BL25+BL26+BL27</f>
        <v>90.5213852021619</v>
      </c>
      <c r="BM28" s="13" t="n">
        <f aca="false">BM22+BM23+BM24+BM25+BM26+BM27</f>
        <v>-3.05533376376843E-013</v>
      </c>
      <c r="BN28" s="13" t="n">
        <f aca="false">BN22+BN23+BN24+BN25+BN26+BN27</f>
        <v>-3.05533376376843E-013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3.05533376376843E-013</v>
      </c>
      <c r="BN29" s="13" t="n">
        <f aca="false">BN21-BN28</f>
        <v>3.05533376376843E-013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0.035291772765144</v>
      </c>
      <c r="AC7" s="16" t="n">
        <f aca="false">IF(Debt!AC115&gt;Inputs!$F$253,Debt!AC112/Debt!AC115,0)</f>
        <v>0.0348124643528753</v>
      </c>
      <c r="AD7" s="16" t="n">
        <f aca="false">IF(Debt!AD115&gt;Inputs!$F$253,Debt!AD112/Debt!AD115,0)</f>
        <v>0.0348238619928085</v>
      </c>
      <c r="AE7" s="16" t="n">
        <f aca="false">IF(Debt!AE115&gt;Inputs!$F$253,Debt!AE112/Debt!AE115,0)</f>
        <v>0.0341424690338007</v>
      </c>
      <c r="AF7" s="16" t="n">
        <f aca="false">IF(Debt!AF115&gt;Inputs!$F$253,Debt!AF112/Debt!AF115,0)</f>
        <v>0.034100868380338</v>
      </c>
      <c r="AG7" s="16" t="n">
        <f aca="false">IF(Debt!AG115&gt;Inputs!$F$253,Debt!AG112/Debt!AG115,0)</f>
        <v>0.0340827413663704</v>
      </c>
      <c r="AH7" s="16" t="n">
        <f aca="false">IF(Debt!AH115&gt;Inputs!$F$253,Debt!AH112/Debt!AH115,0)</f>
        <v>0.033710153794671</v>
      </c>
      <c r="AI7" s="16" t="n">
        <f aca="false">IF(Debt!AI115&gt;Inputs!$F$253,Debt!AI112/Debt!AI115,0)</f>
        <v>0.032401763528279</v>
      </c>
      <c r="AJ7" s="16" t="n">
        <f aca="false">IF(Debt!AJ115&gt;Inputs!$F$253,Debt!AJ112/Debt!AJ115,0)</f>
        <v>0.0312685358162614</v>
      </c>
      <c r="AK7" s="16" t="n">
        <f aca="false">IF(Debt!AK115&gt;Inputs!$F$253,Debt!AK112/Debt!AK115,0)</f>
        <v>0.0287885808920925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0.035291772765144</v>
      </c>
      <c r="AC10" s="16" t="n">
        <f aca="false">IF(AC7&gt;0,AC7,$F$9)</f>
        <v>0.0348124643528753</v>
      </c>
      <c r="AD10" s="16" t="n">
        <f aca="false">IF(AD7&gt;0,AD7,$F$9)</f>
        <v>0.0348238619928085</v>
      </c>
      <c r="AE10" s="16" t="n">
        <f aca="false">IF(AE7&gt;0,AE7,$F$9)</f>
        <v>0.0341424690338007</v>
      </c>
      <c r="AF10" s="16" t="n">
        <f aca="false">IF(AF7&gt;0,AF7,$F$9)</f>
        <v>0.034100868380338</v>
      </c>
      <c r="AG10" s="16" t="n">
        <f aca="false">IF(AG7&gt;0,AG7,$F$9)</f>
        <v>0.0340827413663704</v>
      </c>
      <c r="AH10" s="16" t="n">
        <f aca="false">IF(AH7&gt;0,AH7,$F$9)</f>
        <v>0.033710153794671</v>
      </c>
      <c r="AI10" s="16" t="n">
        <f aca="false">IF(AI7&gt;0,AI7,$F$9)</f>
        <v>0.032401763528279</v>
      </c>
      <c r="AJ10" s="16" t="n">
        <f aca="false">IF(AJ7&gt;0,AJ7,$F$9)</f>
        <v>0.0312685358162614</v>
      </c>
      <c r="AK10" s="16" t="n">
        <f aca="false">IF(AK7&gt;0,AK7,$F$9)</f>
        <v>0.0287885808920925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716.953702613509</v>
      </c>
      <c r="K11" s="13" t="n">
        <f aca="false">IF(Time!K20&lt;=$F$8,(Waterfall!K7+L11)/(1+K10),0)</f>
        <v>736.320009774081</v>
      </c>
      <c r="L11" s="13" t="n">
        <f aca="false">IF(Time!L20&lt;=$F$8,(Waterfall!L7+M11)/(1+L10),0)</f>
        <v>756.209438374253</v>
      </c>
      <c r="M11" s="13" t="n">
        <f aca="false">IF(Time!M20&lt;=$F$8,(Waterfall!M7+N11)/(1+M10),0)</f>
        <v>776.636118936602</v>
      </c>
      <c r="N11" s="13" t="n">
        <f aca="false">IF(Time!N20&lt;=$F$8,(Waterfall!N7+O11)/(1+N10),0)</f>
        <v>797.614563676469</v>
      </c>
      <c r="O11" s="13" t="n">
        <f aca="false">IF(Time!O20&lt;=$F$8,(Waterfall!O7+P11)/(1+O10),0)</f>
        <v>819.159676812221</v>
      </c>
      <c r="P11" s="13" t="n">
        <f aca="false">IF(Time!P20&lt;=$F$8,(Waterfall!P7+Q11)/(1+P10),0)</f>
        <v>839.553543139229</v>
      </c>
      <c r="Q11" s="13" t="n">
        <f aca="false">IF(Time!Q20&lt;=$F$8,(Waterfall!Q7+R11)/(1+Q10),0)</f>
        <v>819.661119512207</v>
      </c>
      <c r="R11" s="13" t="n">
        <f aca="false">IF(Time!R20&lt;=$F$8,(Waterfall!R7+S11)/(1+R10),0)</f>
        <v>798.934634795334</v>
      </c>
      <c r="S11" s="13" t="n">
        <f aca="false">IF(Time!S20&lt;=$F$8,(Waterfall!S7+T11)/(1+S10),0)</f>
        <v>777.17698892458</v>
      </c>
      <c r="T11" s="13" t="n">
        <f aca="false">IF(Time!T20&lt;=$F$8,(Waterfall!T7+U11)/(1+T10),0)</f>
        <v>754.800105086158</v>
      </c>
      <c r="U11" s="13" t="n">
        <f aca="false">IF(Time!U20&lt;=$F$8,(Waterfall!U7+V11)/(1+U10),0)</f>
        <v>731.405015110677</v>
      </c>
      <c r="V11" s="13" t="n">
        <f aca="false">IF(Time!V20&lt;=$F$8,(Waterfall!V7+W11)/(1+V10),0)</f>
        <v>707.271023803213</v>
      </c>
      <c r="W11" s="13" t="n">
        <f aca="false">IF(Time!W20&lt;=$F$8,(Waterfall!W7+X11)/(1+W10),0)</f>
        <v>681.501865987099</v>
      </c>
      <c r="X11" s="13" t="n">
        <f aca="false">IF(Time!X20&lt;=$F$8,(Waterfall!X7+Y11)/(1+X10),0)</f>
        <v>654.970808608541</v>
      </c>
      <c r="Y11" s="13" t="n">
        <f aca="false">IF(Time!Y20&lt;=$F$8,(Waterfall!Y7+Z11)/(1+Y10),0)</f>
        <v>629.312489030829</v>
      </c>
      <c r="Z11" s="13" t="n">
        <f aca="false">IF(Time!Z20&lt;=$F$8,(Waterfall!Z7+AA11)/(1+Z10),0)</f>
        <v>603.705588032951</v>
      </c>
      <c r="AA11" s="13" t="n">
        <f aca="false">IF(Time!AA20&lt;=$F$8,(Waterfall!AA7+AB11)/(1+AA10),0)</f>
        <v>577.03892689459</v>
      </c>
      <c r="AB11" s="13" t="n">
        <f aca="false">IF(Time!AB20&lt;=$F$8,(Waterfall!AB7+AC11)/(1+AB10),0)</f>
        <v>549.617668900145</v>
      </c>
      <c r="AC11" s="13" t="n">
        <f aca="false">IF(Time!AC20&lt;=$F$8,(Waterfall!AC7+AD11)/(1+AC10),0)</f>
        <v>520.797742276679</v>
      </c>
      <c r="AD11" s="13" t="n">
        <f aca="false">IF(Time!AD20&lt;=$F$8,(Waterfall!AD7+AE11)/(1+AD10),0)</f>
        <v>490.908878336926</v>
      </c>
      <c r="AE11" s="13" t="n">
        <f aca="false">IF(Time!AE20&lt;=$F$8,(Waterfall!AE7+AF11)/(1+AE10),0)</f>
        <v>458.035023630252</v>
      </c>
      <c r="AF11" s="13" t="n">
        <f aca="false">IF(Time!AF20&lt;=$F$8,(Waterfall!AF7+AG11)/(1+AF10),0)</f>
        <v>423.643708732579</v>
      </c>
      <c r="AG11" s="13" t="n">
        <f aca="false">IF(Time!AG20&lt;=$F$8,(Waterfall!AG7+AH11)/(1+AG10),0)</f>
        <v>387.978982368626</v>
      </c>
      <c r="AH11" s="13" t="n">
        <f aca="false">IF(Time!AH20&lt;=$F$8,(Waterfall!AH7+AI11)/(1+AH10),0)</f>
        <v>351.482489956991</v>
      </c>
      <c r="AI11" s="13" t="n">
        <f aca="false">IF(Time!AI20&lt;=$F$8,(Waterfall!AI7+AJ11)/(1+AI10),0)</f>
        <v>312.954498205199</v>
      </c>
      <c r="AJ11" s="13" t="n">
        <f aca="false">IF(Time!AJ20&lt;=$F$8,(Waterfall!AJ7+AK11)/(1+AJ10),0)</f>
        <v>273.139904965282</v>
      </c>
      <c r="AK11" s="13" t="n">
        <f aca="false">IF(Time!AK20&lt;=$F$8,(Waterfall!AK7+AL11)/(1+AK10),0)</f>
        <v>231.158396347388</v>
      </c>
      <c r="AL11" s="13" t="n">
        <f aca="false">IF(Time!AL20&lt;=$F$8,(Waterfall!AL7+AM11)/(1+AL10),0)</f>
        <v>187.530984754267</v>
      </c>
      <c r="AM11" s="13" t="n">
        <f aca="false">IF(Time!AM20&lt;=$F$8,(Waterfall!AM7+AN11)/(1+AM10),0)</f>
        <v>141.208855448154</v>
      </c>
      <c r="AN11" s="13" t="n">
        <f aca="false">IF(Time!AN20&lt;=$F$8,(Waterfall!AN7+AO11)/(1+AN10),0)</f>
        <v>94.0077392237629</v>
      </c>
      <c r="AO11" s="13" t="n">
        <f aca="false">IF(Time!AO20&lt;=$F$8,(Waterfall!AO7+AP11)/(1+AO10),0)</f>
        <v>47.4430993248452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975.73707745285</v>
      </c>
      <c r="K12" s="13" t="n">
        <f aca="false">IF(Time!K20&lt;=Time!$F$15,(Waterfall!K7+L12)/(1+K10),0)</f>
        <v>1002.09362443912</v>
      </c>
      <c r="L12" s="13" t="n">
        <f aca="false">IF(Time!L20&lt;=Time!$F$15,(Waterfall!L7+M12)/(1+L10),0)</f>
        <v>1029.16211277218</v>
      </c>
      <c r="M12" s="13" t="n">
        <f aca="false">IF(Time!M20&lt;=Time!$F$15,(Waterfall!M7+N12)/(1+M10),0)</f>
        <v>1056.96177336576</v>
      </c>
      <c r="N12" s="13" t="n">
        <f aca="false">IF(Time!N20&lt;=Time!$F$15,(Waterfall!N7+O12)/(1+N10),0)</f>
        <v>1085.5123565978</v>
      </c>
      <c r="O12" s="13" t="n">
        <f aca="false">IF(Time!O20&lt;=Time!$F$15,(Waterfall!O7+P12)/(1+O10),0)</f>
        <v>1114.83414634215</v>
      </c>
      <c r="P12" s="13" t="n">
        <f aca="false">IF(Time!P20&lt;=Time!$F$15,(Waterfall!P7+Q12)/(1+P10),0)</f>
        <v>1143.2147523646</v>
      </c>
      <c r="Q12" s="13" t="n">
        <f aca="false">IF(Time!Q20&lt;=Time!$F$15,(Waterfall!Q7+R12)/(1+Q10),0)</f>
        <v>1133.75493162695</v>
      </c>
      <c r="R12" s="13" t="n">
        <f aca="false">IF(Time!R20&lt;=Time!$F$15,(Waterfall!R7+S12)/(1+R10),0)</f>
        <v>1123.71155007634</v>
      </c>
      <c r="S12" s="13" t="n">
        <f aca="false">IF(Time!S20&lt;=Time!$F$15,(Waterfall!S7+T12)/(1+S10),0)</f>
        <v>1113.12000120748</v>
      </c>
      <c r="T12" s="13" t="n">
        <f aca="false">IF(Time!T20&lt;=Time!$F$15,(Waterfall!T7+U12)/(1+T10),0)</f>
        <v>1102.173456825</v>
      </c>
      <c r="U12" s="13" t="n">
        <f aca="false">IF(Time!U20&lt;=Time!$F$15,(Waterfall!U7+V12)/(1+U10),0)</f>
        <v>1090.72564845728</v>
      </c>
      <c r="V12" s="13" t="n">
        <f aca="false">IF(Time!V20&lt;=Time!$F$15,(Waterfall!V7+W12)/(1+V10),0)</f>
        <v>1078.86155580953</v>
      </c>
      <c r="W12" s="13" t="n">
        <f aca="false">IF(Time!W20&lt;=Time!$F$15,(Waterfall!W7+X12)/(1+W10),0)</f>
        <v>1065.87258595669</v>
      </c>
      <c r="X12" s="13" t="n">
        <f aca="false">IF(Time!X20&lt;=Time!$F$15,(Waterfall!X7+Y12)/(1+X10),0)</f>
        <v>1052.41960326801</v>
      </c>
      <c r="Y12" s="13" t="n">
        <f aca="false">IF(Time!Y20&lt;=Time!$F$15,(Waterfall!Y7+Z12)/(1+Y10),0)</f>
        <v>1040.4308200859</v>
      </c>
      <c r="Z12" s="13" t="n">
        <f aca="false">IF(Time!Z20&lt;=Time!$F$15,(Waterfall!Z7+AA12)/(1+Z10),0)</f>
        <v>1029.24844068581</v>
      </c>
      <c r="AA12" s="13" t="n">
        <f aca="false">IF(Time!AA20&lt;=Time!$F$15,(Waterfall!AA7+AB12)/(1+AA10),0)</f>
        <v>1017.6767265262</v>
      </c>
      <c r="AB12" s="13" t="n">
        <f aca="false">IF(Time!AB20&lt;=Time!$F$15,(Waterfall!AB7+AC12)/(1+AB10),0)</f>
        <v>1005.71571191539</v>
      </c>
      <c r="AC12" s="13" t="n">
        <f aca="false">IF(Time!AC20&lt;=Time!$F$15,(Waterfall!AC7+AD12)/(1+AC10),0)</f>
        <v>992.992293784647</v>
      </c>
      <c r="AD12" s="13" t="n">
        <f aca="false">IF(Time!AD20&lt;=Time!$F$15,(Waterfall!AD7+AE12)/(1+AD10),0)</f>
        <v>979.541685836888</v>
      </c>
      <c r="AE12" s="13" t="n">
        <f aca="false">IF(Time!AE20&lt;=Time!$F$15,(Waterfall!AE7+AF12)/(1+AE10),0)</f>
        <v>963.683912583751</v>
      </c>
      <c r="AF12" s="13" t="n">
        <f aca="false">IF(Time!AF20&lt;=Time!$F$15,(Waterfall!AF7+AG12)/(1+AF10),0)</f>
        <v>946.556699219148</v>
      </c>
      <c r="AG12" s="13" t="n">
        <f aca="false">IF(Time!AG20&lt;=Time!$F$15,(Waterfall!AG7+AH12)/(1+AG10),0)</f>
        <v>928.723759918146</v>
      </c>
      <c r="AH12" s="13" t="n">
        <f aca="false">IF(Time!AH20&lt;=Time!$F$15,(Waterfall!AH7+AI12)/(1+AH10),0)</f>
        <v>910.657331904948</v>
      </c>
      <c r="AI12" s="13" t="n">
        <f aca="false">IF(Time!AI20&lt;=Time!$F$15,(Waterfall!AI7+AJ12)/(1+AI10),0)</f>
        <v>890.979210073332</v>
      </c>
      <c r="AJ12" s="13" t="n">
        <f aca="false">IF(Time!AJ20&lt;=Time!$F$15,(Waterfall!AJ7+AK12)/(1+AJ10),0)</f>
        <v>869.893636860868</v>
      </c>
      <c r="AK12" s="13" t="n">
        <f aca="false">IF(Time!AK20&lt;=Time!$F$15,(Waterfall!AK7+AL12)/(1+AK10),0)</f>
        <v>846.571743682239</v>
      </c>
      <c r="AL12" s="13" t="n">
        <f aca="false">IF(Time!AL20&lt;=Time!$F$15,(Waterfall!AL7+AM12)/(1+AL10),0)</f>
        <v>820.66120902094</v>
      </c>
      <c r="AM12" s="13" t="n">
        <f aca="false">IF(Time!AM20&lt;=Time!$F$15,(Waterfall!AM7+AN12)/(1+AM10),0)</f>
        <v>791.525093299946</v>
      </c>
      <c r="AN12" s="13" t="n">
        <f aca="false">IF(Time!AN20&lt;=Time!$F$15,(Waterfall!AN7+AO12)/(1+AN10),0)</f>
        <v>761.890277337114</v>
      </c>
      <c r="AO12" s="13" t="n">
        <f aca="false">IF(Time!AO20&lt;=Time!$F$15,(Waterfall!AO7+AP12)/(1+AO10),0)</f>
        <v>733.454985767089</v>
      </c>
      <c r="AP12" s="13" t="n">
        <f aca="false">IF(Time!AP20&lt;=Time!$F$15,(Waterfall!AP7+AQ12)/(1+AP10),0)</f>
        <v>704.542395260615</v>
      </c>
      <c r="AQ12" s="13" t="n">
        <f aca="false">IF(Time!AQ20&lt;=Time!$F$15,(Waterfall!AQ7+AR12)/(1+AQ10),0)</f>
        <v>682.450471461363</v>
      </c>
      <c r="AR12" s="13" t="n">
        <f aca="false">IF(Time!AR20&lt;=Time!$F$15,(Waterfall!AR7+AS12)/(1+AR10),0)</f>
        <v>660.873592353452</v>
      </c>
      <c r="AS12" s="13" t="n">
        <f aca="false">IF(Time!AS20&lt;=Time!$F$15,(Waterfall!AS7+AT12)/(1+AS10),0)</f>
        <v>638.378435693325</v>
      </c>
      <c r="AT12" s="13" t="n">
        <f aca="false">IF(Time!AT20&lt;=Time!$F$15,(Waterfall!AT7+AU12)/(1+AT10),0)</f>
        <v>615.531770995647</v>
      </c>
      <c r="AU12" s="13" t="n">
        <f aca="false">IF(Time!AU20&lt;=Time!$F$15,(Waterfall!AU7+AV12)/(1+AU10),0)</f>
        <v>585.311902808063</v>
      </c>
      <c r="AV12" s="13" t="n">
        <f aca="false">IF(Time!AV20&lt;=Time!$F$15,(Waterfall!AV7+AW12)/(1+AV10),0)</f>
        <v>558.716327930561</v>
      </c>
      <c r="AW12" s="13" t="n">
        <f aca="false">IF(Time!AW20&lt;=Time!$F$15,(Waterfall!AW7+AX12)/(1+AW10),0)</f>
        <v>531.348640866812</v>
      </c>
      <c r="AX12" s="13" t="n">
        <f aca="false">IF(Time!AX20&lt;=Time!$F$15,(Waterfall!AX7+AY12)/(1+AX10),0)</f>
        <v>503.683693078606</v>
      </c>
      <c r="AY12" s="13" t="n">
        <f aca="false">IF(Time!AY20&lt;=Time!$F$15,(Waterfall!AY7+AZ12)/(1+AY10),0)</f>
        <v>474.615826190062</v>
      </c>
      <c r="AZ12" s="13" t="n">
        <f aca="false">IF(Time!AZ20&lt;=Time!$F$15,(Waterfall!AZ7+BA12)/(1+AZ10),0)</f>
        <v>445.22142932659</v>
      </c>
      <c r="BA12" s="13" t="n">
        <f aca="false">IF(Time!BA20&lt;=Time!$F$15,(Waterfall!BA7+BB12)/(1+BA10),0)</f>
        <v>414.450799359723</v>
      </c>
      <c r="BB12" s="13" t="n">
        <f aca="false">IF(Time!BB20&lt;=Time!$F$15,(Waterfall!BB7+BC12)/(1+BB10),0)</f>
        <v>383.143530685921</v>
      </c>
      <c r="BC12" s="13" t="n">
        <f aca="false">IF(Time!BC20&lt;=Time!$F$15,(Waterfall!BC7+BD12)/(1+BC10),0)</f>
        <v>348.736123041266</v>
      </c>
      <c r="BD12" s="13" t="n">
        <f aca="false">IF(Time!BD20&lt;=Time!$F$15,(Waterfall!BD7+BE12)/(1+BD10),0)</f>
        <v>316.802567411211</v>
      </c>
      <c r="BE12" s="13" t="n">
        <f aca="false">IF(Time!BE20&lt;=Time!$F$15,(Waterfall!BE7+BF12)/(1+BE10),0)</f>
        <v>290.163644051159</v>
      </c>
      <c r="BF12" s="13" t="n">
        <f aca="false">IF(Time!BF20&lt;=Time!$F$15,(Waterfall!BF7+BG12)/(1+BF10),0)</f>
        <v>263.249571660948</v>
      </c>
      <c r="BG12" s="13" t="n">
        <f aca="false">IF(Time!BG20&lt;=Time!$F$15,(Waterfall!BG7+BH12)/(1+BG10),0)</f>
        <v>234.92494643579</v>
      </c>
      <c r="BH12" s="13" t="n">
        <f aca="false">IF(Time!BH20&lt;=Time!$F$15,(Waterfall!BH7+BI12)/(1+BH10),0)</f>
        <v>206.304697511116</v>
      </c>
      <c r="BI12" s="13" t="n">
        <f aca="false">IF(Time!BI20&lt;=Time!$F$15,(Waterfall!BI7+BJ12)/(1+BI10),0)</f>
        <v>176.308726777102</v>
      </c>
      <c r="BJ12" s="13" t="n">
        <f aca="false">IF(Time!BJ20&lt;=Time!$F$15,(Waterfall!BJ7+BK12)/(1+BJ10),0)</f>
        <v>145.752809688573</v>
      </c>
      <c r="BK12" s="13" t="n">
        <f aca="false">IF(Time!BK20&lt;=Time!$F$15,(Waterfall!BK7+BL12)/(1+BK10),0)</f>
        <v>106.320837163256</v>
      </c>
      <c r="BL12" s="13" t="n">
        <f aca="false">IF(Time!BL20&lt;=Time!$F$15,(Waterfall!BL7+BM12)/(1+BL10),0)</f>
        <v>71.0773197051439</v>
      </c>
      <c r="BM12" s="13" t="n">
        <f aca="false">IF(Time!BM20&lt;=Time!$F$15,(Waterfall!BM7+BN12)/(1+BM10),0)</f>
        <v>34.2151558913853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1.38458928528038</v>
      </c>
      <c r="Q13" s="6" t="n">
        <f aca="false">IF(Debt!Q115&gt;Inputs!$F$253,(Q11+Reserves!Q9)/Debt!Q115,0)</f>
        <v>1.38696168828994</v>
      </c>
      <c r="R13" s="6" t="n">
        <f aca="false">IF(Debt!R115&gt;Inputs!$F$253,(R11+Reserves!R9)/Debt!R115,0)</f>
        <v>1.39050902088281</v>
      </c>
      <c r="S13" s="6" t="n">
        <f aca="false">IF(Debt!S115&gt;Inputs!$F$253,(S11+Reserves!S9)/Debt!S115,0)</f>
        <v>1.39308630039918</v>
      </c>
      <c r="T13" s="6" t="n">
        <f aca="false">IF(Debt!T115&gt;Inputs!$F$253,(T11+Reserves!T9)/Debt!T115,0)</f>
        <v>1.39720470985186</v>
      </c>
      <c r="U13" s="6" t="n">
        <f aca="false">IF(Debt!U115&gt;Inputs!$F$253,(U11+Reserves!U9)/Debt!U115,0)</f>
        <v>1.40068775494676</v>
      </c>
      <c r="V13" s="6" t="n">
        <f aca="false">IF(Debt!V115&gt;Inputs!$F$253,(V11+Reserves!V9)/Debt!V115,0)</f>
        <v>1.40625092510433</v>
      </c>
      <c r="W13" s="6" t="n">
        <f aca="false">IF(Debt!W115&gt;Inputs!$F$253,(W11+Reserves!W9)/Debt!W115,0)</f>
        <v>1.41049778443245</v>
      </c>
      <c r="X13" s="6" t="n">
        <f aca="false">IF(Debt!X115&gt;Inputs!$F$253,(X11+Reserves!X9)/Debt!X115,0)</f>
        <v>1.4136086071854</v>
      </c>
      <c r="Y13" s="6" t="n">
        <f aca="false">IF(Debt!Y115&gt;Inputs!$F$253,(Y11+Reserves!Y9)/Debt!Y115,0)</f>
        <v>1.41869793966013</v>
      </c>
      <c r="Z13" s="6" t="n">
        <f aca="false">IF(Debt!Z115&gt;Inputs!$F$253,(Z11+Reserves!Z9)/Debt!Z115,0)</f>
        <v>1.42585016111705</v>
      </c>
      <c r="AA13" s="6" t="n">
        <f aca="false">IF(Debt!AA115&gt;Inputs!$F$253,(AA11+Reserves!AA9)/Debt!AA115,0)</f>
        <v>1.43258948959915</v>
      </c>
      <c r="AB13" s="6" t="n">
        <f aca="false">IF(Debt!AB115&gt;Inputs!$F$253,(AB11+Reserves!AB9)/Debt!AB115,0)</f>
        <v>1.46126919885672</v>
      </c>
      <c r="AC13" s="6" t="n">
        <f aca="false">IF(Debt!AC115&gt;Inputs!$F$253,(AC11+Reserves!AC9)/Debt!AC115,0)</f>
        <v>1.49384000428975</v>
      </c>
      <c r="AD13" s="6" t="n">
        <f aca="false">IF(Debt!AD115&gt;Inputs!$F$253,(AD11+Reserves!AD9)/Debt!AD115,0)</f>
        <v>1.53264772165666</v>
      </c>
      <c r="AE13" s="6" t="n">
        <f aca="false">IF(Debt!AE115&gt;Inputs!$F$253,(AE11+Reserves!AE9)/Debt!AE115,0)</f>
        <v>1.5796441633232</v>
      </c>
      <c r="AF13" s="6" t="n">
        <f aca="false">IF(Debt!AF115&gt;Inputs!$F$253,(AF11+Reserves!AF9)/Debt!AF115,0)</f>
        <v>1.63701669846385</v>
      </c>
      <c r="AG13" s="6" t="n">
        <f aca="false">IF(Debt!AG115&gt;Inputs!$F$253,(AG11+Reserves!AG9)/Debt!AG115,0)</f>
        <v>1.70874307698648</v>
      </c>
      <c r="AH13" s="6" t="n">
        <f aca="false">IF(Debt!AH115&gt;Inputs!$F$253,(AH11+Reserves!AH9)/Debt!AH115,0)</f>
        <v>1.80083631771972</v>
      </c>
      <c r="AI13" s="6" t="n">
        <f aca="false">IF(Debt!AI115&gt;Inputs!$F$253,(AI11+Reserves!AI9)/Debt!AI115,0)</f>
        <v>1.92671199760205</v>
      </c>
      <c r="AJ13" s="6" t="n">
        <f aca="false">IF(Debt!AJ115&gt;Inputs!$F$253,(AJ11+Reserves!AJ9)/Debt!AJ115,0)</f>
        <v>2.10704256761401</v>
      </c>
      <c r="AK13" s="6" t="n">
        <f aca="false">IF(Debt!AK115&gt;Inputs!$F$253,(AK11+Reserves!AK9)/Debt!AK115,0)</f>
        <v>2.39839498345614</v>
      </c>
      <c r="AL13" s="6" t="n">
        <f aca="false">IF(Debt!AL115&gt;Inputs!$F$253,(AL11+Reserves!AL9)/Debt!AL115,0)</f>
        <v>2.66267893481439</v>
      </c>
      <c r="AM13" s="6" t="n">
        <f aca="false">IF(Debt!AM115&gt;Inputs!$F$253,(AM11+Reserves!AM9)/Debt!AM115,0)</f>
        <v>2.81495541971621</v>
      </c>
      <c r="AN13" s="6" t="n">
        <f aca="false">IF(Debt!AN115&gt;Inputs!$F$253,(AN11+Reserves!AN9)/Debt!AN115,0)</f>
        <v>3.09559939695482</v>
      </c>
      <c r="AO13" s="6" t="n">
        <f aca="false">IF(Debt!AO115&gt;Inputs!$F$253,(AO11+Reserves!AO9)/Debt!AO115,0)</f>
        <v>3.60422906324583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1.32577279262088</v>
      </c>
      <c r="Q14" s="6" t="n">
        <f aca="false">IF(Debt!Q115&gt;Inputs!$F$253,Q11/Debt!Q115,0)</f>
        <v>1.32681431732391</v>
      </c>
      <c r="R14" s="6" t="n">
        <f aca="false">IF(Debt!R115&gt;Inputs!$F$253,R11/Debt!R115,0)</f>
        <v>1.32797000472959</v>
      </c>
      <c r="S14" s="6" t="n">
        <f aca="false">IF(Debt!S115&gt;Inputs!$F$253,S11/Debt!S115,0)</f>
        <v>1.3292337916078</v>
      </c>
      <c r="T14" s="6" t="n">
        <f aca="false">IF(Debt!T115&gt;Inputs!$F$253,T11/Debt!T115,0)</f>
        <v>1.33065232672488</v>
      </c>
      <c r="U14" s="6" t="n">
        <f aca="false">IF(Debt!U115&gt;Inputs!$F$253,U11/Debt!U115,0)</f>
        <v>1.33225281123097</v>
      </c>
      <c r="V14" s="6" t="n">
        <f aca="false">IF(Debt!V115&gt;Inputs!$F$253,V11/Debt!V115,0)</f>
        <v>1.33403339799726</v>
      </c>
      <c r="W14" s="6" t="n">
        <f aca="false">IF(Debt!W115&gt;Inputs!$F$253,W11/Debt!W115,0)</f>
        <v>1.33596017826396</v>
      </c>
      <c r="X14" s="6" t="n">
        <f aca="false">IF(Debt!X115&gt;Inputs!$F$253,X11/Debt!X115,0)</f>
        <v>1.33816386640969</v>
      </c>
      <c r="Y14" s="6" t="n">
        <f aca="false">IF(Debt!Y115&gt;Inputs!$F$253,Y11/Debt!Y115,0)</f>
        <v>1.34078282677665</v>
      </c>
      <c r="Z14" s="6" t="n">
        <f aca="false">IF(Debt!Z115&gt;Inputs!$F$253,Z11/Debt!Z115,0)</f>
        <v>1.34377877385406</v>
      </c>
      <c r="AA14" s="6" t="n">
        <f aca="false">IF(Debt!AA115&gt;Inputs!$F$253,AA11/Debt!AA115,0)</f>
        <v>1.34720029256526</v>
      </c>
      <c r="AB14" s="6" t="n">
        <f aca="false">IF(Debt!AB115&gt;Inputs!$F$253,AB11/Debt!AB115,0)</f>
        <v>1.369090826924</v>
      </c>
      <c r="AC14" s="6" t="n">
        <f aca="false">IF(Debt!AC115&gt;Inputs!$F$253,AC11/Debt!AC115,0)</f>
        <v>1.39649542147394</v>
      </c>
      <c r="AD14" s="6" t="n">
        <f aca="false">IF(Debt!AD115&gt;Inputs!$F$253,AD11/Debt!AD115,0)</f>
        <v>1.42522221362081</v>
      </c>
      <c r="AE14" s="6" t="n">
        <f aca="false">IF(Debt!AE115&gt;Inputs!$F$253,AE11/Debt!AE115,0)</f>
        <v>1.46340121556997</v>
      </c>
      <c r="AF14" s="6" t="n">
        <f aca="false">IF(Debt!AF115&gt;Inputs!$F$253,AF11/Debt!AF115,0)</f>
        <v>1.51012064200765</v>
      </c>
      <c r="AG14" s="6" t="n">
        <f aca="false">IF(Debt!AG115&gt;Inputs!$F$253,AG11/Debt!AG115,0)</f>
        <v>1.56997541888287</v>
      </c>
      <c r="AH14" s="6" t="n">
        <f aca="false">IF(Debt!AH115&gt;Inputs!$F$253,AH11/Debt!AH115,0)</f>
        <v>1.64415557621155</v>
      </c>
      <c r="AI14" s="6" t="n">
        <f aca="false">IF(Debt!AI115&gt;Inputs!$F$253,AI11/Debt!AI115,0)</f>
        <v>1.7487069466836</v>
      </c>
      <c r="AJ14" s="6" t="n">
        <f aca="false">IF(Debt!AJ115&gt;Inputs!$F$253,AJ11/Debt!AJ115,0)</f>
        <v>1.89586770831445</v>
      </c>
      <c r="AK14" s="6" t="n">
        <f aca="false">IF(Debt!AK115&gt;Inputs!$F$253,AK11/Debt!AK115,0)</f>
        <v>2.13826158078315</v>
      </c>
      <c r="AL14" s="6" t="n">
        <f aca="false">IF(Debt!AL115&gt;Inputs!$F$253,AL11/Debt!AL115,0)</f>
        <v>2.34188127165357</v>
      </c>
      <c r="AM14" s="6" t="n">
        <f aca="false">IF(Debt!AM115&gt;Inputs!$F$253,AM11/Debt!AM115,0)</f>
        <v>2.41231400804959</v>
      </c>
      <c r="AN14" s="6" t="n">
        <f aca="false">IF(Debt!AN115&gt;Inputs!$F$253,AN11/Debt!AN115,0)</f>
        <v>2.57213122873515</v>
      </c>
      <c r="AO14" s="6" t="n">
        <f aca="false">IF(Debt!AO115&gt;Inputs!$F$253,AO11/Debt!AO115,0)</f>
        <v>2.57721712776105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1.80529643069645</v>
      </c>
      <c r="Q15" s="6" t="n">
        <f aca="false">IF(Debt!Q115&gt;Inputs!$F$253,Q12/Debt!Q115,0)</f>
        <v>1.83524903134903</v>
      </c>
      <c r="R15" s="6" t="n">
        <f aca="false">IF(Debt!R115&gt;Inputs!$F$253,R12/Debt!R115,0)</f>
        <v>1.8678064105355</v>
      </c>
      <c r="S15" s="6" t="n">
        <f aca="false">IF(Debt!S115&gt;Inputs!$F$253,S12/Debt!S115,0)</f>
        <v>1.90380922338797</v>
      </c>
      <c r="T15" s="6" t="n">
        <f aca="false">IF(Debt!T115&gt;Inputs!$F$253,T12/Debt!T115,0)</f>
        <v>1.94304381371434</v>
      </c>
      <c r="U15" s="6" t="n">
        <f aca="false">IF(Debt!U115&gt;Inputs!$F$253,U12/Debt!U115,0)</f>
        <v>1.98675464539854</v>
      </c>
      <c r="V15" s="6" t="n">
        <f aca="false">IF(Debt!V115&gt;Inputs!$F$253,V12/Debt!V115,0)</f>
        <v>2.03491631754681</v>
      </c>
      <c r="W15" s="6" t="n">
        <f aca="false">IF(Debt!W115&gt;Inputs!$F$253,W12/Debt!W115,0)</f>
        <v>2.08944890837367</v>
      </c>
      <c r="X15" s="6" t="n">
        <f aca="false">IF(Debt!X115&gt;Inputs!$F$253,X12/Debt!X115,0)</f>
        <v>2.15018725549977</v>
      </c>
      <c r="Y15" s="6" t="n">
        <f aca="false">IF(Debt!Y115&gt;Inputs!$F$253,Y12/Debt!Y115,0)</f>
        <v>2.21669170775346</v>
      </c>
      <c r="Z15" s="6" t="n">
        <f aca="false">IF(Debt!Z115&gt;Inputs!$F$253,Z12/Debt!Z115,0)</f>
        <v>2.29098791701178</v>
      </c>
      <c r="AA15" s="6" t="n">
        <f aca="false">IF(Debt!AA115&gt;Inputs!$F$253,AA12/Debt!AA115,0)</f>
        <v>2.37594782572337</v>
      </c>
      <c r="AB15" s="6" t="n">
        <f aca="false">IF(Debt!AB115&gt;Inputs!$F$253,AB12/Debt!AB115,0)</f>
        <v>2.50522542048565</v>
      </c>
      <c r="AC15" s="6" t="n">
        <f aca="false">IF(Debt!AC115&gt;Inputs!$F$253,AC12/Debt!AC115,0)</f>
        <v>2.66266360097326</v>
      </c>
      <c r="AD15" s="6" t="n">
        <f aca="false">IF(Debt!AD115&gt;Inputs!$F$253,AD12/Debt!AD115,0)</f>
        <v>2.84383646625382</v>
      </c>
      <c r="AE15" s="6" t="n">
        <f aca="false">IF(Debt!AE115&gt;Inputs!$F$253,AE12/Debt!AE115,0)</f>
        <v>3.0789265805986</v>
      </c>
      <c r="AF15" s="6" t="n">
        <f aca="false">IF(Debt!AF115&gt;Inputs!$F$253,AF12/Debt!AF115,0)</f>
        <v>3.37409663086431</v>
      </c>
      <c r="AG15" s="6" t="n">
        <f aca="false">IF(Debt!AG115&gt;Inputs!$F$253,AG12/Debt!AG115,0)</f>
        <v>3.75812489919524</v>
      </c>
      <c r="AH15" s="6" t="n">
        <f aca="false">IF(Debt!AH115&gt;Inputs!$F$253,AH12/Debt!AH115,0)</f>
        <v>4.25984899120484</v>
      </c>
      <c r="AI15" s="6" t="n">
        <f aca="false">IF(Debt!AI115&gt;Inputs!$F$253,AI12/Debt!AI115,0)</f>
        <v>4.97855612538377</v>
      </c>
      <c r="AJ15" s="6" t="n">
        <f aca="false">IF(Debt!AJ115&gt;Inputs!$F$253,AJ12/Debt!AJ115,0)</f>
        <v>6.03794328771683</v>
      </c>
      <c r="AK15" s="6" t="n">
        <f aca="false">IF(Debt!AK115&gt;Inputs!$F$253,AK12/Debt!AK115,0)</f>
        <v>7.83095861320973</v>
      </c>
      <c r="AL15" s="6" t="n">
        <f aca="false">IF(Debt!AL115&gt;Inputs!$F$253,AL12/Debt!AL115,0)</f>
        <v>10.2483923832485</v>
      </c>
      <c r="AM15" s="6" t="n">
        <f aca="false">IF(Debt!AM115&gt;Inputs!$F$253,AM12/Debt!AM115,0)</f>
        <v>13.5218649300027</v>
      </c>
      <c r="AN15" s="6" t="n">
        <f aca="false">IF(Debt!AN115&gt;Inputs!$F$253,AN12/Debt!AN115,0)</f>
        <v>20.8459621664119</v>
      </c>
      <c r="AO15" s="6" t="n">
        <f aca="false">IF(Debt!AO115&gt;Inputs!$F$253,AO12/Debt!AO115,0)</f>
        <v>39.8429440458324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1.30330028783726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1.49194512474653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1.38458928528038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1.80529643069645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1109.74123906737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13.3123815456747</v>
      </c>
      <c r="BS8" s="18" t="n">
        <f aca="false">Waterfall!Q44</f>
        <v>10.9803905278187</v>
      </c>
      <c r="BT8" s="18" t="n">
        <f aca="false">Waterfall!R44</f>
        <v>11.8923620790169</v>
      </c>
      <c r="BU8" s="18" t="n">
        <f aca="false">Waterfall!S44</f>
        <v>11.0688319388572</v>
      </c>
      <c r="BV8" s="18" t="n">
        <f aca="false">Waterfall!T44</f>
        <v>11.7843891655674</v>
      </c>
      <c r="BW8" s="18" t="n">
        <f aca="false">Waterfall!U44</f>
        <v>10.8217183960632</v>
      </c>
      <c r="BX8" s="18" t="n">
        <f aca="false">Waterfall!V44</f>
        <v>12.07124507568</v>
      </c>
      <c r="BY8" s="18" t="n">
        <f aca="false">Waterfall!W44</f>
        <v>12.7921167414117</v>
      </c>
      <c r="BZ8" s="18" t="n">
        <f aca="false">Waterfall!X44</f>
        <v>11.6144703901093</v>
      </c>
      <c r="CA8" s="18" t="n">
        <f aca="false">Waterfall!Y44</f>
        <v>10.81563236359</v>
      </c>
      <c r="CB8" s="18" t="n">
        <f aca="false">Waterfall!Z44</f>
        <v>11.5071473728627</v>
      </c>
      <c r="CC8" s="18" t="n">
        <f aca="false">Waterfall!AA44</f>
        <v>5.33126530252416</v>
      </c>
      <c r="CD8" s="18" t="n">
        <f aca="false">Waterfall!AB44</f>
        <v>6.23571442521261</v>
      </c>
      <c r="CE8" s="18" t="n">
        <f aca="false">Waterfall!AC44</f>
        <v>5.84910573723931</v>
      </c>
      <c r="CF8" s="18" t="n">
        <f aca="false">Waterfall!AD44</f>
        <v>7.14282045539922</v>
      </c>
      <c r="CG8" s="18" t="n">
        <f aca="false">Waterfall!AE44</f>
        <v>7.67058523399088</v>
      </c>
      <c r="CH8" s="18" t="n">
        <f aca="false">Waterfall!AF44</f>
        <v>8.43882067720587</v>
      </c>
      <c r="CI8" s="18" t="n">
        <f aca="false">Waterfall!AG44</f>
        <v>8.74800089033003</v>
      </c>
      <c r="CJ8" s="18" t="n">
        <f aca="false">Waterfall!AH44</f>
        <v>9.99487829611962</v>
      </c>
      <c r="CK8" s="18" t="n">
        <f aca="false">Waterfall!AI44</f>
        <v>10.6961228413543</v>
      </c>
      <c r="CL8" s="18" t="n">
        <f aca="false">Waterfall!AJ44</f>
        <v>12.3541686273421</v>
      </c>
      <c r="CM8" s="18" t="n">
        <f aca="false">Waterfall!AK44</f>
        <v>21.5746118579476</v>
      </c>
      <c r="CN8" s="18" t="n">
        <f aca="false">Waterfall!AL44</f>
        <v>29.8177715967116</v>
      </c>
      <c r="CO8" s="18" t="n">
        <f aca="false">Waterfall!AM44</f>
        <v>31.8834234627725</v>
      </c>
      <c r="CP8" s="18" t="n">
        <f aca="false">Waterfall!AN44</f>
        <v>30.2105267450319</v>
      </c>
      <c r="CQ8" s="18" t="n">
        <f aca="false">Waterfall!AO44</f>
        <v>48.724629263006</v>
      </c>
      <c r="CR8" s="18" t="n">
        <f aca="false">Waterfall!AP44</f>
        <v>41.1229775263262</v>
      </c>
      <c r="CS8" s="18" t="n">
        <f aca="false">Waterfall!AQ44</f>
        <v>40.0111872145842</v>
      </c>
      <c r="CT8" s="18" t="n">
        <f aca="false">Waterfall!AR44</f>
        <v>40.3466315003753</v>
      </c>
      <c r="CU8" s="18" t="n">
        <f aca="false">Waterfall!AS44</f>
        <v>40.0905018175021</v>
      </c>
      <c r="CV8" s="18" t="n">
        <f aca="false">Waterfall!AT44</f>
        <v>46.8465726745527</v>
      </c>
      <c r="CW8" s="18" t="n">
        <f aca="false">Waterfall!AU44</f>
        <v>42.4059822346283</v>
      </c>
      <c r="CX8" s="18" t="n">
        <f aca="false">Waterfall!AV44</f>
        <v>42.4596964681042</v>
      </c>
      <c r="CY8" s="18" t="n">
        <f aca="false">Waterfall!AW44</f>
        <v>42.017702995227</v>
      </c>
      <c r="CZ8" s="18" t="n">
        <f aca="false">Waterfall!AX44</f>
        <v>42.6733383107201</v>
      </c>
      <c r="DA8" s="18" t="n">
        <f aca="false">Waterfall!AY44</f>
        <v>42.2146889405744</v>
      </c>
      <c r="DB8" s="18" t="n">
        <f aca="false">Waterfall!AZ44</f>
        <v>42.7969224922796</v>
      </c>
      <c r="DC8" s="18" t="n">
        <f aca="false">Waterfall!BA44</f>
        <v>42.0074185411151</v>
      </c>
      <c r="DD8" s="18" t="n">
        <f aca="false">Waterfall!BB44</f>
        <v>43.2557057223103</v>
      </c>
      <c r="DE8" s="18" t="n">
        <f aca="false">Waterfall!BC44</f>
        <v>39.8360202135168</v>
      </c>
      <c r="DF8" s="18" t="n">
        <f aca="false">Waterfall!BD44</f>
        <v>33.6621983121308</v>
      </c>
      <c r="DG8" s="18" t="n">
        <f aca="false">Waterfall!BE44</f>
        <v>33.2009943423944</v>
      </c>
      <c r="DH8" s="18" t="n">
        <f aca="false">Waterfall!BF44</f>
        <v>33.8675782486875</v>
      </c>
      <c r="DI8" s="18" t="n">
        <f aca="false">Waterfall!BG44</f>
        <v>33.3809456276272</v>
      </c>
      <c r="DJ8" s="18" t="n">
        <f aca="false">Waterfall!BH44</f>
        <v>33.9662380875229</v>
      </c>
      <c r="DK8" s="18" t="n">
        <f aca="false">Waterfall!BI44</f>
        <v>33.698404470233</v>
      </c>
      <c r="DL8" s="18" t="n">
        <f aca="false">Waterfall!BJ44</f>
        <v>41.7313629113129</v>
      </c>
      <c r="DM8" s="18" t="n">
        <f aca="false">Waterfall!BK44</f>
        <v>36.4598575242797</v>
      </c>
      <c r="DN8" s="18" t="n">
        <f aca="false">Waterfall!BL44</f>
        <v>37.1083958296947</v>
      </c>
      <c r="DO8" s="18" t="n">
        <f aca="false">Waterfall!BM44</f>
        <v>53.0805536368862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1531.7418496104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1.733222014779</v>
      </c>
      <c r="BR9" s="18" t="n">
        <f aca="false">Waterfall!P7</f>
        <v>48.7361759860426</v>
      </c>
      <c r="BS9" s="18" t="n">
        <f aca="false">Waterfall!Q7</f>
        <v>48.6051756154967</v>
      </c>
      <c r="BT9" s="18" t="n">
        <f aca="false">Waterfall!R7</f>
        <v>49.2256745715739</v>
      </c>
      <c r="BU9" s="18" t="n">
        <f aca="false">Waterfall!S7</f>
        <v>48.820049720605</v>
      </c>
      <c r="BV9" s="18" t="n">
        <f aca="false">Waterfall!T7</f>
        <v>49.3550819204202</v>
      </c>
      <c r="BW9" s="18" t="n">
        <f aca="false">Waterfall!U7</f>
        <v>49.1096386312216</v>
      </c>
      <c r="BX9" s="18" t="n">
        <f aca="false">Waterfall!V7</f>
        <v>50.0944725015498</v>
      </c>
      <c r="BY9" s="18" t="n">
        <f aca="false">Waterfall!W7</f>
        <v>49.7189118160011</v>
      </c>
      <c r="BZ9" s="18" t="n">
        <f aca="false">Waterfall!X7</f>
        <v>48.1848624346545</v>
      </c>
      <c r="CA9" s="18" t="n">
        <f aca="false">Waterfall!Y7</f>
        <v>47.6869954721041</v>
      </c>
      <c r="CB9" s="18" t="n">
        <f aca="false">Waterfall!Z7</f>
        <v>48.0814347277172</v>
      </c>
      <c r="CC9" s="18" t="n">
        <f aca="false">Waterfall!AA7</f>
        <v>47.6672792370245</v>
      </c>
      <c r="CD9" s="18" t="n">
        <f aca="false">Waterfall!AB7</f>
        <v>48.216908501998</v>
      </c>
      <c r="CE9" s="18" t="n">
        <f aca="false">Waterfall!AC7</f>
        <v>48.0191167778172</v>
      </c>
      <c r="CF9" s="18" t="n">
        <f aca="false">Waterfall!AD7</f>
        <v>49.9691977369238</v>
      </c>
      <c r="CG9" s="18" t="n">
        <f aca="false">Waterfall!AE7</f>
        <v>50.0297615083646</v>
      </c>
      <c r="CH9" s="18" t="n">
        <f aca="false">Waterfall!AF7</f>
        <v>50.1113447156016</v>
      </c>
      <c r="CI9" s="18" t="n">
        <f aca="false">Waterfall!AG7</f>
        <v>49.7198797232919</v>
      </c>
      <c r="CJ9" s="18" t="n">
        <f aca="false">Waterfall!AH7</f>
        <v>50.3765205443762</v>
      </c>
      <c r="CK9" s="18" t="n">
        <f aca="false">Waterfall!AI7</f>
        <v>49.954870885873</v>
      </c>
      <c r="CL9" s="18" t="n">
        <f aca="false">Waterfall!AJ7</f>
        <v>50.5221935191513</v>
      </c>
      <c r="CM9" s="18" t="n">
        <f aca="false">Waterfall!AK7</f>
        <v>50.2821337852541</v>
      </c>
      <c r="CN9" s="18" t="n">
        <f aca="false">Waterfall!AL7</f>
        <v>51.4125671466865</v>
      </c>
      <c r="CO9" s="18" t="n">
        <f aca="false">Waterfall!AM7</f>
        <v>51.0154407176367</v>
      </c>
      <c r="CP9" s="18" t="n">
        <f aca="false">Waterfall!AN7</f>
        <v>49.1164344926401</v>
      </c>
      <c r="CQ9" s="18" t="n">
        <f aca="false">Waterfall!AO7</f>
        <v>48.724629263006</v>
      </c>
      <c r="CR9" s="18" t="n">
        <f aca="false">Waterfall!AP7</f>
        <v>41.1229775263262</v>
      </c>
      <c r="CS9" s="18" t="n">
        <f aca="false">Waterfall!AQ7</f>
        <v>40.0111872145842</v>
      </c>
      <c r="CT9" s="18" t="n">
        <f aca="false">Waterfall!AR7</f>
        <v>40.3466315003753</v>
      </c>
      <c r="CU9" s="18" t="n">
        <f aca="false">Waterfall!AS7</f>
        <v>40.0905018175021</v>
      </c>
      <c r="CV9" s="18" t="n">
        <f aca="false">Waterfall!AT7</f>
        <v>46.8465726745527</v>
      </c>
      <c r="CW9" s="18" t="n">
        <f aca="false">Waterfall!AU7</f>
        <v>42.4059822346283</v>
      </c>
      <c r="CX9" s="18" t="n">
        <f aca="false">Waterfall!AV7</f>
        <v>42.4596964681042</v>
      </c>
      <c r="CY9" s="18" t="n">
        <f aca="false">Waterfall!AW7</f>
        <v>42.017702995227</v>
      </c>
      <c r="CZ9" s="18" t="n">
        <f aca="false">Waterfall!AX7</f>
        <v>42.6733383107201</v>
      </c>
      <c r="DA9" s="18" t="n">
        <f aca="false">Waterfall!AY7</f>
        <v>42.2146889405744</v>
      </c>
      <c r="DB9" s="18" t="n">
        <f aca="false">Waterfall!AZ7</f>
        <v>42.7969224922796</v>
      </c>
      <c r="DC9" s="18" t="n">
        <f aca="false">Waterfall!BA7</f>
        <v>42.5023869277238</v>
      </c>
      <c r="DD9" s="18" t="n">
        <f aca="false">Waterfall!BB7</f>
        <v>44.7568559769547</v>
      </c>
      <c r="DE9" s="18" t="n">
        <f aca="false">Waterfall!BC7</f>
        <v>41.353593286859</v>
      </c>
      <c r="DF9" s="18" t="n">
        <f aca="false">Waterfall!BD7</f>
        <v>35.1963738723774</v>
      </c>
      <c r="DG9" s="18" t="n">
        <f aca="false">Waterfall!BE7</f>
        <v>34.7519540233502</v>
      </c>
      <c r="DH9" s="18" t="n">
        <f aca="false">Waterfall!BF7</f>
        <v>35.4355056712595</v>
      </c>
      <c r="DI9" s="18" t="n">
        <f aca="false">Waterfall!BG7</f>
        <v>34.9660264215639</v>
      </c>
      <c r="DJ9" s="18" t="n">
        <f aca="false">Waterfall!BH7</f>
        <v>35.5686599133915</v>
      </c>
      <c r="DK9" s="18" t="n">
        <f aca="false">Waterfall!BI7</f>
        <v>35.3183570416364</v>
      </c>
      <c r="DL9" s="18" t="n">
        <f aca="false">Waterfall!BJ7</f>
        <v>43.3690380173506</v>
      </c>
      <c r="DM9" s="18" t="n">
        <f aca="false">Waterfall!BK7</f>
        <v>38.115449052254</v>
      </c>
      <c r="DN9" s="18" t="n">
        <f aca="false">Waterfall!BL7</f>
        <v>38.7820997880652</v>
      </c>
      <c r="DO9" s="18" t="n">
        <f aca="false">Waterfall!BM7</f>
        <v>35.1393734749252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1814.40270242895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1.733222014779</v>
      </c>
      <c r="BR10" s="13" t="n">
        <f aca="false">Waterfall!P7+Tax!P27</f>
        <v>48.7361759860426</v>
      </c>
      <c r="BS10" s="13" t="n">
        <f aca="false">Waterfall!Q7+Tax!Q27</f>
        <v>48.6051756154967</v>
      </c>
      <c r="BT10" s="13" t="n">
        <f aca="false">Waterfall!R7+Tax!R27</f>
        <v>49.2256745715739</v>
      </c>
      <c r="BU10" s="13" t="n">
        <f aca="false">Waterfall!S7+Tax!S27</f>
        <v>48.820049720605</v>
      </c>
      <c r="BV10" s="13" t="n">
        <f aca="false">Waterfall!T7+Tax!T27</f>
        <v>49.3550819204202</v>
      </c>
      <c r="BW10" s="13" t="n">
        <f aca="false">Waterfall!U7+Tax!U27</f>
        <v>49.1096386312216</v>
      </c>
      <c r="BX10" s="13" t="n">
        <f aca="false">Waterfall!V7+Tax!V27</f>
        <v>50.0944725015498</v>
      </c>
      <c r="BY10" s="13" t="n">
        <f aca="false">Waterfall!W7+Tax!W27</f>
        <v>49.7189118160011</v>
      </c>
      <c r="BZ10" s="13" t="n">
        <f aca="false">Waterfall!X7+Tax!X27</f>
        <v>48.1848624346545</v>
      </c>
      <c r="CA10" s="13" t="n">
        <f aca="false">Waterfall!Y7+Tax!Y27</f>
        <v>47.8050413080245</v>
      </c>
      <c r="CB10" s="13" t="n">
        <f aca="false">Waterfall!Z7+Tax!Z27</f>
        <v>48.4369262623908</v>
      </c>
      <c r="CC10" s="13" t="n">
        <f aca="false">Waterfall!AA7+Tax!AA27</f>
        <v>48.0245457976305</v>
      </c>
      <c r="CD10" s="13" t="n">
        <f aca="false">Waterfall!AB7+Tax!AB27</f>
        <v>48.5761081868294</v>
      </c>
      <c r="CE10" s="13" t="n">
        <f aca="false">Waterfall!AC7+Tax!AC27</f>
        <v>48.379206178297</v>
      </c>
      <c r="CF10" s="13" t="n">
        <f aca="false">Waterfall!AD7+Tax!AD27</f>
        <v>50.3247799268658</v>
      </c>
      <c r="CG10" s="13" t="n">
        <f aca="false">Waterfall!AE7+Tax!AE27</f>
        <v>50.3924407801796</v>
      </c>
      <c r="CH10" s="13" t="n">
        <f aca="false">Waterfall!AF7+Tax!AF27</f>
        <v>50.4773660344234</v>
      </c>
      <c r="CI10" s="13" t="n">
        <f aca="false">Waterfall!AG7+Tax!AG27</f>
        <v>50.0875075249066</v>
      </c>
      <c r="CJ10" s="13" t="n">
        <f aca="false">Waterfall!AH7+Tax!AH27</f>
        <v>50.745624294473</v>
      </c>
      <c r="CK10" s="13" t="n">
        <f aca="false">Waterfall!AI7+Tax!AI27</f>
        <v>50.3259071764604</v>
      </c>
      <c r="CL10" s="13" t="n">
        <f aca="false">Waterfall!AJ7+Tax!AJ27</f>
        <v>50.8953338639384</v>
      </c>
      <c r="CM10" s="13" t="n">
        <f aca="false">Waterfall!AK7+Tax!AK27</f>
        <v>50.6565653919512</v>
      </c>
      <c r="CN10" s="13" t="n">
        <f aca="false">Waterfall!AL7+Tax!AL27</f>
        <v>51.7877567822933</v>
      </c>
      <c r="CO10" s="13" t="n">
        <f aca="false">Waterfall!AM7+Tax!AM27</f>
        <v>51.3930284008259</v>
      </c>
      <c r="CP10" s="13" t="n">
        <f aca="false">Waterfall!AN7+Tax!AN27</f>
        <v>49.497004214908</v>
      </c>
      <c r="CQ10" s="13" t="n">
        <f aca="false">Waterfall!AO7+Tax!AO27</f>
        <v>49.1069492812116</v>
      </c>
      <c r="CR10" s="13" t="n">
        <f aca="false">Waterfall!AP7+Tax!AP27</f>
        <v>49.7935757705226</v>
      </c>
      <c r="CS10" s="13" t="n">
        <f aca="false">Waterfall!AQ7+Tax!AQ27</f>
        <v>49.3658906011155</v>
      </c>
      <c r="CT10" s="13" t="n">
        <f aca="false">Waterfall!AR7+Tax!AR27</f>
        <v>49.9546254245477</v>
      </c>
      <c r="CU10" s="13" t="n">
        <f aca="false">Waterfall!AS7+Tax!AS27</f>
        <v>49.7747192325398</v>
      </c>
      <c r="CV10" s="13" t="n">
        <f aca="false">Waterfall!AT7+Tax!AT27</f>
        <v>52.1354434078877</v>
      </c>
      <c r="CW10" s="13" t="n">
        <f aca="false">Waterfall!AU7+Tax!AU27</f>
        <v>52.2117575942765</v>
      </c>
      <c r="CX10" s="13" t="n">
        <f aca="false">Waterfall!AV7+Tax!AV27</f>
        <v>52.2124659201147</v>
      </c>
      <c r="CY10" s="13" t="n">
        <f aca="false">Waterfall!AW7+Tax!AW27</f>
        <v>51.8094840601661</v>
      </c>
      <c r="CZ10" s="13" t="n">
        <f aca="false">Waterfall!AX7+Tax!AX27</f>
        <v>52.5270978905613</v>
      </c>
      <c r="DA10" s="13" t="n">
        <f aca="false">Waterfall!AY7+Tax!AY27</f>
        <v>52.0907585306187</v>
      </c>
      <c r="DB10" s="13" t="n">
        <f aca="false">Waterfall!AZ7+Tax!AZ27</f>
        <v>52.700364235218</v>
      </c>
      <c r="DC10" s="13" t="n">
        <f aca="false">Waterfall!BA7+Tax!BA27</f>
        <v>52.4697993915809</v>
      </c>
      <c r="DD10" s="13" t="n">
        <f aca="false">Waterfall!BB7+Tax!BB27</f>
        <v>53.7752099966854</v>
      </c>
      <c r="DE10" s="13" t="n">
        <f aca="false">Waterfall!BC7+Tax!BC27</f>
        <v>53.3577686305865</v>
      </c>
      <c r="DF10" s="13" t="n">
        <f aca="false">Waterfall!BD7+Tax!BD27</f>
        <v>51.0297661091472</v>
      </c>
      <c r="DG10" s="13" t="n">
        <f aca="false">Waterfall!BE7+Tax!BE27</f>
        <v>50.6275357749135</v>
      </c>
      <c r="DH10" s="13" t="n">
        <f aca="false">Waterfall!BF7+Tax!BF27</f>
        <v>51.3788319224185</v>
      </c>
      <c r="DI10" s="13" t="n">
        <f aca="false">Waterfall!BG7+Tax!BG27</f>
        <v>50.9330927274527</v>
      </c>
      <c r="DJ10" s="13" t="n">
        <f aca="false">Waterfall!BH7+Tax!BH27</f>
        <v>51.5652609235274</v>
      </c>
      <c r="DK10" s="13" t="n">
        <f aca="false">Waterfall!BI7+Tax!BI27</f>
        <v>51.4059979326588</v>
      </c>
      <c r="DL10" s="13" t="n">
        <f aca="false">Waterfall!BJ7+Tax!BJ27</f>
        <v>54.2611965022173</v>
      </c>
      <c r="DM10" s="13" t="n">
        <f aca="false">Waterfall!BK7+Tax!BK27</f>
        <v>54.3479136382411</v>
      </c>
      <c r="DN10" s="13" t="n">
        <f aca="false">Waterfall!BL7+Tax!BL27</f>
        <v>54.9485702693088</v>
      </c>
      <c r="DO10" s="13" t="n">
        <f aca="false">Waterfall!BM7+Tax!BM27</f>
        <v>40.2202193246854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-208.521386038383</v>
      </c>
      <c r="BS11" s="13" t="n">
        <f aca="false">BR11+BS8</f>
        <v>-197.540995510564</v>
      </c>
      <c r="BT11" s="13" t="n">
        <f aca="false">BS11+BT8</f>
        <v>-185.648633431547</v>
      </c>
      <c r="BU11" s="13" t="n">
        <f aca="false">BT11+BU8</f>
        <v>-174.57980149269</v>
      </c>
      <c r="BV11" s="13" t="n">
        <f aca="false">BU11+BV8</f>
        <v>-162.795412327122</v>
      </c>
      <c r="BW11" s="13" t="n">
        <f aca="false">BV11+BW8</f>
        <v>-151.973693931059</v>
      </c>
      <c r="BX11" s="13" t="n">
        <f aca="false">BW11+BX8</f>
        <v>-139.902448855379</v>
      </c>
      <c r="BY11" s="13" t="n">
        <f aca="false">BX11+BY8</f>
        <v>-127.110332113967</v>
      </c>
      <c r="BZ11" s="13" t="n">
        <f aca="false">BY11+BZ8</f>
        <v>-115.495861723858</v>
      </c>
      <c r="CA11" s="13" t="n">
        <f aca="false">BZ11+CA8</f>
        <v>-104.680229360268</v>
      </c>
      <c r="CB11" s="13" t="n">
        <f aca="false">CA11+CB8</f>
        <v>-93.1730819874053</v>
      </c>
      <c r="CC11" s="13" t="n">
        <f aca="false">CB11+CC8</f>
        <v>-87.8418166848811</v>
      </c>
      <c r="CD11" s="13" t="n">
        <f aca="false">CC11+CD8</f>
        <v>-81.6061022596685</v>
      </c>
      <c r="CE11" s="13" t="n">
        <f aca="false">CD11+CE8</f>
        <v>-75.7569965224292</v>
      </c>
      <c r="CF11" s="13" t="n">
        <f aca="false">CE11+CF8</f>
        <v>-68.61417606703</v>
      </c>
      <c r="CG11" s="13" t="n">
        <f aca="false">CF11+CG8</f>
        <v>-60.9435908330391</v>
      </c>
      <c r="CH11" s="13" t="n">
        <f aca="false">CG11+CH8</f>
        <v>-52.5047701558333</v>
      </c>
      <c r="CI11" s="13" t="n">
        <f aca="false">CH11+CI8</f>
        <v>-43.7567692655032</v>
      </c>
      <c r="CJ11" s="13" t="n">
        <f aca="false">CI11+CJ8</f>
        <v>-33.7618909693836</v>
      </c>
      <c r="CK11" s="13" t="n">
        <f aca="false">CJ11+CK8</f>
        <v>-23.0657681280293</v>
      </c>
      <c r="CL11" s="13" t="n">
        <f aca="false">CK11+CL8</f>
        <v>-10.7115995006871</v>
      </c>
      <c r="CM11" s="13" t="n">
        <f aca="false">CL11+CM8</f>
        <v>10.8630123572605</v>
      </c>
      <c r="CN11" s="13" t="n">
        <f aca="false">CM11+CN8</f>
        <v>40.6807839539721</v>
      </c>
      <c r="CO11" s="13" t="n">
        <f aca="false">CN11+CO8</f>
        <v>72.5642074167446</v>
      </c>
      <c r="CP11" s="13" t="n">
        <f aca="false">CO11+CP8</f>
        <v>102.774734161776</v>
      </c>
      <c r="CQ11" s="13" t="n">
        <f aca="false">CP11+CQ8</f>
        <v>151.499363424782</v>
      </c>
      <c r="CR11" s="13" t="n">
        <f aca="false">CQ11+CR8</f>
        <v>192.622340951109</v>
      </c>
      <c r="CS11" s="13" t="n">
        <f aca="false">CR11+CS8</f>
        <v>232.633528165693</v>
      </c>
      <c r="CT11" s="13" t="n">
        <f aca="false">CS11+CT8</f>
        <v>272.980159666068</v>
      </c>
      <c r="CU11" s="13" t="n">
        <f aca="false">CT11+CU8</f>
        <v>313.07066148357</v>
      </c>
      <c r="CV11" s="13" t="n">
        <f aca="false">CU11+CV8</f>
        <v>359.917234158123</v>
      </c>
      <c r="CW11" s="13" t="n">
        <f aca="false">CV11+CW8</f>
        <v>402.323216392751</v>
      </c>
      <c r="CX11" s="13" t="n">
        <f aca="false">CW11+CX8</f>
        <v>444.782912860855</v>
      </c>
      <c r="CY11" s="13" t="n">
        <f aca="false">CX11+CY8</f>
        <v>486.800615856082</v>
      </c>
      <c r="CZ11" s="13" t="n">
        <f aca="false">CY11+CZ8</f>
        <v>529.473954166803</v>
      </c>
      <c r="DA11" s="13" t="n">
        <f aca="false">CZ11+DA8</f>
        <v>571.688643107377</v>
      </c>
      <c r="DB11" s="13" t="n">
        <f aca="false">DA11+DB8</f>
        <v>614.485565599657</v>
      </c>
      <c r="DC11" s="13" t="n">
        <f aca="false">DB11+DC8</f>
        <v>656.492984140772</v>
      </c>
      <c r="DD11" s="13" t="n">
        <f aca="false">DC11+DD8</f>
        <v>699.748689863082</v>
      </c>
      <c r="DE11" s="13" t="n">
        <f aca="false">DD11+DE8</f>
        <v>739.584710076599</v>
      </c>
      <c r="DF11" s="13" t="n">
        <f aca="false">DE11+DF8</f>
        <v>773.24690838873</v>
      </c>
      <c r="DG11" s="13" t="n">
        <f aca="false">DF11+DG8</f>
        <v>806.447902731124</v>
      </c>
      <c r="DH11" s="13" t="n">
        <f aca="false">DG11+DH8</f>
        <v>840.315480979811</v>
      </c>
      <c r="DI11" s="13" t="n">
        <f aca="false">DH11+DI8</f>
        <v>873.696426607439</v>
      </c>
      <c r="DJ11" s="13" t="n">
        <f aca="false">DI11+DJ8</f>
        <v>907.662664694961</v>
      </c>
      <c r="DK11" s="13" t="n">
        <f aca="false">DJ11+DK8</f>
        <v>941.361069165194</v>
      </c>
      <c r="DL11" s="13" t="n">
        <f aca="false">DK11+DL8</f>
        <v>983.092432076507</v>
      </c>
      <c r="DM11" s="13" t="n">
        <f aca="false">DL11+DM8</f>
        <v>1019.55228960079</v>
      </c>
      <c r="DN11" s="13" t="n">
        <f aca="false">DM11+DN8</f>
        <v>1056.66068543048</v>
      </c>
      <c r="DO11" s="13" t="n">
        <f aca="false">DN11+DO8</f>
        <v>1109.74123906737</v>
      </c>
      <c r="DP11" s="13" t="n">
        <f aca="false">DO11+DP8</f>
        <v>1109.74123906737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0.125412242079792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0.106229479414503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0.111769150353282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-54.6045851475661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1.30330028783726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1.49194512474653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1.38458928528038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1.80529643069645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0.125412242079792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0.106229479414503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-54.6045851475661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2026-10-03T21:27:51Z</dcterms:created>
  <dc:creator>openpyxl</dc:creator>
  <dc:description/>
  <dc:language>en-US</dc:language>
  <cp:lastModifiedBy/>
  <dcterms:modified xsi:type="dcterms:W3CDTF">2026-10-03T21:27:52Z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