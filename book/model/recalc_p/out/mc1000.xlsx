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<sst xmlns="http://schemas.openxmlformats.org/spreadsheetml/2006/main" count="3605" uniqueCount="2018">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</sst>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1000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1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1.00000227879102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519.400049316782</v>
      </c>
      <c r="K16" s="13" t="n">
        <f aca="false">IF(Inputs!$F$33=1,Inputs!$F$60*Time!$F$16^((K8-Inputs!$F$212)/12),INDEX(Operations!$J$11:$BN$11,1,K12))</f>
        <v>519.40014795036</v>
      </c>
      <c r="L16" s="13" t="n">
        <f aca="false">IF(Inputs!$F$33=1,Inputs!$F$60*Time!$F$16^((L8-Inputs!$F$212)/12),INDEX(Operations!$J$11:$BN$11,1,L12))</f>
        <v>519.400246583956</v>
      </c>
      <c r="M16" s="13" t="n">
        <f aca="false">IF(Inputs!$F$33=1,Inputs!$F$60*Time!$F$16^((M8-Inputs!$F$212)/12),INDEX(Operations!$J$11:$BN$11,1,M12))</f>
        <v>519.400345217572</v>
      </c>
      <c r="N16" s="13" t="n">
        <f aca="false">IF(Inputs!$F$33=1,Inputs!$F$60*Time!$F$16^((N8-Inputs!$F$212)/12),INDEX(Operations!$J$11:$BN$11,1,N12))</f>
        <v>519.400443851205</v>
      </c>
      <c r="O16" s="13" t="n">
        <f aca="false">IF(Inputs!$F$33=1,Inputs!$F$60*Time!$F$16^((O8-Inputs!$F$212)/12),INDEX(Operations!$J$11:$BN$11,1,O12))</f>
        <v>519.400542484858</v>
      </c>
      <c r="P16" s="13" t="n">
        <f aca="false">IF(Inputs!$F$33=1,Inputs!$F$60*Time!$F$16^((P8-Inputs!$F$212)/12),INDEX(Operations!$J$11:$BN$11,1,P12))</f>
        <v>519.40064111853</v>
      </c>
      <c r="Q16" s="13" t="n">
        <f aca="false">IF(Inputs!$F$33=1,Inputs!$F$60*Time!$F$16^((Q8-Inputs!$F$212)/12),INDEX(Operations!$J$11:$BN$11,1,Q12))</f>
        <v>519.40073975222</v>
      </c>
      <c r="R16" s="13" t="n">
        <f aca="false">IF(Inputs!$F$33=1,Inputs!$F$60*Time!$F$16^((R8-Inputs!$F$212)/12),INDEX(Operations!$J$11:$BN$11,1,R12))</f>
        <v>519.400838385929</v>
      </c>
      <c r="S16" s="13" t="n">
        <f aca="false">IF(Inputs!$F$33=1,Inputs!$F$60*Time!$F$16^((S8-Inputs!$F$212)/12),INDEX(Operations!$J$11:$BN$11,1,S12))</f>
        <v>519.400937019656</v>
      </c>
      <c r="T16" s="13" t="n">
        <f aca="false">IF(Inputs!$F$33=1,Inputs!$F$60*Time!$F$16^((T8-Inputs!$F$212)/12),INDEX(Operations!$J$11:$BN$11,1,T12))</f>
        <v>519.401035653403</v>
      </c>
      <c r="U16" s="13" t="n">
        <f aca="false">IF(Inputs!$F$33=1,Inputs!$F$60*Time!$F$16^((U8-Inputs!$F$212)/12),INDEX(Operations!$J$11:$BN$11,1,U12))</f>
        <v>519.401134287168</v>
      </c>
      <c r="V16" s="13" t="n">
        <f aca="false">IF(Inputs!$F$33=1,Inputs!$F$60*Time!$F$16^((V8-Inputs!$F$212)/12),INDEX(Operations!$J$11:$BN$11,1,V12))</f>
        <v>519.401232920952</v>
      </c>
      <c r="W16" s="13" t="n">
        <f aca="false">IF(Inputs!$F$33=1,Inputs!$F$60*Time!$F$16^((W8-Inputs!$F$212)/12),INDEX(Operations!$J$11:$BN$11,1,W12))</f>
        <v>519.401331554754</v>
      </c>
      <c r="X16" s="13" t="n">
        <f aca="false">IF(Inputs!$F$33=1,Inputs!$F$60*Time!$F$16^((X8-Inputs!$F$212)/12),INDEX(Operations!$J$11:$BN$11,1,X12))</f>
        <v>519.401430188575</v>
      </c>
      <c r="Y16" s="13" t="n">
        <f aca="false">IF(Inputs!$F$33=1,Inputs!$F$60*Time!$F$16^((Y8-Inputs!$F$212)/12),INDEX(Operations!$J$11:$BN$11,1,Y12))</f>
        <v>519.401528822416</v>
      </c>
      <c r="Z16" s="13" t="n">
        <f aca="false">IF(Inputs!$F$33=1,Inputs!$F$60*Time!$F$16^((Z8-Inputs!$F$212)/12),INDEX(Operations!$J$11:$BN$11,1,Z12))</f>
        <v>519.401627456274</v>
      </c>
      <c r="AA16" s="13" t="n">
        <f aca="false">IF(Inputs!$F$33=1,Inputs!$F$60*Time!$F$16^((AA8-Inputs!$F$212)/12),INDEX(Operations!$J$11:$BN$11,1,AA12))</f>
        <v>519.401726090152</v>
      </c>
      <c r="AB16" s="13" t="n">
        <f aca="false">IF(Inputs!$F$33=1,Inputs!$F$60*Time!$F$16^((AB8-Inputs!$F$212)/12),INDEX(Operations!$J$11:$BN$11,1,AB12))</f>
        <v>519.401824724048</v>
      </c>
      <c r="AC16" s="13" t="n">
        <f aca="false">IF(Inputs!$F$33=1,Inputs!$F$60*Time!$F$16^((AC8-Inputs!$F$212)/12),INDEX(Operations!$J$11:$BN$11,1,AC12))</f>
        <v>519.401923357963</v>
      </c>
      <c r="AD16" s="13" t="n">
        <f aca="false">IF(Inputs!$F$33=1,Inputs!$F$60*Time!$F$16^((AD8-Inputs!$F$212)/12),INDEX(Operations!$J$11:$BN$11,1,AD12))</f>
        <v>519.402021991897</v>
      </c>
      <c r="AE16" s="13" t="n">
        <f aca="false">IF(Inputs!$F$33=1,Inputs!$F$60*Time!$F$16^((AE8-Inputs!$F$212)/12),INDEX(Operations!$J$11:$BN$11,1,AE12))</f>
        <v>519.402120625849</v>
      </c>
      <c r="AF16" s="13" t="n">
        <f aca="false">IF(Inputs!$F$33=1,Inputs!$F$60*Time!$F$16^((AF8-Inputs!$F$212)/12),INDEX(Operations!$J$11:$BN$11,1,AF12))</f>
        <v>519.40221925982</v>
      </c>
      <c r="AG16" s="13" t="n">
        <f aca="false">IF(Inputs!$F$33=1,Inputs!$F$60*Time!$F$16^((AG8-Inputs!$F$212)/12),INDEX(Operations!$J$11:$BN$11,1,AG12))</f>
        <v>519.40231789381</v>
      </c>
      <c r="AH16" s="13" t="n">
        <f aca="false">IF(Inputs!$F$33=1,Inputs!$F$60*Time!$F$16^((AH8-Inputs!$F$212)/12),INDEX(Operations!$J$11:$BN$11,1,AH12))</f>
        <v>519.402416527819</v>
      </c>
      <c r="AI16" s="13" t="n">
        <f aca="false">IF(Inputs!$F$33=1,Inputs!$F$60*Time!$F$16^((AI8-Inputs!$F$212)/12),INDEX(Operations!$J$11:$BN$11,1,AI12))</f>
        <v>519.402515161846</v>
      </c>
      <c r="AJ16" s="13" t="n">
        <f aca="false">IF(Inputs!$F$33=1,Inputs!$F$60*Time!$F$16^((AJ8-Inputs!$F$212)/12),INDEX(Operations!$J$11:$BN$11,1,AJ12))</f>
        <v>519.402613795892</v>
      </c>
      <c r="AK16" s="13" t="n">
        <f aca="false">IF(Inputs!$F$33=1,Inputs!$F$60*Time!$F$16^((AK8-Inputs!$F$212)/12),INDEX(Operations!$J$11:$BN$11,1,AK12))</f>
        <v>519.402712429957</v>
      </c>
      <c r="AL16" s="13" t="n">
        <f aca="false">IF(Inputs!$F$33=1,Inputs!$F$60*Time!$F$16^((AL8-Inputs!$F$212)/12),INDEX(Operations!$J$11:$BN$11,1,AL12))</f>
        <v>519.40281106404</v>
      </c>
      <c r="AM16" s="13" t="n">
        <f aca="false">IF(Inputs!$F$33=1,Inputs!$F$60*Time!$F$16^((AM8-Inputs!$F$212)/12),INDEX(Operations!$J$11:$BN$11,1,AM12))</f>
        <v>519.402909698142</v>
      </c>
      <c r="AN16" s="13" t="n">
        <f aca="false">IF(Inputs!$F$33=1,Inputs!$F$60*Time!$F$16^((AN8-Inputs!$F$212)/12),INDEX(Operations!$J$11:$BN$11,1,AN12))</f>
        <v>519.403008332263</v>
      </c>
      <c r="AO16" s="13" t="n">
        <f aca="false">IF(Inputs!$F$33=1,Inputs!$F$60*Time!$F$16^((AO8-Inputs!$F$212)/12),INDEX(Operations!$J$11:$BN$11,1,AO12))</f>
        <v>519.403106966403</v>
      </c>
      <c r="AP16" s="13" t="n">
        <f aca="false">IF(Inputs!$F$33=1,Inputs!$F$60*Time!$F$16^((AP8-Inputs!$F$212)/12),INDEX(Operations!$J$11:$BN$11,1,AP12))</f>
        <v>519.403205600562</v>
      </c>
      <c r="AQ16" s="13" t="n">
        <f aca="false">IF(Inputs!$F$33=1,Inputs!$F$60*Time!$F$16^((AQ8-Inputs!$F$212)/12),INDEX(Operations!$J$11:$BN$11,1,AQ12))</f>
        <v>519.403304234739</v>
      </c>
      <c r="AR16" s="13" t="n">
        <f aca="false">IF(Inputs!$F$33=1,Inputs!$F$60*Time!$F$16^((AR8-Inputs!$F$212)/12),INDEX(Operations!$J$11:$BN$11,1,AR12))</f>
        <v>519.403402868935</v>
      </c>
      <c r="AS16" s="13" t="n">
        <f aca="false">IF(Inputs!$F$33=1,Inputs!$F$60*Time!$F$16^((AS8-Inputs!$F$212)/12),INDEX(Operations!$J$11:$BN$11,1,AS12))</f>
        <v>519.403501503149</v>
      </c>
      <c r="AT16" s="13" t="n">
        <f aca="false">IF(Inputs!$F$33=1,Inputs!$F$60*Time!$F$16^((AT8-Inputs!$F$212)/12),INDEX(Operations!$J$11:$BN$11,1,AT12))</f>
        <v>519.403600137383</v>
      </c>
      <c r="AU16" s="13" t="n">
        <f aca="false">IF(Inputs!$F$33=1,Inputs!$F$60*Time!$F$16^((AU8-Inputs!$F$212)/12),INDEX(Operations!$J$11:$BN$11,1,AU12))</f>
        <v>519.403698771635</v>
      </c>
      <c r="AV16" s="13" t="n">
        <f aca="false">IF(Inputs!$F$33=1,Inputs!$F$60*Time!$F$16^((AV8-Inputs!$F$212)/12),INDEX(Operations!$J$11:$BN$11,1,AV12))</f>
        <v>519.403797405906</v>
      </c>
      <c r="AW16" s="13" t="n">
        <f aca="false">IF(Inputs!$F$33=1,Inputs!$F$60*Time!$F$16^((AW8-Inputs!$F$212)/12),INDEX(Operations!$J$11:$BN$11,1,AW12))</f>
        <v>519.403896040195</v>
      </c>
      <c r="AX16" s="13" t="n">
        <f aca="false">IF(Inputs!$F$33=1,Inputs!$F$60*Time!$F$16^((AX8-Inputs!$F$212)/12),INDEX(Operations!$J$11:$BN$11,1,AX12))</f>
        <v>519.403994674503</v>
      </c>
      <c r="AY16" s="13" t="n">
        <f aca="false">IF(Inputs!$F$33=1,Inputs!$F$60*Time!$F$16^((AY8-Inputs!$F$212)/12),INDEX(Operations!$J$11:$BN$11,1,AY12))</f>
        <v>519.40409330883</v>
      </c>
      <c r="AZ16" s="13" t="n">
        <f aca="false">IF(Inputs!$F$33=1,Inputs!$F$60*Time!$F$16^((AZ8-Inputs!$F$212)/12),INDEX(Operations!$J$11:$BN$11,1,AZ12))</f>
        <v>519.404191943176</v>
      </c>
      <c r="BA16" s="13" t="n">
        <f aca="false">IF(Inputs!$F$33=1,Inputs!$F$60*Time!$F$16^((BA8-Inputs!$F$212)/12),INDEX(Operations!$J$11:$BN$11,1,BA12))</f>
        <v>519.404290577541</v>
      </c>
      <c r="BB16" s="13" t="n">
        <f aca="false">IF(Inputs!$F$33=1,Inputs!$F$60*Time!$F$16^((BB8-Inputs!$F$212)/12),INDEX(Operations!$J$11:$BN$11,1,BB12))</f>
        <v>519.404389211924</v>
      </c>
      <c r="BC16" s="13" t="n">
        <f aca="false">IF(Inputs!$F$33=1,Inputs!$F$60*Time!$F$16^((BC8-Inputs!$F$212)/12),INDEX(Operations!$J$11:$BN$11,1,BC12))</f>
        <v>519.404487846326</v>
      </c>
      <c r="BD16" s="13" t="n">
        <f aca="false">IF(Inputs!$F$33=1,Inputs!$F$60*Time!$F$16^((BD8-Inputs!$F$212)/12),INDEX(Operations!$J$11:$BN$11,1,BD12))</f>
        <v>519.404586480746</v>
      </c>
      <c r="BE16" s="13" t="n">
        <f aca="false">IF(Inputs!$F$33=1,Inputs!$F$60*Time!$F$16^((BE8-Inputs!$F$212)/12),INDEX(Operations!$J$11:$BN$11,1,BE12))</f>
        <v>519.404685115186</v>
      </c>
      <c r="BF16" s="13" t="n">
        <f aca="false">IF(Inputs!$F$33=1,Inputs!$F$60*Time!$F$16^((BF8-Inputs!$F$212)/12),INDEX(Operations!$J$11:$BN$11,1,BF12))</f>
        <v>519.404783749644</v>
      </c>
      <c r="BG16" s="13" t="n">
        <f aca="false">IF(Inputs!$F$33=1,Inputs!$F$60*Time!$F$16^((BG8-Inputs!$F$212)/12),INDEX(Operations!$J$11:$BN$11,1,BG12))</f>
        <v>519.404882384121</v>
      </c>
      <c r="BH16" s="13" t="n">
        <f aca="false">IF(Inputs!$F$33=1,Inputs!$F$60*Time!$F$16^((BH8-Inputs!$F$212)/12),INDEX(Operations!$J$11:$BN$11,1,BH12))</f>
        <v>519.404981018616</v>
      </c>
      <c r="BI16" s="13" t="n">
        <f aca="false">IF(Inputs!$F$33=1,Inputs!$F$60*Time!$F$16^((BI8-Inputs!$F$212)/12),INDEX(Operations!$J$11:$BN$11,1,BI12))</f>
        <v>519.405079653131</v>
      </c>
      <c r="BJ16" s="13" t="n">
        <f aca="false">IF(Inputs!$F$33=1,Inputs!$F$60*Time!$F$16^((BJ8-Inputs!$F$212)/12),INDEX(Operations!$J$11:$BN$11,1,BJ12))</f>
        <v>519.405178287664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1.78875569918728</v>
      </c>
      <c r="J38" s="13" t="n">
        <f aca="false">I37*(J18+Inputs!$F$71)/100*J11/Inputs!$F$248/J16</f>
        <v>0</v>
      </c>
      <c r="K38" s="13" t="n">
        <f aca="false">J37*(K18+Inputs!$F$71)/100*K11/Inputs!$F$248/K16</f>
        <v>0.0195690026449752</v>
      </c>
      <c r="L38" s="13" t="n">
        <f aca="false">K37*(L18+Inputs!$F$71)/100*L11/Inputs!$F$248/L16</f>
        <v>0.0202431378959401</v>
      </c>
      <c r="M38" s="13" t="n">
        <f aca="false">L37*(M18+Inputs!$F$71)/100*M11/Inputs!$F$248/M16</f>
        <v>0.0198118464432968</v>
      </c>
      <c r="N38" s="13" t="n">
        <f aca="false">M37*(N18+Inputs!$F$71)/100*N11/Inputs!$F$248/N16</f>
        <v>0.0211272050594747</v>
      </c>
      <c r="O38" s="13" t="n">
        <f aca="false">N37*(O18+Inputs!$F$71)/100*O11/Inputs!$F$248/O16</f>
        <v>0.0223999288747036</v>
      </c>
      <c r="P38" s="13" t="n">
        <f aca="false">O37*(P18+Inputs!$F$71)/100*P11/Inputs!$F$248/P16</f>
        <v>0.0220794498919526</v>
      </c>
      <c r="Q38" s="13" t="n">
        <f aca="false">P37*(Q18+Inputs!$F$71)/100*Q11/Inputs!$F$248/Q16</f>
        <v>0.027376377299732</v>
      </c>
      <c r="R38" s="13" t="n">
        <f aca="false">Q37*(R18+Inputs!$F$71)/100*R11/Inputs!$F$248/R16</f>
        <v>0.0302575516684748</v>
      </c>
      <c r="S38" s="13" t="n">
        <f aca="false">R37*(S18+Inputs!$F$71)/100*S11/Inputs!$F$248/S16</f>
        <v>0.0361461303616075</v>
      </c>
      <c r="T38" s="13" t="n">
        <f aca="false">S37*(T18+Inputs!$F$71)/100*T11/Inputs!$F$248/T16</f>
        <v>0.021085955692159</v>
      </c>
      <c r="U38" s="13" t="n">
        <f aca="false">T37*(U18+Inputs!$F$71)/100*U11/Inputs!$F$248/U16</f>
        <v>0.0285732531406266</v>
      </c>
      <c r="V38" s="13" t="n">
        <f aca="false">U37*(V18+Inputs!$F$71)/100*V11/Inputs!$F$248/V16</f>
        <v>0.0360195246785806</v>
      </c>
      <c r="W38" s="13" t="n">
        <f aca="false">V37*(W18+Inputs!$F$71)/100*W11/Inputs!$F$248/W16</f>
        <v>0.0423947777913146</v>
      </c>
      <c r="X38" s="13" t="n">
        <f aca="false">W37*(X18+Inputs!$F$71)/100*X11/Inputs!$F$248/X16</f>
        <v>0.0516216230314609</v>
      </c>
      <c r="Y38" s="13" t="n">
        <f aca="false">X37*(Y18+Inputs!$F$71)/100*Y11/Inputs!$F$248/Y16</f>
        <v>0.057253857274002</v>
      </c>
      <c r="Z38" s="13" t="n">
        <f aca="false">Y37*(Z18+Inputs!$F$71)/100*Z11/Inputs!$F$248/Z16</f>
        <v>0.0661578477020771</v>
      </c>
      <c r="AA38" s="13" t="n">
        <f aca="false">Z37*(AA18+Inputs!$F$71)/100*AA11/Inputs!$F$248/AA16</f>
        <v>0.0723677783398901</v>
      </c>
      <c r="AB38" s="13" t="n">
        <f aca="false">AA37*(AB18+Inputs!$F$71)/100*AB11/Inputs!$F$248/AB16</f>
        <v>0.0725818292261911</v>
      </c>
      <c r="AC38" s="13" t="n">
        <f aca="false">AB37*(AC18+Inputs!$F$71)/100*AC11/Inputs!$F$248/AC16</f>
        <v>0.0816503081448707</v>
      </c>
      <c r="AD38" s="13" t="n">
        <f aca="false">AC37*(AD18+Inputs!$F$71)/100*AD11/Inputs!$F$248/AD16</f>
        <v>0.0817063576298479</v>
      </c>
      <c r="AE38" s="13" t="n">
        <f aca="false">AD37*(AE18+Inputs!$F$71)/100*AE11/Inputs!$F$248/AE16</f>
        <v>0.0858409239966371</v>
      </c>
      <c r="AF38" s="13" t="n">
        <f aca="false">AE37*(AF18+Inputs!$F$71)/100*AF11/Inputs!$F$248/AF16</f>
        <v>0.0830718461569645</v>
      </c>
      <c r="AG38" s="13" t="n">
        <f aca="false">AF37*(AG18+Inputs!$F$71)/100*AG11/Inputs!$F$248/AG16</f>
        <v>0.0844298547847184</v>
      </c>
      <c r="AH38" s="13" t="n">
        <f aca="false">AG37*(AH18+Inputs!$F$71)/100*AH11/Inputs!$F$248/AH16</f>
        <v>0.0816502306183337</v>
      </c>
      <c r="AI38" s="13" t="n">
        <f aca="false">AH37*(AI18+Inputs!$F$71)/100*AI11/Inputs!$F$248/AI16</f>
        <v>0.0750845511141927</v>
      </c>
      <c r="AJ38" s="13" t="n">
        <f aca="false">AI37*(AJ18+Inputs!$F$71)/100*AJ11/Inputs!$F$248/AJ16</f>
        <v>0.072367654656854</v>
      </c>
      <c r="AK38" s="13" t="n">
        <f aca="false">AJ37*(AK18+Inputs!$F$71)/100*AK11/Inputs!$F$248/AK16</f>
        <v>0.0640235898443179</v>
      </c>
      <c r="AL38" s="13" t="n">
        <f aca="false">AK37*(AL18+Inputs!$F$71)/100*AL11/Inputs!$F$248/AL16</f>
        <v>0.0591621731300401</v>
      </c>
      <c r="AM38" s="13" t="n">
        <f aca="false">AL37*(AM18+Inputs!$F$71)/100*AM11/Inputs!$F$248/AM16</f>
        <v>0.051621475988224</v>
      </c>
      <c r="AN38" s="13" t="n">
        <f aca="false">AM37*(AN18+Inputs!$F$71)/100*AN11/Inputs!$F$248/AN16</f>
        <v>0.0395683315338915</v>
      </c>
      <c r="AO38" s="13" t="n">
        <f aca="false">AN37*(AO18+Inputs!$F$71)/100*AO11/Inputs!$F$248/AO16</f>
        <v>0.0360193947174281</v>
      </c>
      <c r="AP38" s="13" t="n">
        <f aca="false">AO37*(AP18+Inputs!$F$71)/100*AP11/Inputs!$F$248/AP16</f>
        <v>0.0276514250266029</v>
      </c>
      <c r="AQ38" s="13" t="n">
        <f aca="false">AP37*(AQ18+Inputs!$F$71)/100*AQ11/Inputs!$F$248/AQ16</f>
        <v>0.0369546106055504</v>
      </c>
      <c r="AR38" s="13" t="n">
        <f aca="false">AQ37*(AR18+Inputs!$F$71)/100*AR11/Inputs!$F$248/AR16</f>
        <v>0.0300877400862547</v>
      </c>
      <c r="AS38" s="13" t="n">
        <f aca="false">AR37*(AS18+Inputs!$F$71)/100*AS11/Inputs!$F$248/AS16</f>
        <v>0.0262106833711123</v>
      </c>
      <c r="AT38" s="13" t="n">
        <f aca="false">AS37*(AT18+Inputs!$F$71)/100*AT11/Inputs!$F$248/AT16</f>
        <v>0.02232093445312</v>
      </c>
      <c r="AU38" s="13" t="n">
        <f aca="false">AT37*(AU18+Inputs!$F$71)/100*AU11/Inputs!$F$248/AU16</f>
        <v>0.0187641969768706</v>
      </c>
      <c r="AV38" s="13" t="n">
        <f aca="false">AU37*(AV18+Inputs!$F$71)/100*AV11/Inputs!$F$248/AV16</f>
        <v>0.0173444983388665</v>
      </c>
      <c r="AW38" s="13" t="n">
        <f aca="false">AV37*(AW18+Inputs!$F$71)/100*AW11/Inputs!$F$248/AW16</f>
        <v>0.0155533310664437</v>
      </c>
      <c r="AX38" s="13" t="n">
        <f aca="false">AW37*(AX18+Inputs!$F$71)/100*AX11/Inputs!$F$248/AX16</f>
        <v>0.0154168092385002</v>
      </c>
      <c r="AY38" s="13" t="n">
        <f aca="false">AX37*(AY18+Inputs!$F$71)/100*AY11/Inputs!$F$248/AY16</f>
        <v>0.0151877006911809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519.400295900761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519.40088770279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519.401479505493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519.40207130887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519.402663112922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519.403254917648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519.403846723048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519.404438529122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519.405030335871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519.405622143294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519.406213951392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519.406805760163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519.407397569609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519.407989379729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519.408581190524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519.409173001993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519.409764814136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519.410356626954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519.410948440446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519.411540254612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519.412132069452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519.412723884967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519.413315701156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519.413907518019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519.414499335557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519.415091153769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519.415682972655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519.416274792216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519.416866612451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519.41745843336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519.418050254944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519.418642077201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519.419233900134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519.41982572374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519.420417548021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519.421009372976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519.421601198606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519.42219302491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519.422784851888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519.42337667954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519.423968507867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519.424560336868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519.425152166544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519.425743996893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519.426335827917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519.426927659616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519.427519491989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519.428111325036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519.428703158757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519.429294993153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519.429886828223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519.430478663967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519.431070500386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519.431662337479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519.432254175247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519.432846013688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519.433437852804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519.400295900761</v>
      </c>
      <c r="K11" s="13" t="n">
        <f aca="false">K10/(1-Inputs!$F$43*Time!K39)</f>
        <v>519.40088770279</v>
      </c>
      <c r="L11" s="13" t="n">
        <f aca="false">L10/(1-Inputs!$F$43*Time!L39)</f>
        <v>519.401479505493</v>
      </c>
      <c r="M11" s="13" t="n">
        <f aca="false">M10/(1-Inputs!$F$43*Time!M39)</f>
        <v>519.40207130887</v>
      </c>
      <c r="N11" s="13" t="n">
        <f aca="false">N10/(1-Inputs!$F$43*Time!N39)</f>
        <v>519.402663112922</v>
      </c>
      <c r="O11" s="13" t="n">
        <f aca="false">O10/(1-Inputs!$F$43*Time!O39)</f>
        <v>519.403254917648</v>
      </c>
      <c r="P11" s="13" t="n">
        <f aca="false">P10/(1-Inputs!$F$43*Time!P39)</f>
        <v>519.403846723048</v>
      </c>
      <c r="Q11" s="13" t="n">
        <f aca="false">Q10/(1-Inputs!$F$43*Time!Q39)</f>
        <v>519.404438529122</v>
      </c>
      <c r="R11" s="13" t="n">
        <f aca="false">R10/(1-Inputs!$F$43*Time!R39)</f>
        <v>519.405030335871</v>
      </c>
      <c r="S11" s="13" t="n">
        <f aca="false">S10/(1-Inputs!$F$43*Time!S39)</f>
        <v>519.405622143294</v>
      </c>
      <c r="T11" s="13" t="n">
        <f aca="false">T10/(1-Inputs!$F$43*Time!T39)</f>
        <v>519.406213951392</v>
      </c>
      <c r="U11" s="13" t="n">
        <f aca="false">U10/(1-Inputs!$F$43*Time!U39)</f>
        <v>519.406805760163</v>
      </c>
      <c r="V11" s="13" t="n">
        <f aca="false">V10/(1-Inputs!$F$43*Time!V39)</f>
        <v>519.407397569609</v>
      </c>
      <c r="W11" s="13" t="n">
        <f aca="false">W10/(1-Inputs!$F$43*Time!W39)</f>
        <v>519.407989379729</v>
      </c>
      <c r="X11" s="13" t="n">
        <f aca="false">X10/(1-Inputs!$F$43*Time!X39)</f>
        <v>519.408581190524</v>
      </c>
      <c r="Y11" s="13" t="n">
        <f aca="false">Y10/(1-Inputs!$F$43*Time!Y39)</f>
        <v>519.409173001993</v>
      </c>
      <c r="Z11" s="13" t="n">
        <f aca="false">Z10/(1-Inputs!$F$43*Time!Z39)</f>
        <v>519.409764814136</v>
      </c>
      <c r="AA11" s="13" t="n">
        <f aca="false">AA10/(1-Inputs!$F$43*Time!AA39)</f>
        <v>519.410356626954</v>
      </c>
      <c r="AB11" s="13" t="n">
        <f aca="false">AB10/(1-Inputs!$F$43*Time!AB39)</f>
        <v>519.410948440446</v>
      </c>
      <c r="AC11" s="13" t="n">
        <f aca="false">AC10/(1-Inputs!$F$43*Time!AC39)</f>
        <v>519.411540254612</v>
      </c>
      <c r="AD11" s="13" t="n">
        <f aca="false">AD10/(1-Inputs!$F$43*Time!AD39)</f>
        <v>519.412132069452</v>
      </c>
      <c r="AE11" s="13" t="n">
        <f aca="false">AE10/(1-Inputs!$F$43*Time!AE39)</f>
        <v>519.412723884967</v>
      </c>
      <c r="AF11" s="13" t="n">
        <f aca="false">AF10/(1-Inputs!$F$43*Time!AF39)</f>
        <v>519.413315701156</v>
      </c>
      <c r="AG11" s="13" t="n">
        <f aca="false">AG10/(1-Inputs!$F$43*Time!AG39)</f>
        <v>519.413907518019</v>
      </c>
      <c r="AH11" s="13" t="n">
        <f aca="false">AH10/(1-Inputs!$F$43*Time!AH39)</f>
        <v>519.414499335557</v>
      </c>
      <c r="AI11" s="13" t="n">
        <f aca="false">AI10/(1-Inputs!$F$43*Time!AI39)</f>
        <v>519.415091153769</v>
      </c>
      <c r="AJ11" s="13" t="n">
        <f aca="false">AJ10/(1-Inputs!$F$43*Time!AJ39)</f>
        <v>519.415682972655</v>
      </c>
      <c r="AK11" s="13" t="n">
        <f aca="false">AK10/(1-Inputs!$F$43*Time!AK39)</f>
        <v>519.416274792216</v>
      </c>
      <c r="AL11" s="13" t="n">
        <f aca="false">AL10/(1-Inputs!$F$43*Time!AL39)</f>
        <v>519.416866612451</v>
      </c>
      <c r="AM11" s="13" t="n">
        <f aca="false">AM10/(1-Inputs!$F$43*Time!AM39)</f>
        <v>519.41745843336</v>
      </c>
      <c r="AN11" s="13" t="n">
        <f aca="false">AN10/(1-Inputs!$F$43*Time!AN39)</f>
        <v>519.418050254944</v>
      </c>
      <c r="AO11" s="13" t="n">
        <f aca="false">AO10/(1-Inputs!$F$43*Time!AO39)</f>
        <v>519.418642077201</v>
      </c>
      <c r="AP11" s="13" t="n">
        <f aca="false">AP10/(1-Inputs!$F$43*Time!AP39)</f>
        <v>519.419233900134</v>
      </c>
      <c r="AQ11" s="13" t="n">
        <f aca="false">AQ10/(1-Inputs!$F$43*Time!AQ39)</f>
        <v>519.41982572374</v>
      </c>
      <c r="AR11" s="13" t="n">
        <f aca="false">AR10/(1-Inputs!$F$43*Time!AR39)</f>
        <v>519.420417548021</v>
      </c>
      <c r="AS11" s="13" t="n">
        <f aca="false">AS10/(1-Inputs!$F$43*Time!AS39)</f>
        <v>519.421009372976</v>
      </c>
      <c r="AT11" s="13" t="n">
        <f aca="false">AT10/(1-Inputs!$F$43*Time!AT39)</f>
        <v>519.421601198606</v>
      </c>
      <c r="AU11" s="13" t="n">
        <f aca="false">AU10/(1-Inputs!$F$43*Time!AU39)</f>
        <v>519.42219302491</v>
      </c>
      <c r="AV11" s="13" t="n">
        <f aca="false">AV10/(1-Inputs!$F$43*Time!AV39)</f>
        <v>519.422784851888</v>
      </c>
      <c r="AW11" s="13" t="n">
        <f aca="false">AW10/(1-Inputs!$F$43*Time!AW39)</f>
        <v>519.42337667954</v>
      </c>
      <c r="AX11" s="13" t="n">
        <f aca="false">AX10/(1-Inputs!$F$43*Time!AX39)</f>
        <v>519.423968507867</v>
      </c>
      <c r="AY11" s="13" t="n">
        <f aca="false">AY10/(1-Inputs!$F$43*Time!AY39)</f>
        <v>519.424560336868</v>
      </c>
      <c r="AZ11" s="13" t="n">
        <f aca="false">AZ10/(1-Inputs!$F$43*Time!AZ39)</f>
        <v>519.425152166544</v>
      </c>
      <c r="BA11" s="13" t="n">
        <f aca="false">BA10/(1-Inputs!$F$43*Time!BA39)</f>
        <v>519.425743996893</v>
      </c>
      <c r="BB11" s="13" t="n">
        <f aca="false">BB10/(1-Inputs!$F$43*Time!BB39)</f>
        <v>519.426335827917</v>
      </c>
      <c r="BC11" s="13" t="n">
        <f aca="false">BC10/(1-Inputs!$F$43*Time!BC39)</f>
        <v>519.426927659616</v>
      </c>
      <c r="BD11" s="13" t="n">
        <f aca="false">BD10/(1-Inputs!$F$43*Time!BD39)</f>
        <v>519.427519491989</v>
      </c>
      <c r="BE11" s="13" t="n">
        <f aca="false">BE10/(1-Inputs!$F$43*Time!BE39)</f>
        <v>519.428111325036</v>
      </c>
      <c r="BF11" s="13" t="n">
        <f aca="false">BF10/(1-Inputs!$F$43*Time!BF39)</f>
        <v>519.428703158757</v>
      </c>
      <c r="BG11" s="13" t="n">
        <f aca="false">BG10/(1-Inputs!$F$43*Time!BG39)</f>
        <v>519.429294993153</v>
      </c>
      <c r="BH11" s="13" t="n">
        <f aca="false">BH10/(1-Inputs!$F$43*Time!BH39)</f>
        <v>519.429886828223</v>
      </c>
      <c r="BI11" s="13" t="n">
        <f aca="false">BI10/(1-Inputs!$F$43*Time!BI39)</f>
        <v>519.430478663967</v>
      </c>
      <c r="BJ11" s="13" t="n">
        <f aca="false">BJ10/(1-Inputs!$F$43*Time!BJ39)</f>
        <v>519.431070500386</v>
      </c>
      <c r="BK11" s="13" t="n">
        <f aca="false">BK10/(1-Inputs!$F$43*Time!BK39)</f>
        <v>519.431662337479</v>
      </c>
      <c r="BL11" s="13" t="n">
        <f aca="false">BL10/(1-Inputs!$F$43*Time!BL39)</f>
        <v>519.432254175247</v>
      </c>
      <c r="BM11" s="13" t="n">
        <f aca="false">BM10/(1-Inputs!$F$43*Time!BM39)</f>
        <v>519.432846013688</v>
      </c>
      <c r="BN11" s="13" t="n">
        <f aca="false">BN10/(1-Inputs!$F$43*Time!BN39)</f>
        <v>519.433437852804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91.6795628952113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91.6795628952113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90.971429524041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89.5551627817006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90.7296578995182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93.0786481351533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92.6676833392763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91.8457537475222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93.2987053574295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96.204608577244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94.8303136178102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92.0817236989427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93.9613515754523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97.7206073284716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94.9282561758619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89.3435538706425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89.4698103958791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89.7223234463524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89.8093824544605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89.9835004706768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90.3445581290061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91.0666734456648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90.5147087208137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89.4107792711115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90.9431566810094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94.0079115008051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95.1066041806247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97.3039895402638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95.9288686156928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93.1786267665508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91.3732408757904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87.7624690942696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89.5122233466245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93.0117318513343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94.0717629909018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96.1918252700368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94.8213923413718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92.0805264840419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91.3442723075392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89.8717639545338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90.9845336257926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93.2100729683101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93.0875160244356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92.8424021366867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93.346730220175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94.3553863871515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92.0749529110412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87.5140859588206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89.2945420526837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92.85545424041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92.85545424041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91.6795628952113</v>
      </c>
      <c r="P32" s="13" t="n">
        <f aca="false">IF(Time!P30&gt;0,P31+Inputs!$F$37,0)</f>
        <v>91.6795628952113</v>
      </c>
      <c r="Q32" s="13" t="n">
        <f aca="false">IF(Time!Q30&gt;0,Q31+Inputs!$F$37,0)</f>
        <v>90.971429524041</v>
      </c>
      <c r="R32" s="13" t="n">
        <f aca="false">IF(Time!R30&gt;0,R31+Inputs!$F$37,0)</f>
        <v>89.5551627817006</v>
      </c>
      <c r="S32" s="13" t="n">
        <f aca="false">IF(Time!S30&gt;0,S31+Inputs!$F$37,0)</f>
        <v>90.7296578995182</v>
      </c>
      <c r="T32" s="13" t="n">
        <f aca="false">IF(Time!T30&gt;0,T31+Inputs!$F$37,0)</f>
        <v>93.0786481351533</v>
      </c>
      <c r="U32" s="13" t="n">
        <f aca="false">IF(Time!U30&gt;0,U31+Inputs!$F$37,0)</f>
        <v>92.6676833392763</v>
      </c>
      <c r="V32" s="13" t="n">
        <f aca="false">IF(Time!V30&gt;0,V31+Inputs!$F$37,0)</f>
        <v>91.8457537475222</v>
      </c>
      <c r="W32" s="13" t="n">
        <f aca="false">IF(Time!W30&gt;0,W31+Inputs!$F$37,0)</f>
        <v>93.2987053574295</v>
      </c>
      <c r="X32" s="13" t="n">
        <f aca="false">IF(Time!X30&gt;0,X31+Inputs!$F$37,0)</f>
        <v>96.204608577244</v>
      </c>
      <c r="Y32" s="13" t="n">
        <f aca="false">IF(Time!Y30&gt;0,Y31+Inputs!$F$37,0)</f>
        <v>94.8303136178102</v>
      </c>
      <c r="Z32" s="13" t="n">
        <f aca="false">IF(Time!Z30&gt;0,Z31+Inputs!$F$37,0)</f>
        <v>92.0817236989427</v>
      </c>
      <c r="AA32" s="13" t="n">
        <f aca="false">IF(Time!AA30&gt;0,AA31+Inputs!$F$37,0)</f>
        <v>93.9613515754523</v>
      </c>
      <c r="AB32" s="13" t="n">
        <f aca="false">IF(Time!AB30&gt;0,AB31+Inputs!$F$37,0)</f>
        <v>97.7206073284716</v>
      </c>
      <c r="AC32" s="13" t="n">
        <f aca="false">IF(Time!AC30&gt;0,AC31+Inputs!$F$37,0)</f>
        <v>94.9282561758619</v>
      </c>
      <c r="AD32" s="13" t="n">
        <f aca="false">IF(Time!AD30&gt;0,AD31+Inputs!$F$37,0)</f>
        <v>89.3435538706425</v>
      </c>
      <c r="AE32" s="13" t="n">
        <f aca="false">IF(Time!AE30&gt;0,AE31+Inputs!$F$37,0)</f>
        <v>89.4698103958791</v>
      </c>
      <c r="AF32" s="13" t="n">
        <f aca="false">IF(Time!AF30&gt;0,AF31+Inputs!$F$37,0)</f>
        <v>89.7223234463524</v>
      </c>
      <c r="AG32" s="13" t="n">
        <f aca="false">IF(Time!AG30&gt;0,AG31+Inputs!$F$37,0)</f>
        <v>89.8093824544605</v>
      </c>
      <c r="AH32" s="13" t="n">
        <f aca="false">IF(Time!AH30&gt;0,AH31+Inputs!$F$37,0)</f>
        <v>89.9835004706768</v>
      </c>
      <c r="AI32" s="13" t="n">
        <f aca="false">IF(Time!AI30&gt;0,AI31+Inputs!$F$37,0)</f>
        <v>90.3445581290061</v>
      </c>
      <c r="AJ32" s="13" t="n">
        <f aca="false">IF(Time!AJ30&gt;0,AJ31+Inputs!$F$37,0)</f>
        <v>91.0666734456648</v>
      </c>
      <c r="AK32" s="13" t="n">
        <f aca="false">IF(Time!AK30&gt;0,AK31+Inputs!$F$37,0)</f>
        <v>90.5147087208137</v>
      </c>
      <c r="AL32" s="13" t="n">
        <f aca="false">IF(Time!AL30&gt;0,AL31+Inputs!$F$37,0)</f>
        <v>89.4107792711115</v>
      </c>
      <c r="AM32" s="13" t="n">
        <f aca="false">IF(Time!AM30&gt;0,AM31+Inputs!$F$37,0)</f>
        <v>90.9431566810094</v>
      </c>
      <c r="AN32" s="13" t="n">
        <f aca="false">IF(Time!AN30&gt;0,AN31+Inputs!$F$37,0)</f>
        <v>94.0079115008051</v>
      </c>
      <c r="AO32" s="13" t="n">
        <f aca="false">IF(Time!AO30&gt;0,AO31+Inputs!$F$37,0)</f>
        <v>95.1066041806247</v>
      </c>
      <c r="AP32" s="13" t="n">
        <f aca="false">IF(Time!AP30&gt;0,AP31+Inputs!$F$37,0)</f>
        <v>97.3039895402638</v>
      </c>
      <c r="AQ32" s="13" t="n">
        <f aca="false">IF(Time!AQ30&gt;0,AQ31+Inputs!$F$37,0)</f>
        <v>95.9288686156928</v>
      </c>
      <c r="AR32" s="13" t="n">
        <f aca="false">IF(Time!AR30&gt;0,AR31+Inputs!$F$37,0)</f>
        <v>93.1786267665508</v>
      </c>
      <c r="AS32" s="13" t="n">
        <f aca="false">IF(Time!AS30&gt;0,AS31+Inputs!$F$37,0)</f>
        <v>91.3732408757904</v>
      </c>
      <c r="AT32" s="13" t="n">
        <f aca="false">IF(Time!AT30&gt;0,AT31+Inputs!$F$37,0)</f>
        <v>87.7624690942696</v>
      </c>
      <c r="AU32" s="13" t="n">
        <f aca="false">IF(Time!AU30&gt;0,AU31+Inputs!$F$37,0)</f>
        <v>89.5122233466245</v>
      </c>
      <c r="AV32" s="13" t="n">
        <f aca="false">IF(Time!AV30&gt;0,AV31+Inputs!$F$37,0)</f>
        <v>93.0117318513343</v>
      </c>
      <c r="AW32" s="13" t="n">
        <f aca="false">IF(Time!AW30&gt;0,AW31+Inputs!$F$37,0)</f>
        <v>94.0717629909018</v>
      </c>
      <c r="AX32" s="13" t="n">
        <f aca="false">IF(Time!AX30&gt;0,AX31+Inputs!$F$37,0)</f>
        <v>96.1918252700368</v>
      </c>
      <c r="AY32" s="13" t="n">
        <f aca="false">IF(Time!AY30&gt;0,AY31+Inputs!$F$37,0)</f>
        <v>94.8213923413718</v>
      </c>
      <c r="AZ32" s="13" t="n">
        <f aca="false">IF(Time!AZ30&gt;0,AZ31+Inputs!$F$37,0)</f>
        <v>92.0805264840419</v>
      </c>
      <c r="BA32" s="13" t="n">
        <f aca="false">IF(Time!BA30&gt;0,BA31+Inputs!$F$37,0)</f>
        <v>91.3442723075392</v>
      </c>
      <c r="BB32" s="13" t="n">
        <f aca="false">IF(Time!BB30&gt;0,BB31+Inputs!$F$37,0)</f>
        <v>89.8717639545338</v>
      </c>
      <c r="BC32" s="13" t="n">
        <f aca="false">IF(Time!BC30&gt;0,BC31+Inputs!$F$37,0)</f>
        <v>90.9845336257926</v>
      </c>
      <c r="BD32" s="13" t="n">
        <f aca="false">IF(Time!BD30&gt;0,BD31+Inputs!$F$37,0)</f>
        <v>93.2100729683101</v>
      </c>
      <c r="BE32" s="13" t="n">
        <f aca="false">IF(Time!BE30&gt;0,BE31+Inputs!$F$37,0)</f>
        <v>93.0875160244356</v>
      </c>
      <c r="BF32" s="13" t="n">
        <f aca="false">IF(Time!BF30&gt;0,BF31+Inputs!$F$37,0)</f>
        <v>92.8424021366867</v>
      </c>
      <c r="BG32" s="13" t="n">
        <f aca="false">IF(Time!BG30&gt;0,BG31+Inputs!$F$37,0)</f>
        <v>93.346730220175</v>
      </c>
      <c r="BH32" s="13" t="n">
        <f aca="false">IF(Time!BH30&gt;0,BH31+Inputs!$F$37,0)</f>
        <v>94.3553863871515</v>
      </c>
      <c r="BI32" s="13" t="n">
        <f aca="false">IF(Time!BI30&gt;0,BI31+Inputs!$F$37,0)</f>
        <v>92.0749529110412</v>
      </c>
      <c r="BJ32" s="13" t="n">
        <f aca="false">IF(Time!BJ30&gt;0,BJ31+Inputs!$F$37,0)</f>
        <v>87.5140859588206</v>
      </c>
      <c r="BK32" s="13" t="n">
        <f aca="false">IF(Time!BK30&gt;0,BK31+Inputs!$F$37,0)</f>
        <v>89.2945420526837</v>
      </c>
      <c r="BL32" s="13" t="n">
        <f aca="false">IF(Time!BL30&gt;0,BL31+Inputs!$F$37,0)</f>
        <v>92.85545424041</v>
      </c>
      <c r="BM32" s="13" t="n">
        <f aca="false">IF(Time!BM30&gt;0,BM31+Inputs!$F$37,0)</f>
        <v>92.85545424041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77.9195797729302</v>
      </c>
      <c r="K37" s="13" t="n">
        <f aca="false">IF(Inputs!$F$312=1,INDEX(Inputs!$AJ$313:$AJ$1312,Inputs!$F$311),IF(AND(Inputs!$F$55=1,Inputs!K303&gt;0),Inputs!K303,Inputs!$F$38))</f>
        <v>77.9195797729302</v>
      </c>
      <c r="L37" s="13" t="n">
        <f aca="false">IF(Inputs!$F$312=1,INDEX(Inputs!$AJ$313:$AJ$1312,Inputs!$F$311),IF(AND(Inputs!$F$55=1,Inputs!L303&gt;0),Inputs!L303,Inputs!$F$38))</f>
        <v>77.9195797729302</v>
      </c>
      <c r="M37" s="13" t="n">
        <f aca="false">IF(Inputs!$F$312=1,INDEX(Inputs!$AJ$313:$AJ$1312,Inputs!$F$311),IF(AND(Inputs!$F$55=1,Inputs!M303&gt;0),Inputs!M303,Inputs!$F$38))</f>
        <v>77.9195797729302</v>
      </c>
      <c r="N37" s="13" t="n">
        <f aca="false">IF(Inputs!$F$312=1,INDEX(Inputs!$AJ$313:$AJ$1312,Inputs!$F$311),IF(AND(Inputs!$F$55=1,Inputs!N303&gt;0),Inputs!N303,Inputs!$F$38))</f>
        <v>77.9195797729302</v>
      </c>
      <c r="O37" s="13" t="n">
        <f aca="false">IF(Inputs!$F$312=1,INDEX(Inputs!$AJ$313:$AJ$1312,Inputs!$F$311),IF(AND(Inputs!$F$55=1,Inputs!O303&gt;0),Inputs!O303,Inputs!$F$38))</f>
        <v>77.9195797729302</v>
      </c>
      <c r="P37" s="13" t="n">
        <f aca="false">IF(Inputs!$F$312=1,INDEX(Inputs!$AJ$313:$AJ$1312,Inputs!$F$311),IF(AND(Inputs!$F$55=1,Inputs!P303&gt;0),Inputs!P303,Inputs!$F$38))</f>
        <v>77.9195797729302</v>
      </c>
      <c r="Q37" s="13" t="n">
        <f aca="false">IF(Inputs!$F$312=1,INDEX(Inputs!$AJ$313:$AJ$1312,Inputs!$F$311),IF(AND(Inputs!$F$55=1,Inputs!Q303&gt;0),Inputs!Q303,Inputs!$F$38))</f>
        <v>77.9195797729302</v>
      </c>
      <c r="R37" s="13" t="n">
        <f aca="false">IF(Inputs!$F$312=1,INDEX(Inputs!$AJ$313:$AJ$1312,Inputs!$F$311),IF(AND(Inputs!$F$55=1,Inputs!R303&gt;0),Inputs!R303,Inputs!$F$38))</f>
        <v>77.9195797729302</v>
      </c>
      <c r="S37" s="13" t="n">
        <f aca="false">IF(Inputs!$F$312=1,INDEX(Inputs!$AJ$313:$AJ$1312,Inputs!$F$311),IF(AND(Inputs!$F$55=1,Inputs!S303&gt;0),Inputs!S303,Inputs!$F$38))</f>
        <v>77.9195797729302</v>
      </c>
      <c r="T37" s="13" t="n">
        <f aca="false">IF(Inputs!$F$312=1,INDEX(Inputs!$AJ$313:$AJ$1312,Inputs!$F$311),IF(AND(Inputs!$F$55=1,Inputs!T303&gt;0),Inputs!T303,Inputs!$F$38))</f>
        <v>77.9195797729302</v>
      </c>
      <c r="U37" s="13" t="n">
        <f aca="false">IF(Inputs!$F$312=1,INDEX(Inputs!$AJ$313:$AJ$1312,Inputs!$F$311),IF(AND(Inputs!$F$55=1,Inputs!U303&gt;0),Inputs!U303,Inputs!$F$38))</f>
        <v>77.9195797729302</v>
      </c>
      <c r="V37" s="13" t="n">
        <f aca="false">IF(Inputs!$F$312=1,INDEX(Inputs!$AJ$313:$AJ$1312,Inputs!$F$311),IF(AND(Inputs!$F$55=1,Inputs!V303&gt;0),Inputs!V303,Inputs!$F$38))</f>
        <v>77.9195797729302</v>
      </c>
      <c r="W37" s="13" t="n">
        <f aca="false">IF(Inputs!$F$312=1,INDEX(Inputs!$AJ$313:$AJ$1312,Inputs!$F$311),IF(AND(Inputs!$F$55=1,Inputs!W303&gt;0),Inputs!W303,Inputs!$F$38))</f>
        <v>77.9195797729302</v>
      </c>
      <c r="X37" s="13" t="n">
        <f aca="false">IF(Inputs!$F$312=1,INDEX(Inputs!$AJ$313:$AJ$1312,Inputs!$F$311),IF(AND(Inputs!$F$55=1,Inputs!X303&gt;0),Inputs!X303,Inputs!$F$38))</f>
        <v>77.9195797729302</v>
      </c>
      <c r="Y37" s="13" t="n">
        <f aca="false">IF(Inputs!$F$312=1,INDEX(Inputs!$AJ$313:$AJ$1312,Inputs!$F$311),IF(AND(Inputs!$F$55=1,Inputs!Y303&gt;0),Inputs!Y303,Inputs!$F$38))</f>
        <v>77.9195797729302</v>
      </c>
      <c r="Z37" s="13" t="n">
        <f aca="false">IF(Inputs!$F$312=1,INDEX(Inputs!$AJ$313:$AJ$1312,Inputs!$F$311),IF(AND(Inputs!$F$55=1,Inputs!Z303&gt;0),Inputs!Z303,Inputs!$F$38))</f>
        <v>77.9195797729302</v>
      </c>
      <c r="AA37" s="13" t="n">
        <f aca="false">IF(Inputs!$F$312=1,INDEX(Inputs!$AJ$313:$AJ$1312,Inputs!$F$311),IF(AND(Inputs!$F$55=1,Inputs!AA303&gt;0),Inputs!AA303,Inputs!$F$38))</f>
        <v>77.9195797729302</v>
      </c>
      <c r="AB37" s="13" t="n">
        <f aca="false">IF(Inputs!$F$312=1,INDEX(Inputs!$AJ$313:$AJ$1312,Inputs!$F$311),IF(AND(Inputs!$F$55=1,Inputs!AB303&gt;0),Inputs!AB303,Inputs!$F$38))</f>
        <v>77.9195797729302</v>
      </c>
      <c r="AC37" s="13" t="n">
        <f aca="false">IF(Inputs!$F$312=1,INDEX(Inputs!$AJ$313:$AJ$1312,Inputs!$F$311),IF(AND(Inputs!$F$55=1,Inputs!AC303&gt;0),Inputs!AC303,Inputs!$F$38))</f>
        <v>77.9195797729302</v>
      </c>
      <c r="AD37" s="13" t="n">
        <f aca="false">IF(Inputs!$F$312=1,INDEX(Inputs!$AJ$313:$AJ$1312,Inputs!$F$311),IF(AND(Inputs!$F$55=1,Inputs!AD303&gt;0),Inputs!AD303,Inputs!$F$38))</f>
        <v>77.9195797729302</v>
      </c>
      <c r="AE37" s="13" t="n">
        <f aca="false">IF(Inputs!$F$312=1,INDEX(Inputs!$AJ$313:$AJ$1312,Inputs!$F$311),IF(AND(Inputs!$F$55=1,Inputs!AE303&gt;0),Inputs!AE303,Inputs!$F$38))</f>
        <v>77.9195797729302</v>
      </c>
      <c r="AF37" s="13" t="n">
        <f aca="false">IF(Inputs!$F$312=1,INDEX(Inputs!$AJ$313:$AJ$1312,Inputs!$F$311),IF(AND(Inputs!$F$55=1,Inputs!AF303&gt;0),Inputs!AF303,Inputs!$F$38))</f>
        <v>77.9195797729302</v>
      </c>
      <c r="AG37" s="13" t="n">
        <f aca="false">IF(Inputs!$F$312=1,INDEX(Inputs!$AJ$313:$AJ$1312,Inputs!$F$311),IF(AND(Inputs!$F$55=1,Inputs!AG303&gt;0),Inputs!AG303,Inputs!$F$38))</f>
        <v>77.9195797729302</v>
      </c>
      <c r="AH37" s="13" t="n">
        <f aca="false">IF(Inputs!$F$312=1,INDEX(Inputs!$AJ$313:$AJ$1312,Inputs!$F$311),IF(AND(Inputs!$F$55=1,Inputs!AH303&gt;0),Inputs!AH303,Inputs!$F$38))</f>
        <v>77.9195797729302</v>
      </c>
      <c r="AI37" s="13" t="n">
        <f aca="false">IF(Inputs!$F$312=1,INDEX(Inputs!$AJ$313:$AJ$1312,Inputs!$F$311),IF(AND(Inputs!$F$55=1,Inputs!AI303&gt;0),Inputs!AI303,Inputs!$F$38))</f>
        <v>77.9195797729302</v>
      </c>
      <c r="AJ37" s="13" t="n">
        <f aca="false">IF(Inputs!$F$312=1,INDEX(Inputs!$AJ$313:$AJ$1312,Inputs!$F$311),IF(AND(Inputs!$F$55=1,Inputs!AJ303&gt;0),Inputs!AJ303,Inputs!$F$38))</f>
        <v>77.9195797729302</v>
      </c>
      <c r="AK37" s="13" t="n">
        <f aca="false">IF(Inputs!$F$312=1,INDEX(Inputs!$AJ$313:$AJ$1312,Inputs!$F$311),IF(AND(Inputs!$F$55=1,Inputs!AK303&gt;0),Inputs!AK303,Inputs!$F$38))</f>
        <v>77.9195797729302</v>
      </c>
      <c r="AL37" s="13" t="n">
        <f aca="false">IF(Inputs!$F$312=1,INDEX(Inputs!$AJ$313:$AJ$1312,Inputs!$F$311),IF(AND(Inputs!$F$55=1,Inputs!AL303&gt;0),Inputs!AL303,Inputs!$F$38))</f>
        <v>77.9195797729302</v>
      </c>
      <c r="AM37" s="13" t="n">
        <f aca="false">IF(Inputs!$F$312=1,INDEX(Inputs!$AJ$313:$AJ$1312,Inputs!$F$311),IF(AND(Inputs!$F$55=1,Inputs!AM303&gt;0),Inputs!AM303,Inputs!$F$38))</f>
        <v>77.9195797729302</v>
      </c>
      <c r="AN37" s="13" t="n">
        <f aca="false">IF(Inputs!$F$312=1,INDEX(Inputs!$AJ$313:$AJ$1312,Inputs!$F$311),IF(AND(Inputs!$F$55=1,Inputs!AN303&gt;0),Inputs!AN303,Inputs!$F$38))</f>
        <v>77.9195797729302</v>
      </c>
      <c r="AO37" s="13" t="n">
        <f aca="false">IF(Inputs!$F$312=1,INDEX(Inputs!$AJ$313:$AJ$1312,Inputs!$F$311),IF(AND(Inputs!$F$55=1,Inputs!AO303&gt;0),Inputs!AO303,Inputs!$F$38))</f>
        <v>77.9195797729302</v>
      </c>
      <c r="AP37" s="13" t="n">
        <f aca="false">IF(Inputs!$F$312=1,INDEX(Inputs!$AJ$313:$AJ$1312,Inputs!$F$311),IF(AND(Inputs!$F$55=1,Inputs!AP303&gt;0),Inputs!AP303,Inputs!$F$38))</f>
        <v>77.9195797729302</v>
      </c>
      <c r="AQ37" s="13" t="n">
        <f aca="false">IF(Inputs!$F$312=1,INDEX(Inputs!$AJ$313:$AJ$1312,Inputs!$F$311),IF(AND(Inputs!$F$55=1,Inputs!AQ303&gt;0),Inputs!AQ303,Inputs!$F$38))</f>
        <v>77.9195797729302</v>
      </c>
      <c r="AR37" s="13" t="n">
        <f aca="false">IF(Inputs!$F$312=1,INDEX(Inputs!$AJ$313:$AJ$1312,Inputs!$F$311),IF(AND(Inputs!$F$55=1,Inputs!AR303&gt;0),Inputs!AR303,Inputs!$F$38))</f>
        <v>77.9195797729302</v>
      </c>
      <c r="AS37" s="13" t="n">
        <f aca="false">IF(Inputs!$F$312=1,INDEX(Inputs!$AJ$313:$AJ$1312,Inputs!$F$311),IF(AND(Inputs!$F$55=1,Inputs!AS303&gt;0),Inputs!AS303,Inputs!$F$38))</f>
        <v>77.9195797729302</v>
      </c>
      <c r="AT37" s="13" t="n">
        <f aca="false">IF(Inputs!$F$312=1,INDEX(Inputs!$AJ$313:$AJ$1312,Inputs!$F$311),IF(AND(Inputs!$F$55=1,Inputs!AT303&gt;0),Inputs!AT303,Inputs!$F$38))</f>
        <v>77.9195797729302</v>
      </c>
      <c r="AU37" s="13" t="n">
        <f aca="false">IF(Inputs!$F$312=1,INDEX(Inputs!$AJ$313:$AJ$1312,Inputs!$F$311),IF(AND(Inputs!$F$55=1,Inputs!AU303&gt;0),Inputs!AU303,Inputs!$F$38))</f>
        <v>77.9195797729302</v>
      </c>
      <c r="AV37" s="13" t="n">
        <f aca="false">IF(Inputs!$F$312=1,INDEX(Inputs!$AJ$313:$AJ$1312,Inputs!$F$311),IF(AND(Inputs!$F$55=1,Inputs!AV303&gt;0),Inputs!AV303,Inputs!$F$38))</f>
        <v>77.9195797729302</v>
      </c>
      <c r="AW37" s="13" t="n">
        <f aca="false">IF(Inputs!$F$312=1,INDEX(Inputs!$AJ$313:$AJ$1312,Inputs!$F$311),IF(AND(Inputs!$F$55=1,Inputs!AW303&gt;0),Inputs!AW303,Inputs!$F$38))</f>
        <v>77.9195797729302</v>
      </c>
      <c r="AX37" s="13" t="n">
        <f aca="false">IF(Inputs!$F$312=1,INDEX(Inputs!$AJ$313:$AJ$1312,Inputs!$F$311),IF(AND(Inputs!$F$55=1,Inputs!AX303&gt;0),Inputs!AX303,Inputs!$F$38))</f>
        <v>77.9195797729302</v>
      </c>
      <c r="AY37" s="13" t="n">
        <f aca="false">IF(Inputs!$F$312=1,INDEX(Inputs!$AJ$313:$AJ$1312,Inputs!$F$311),IF(AND(Inputs!$F$55=1,Inputs!AY303&gt;0),Inputs!AY303,Inputs!$F$38))</f>
        <v>77.9195797729302</v>
      </c>
      <c r="AZ37" s="13" t="n">
        <f aca="false">IF(Inputs!$F$312=1,INDEX(Inputs!$AJ$313:$AJ$1312,Inputs!$F$311),IF(AND(Inputs!$F$55=1,Inputs!AZ303&gt;0),Inputs!AZ303,Inputs!$F$38))</f>
        <v>77.9195797729302</v>
      </c>
      <c r="BA37" s="13" t="n">
        <f aca="false">IF(Inputs!$F$312=1,INDEX(Inputs!$AJ$313:$AJ$1312,Inputs!$F$311),IF(AND(Inputs!$F$55=1,Inputs!BA303&gt;0),Inputs!BA303,Inputs!$F$38))</f>
        <v>77.9195797729302</v>
      </c>
      <c r="BB37" s="13" t="n">
        <f aca="false">IF(Inputs!$F$312=1,INDEX(Inputs!$AJ$313:$AJ$1312,Inputs!$F$311),IF(AND(Inputs!$F$55=1,Inputs!BB303&gt;0),Inputs!BB303,Inputs!$F$38))</f>
        <v>77.9195797729302</v>
      </c>
      <c r="BC37" s="13" t="n">
        <f aca="false">IF(Inputs!$F$312=1,INDEX(Inputs!$AJ$313:$AJ$1312,Inputs!$F$311),IF(AND(Inputs!$F$55=1,Inputs!BC303&gt;0),Inputs!BC303,Inputs!$F$38))</f>
        <v>77.9195797729302</v>
      </c>
      <c r="BD37" s="13" t="n">
        <f aca="false">IF(Inputs!$F$312=1,INDEX(Inputs!$AJ$313:$AJ$1312,Inputs!$F$311),IF(AND(Inputs!$F$55=1,Inputs!BD303&gt;0),Inputs!BD303,Inputs!$F$38))</f>
        <v>77.9195797729302</v>
      </c>
      <c r="BE37" s="13" t="n">
        <f aca="false">IF(Inputs!$F$312=1,INDEX(Inputs!$AJ$313:$AJ$1312,Inputs!$F$311),IF(AND(Inputs!$F$55=1,Inputs!BE303&gt;0),Inputs!BE303,Inputs!$F$38))</f>
        <v>77.9195797729302</v>
      </c>
      <c r="BF37" s="13" t="n">
        <f aca="false">IF(Inputs!$F$312=1,INDEX(Inputs!$AJ$313:$AJ$1312,Inputs!$F$311),IF(AND(Inputs!$F$55=1,Inputs!BF303&gt;0),Inputs!BF303,Inputs!$F$38))</f>
        <v>77.9195797729302</v>
      </c>
      <c r="BG37" s="13" t="n">
        <f aca="false">IF(Inputs!$F$312=1,INDEX(Inputs!$AJ$313:$AJ$1312,Inputs!$F$311),IF(AND(Inputs!$F$55=1,Inputs!BG303&gt;0),Inputs!BG303,Inputs!$F$38))</f>
        <v>77.9195797729302</v>
      </c>
      <c r="BH37" s="13" t="n">
        <f aca="false">IF(Inputs!$F$312=1,INDEX(Inputs!$AJ$313:$AJ$1312,Inputs!$F$311),IF(AND(Inputs!$F$55=1,Inputs!BH303&gt;0),Inputs!BH303,Inputs!$F$38))</f>
        <v>77.9195797729302</v>
      </c>
      <c r="BI37" s="13" t="n">
        <f aca="false">IF(Inputs!$F$312=1,INDEX(Inputs!$AJ$313:$AJ$1312,Inputs!$F$311),IF(AND(Inputs!$F$55=1,Inputs!BI303&gt;0),Inputs!BI303,Inputs!$F$38))</f>
        <v>77.9195797729302</v>
      </c>
      <c r="BJ37" s="13" t="n">
        <f aca="false">IF(Inputs!$F$312=1,INDEX(Inputs!$AJ$313:$AJ$1312,Inputs!$F$311),IF(AND(Inputs!$F$55=1,Inputs!BJ303&gt;0),Inputs!BJ303,Inputs!$F$38))</f>
        <v>77.9195797729302</v>
      </c>
      <c r="BK37" s="13" t="n">
        <f aca="false">IF(Inputs!$F$312=1,INDEX(Inputs!$AJ$313:$AJ$1312,Inputs!$F$311),IF(AND(Inputs!$F$55=1,Inputs!BK303&gt;0),Inputs!BK303,Inputs!$F$38))</f>
        <v>77.9195797729302</v>
      </c>
      <c r="BL37" s="13" t="n">
        <f aca="false">IF(Inputs!$F$312=1,INDEX(Inputs!$AJ$313:$AJ$1312,Inputs!$F$311),IF(AND(Inputs!$F$55=1,Inputs!BL303&gt;0),Inputs!BL303,Inputs!$F$38))</f>
        <v>77.9195797729302</v>
      </c>
      <c r="BM37" s="13" t="n">
        <f aca="false">IF(Inputs!$F$312=1,INDEX(Inputs!$AJ$313:$AJ$1312,Inputs!$F$311),IF(AND(Inputs!$F$55=1,Inputs!BM303&gt;0),Inputs!BM303,Inputs!$F$38))</f>
        <v>77.9195797729302</v>
      </c>
      <c r="BN37" s="13" t="n">
        <f aca="false">IF(Inputs!$F$312=1,INDEX(Inputs!$AJ$313:$AJ$1312,Inputs!$F$311),IF(AND(Inputs!$F$55=1,Inputs!BN303&gt;0),Inputs!BN303,Inputs!$F$38))</f>
        <v>77.9195797729302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607471.013880388</v>
      </c>
      <c r="P38" s="15" t="n">
        <f aca="false">$F$34*Inputs!$F$215*Time!P30*P32/100*P37/100*P36</f>
        <v>1821501.72120529</v>
      </c>
      <c r="Q38" s="15" t="n">
        <f aca="false">$F$34*Inputs!$F$215*Time!Q30*Q32/100*Q37/100*Q36</f>
        <v>1806076.01133083</v>
      </c>
      <c r="R38" s="15" t="n">
        <f aca="false">$F$34*Inputs!$F$215*Time!R30*R32/100*R37/100*R36</f>
        <v>1776623.24793056</v>
      </c>
      <c r="S38" s="15" t="n">
        <f aca="false">$F$34*Inputs!$F$215*Time!S30*S32/100*S37/100*S36</f>
        <v>1798570.43118304</v>
      </c>
      <c r="T38" s="15" t="n">
        <f aca="false">$F$34*Inputs!$F$215*Time!T30*T32/100*T37/100*T36</f>
        <v>1843747.56600565</v>
      </c>
      <c r="U38" s="15" t="n">
        <f aca="false">$F$34*Inputs!$F$215*Time!U30*U32/100*U37/100*U36</f>
        <v>1834225.25959261</v>
      </c>
      <c r="V38" s="15" t="n">
        <f aca="false">$F$34*Inputs!$F$215*Time!V30*V32/100*V37/100*V36</f>
        <v>1816586.87133817</v>
      </c>
      <c r="W38" s="15" t="n">
        <f aca="false">$F$34*Inputs!$F$215*Time!W30*W32/100*W37/100*W36</f>
        <v>1843933.19928086</v>
      </c>
      <c r="X38" s="15" t="n">
        <f aca="false">$F$34*Inputs!$F$215*Time!X30*X32/100*X37/100*X36</f>
        <v>1899930.32144537</v>
      </c>
      <c r="Y38" s="15" t="n">
        <f aca="false">$F$34*Inputs!$F$215*Time!Y30*Y32/100*Y37/100*Y36</f>
        <v>1871375.61766501</v>
      </c>
      <c r="Z38" s="15" t="n">
        <f aca="false">$F$34*Inputs!$F$215*Time!Z30*Z32/100*Z37/100*Z36</f>
        <v>1815762.13502221</v>
      </c>
      <c r="AA38" s="15" t="n">
        <f aca="false">$F$34*Inputs!$F$215*Time!AA30*AA32/100*AA37/100*AA36</f>
        <v>1851425.56763238</v>
      </c>
      <c r="AB38" s="15" t="n">
        <f aca="false">$F$34*Inputs!$F$215*Time!AB30*AB32/100*AB37/100*AB36</f>
        <v>1924041.33177743</v>
      </c>
      <c r="AC38" s="15" t="n">
        <f aca="false">$F$34*Inputs!$F$215*Time!AC30*AC32/100*AC37/100*AC36</f>
        <v>1867646.730003</v>
      </c>
      <c r="AD38" s="15" t="n">
        <f aca="false">$F$34*Inputs!$F$215*Time!AD30*AD32/100*AD37/100*AD36</f>
        <v>1756439.48698197</v>
      </c>
      <c r="AE38" s="15" t="n">
        <f aca="false">$F$34*Inputs!$F$215*Time!AE30*AE32/100*AE37/100*AE36</f>
        <v>1757587.58053317</v>
      </c>
      <c r="AF38" s="15" t="n">
        <f aca="false">$F$34*Inputs!$F$215*Time!AF30*AF32/100*AF37/100*AF36</f>
        <v>1761210.26980422</v>
      </c>
      <c r="AG38" s="15" t="n">
        <f aca="false">$F$34*Inputs!$F$215*Time!AG30*AG32/100*AG37/100*AG36</f>
        <v>1761580.10486911</v>
      </c>
      <c r="AH38" s="15" t="n">
        <f aca="false">$F$34*Inputs!$F$215*Time!AH30*AH32/100*AH37/100*AH36</f>
        <v>1763653.67813459</v>
      </c>
      <c r="AI38" s="15" t="n">
        <f aca="false">$F$34*Inputs!$F$215*Time!AI30*AI32/100*AI37/100*AI36</f>
        <v>1769383.24105313</v>
      </c>
      <c r="AJ38" s="15" t="n">
        <f aca="false">$F$34*Inputs!$F$215*Time!AJ30*AJ32/100*AJ37/100*AJ36</f>
        <v>1782167.90798101</v>
      </c>
      <c r="AK38" s="15" t="n">
        <f aca="false">$F$34*Inputs!$F$215*Time!AK30*AK32/100*AK37/100*AK36</f>
        <v>1770016.38789434</v>
      </c>
      <c r="AL38" s="15" t="n">
        <f aca="false">$F$34*Inputs!$F$215*Time!AL30*AL32/100*AL37/100*AL36</f>
        <v>1747095.88001179</v>
      </c>
      <c r="AM38" s="15" t="n">
        <f aca="false">$F$34*Inputs!$F$215*Time!AM30*AM32/100*AM37/100*AM36</f>
        <v>1775682.69265683</v>
      </c>
      <c r="AN38" s="15" t="n">
        <f aca="false">$F$34*Inputs!$F$215*Time!AN30*AN32/100*AN37/100*AN36</f>
        <v>1834120.92492173</v>
      </c>
      <c r="AO38" s="15" t="n">
        <f aca="false">$F$34*Inputs!$F$215*Time!AO30*AO32/100*AO37/100*AO36</f>
        <v>1854138.65037918</v>
      </c>
      <c r="AP38" s="15" t="n">
        <f aca="false">$F$34*Inputs!$F$215*Time!AP30*AP32/100*AP37/100*AP36</f>
        <v>1895526.65269699</v>
      </c>
      <c r="AQ38" s="15" t="n">
        <f aca="false">$F$34*Inputs!$F$215*Time!AQ30*AQ32/100*AQ37/100*AQ36</f>
        <v>1867308.32245414</v>
      </c>
      <c r="AR38" s="15" t="n">
        <f aca="false">$F$34*Inputs!$F$215*Time!AR30*AR32/100*AR37/100*AR36</f>
        <v>1812384.01606311</v>
      </c>
      <c r="AS38" s="15" t="n">
        <f aca="false">$F$34*Inputs!$F$215*Time!AS30*AS32/100*AS37/100*AS36</f>
        <v>1775905.69001081</v>
      </c>
      <c r="AT38" s="15" t="n">
        <f aca="false">$F$34*Inputs!$F$215*Time!AT30*AT32/100*AT37/100*AT36</f>
        <v>1704419.1274075</v>
      </c>
      <c r="AU38" s="15" t="n">
        <f aca="false">$F$34*Inputs!$F$215*Time!AU30*AU32/100*AU37/100*AU36</f>
        <v>1737066.12531935</v>
      </c>
      <c r="AV38" s="15" t="n">
        <f aca="false">$F$34*Inputs!$F$215*Time!AV30*AV32/100*AV37/100*AV36</f>
        <v>1803590.42758415</v>
      </c>
      <c r="AW38" s="15" t="n">
        <f aca="false">$F$34*Inputs!$F$215*Time!AW30*AW32/100*AW37/100*AW36</f>
        <v>1822742.84131516</v>
      </c>
      <c r="AX38" s="15" t="n">
        <f aca="false">$F$34*Inputs!$F$215*Time!AX30*AX32/100*AX37/100*AX36</f>
        <v>1862387.09610384</v>
      </c>
      <c r="AY38" s="15" t="n">
        <f aca="false">$F$34*Inputs!$F$215*Time!AY30*AY32/100*AY37/100*AY36</f>
        <v>1834440.07294931</v>
      </c>
      <c r="AZ38" s="15" t="n">
        <f aca="false">$F$34*Inputs!$F$215*Time!AZ30*AZ32/100*AZ37/100*AZ36</f>
        <v>1780041.58820023</v>
      </c>
      <c r="BA38" s="15" t="n">
        <f aca="false">$F$34*Inputs!$F$215*Time!BA30*BA32/100*BA37/100*BA36</f>
        <v>1764446.81407703</v>
      </c>
      <c r="BB38" s="15" t="n">
        <f aca="false">$F$34*Inputs!$F$215*Time!BB30*BB32/100*BB37/100*BB36</f>
        <v>1734663.15859312</v>
      </c>
      <c r="BC38" s="15" t="n">
        <f aca="false">$F$34*Inputs!$F$215*Time!BC30*BC32/100*BC37/100*BC36</f>
        <v>1754784.70586821</v>
      </c>
      <c r="BD38" s="15" t="n">
        <f aca="false">$F$34*Inputs!$F$215*Time!BD30*BD32/100*BD37/100*BD36</f>
        <v>1796318.05044877</v>
      </c>
      <c r="BE38" s="15" t="n">
        <f aca="false">$F$34*Inputs!$F$215*Time!BE30*BE32/100*BE37/100*BE36</f>
        <v>1792568.19401379</v>
      </c>
      <c r="BF38" s="15" t="n">
        <f aca="false">$F$34*Inputs!$F$215*Time!BF30*BF32/100*BF37/100*BF36</f>
        <v>1786463.76446938</v>
      </c>
      <c r="BG38" s="15" t="n">
        <f aca="false">$F$34*Inputs!$F$215*Time!BG30*BG32/100*BG37/100*BG36</f>
        <v>1794776.15374081</v>
      </c>
      <c r="BH38" s="15" t="n">
        <f aca="false">$F$34*Inputs!$F$215*Time!BH30*BH32/100*BH37/100*BH36</f>
        <v>1812762.69212885</v>
      </c>
      <c r="BI38" s="15" t="n">
        <f aca="false">$F$34*Inputs!$F$215*Time!BI30*BI32/100*BI37/100*BI36</f>
        <v>1767577.95870739</v>
      </c>
      <c r="BJ38" s="15" t="n">
        <f aca="false">$F$34*Inputs!$F$215*Time!BJ30*BJ32/100*BJ37/100*BJ36</f>
        <v>1678717.37681916</v>
      </c>
      <c r="BK38" s="15" t="n">
        <f aca="false">$F$34*Inputs!$F$215*Time!BK30*BK32/100*BK37/100*BK36</f>
        <v>1711539.11786347</v>
      </c>
      <c r="BL38" s="15" t="n">
        <f aca="false">$F$34*Inputs!$F$215*Time!BL30*BL32/100*BL37/100*BL36</f>
        <v>1778407.82956477</v>
      </c>
      <c r="BM38" s="15" t="n">
        <f aca="false">$F$34*Inputs!$F$215*Time!BM30*BM32/100*BM37/100*BM36</f>
        <v>1184836.04543989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6456.45377207772</v>
      </c>
      <c r="P39" s="13" t="n">
        <f aca="false">$F$35*(1+IF(Inputs!$F$312=1,INDEX(Inputs!$AK$313:$AK$1312,Inputs!$F$311),Inputs!$F$127)/100*P33)*(1+Inputs!$F$128/100)*(1+Inputs!$F$122/100)*Inputs!$F$39</f>
        <v>6457.2967643886</v>
      </c>
      <c r="Q39" s="13" t="n">
        <f aca="false">$F$35*(1+IF(Inputs!$F$312=1,INDEX(Inputs!$AK$313:$AK$1312,Inputs!$F$311),Inputs!$F$127)/100*Q33)*(1+Inputs!$F$128/100)*(1+Inputs!$F$122/100)*Inputs!$F$39</f>
        <v>6458.56125285493</v>
      </c>
      <c r="R39" s="13" t="n">
        <f aca="false">$F$35*(1+IF(Inputs!$F$312=1,INDEX(Inputs!$AK$313:$AK$1312,Inputs!$F$311),Inputs!$F$127)/100*R33)*(1+Inputs!$F$128/100)*(1+Inputs!$F$122/100)*Inputs!$F$39</f>
        <v>6459.82574132125</v>
      </c>
      <c r="S39" s="13" t="n">
        <f aca="false">$F$35*(1+IF(Inputs!$F$312=1,INDEX(Inputs!$AK$313:$AK$1312,Inputs!$F$311),Inputs!$F$127)/100*S33)*(1+Inputs!$F$128/100)*(1+Inputs!$F$122/100)*Inputs!$F$39</f>
        <v>6461.09022978758</v>
      </c>
      <c r="T39" s="13" t="n">
        <f aca="false">$F$35*(1+IF(Inputs!$F$312=1,INDEX(Inputs!$AK$313:$AK$1312,Inputs!$F$311),Inputs!$F$127)/100*T33)*(1+Inputs!$F$128/100)*(1+Inputs!$F$122/100)*Inputs!$F$39</f>
        <v>6462.3547182539</v>
      </c>
      <c r="U39" s="13" t="n">
        <f aca="false">$F$35*(1+IF(Inputs!$F$312=1,INDEX(Inputs!$AK$313:$AK$1312,Inputs!$F$311),Inputs!$F$127)/100*U33)*(1+Inputs!$F$128/100)*(1+Inputs!$F$122/100)*Inputs!$F$39</f>
        <v>6463.61920672023</v>
      </c>
      <c r="V39" s="13" t="n">
        <f aca="false">$F$35*(1+IF(Inputs!$F$312=1,INDEX(Inputs!$AK$313:$AK$1312,Inputs!$F$311),Inputs!$F$127)/100*V33)*(1+Inputs!$F$128/100)*(1+Inputs!$F$122/100)*Inputs!$F$39</f>
        <v>6464.88369518655</v>
      </c>
      <c r="W39" s="13" t="n">
        <f aca="false">$F$35*(1+IF(Inputs!$F$312=1,INDEX(Inputs!$AK$313:$AK$1312,Inputs!$F$311),Inputs!$F$127)/100*W33)*(1+Inputs!$F$128/100)*(1+Inputs!$F$122/100)*Inputs!$F$39</f>
        <v>6466.14818365288</v>
      </c>
      <c r="X39" s="13" t="n">
        <f aca="false">$F$35*(1+IF(Inputs!$F$312=1,INDEX(Inputs!$AK$313:$AK$1312,Inputs!$F$311),Inputs!$F$127)/100*X33)*(1+Inputs!$F$128/100)*(1+Inputs!$F$122/100)*Inputs!$F$39</f>
        <v>6467.4126721192</v>
      </c>
      <c r="Y39" s="13" t="n">
        <f aca="false">$F$35*(1+IF(Inputs!$F$312=1,INDEX(Inputs!$AK$313:$AK$1312,Inputs!$F$311),Inputs!$F$127)/100*Y33)*(1+Inputs!$F$128/100)*(1+Inputs!$F$122/100)*Inputs!$F$39</f>
        <v>6468.67716058552</v>
      </c>
      <c r="Z39" s="13" t="n">
        <f aca="false">$F$35*(1+IF(Inputs!$F$312=1,INDEX(Inputs!$AK$313:$AK$1312,Inputs!$F$311),Inputs!$F$127)/100*Z33)*(1+Inputs!$F$128/100)*(1+Inputs!$F$122/100)*Inputs!$F$39</f>
        <v>6469.94164905185</v>
      </c>
      <c r="AA39" s="13" t="n">
        <f aca="false">$F$35*(1+IF(Inputs!$F$312=1,INDEX(Inputs!$AK$313:$AK$1312,Inputs!$F$311),Inputs!$F$127)/100*AA33)*(1+Inputs!$F$128/100)*(1+Inputs!$F$122/100)*Inputs!$F$39</f>
        <v>6471.20613751817</v>
      </c>
      <c r="AB39" s="13" t="n">
        <f aca="false">$F$35*(1+IF(Inputs!$F$312=1,INDEX(Inputs!$AK$313:$AK$1312,Inputs!$F$311),Inputs!$F$127)/100*AB33)*(1+Inputs!$F$128/100)*(1+Inputs!$F$122/100)*Inputs!$F$39</f>
        <v>6472.4706259845</v>
      </c>
      <c r="AC39" s="13" t="n">
        <f aca="false">$F$35*(1+IF(Inputs!$F$312=1,INDEX(Inputs!$AK$313:$AK$1312,Inputs!$F$311),Inputs!$F$127)/100*AC33)*(1+Inputs!$F$128/100)*(1+Inputs!$F$122/100)*Inputs!$F$39</f>
        <v>6473.73511445082</v>
      </c>
      <c r="AD39" s="13" t="n">
        <f aca="false">$F$35*(1+IF(Inputs!$F$312=1,INDEX(Inputs!$AK$313:$AK$1312,Inputs!$F$311),Inputs!$F$127)/100*AD33)*(1+Inputs!$F$128/100)*(1+Inputs!$F$122/100)*Inputs!$F$39</f>
        <v>6474.99960291714</v>
      </c>
      <c r="AE39" s="13" t="n">
        <f aca="false">$F$35*(1+IF(Inputs!$F$312=1,INDEX(Inputs!$AK$313:$AK$1312,Inputs!$F$311),Inputs!$F$127)/100*AE33)*(1+Inputs!$F$128/100)*(1+Inputs!$F$122/100)*Inputs!$F$39</f>
        <v>6476.26409138347</v>
      </c>
      <c r="AF39" s="13" t="n">
        <f aca="false">$F$35*(1+IF(Inputs!$F$312=1,INDEX(Inputs!$AK$313:$AK$1312,Inputs!$F$311),Inputs!$F$127)/100*AF33)*(1+Inputs!$F$128/100)*(1+Inputs!$F$122/100)*Inputs!$F$39</f>
        <v>6477.52857984979</v>
      </c>
      <c r="AG39" s="13" t="n">
        <f aca="false">$F$35*(1+IF(Inputs!$F$312=1,INDEX(Inputs!$AK$313:$AK$1312,Inputs!$F$311),Inputs!$F$127)/100*AG33)*(1+Inputs!$F$128/100)*(1+Inputs!$F$122/100)*Inputs!$F$39</f>
        <v>6478.79306831612</v>
      </c>
      <c r="AH39" s="13" t="n">
        <f aca="false">$F$35*(1+IF(Inputs!$F$312=1,INDEX(Inputs!$AK$313:$AK$1312,Inputs!$F$311),Inputs!$F$127)/100*AH33)*(1+Inputs!$F$128/100)*(1+Inputs!$F$122/100)*Inputs!$F$39</f>
        <v>6480.05755678244</v>
      </c>
      <c r="AI39" s="13" t="n">
        <f aca="false">$F$35*(1+IF(Inputs!$F$312=1,INDEX(Inputs!$AK$313:$AK$1312,Inputs!$F$311),Inputs!$F$127)/100*AI33)*(1+Inputs!$F$128/100)*(1+Inputs!$F$122/100)*Inputs!$F$39</f>
        <v>6481.32204524877</v>
      </c>
      <c r="AJ39" s="13" t="n">
        <f aca="false">$F$35*(1+IF(Inputs!$F$312=1,INDEX(Inputs!$AK$313:$AK$1312,Inputs!$F$311),Inputs!$F$127)/100*AJ33)*(1+Inputs!$F$128/100)*(1+Inputs!$F$122/100)*Inputs!$F$39</f>
        <v>6482.58653371509</v>
      </c>
      <c r="AK39" s="13" t="n">
        <f aca="false">$F$35*(1+IF(Inputs!$F$312=1,INDEX(Inputs!$AK$313:$AK$1312,Inputs!$F$311),Inputs!$F$127)/100*AK33)*(1+Inputs!$F$128/100)*(1+Inputs!$F$122/100)*Inputs!$F$39</f>
        <v>6483.85102218142</v>
      </c>
      <c r="AL39" s="13" t="n">
        <f aca="false">$F$35*(1+IF(Inputs!$F$312=1,INDEX(Inputs!$AK$313:$AK$1312,Inputs!$F$311),Inputs!$F$127)/100*AL33)*(1+Inputs!$F$128/100)*(1+Inputs!$F$122/100)*Inputs!$F$39</f>
        <v>6485.11551064774</v>
      </c>
      <c r="AM39" s="13" t="n">
        <f aca="false">$F$35*(1+IF(Inputs!$F$312=1,INDEX(Inputs!$AK$313:$AK$1312,Inputs!$F$311),Inputs!$F$127)/100*AM33)*(1+Inputs!$F$128/100)*(1+Inputs!$F$122/100)*Inputs!$F$39</f>
        <v>6486.37999911406</v>
      </c>
      <c r="AN39" s="13" t="n">
        <f aca="false">$F$35*(1+IF(Inputs!$F$312=1,INDEX(Inputs!$AK$313:$AK$1312,Inputs!$F$311),Inputs!$F$127)/100*AN33)*(1+Inputs!$F$128/100)*(1+Inputs!$F$122/100)*Inputs!$F$39</f>
        <v>6487.64448758039</v>
      </c>
      <c r="AO39" s="13" t="n">
        <f aca="false">$F$35*(1+IF(Inputs!$F$312=1,INDEX(Inputs!$AK$313:$AK$1312,Inputs!$F$311),Inputs!$F$127)/100*AO33)*(1+Inputs!$F$128/100)*(1+Inputs!$F$122/100)*Inputs!$F$39</f>
        <v>6488.90897604671</v>
      </c>
      <c r="AP39" s="13" t="n">
        <f aca="false">$F$35*(1+IF(Inputs!$F$312=1,INDEX(Inputs!$AK$313:$AK$1312,Inputs!$F$311),Inputs!$F$127)/100*AP33)*(1+Inputs!$F$128/100)*(1+Inputs!$F$122/100)*Inputs!$F$39</f>
        <v>6490.17346451304</v>
      </c>
      <c r="AQ39" s="13" t="n">
        <f aca="false">$F$35*(1+IF(Inputs!$F$312=1,INDEX(Inputs!$AK$313:$AK$1312,Inputs!$F$311),Inputs!$F$127)/100*AQ33)*(1+Inputs!$F$128/100)*(1+Inputs!$F$122/100)*Inputs!$F$39</f>
        <v>6491.43795297936</v>
      </c>
      <c r="AR39" s="13" t="n">
        <f aca="false">$F$35*(1+IF(Inputs!$F$312=1,INDEX(Inputs!$AK$313:$AK$1312,Inputs!$F$311),Inputs!$F$127)/100*AR33)*(1+Inputs!$F$128/100)*(1+Inputs!$F$122/100)*Inputs!$F$39</f>
        <v>6492.70244144569</v>
      </c>
      <c r="AS39" s="13" t="n">
        <f aca="false">$F$35*(1+IF(Inputs!$F$312=1,INDEX(Inputs!$AK$313:$AK$1312,Inputs!$F$311),Inputs!$F$127)/100*AS33)*(1+Inputs!$F$128/100)*(1+Inputs!$F$122/100)*Inputs!$F$39</f>
        <v>6493.96692991201</v>
      </c>
      <c r="AT39" s="13" t="n">
        <f aca="false">$F$35*(1+IF(Inputs!$F$312=1,INDEX(Inputs!$AK$313:$AK$1312,Inputs!$F$311),Inputs!$F$127)/100*AT33)*(1+Inputs!$F$128/100)*(1+Inputs!$F$122/100)*Inputs!$F$39</f>
        <v>6495.23141837834</v>
      </c>
      <c r="AU39" s="13" t="n">
        <f aca="false">$F$35*(1+IF(Inputs!$F$312=1,INDEX(Inputs!$AK$313:$AK$1312,Inputs!$F$311),Inputs!$F$127)/100*AU33)*(1+Inputs!$F$128/100)*(1+Inputs!$F$122/100)*Inputs!$F$39</f>
        <v>6496.49590684466</v>
      </c>
      <c r="AV39" s="13" t="n">
        <f aca="false">$F$35*(1+IF(Inputs!$F$312=1,INDEX(Inputs!$AK$313:$AK$1312,Inputs!$F$311),Inputs!$F$127)/100*AV33)*(1+Inputs!$F$128/100)*(1+Inputs!$F$122/100)*Inputs!$F$39</f>
        <v>6497.76039531099</v>
      </c>
      <c r="AW39" s="13" t="n">
        <f aca="false">$F$35*(1+IF(Inputs!$F$312=1,INDEX(Inputs!$AK$313:$AK$1312,Inputs!$F$311),Inputs!$F$127)/100*AW33)*(1+Inputs!$F$128/100)*(1+Inputs!$F$122/100)*Inputs!$F$39</f>
        <v>6499.02488377731</v>
      </c>
      <c r="AX39" s="13" t="n">
        <f aca="false">$F$35*(1+IF(Inputs!$F$312=1,INDEX(Inputs!$AK$313:$AK$1312,Inputs!$F$311),Inputs!$F$127)/100*AX33)*(1+Inputs!$F$128/100)*(1+Inputs!$F$122/100)*Inputs!$F$39</f>
        <v>6500.28937224363</v>
      </c>
      <c r="AY39" s="13" t="n">
        <f aca="false">$F$35*(1+IF(Inputs!$F$312=1,INDEX(Inputs!$AK$313:$AK$1312,Inputs!$F$311),Inputs!$F$127)/100*AY33)*(1+Inputs!$F$128/100)*(1+Inputs!$F$122/100)*Inputs!$F$39</f>
        <v>6501.55386070996</v>
      </c>
      <c r="AZ39" s="13" t="n">
        <f aca="false">$F$35*(1+IF(Inputs!$F$312=1,INDEX(Inputs!$AK$313:$AK$1312,Inputs!$F$311),Inputs!$F$127)/100*AZ33)*(1+Inputs!$F$128/100)*(1+Inputs!$F$122/100)*Inputs!$F$39</f>
        <v>6502.81834917628</v>
      </c>
      <c r="BA39" s="13" t="n">
        <f aca="false">$F$35*(1+IF(Inputs!$F$312=1,INDEX(Inputs!$AK$313:$AK$1312,Inputs!$F$311),Inputs!$F$127)/100*BA33)*(1+Inputs!$F$128/100)*(1+Inputs!$F$122/100)*Inputs!$F$39</f>
        <v>6504.08283764261</v>
      </c>
      <c r="BB39" s="13" t="n">
        <f aca="false">$F$35*(1+IF(Inputs!$F$312=1,INDEX(Inputs!$AK$313:$AK$1312,Inputs!$F$311),Inputs!$F$127)/100*BB33)*(1+Inputs!$F$128/100)*(1+Inputs!$F$122/100)*Inputs!$F$39</f>
        <v>6505.34732610893</v>
      </c>
      <c r="BC39" s="13" t="n">
        <f aca="false">$F$35*(1+IF(Inputs!$F$312=1,INDEX(Inputs!$AK$313:$AK$1312,Inputs!$F$311),Inputs!$F$127)/100*BC33)*(1+Inputs!$F$128/100)*(1+Inputs!$F$122/100)*Inputs!$F$39</f>
        <v>6506.61181457526</v>
      </c>
      <c r="BD39" s="13" t="n">
        <f aca="false">$F$35*(1+IF(Inputs!$F$312=1,INDEX(Inputs!$AK$313:$AK$1312,Inputs!$F$311),Inputs!$F$127)/100*BD33)*(1+Inputs!$F$128/100)*(1+Inputs!$F$122/100)*Inputs!$F$39</f>
        <v>6507.87630304158</v>
      </c>
      <c r="BE39" s="13" t="n">
        <f aca="false">$F$35*(1+IF(Inputs!$F$312=1,INDEX(Inputs!$AK$313:$AK$1312,Inputs!$F$311),Inputs!$F$127)/100*BE33)*(1+Inputs!$F$128/100)*(1+Inputs!$F$122/100)*Inputs!$F$39</f>
        <v>6509.1407915079</v>
      </c>
      <c r="BF39" s="13" t="n">
        <f aca="false">$F$35*(1+IF(Inputs!$F$312=1,INDEX(Inputs!$AK$313:$AK$1312,Inputs!$F$311),Inputs!$F$127)/100*BF33)*(1+Inputs!$F$128/100)*(1+Inputs!$F$122/100)*Inputs!$F$39</f>
        <v>6510.40527997423</v>
      </c>
      <c r="BG39" s="13" t="n">
        <f aca="false">$F$35*(1+IF(Inputs!$F$312=1,INDEX(Inputs!$AK$313:$AK$1312,Inputs!$F$311),Inputs!$F$127)/100*BG33)*(1+Inputs!$F$128/100)*(1+Inputs!$F$122/100)*Inputs!$F$39</f>
        <v>6511.66976844055</v>
      </c>
      <c r="BH39" s="13" t="n">
        <f aca="false">$F$35*(1+IF(Inputs!$F$312=1,INDEX(Inputs!$AK$313:$AK$1312,Inputs!$F$311),Inputs!$F$127)/100*BH33)*(1+Inputs!$F$128/100)*(1+Inputs!$F$122/100)*Inputs!$F$39</f>
        <v>6512.93425690688</v>
      </c>
      <c r="BI39" s="13" t="n">
        <f aca="false">$F$35*(1+IF(Inputs!$F$312=1,INDEX(Inputs!$AK$313:$AK$1312,Inputs!$F$311),Inputs!$F$127)/100*BI33)*(1+Inputs!$F$128/100)*(1+Inputs!$F$122/100)*Inputs!$F$39</f>
        <v>6514.1987453732</v>
      </c>
      <c r="BJ39" s="13" t="n">
        <f aca="false">$F$35*(1+IF(Inputs!$F$312=1,INDEX(Inputs!$AK$313:$AK$1312,Inputs!$F$311),Inputs!$F$127)/100*BJ33)*(1+Inputs!$F$128/100)*(1+Inputs!$F$122/100)*Inputs!$F$39</f>
        <v>6515.46323383953</v>
      </c>
      <c r="BK39" s="13" t="n">
        <f aca="false">$F$35*(1+IF(Inputs!$F$312=1,INDEX(Inputs!$AK$313:$AK$1312,Inputs!$F$311),Inputs!$F$127)/100*BK33)*(1+Inputs!$F$128/100)*(1+Inputs!$F$122/100)*Inputs!$F$39</f>
        <v>6516.72772230585</v>
      </c>
      <c r="BL39" s="13" t="n">
        <f aca="false">$F$35*(1+IF(Inputs!$F$312=1,INDEX(Inputs!$AK$313:$AK$1312,Inputs!$F$311),Inputs!$F$127)/100*BL33)*(1+Inputs!$F$128/100)*(1+Inputs!$F$122/100)*Inputs!$F$39</f>
        <v>6517.99221077217</v>
      </c>
      <c r="BM39" s="13" t="n">
        <f aca="false">$F$35*(1+IF(Inputs!$F$312=1,INDEX(Inputs!$AK$313:$AK$1312,Inputs!$F$311),Inputs!$F$127)/100*BM33)*(1+Inputs!$F$128/100)*(1+Inputs!$F$122/100)*Inputs!$F$39</f>
        <v>6519.04595116078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4118924.71968072</v>
      </c>
      <c r="P42" s="15" t="n">
        <f aca="false">P38*P39*(1000*Inputs!$F$123/Inputs!$F$124)</f>
        <v>12352207.5653797</v>
      </c>
      <c r="Q42" s="15" t="n">
        <f aca="false">Q38*Q39*(1000*Inputs!$F$123/Inputs!$F$124)</f>
        <v>12249999.0725736</v>
      </c>
      <c r="R42" s="15" t="n">
        <f aca="false">R38*R39*(1000*Inputs!$F$123/Inputs!$F$124)</f>
        <v>12052590.2523559</v>
      </c>
      <c r="S42" s="15" t="n">
        <f aca="false">S38*S39*(1000*Inputs!$F$123/Inputs!$F$124)</f>
        <v>12203868.0707713</v>
      </c>
      <c r="T42" s="15" t="n">
        <f aca="false">T38*T39*(1000*Inputs!$F$123/Inputs!$F$124)</f>
        <v>12512857.5800241</v>
      </c>
      <c r="U42" s="15" t="n">
        <f aca="false">U38*U39*(1000*Inputs!$F$123/Inputs!$F$124)</f>
        <v>12450668.8251889</v>
      </c>
      <c r="V42" s="15" t="n">
        <f aca="false">V38*V39*(1000*Inputs!$F$123/Inputs!$F$124)</f>
        <v>12333352.2701238</v>
      </c>
      <c r="W42" s="15" t="n">
        <f aca="false">W38*W39*(1000*Inputs!$F$123/Inputs!$F$124)</f>
        <v>12521463.3161617</v>
      </c>
      <c r="X42" s="15" t="n">
        <f aca="false">X38*X39*(1000*Inputs!$F$123/Inputs!$F$124)</f>
        <v>12904241.9058909</v>
      </c>
      <c r="Y42" s="15" t="n">
        <f aca="false">Y38*Y39*(1000*Inputs!$F$123/Inputs!$F$124)</f>
        <v>12712784.7112265</v>
      </c>
      <c r="Z42" s="15" t="n">
        <f aca="false">Z38*Z39*(1000*Inputs!$F$123/Inputs!$F$124)</f>
        <v>12337397.7958174</v>
      </c>
      <c r="AA42" s="15" t="n">
        <f aca="false">AA38*AA39*(1000*Inputs!$F$123/Inputs!$F$124)</f>
        <v>12582175.5414254</v>
      </c>
      <c r="AB42" s="15" t="n">
        <f aca="false">AB38*AB39*(1000*Inputs!$F$123/Inputs!$F$124)</f>
        <v>13078222.8729521</v>
      </c>
      <c r="AC42" s="15" t="n">
        <f aca="false">AC38*AC39*(1000*Inputs!$F$123/Inputs!$F$124)</f>
        <v>12697373.827446</v>
      </c>
      <c r="AD42" s="15" t="n">
        <f aca="false">AD38*AD39*(1000*Inputs!$F$123/Inputs!$F$124)</f>
        <v>11943653.2645451</v>
      </c>
      <c r="AE42" s="15" t="n">
        <f aca="false">AE38*AE39*(1000*Inputs!$F$123/Inputs!$F$124)</f>
        <v>11953794.1867328</v>
      </c>
      <c r="AF42" s="15" t="n">
        <f aca="false">AF38*AF39*(1000*Inputs!$F$123/Inputs!$F$124)</f>
        <v>11980771.7907128</v>
      </c>
      <c r="AG42" s="15" t="n">
        <f aca="false">AG38*AG39*(1000*Inputs!$F$123/Inputs!$F$124)</f>
        <v>11985626.8991998</v>
      </c>
      <c r="AH42" s="15" t="n">
        <f aca="false">AH38*AH39*(1000*Inputs!$F$123/Inputs!$F$124)</f>
        <v>12002077.3283635</v>
      </c>
      <c r="AI42" s="15" t="n">
        <f aca="false">AI38*AI39*(1000*Inputs!$F$123/Inputs!$F$124)</f>
        <v>12043417.9875366</v>
      </c>
      <c r="AJ42" s="15" t="n">
        <f aca="false">AJ38*AJ39*(1000*Inputs!$F$123/Inputs!$F$124)</f>
        <v>12132804.2403961</v>
      </c>
      <c r="AK42" s="15" t="n">
        <f aca="false">AK38*AK39*(1000*Inputs!$F$123/Inputs!$F$124)</f>
        <v>12052428.4995741</v>
      </c>
      <c r="AL42" s="15" t="n">
        <f aca="false">AL38*AL39*(1000*Inputs!$F$123/Inputs!$F$124)</f>
        <v>11898677.7931967</v>
      </c>
      <c r="AM42" s="15" t="n">
        <f aca="false">AM38*AM39*(1000*Inputs!$F$123/Inputs!$F$124)</f>
        <v>12095727.6147275</v>
      </c>
      <c r="AN42" s="15" t="n">
        <f aca="false">AN38*AN39*(1000*Inputs!$F$123/Inputs!$F$124)</f>
        <v>12496237.1239079</v>
      </c>
      <c r="AO42" s="15" t="n">
        <f aca="false">AO38*AO39*(1000*Inputs!$F$123/Inputs!$F$124)</f>
        <v>12635084.1281021</v>
      </c>
      <c r="AP42" s="15" t="n">
        <f aca="false">AP38*AP39*(1000*Inputs!$F$123/Inputs!$F$124)</f>
        <v>12919641.0760503</v>
      </c>
      <c r="AQ42" s="15" t="n">
        <f aca="false">AQ38*AQ39*(1000*Inputs!$F$123/Inputs!$F$124)</f>
        <v>12729788.6127719</v>
      </c>
      <c r="AR42" s="15" t="n">
        <f aca="false">AR38*AR39*(1000*Inputs!$F$123/Inputs!$F$124)</f>
        <v>12357766.1276089</v>
      </c>
      <c r="AS42" s="15" t="n">
        <f aca="false">AS38*AS39*(1000*Inputs!$F$123/Inputs!$F$124)</f>
        <v>12111396.4436984</v>
      </c>
      <c r="AT42" s="15" t="n">
        <f aca="false">AT38*AT39*(1000*Inputs!$F$123/Inputs!$F$124)</f>
        <v>11626132.7421443</v>
      </c>
      <c r="AU42" s="15" t="n">
        <f aca="false">AU38*AU39*(1000*Inputs!$F$123/Inputs!$F$124)</f>
        <v>11851130.1903839</v>
      </c>
      <c r="AV42" s="15" t="n">
        <f aca="false">AV38*AV39*(1000*Inputs!$F$123/Inputs!$F$124)</f>
        <v>12307387.1740342</v>
      </c>
      <c r="AW42" s="15" t="n">
        <f aca="false">AW38*AW39*(1000*Inputs!$F$123/Inputs!$F$124)</f>
        <v>12440500.4088286</v>
      </c>
      <c r="AX42" s="15" t="n">
        <f aca="false">AX38*AX39*(1000*Inputs!$F$123/Inputs!$F$124)</f>
        <v>12713551.6910673</v>
      </c>
      <c r="AY42" s="15" t="n">
        <f aca="false">AY38*AY39*(1000*Inputs!$F$123/Inputs!$F$124)</f>
        <v>12525207.8751131</v>
      </c>
      <c r="AZ42" s="15" t="n">
        <f aca="false">AZ38*AZ39*(1000*Inputs!$F$123/Inputs!$F$124)</f>
        <v>12156149.1608657</v>
      </c>
      <c r="BA42" s="15" t="n">
        <f aca="false">BA38*BA39*(1000*Inputs!$F$123/Inputs!$F$124)</f>
        <v>12051993.3837064</v>
      </c>
      <c r="BB42" s="15" t="n">
        <f aca="false">BB38*BB39*(1000*Inputs!$F$123/Inputs!$F$124)</f>
        <v>11850860.6796439</v>
      </c>
      <c r="BC42" s="15" t="n">
        <f aca="false">BC38*BC39*(1000*Inputs!$F$123/Inputs!$F$124)</f>
        <v>11990657.1900978</v>
      </c>
      <c r="BD42" s="15" t="n">
        <f aca="false">BD38*BD39*(1000*Inputs!$F$123/Inputs!$F$124)</f>
        <v>12276844.9882769</v>
      </c>
      <c r="BE42" s="15" t="n">
        <f aca="false">BE38*BE39*(1000*Inputs!$F$123/Inputs!$F$124)</f>
        <v>12253597.2105386</v>
      </c>
      <c r="BF42" s="15" t="n">
        <f aca="false">BF38*BF39*(1000*Inputs!$F$123/Inputs!$F$124)</f>
        <v>12214241.0091502</v>
      </c>
      <c r="BG42" s="15" t="n">
        <f aca="false">BG38*BG39*(1000*Inputs!$F$123/Inputs!$F$124)</f>
        <v>12273457.0492435</v>
      </c>
      <c r="BH42" s="15" t="n">
        <f aca="false">BH38*BH39*(1000*Inputs!$F$123/Inputs!$F$124)</f>
        <v>12398864.0364372</v>
      </c>
      <c r="BI42" s="15" t="n">
        <f aca="false">BI38*BI39*(1000*Inputs!$F$123/Inputs!$F$124)</f>
        <v>12092158.4882933</v>
      </c>
      <c r="BJ42" s="15" t="n">
        <f aca="false">BJ38*BJ39*(1000*Inputs!$F$123/Inputs!$F$124)</f>
        <v>11486484.5603735</v>
      </c>
      <c r="BK42" s="15" t="n">
        <f aca="false">BK38*BK39*(1000*Inputs!$F$123/Inputs!$F$124)</f>
        <v>11713337.4287702</v>
      </c>
      <c r="BL42" s="15" t="n">
        <f aca="false">BL38*BL39*(1000*Inputs!$F$123/Inputs!$F$124)</f>
        <v>12173331.468465</v>
      </c>
      <c r="BM42" s="15" t="n">
        <f aca="false">BM38*BM39*(1000*Inputs!$F$123/Inputs!$F$124)</f>
        <v>8111600.41959311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2.33838631522286</v>
      </c>
      <c r="K46" s="13" t="n">
        <f aca="false">Inputs!$F$136*(Inputs!$F$137*K20/100+(1-Inputs!$F$137)*K26/100*Inputs!$F$138/K11)</f>
        <v>2.38639556730035</v>
      </c>
      <c r="L46" s="13" t="n">
        <f aca="false">Inputs!$F$136*(Inputs!$F$137*L20/100+(1-Inputs!$F$137)*L26/100*Inputs!$F$138/L11)</f>
        <v>2.43575582791147</v>
      </c>
      <c r="M46" s="13" t="n">
        <f aca="false">Inputs!$F$136*(Inputs!$F$137*M20/100+(1-Inputs!$F$137)*M26/100*Inputs!$F$138/M11)</f>
        <v>2.48651228324525</v>
      </c>
      <c r="N46" s="13" t="n">
        <f aca="false">Inputs!$F$136*(Inputs!$F$137*N20/100+(1-Inputs!$F$137)*N26/100*Inputs!$F$138/N11)</f>
        <v>2.5387117334085</v>
      </c>
      <c r="O46" s="13" t="n">
        <f aca="false">Inputs!$F$136*(Inputs!$F$137*O20/100+(1-Inputs!$F$137)*O26/100*Inputs!$F$138/O11)</f>
        <v>2.59240265130605</v>
      </c>
      <c r="P46" s="13" t="n">
        <f aca="false">Inputs!$F$136*(Inputs!$F$137*P20/100+(1-Inputs!$F$137)*P26/100*Inputs!$F$138/P11)</f>
        <v>2.64763524368302</v>
      </c>
      <c r="Q46" s="13" t="n">
        <f aca="false">Inputs!$F$136*(Inputs!$F$137*Q20/100+(1-Inputs!$F$137)*Q26/100*Inputs!$F$138/Q11)</f>
        <v>2.70446151440863</v>
      </c>
      <c r="R46" s="13" t="n">
        <f aca="false">Inputs!$F$136*(Inputs!$F$137*R20/100+(1-Inputs!$F$137)*R26/100*Inputs!$F$138/R11)</f>
        <v>2.7629353300842</v>
      </c>
      <c r="S46" s="13" t="n">
        <f aca="false">Inputs!$F$136*(Inputs!$F$137*S20/100+(1-Inputs!$F$137)*S26/100*Inputs!$F$138/S11)</f>
        <v>2.8231124880606</v>
      </c>
      <c r="T46" s="13" t="n">
        <f aca="false">Inputs!$F$136*(Inputs!$F$137*T20/100+(1-Inputs!$F$137)*T26/100*Inputs!$F$138/T11)</f>
        <v>2.88505078695397</v>
      </c>
      <c r="U46" s="13" t="n">
        <f aca="false">Inputs!$F$136*(Inputs!$F$137*U20/100+(1-Inputs!$F$137)*U26/100*Inputs!$F$138/U11)</f>
        <v>2.94881009975167</v>
      </c>
      <c r="V46" s="13" t="n">
        <f aca="false">Inputs!$F$136*(Inputs!$F$137*V20/100+(1-Inputs!$F$137)*V26/100*Inputs!$F$138/V11)</f>
        <v>3.01445244960353</v>
      </c>
      <c r="W46" s="13" t="n">
        <f aca="false">Inputs!$F$136*(Inputs!$F$137*W20/100+(1-Inputs!$F$137)*W26/100*Inputs!$F$138/W11)</f>
        <v>3.0820420883975</v>
      </c>
      <c r="X46" s="13" t="n">
        <f aca="false">Inputs!$F$136*(Inputs!$F$137*X20/100+(1-Inputs!$F$137)*X26/100*Inputs!$F$138/X11)</f>
        <v>3.15164557822191</v>
      </c>
      <c r="Y46" s="13" t="n">
        <f aca="false">Inputs!$F$136*(Inputs!$F$137*Y20/100+(1-Inputs!$F$137)*Y26/100*Inputs!$F$138/Y11)</f>
        <v>3.22333187582074</v>
      </c>
      <c r="Z46" s="13" t="n">
        <f aca="false">Inputs!$F$136*(Inputs!$F$137*Z20/100+(1-Inputs!$F$137)*Z26/100*Inputs!$F$138/Z11)</f>
        <v>3.29717242015189</v>
      </c>
      <c r="AA46" s="13" t="n">
        <f aca="false">Inputs!$F$136*(Inputs!$F$137*AA20/100+(1-Inputs!$F$137)*AA26/100*Inputs!$F$138/AA11)</f>
        <v>3.37324122316271</v>
      </c>
      <c r="AB46" s="13" t="n">
        <f aca="false">Inputs!$F$136*(Inputs!$F$137*AB20/100+(1-Inputs!$F$137)*AB26/100*Inputs!$F$138/AB11)</f>
        <v>3.45161496390119</v>
      </c>
      <c r="AC46" s="13" t="n">
        <f aca="false">Inputs!$F$136*(Inputs!$F$137*AC20/100+(1-Inputs!$F$137)*AC26/100*Inputs!$F$138/AC11)</f>
        <v>3.53237308608553</v>
      </c>
      <c r="AD46" s="13" t="n">
        <f aca="false">Inputs!$F$136*(Inputs!$F$137*AD20/100+(1-Inputs!$F$137)*AD26/100*Inputs!$F$138/AD11)</f>
        <v>3.61559789925929</v>
      </c>
      <c r="AE46" s="13" t="n">
        <f aca="false">Inputs!$F$136*(Inputs!$F$137*AE20/100+(1-Inputs!$F$137)*AE26/100*Inputs!$F$138/AE11)</f>
        <v>3.70137468366422</v>
      </c>
      <c r="AF46" s="13" t="n">
        <f aca="false">Inputs!$F$136*(Inputs!$F$137*AF20/100+(1-Inputs!$F$137)*AF26/100*Inputs!$F$138/AF11)</f>
        <v>3.78979179896742</v>
      </c>
      <c r="AG46" s="13" t="n">
        <f aca="false">Inputs!$F$136*(Inputs!$F$137*AG20/100+(1-Inputs!$F$137)*AG26/100*Inputs!$F$138/AG11)</f>
        <v>3.88094079698485</v>
      </c>
      <c r="AH46" s="13" t="n">
        <f aca="false">Inputs!$F$136*(Inputs!$F$137*AH20/100+(1-Inputs!$F$137)*AH26/100*Inputs!$F$138/AH11)</f>
        <v>3.97491653854802</v>
      </c>
      <c r="AI46" s="13" t="n">
        <f aca="false">Inputs!$F$136*(Inputs!$F$137*AI20/100+(1-Inputs!$F$137)*AI26/100*Inputs!$F$138/AI11)</f>
        <v>4.07181731466661</v>
      </c>
      <c r="AJ46" s="13" t="n">
        <f aca="false">Inputs!$F$136*(Inputs!$F$137*AJ20/100+(1-Inputs!$F$137)*AJ26/100*Inputs!$F$138/AJ11)</f>
        <v>4.17174497214487</v>
      </c>
      <c r="AK46" s="13" t="n">
        <f aca="false">Inputs!$F$136*(Inputs!$F$137*AK20/100+(1-Inputs!$F$137)*AK26/100*Inputs!$F$138/AK11)</f>
        <v>4.27480504381591</v>
      </c>
      <c r="AL46" s="13" t="n">
        <f aca="false">Inputs!$F$136*(Inputs!$F$137*AL20/100+(1-Inputs!$F$137)*AL26/100*Inputs!$F$138/AL11)</f>
        <v>4.38110688356373</v>
      </c>
      <c r="AM46" s="13" t="n">
        <f aca="false">Inputs!$F$136*(Inputs!$F$137*AM20/100+(1-Inputs!$F$137)*AM26/100*Inputs!$F$138/AM11)</f>
        <v>4.49076380630914</v>
      </c>
      <c r="AN46" s="13" t="n">
        <f aca="false">Inputs!$F$136*(Inputs!$F$137*AN20/100+(1-Inputs!$F$137)*AN26/100*Inputs!$F$138/AN11)</f>
        <v>4.60389323314244</v>
      </c>
      <c r="AO46" s="13" t="n">
        <f aca="false">Inputs!$F$136*(Inputs!$F$137*AO20/100+(1-Inputs!$F$137)*AO26/100*Inputs!$F$138/AO11)</f>
        <v>4.72061684179214</v>
      </c>
      <c r="AP46" s="13" t="n">
        <f aca="false">Inputs!$F$136*(Inputs!$F$137*AP20/100+(1-Inputs!$F$137)*AP26/100*Inputs!$F$138/AP11)</f>
        <v>4.8410607226261</v>
      </c>
      <c r="AQ46" s="13" t="n">
        <f aca="false">Inputs!$F$136*(Inputs!$F$137*AQ20/100+(1-Inputs!$F$137)*AQ26/100*Inputs!$F$138/AQ11)</f>
        <v>4.96535554038882</v>
      </c>
      <c r="AR46" s="13" t="n">
        <f aca="false">Inputs!$F$136*(Inputs!$F$137*AR20/100+(1-Inputs!$F$137)*AR26/100*Inputs!$F$138/AR11)</f>
        <v>5.09363670188595</v>
      </c>
      <c r="AS46" s="13" t="n">
        <f aca="false">Inputs!$F$136*(Inputs!$F$137*AS20/100+(1-Inputs!$F$137)*AS26/100*Inputs!$F$138/AS11)</f>
        <v>5.22604452983486</v>
      </c>
      <c r="AT46" s="13" t="n">
        <f aca="false">Inputs!$F$136*(Inputs!$F$137*AT20/100+(1-Inputs!$F$137)*AT26/100*Inputs!$F$138/AT11)</f>
        <v>5.36272444310829</v>
      </c>
      <c r="AU46" s="13" t="n">
        <f aca="false">Inputs!$F$136*(Inputs!$F$137*AU20/100+(1-Inputs!$F$137)*AU26/100*Inputs!$F$138/AU11)</f>
        <v>5.50382714360639</v>
      </c>
      <c r="AV46" s="13" t="n">
        <f aca="false">Inputs!$F$136*(Inputs!$F$137*AV20/100+(1-Inputs!$F$137)*AV26/100*Inputs!$F$138/AV11)</f>
        <v>5.64950881000107</v>
      </c>
      <c r="AW46" s="13" t="n">
        <f aca="false">Inputs!$F$136*(Inputs!$F$137*AW20/100+(1-Inputs!$F$137)*AW26/100*Inputs!$F$138/AW11)</f>
        <v>5.79993129860563</v>
      </c>
      <c r="AX46" s="13" t="n">
        <f aca="false">Inputs!$F$136*(Inputs!$F$137*AX20/100+(1-Inputs!$F$137)*AX26/100*Inputs!$F$138/AX11)</f>
        <v>5.95526235163199</v>
      </c>
      <c r="AY46" s="13" t="n">
        <f aca="false">Inputs!$F$136*(Inputs!$F$137*AY20/100+(1-Inputs!$F$137)*AY26/100*Inputs!$F$138/AY11)</f>
        <v>6.11567581310736</v>
      </c>
      <c r="AZ46" s="13" t="n">
        <f aca="false">Inputs!$F$136*(Inputs!$F$137*AZ20/100+(1-Inputs!$F$137)*AZ26/100*Inputs!$F$138/AZ11)</f>
        <v>6.28135185273234</v>
      </c>
      <c r="BA46" s="13" t="n">
        <f aca="false">Inputs!$F$136*(Inputs!$F$137*BA20/100+(1-Inputs!$F$137)*BA26/100*Inputs!$F$138/BA11)</f>
        <v>6.45247719797273</v>
      </c>
      <c r="BB46" s="13" t="n">
        <f aca="false">Inputs!$F$136*(Inputs!$F$137*BB20/100+(1-Inputs!$F$137)*BB26/100*Inputs!$F$138/BB11)</f>
        <v>6.62924537468815</v>
      </c>
      <c r="BC46" s="13" t="n">
        <f aca="false">Inputs!$F$136*(Inputs!$F$137*BC20/100+(1-Inputs!$F$137)*BC26/100*Inputs!$F$138/BC11)</f>
        <v>6.81185695661168</v>
      </c>
      <c r="BD46" s="13" t="n">
        <f aca="false">Inputs!$F$136*(Inputs!$F$137*BD20/100+(1-Inputs!$F$137)*BD26/100*Inputs!$F$138/BD11)</f>
        <v>7.0005198240064</v>
      </c>
      <c r="BE46" s="13" t="n">
        <f aca="false">Inputs!$F$136*(Inputs!$F$137*BE20/100+(1-Inputs!$F$137)*BE26/100*Inputs!$F$138/BE11)</f>
        <v>7.19544943183643</v>
      </c>
      <c r="BF46" s="13" t="n">
        <f aca="false">Inputs!$F$136*(Inputs!$F$137*BF20/100+(1-Inputs!$F$137)*BF26/100*Inputs!$F$138/BF11)</f>
        <v>7.39686908780302</v>
      </c>
      <c r="BG46" s="13" t="n">
        <f aca="false">Inputs!$F$136*(Inputs!$F$137*BG20/100+(1-Inputs!$F$137)*BG26/100*Inputs!$F$138/BG11)</f>
        <v>7.60501024060845</v>
      </c>
      <c r="BH46" s="13" t="n">
        <f aca="false">Inputs!$F$136*(Inputs!$F$137*BH20/100+(1-Inputs!$F$137)*BH26/100*Inputs!$F$138/BH11)</f>
        <v>7.82011277882459</v>
      </c>
      <c r="BI46" s="13" t="n">
        <f aca="false">Inputs!$F$136*(Inputs!$F$137*BI20/100+(1-Inputs!$F$137)*BI26/100*Inputs!$F$138/BI11)</f>
        <v>8.04242534075625</v>
      </c>
      <c r="BJ46" s="13" t="n">
        <f aca="false">Inputs!$F$136*(Inputs!$F$137*BJ20/100+(1-Inputs!$F$137)*BJ26/100*Inputs!$F$138/BJ11)</f>
        <v>8.2722056357041</v>
      </c>
      <c r="BK46" s="13" t="n">
        <f aca="false">Inputs!$F$136*(Inputs!$F$137*BK20/100+(1-Inputs!$F$137)*BK26/100*Inputs!$F$138/BK11)</f>
        <v>8.50972077704688</v>
      </c>
      <c r="BL46" s="13" t="n">
        <f aca="false">Inputs!$F$136*(Inputs!$F$137*BL20/100+(1-Inputs!$F$137)*BL26/100*Inputs!$F$138/BL11)</f>
        <v>8.75524762757792</v>
      </c>
      <c r="BM46" s="13" t="n">
        <f aca="false">Inputs!$F$136*(Inputs!$F$137*BM20/100+(1-Inputs!$F$137)*BM26/100*Inputs!$F$138/BM11)</f>
        <v>9.009073157547</v>
      </c>
      <c r="BN46" s="13" t="n">
        <f aca="false">Inputs!$F$136*(Inputs!$F$137*BN20/100+(1-Inputs!$F$137)*BN26/100*Inputs!$F$138/BN11)</f>
        <v>9.27149481587548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0.995057364241118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0.99270615411825</v>
      </c>
      <c r="AE47" s="13" t="n">
        <f aca="false">MIN(1,AE32/Inputs!$F$133)</f>
        <v>0.994109004398657</v>
      </c>
      <c r="AF47" s="13" t="n">
        <f aca="false">MIN(1,AF32/Inputs!$F$133)</f>
        <v>0.996914704959471</v>
      </c>
      <c r="AG47" s="13" t="n">
        <f aca="false">MIN(1,AG32/Inputs!$F$133)</f>
        <v>0.997882027271784</v>
      </c>
      <c r="AH47" s="13" t="n">
        <f aca="false">MIN(1,AH32/Inputs!$F$133)</f>
        <v>0.999816671896409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0.99345310301235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0.975138545491885</v>
      </c>
      <c r="AU47" s="13" t="n">
        <f aca="false">MIN(1,AU32/Inputs!$F$133)</f>
        <v>0.994580259406939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0.998575155050375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0.972378732875784</v>
      </c>
      <c r="BK47" s="13" t="n">
        <f aca="false">MIN(1,BK32/Inputs!$F$133)</f>
        <v>0.992161578363152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3637.89100741543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20.2373189555027</v>
      </c>
      <c r="P48" s="13" t="n">
        <f aca="false">$F$34*1000*Time!P30*(P45+P46)*P47/1000000</f>
        <v>61.0273191190045</v>
      </c>
      <c r="Q48" s="13" t="n">
        <f aca="false">$F$34*1000*Time!Q30*(Q45+Q46)*Q47/1000000</f>
        <v>61.3496245504249</v>
      </c>
      <c r="R48" s="13" t="n">
        <f aca="false">$F$34*1000*Time!R30*(R45+R46)*R47/1000000</f>
        <v>61.3742205228359</v>
      </c>
      <c r="S48" s="13" t="n">
        <f aca="false">$F$34*1000*Time!S30*(S45+S46)*S47/1000000</f>
        <v>62.0158902330448</v>
      </c>
      <c r="T48" s="13" t="n">
        <f aca="false">$F$34*1000*Time!T30*(T45+T46)*T47/1000000</f>
        <v>62.3602808112434</v>
      </c>
      <c r="U48" s="13" t="n">
        <f aca="false">$F$34*1000*Time!U30*(U45+U46)*U47/1000000</f>
        <v>62.7124757328732</v>
      </c>
      <c r="V48" s="13" t="n">
        <f aca="false">$F$34*1000*Time!V30*(V45+V46)*V47/1000000</f>
        <v>63.072709011947</v>
      </c>
      <c r="W48" s="13" t="n">
        <f aca="false">$F$34*1000*Time!W30*(W45+W46)*W47/1000000</f>
        <v>63.4412226954361</v>
      </c>
      <c r="X48" s="13" t="n">
        <f aca="false">$F$34*1000*Time!X30*(X45+X46)*X47/1000000</f>
        <v>63.8182671526664</v>
      </c>
      <c r="Y48" s="13" t="n">
        <f aca="false">$F$34*1000*Time!Y30*(Y45+Y46)*Y47/1000000</f>
        <v>64.2041013752994</v>
      </c>
      <c r="Z48" s="13" t="n">
        <f aca="false">$F$34*1000*Time!Z30*(Z45+Z46)*Z47/1000000</f>
        <v>64.5989932882888</v>
      </c>
      <c r="AA48" s="13" t="n">
        <f aca="false">$F$34*1000*Time!AA30*(AA45+AA46)*AA47/1000000</f>
        <v>65.0032200722153</v>
      </c>
      <c r="AB48" s="13" t="n">
        <f aca="false">$F$34*1000*Time!AB30*(AB45+AB46)*AB47/1000000</f>
        <v>65.4170684974174</v>
      </c>
      <c r="AC48" s="13" t="n">
        <f aca="false">$F$34*1000*Time!AC30*(AC45+AC46)*AC47/1000000</f>
        <v>65.8408352703532</v>
      </c>
      <c r="AD48" s="13" t="n">
        <f aca="false">$F$34*1000*Time!AD30*(AD45+AD46)*AD47/1000000</f>
        <v>65.7914290157991</v>
      </c>
      <c r="AE48" s="13" t="n">
        <f aca="false">$F$34*1000*Time!AE30*(AE45+AE46)*AE47/1000000</f>
        <v>66.3263190620364</v>
      </c>
      <c r="AF48" s="13" t="n">
        <f aca="false">$F$34*1000*Time!AF30*(AF45+AF46)*AF47/1000000</f>
        <v>66.9675154313677</v>
      </c>
      <c r="AG48" s="13" t="n">
        <f aca="false">$F$34*1000*Time!AG30*(AG45+AG46)*AG47/1000000</f>
        <v>67.4981255954825</v>
      </c>
      <c r="AH48" s="13" t="n">
        <f aca="false">$F$34*1000*Time!AH30*(AH45+AH46)*AH47/1000000</f>
        <v>68.1070827345817</v>
      </c>
      <c r="AI48" s="13" t="n">
        <f aca="false">$F$34*1000*Time!AI30*(AI45+AI46)*AI47/1000000</f>
        <v>68.6096820207052</v>
      </c>
      <c r="AJ48" s="13" t="n">
        <f aca="false">$F$34*1000*Time!AJ30*(AJ45+AJ46)*AJ47/1000000</f>
        <v>69.1120984575251</v>
      </c>
      <c r="AK48" s="13" t="n">
        <f aca="false">$F$34*1000*Time!AK30*(AK45+AK46)*AK47/1000000</f>
        <v>69.6272105651001</v>
      </c>
      <c r="AL48" s="13" t="n">
        <f aca="false">$F$34*1000*Time!AL30*(AL45+AL46)*AL47/1000000</f>
        <v>69.6961219923474</v>
      </c>
      <c r="AM48" s="13" t="n">
        <f aca="false">$F$34*1000*Time!AM30*(AM45+AM46)*AM47/1000000</f>
        <v>70.6971518602512</v>
      </c>
      <c r="AN48" s="13" t="n">
        <f aca="false">$F$34*1000*Time!AN30*(AN45+AN46)*AN47/1000000</f>
        <v>71.252832046144</v>
      </c>
      <c r="AO48" s="13" t="n">
        <f aca="false">$F$34*1000*Time!AO30*(AO45+AO46)*AO47/1000000</f>
        <v>71.8229109473265</v>
      </c>
      <c r="AP48" s="13" t="n">
        <f aca="false">$F$34*1000*Time!AP30*(AP45+AP46)*AP47/1000000</f>
        <v>72.4078524188859</v>
      </c>
      <c r="AQ48" s="13" t="n">
        <f aca="false">$F$34*1000*Time!AQ30*(AQ45+AQ46)*AQ47/1000000</f>
        <v>73.0081366699316</v>
      </c>
      <c r="AR48" s="13" t="n">
        <f aca="false">$F$34*1000*Time!AR30*(AR45+AR46)*AR47/1000000</f>
        <v>73.6242608578269</v>
      </c>
      <c r="AS48" s="13" t="n">
        <f aca="false">$F$34*1000*Time!AS30*(AS45+AS46)*AS47/1000000</f>
        <v>74.256739704215</v>
      </c>
      <c r="AT48" s="13" t="n">
        <f aca="false">$F$34*1000*Time!AT30*(AT45+AT46)*AT47/1000000</f>
        <v>73.0438313836175</v>
      </c>
      <c r="AU48" s="13" t="n">
        <f aca="false">$F$34*1000*Time!AU30*(AU45+AU46)*AU47/1000000</f>
        <v>75.1633263570348</v>
      </c>
      <c r="AV48" s="13" t="n">
        <f aca="false">$F$34*1000*Time!AV30*(AV45+AV46)*AV47/1000000</f>
        <v>76.2577284508304</v>
      </c>
      <c r="AW48" s="13" t="n">
        <f aca="false">$F$34*1000*Time!AW30*(AW45+AW46)*AW47/1000000</f>
        <v>76.9611472829288</v>
      </c>
      <c r="AX48" s="13" t="n">
        <f aca="false">$F$34*1000*Time!AX30*(AX45+AX46)*AX47/1000000</f>
        <v>77.6837810358603</v>
      </c>
      <c r="AY48" s="13" t="n">
        <f aca="false">$F$34*1000*Time!AY30*(AY45+AY46)*AY47/1000000</f>
        <v>78.4262640787051</v>
      </c>
      <c r="AZ48" s="13" t="n">
        <f aca="false">$F$34*1000*Time!AZ30*(AZ45+AZ46)*AZ47/1000000</f>
        <v>79.1892533383975</v>
      </c>
      <c r="BA48" s="13" t="n">
        <f aca="false">$F$34*1000*Time!BA30*(BA45+BA46)*BA47/1000000</f>
        <v>79.9734291215722</v>
      </c>
      <c r="BB48" s="13" t="n">
        <f aca="false">$F$34*1000*Time!BB30*(BB45+BB46)*BB47/1000000</f>
        <v>80.6643977097143</v>
      </c>
      <c r="BC48" s="13" t="n">
        <f aca="false">$F$34*1000*Time!BC30*(BC45+BC46)*BC47/1000000</f>
        <v>81.6081835267518</v>
      </c>
      <c r="BD48" s="13" t="n">
        <f aca="false">$F$34*1000*Time!BD30*(BD45+BD46)*BD47/1000000</f>
        <v>82.4602474861557</v>
      </c>
      <c r="BE48" s="13" t="n">
        <f aca="false">$F$34*1000*Time!BE30*(BE45+BE46)*BE47/1000000</f>
        <v>83.3364705088821</v>
      </c>
      <c r="BF48" s="13" t="n">
        <f aca="false">$F$34*1000*Time!BF30*(BF45+BF46)*BF47/1000000</f>
        <v>84.2376632232519</v>
      </c>
      <c r="BG48" s="13" t="n">
        <f aca="false">$F$34*1000*Time!BG30*(BG45+BG46)*BG47/1000000</f>
        <v>85.1646652421348</v>
      </c>
      <c r="BH48" s="13" t="n">
        <f aca="false">$F$34*1000*Time!BH30*(BH45+BH46)*BH47/1000000</f>
        <v>86.1183462207393</v>
      </c>
      <c r="BI48" s="13" t="n">
        <f aca="false">$F$34*1000*Time!BI30*(BI45+BI46)*BI47/1000000</f>
        <v>87.0996069532478</v>
      </c>
      <c r="BJ48" s="13" t="n">
        <f aca="false">$F$34*1000*Time!BJ30*(BJ45+BJ46)*BJ47/1000000</f>
        <v>85.6756877745186</v>
      </c>
      <c r="BK48" s="13" t="n">
        <f aca="false">$F$34*1000*Time!BK30*(BK45+BK46)*BK47/1000000</f>
        <v>88.4498488377397</v>
      </c>
      <c r="BL48" s="13" t="n">
        <f aca="false">$F$34*1000*Time!BL30*(BL45+BL46)*BL47/1000000</f>
        <v>90.2183668695739</v>
      </c>
      <c r="BM48" s="13" t="n">
        <f aca="false">$F$34*1000*Time!BM30*(BM45+BM46)*BM47/1000000</f>
        <v>60.8797453456989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3.91993725417754</v>
      </c>
      <c r="K49" s="13" t="n">
        <f aca="false">Inputs!$F$139*(Inputs!$F$140*K20/100+(1-Inputs!$F$140)*K26/100*Inputs!$F$138/K11)</f>
        <v>3.99240775965007</v>
      </c>
      <c r="L49" s="13" t="n">
        <f aca="false">Inputs!$F$139*(Inputs!$F$140*L20/100+(1-Inputs!$F$140)*L26/100*Inputs!$F$138/L11)</f>
        <v>4.0667604783796</v>
      </c>
      <c r="M49" s="13" t="n">
        <f aca="false">Inputs!$F$139*(Inputs!$F$140*M20/100+(1-Inputs!$F$140)*M26/100*Inputs!$F$138/M11)</f>
        <v>4.1430561138115</v>
      </c>
      <c r="N49" s="13" t="n">
        <f aca="false">Inputs!$F$139*(Inputs!$F$140*N20/100+(1-Inputs!$F$140)*N26/100*Inputs!$F$138/N11)</f>
        <v>4.22135751044608</v>
      </c>
      <c r="O49" s="13" t="n">
        <f aca="false">Inputs!$F$139*(Inputs!$F$140*O20/100+(1-Inputs!$F$140)*O26/100*Inputs!$F$138/O11)</f>
        <v>4.30172973164465</v>
      </c>
      <c r="P49" s="13" t="n">
        <f aca="false">Inputs!$F$139*(Inputs!$F$140*P20/100+(1-Inputs!$F$140)*P26/100*Inputs!$F$138/P11)</f>
        <v>4.38424014028922</v>
      </c>
      <c r="Q49" s="13" t="n">
        <f aca="false">Inputs!$F$139*(Inputs!$F$140*Q20/100+(1-Inputs!$F$140)*Q26/100*Inputs!$F$138/Q11)</f>
        <v>4.4689584824008</v>
      </c>
      <c r="R49" s="13" t="n">
        <f aca="false">Inputs!$F$139*(Inputs!$F$140*R20/100+(1-Inputs!$F$140)*R26/100*Inputs!$F$138/R11)</f>
        <v>4.55595697382501</v>
      </c>
      <c r="S49" s="13" t="n">
        <f aca="false">Inputs!$F$139*(Inputs!$F$140*S20/100+(1-Inputs!$F$140)*S26/100*Inputs!$F$138/S11)</f>
        <v>4.64531039009803</v>
      </c>
      <c r="T49" s="13" t="n">
        <f aca="false">Inputs!$F$139*(Inputs!$F$140*T20/100+(1-Inputs!$F$140)*T26/100*Inputs!$F$138/T11)</f>
        <v>4.73709615960957</v>
      </c>
      <c r="U49" s="13" t="n">
        <f aca="false">Inputs!$F$139*(Inputs!$F$140*U20/100+(1-Inputs!$F$140)*U26/100*Inputs!$F$138/U11)</f>
        <v>4.83139446018443</v>
      </c>
      <c r="V49" s="13" t="n">
        <f aca="false">Inputs!$F$139*(Inputs!$F$140*V20/100+(1-Inputs!$F$140)*V26/100*Inputs!$F$138/V11)</f>
        <v>4.92828831920819</v>
      </c>
      <c r="W49" s="13" t="n">
        <f aca="false">Inputs!$F$139*(Inputs!$F$140*W20/100+(1-Inputs!$F$140)*W26/100*Inputs!$F$138/W11)</f>
        <v>5.02786371742742</v>
      </c>
      <c r="X49" s="13" t="n">
        <f aca="false">Inputs!$F$139*(Inputs!$F$140*X20/100+(1-Inputs!$F$140)*X26/100*Inputs!$F$138/X11)</f>
        <v>5.13020969655976</v>
      </c>
      <c r="Y49" s="13" t="n">
        <f aca="false">Inputs!$F$139*(Inputs!$F$140*Y20/100+(1-Inputs!$F$140)*Y26/100*Inputs!$F$138/Y11)</f>
        <v>5.23541847085369</v>
      </c>
      <c r="Z49" s="13" t="n">
        <f aca="false">Inputs!$F$139*(Inputs!$F$140*Z20/100+(1-Inputs!$F$140)*Z26/100*Inputs!$F$138/Z11)</f>
        <v>5.34358554274364</v>
      </c>
      <c r="AA49" s="13" t="n">
        <f aca="false">Inputs!$F$139*(Inputs!$F$140*AA20/100+(1-Inputs!$F$140)*AA26/100*Inputs!$F$138/AA11)</f>
        <v>5.45480982275084</v>
      </c>
      <c r="AB49" s="13" t="n">
        <f aca="false">Inputs!$F$139*(Inputs!$F$140*AB20/100+(1-Inputs!$F$140)*AB26/100*Inputs!$F$138/AB11)</f>
        <v>5.56919375378619</v>
      </c>
      <c r="AC49" s="13" t="n">
        <f aca="false">Inputs!$F$139*(Inputs!$F$140*AC20/100+(1-Inputs!$F$140)*AC26/100*Inputs!$F$138/AC11)</f>
        <v>5.68684344001716</v>
      </c>
      <c r="AD49" s="13" t="n">
        <f aca="false">Inputs!$F$139*(Inputs!$F$140*AD20/100+(1-Inputs!$F$140)*AD26/100*Inputs!$F$138/AD11)</f>
        <v>5.80786878046647</v>
      </c>
      <c r="AE49" s="13" t="n">
        <f aca="false">Inputs!$F$139*(Inputs!$F$140*AE20/100+(1-Inputs!$F$140)*AE26/100*Inputs!$F$138/AE11)</f>
        <v>5.93238360751685</v>
      </c>
      <c r="AF49" s="13" t="n">
        <f aca="false">Inputs!$F$139*(Inputs!$F$140*AF20/100+(1-Inputs!$F$140)*AF26/100*Inputs!$F$138/AF11)</f>
        <v>6.06050583050217</v>
      </c>
      <c r="AG49" s="13" t="n">
        <f aca="false">Inputs!$F$139*(Inputs!$F$140*AG20/100+(1-Inputs!$F$140)*AG26/100*Inputs!$F$138/AG11)</f>
        <v>6.1923575845722</v>
      </c>
      <c r="AH49" s="13" t="n">
        <f aca="false">Inputs!$F$139*(Inputs!$F$140*AH20/100+(1-Inputs!$F$140)*AH26/100*Inputs!$F$138/AH11)</f>
        <v>6.32806538502503</v>
      </c>
      <c r="AI49" s="13" t="n">
        <f aca="false">Inputs!$F$139*(Inputs!$F$140*AI20/100+(1-Inputs!$F$140)*AI26/100*Inputs!$F$138/AI11)</f>
        <v>6.46776028730827</v>
      </c>
      <c r="AJ49" s="13" t="n">
        <f aca="false">Inputs!$F$139*(Inputs!$F$140*AJ20/100+(1-Inputs!$F$140)*AJ26/100*Inputs!$F$138/AJ11)</f>
        <v>6.61157805289761</v>
      </c>
      <c r="AK49" s="13" t="n">
        <f aca="false">Inputs!$F$139*(Inputs!$F$140*AK20/100+(1-Inputs!$F$140)*AK26/100*Inputs!$F$138/AK11)</f>
        <v>6.75965932126911</v>
      </c>
      <c r="AL49" s="13" t="n">
        <f aca="false">Inputs!$F$139*(Inputs!$F$140*AL20/100+(1-Inputs!$F$140)*AL26/100*Inputs!$F$138/AL11)</f>
        <v>6.91214978818927</v>
      </c>
      <c r="AM49" s="13" t="n">
        <f aca="false">Inputs!$F$139*(Inputs!$F$140*AM20/100+(1-Inputs!$F$140)*AM26/100*Inputs!$F$138/AM11)</f>
        <v>7.06920039055542</v>
      </c>
      <c r="AN49" s="13" t="n">
        <f aca="false">Inputs!$F$139*(Inputs!$F$140*AN20/100+(1-Inputs!$F$140)*AN26/100*Inputs!$F$138/AN11)</f>
        <v>7.23096749802759</v>
      </c>
      <c r="AO49" s="13" t="n">
        <f aca="false">Inputs!$F$139*(Inputs!$F$140*AO20/100+(1-Inputs!$F$140)*AO26/100*Inputs!$F$138/AO11)</f>
        <v>7.39761311170151</v>
      </c>
      <c r="AP49" s="13" t="n">
        <f aca="false">Inputs!$F$139*(Inputs!$F$140*AP20/100+(1-Inputs!$F$140)*AP26/100*Inputs!$F$138/AP11)</f>
        <v>7.56930507008209</v>
      </c>
      <c r="AQ49" s="13" t="n">
        <f aca="false">Inputs!$F$139*(Inputs!$F$140*AQ20/100+(1-Inputs!$F$140)*AQ26/100*Inputs!$F$138/AQ11)</f>
        <v>7.74621726262586</v>
      </c>
      <c r="AR49" s="13" t="n">
        <f aca="false">Inputs!$F$139*(Inputs!$F$140*AR20/100+(1-Inputs!$F$140)*AR26/100*Inputs!$F$138/AR11)</f>
        <v>7.92852985113095</v>
      </c>
      <c r="AS49" s="13" t="n">
        <f aca="false">Inputs!$F$139*(Inputs!$F$140*AS20/100+(1-Inputs!$F$140)*AS26/100*Inputs!$F$138/AS11)</f>
        <v>8.11642949926347</v>
      </c>
      <c r="AT49" s="13" t="n">
        <f aca="false">Inputs!$F$139*(Inputs!$F$140*AT20/100+(1-Inputs!$F$140)*AT26/100*Inputs!$F$138/AT11)</f>
        <v>8.31010961051956</v>
      </c>
      <c r="AU49" s="13" t="n">
        <f aca="false">Inputs!$F$139*(Inputs!$F$140*AU20/100+(1-Inputs!$F$140)*AU26/100*Inputs!$F$138/AU11)</f>
        <v>8.50977057493371</v>
      </c>
      <c r="AV49" s="13" t="n">
        <f aca="false">Inputs!$F$139*(Inputs!$F$140*AV20/100+(1-Inputs!$F$140)*AV26/100*Inputs!$F$138/AV11)</f>
        <v>8.71562002485508</v>
      </c>
      <c r="AW49" s="13" t="n">
        <f aca="false">Inputs!$F$139*(Inputs!$F$140*AW20/100+(1-Inputs!$F$140)*AW26/100*Inputs!$F$138/AW11)</f>
        <v>8.92787310012565</v>
      </c>
      <c r="AX49" s="13" t="n">
        <f aca="false">Inputs!$F$139*(Inputs!$F$140*AX20/100+(1-Inputs!$F$140)*AX26/100*Inputs!$F$138/AX11)</f>
        <v>9.14675272300615</v>
      </c>
      <c r="AY49" s="13" t="n">
        <f aca="false">Inputs!$F$139*(Inputs!$F$140*AY20/100+(1-Inputs!$F$140)*AY26/100*Inputs!$F$138/AY11)</f>
        <v>9.3724898832085</v>
      </c>
      <c r="AZ49" s="13" t="n">
        <f aca="false">Inputs!$F$139*(Inputs!$F$140*AZ20/100+(1-Inputs!$F$140)*AZ26/100*Inputs!$F$138/AZ11)</f>
        <v>9.60532393340674</v>
      </c>
      <c r="BA49" s="13" t="n">
        <f aca="false">Inputs!$F$139*(Inputs!$F$140*BA20/100+(1-Inputs!$F$140)*BA26/100*Inputs!$F$138/BA11)</f>
        <v>9.84550289561217</v>
      </c>
      <c r="BB49" s="13" t="n">
        <f aca="false">Inputs!$F$139*(Inputs!$F$140*BB20/100+(1-Inputs!$F$140)*BB26/100*Inputs!$F$138/BB11)</f>
        <v>10.0932837788123</v>
      </c>
      <c r="BC49" s="13" t="n">
        <f aca="false">Inputs!$F$139*(Inputs!$F$140*BC20/100+(1-Inputs!$F$140)*BC26/100*Inputs!$F$138/BC11)</f>
        <v>10.3489329082885</v>
      </c>
      <c r="BD49" s="13" t="n">
        <f aca="false">Inputs!$F$139*(Inputs!$F$140*BD20/100+(1-Inputs!$F$140)*BD26/100*Inputs!$F$138/BD11)</f>
        <v>10.6127262670418</v>
      </c>
      <c r="BE49" s="13" t="n">
        <f aca="false">Inputs!$F$139*(Inputs!$F$140*BE20/100+(1-Inputs!$F$140)*BE26/100*Inputs!$F$138/BE11)</f>
        <v>10.8849498497732</v>
      </c>
      <c r="BF49" s="13" t="n">
        <f aca="false">Inputs!$F$139*(Inputs!$F$140*BF20/100+(1-Inputs!$F$140)*BF26/100*Inputs!$F$138/BF11)</f>
        <v>11.1659000298793</v>
      </c>
      <c r="BG49" s="13" t="n">
        <f aca="false">Inputs!$F$139*(Inputs!$F$140*BG20/100+(1-Inputs!$F$140)*BG26/100*Inputs!$F$138/BG11)</f>
        <v>11.4558839399434</v>
      </c>
      <c r="BH49" s="13" t="n">
        <f aca="false">Inputs!$F$139*(Inputs!$F$140*BH20/100+(1-Inputs!$F$140)*BH26/100*Inputs!$F$138/BH11)</f>
        <v>11.7552198662191</v>
      </c>
      <c r="BI49" s="13" t="n">
        <f aca="false">Inputs!$F$139*(Inputs!$F$140*BI20/100+(1-Inputs!$F$140)*BI26/100*Inputs!$F$138/BI11)</f>
        <v>12.0642376576195</v>
      </c>
      <c r="BJ49" s="13" t="n">
        <f aca="false">Inputs!$F$139*(Inputs!$F$140*BJ20/100+(1-Inputs!$F$140)*BJ26/100*Inputs!$F$138/BJ11)</f>
        <v>12.383279149748</v>
      </c>
      <c r="BK49" s="13" t="n">
        <f aca="false">Inputs!$F$139*(Inputs!$F$140*BK20/100+(1-Inputs!$F$140)*BK26/100*Inputs!$F$138/BK11)</f>
        <v>12.7126986045235</v>
      </c>
      <c r="BL49" s="13" t="n">
        <f aca="false">Inputs!$F$139*(Inputs!$F$140*BL20/100+(1-Inputs!$F$140)*BL26/100*Inputs!$F$138/BL11)</f>
        <v>13.0528631659737</v>
      </c>
      <c r="BM49" s="13" t="n">
        <f aca="false">Inputs!$F$139*(Inputs!$F$140*BM20/100+(1-Inputs!$F$140)*BM26/100*Inputs!$F$138/BM11)</f>
        <v>13.4041533327921</v>
      </c>
      <c r="BN49" s="13" t="n">
        <f aca="false">Inputs!$F$139*(Inputs!$F$140*BN20/100+(1-Inputs!$F$140)*BN26/100*Inputs!$F$138/BN11)</f>
        <v>13.7669634482754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698.051662759213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2.61317612152158</v>
      </c>
      <c r="P50" s="13" t="n">
        <f aca="false">P38*P49/1000000</f>
        <v>7.98590096171413</v>
      </c>
      <c r="Q50" s="13" t="n">
        <f aca="false">Q38*Q49/1000000</f>
        <v>8.07127871069752</v>
      </c>
      <c r="R50" s="13" t="n">
        <f aca="false">R38*R49/1000000</f>
        <v>8.09421907626887</v>
      </c>
      <c r="S50" s="13" t="n">
        <f aca="false">S38*S49/1000000</f>
        <v>8.35491791129764</v>
      </c>
      <c r="T50" s="13" t="n">
        <f aca="false">T38*T49/1000000</f>
        <v>8.73400951421487</v>
      </c>
      <c r="U50" s="13" t="n">
        <f aca="false">U38*U49/1000000</f>
        <v>8.86186575792611</v>
      </c>
      <c r="V50" s="13" t="n">
        <f aca="false">V38*V49/1000000</f>
        <v>8.95266385884283</v>
      </c>
      <c r="W50" s="13" t="n">
        <f aca="false">W38*W49/1000000</f>
        <v>9.27104483002408</v>
      </c>
      <c r="X50" s="13" t="n">
        <f aca="false">X38*X49/1000000</f>
        <v>9.74704095786691</v>
      </c>
      <c r="Y50" s="13" t="n">
        <f aca="false">Y38*Y49/1000000</f>
        <v>9.79743447462861</v>
      </c>
      <c r="Z50" s="13" t="n">
        <f aca="false">Z38*Z49/1000000</f>
        <v>9.70268029376603</v>
      </c>
      <c r="AA50" s="13" t="n">
        <f aca="false">AA38*AA49/1000000</f>
        <v>10.0991743724131</v>
      </c>
      <c r="AB50" s="13" t="n">
        <f aca="false">AB38*AB49/1000000</f>
        <v>10.7153589669613</v>
      </c>
      <c r="AC50" s="13" t="n">
        <f aca="false">AC38*AC49/1000000</f>
        <v>10.6210145547871</v>
      </c>
      <c r="AD50" s="13" t="n">
        <f aca="false">AD38*AD49/1000000</f>
        <v>10.2011700612211</v>
      </c>
      <c r="AE50" s="13" t="n">
        <f aca="false">AE38*AE49/1000000</f>
        <v>10.4266837515302</v>
      </c>
      <c r="AF50" s="13" t="n">
        <f aca="false">AF38*AF49/1000000</f>
        <v>10.6738251088888</v>
      </c>
      <c r="AG50" s="13" t="n">
        <f aca="false">AG38*AG49/1000000</f>
        <v>10.9083339232177</v>
      </c>
      <c r="AH50" s="13" t="n">
        <f aca="false">AH38*AH49/1000000</f>
        <v>11.1605157917756</v>
      </c>
      <c r="AI50" s="13" t="n">
        <f aca="false">AI38*AI49/1000000</f>
        <v>11.4439466595122</v>
      </c>
      <c r="AJ50" s="13" t="n">
        <f aca="false">AJ38*AJ49/1000000</f>
        <v>11.7829422269857</v>
      </c>
      <c r="AK50" s="13" t="n">
        <f aca="false">AK38*AK49/1000000</f>
        <v>11.9647077752291</v>
      </c>
      <c r="AL50" s="13" t="n">
        <f aca="false">AL38*AL49/1000000</f>
        <v>12.0761884169698</v>
      </c>
      <c r="AM50" s="13" t="n">
        <f aca="false">AM38*AM49/1000000</f>
        <v>12.5526567844322</v>
      </c>
      <c r="AN50" s="13" t="n">
        <f aca="false">AN38*AN49/1000000</f>
        <v>13.2624687955613</v>
      </c>
      <c r="AO50" s="13" t="n">
        <f aca="false">AO38*AO49/1000000</f>
        <v>13.7162003909575</v>
      </c>
      <c r="AP50" s="13" t="n">
        <f aca="false">AP38*AP49/1000000</f>
        <v>14.3478195027351</v>
      </c>
      <c r="AQ50" s="13" t="n">
        <f aca="false">AQ38*AQ49/1000000</f>
        <v>14.4645759620392</v>
      </c>
      <c r="AR50" s="13" t="n">
        <f aca="false">AR38*AR49/1000000</f>
        <v>14.369540773069</v>
      </c>
      <c r="AS50" s="13" t="n">
        <f aca="false">AS38*AS49/1000000</f>
        <v>14.4140133303136</v>
      </c>
      <c r="AT50" s="13" t="n">
        <f aca="false">AT38*AT49/1000000</f>
        <v>14.1639097710225</v>
      </c>
      <c r="AU50" s="13" t="n">
        <f aca="false">AU38*AU49/1000000</f>
        <v>14.7820341999567</v>
      </c>
      <c r="AV50" s="13" t="n">
        <f aca="false">AV38*AV49/1000000</f>
        <v>15.7194088472893</v>
      </c>
      <c r="AW50" s="13" t="n">
        <f aca="false">AW38*AW49/1000000</f>
        <v>16.2732167814242</v>
      </c>
      <c r="AX50" s="13" t="n">
        <f aca="false">AX38*AX49/1000000</f>
        <v>17.0347942425794</v>
      </c>
      <c r="AY50" s="13" t="n">
        <f aca="false">AY38*AY49/1000000</f>
        <v>17.1932710250697</v>
      </c>
      <c r="AZ50" s="13" t="n">
        <f aca="false">AZ38*AZ49/1000000</f>
        <v>17.0978760695991</v>
      </c>
      <c r="BA50" s="13" t="n">
        <f aca="false">BA38*BA49/1000000</f>
        <v>17.3718662171491</v>
      </c>
      <c r="BB50" s="13" t="n">
        <f aca="false">BB38*BB49/1000000</f>
        <v>17.5084475203313</v>
      </c>
      <c r="BC50" s="13" t="n">
        <f aca="false">BC38*BC49/1000000</f>
        <v>18.1601491895208</v>
      </c>
      <c r="BD50" s="13" t="n">
        <f aca="false">BD38*BD49/1000000</f>
        <v>19.0638317579591</v>
      </c>
      <c r="BE50" s="13" t="n">
        <f aca="false">BE38*BE49/1000000</f>
        <v>19.5120148941387</v>
      </c>
      <c r="BF50" s="13" t="n">
        <f aca="false">BF38*BF49/1000000</f>
        <v>19.9474758010668</v>
      </c>
      <c r="BG50" s="13" t="n">
        <f aca="false">BG38*BG49/1000000</f>
        <v>20.5607473154328</v>
      </c>
      <c r="BH50" s="13" t="n">
        <f aca="false">BH38*BH49/1000000</f>
        <v>21.3094240112539</v>
      </c>
      <c r="BI50" s="13" t="n">
        <f aca="false">BI38*BI49/1000000</f>
        <v>21.3244805722158</v>
      </c>
      <c r="BJ50" s="13" t="n">
        <f aca="false">BJ38*BJ49/1000000</f>
        <v>20.7880258906843</v>
      </c>
      <c r="BK50" s="13" t="n">
        <f aca="false">BK38*BK49/1000000</f>
        <v>21.7582809552503</v>
      </c>
      <c r="BL50" s="13" t="n">
        <f aca="false">BL38*BL49/1000000</f>
        <v>23.2133140526053</v>
      </c>
      <c r="BM50" s="13" t="n">
        <f aca="false">BM38*BM49/1000000</f>
        <v>15.8817240272954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4959.38354562642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25.6639171889443</v>
      </c>
      <c r="P51" s="13" t="n">
        <f aca="false">P38*P40*(1000*Inputs!$F$123/Inputs!$F$124)*P41/1000000</f>
        <v>76.9788998246773</v>
      </c>
      <c r="Q51" s="13" t="n">
        <f aca="false">Q38*Q40*(1000*Inputs!$F$123/Inputs!$F$124)*Q41/1000000</f>
        <v>77.8924407401874</v>
      </c>
      <c r="R51" s="13" t="n">
        <f aca="false">R38*R40*(1000*Inputs!$F$123/Inputs!$F$124)*R41/1000000</f>
        <v>76.6604780642469</v>
      </c>
      <c r="S51" s="13" t="n">
        <f aca="false">S38*S40*(1000*Inputs!$F$123/Inputs!$F$124)*S41/1000000</f>
        <v>79.1991625589331</v>
      </c>
      <c r="T51" s="13" t="n">
        <f aca="false">T38*T40*(1000*Inputs!$F$123/Inputs!$F$124)*T41/1000000</f>
        <v>81.2290320273773</v>
      </c>
      <c r="U51" s="13" t="n">
        <f aca="false">U38*U40*(1000*Inputs!$F$123/Inputs!$F$124)*U41/1000000</f>
        <v>82.466816451268</v>
      </c>
      <c r="V51" s="13" t="n">
        <f aca="false">V38*V40*(1000*Inputs!$F$123/Inputs!$F$124)*V41/1000000</f>
        <v>81.7145121820608</v>
      </c>
      <c r="W51" s="13" t="n">
        <f aca="false">W38*W40*(1000*Inputs!$F$123/Inputs!$F$124)*W41/1000000</f>
        <v>84.6456668227672</v>
      </c>
      <c r="X51" s="13" t="n">
        <f aca="false">X38*X40*(1000*Inputs!$F$123/Inputs!$F$124)*X41/1000000</f>
        <v>87.259650057071</v>
      </c>
      <c r="Y51" s="13" t="n">
        <f aca="false">Y38*Y40*(1000*Inputs!$F$123/Inputs!$F$124)*Y41/1000000</f>
        <v>87.7107996082476</v>
      </c>
      <c r="Z51" s="13" t="n">
        <f aca="false">Z38*Z40*(1000*Inputs!$F$123/Inputs!$F$124)*Z41/1000000</f>
        <v>85.1465566976699</v>
      </c>
      <c r="AA51" s="13" t="n">
        <f aca="false">AA38*AA40*(1000*Inputs!$F$123/Inputs!$F$124)*AA41/1000000</f>
        <v>88.5993400480134</v>
      </c>
      <c r="AB51" s="13" t="n">
        <f aca="false">AB38*AB40*(1000*Inputs!$F$123/Inputs!$F$124)*AB41/1000000</f>
        <v>92.1201090992454</v>
      </c>
      <c r="AC51" s="13" t="n">
        <f aca="false">AC38*AC40*(1000*Inputs!$F$123/Inputs!$F$124)*AC41/1000000</f>
        <v>91.2537371152821</v>
      </c>
      <c r="AD51" s="13" t="n">
        <f aca="false">AD38*AD40*(1000*Inputs!$F$123/Inputs!$F$124)*AD41/1000000</f>
        <v>85.8627356885044</v>
      </c>
      <c r="AE51" s="13" t="n">
        <f aca="false">AE38*AE40*(1000*Inputs!$F$123/Inputs!$F$124)*AE41/1000000</f>
        <v>87.6807329304074</v>
      </c>
      <c r="AF51" s="13" t="n">
        <f aca="false">AF38*AF40*(1000*Inputs!$F$123/Inputs!$F$124)*AF41/1000000</f>
        <v>87.9050436260148</v>
      </c>
      <c r="AG51" s="13" t="n">
        <f aca="false">AG38*AG40*(1000*Inputs!$F$123/Inputs!$F$124)*AG41/1000000</f>
        <v>89.7264395117116</v>
      </c>
      <c r="AH51" s="13" t="n">
        <f aca="false">AH38*AH40*(1000*Inputs!$F$123/Inputs!$F$124)*AH41/1000000</f>
        <v>89.8765764530767</v>
      </c>
      <c r="AI51" s="13" t="n">
        <f aca="false">AI38*AI40*(1000*Inputs!$F$123/Inputs!$F$124)*AI41/1000000</f>
        <v>92.0174856498137</v>
      </c>
      <c r="AJ51" s="13" t="n">
        <f aca="false">AJ38*AJ40*(1000*Inputs!$F$123/Inputs!$F$124)*AJ41/1000000</f>
        <v>92.7282435260615</v>
      </c>
      <c r="AK51" s="13" t="n">
        <f aca="false">AK38*AK40*(1000*Inputs!$F$123/Inputs!$F$124)*AK41/1000000</f>
        <v>93.9843904332119</v>
      </c>
      <c r="AL51" s="13" t="n">
        <f aca="false">AL38*AL40*(1000*Inputs!$F$123/Inputs!$F$124)*AL41/1000000</f>
        <v>92.8132393163504</v>
      </c>
      <c r="AM51" s="13" t="n">
        <f aca="false">AM38*AM40*(1000*Inputs!$F$123/Inputs!$F$124)*AM41/1000000</f>
        <v>96.2660977141391</v>
      </c>
      <c r="AN51" s="13" t="n">
        <f aca="false">AN38*AN40*(1000*Inputs!$F$123/Inputs!$F$124)*AN41/1000000</f>
        <v>99.4833745378644</v>
      </c>
      <c r="AO51" s="13" t="n">
        <f aca="false">AO38*AO40*(1000*Inputs!$F$123/Inputs!$F$124)*AO41/1000000</f>
        <v>102.631187203563</v>
      </c>
      <c r="AP51" s="13" t="n">
        <f aca="false">AP38*AP40*(1000*Inputs!$F$123/Inputs!$F$124)*AP41/1000000</f>
        <v>104.973908177976</v>
      </c>
      <c r="AQ51" s="13" t="n">
        <f aca="false">AQ38*AQ40*(1000*Inputs!$F$123/Inputs!$F$124)*AQ41/1000000</f>
        <v>105.531447503697</v>
      </c>
      <c r="AR51" s="13" t="n">
        <f aca="false">AR38*AR40*(1000*Inputs!$F$123/Inputs!$F$124)*AR41/1000000</f>
        <v>102.477895853007</v>
      </c>
      <c r="AS51" s="13" t="n">
        <f aca="false">AS38*AS40*(1000*Inputs!$F$123/Inputs!$F$124)*AS41/1000000</f>
        <v>102.474086420834</v>
      </c>
      <c r="AT51" s="13" t="n">
        <f aca="false">AT38*AT40*(1000*Inputs!$F$123/Inputs!$F$124)*AT41/1000000</f>
        <v>98.3975893657972</v>
      </c>
      <c r="AU51" s="13" t="n">
        <f aca="false">AU38*AU40*(1000*Inputs!$F$123/Inputs!$F$124)*AU41/1000000</f>
        <v>102.338342836593</v>
      </c>
      <c r="AV51" s="13" t="n">
        <f aca="false">AV38*AV40*(1000*Inputs!$F$123/Inputs!$F$124)*AV41/1000000</f>
        <v>106.309883742493</v>
      </c>
      <c r="AW51" s="13" t="n">
        <f aca="false">AW38*AW40*(1000*Inputs!$F$123/Inputs!$F$124)*AW41/1000000</f>
        <v>109.641478177575</v>
      </c>
      <c r="AX51" s="13" t="n">
        <f aca="false">AX38*AX40*(1000*Inputs!$F$123/Inputs!$F$124)*AX41/1000000</f>
        <v>112.081237432582</v>
      </c>
      <c r="AY51" s="13" t="n">
        <f aca="false">AY38*AY40*(1000*Inputs!$F$123/Inputs!$F$124)*AY41/1000000</f>
        <v>112.662670539185</v>
      </c>
      <c r="AZ51" s="13" t="n">
        <f aca="false">AZ38*AZ40*(1000*Inputs!$F$123/Inputs!$F$124)*AZ41/1000000</f>
        <v>109.375470561827</v>
      </c>
      <c r="BA51" s="13" t="n">
        <f aca="false">BA38*BA40*(1000*Inputs!$F$123/Inputs!$F$124)*BA41/1000000</f>
        <v>110.639880274096</v>
      </c>
      <c r="BB51" s="13" t="n">
        <f aca="false">BB38*BB40*(1000*Inputs!$F$123/Inputs!$F$124)*BB41/1000000</f>
        <v>108.82566850026</v>
      </c>
      <c r="BC51" s="13" t="n">
        <f aca="false">BC38*BC40*(1000*Inputs!$F$123/Inputs!$F$124)*BC41/1000000</f>
        <v>112.344847785188</v>
      </c>
      <c r="BD51" s="13" t="n">
        <f aca="false">BD38*BD40*(1000*Inputs!$F$123/Inputs!$F$124)*BD41/1000000</f>
        <v>115.060275142151</v>
      </c>
      <c r="BE51" s="13" t="n">
        <f aca="false">BE38*BE40*(1000*Inputs!$F$123/Inputs!$F$124)*BE41/1000000</f>
        <v>117.173872376937</v>
      </c>
      <c r="BF51" s="13" t="n">
        <f aca="false">BF38*BF40*(1000*Inputs!$F$123/Inputs!$F$124)*BF41/1000000</f>
        <v>116.832038482253</v>
      </c>
      <c r="BG51" s="13" t="n">
        <f aca="false">BG38*BG40*(1000*Inputs!$F$123/Inputs!$F$124)*BG41/1000000</f>
        <v>119.78177577071</v>
      </c>
      <c r="BH51" s="13" t="n">
        <f aca="false">BH38*BH40*(1000*Inputs!$F$123/Inputs!$F$124)*BH41/1000000</f>
        <v>121.041375221996</v>
      </c>
      <c r="BI51" s="13" t="n">
        <f aca="false">BI38*BI40*(1000*Inputs!$F$123/Inputs!$F$124)*BI41/1000000</f>
        <v>120.443669433055</v>
      </c>
      <c r="BJ51" s="13" t="n">
        <f aca="false">BJ38*BJ40*(1000*Inputs!$F$123/Inputs!$F$124)*BJ41/1000000</f>
        <v>114.444576762073</v>
      </c>
      <c r="BK51" s="13" t="n">
        <f aca="false">BK38*BK40*(1000*Inputs!$F$123/Inputs!$F$124)*BK41/1000000</f>
        <v>119.073949751313</v>
      </c>
      <c r="BL51" s="13" t="n">
        <f aca="false">BL38*BL40*(1000*Inputs!$F$123/Inputs!$F$124)*BL41/1000000</f>
        <v>123.786508981794</v>
      </c>
      <c r="BM51" s="13" t="n">
        <f aca="false">BM38*BM40*(1000*Inputs!$F$123/Inputs!$F$124)*BM41/1000000</f>
        <v>84.1544314563172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147.038657225816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0.818343396448383</v>
      </c>
      <c r="P53" s="13" t="n">
        <f aca="false">P42*Inputs!$F$148*(1+Inputs!$F$149/100)^(Time!P26-Inputs!$F$256)/1000000</f>
        <v>2.4541229035795</v>
      </c>
      <c r="Q53" s="13" t="n">
        <f aca="false">Q42*Inputs!$F$148*(1+Inputs!$F$149/100)^(Time!Q26-Inputs!$F$256)/1000000</f>
        <v>2.47032347705574</v>
      </c>
      <c r="R53" s="13" t="n">
        <f aca="false">R42*Inputs!$F$148*(1+Inputs!$F$149/100)^(Time!R26-Inputs!$F$256)/1000000</f>
        <v>2.43051419704906</v>
      </c>
      <c r="S53" s="13" t="n">
        <f aca="false">S42*Inputs!$F$148*(1+Inputs!$F$149/100)^(Time!S26-Inputs!$F$256)/1000000</f>
        <v>2.49793605304987</v>
      </c>
      <c r="T53" s="13" t="n">
        <f aca="false">T42*Inputs!$F$148*(1+Inputs!$F$149/100)^(Time!T26-Inputs!$F$256)/1000000</f>
        <v>2.56118124963023</v>
      </c>
      <c r="U53" s="13" t="n">
        <f aca="false">U42*Inputs!$F$148*(1+Inputs!$F$149/100)^(Time!U26-Inputs!$F$256)/1000000</f>
        <v>2.58667899211184</v>
      </c>
      <c r="V53" s="13" t="n">
        <f aca="false">V42*Inputs!$F$148*(1+Inputs!$F$149/100)^(Time!V26-Inputs!$F$256)/1000000</f>
        <v>2.56230598270371</v>
      </c>
      <c r="W53" s="13" t="n">
        <f aca="false">W42*Inputs!$F$148*(1+Inputs!$F$149/100)^(Time!W26-Inputs!$F$256)/1000000</f>
        <v>2.64040764907038</v>
      </c>
      <c r="X53" s="13" t="n">
        <f aca="false">X42*Inputs!$F$148*(1+Inputs!$F$149/100)^(Time!X26-Inputs!$F$256)/1000000</f>
        <v>2.72112437448033</v>
      </c>
      <c r="Y53" s="13" t="n">
        <f aca="false">Y42*Inputs!$F$148*(1+Inputs!$F$149/100)^(Time!Y26-Inputs!$F$256)/1000000</f>
        <v>2.72096296911398</v>
      </c>
      <c r="Z53" s="13" t="n">
        <f aca="false">Z42*Inputs!$F$148*(1+Inputs!$F$149/100)^(Time!Z26-Inputs!$F$256)/1000000</f>
        <v>2.64061755942445</v>
      </c>
      <c r="AA53" s="13" t="n">
        <f aca="false">AA42*Inputs!$F$148*(1+Inputs!$F$149/100)^(Time!AA26-Inputs!$F$256)/1000000</f>
        <v>2.73340334271611</v>
      </c>
      <c r="AB53" s="13" t="n">
        <f aca="false">AB42*Inputs!$F$148*(1+Inputs!$F$149/100)^(Time!AB26-Inputs!$F$256)/1000000</f>
        <v>2.84116669649195</v>
      </c>
      <c r="AC53" s="13" t="n">
        <f aca="false">AC42*Inputs!$F$148*(1+Inputs!$F$149/100)^(Time!AC26-Inputs!$F$256)/1000000</f>
        <v>2.79980593249782</v>
      </c>
      <c r="AD53" s="13" t="n">
        <f aca="false">AD42*Inputs!$F$148*(1+Inputs!$F$149/100)^(Time!AD26-Inputs!$F$256)/1000000</f>
        <v>2.63360847055541</v>
      </c>
      <c r="AE53" s="13" t="n">
        <f aca="false">AE42*Inputs!$F$148*(1+Inputs!$F$149/100)^(Time!AE26-Inputs!$F$256)/1000000</f>
        <v>2.67538224043162</v>
      </c>
      <c r="AF53" s="13" t="n">
        <f aca="false">AF42*Inputs!$F$148*(1+Inputs!$F$149/100)^(Time!AF26-Inputs!$F$256)/1000000</f>
        <v>2.68142010602057</v>
      </c>
      <c r="AG53" s="13" t="n">
        <f aca="false">AG42*Inputs!$F$148*(1+Inputs!$F$149/100)^(Time!AG26-Inputs!$F$256)/1000000</f>
        <v>2.72274433023788</v>
      </c>
      <c r="AH53" s="13" t="n">
        <f aca="false">AH42*Inputs!$F$148*(1+Inputs!$F$149/100)^(Time!AH26-Inputs!$F$256)/1000000</f>
        <v>2.7264813323248</v>
      </c>
      <c r="AI53" s="13" t="n">
        <f aca="false">AI42*Inputs!$F$148*(1+Inputs!$F$149/100)^(Time!AI26-Inputs!$F$256)/1000000</f>
        <v>2.77691067332538</v>
      </c>
      <c r="AJ53" s="13" t="n">
        <f aca="false">AJ42*Inputs!$F$148*(1+Inputs!$F$149/100)^(Time!AJ26-Inputs!$F$256)/1000000</f>
        <v>2.79752090539332</v>
      </c>
      <c r="AK53" s="13" t="n">
        <f aca="false">AK42*Inputs!$F$148*(1+Inputs!$F$149/100)^(Time!AK26-Inputs!$F$256)/1000000</f>
        <v>2.82067309589462</v>
      </c>
      <c r="AL53" s="13" t="n">
        <f aca="false">AL42*Inputs!$F$148*(1+Inputs!$F$149/100)^(Time!AL26-Inputs!$F$256)/1000000</f>
        <v>2.78469026629569</v>
      </c>
      <c r="AM53" s="13" t="n">
        <f aca="false">AM42*Inputs!$F$148*(1+Inputs!$F$149/100)^(Time!AM26-Inputs!$F$256)/1000000</f>
        <v>2.87326864135531</v>
      </c>
      <c r="AN53" s="13" t="n">
        <f aca="false">AN42*Inputs!$F$148*(1+Inputs!$F$149/100)^(Time!AN26-Inputs!$F$256)/1000000</f>
        <v>2.96840730931701</v>
      </c>
      <c r="AO53" s="13" t="n">
        <f aca="false">AO42*Inputs!$F$148*(1+Inputs!$F$149/100)^(Time!AO26-Inputs!$F$256)/1000000</f>
        <v>3.0464104388717</v>
      </c>
      <c r="AP53" s="13" t="n">
        <f aca="false">AP42*Inputs!$F$148*(1+Inputs!$F$149/100)^(Time!AP26-Inputs!$F$256)/1000000</f>
        <v>3.11501918321355</v>
      </c>
      <c r="AQ53" s="13" t="n">
        <f aca="false">AQ42*Inputs!$F$148*(1+Inputs!$F$149/100)^(Time!AQ26-Inputs!$F$256)/1000000</f>
        <v>3.11528304277383</v>
      </c>
      <c r="AR53" s="13" t="n">
        <f aca="false">AR42*Inputs!$F$148*(1+Inputs!$F$149/100)^(Time!AR26-Inputs!$F$256)/1000000</f>
        <v>3.02424026313206</v>
      </c>
      <c r="AS53" s="13" t="n">
        <f aca="false">AS42*Inputs!$F$148*(1+Inputs!$F$149/100)^(Time!AS26-Inputs!$F$256)/1000000</f>
        <v>3.00840693822851</v>
      </c>
      <c r="AT53" s="13" t="n">
        <f aca="false">AT42*Inputs!$F$148*(1+Inputs!$F$149/100)^(Time!AT26-Inputs!$F$256)/1000000</f>
        <v>2.88786999656268</v>
      </c>
      <c r="AU53" s="13" t="n">
        <f aca="false">AU42*Inputs!$F$148*(1+Inputs!$F$149/100)^(Time!AU26-Inputs!$F$256)/1000000</f>
        <v>2.9879145475242</v>
      </c>
      <c r="AV53" s="13" t="n">
        <f aca="false">AV42*Inputs!$F$148*(1+Inputs!$F$149/100)^(Time!AV26-Inputs!$F$256)/1000000</f>
        <v>3.10294635098582</v>
      </c>
      <c r="AW53" s="13" t="n">
        <f aca="false">AW42*Inputs!$F$148*(1+Inputs!$F$149/100)^(Time!AW26-Inputs!$F$256)/1000000</f>
        <v>3.18355454932757</v>
      </c>
      <c r="AX53" s="13" t="n">
        <f aca="false">AX42*Inputs!$F$148*(1+Inputs!$F$149/100)^(Time!AX26-Inputs!$F$256)/1000000</f>
        <v>3.25342904176791</v>
      </c>
      <c r="AY53" s="13" t="n">
        <f aca="false">AY42*Inputs!$F$148*(1+Inputs!$F$149/100)^(Time!AY26-Inputs!$F$256)/1000000</f>
        <v>3.25330986855232</v>
      </c>
      <c r="AZ53" s="13" t="n">
        <f aca="false">AZ42*Inputs!$F$148*(1+Inputs!$F$149/100)^(Time!AZ26-Inputs!$F$256)/1000000</f>
        <v>3.15745019347881</v>
      </c>
      <c r="BA53" s="13" t="n">
        <f aca="false">BA42*Inputs!$F$148*(1+Inputs!$F$149/100)^(Time!BA26-Inputs!$F$256)/1000000</f>
        <v>3.17735261904736</v>
      </c>
      <c r="BB53" s="13" t="n">
        <f aca="false">BB42*Inputs!$F$148*(1+Inputs!$F$149/100)^(Time!BB26-Inputs!$F$256)/1000000</f>
        <v>3.12432657566329</v>
      </c>
      <c r="BC53" s="13" t="n">
        <f aca="false">BC42*Inputs!$F$148*(1+Inputs!$F$149/100)^(Time!BC26-Inputs!$F$256)/1000000</f>
        <v>3.20859985450554</v>
      </c>
      <c r="BD53" s="13" t="n">
        <f aca="false">BD42*Inputs!$F$148*(1+Inputs!$F$149/100)^(Time!BD26-Inputs!$F$256)/1000000</f>
        <v>3.28518132231343</v>
      </c>
      <c r="BE53" s="13" t="n">
        <f aca="false">BE42*Inputs!$F$148*(1+Inputs!$F$149/100)^(Time!BE26-Inputs!$F$256)/1000000</f>
        <v>3.328144817055</v>
      </c>
      <c r="BF53" s="13" t="n">
        <f aca="false">BF42*Inputs!$F$148*(1+Inputs!$F$149/100)^(Time!BF26-Inputs!$F$256)/1000000</f>
        <v>3.3174554549502</v>
      </c>
      <c r="BG53" s="13" t="n">
        <f aca="false">BG42*Inputs!$F$148*(1+Inputs!$F$149/100)^(Time!BG26-Inputs!$F$256)/1000000</f>
        <v>3.38354194204426</v>
      </c>
      <c r="BH53" s="13" t="n">
        <f aca="false">BH42*Inputs!$F$148*(1+Inputs!$F$149/100)^(Time!BH26-Inputs!$F$256)/1000000</f>
        <v>3.41811409227811</v>
      </c>
      <c r="BI53" s="13" t="n">
        <f aca="false">BI42*Inputs!$F$148*(1+Inputs!$F$149/100)^(Time!BI26-Inputs!$F$256)/1000000</f>
        <v>3.38356504851021</v>
      </c>
      <c r="BJ53" s="13" t="n">
        <f aca="false">BJ42*Inputs!$F$148*(1+Inputs!$F$149/100)^(Time!BJ26-Inputs!$F$256)/1000000</f>
        <v>3.21408851251481</v>
      </c>
      <c r="BK53" s="13" t="n">
        <f aca="false">BK42*Inputs!$F$148*(1+Inputs!$F$149/100)^(Time!BK26-Inputs!$F$256)/1000000</f>
        <v>3.32672878470945</v>
      </c>
      <c r="BL53" s="13" t="n">
        <f aca="false">BL42*Inputs!$F$148*(1+Inputs!$F$149/100)^(Time!BL26-Inputs!$F$256)/1000000</f>
        <v>3.45737262741896</v>
      </c>
      <c r="BM53" s="13" t="n">
        <f aca="false">BM42*Inputs!$F$148*(1+Inputs!$F$149/100)^(Time!BM26-Inputs!$F$256)/1000000</f>
        <v>2.33834901381188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4335.94267017465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22.8504950770243</v>
      </c>
      <c r="P55" s="13" t="n">
        <f aca="false">P48+P50</f>
        <v>69.0132200807186</v>
      </c>
      <c r="Q55" s="13" t="n">
        <f aca="false">Q48+Q50</f>
        <v>69.4209032611224</v>
      </c>
      <c r="R55" s="13" t="n">
        <f aca="false">R48+R50</f>
        <v>69.4684395991048</v>
      </c>
      <c r="S55" s="13" t="n">
        <f aca="false">S48+S50</f>
        <v>70.3708081443424</v>
      </c>
      <c r="T55" s="13" t="n">
        <f aca="false">T48+T50</f>
        <v>71.0942903254583</v>
      </c>
      <c r="U55" s="13" t="n">
        <f aca="false">U48+U50</f>
        <v>71.5743414907993</v>
      </c>
      <c r="V55" s="13" t="n">
        <f aca="false">V48+V50</f>
        <v>72.0253728707898</v>
      </c>
      <c r="W55" s="13" t="n">
        <f aca="false">W48+W50</f>
        <v>72.7122675254602</v>
      </c>
      <c r="X55" s="13" t="n">
        <f aca="false">X48+X50</f>
        <v>73.5653081105333</v>
      </c>
      <c r="Y55" s="13" t="n">
        <f aca="false">Y48+Y50</f>
        <v>74.001535849928</v>
      </c>
      <c r="Z55" s="13" t="n">
        <f aca="false">Z48+Z50</f>
        <v>74.3016735820549</v>
      </c>
      <c r="AA55" s="13" t="n">
        <f aca="false">AA48+AA50</f>
        <v>75.1023944446284</v>
      </c>
      <c r="AB55" s="13" t="n">
        <f aca="false">AB48+AB50</f>
        <v>76.1324274643788</v>
      </c>
      <c r="AC55" s="13" t="n">
        <f aca="false">AC48+AC50</f>
        <v>76.4618498251403</v>
      </c>
      <c r="AD55" s="13" t="n">
        <f aca="false">AD48+AD50</f>
        <v>75.9925990770202</v>
      </c>
      <c r="AE55" s="13" t="n">
        <f aca="false">AE48+AE50</f>
        <v>76.7530028135666</v>
      </c>
      <c r="AF55" s="13" t="n">
        <f aca="false">AF48+AF50</f>
        <v>77.6413405402564</v>
      </c>
      <c r="AG55" s="13" t="n">
        <f aca="false">AG48+AG50</f>
        <v>78.4064595187002</v>
      </c>
      <c r="AH55" s="13" t="n">
        <f aca="false">AH48+AH50</f>
        <v>79.2675985263573</v>
      </c>
      <c r="AI55" s="13" t="n">
        <f aca="false">AI48+AI50</f>
        <v>80.0536286802175</v>
      </c>
      <c r="AJ55" s="13" t="n">
        <f aca="false">AJ48+AJ50</f>
        <v>80.8950406845108</v>
      </c>
      <c r="AK55" s="13" t="n">
        <f aca="false">AK48+AK50</f>
        <v>81.5919183403291</v>
      </c>
      <c r="AL55" s="13" t="n">
        <f aca="false">AL48+AL50</f>
        <v>81.7723104093172</v>
      </c>
      <c r="AM55" s="13" t="n">
        <f aca="false">AM48+AM50</f>
        <v>83.2498086446834</v>
      </c>
      <c r="AN55" s="13" t="n">
        <f aca="false">AN48+AN50</f>
        <v>84.5153008417053</v>
      </c>
      <c r="AO55" s="13" t="n">
        <f aca="false">AO48+AO50</f>
        <v>85.539111338284</v>
      </c>
      <c r="AP55" s="13" t="n">
        <f aca="false">AP48+AP50</f>
        <v>86.755671921621</v>
      </c>
      <c r="AQ55" s="13" t="n">
        <f aca="false">AQ48+AQ50</f>
        <v>87.4727126319708</v>
      </c>
      <c r="AR55" s="13" t="n">
        <f aca="false">AR48+AR50</f>
        <v>87.9938016308959</v>
      </c>
      <c r="AS55" s="13" t="n">
        <f aca="false">AS48+AS50</f>
        <v>88.6707530345287</v>
      </c>
      <c r="AT55" s="13" t="n">
        <f aca="false">AT48+AT50</f>
        <v>87.2077411546399</v>
      </c>
      <c r="AU55" s="13" t="n">
        <f aca="false">AU48+AU50</f>
        <v>89.9453605569915</v>
      </c>
      <c r="AV55" s="13" t="n">
        <f aca="false">AV48+AV50</f>
        <v>91.9771372981198</v>
      </c>
      <c r="AW55" s="13" t="n">
        <f aca="false">AW48+AW50</f>
        <v>93.2343640643531</v>
      </c>
      <c r="AX55" s="13" t="n">
        <f aca="false">AX48+AX50</f>
        <v>94.7185752784396</v>
      </c>
      <c r="AY55" s="13" t="n">
        <f aca="false">AY48+AY50</f>
        <v>95.6195351037748</v>
      </c>
      <c r="AZ55" s="13" t="n">
        <f aca="false">AZ48+AZ50</f>
        <v>96.2871294079965</v>
      </c>
      <c r="BA55" s="13" t="n">
        <f aca="false">BA48+BA50</f>
        <v>97.3452953387212</v>
      </c>
      <c r="BB55" s="13" t="n">
        <f aca="false">BB48+BB50</f>
        <v>98.1728452300455</v>
      </c>
      <c r="BC55" s="13" t="n">
        <f aca="false">BC48+BC50</f>
        <v>99.7683327162726</v>
      </c>
      <c r="BD55" s="13" t="n">
        <f aca="false">BD48+BD50</f>
        <v>101.524079244115</v>
      </c>
      <c r="BE55" s="13" t="n">
        <f aca="false">BE48+BE50</f>
        <v>102.848485403021</v>
      </c>
      <c r="BF55" s="13" t="n">
        <f aca="false">BF48+BF50</f>
        <v>104.185139024319</v>
      </c>
      <c r="BG55" s="13" t="n">
        <f aca="false">BG48+BG50</f>
        <v>105.725412557568</v>
      </c>
      <c r="BH55" s="13" t="n">
        <f aca="false">BH48+BH50</f>
        <v>107.427770231993</v>
      </c>
      <c r="BI55" s="13" t="n">
        <f aca="false">BI48+BI50</f>
        <v>108.424087525464</v>
      </c>
      <c r="BJ55" s="13" t="n">
        <f aca="false">BJ48+BJ50</f>
        <v>106.463713665203</v>
      </c>
      <c r="BK55" s="13" t="n">
        <f aca="false">BK48+BK50</f>
        <v>110.20812979299</v>
      </c>
      <c r="BL55" s="13" t="n">
        <f aca="false">BL48+BL50</f>
        <v>113.431680922179</v>
      </c>
      <c r="BM55" s="13" t="n">
        <f aca="false">BM48+BM50</f>
        <v>76.7614693729942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10132.711604983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53.1490948301682</v>
      </c>
      <c r="P56" s="13" t="n">
        <f aca="false">P55+P51+P52+P53+P54</f>
        <v>159.957823249405</v>
      </c>
      <c r="Q56" s="13" t="n">
        <f aca="false">Q55+Q51+Q52+Q53+Q54</f>
        <v>161.2774174817</v>
      </c>
      <c r="R56" s="13" t="n">
        <f aca="false">R55+R51+R52+R53+R54</f>
        <v>160.243686007437</v>
      </c>
      <c r="S56" s="13" t="n">
        <f aca="false">S55+S51+S52+S53+S54</f>
        <v>163.73406300971</v>
      </c>
      <c r="T56" s="13" t="n">
        <f aca="false">T55+T51+T52+T53+T54</f>
        <v>166.744021561708</v>
      </c>
      <c r="U56" s="13" t="n">
        <f aca="false">U55+U51+U52+U53+U54</f>
        <v>168.534406241846</v>
      </c>
      <c r="V56" s="13" t="n">
        <f aca="false">V55+V51+V52+V53+V54</f>
        <v>168.339601764185</v>
      </c>
      <c r="W56" s="13" t="n">
        <f aca="false">W55+W51+W52+W53+W54</f>
        <v>172.017107823441</v>
      </c>
      <c r="X56" s="13" t="n">
        <f aca="false">X55+X51+X52+X53+X54</f>
        <v>175.764054431645</v>
      </c>
      <c r="Y56" s="13" t="n">
        <f aca="false">Y55+Y51+Y52+Y53+Y54</f>
        <v>176.632345740825</v>
      </c>
      <c r="Z56" s="13" t="n">
        <f aca="false">Z55+Z51+Z52+Z53+Z54</f>
        <v>174.490089307053</v>
      </c>
      <c r="AA56" s="13" t="n">
        <f aca="false">AA55+AA51+AA52+AA53+AA54</f>
        <v>178.817170858596</v>
      </c>
      <c r="AB56" s="13" t="n">
        <f aca="false">AB55+AB51+AB52+AB53+AB54</f>
        <v>183.680963350038</v>
      </c>
      <c r="AC56" s="13" t="n">
        <f aca="false">AC55+AC51+AC52+AC53+AC54</f>
        <v>183.152591549069</v>
      </c>
      <c r="AD56" s="13" t="n">
        <f aca="false">AD55+AD51+AD52+AD53+AD54</f>
        <v>177.265012227351</v>
      </c>
      <c r="AE56" s="13" t="n">
        <f aca="false">AE55+AE51+AE52+AE53+AE54</f>
        <v>179.865397955772</v>
      </c>
      <c r="AF56" s="13" t="n">
        <f aca="false">AF55+AF51+AF52+AF53+AF54</f>
        <v>181.195514298432</v>
      </c>
      <c r="AG56" s="13" t="n">
        <f aca="false">AG55+AG51+AG52+AG53+AG54</f>
        <v>183.803267531586</v>
      </c>
      <c r="AH56" s="13" t="n">
        <f aca="false">AH55+AH51+AH52+AH53+AH54</f>
        <v>185.032881988291</v>
      </c>
      <c r="AI56" s="13" t="n">
        <f aca="false">AI55+AI51+AI52+AI53+AI54</f>
        <v>187.989863536857</v>
      </c>
      <c r="AJ56" s="13" t="n">
        <f aca="false">AJ55+AJ51+AJ52+AJ53+AJ54</f>
        <v>189.780464177646</v>
      </c>
      <c r="AK56" s="13" t="n">
        <f aca="false">AK55+AK51+AK52+AK53+AK54</f>
        <v>191.809643926306</v>
      </c>
      <c r="AL56" s="13" t="n">
        <f aca="false">AL55+AL51+AL52+AL53+AL54</f>
        <v>190.930293939569</v>
      </c>
      <c r="AM56" s="13" t="n">
        <f aca="false">AM55+AM51+AM52+AM53+AM54</f>
        <v>195.928225603353</v>
      </c>
      <c r="AN56" s="13" t="n">
        <f aca="false">AN55+AN51+AN52+AN53+AN54</f>
        <v>200.730537445706</v>
      </c>
      <c r="AO56" s="13" t="n">
        <f aca="false">AO55+AO51+AO52+AO53+AO54</f>
        <v>204.958845342942</v>
      </c>
      <c r="AP56" s="13" t="n">
        <f aca="false">AP55+AP51+AP52+AP53+AP54</f>
        <v>208.814505860983</v>
      </c>
      <c r="AQ56" s="13" t="n">
        <f aca="false">AQ55+AQ51+AQ52+AQ53+AQ54</f>
        <v>210.067711586098</v>
      </c>
      <c r="AR56" s="13" t="n">
        <f aca="false">AR55+AR51+AR52+AR53+AR54</f>
        <v>207.675392923879</v>
      </c>
      <c r="AS56" s="13" t="n">
        <f aca="false">AS55+AS51+AS52+AS53+AS54</f>
        <v>208.388957017605</v>
      </c>
      <c r="AT56" s="13" t="n">
        <f aca="false">AT55+AT51+AT52+AT53+AT54</f>
        <v>202.885347521497</v>
      </c>
      <c r="AU56" s="13" t="n">
        <f aca="false">AU55+AU51+AU52+AU53+AU54</f>
        <v>209.641472761387</v>
      </c>
      <c r="AV56" s="13" t="n">
        <f aca="false">AV55+AV51+AV52+AV53+AV54</f>
        <v>215.997996601163</v>
      </c>
      <c r="AW56" s="13" t="n">
        <f aca="false">AW55+AW51+AW52+AW53+AW54</f>
        <v>220.644799433837</v>
      </c>
      <c r="AX56" s="13" t="n">
        <f aca="false">AX55+AX51+AX52+AX53+AX54</f>
        <v>224.880391400497</v>
      </c>
      <c r="AY56" s="13" t="n">
        <f aca="false">AY55+AY51+AY52+AY53+AY54</f>
        <v>226.339699193733</v>
      </c>
      <c r="AZ56" s="13" t="n">
        <f aca="false">AZ55+AZ51+AZ52+AZ53+AZ54</f>
        <v>223.869607055725</v>
      </c>
      <c r="BA56" s="13" t="n">
        <f aca="false">BA55+BA51+BA52+BA53+BA54</f>
        <v>226.271792605437</v>
      </c>
      <c r="BB56" s="13" t="n">
        <f aca="false">BB55+BB51+BB52+BB53+BB54</f>
        <v>225.398140551779</v>
      </c>
      <c r="BC56" s="13" t="n">
        <f aca="false">BC55+BC51+BC52+BC53+BC54</f>
        <v>230.573420489982</v>
      </c>
      <c r="BD56" s="13" t="n">
        <f aca="false">BD55+BD51+BD52+BD53+BD54</f>
        <v>235.373965458076</v>
      </c>
      <c r="BE56" s="13" t="n">
        <f aca="false">BE55+BE51+BE52+BE53+BE54</f>
        <v>238.830917333039</v>
      </c>
      <c r="BF56" s="13" t="n">
        <f aca="false">BF55+BF51+BF52+BF53+BF54</f>
        <v>240.071629157262</v>
      </c>
      <c r="BG56" s="13" t="n">
        <f aca="false">BG55+BG51+BG52+BG53+BG54</f>
        <v>244.603351227388</v>
      </c>
      <c r="BH56" s="13" t="n">
        <f aca="false">BH55+BH51+BH52+BH53+BH54</f>
        <v>247.860310684943</v>
      </c>
      <c r="BI56" s="13" t="n">
        <f aca="false">BI55+BI51+BI52+BI53+BI54</f>
        <v>248.287744489896</v>
      </c>
      <c r="BJ56" s="13" t="n">
        <f aca="false">BJ55+BJ51+BJ52+BJ53+BJ54</f>
        <v>240.335025845546</v>
      </c>
      <c r="BK56" s="13" t="n">
        <f aca="false">BK55+BK51+BK52+BK53+BK54</f>
        <v>248.796343254507</v>
      </c>
      <c r="BL56" s="13" t="n">
        <f aca="false">BL55+BL51+BL52+BL53+BL54</f>
        <v>257.131399140734</v>
      </c>
      <c r="BM56" s="13" t="n">
        <f aca="false">BM55+BM51+BM52+BM53+BM54</f>
        <v>174.147298207351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420.568852638752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1.4717461300594</v>
      </c>
      <c r="P60" s="13" t="n">
        <f aca="false">Inputs!$F$151*(Inputs!$F$152*P21+(1-Inputs!$F$152)*P27*Inputs!$F$153/P11)*Time!P30/12*Inputs!$F$40</f>
        <v>4.50708604406372</v>
      </c>
      <c r="Q60" s="13" t="n">
        <f aca="false">Inputs!$F$151*(Inputs!$F$152*Q21+(1-Inputs!$F$152)*Q27*Inputs!$F$153/Q11)*Time!Q30/12*Inputs!$F$40</f>
        <v>4.60154186371767</v>
      </c>
      <c r="R60" s="13" t="n">
        <f aca="false">Inputs!$F$151*(Inputs!$F$152*R21+(1-Inputs!$F$152)*R27*Inputs!$F$153/R11)*Time!R30/12*Inputs!$F$40</f>
        <v>4.69869341921021</v>
      </c>
      <c r="S60" s="13" t="n">
        <f aca="false">Inputs!$F$151*(Inputs!$F$152*S21+(1-Inputs!$F$152)*S27*Inputs!$F$153/S11)*Time!S30/12*Inputs!$F$40</f>
        <v>4.79863141241172</v>
      </c>
      <c r="T60" s="13" t="n">
        <f aca="false">Inputs!$F$151*(Inputs!$F$152*T21+(1-Inputs!$F$152)*T27*Inputs!$F$153/T11)*Time!T30/12*Inputs!$F$40</f>
        <v>4.9014497912953</v>
      </c>
      <c r="U60" s="13" t="n">
        <f aca="false">Inputs!$F$151*(Inputs!$F$152*U21+(1-Inputs!$F$152)*U27*Inputs!$F$153/U11)*Time!U30/12*Inputs!$F$40</f>
        <v>5.00724586843693</v>
      </c>
      <c r="V60" s="13" t="n">
        <f aca="false">Inputs!$F$151*(Inputs!$F$152*V21+(1-Inputs!$F$152)*V27*Inputs!$F$153/V11)*Time!V30/12*Inputs!$F$40</f>
        <v>5.11612044386774</v>
      </c>
      <c r="W60" s="13" t="n">
        <f aca="false">Inputs!$F$151*(Inputs!$F$152*W21+(1-Inputs!$F$152)*W27*Inputs!$F$153/W11)*Time!W30/12*Inputs!$F$40</f>
        <v>5.22817793243838</v>
      </c>
      <c r="X60" s="13" t="n">
        <f aca="false">Inputs!$F$151*(Inputs!$F$152*X21+(1-Inputs!$F$152)*X27*Inputs!$F$153/X11)*Time!X30/12*Inputs!$F$40</f>
        <v>5.34352649586172</v>
      </c>
      <c r="Y60" s="13" t="n">
        <f aca="false">Inputs!$F$151*(Inputs!$F$152*Y21+(1-Inputs!$F$152)*Y27*Inputs!$F$153/Y11)*Time!Y30/12*Inputs!$F$40</f>
        <v>5.46227817960585</v>
      </c>
      <c r="Z60" s="13" t="n">
        <f aca="false">Inputs!$F$151*(Inputs!$F$152*Z21+(1-Inputs!$F$152)*Z27*Inputs!$F$153/Z11)*Time!Z30/12*Inputs!$F$40</f>
        <v>5.58454905481586</v>
      </c>
      <c r="AA60" s="13" t="n">
        <f aca="false">Inputs!$F$151*(Inputs!$F$152*AA21+(1-Inputs!$F$152)*AA27*Inputs!$F$153/AA11)*Time!AA30/12*Inputs!$F$40</f>
        <v>5.71045936544957</v>
      </c>
      <c r="AB60" s="13" t="n">
        <f aca="false">Inputs!$F$151*(Inputs!$F$152*AB21+(1-Inputs!$F$152)*AB27*Inputs!$F$153/AB11)*Time!AB30/12*Inputs!$F$40</f>
        <v>5.84013368081887</v>
      </c>
      <c r="AC60" s="13" t="n">
        <f aca="false">Inputs!$F$151*(Inputs!$F$152*AC21+(1-Inputs!$F$152)*AC27*Inputs!$F$153/AC11)*Time!AC30/12*Inputs!$F$40</f>
        <v>5.97370105373575</v>
      </c>
      <c r="AD60" s="13" t="n">
        <f aca="false">Inputs!$F$151*(Inputs!$F$152*AD21+(1-Inputs!$F$152)*AD27*Inputs!$F$153/AD11)*Time!AD30/12*Inputs!$F$40</f>
        <v>6.1112951844691</v>
      </c>
      <c r="AE60" s="13" t="n">
        <f aca="false">Inputs!$F$151*(Inputs!$F$152*AE21+(1-Inputs!$F$152)*AE27*Inputs!$F$153/AE11)*Time!AE30/12*Inputs!$F$40</f>
        <v>6.25305459072632</v>
      </c>
      <c r="AF60" s="13" t="n">
        <f aca="false">Inputs!$F$151*(Inputs!$F$152*AF21+(1-Inputs!$F$152)*AF27*Inputs!$F$153/AF11)*Time!AF30/12*Inputs!$F$40</f>
        <v>6.39912278388113</v>
      </c>
      <c r="AG60" s="13" t="n">
        <f aca="false">Inputs!$F$151*(Inputs!$F$152*AG21+(1-Inputs!$F$152)*AG27*Inputs!$F$153/AG11)*Time!AG30/12*Inputs!$F$40</f>
        <v>6.54964845167779</v>
      </c>
      <c r="AH60" s="13" t="n">
        <f aca="false">Inputs!$F$151*(Inputs!$F$152*AH21+(1-Inputs!$F$152)*AH27*Inputs!$F$153/AH11)*Time!AH30/12*Inputs!$F$40</f>
        <v>6.70478564764975</v>
      </c>
      <c r="AI60" s="13" t="n">
        <f aca="false">Inputs!$F$151*(Inputs!$F$152*AI21+(1-Inputs!$F$152)*AI27*Inputs!$F$153/AI11)*Time!AI30/12*Inputs!$F$40</f>
        <v>6.86469398750007</v>
      </c>
      <c r="AJ60" s="13" t="n">
        <f aca="false">Inputs!$F$151*(Inputs!$F$152*AJ21+(1-Inputs!$F$152)*AJ27*Inputs!$F$153/AJ11)*Time!AJ30/12*Inputs!$F$40</f>
        <v>7.02953885269956</v>
      </c>
      <c r="AK60" s="13" t="n">
        <f aca="false">Inputs!$F$151*(Inputs!$F$152*AK21+(1-Inputs!$F$152)*AK27*Inputs!$F$153/AK11)*Time!AK30/12*Inputs!$F$40</f>
        <v>7.19949160156852</v>
      </c>
      <c r="AL60" s="13" t="n">
        <f aca="false">Inputs!$F$151*(Inputs!$F$152*AL21+(1-Inputs!$F$152)*AL27*Inputs!$F$153/AL11)*Time!AL30/12*Inputs!$F$40</f>
        <v>7.37472978811727</v>
      </c>
      <c r="AM60" s="13" t="n">
        <f aca="false">Inputs!$F$151*(Inputs!$F$152*AM21+(1-Inputs!$F$152)*AM27*Inputs!$F$153/AM11)*Time!AM30/12*Inputs!$F$40</f>
        <v>7.55543738893117</v>
      </c>
      <c r="AN60" s="13" t="n">
        <f aca="false">Inputs!$F$151*(Inputs!$F$152*AN21+(1-Inputs!$F$152)*AN27*Inputs!$F$153/AN11)*Time!AN30/12*Inputs!$F$40</f>
        <v>7.74180503839606</v>
      </c>
      <c r="AO60" s="13" t="n">
        <f aca="false">Inputs!$F$151*(Inputs!$F$152*AO21+(1-Inputs!$F$152)*AO27*Inputs!$F$153/AO11)*Time!AO30/12*Inputs!$F$40</f>
        <v>7.93403027257114</v>
      </c>
      <c r="AP60" s="13" t="n">
        <f aca="false">Inputs!$F$151*(Inputs!$F$152*AP21+(1-Inputs!$F$152)*AP27*Inputs!$F$153/AP11)*Time!AP30/12*Inputs!$F$40</f>
        <v>8.13231778202759</v>
      </c>
      <c r="AQ60" s="13" t="n">
        <f aca="false">Inputs!$F$151*(Inputs!$F$152*AQ21+(1-Inputs!$F$152)*AQ27*Inputs!$F$153/AQ11)*Time!AQ30/12*Inputs!$F$40</f>
        <v>8.33687967398278</v>
      </c>
      <c r="AR60" s="13" t="n">
        <f aca="false">Inputs!$F$151*(Inputs!$F$152*AR21+(1-Inputs!$F$152)*AR27*Inputs!$F$153/AR11)*Time!AR30/12*Inputs!$F$40</f>
        <v>8.54793574407231</v>
      </c>
      <c r="AS60" s="13" t="n">
        <f aca="false">Inputs!$F$151*(Inputs!$F$152*AS21+(1-Inputs!$F$152)*AS27*Inputs!$F$153/AS11)*Time!AS30/12*Inputs!$F$40</f>
        <v>8.76571375811449</v>
      </c>
      <c r="AT60" s="13" t="n">
        <f aca="false">Inputs!$F$151*(Inputs!$F$152*AT21+(1-Inputs!$F$152)*AT27*Inputs!$F$153/AT11)*Time!AT30/12*Inputs!$F$40</f>
        <v>8.99044974423518</v>
      </c>
      <c r="AU60" s="13" t="n">
        <f aca="false">Inputs!$F$151*(Inputs!$F$152*AU21+(1-Inputs!$F$152)*AU27*Inputs!$F$153/AU11)*Time!AU30/12*Inputs!$F$40</f>
        <v>9.22238829573412</v>
      </c>
      <c r="AV60" s="13" t="n">
        <f aca="false">Inputs!$F$151*(Inputs!$F$152*AV21+(1-Inputs!$F$152)*AV27*Inputs!$F$153/AV11)*Time!AV30/12*Inputs!$F$40</f>
        <v>9.46178288508825</v>
      </c>
      <c r="AW60" s="13" t="n">
        <f aca="false">Inputs!$F$151*(Inputs!$F$152*AW21+(1-Inputs!$F$152)*AW27*Inputs!$F$153/AW11)*Time!AW30/12*Inputs!$F$40</f>
        <v>9.70889618950186</v>
      </c>
      <c r="AX60" s="13" t="n">
        <f aca="false">Inputs!$F$151*(Inputs!$F$152*AX21+(1-Inputs!$F$152)*AX27*Inputs!$F$153/AX11)*Time!AX30/12*Inputs!$F$40</f>
        <v>9.96400042842861</v>
      </c>
      <c r="AY60" s="13" t="n">
        <f aca="false">Inputs!$F$151*(Inputs!$F$152*AY21+(1-Inputs!$F$152)*AY27*Inputs!$F$153/AY11)*Time!AY30/12*Inputs!$F$40</f>
        <v>10.2273777135061</v>
      </c>
      <c r="AZ60" s="13" t="n">
        <f aca="false">Inputs!$F$151*(Inputs!$F$152*AZ21+(1-Inputs!$F$152)*AZ27*Inputs!$F$153/AZ11)*Time!AZ30/12*Inputs!$F$40</f>
        <v>10.4993204113595</v>
      </c>
      <c r="BA60" s="13" t="n">
        <f aca="false">Inputs!$F$151*(Inputs!$F$152*BA21+(1-Inputs!$F$152)*BA27*Inputs!$F$153/BA11)*Time!BA30/12*Inputs!$F$40</f>
        <v>10.7801315197488</v>
      </c>
      <c r="BB60" s="13" t="n">
        <f aca="false">Inputs!$F$151*(Inputs!$F$152*BB21+(1-Inputs!$F$152)*BB27*Inputs!$F$153/BB11)*Time!BB30/12*Inputs!$F$40</f>
        <v>11.0701250575499</v>
      </c>
      <c r="BC60" s="13" t="n">
        <f aca="false">Inputs!$F$151*(Inputs!$F$152*BC21+(1-Inputs!$F$152)*BC27*Inputs!$F$153/BC11)*Time!BC30/12*Inputs!$F$40</f>
        <v>11.3696264690787</v>
      </c>
      <c r="BD60" s="13" t="n">
        <f aca="false">Inputs!$F$151*(Inputs!$F$152*BD21+(1-Inputs!$F$152)*BD27*Inputs!$F$153/BD11)*Time!BD30/12*Inputs!$F$40</f>
        <v>11.6789730432877</v>
      </c>
      <c r="BE60" s="13" t="n">
        <f aca="false">Inputs!$F$151*(Inputs!$F$152*BE21+(1-Inputs!$F$152)*BE27*Inputs!$F$153/BE11)*Time!BE30/12*Inputs!$F$40</f>
        <v>11.99851434838</v>
      </c>
      <c r="BF60" s="13" t="n">
        <f aca="false">Inputs!$F$151*(Inputs!$F$152*BF21+(1-Inputs!$F$152)*BF27*Inputs!$F$153/BF11)*Time!BF30/12*Inputs!$F$40</f>
        <v>12.3286126824108</v>
      </c>
      <c r="BG60" s="13" t="n">
        <f aca="false">Inputs!$F$151*(Inputs!$F$152*BG21+(1-Inputs!$F$152)*BG27*Inputs!$F$153/BG11)*Time!BG30/12*Inputs!$F$40</f>
        <v>12.6696435404628</v>
      </c>
      <c r="BH60" s="13" t="n">
        <f aca="false">Inputs!$F$151*(Inputs!$F$152*BH21+(1-Inputs!$F$152)*BH27*Inputs!$F$153/BH11)*Time!BH30/12*Inputs!$F$40</f>
        <v>13.0219960990069</v>
      </c>
      <c r="BI60" s="13" t="n">
        <f aca="false">Inputs!$F$151*(Inputs!$F$152*BI21+(1-Inputs!$F$152)*BI27*Inputs!$F$153/BI11)*Time!BI30/12*Inputs!$F$40</f>
        <v>13.3860737180804</v>
      </c>
      <c r="BJ60" s="13" t="n">
        <f aca="false">Inputs!$F$151*(Inputs!$F$152*BJ21+(1-Inputs!$F$152)*BJ27*Inputs!$F$153/BJ11)*Time!BJ30/12*Inputs!$F$40</f>
        <v>13.7622944619384</v>
      </c>
      <c r="BK60" s="13" t="n">
        <f aca="false">Inputs!$F$151*(Inputs!$F$152*BK21+(1-Inputs!$F$152)*BK27*Inputs!$F$153/BK11)*Time!BK30/12*Inputs!$F$40</f>
        <v>14.1510916388586</v>
      </c>
      <c r="BL60" s="13" t="n">
        <f aca="false">Inputs!$F$151*(Inputs!$F$152*BL21+(1-Inputs!$F$152)*BL27*Inputs!$F$153/BL11)*Time!BL30/12*Inputs!$F$40</f>
        <v>14.5529143608041</v>
      </c>
      <c r="BM60" s="13" t="n">
        <f aca="false">Inputs!$F$151*(Inputs!$F$152*BM21+(1-Inputs!$F$152)*BM27*Inputs!$F$153/BM11)*Time!BM30/12*Inputs!$F$40</f>
        <v>9.9788187491177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0.913510274488353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-0.0113399596141546</v>
      </c>
      <c r="P61" s="13" t="n">
        <f aca="false">IF(Time!P30&gt;0,Inputs!$F$154*MAX(-1,MIN(1,(P32-Inputs!$F$216)/Inputs!$F$217))*P21*Time!P30/12,0)</f>
        <v>-0.0343920616407033</v>
      </c>
      <c r="Q61" s="13" t="n">
        <f aca="false">IF(Time!Q30&gt;0,Inputs!$F$154*MAX(-1,MIN(1,(Q32-Inputs!$F$216)/Inputs!$F$217))*Q21*Time!Q30/12,0)</f>
        <v>-0.111602754437699</v>
      </c>
      <c r="R61" s="13" t="n">
        <f aca="false">IF(Time!R30&gt;0,Inputs!$F$154*MAX(-1,MIN(1,(R32-Inputs!$F$216)/Inputs!$F$217))*R21*Time!R30/12,0)</f>
        <v>-0.268173744113622</v>
      </c>
      <c r="S61" s="13" t="n">
        <f aca="false">IF(Time!S30&gt;0,Inputs!$F$154*MAX(-1,MIN(1,(S32-Inputs!$F$216)/Inputs!$F$217))*S21*Time!S30/12,0)</f>
        <v>-0.140868031684147</v>
      </c>
      <c r="T61" s="13" t="n">
        <f aca="false">IF(Time!T30&gt;0,Inputs!$F$154*MAX(-1,MIN(1,(T32-Inputs!$F$216)/Inputs!$F$217))*T21*Time!T30/12,0)</f>
        <v>0.120919682983457</v>
      </c>
      <c r="U61" s="13" t="n">
        <f aca="false">IF(Time!U30&gt;0,Inputs!$F$154*MAX(-1,MIN(1,(U32-Inputs!$F$216)/Inputs!$F$217))*U21*Time!U30/12,0)</f>
        <v>0.0756681629201438</v>
      </c>
      <c r="V61" s="13" t="n">
        <f aca="false">IF(Time!V30&gt;0,Inputs!$F$154*MAX(-1,MIN(1,(V32-Inputs!$F$216)/Inputs!$F$217))*V21*Time!V30/12,0)</f>
        <v>-0.0176718786272382</v>
      </c>
      <c r="W61" s="13" t="n">
        <f aca="false">IF(Time!W30&gt;0,Inputs!$F$154*MAX(-1,MIN(1,(W32-Inputs!$F$216)/Inputs!$F$217))*W21*Time!W30/12,0)</f>
        <v>0.150419513161232</v>
      </c>
      <c r="X61" s="13" t="n">
        <f aca="false">IF(Time!X30&gt;0,Inputs!$F$154*MAX(-1,MIN(1,(X32-Inputs!$F$216)/Inputs!$F$217))*X21*Time!X30/12,0)</f>
        <v>0.351269343667872</v>
      </c>
      <c r="Y61" s="13" t="n">
        <f aca="false">IF(Time!Y30&gt;0,Inputs!$F$154*MAX(-1,MIN(1,(Y32-Inputs!$F$216)/Inputs!$F$217))*Y21*Time!Y30/12,0)</f>
        <v>0.335026378938236</v>
      </c>
      <c r="Z61" s="13" t="n">
        <f aca="false">IF(Time!Z30&gt;0,Inputs!$F$154*MAX(-1,MIN(1,(Z32-Inputs!$F$216)/Inputs!$F$217))*Z21*Time!Z30/12,0)</f>
        <v>0.00977952825056343</v>
      </c>
      <c r="AA61" s="13" t="n">
        <f aca="false">IF(Time!AA30&gt;0,Inputs!$F$154*MAX(-1,MIN(1,(AA32-Inputs!$F$216)/Inputs!$F$217))*AA21*Time!AA30/12,0)</f>
        <v>0.237274347011566</v>
      </c>
      <c r="AB61" s="13" t="n">
        <f aca="false">IF(Time!AB30&gt;0,Inputs!$F$154*MAX(-1,MIN(1,(AB32-Inputs!$F$216)/Inputs!$F$217))*AB21*Time!AB30/12,0)</f>
        <v>0.366895209151593</v>
      </c>
      <c r="AC61" s="13" t="n">
        <f aca="false">IF(Time!AC30&gt;0,Inputs!$F$154*MAX(-1,MIN(1,(AC32-Inputs!$F$216)/Inputs!$F$217))*AC21*Time!AC30/12,0)</f>
        <v>0.362038954403513</v>
      </c>
      <c r="AD61" s="13" t="n">
        <f aca="false">IF(Time!AD30&gt;0,Inputs!$F$154*MAX(-1,MIN(1,(AD32-Inputs!$F$216)/Inputs!$F$217))*AD21*Time!AD30/12,0)</f>
        <v>-0.332026460037211</v>
      </c>
      <c r="AE61" s="13" t="n">
        <f aca="false">IF(Time!AE30&gt;0,Inputs!$F$154*MAX(-1,MIN(1,(AE32-Inputs!$F$216)/Inputs!$F$217))*AE21*Time!AE30/12,0)</f>
        <v>-0.319705565656261</v>
      </c>
      <c r="AF61" s="13" t="n">
        <f aca="false">IF(Time!AF30&gt;0,Inputs!$F$154*MAX(-1,MIN(1,(AF32-Inputs!$F$216)/Inputs!$F$217))*AF21*Time!AF30/12,0)</f>
        <v>-0.290947499407824</v>
      </c>
      <c r="AG61" s="13" t="n">
        <f aca="false">IF(Time!AG30&gt;0,Inputs!$F$154*MAX(-1,MIN(1,(AG32-Inputs!$F$216)/Inputs!$F$217))*AG21*Time!AG30/12,0)</f>
        <v>-0.282888040501476</v>
      </c>
      <c r="AH61" s="13" t="n">
        <f aca="false">IF(Time!AH30&gt;0,Inputs!$F$154*MAX(-1,MIN(1,(AH32-Inputs!$F$216)/Inputs!$F$217))*AH21*Time!AH30/12,0)</f>
        <v>-0.263251951009856</v>
      </c>
      <c r="AI61" s="13" t="n">
        <f aca="false">IF(Time!AI30&gt;0,Inputs!$F$154*MAX(-1,MIN(1,(AI32-Inputs!$F$216)/Inputs!$F$217))*AI21*Time!AI30/12,0)</f>
        <v>-0.218480588535038</v>
      </c>
      <c r="AJ61" s="13" t="n">
        <f aca="false">IF(Time!AJ30&gt;0,Inputs!$F$154*MAX(-1,MIN(1,(AJ32-Inputs!$F$216)/Inputs!$F$217))*AJ21*Time!AJ30/12,0)</f>
        <v>-0.124525413225462</v>
      </c>
      <c r="AK61" s="13" t="n">
        <f aca="false">IF(Time!AK30&gt;0,Inputs!$F$154*MAX(-1,MIN(1,(AK32-Inputs!$F$216)/Inputs!$F$217))*AK21*Time!AK30/12,0)</f>
        <v>-0.200337130234339</v>
      </c>
      <c r="AL61" s="13" t="n">
        <f aca="false">IF(Time!AL30&gt;0,Inputs!$F$154*MAX(-1,MIN(1,(AL32-Inputs!$F$216)/Inputs!$F$217))*AL21*Time!AL30/12,0)</f>
        <v>-0.353056604735544</v>
      </c>
      <c r="AM61" s="13" t="n">
        <f aca="false">IF(Time!AM30&gt;0,Inputs!$F$154*MAX(-1,MIN(1,(AM32-Inputs!$F$216)/Inputs!$F$217))*AM21*Time!AM30/12,0)</f>
        <v>-0.145683819553836</v>
      </c>
      <c r="AN61" s="13" t="n">
        <f aca="false">IF(Time!AN30&gt;0,Inputs!$F$154*MAX(-1,MIN(1,(AN32-Inputs!$F$216)/Inputs!$F$217))*AN21*Time!AN30/12,0)</f>
        <v>0.279814830066865</v>
      </c>
      <c r="AO61" s="13" t="n">
        <f aca="false">IF(Time!AO30&gt;0,Inputs!$F$154*MAX(-1,MIN(1,(AO32-Inputs!$F$216)/Inputs!$F$217))*AO21*Time!AO30/12,0)</f>
        <v>0.422642205070344</v>
      </c>
      <c r="AP61" s="13" t="n">
        <f aca="false">IF(Time!AP30&gt;0,Inputs!$F$154*MAX(-1,MIN(1,(AP32-Inputs!$F$216)/Inputs!$F$217))*AP21*Time!AP30/12,0)</f>
        <v>0.427265976932251</v>
      </c>
      <c r="AQ61" s="13" t="n">
        <f aca="false">IF(Time!AQ30&gt;0,Inputs!$F$154*MAX(-1,MIN(1,(AQ32-Inputs!$F$216)/Inputs!$F$217))*AQ21*Time!AQ30/12,0)</f>
        <v>0.431940333581892</v>
      </c>
      <c r="AR61" s="13" t="n">
        <f aca="false">IF(Time!AR30&gt;0,Inputs!$F$154*MAX(-1,MIN(1,(AR32-Inputs!$F$216)/Inputs!$F$217))*AR21*Time!AR30/12,0)</f>
        <v>0.171555344473168</v>
      </c>
      <c r="AS61" s="13" t="n">
        <f aca="false">IF(Time!AS30&gt;0,Inputs!$F$154*MAX(-1,MIN(1,(AS32-Inputs!$F$216)/Inputs!$F$217))*AS21*Time!AS30/12,0)</f>
        <v>-0.092226147060229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-0.374124099116462</v>
      </c>
      <c r="AV61" s="13" t="n">
        <f aca="false">IF(Time!AV30&gt;0,Inputs!$F$154*MAX(-1,MIN(1,(AV32-Inputs!$F$216)/Inputs!$F$217))*AV21*Time!AV30/12,0)</f>
        <v>0.153813752246249</v>
      </c>
      <c r="AW61" s="13" t="n">
        <f aca="false">IF(Time!AW30&gt;0,Inputs!$F$154*MAX(-1,MIN(1,(AW32-Inputs!$F$216)/Inputs!$F$217))*AW21*Time!AW30/12,0)</f>
        <v>0.318416278911256</v>
      </c>
      <c r="AX61" s="13" t="n">
        <f aca="false">IF(Time!AX30&gt;0,Inputs!$F$154*MAX(-1,MIN(1,(AX32-Inputs!$F$216)/Inputs!$F$217))*AX21*Time!AX30/12,0)</f>
        <v>0.466124461501408</v>
      </c>
      <c r="AY61" s="13" t="n">
        <f aca="false">IF(Time!AY30&gt;0,Inputs!$F$154*MAX(-1,MIN(1,(AY32-Inputs!$F$216)/Inputs!$F$217))*AY21*Time!AY30/12,0)</f>
        <v>0.443169201417121</v>
      </c>
      <c r="AZ61" s="13" t="n">
        <f aca="false">IF(Time!AZ30&gt;0,Inputs!$F$154*MAX(-1,MIN(1,(AZ32-Inputs!$F$216)/Inputs!$F$217))*AZ21*Time!AZ30/12,0)</f>
        <v>0.0127870473396261</v>
      </c>
      <c r="BA61" s="13" t="n">
        <f aca="false">IF(Time!BA30&gt;0,Inputs!$F$154*MAX(-1,MIN(1,(BA32-Inputs!$F$216)/Inputs!$F$217))*BA21*Time!BA30/12,0)</f>
        <v>-0.105264155024415</v>
      </c>
      <c r="BB61" s="13" t="n">
        <f aca="false">IF(Time!BB30&gt;0,Inputs!$F$154*MAX(-1,MIN(1,(BB32-Inputs!$F$216)/Inputs!$F$217))*BB21*Time!BB30/12,0)</f>
        <v>-0.345384008821083</v>
      </c>
      <c r="BC61" s="13" t="n">
        <f aca="false">IF(Time!BC30&gt;0,Inputs!$F$154*MAX(-1,MIN(1,(BC32-Inputs!$F$216)/Inputs!$F$217))*BC21*Time!BC30/12,0)</f>
        <v>-0.166599397446665</v>
      </c>
      <c r="BD61" s="13" t="n">
        <f aca="false">IF(Time!BD30&gt;0,Inputs!$F$154*MAX(-1,MIN(1,(BD32-Inputs!$F$216)/Inputs!$F$217))*BD21*Time!BD30/12,0)</f>
        <v>0.200698851253665</v>
      </c>
      <c r="BE61" s="13" t="n">
        <f aca="false">IF(Time!BE30&gt;0,Inputs!$F$154*MAX(-1,MIN(1,(BE32-Inputs!$F$216)/Inputs!$F$217))*BE21*Time!BE30/12,0)</f>
        <v>0.182345243923564</v>
      </c>
      <c r="BF61" s="13" t="n">
        <f aca="false">IF(Time!BF30&gt;0,Inputs!$F$154*MAX(-1,MIN(1,(BF32-Inputs!$F$216)/Inputs!$F$217))*BF21*Time!BF30/12,0)</f>
        <v>0.142791936318309</v>
      </c>
      <c r="BG61" s="13" t="n">
        <f aca="false">IF(Time!BG30&gt;0,Inputs!$F$154*MAX(-1,MIN(1,(BG32-Inputs!$F$216)/Inputs!$F$217))*BG21*Time!BG30/12,0)</f>
        <v>0.230775806120392</v>
      </c>
      <c r="BH61" s="13" t="n">
        <f aca="false">IF(Time!BH30&gt;0,Inputs!$F$154*MAX(-1,MIN(1,(BH32-Inputs!$F$216)/Inputs!$F$217))*BH21*Time!BH30/12,0)</f>
        <v>0.408034870824369</v>
      </c>
      <c r="BI61" s="13" t="n">
        <f aca="false">IF(Time!BI30&gt;0,Inputs!$F$154*MAX(-1,MIN(1,(BI32-Inputs!$F$216)/Inputs!$F$217))*BI21*Time!BI30/12,0)</f>
        <v>0.0131265038892323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-0.484230622364062</v>
      </c>
      <c r="BL61" s="13" t="n">
        <f aca="false">IF(Time!BL30&gt;0,Inputs!$F$154*MAX(-1,MIN(1,(BL32-Inputs!$F$216)/Inputs!$F$217))*BL21*Time!BL30/12,0)</f>
        <v>0.154786718743678</v>
      </c>
      <c r="BM61" s="13" t="n">
        <f aca="false">IF(Time!BM30&gt;0,Inputs!$F$154*MAX(-1,MIN(1,(BM32-Inputs!$F$216)/Inputs!$F$217))*BM21*Time!BM30/12,0)</f>
        <v>0.104320073112666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2862.84920867122</v>
      </c>
      <c r="P63" s="15" t="n">
        <f aca="false">IF(P31&gt;0,Inputs!$F$258*(Inputs!$F$129*P32/P31*P37/Inputs!$F$131+Inputs!$F$130*Inputs!$F$132)*Time!P30/12,0)</f>
        <v>8588.54762601365</v>
      </c>
      <c r="Q63" s="15" t="n">
        <f aca="false">IF(Q31&gt;0,Inputs!$F$258*(Inputs!$F$129*Q32/Q31*Q37/Inputs!$F$131+Inputs!$F$130*Inputs!$F$132)*Time!Q30/12,0)</f>
        <v>8588.54762601365</v>
      </c>
      <c r="R63" s="15" t="n">
        <f aca="false">IF(R31&gt;0,Inputs!$F$258*(Inputs!$F$129*R32/R31*R37/Inputs!$F$131+Inputs!$F$130*Inputs!$F$132)*Time!R30/12,0)</f>
        <v>8588.54762601365</v>
      </c>
      <c r="S63" s="15" t="n">
        <f aca="false">IF(S31&gt;0,Inputs!$F$258*(Inputs!$F$129*S32/S31*S37/Inputs!$F$131+Inputs!$F$130*Inputs!$F$132)*Time!S30/12,0)</f>
        <v>8588.54762601365</v>
      </c>
      <c r="T63" s="15" t="n">
        <f aca="false">IF(T31&gt;0,Inputs!$F$258*(Inputs!$F$129*T32/T31*T37/Inputs!$F$131+Inputs!$F$130*Inputs!$F$132)*Time!T30/12,0)</f>
        <v>8588.54762601365</v>
      </c>
      <c r="U63" s="15" t="n">
        <f aca="false">IF(U31&gt;0,Inputs!$F$258*(Inputs!$F$129*U32/U31*U37/Inputs!$F$131+Inputs!$F$130*Inputs!$F$132)*Time!U30/12,0)</f>
        <v>8588.54762601365</v>
      </c>
      <c r="V63" s="15" t="n">
        <f aca="false">IF(V31&gt;0,Inputs!$F$258*(Inputs!$F$129*V32/V31*V37/Inputs!$F$131+Inputs!$F$130*Inputs!$F$132)*Time!V30/12,0)</f>
        <v>8588.54762601365</v>
      </c>
      <c r="W63" s="15" t="n">
        <f aca="false">IF(W31&gt;0,Inputs!$F$258*(Inputs!$F$129*W32/W31*W37/Inputs!$F$131+Inputs!$F$130*Inputs!$F$132)*Time!W30/12,0)</f>
        <v>8588.54762601365</v>
      </c>
      <c r="X63" s="15" t="n">
        <f aca="false">IF(X31&gt;0,Inputs!$F$258*(Inputs!$F$129*X32/X31*X37/Inputs!$F$131+Inputs!$F$130*Inputs!$F$132)*Time!X30/12,0)</f>
        <v>8588.54762601365</v>
      </c>
      <c r="Y63" s="15" t="n">
        <f aca="false">IF(Y31&gt;0,Inputs!$F$258*(Inputs!$F$129*Y32/Y31*Y37/Inputs!$F$131+Inputs!$F$130*Inputs!$F$132)*Time!Y30/12,0)</f>
        <v>8588.54762601365</v>
      </c>
      <c r="Z63" s="15" t="n">
        <f aca="false">IF(Z31&gt;0,Inputs!$F$258*(Inputs!$F$129*Z32/Z31*Z37/Inputs!$F$131+Inputs!$F$130*Inputs!$F$132)*Time!Z30/12,0)</f>
        <v>8588.54762601365</v>
      </c>
      <c r="AA63" s="15" t="n">
        <f aca="false">IF(AA31&gt;0,Inputs!$F$258*(Inputs!$F$129*AA32/AA31*AA37/Inputs!$F$131+Inputs!$F$130*Inputs!$F$132)*Time!AA30/12,0)</f>
        <v>8588.54762601365</v>
      </c>
      <c r="AB63" s="15" t="n">
        <f aca="false">IF(AB31&gt;0,Inputs!$F$258*(Inputs!$F$129*AB32/AB31*AB37/Inputs!$F$131+Inputs!$F$130*Inputs!$F$132)*Time!AB30/12,0)</f>
        <v>8588.54762601365</v>
      </c>
      <c r="AC63" s="15" t="n">
        <f aca="false">IF(AC31&gt;0,Inputs!$F$258*(Inputs!$F$129*AC32/AC31*AC37/Inputs!$F$131+Inputs!$F$130*Inputs!$F$132)*Time!AC30/12,0)</f>
        <v>8588.54762601365</v>
      </c>
      <c r="AD63" s="15" t="n">
        <f aca="false">IF(AD31&gt;0,Inputs!$F$258*(Inputs!$F$129*AD32/AD31*AD37/Inputs!$F$131+Inputs!$F$130*Inputs!$F$132)*Time!AD30/12,0)</f>
        <v>8588.54762601365</v>
      </c>
      <c r="AE63" s="15" t="n">
        <f aca="false">IF(AE31&gt;0,Inputs!$F$258*(Inputs!$F$129*AE32/AE31*AE37/Inputs!$F$131+Inputs!$F$130*Inputs!$F$132)*Time!AE30/12,0)</f>
        <v>8588.54762601365</v>
      </c>
      <c r="AF63" s="15" t="n">
        <f aca="false">IF(AF31&gt;0,Inputs!$F$258*(Inputs!$F$129*AF32/AF31*AF37/Inputs!$F$131+Inputs!$F$130*Inputs!$F$132)*Time!AF30/12,0)</f>
        <v>8588.54762601365</v>
      </c>
      <c r="AG63" s="15" t="n">
        <f aca="false">IF(AG31&gt;0,Inputs!$F$258*(Inputs!$F$129*AG32/AG31*AG37/Inputs!$F$131+Inputs!$F$130*Inputs!$F$132)*Time!AG30/12,0)</f>
        <v>8588.54762601365</v>
      </c>
      <c r="AH63" s="15" t="n">
        <f aca="false">IF(AH31&gt;0,Inputs!$F$258*(Inputs!$F$129*AH32/AH31*AH37/Inputs!$F$131+Inputs!$F$130*Inputs!$F$132)*Time!AH30/12,0)</f>
        <v>8588.54762601365</v>
      </c>
      <c r="AI63" s="15" t="n">
        <f aca="false">IF(AI31&gt;0,Inputs!$F$258*(Inputs!$F$129*AI32/AI31*AI37/Inputs!$F$131+Inputs!$F$130*Inputs!$F$132)*Time!AI30/12,0)</f>
        <v>8588.54762601365</v>
      </c>
      <c r="AJ63" s="15" t="n">
        <f aca="false">IF(AJ31&gt;0,Inputs!$F$258*(Inputs!$F$129*AJ32/AJ31*AJ37/Inputs!$F$131+Inputs!$F$130*Inputs!$F$132)*Time!AJ30/12,0)</f>
        <v>8588.54762601365</v>
      </c>
      <c r="AK63" s="15" t="n">
        <f aca="false">IF(AK31&gt;0,Inputs!$F$258*(Inputs!$F$129*AK32/AK31*AK37/Inputs!$F$131+Inputs!$F$130*Inputs!$F$132)*Time!AK30/12,0)</f>
        <v>8588.54762601365</v>
      </c>
      <c r="AL63" s="15" t="n">
        <f aca="false">IF(AL31&gt;0,Inputs!$F$258*(Inputs!$F$129*AL32/AL31*AL37/Inputs!$F$131+Inputs!$F$130*Inputs!$F$132)*Time!AL30/12,0)</f>
        <v>8588.54762601365</v>
      </c>
      <c r="AM63" s="15" t="n">
        <f aca="false">IF(AM31&gt;0,Inputs!$F$258*(Inputs!$F$129*AM32/AM31*AM37/Inputs!$F$131+Inputs!$F$130*Inputs!$F$132)*Time!AM30/12,0)</f>
        <v>8588.54762601365</v>
      </c>
      <c r="AN63" s="15" t="n">
        <f aca="false">IF(AN31&gt;0,Inputs!$F$258*(Inputs!$F$129*AN32/AN31*AN37/Inputs!$F$131+Inputs!$F$130*Inputs!$F$132)*Time!AN30/12,0)</f>
        <v>8588.54762601365</v>
      </c>
      <c r="AO63" s="15" t="n">
        <f aca="false">IF(AO31&gt;0,Inputs!$F$258*(Inputs!$F$129*AO32/AO31*AO37/Inputs!$F$131+Inputs!$F$130*Inputs!$F$132)*Time!AO30/12,0)</f>
        <v>8588.54762601365</v>
      </c>
      <c r="AP63" s="15" t="n">
        <f aca="false">IF(AP31&gt;0,Inputs!$F$258*(Inputs!$F$129*AP32/AP31*AP37/Inputs!$F$131+Inputs!$F$130*Inputs!$F$132)*Time!AP30/12,0)</f>
        <v>8588.54762601365</v>
      </c>
      <c r="AQ63" s="15" t="n">
        <f aca="false">IF(AQ31&gt;0,Inputs!$F$258*(Inputs!$F$129*AQ32/AQ31*AQ37/Inputs!$F$131+Inputs!$F$130*Inputs!$F$132)*Time!AQ30/12,0)</f>
        <v>8588.54762601365</v>
      </c>
      <c r="AR63" s="15" t="n">
        <f aca="false">IF(AR31&gt;0,Inputs!$F$258*(Inputs!$F$129*AR32/AR31*AR37/Inputs!$F$131+Inputs!$F$130*Inputs!$F$132)*Time!AR30/12,0)</f>
        <v>8588.54762601365</v>
      </c>
      <c r="AS63" s="15" t="n">
        <f aca="false">IF(AS31&gt;0,Inputs!$F$258*(Inputs!$F$129*AS32/AS31*AS37/Inputs!$F$131+Inputs!$F$130*Inputs!$F$132)*Time!AS30/12,0)</f>
        <v>8588.54762601365</v>
      </c>
      <c r="AT63" s="15" t="n">
        <f aca="false">IF(AT31&gt;0,Inputs!$F$258*(Inputs!$F$129*AT32/AT31*AT37/Inputs!$F$131+Inputs!$F$130*Inputs!$F$132)*Time!AT30/12,0)</f>
        <v>8588.54762601365</v>
      </c>
      <c r="AU63" s="15" t="n">
        <f aca="false">IF(AU31&gt;0,Inputs!$F$258*(Inputs!$F$129*AU32/AU31*AU37/Inputs!$F$131+Inputs!$F$130*Inputs!$F$132)*Time!AU30/12,0)</f>
        <v>8588.54762601365</v>
      </c>
      <c r="AV63" s="15" t="n">
        <f aca="false">IF(AV31&gt;0,Inputs!$F$258*(Inputs!$F$129*AV32/AV31*AV37/Inputs!$F$131+Inputs!$F$130*Inputs!$F$132)*Time!AV30/12,0)</f>
        <v>8588.54762601365</v>
      </c>
      <c r="AW63" s="15" t="n">
        <f aca="false">IF(AW31&gt;0,Inputs!$F$258*(Inputs!$F$129*AW32/AW31*AW37/Inputs!$F$131+Inputs!$F$130*Inputs!$F$132)*Time!AW30/12,0)</f>
        <v>8588.54762601365</v>
      </c>
      <c r="AX63" s="15" t="n">
        <f aca="false">IF(AX31&gt;0,Inputs!$F$258*(Inputs!$F$129*AX32/AX31*AX37/Inputs!$F$131+Inputs!$F$130*Inputs!$F$132)*Time!AX30/12,0)</f>
        <v>8588.54762601365</v>
      </c>
      <c r="AY63" s="15" t="n">
        <f aca="false">IF(AY31&gt;0,Inputs!$F$258*(Inputs!$F$129*AY32/AY31*AY37/Inputs!$F$131+Inputs!$F$130*Inputs!$F$132)*Time!AY30/12,0)</f>
        <v>8588.54762601365</v>
      </c>
      <c r="AZ63" s="15" t="n">
        <f aca="false">IF(AZ31&gt;0,Inputs!$F$258*(Inputs!$F$129*AZ32/AZ31*AZ37/Inputs!$F$131+Inputs!$F$130*Inputs!$F$132)*Time!AZ30/12,0)</f>
        <v>8588.54762601365</v>
      </c>
      <c r="BA63" s="15" t="n">
        <f aca="false">IF(BA31&gt;0,Inputs!$F$258*(Inputs!$F$129*BA32/BA31*BA37/Inputs!$F$131+Inputs!$F$130*Inputs!$F$132)*Time!BA30/12,0)</f>
        <v>8588.54762601365</v>
      </c>
      <c r="BB63" s="15" t="n">
        <f aca="false">IF(BB31&gt;0,Inputs!$F$258*(Inputs!$F$129*BB32/BB31*BB37/Inputs!$F$131+Inputs!$F$130*Inputs!$F$132)*Time!BB30/12,0)</f>
        <v>8588.54762601365</v>
      </c>
      <c r="BC63" s="15" t="n">
        <f aca="false">IF(BC31&gt;0,Inputs!$F$258*(Inputs!$F$129*BC32/BC31*BC37/Inputs!$F$131+Inputs!$F$130*Inputs!$F$132)*Time!BC30/12,0)</f>
        <v>8588.54762601365</v>
      </c>
      <c r="BD63" s="15" t="n">
        <f aca="false">IF(BD31&gt;0,Inputs!$F$258*(Inputs!$F$129*BD32/BD31*BD37/Inputs!$F$131+Inputs!$F$130*Inputs!$F$132)*Time!BD30/12,0)</f>
        <v>8588.54762601365</v>
      </c>
      <c r="BE63" s="15" t="n">
        <f aca="false">IF(BE31&gt;0,Inputs!$F$258*(Inputs!$F$129*BE32/BE31*BE37/Inputs!$F$131+Inputs!$F$130*Inputs!$F$132)*Time!BE30/12,0)</f>
        <v>8588.54762601365</v>
      </c>
      <c r="BF63" s="15" t="n">
        <f aca="false">IF(BF31&gt;0,Inputs!$F$258*(Inputs!$F$129*BF32/BF31*BF37/Inputs!$F$131+Inputs!$F$130*Inputs!$F$132)*Time!BF30/12,0)</f>
        <v>8588.54762601365</v>
      </c>
      <c r="BG63" s="15" t="n">
        <f aca="false">IF(BG31&gt;0,Inputs!$F$258*(Inputs!$F$129*BG32/BG31*BG37/Inputs!$F$131+Inputs!$F$130*Inputs!$F$132)*Time!BG30/12,0)</f>
        <v>8588.54762601365</v>
      </c>
      <c r="BH63" s="15" t="n">
        <f aca="false">IF(BH31&gt;0,Inputs!$F$258*(Inputs!$F$129*BH32/BH31*BH37/Inputs!$F$131+Inputs!$F$130*Inputs!$F$132)*Time!BH30/12,0)</f>
        <v>8588.54762601365</v>
      </c>
      <c r="BI63" s="15" t="n">
        <f aca="false">IF(BI31&gt;0,Inputs!$F$258*(Inputs!$F$129*BI32/BI31*BI37/Inputs!$F$131+Inputs!$F$130*Inputs!$F$132)*Time!BI30/12,0)</f>
        <v>8588.54762601365</v>
      </c>
      <c r="BJ63" s="15" t="n">
        <f aca="false">IF(BJ31&gt;0,Inputs!$F$258*(Inputs!$F$129*BJ32/BJ31*BJ37/Inputs!$F$131+Inputs!$F$130*Inputs!$F$132)*Time!BJ30/12,0)</f>
        <v>8588.54762601365</v>
      </c>
      <c r="BK63" s="15" t="n">
        <f aca="false">IF(BK31&gt;0,Inputs!$F$258*(Inputs!$F$129*BK32/BK31*BK37/Inputs!$F$131+Inputs!$F$130*Inputs!$F$132)*Time!BK30/12,0)</f>
        <v>8588.54762601365</v>
      </c>
      <c r="BL63" s="15" t="n">
        <f aca="false">IF(BL31&gt;0,Inputs!$F$258*(Inputs!$F$129*BL32/BL31*BL37/Inputs!$F$131+Inputs!$F$130*Inputs!$F$132)*Time!BL30/12,0)</f>
        <v>8588.54762601365</v>
      </c>
      <c r="BM63" s="15" t="n">
        <f aca="false">IF(BM31&gt;0,Inputs!$F$258*(Inputs!$F$129*BM32/BM31*BM37/Inputs!$F$131+Inputs!$F$130*Inputs!$F$132)*Time!BM30/12,0)</f>
        <v>5725.69841734244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294.97555538734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1.47715036552019</v>
      </c>
      <c r="P64" s="13" t="n">
        <f aca="false">P63*Inputs!$F$156*P21/1000000</f>
        <v>4.47993186502589</v>
      </c>
      <c r="Q64" s="13" t="n">
        <f aca="false">Q63*Inputs!$F$156*Q21/1000000</f>
        <v>4.52894302068489</v>
      </c>
      <c r="R64" s="13" t="n">
        <f aca="false">R63*Inputs!$F$156*R21/1000000</f>
        <v>4.57849036605646</v>
      </c>
      <c r="S64" s="13" t="n">
        <f aca="false">S63*Inputs!$F$156*S21/1000000</f>
        <v>4.62857976713996</v>
      </c>
      <c r="T64" s="13" t="n">
        <f aca="false">T63*Inputs!$F$156*T21/1000000</f>
        <v>4.6792171541097</v>
      </c>
      <c r="U64" s="13" t="n">
        <f aca="false">U63*Inputs!$F$156*U21/1000000</f>
        <v>4.73040852201704</v>
      </c>
      <c r="V64" s="13" t="n">
        <f aca="false">V63*Inputs!$F$156*V21/1000000</f>
        <v>4.78215993150011</v>
      </c>
      <c r="W64" s="13" t="n">
        <f aca="false">W63*Inputs!$F$156*W21/1000000</f>
        <v>4.83447750950141</v>
      </c>
      <c r="X64" s="13" t="n">
        <f aca="false">X63*Inputs!$F$156*X21/1000000</f>
        <v>4.88736744999312</v>
      </c>
      <c r="Y64" s="13" t="n">
        <f aca="false">Y63*Inputs!$F$156*Y21/1000000</f>
        <v>4.94083601471044</v>
      </c>
      <c r="Z64" s="13" t="n">
        <f aca="false">Z63*Inputs!$F$156*Z21/1000000</f>
        <v>4.99488953389297</v>
      </c>
      <c r="AA64" s="13" t="n">
        <f aca="false">AA63*Inputs!$F$156*AA21/1000000</f>
        <v>5.04953440703407</v>
      </c>
      <c r="AB64" s="13" t="n">
        <f aca="false">AB63*Inputs!$F$156*AB21/1000000</f>
        <v>5.10477710363861</v>
      </c>
      <c r="AC64" s="13" t="n">
        <f aca="false">AC63*Inputs!$F$156*AC21/1000000</f>
        <v>5.16062416398882</v>
      </c>
      <c r="AD64" s="13" t="n">
        <f aca="false">AD63*Inputs!$F$156*AD21/1000000</f>
        <v>5.21708219991866</v>
      </c>
      <c r="AE64" s="13" t="n">
        <f aca="false">AE63*Inputs!$F$156*AE21/1000000</f>
        <v>5.27415789559657</v>
      </c>
      <c r="AF64" s="13" t="n">
        <f aca="false">AF63*Inputs!$F$156*AF21/1000000</f>
        <v>5.33185800831687</v>
      </c>
      <c r="AG64" s="13" t="n">
        <f aca="false">AG63*Inputs!$F$156*AG21/1000000</f>
        <v>5.3901893692997</v>
      </c>
      <c r="AH64" s="13" t="n">
        <f aca="false">AH63*Inputs!$F$156*AH21/1000000</f>
        <v>5.44915888449984</v>
      </c>
      <c r="AI64" s="13" t="n">
        <f aca="false">AI63*Inputs!$F$156*AI21/1000000</f>
        <v>5.50877353542429</v>
      </c>
      <c r="AJ64" s="13" t="n">
        <f aca="false">AJ63*Inputs!$F$156*AJ21/1000000</f>
        <v>5.56904037995883</v>
      </c>
      <c r="AK64" s="13" t="n">
        <f aca="false">AK63*Inputs!$F$156*AK21/1000000</f>
        <v>5.62996655320362</v>
      </c>
      <c r="AL64" s="13" t="n">
        <f aca="false">AL63*Inputs!$F$156*AL21/1000000</f>
        <v>5.69155926831793</v>
      </c>
      <c r="AM64" s="13" t="n">
        <f aca="false">AM63*Inputs!$F$156*AM21/1000000</f>
        <v>5.7538258173741</v>
      </c>
      <c r="AN64" s="13" t="n">
        <f aca="false">AN63*Inputs!$F$156*AN21/1000000</f>
        <v>5.81677357222092</v>
      </c>
      <c r="AO64" s="13" t="n">
        <f aca="false">AO63*Inputs!$F$156*AO21/1000000</f>
        <v>5.88040998535633</v>
      </c>
      <c r="AP64" s="13" t="n">
        <f aca="false">AP63*Inputs!$F$156*AP21/1000000</f>
        <v>5.94474259080978</v>
      </c>
      <c r="AQ64" s="13" t="n">
        <f aca="false">AQ63*Inputs!$F$156*AQ21/1000000</f>
        <v>6.00977900503417</v>
      </c>
      <c r="AR64" s="13" t="n">
        <f aca="false">AR63*Inputs!$F$156*AR21/1000000</f>
        <v>6.07552692780759</v>
      </c>
      <c r="AS64" s="13" t="n">
        <f aca="false">AS63*Inputs!$F$156*AS21/1000000</f>
        <v>6.14199414314492</v>
      </c>
      <c r="AT64" s="13" t="n">
        <f aca="false">AT63*Inputs!$F$156*AT21/1000000</f>
        <v>6.20918852021936</v>
      </c>
      <c r="AU64" s="13" t="n">
        <f aca="false">AU63*Inputs!$F$156*AU21/1000000</f>
        <v>6.27711801429411</v>
      </c>
      <c r="AV64" s="13" t="n">
        <f aca="false">AV63*Inputs!$F$156*AV21/1000000</f>
        <v>6.34579066766418</v>
      </c>
      <c r="AW64" s="13" t="n">
        <f aca="false">AW63*Inputs!$F$156*AW21/1000000</f>
        <v>6.41521461060858</v>
      </c>
      <c r="AX64" s="13" t="n">
        <f aca="false">AX63*Inputs!$F$156*AX21/1000000</f>
        <v>6.48539806235279</v>
      </c>
      <c r="AY64" s="13" t="n">
        <f aca="false">AY63*Inputs!$F$156*AY21/1000000</f>
        <v>6.55634933204196</v>
      </c>
      <c r="AZ64" s="13" t="n">
        <f aca="false">AZ63*Inputs!$F$156*AZ21/1000000</f>
        <v>6.62807681972456</v>
      </c>
      <c r="BA64" s="13" t="n">
        <f aca="false">BA63*Inputs!$F$156*BA21/1000000</f>
        <v>6.70058901734688</v>
      </c>
      <c r="BB64" s="13" t="n">
        <f aca="false">BB63*Inputs!$F$156*BB21/1000000</f>
        <v>6.77389450975849</v>
      </c>
      <c r="BC64" s="13" t="n">
        <f aca="false">BC63*Inputs!$F$156*BC21/1000000</f>
        <v>6.84800197572851</v>
      </c>
      <c r="BD64" s="13" t="n">
        <f aca="false">BD63*Inputs!$F$156*BD21/1000000</f>
        <v>6.92292018897318</v>
      </c>
      <c r="BE64" s="13" t="n">
        <f aca="false">BE63*Inputs!$F$156*BE21/1000000</f>
        <v>6.99865801919454</v>
      </c>
      <c r="BF64" s="13" t="n">
        <f aca="false">BF63*Inputs!$F$156*BF21/1000000</f>
        <v>7.07522443313059</v>
      </c>
      <c r="BG64" s="13" t="n">
        <f aca="false">BG63*Inputs!$F$156*BG21/1000000</f>
        <v>7.15262849561682</v>
      </c>
      <c r="BH64" s="13" t="n">
        <f aca="false">BH63*Inputs!$F$156*BH21/1000000</f>
        <v>7.23087937065946</v>
      </c>
      <c r="BI64" s="13" t="n">
        <f aca="false">BI63*Inputs!$F$156*BI21/1000000</f>
        <v>7.30998632252039</v>
      </c>
      <c r="BJ64" s="13" t="n">
        <f aca="false">BJ63*Inputs!$F$156*BJ21/1000000</f>
        <v>7.38995871681397</v>
      </c>
      <c r="BK64" s="13" t="n">
        <f aca="false">BK63*Inputs!$F$156*BK21/1000000</f>
        <v>7.47080602161583</v>
      </c>
      <c r="BL64" s="13" t="n">
        <f aca="false">BL63*Inputs!$F$156*BL21/1000000</f>
        <v>7.55253780858387</v>
      </c>
      <c r="BM64" s="13" t="n">
        <f aca="false">BM63*Inputs!$F$156*BM21/1000000</f>
        <v>5.09010916939425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193.079384923163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0.603032397079752</v>
      </c>
      <c r="P66" s="13" t="n">
        <f aca="false">Inputs!$F$159*(Inputs!$F$218*P21+(1-Inputs!$F$218)*P27*Inputs!$F$153/P11)*Time!P30/12*Inputs!$F$40</f>
        <v>1.85386568065618</v>
      </c>
      <c r="Q66" s="13" t="n">
        <f aca="false">Inputs!$F$159*(Inputs!$F$218*Q21+(1-Inputs!$F$218)*Q27*Inputs!$F$153/Q11)*Time!Q30/12*Inputs!$F$40</f>
        <v>1.90004360795998</v>
      </c>
      <c r="R66" s="13" t="n">
        <f aca="false">Inputs!$F$159*(Inputs!$F$218*R21+(1-Inputs!$F$218)*R27*Inputs!$F$153/R11)*Time!R30/12*Inputs!$F$40</f>
        <v>1.94768025545081</v>
      </c>
      <c r="S66" s="13" t="n">
        <f aca="false">Inputs!$F$159*(Inputs!$F$218*S21+(1-Inputs!$F$218)*S27*Inputs!$F$153/S11)*Time!S30/12*Inputs!$F$40</f>
        <v>1.9968266914443</v>
      </c>
      <c r="T66" s="13" t="n">
        <f aca="false">Inputs!$F$159*(Inputs!$F$218*T21+(1-Inputs!$F$218)*T27*Inputs!$F$153/T11)*Time!T30/12*Inputs!$F$40</f>
        <v>2.04753583572127</v>
      </c>
      <c r="U66" s="13" t="n">
        <f aca="false">Inputs!$F$159*(Inputs!$F$218*U21+(1-Inputs!$F$218)*U27*Inputs!$F$153/U11)*Time!U30/12*Inputs!$F$40</f>
        <v>2.09986252738404</v>
      </c>
      <c r="V66" s="13" t="n">
        <f aca="false">Inputs!$F$159*(Inputs!$F$218*V21+(1-Inputs!$F$218)*V27*Inputs!$F$153/V11)*Time!V30/12*Inputs!$F$40</f>
        <v>2.15386359520767</v>
      </c>
      <c r="W66" s="13" t="n">
        <f aca="false">Inputs!$F$159*(Inputs!$F$218*W21+(1-Inputs!$F$218)*W27*Inputs!$F$153/W11)*Time!W30/12*Inputs!$F$40</f>
        <v>2.20959793057825</v>
      </c>
      <c r="X66" s="13" t="n">
        <f aca="false">Inputs!$F$159*(Inputs!$F$218*X21+(1-Inputs!$F$218)*X27*Inputs!$F$153/X11)*Time!X30/12*Inputs!$F$40</f>
        <v>2.26712656311319</v>
      </c>
      <c r="Y66" s="13" t="n">
        <f aca="false">Inputs!$F$159*(Inputs!$F$218*Y21+(1-Inputs!$F$218)*Y27*Inputs!$F$153/Y11)*Time!Y30/12*Inputs!$F$40</f>
        <v>2.32651273906237</v>
      </c>
      <c r="Z66" s="13" t="n">
        <f aca="false">Inputs!$F$159*(Inputs!$F$218*Z21+(1-Inputs!$F$218)*Z27*Inputs!$F$153/Z11)*Time!Z30/12*Inputs!$F$40</f>
        <v>2.38782200259253</v>
      </c>
      <c r="AA66" s="13" t="n">
        <f aca="false">Inputs!$F$159*(Inputs!$F$218*AA21+(1-Inputs!$F$218)*AA27*Inputs!$F$153/AA11)*Time!AA30/12*Inputs!$F$40</f>
        <v>2.45112228006088</v>
      </c>
      <c r="AB66" s="13" t="n">
        <f aca="false">Inputs!$F$159*(Inputs!$F$218*AB21+(1-Inputs!$F$218)*AB27*Inputs!$F$153/AB11)*Time!AB30/12*Inputs!$F$40</f>
        <v>2.51648396738814</v>
      </c>
      <c r="AC66" s="13" t="n">
        <f aca="false">Inputs!$F$159*(Inputs!$F$218*AC21+(1-Inputs!$F$218)*AC27*Inputs!$F$153/AC11)*Time!AC30/12*Inputs!$F$40</f>
        <v>2.58398002064488</v>
      </c>
      <c r="AD66" s="13" t="n">
        <f aca="false">Inputs!$F$159*(Inputs!$F$218*AD21+(1-Inputs!$F$218)*AD27*Inputs!$F$153/AD11)*Time!AD30/12*Inputs!$F$40</f>
        <v>2.65368604996968</v>
      </c>
      <c r="AE66" s="13" t="n">
        <f aca="false">Inputs!$F$159*(Inputs!$F$218*AE21+(1-Inputs!$F$218)*AE27*Inputs!$F$153/AE11)*Time!AE30/12*Inputs!$F$40</f>
        <v>2.72568041694154</v>
      </c>
      <c r="AF66" s="13" t="n">
        <f aca="false">Inputs!$F$159*(Inputs!$F$218*AF21+(1-Inputs!$F$218)*AF27*Inputs!$F$153/AF11)*Time!AF30/12*Inputs!$F$40</f>
        <v>2.80004433553379</v>
      </c>
      <c r="AG66" s="13" t="n">
        <f aca="false">Inputs!$F$159*(Inputs!$F$218*AG21+(1-Inputs!$F$218)*AG27*Inputs!$F$153/AG11)*Time!AG30/12*Inputs!$F$40</f>
        <v>2.87686197678136</v>
      </c>
      <c r="AH66" s="13" t="n">
        <f aca="false">Inputs!$F$159*(Inputs!$F$218*AH21+(1-Inputs!$F$218)*AH27*Inputs!$F$153/AH11)*Time!AH30/12*Inputs!$F$40</f>
        <v>2.95622057729792</v>
      </c>
      <c r="AI66" s="13" t="n">
        <f aca="false">Inputs!$F$159*(Inputs!$F$218*AI21+(1-Inputs!$F$218)*AI27*Inputs!$F$153/AI11)*Time!AI30/12*Inputs!$F$40</f>
        <v>3.03821055178489</v>
      </c>
      <c r="AJ66" s="13" t="n">
        <f aca="false">Inputs!$F$159*(Inputs!$F$218*AJ21+(1-Inputs!$F$218)*AJ27*Inputs!$F$153/AJ11)*Time!AJ30/12*Inputs!$F$40</f>
        <v>3.12292560967899</v>
      </c>
      <c r="AK66" s="13" t="n">
        <f aca="false">Inputs!$F$159*(Inputs!$F$218*AK21+(1-Inputs!$F$218)*AK27*Inputs!$F$153/AK11)*Time!AK30/12*Inputs!$F$40</f>
        <v>3.21046287609085</v>
      </c>
      <c r="AL66" s="13" t="n">
        <f aca="false">Inputs!$F$159*(Inputs!$F$218*AL21+(1-Inputs!$F$218)*AL27*Inputs!$F$153/AL11)*Time!AL30/12*Inputs!$F$40</f>
        <v>3.30092301719248</v>
      </c>
      <c r="AM66" s="13" t="n">
        <f aca="false">Inputs!$F$159*(Inputs!$F$218*AM21+(1-Inputs!$F$218)*AM27*Inputs!$F$153/AM11)*Time!AM30/12*Inputs!$F$40</f>
        <v>3.39441037021758</v>
      </c>
      <c r="AN66" s="13" t="n">
        <f aca="false">Inputs!$F$159*(Inputs!$F$218*AN21+(1-Inputs!$F$218)*AN27*Inputs!$F$153/AN11)*Time!AN30/12*Inputs!$F$40</f>
        <v>3.49103307824421</v>
      </c>
      <c r="AO66" s="13" t="n">
        <f aca="false">Inputs!$F$159*(Inputs!$F$218*AO21+(1-Inputs!$F$218)*AO27*Inputs!$F$153/AO11)*Time!AO30/12*Inputs!$F$40</f>
        <v>3.59090322993622</v>
      </c>
      <c r="AP66" s="13" t="n">
        <f aca="false">Inputs!$F$159*(Inputs!$F$218*AP21+(1-Inputs!$F$218)*AP27*Inputs!$F$153/AP11)*Time!AP30/12*Inputs!$F$40</f>
        <v>3.69413700442556</v>
      </c>
      <c r="AQ66" s="13" t="n">
        <f aca="false">Inputs!$F$159*(Inputs!$F$218*AQ21+(1-Inputs!$F$218)*AQ27*Inputs!$F$153/AQ11)*Time!AQ30/12*Inputs!$F$40</f>
        <v>3.80085482152511</v>
      </c>
      <c r="AR66" s="13" t="n">
        <f aca="false">Inputs!$F$159*(Inputs!$F$218*AR21+(1-Inputs!$F$218)*AR27*Inputs!$F$153/AR11)*Time!AR30/12*Inputs!$F$40</f>
        <v>3.911181497468</v>
      </c>
      <c r="AS66" s="13" t="n">
        <f aca="false">Inputs!$F$159*(Inputs!$F$218*AS21+(1-Inputs!$F$218)*AS27*Inputs!$F$153/AS11)*Time!AS30/12*Inputs!$F$40</f>
        <v>4.02524640637698</v>
      </c>
      <c r="AT66" s="13" t="n">
        <f aca="false">Inputs!$F$159*(Inputs!$F$218*AT21+(1-Inputs!$F$218)*AT27*Inputs!$F$153/AT11)*Time!AT30/12*Inputs!$F$40</f>
        <v>4.14318364767468</v>
      </c>
      <c r="AU66" s="13" t="n">
        <f aca="false">Inputs!$F$159*(Inputs!$F$218*AU21+(1-Inputs!$F$218)*AU27*Inputs!$F$153/AU11)*Time!AU30/12*Inputs!$F$40</f>
        <v>4.26513221965363</v>
      </c>
      <c r="AV66" s="13" t="n">
        <f aca="false">Inputs!$F$159*(Inputs!$F$218*AV21+(1-Inputs!$F$218)*AV27*Inputs!$F$153/AV11)*Time!AV30/12*Inputs!$F$40</f>
        <v>4.39123619943256</v>
      </c>
      <c r="AW66" s="13" t="n">
        <f aca="false">Inputs!$F$159*(Inputs!$F$218*AW21+(1-Inputs!$F$218)*AW27*Inputs!$F$153/AW11)*Time!AW30/12*Inputs!$F$40</f>
        <v>4.52164492953432</v>
      </c>
      <c r="AX66" s="13" t="n">
        <f aca="false">Inputs!$F$159*(Inputs!$F$218*AX21+(1-Inputs!$F$218)*AX27*Inputs!$F$153/AX11)*Time!AX30/12*Inputs!$F$40</f>
        <v>4.65651321132901</v>
      </c>
      <c r="AY66" s="13" t="n">
        <f aca="false">Inputs!$F$159*(Inputs!$F$218*AY21+(1-Inputs!$F$218)*AY27*Inputs!$F$153/AY11)*Time!AY30/12*Inputs!$F$40</f>
        <v>4.79600150559515</v>
      </c>
      <c r="AZ66" s="13" t="n">
        <f aca="false">Inputs!$F$159*(Inputs!$F$218*AZ21+(1-Inputs!$F$218)*AZ27*Inputs!$F$153/AZ11)*Time!AZ30/12*Inputs!$F$40</f>
        <v>4.9402761404608</v>
      </c>
      <c r="BA66" s="13" t="n">
        <f aca="false">Inputs!$F$159*(Inputs!$F$218*BA21+(1-Inputs!$F$218)*BA27*Inputs!$F$153/BA11)*Time!BA30/12*Inputs!$F$40</f>
        <v>5.08950952699658</v>
      </c>
      <c r="BB66" s="13" t="n">
        <f aca="false">Inputs!$F$159*(Inputs!$F$218*BB21+(1-Inputs!$F$218)*BB27*Inputs!$F$153/BB11)*Time!BB30/12*Inputs!$F$40</f>
        <v>5.24388038274191</v>
      </c>
      <c r="BC66" s="13" t="n">
        <f aca="false">Inputs!$F$159*(Inputs!$F$218*BC21+(1-Inputs!$F$218)*BC27*Inputs!$F$153/BC11)*Time!BC30/12*Inputs!$F$40</f>
        <v>5.40357396345692</v>
      </c>
      <c r="BD66" s="13" t="n">
        <f aca="false">Inputs!$F$159*(Inputs!$F$218*BD21+(1-Inputs!$F$218)*BD27*Inputs!$F$153/BD11)*Time!BD30/12*Inputs!$F$40</f>
        <v>5.56878230340251</v>
      </c>
      <c r="BE66" s="13" t="n">
        <f aca="false">Inputs!$F$159*(Inputs!$F$218*BE21+(1-Inputs!$F$218)*BE27*Inputs!$F$153/BE11)*Time!BE30/12*Inputs!$F$40</f>
        <v>5.73970446446276</v>
      </c>
      <c r="BF66" s="13" t="n">
        <f aca="false">Inputs!$F$159*(Inputs!$F$218*BF21+(1-Inputs!$F$218)*BF27*Inputs!$F$153/BF11)*Time!BF30/12*Inputs!$F$40</f>
        <v>5.91654679443508</v>
      </c>
      <c r="BG66" s="13" t="n">
        <f aca="false">Inputs!$F$159*(Inputs!$F$218*BG21+(1-Inputs!$F$218)*BG27*Inputs!$F$153/BG11)*Time!BG30/12*Inputs!$F$40</f>
        <v>6.09952319482568</v>
      </c>
      <c r="BH66" s="13" t="n">
        <f aca="false">Inputs!$F$159*(Inputs!$F$218*BH21+(1-Inputs!$F$218)*BH27*Inputs!$F$153/BH11)*Time!BH30/12*Inputs!$F$40</f>
        <v>6.2888553985003</v>
      </c>
      <c r="BI66" s="13" t="n">
        <f aca="false">Inputs!$F$159*(Inputs!$F$218*BI21+(1-Inputs!$F$218)*BI27*Inputs!$F$153/BI11)*Time!BI30/12*Inputs!$F$40</f>
        <v>6.48477325755291</v>
      </c>
      <c r="BJ66" s="13" t="n">
        <f aca="false">Inputs!$F$159*(Inputs!$F$218*BJ21+(1-Inputs!$F$218)*BJ27*Inputs!$F$153/BJ11)*Time!BJ30/12*Inputs!$F$40</f>
        <v>6.68751504176873</v>
      </c>
      <c r="BK66" s="13" t="n">
        <f aca="false">Inputs!$F$159*(Inputs!$F$218*BK21+(1-Inputs!$F$218)*BK27*Inputs!$F$153/BK11)*Time!BK30/12*Inputs!$F$40</f>
        <v>6.89732774807149</v>
      </c>
      <c r="BL66" s="13" t="n">
        <f aca="false">Inputs!$F$159*(Inputs!$F$218*BL21+(1-Inputs!$F$218)*BL27*Inputs!$F$153/BL11)*Time!BL30/12*Inputs!$F$40</f>
        <v>7.11446742135931</v>
      </c>
      <c r="BM66" s="13" t="n">
        <f aca="false">Inputs!$F$159*(Inputs!$F$218*BM21+(1-Inputs!$F$218)*BM27*Inputs!$F$153/BM11)*Time!BM30/12*Inputs!$F$40</f>
        <v>4.89279965809905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61.3088763504203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0.14406722074316</v>
      </c>
      <c r="P67" s="13" t="n">
        <f aca="false">Inputs!$F$160*P27/P11*Time!P30/12*Inputs!$F$40</f>
        <v>0.44811571050088</v>
      </c>
      <c r="Q67" s="13" t="n">
        <f aca="false">Inputs!$F$160*Q27/Q11*Time!Q30/12*Inputs!$F$40</f>
        <v>0.464615728134541</v>
      </c>
      <c r="R67" s="13" t="n">
        <f aca="false">Inputs!$F$160*R27/R11*Time!R30/12*Inputs!$F$40</f>
        <v>0.481723291041735</v>
      </c>
      <c r="S67" s="13" t="n">
        <f aca="false">Inputs!$F$160*S27/S11*Time!S30/12*Inputs!$F$40</f>
        <v>0.499460769577913</v>
      </c>
      <c r="T67" s="13" t="n">
        <f aca="false">Inputs!$F$160*T27/T11*Time!T30/12*Inputs!$F$40</f>
        <v>0.51785135779484</v>
      </c>
      <c r="U67" s="13" t="n">
        <f aca="false">Inputs!$F$160*U27/U11*Time!U30/12*Inputs!$F$40</f>
        <v>0.536919103769823</v>
      </c>
      <c r="V67" s="13" t="n">
        <f aca="false">Inputs!$F$160*V27/V11*Time!V30/12*Inputs!$F$40</f>
        <v>0.556688941051691</v>
      </c>
      <c r="W67" s="13" t="n">
        <f aca="false">Inputs!$F$160*W27/W11*Time!W30/12*Inputs!$F$40</f>
        <v>0.577186721264641</v>
      </c>
      <c r="X67" s="13" t="n">
        <f aca="false">Inputs!$F$160*X27/X11*Time!X30/12*Inputs!$F$40</f>
        <v>0.598439247912582</v>
      </c>
      <c r="Y67" s="13" t="n">
        <f aca="false">Inputs!$F$160*Y27/Y11*Time!Y30/12*Inputs!$F$40</f>
        <v>0.620474311428198</v>
      </c>
      <c r="Z67" s="13" t="n">
        <f aca="false">Inputs!$F$160*Z27/Z11*Time!Z30/12*Inputs!$F$40</f>
        <v>0.643320725512532</v>
      </c>
      <c r="AA67" s="13" t="n">
        <f aca="false">Inputs!$F$160*AA27/AA11*Time!AA30/12*Inputs!$F$40</f>
        <v>0.667008364812639</v>
      </c>
      <c r="AB67" s="13" t="n">
        <f aca="false">Inputs!$F$160*AB27/AB11*Time!AB30/12*Inputs!$F$40</f>
        <v>0.691568203986556</v>
      </c>
      <c r="AC67" s="13" t="n">
        <f aca="false">Inputs!$F$160*AC27/AC11*Time!AC30/12*Inputs!$F$40</f>
        <v>0.717032358206685</v>
      </c>
      <c r="AD67" s="13" t="n">
        <f aca="false">Inputs!$F$160*AD27/AD11*Time!AD30/12*Inputs!$F$40</f>
        <v>0.743434125154537</v>
      </c>
      <c r="AE67" s="13" t="n">
        <f aca="false">Inputs!$F$160*AE27/AE11*Time!AE30/12*Inputs!$F$40</f>
        <v>0.770808028561771</v>
      </c>
      <c r="AF67" s="13" t="n">
        <f aca="false">Inputs!$F$160*AF27/AF11*Time!AF30/12*Inputs!$F$40</f>
        <v>0.799189863354441</v>
      </c>
      <c r="AG67" s="13" t="n">
        <f aca="false">Inputs!$F$160*AG27/AG11*Time!AG30/12*Inputs!$F$40</f>
        <v>0.828616742459509</v>
      </c>
      <c r="AH67" s="13" t="n">
        <f aca="false">Inputs!$F$160*AH27/AH11*Time!AH30/12*Inputs!$F$40</f>
        <v>0.859127145334798</v>
      </c>
      <c r="AI67" s="13" t="n">
        <f aca="false">Inputs!$F$160*AI27/AI11*Time!AI30/12*Inputs!$F$40</f>
        <v>0.890760968285874</v>
      </c>
      <c r="AJ67" s="13" t="n">
        <f aca="false">Inputs!$F$160*AJ27/AJ11*Time!AJ30/12*Inputs!$F$40</f>
        <v>0.923559576635635</v>
      </c>
      <c r="AK67" s="13" t="n">
        <f aca="false">Inputs!$F$160*AK27/AK11*Time!AK30/12*Inputs!$F$40</f>
        <v>0.957565858814831</v>
      </c>
      <c r="AL67" s="13" t="n">
        <f aca="false">Inputs!$F$160*AL27/AL11*Time!AL30/12*Inputs!$F$40</f>
        <v>0.992824282444245</v>
      </c>
      <c r="AM67" s="13" t="n">
        <f aca="false">Inputs!$F$160*AM27/AM11*Time!AM30/12*Inputs!$F$40</f>
        <v>1.02938095248187</v>
      </c>
      <c r="AN67" s="13" t="n">
        <f aca="false">Inputs!$F$160*AN27/AN11*Time!AN30/12*Inputs!$F$40</f>
        <v>1.06728367151111</v>
      </c>
      <c r="AO67" s="13" t="n">
        <f aca="false">Inputs!$F$160*AO27/AO11*Time!AO30/12*Inputs!$F$40</f>
        <v>1.10658200224888</v>
      </c>
      <c r="AP67" s="13" t="n">
        <f aca="false">Inputs!$F$160*AP27/AP11*Time!AP30/12*Inputs!$F$40</f>
        <v>1.14732733235522</v>
      </c>
      <c r="AQ67" s="13" t="n">
        <f aca="false">Inputs!$F$160*AQ27/AQ11*Time!AQ30/12*Inputs!$F$40</f>
        <v>1.1895729416294</v>
      </c>
      <c r="AR67" s="13" t="n">
        <f aca="false">Inputs!$F$160*AR27/AR11*Time!AR30/12*Inputs!$F$40</f>
        <v>1.2333740716801</v>
      </c>
      <c r="AS67" s="13" t="n">
        <f aca="false">Inputs!$F$160*AS27/AS11*Time!AS30/12*Inputs!$F$40</f>
        <v>1.278787998161</v>
      </c>
      <c r="AT67" s="13" t="n">
        <f aca="false">Inputs!$F$160*AT27/AT11*Time!AT30/12*Inputs!$F$40</f>
        <v>1.3258741056661</v>
      </c>
      <c r="AU67" s="13" t="n">
        <f aca="false">Inputs!$F$160*AU27/AU11*Time!AU30/12*Inputs!$F$40</f>
        <v>1.3746939653828</v>
      </c>
      <c r="AV67" s="13" t="n">
        <f aca="false">Inputs!$F$160*AV27/AV11*Time!AV30/12*Inputs!$F$40</f>
        <v>1.4253114156042</v>
      </c>
      <c r="AW67" s="13" t="n">
        <f aca="false">Inputs!$F$160*AW27/AW11*Time!AW30/12*Inputs!$F$40</f>
        <v>1.4777926452059</v>
      </c>
      <c r="AX67" s="13" t="n">
        <f aca="false">Inputs!$F$160*AX27/AX11*Time!AX30/12*Inputs!$F$40</f>
        <v>1.53220628019659</v>
      </c>
      <c r="AY67" s="13" t="n">
        <f aca="false">Inputs!$F$160*AY27/AY11*Time!AY30/12*Inputs!$F$40</f>
        <v>1.58862347345543</v>
      </c>
      <c r="AZ67" s="13" t="n">
        <f aca="false">Inputs!$F$160*AZ27/AZ11*Time!AZ30/12*Inputs!$F$40</f>
        <v>1.64711799777363</v>
      </c>
      <c r="BA67" s="13" t="n">
        <f aca="false">Inputs!$F$160*BA27/BA11*Time!BA30/12*Inputs!$F$40</f>
        <v>1.70776634232198</v>
      </c>
      <c r="BB67" s="13" t="n">
        <f aca="false">Inputs!$F$160*BB27/BB11*Time!BB30/12*Inputs!$F$40</f>
        <v>1.77064781267031</v>
      </c>
      <c r="BC67" s="13" t="n">
        <f aca="false">Inputs!$F$160*BC27/BC11*Time!BC30/12*Inputs!$F$40</f>
        <v>1.83584463448985</v>
      </c>
      <c r="BD67" s="13" t="n">
        <f aca="false">Inputs!$F$160*BD27/BD11*Time!BD30/12*Inputs!$F$40</f>
        <v>1.90344206107391</v>
      </c>
      <c r="BE67" s="13" t="n">
        <f aca="false">Inputs!$F$160*BE27/BE11*Time!BE30/12*Inputs!$F$40</f>
        <v>1.9735284848176</v>
      </c>
      <c r="BF67" s="13" t="n">
        <f aca="false">Inputs!$F$160*BF27/BF11*Time!BF30/12*Inputs!$F$40</f>
        <v>2.04619555280239</v>
      </c>
      <c r="BG67" s="13" t="n">
        <f aca="false">Inputs!$F$160*BG27/BG11*Time!BG30/12*Inputs!$F$40</f>
        <v>2.12153828663651</v>
      </c>
      <c r="BH67" s="13" t="n">
        <f aca="false">Inputs!$F$160*BH27/BH11*Time!BH30/12*Inputs!$F$40</f>
        <v>2.19965520670803</v>
      </c>
      <c r="BI67" s="13" t="n">
        <f aca="false">Inputs!$F$160*BI27/BI11*Time!BI30/12*Inputs!$F$40</f>
        <v>2.28064846101301</v>
      </c>
      <c r="BJ67" s="13" t="n">
        <f aca="false">Inputs!$F$160*BJ27/BJ11*Time!BJ30/12*Inputs!$F$40</f>
        <v>2.36462395872728</v>
      </c>
      <c r="BK67" s="13" t="n">
        <f aca="false">Inputs!$F$160*BK27/BK11*Time!BK30/12*Inputs!$F$40</f>
        <v>2.45169150869639</v>
      </c>
      <c r="BL67" s="13" t="n">
        <f aca="false">Inputs!$F$160*BL27/BL11*Time!BL30/12*Inputs!$F$40</f>
        <v>2.54196496302489</v>
      </c>
      <c r="BM67" s="13" t="n">
        <f aca="false">Inputs!$F$160*BM27/BM11*Time!BM30/12*Inputs!$F$40</f>
        <v>1.75704157730184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23.8476846859606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0.125677722923634</v>
      </c>
      <c r="P68" s="13" t="n">
        <f aca="false">Inputs!$F$161/100*P55</f>
        <v>0.379572710443952</v>
      </c>
      <c r="Q68" s="13" t="n">
        <f aca="false">Inputs!$F$161/100*Q55</f>
        <v>0.381814967936173</v>
      </c>
      <c r="R68" s="13" t="n">
        <f aca="false">Inputs!$F$161/100*R55</f>
        <v>0.382076417795076</v>
      </c>
      <c r="S68" s="13" t="n">
        <f aca="false">Inputs!$F$161/100*S55</f>
        <v>0.387039444793883</v>
      </c>
      <c r="T68" s="13" t="n">
        <f aca="false">Inputs!$F$161/100*T55</f>
        <v>0.391018596790021</v>
      </c>
      <c r="U68" s="13" t="n">
        <f aca="false">Inputs!$F$161/100*U55</f>
        <v>0.393658878199396</v>
      </c>
      <c r="V68" s="13" t="n">
        <f aca="false">Inputs!$F$161/100*V55</f>
        <v>0.396139550789344</v>
      </c>
      <c r="W68" s="13" t="n">
        <f aca="false">Inputs!$F$161/100*W55</f>
        <v>0.399917471390031</v>
      </c>
      <c r="X68" s="13" t="n">
        <f aca="false">Inputs!$F$161/100*X55</f>
        <v>0.404609194607933</v>
      </c>
      <c r="Y68" s="13" t="n">
        <f aca="false">Inputs!$F$161/100*Y55</f>
        <v>0.407008447174604</v>
      </c>
      <c r="Z68" s="13" t="n">
        <f aca="false">Inputs!$F$161/100*Z55</f>
        <v>0.408659204701302</v>
      </c>
      <c r="AA68" s="13" t="n">
        <f aca="false">Inputs!$F$161/100*AA55</f>
        <v>0.413063169445456</v>
      </c>
      <c r="AB68" s="13" t="n">
        <f aca="false">Inputs!$F$161/100*AB55</f>
        <v>0.418728351054083</v>
      </c>
      <c r="AC68" s="13" t="n">
        <f aca="false">Inputs!$F$161/100*AC55</f>
        <v>0.420540174038271</v>
      </c>
      <c r="AD68" s="13" t="n">
        <f aca="false">Inputs!$F$161/100*AD55</f>
        <v>0.417959294923611</v>
      </c>
      <c r="AE68" s="13" t="n">
        <f aca="false">Inputs!$F$161/100*AE55</f>
        <v>0.422141515474616</v>
      </c>
      <c r="AF68" s="13" t="n">
        <f aca="false">Inputs!$F$161/100*AF55</f>
        <v>0.42702737297141</v>
      </c>
      <c r="AG68" s="13" t="n">
        <f aca="false">Inputs!$F$161/100*AG55</f>
        <v>0.431235527352851</v>
      </c>
      <c r="AH68" s="13" t="n">
        <f aca="false">Inputs!$F$161/100*AH55</f>
        <v>0.435971791894965</v>
      </c>
      <c r="AI68" s="13" t="n">
        <f aca="false">Inputs!$F$161/100*AI55</f>
        <v>0.440294957741196</v>
      </c>
      <c r="AJ68" s="13" t="n">
        <f aca="false">Inputs!$F$161/100*AJ55</f>
        <v>0.444922723764809</v>
      </c>
      <c r="AK68" s="13" t="n">
        <f aca="false">Inputs!$F$161/100*AK55</f>
        <v>0.44875555087181</v>
      </c>
      <c r="AL68" s="13" t="n">
        <f aca="false">Inputs!$F$161/100*AL55</f>
        <v>0.449747707251245</v>
      </c>
      <c r="AM68" s="13" t="n">
        <f aca="false">Inputs!$F$161/100*AM55</f>
        <v>0.457873947545759</v>
      </c>
      <c r="AN68" s="13" t="n">
        <f aca="false">Inputs!$F$161/100*AN55</f>
        <v>0.464834154629379</v>
      </c>
      <c r="AO68" s="13" t="n">
        <f aca="false">Inputs!$F$161/100*AO55</f>
        <v>0.470465112360562</v>
      </c>
      <c r="AP68" s="13" t="n">
        <f aca="false">Inputs!$F$161/100*AP55</f>
        <v>0.477156195568916</v>
      </c>
      <c r="AQ68" s="13" t="n">
        <f aca="false">Inputs!$F$161/100*AQ55</f>
        <v>0.481099919475839</v>
      </c>
      <c r="AR68" s="13" t="n">
        <f aca="false">Inputs!$F$161/100*AR55</f>
        <v>0.483965908969927</v>
      </c>
      <c r="AS68" s="13" t="n">
        <f aca="false">Inputs!$F$161/100*AS55</f>
        <v>0.487689141689908</v>
      </c>
      <c r="AT68" s="13" t="n">
        <f aca="false">Inputs!$F$161/100*AT55</f>
        <v>0.47964257635052</v>
      </c>
      <c r="AU68" s="13" t="n">
        <f aca="false">Inputs!$F$161/100*AU55</f>
        <v>0.494699483063453</v>
      </c>
      <c r="AV68" s="13" t="n">
        <f aca="false">Inputs!$F$161/100*AV55</f>
        <v>0.505874255139659</v>
      </c>
      <c r="AW68" s="13" t="n">
        <f aca="false">Inputs!$F$161/100*AW55</f>
        <v>0.512789002353942</v>
      </c>
      <c r="AX68" s="13" t="n">
        <f aca="false">Inputs!$F$161/100*AX55</f>
        <v>0.520952164031418</v>
      </c>
      <c r="AY68" s="13" t="n">
        <f aca="false">Inputs!$F$161/100*AY55</f>
        <v>0.525907443070761</v>
      </c>
      <c r="AZ68" s="13" t="n">
        <f aca="false">Inputs!$F$161/100*AZ55</f>
        <v>0.529579211743981</v>
      </c>
      <c r="BA68" s="13" t="n">
        <f aca="false">Inputs!$F$161/100*BA55</f>
        <v>0.535399124362967</v>
      </c>
      <c r="BB68" s="13" t="n">
        <f aca="false">Inputs!$F$161/100*BB55</f>
        <v>0.539950648765251</v>
      </c>
      <c r="BC68" s="13" t="n">
        <f aca="false">Inputs!$F$161/100*BC55</f>
        <v>0.5487258299395</v>
      </c>
      <c r="BD68" s="13" t="n">
        <f aca="false">Inputs!$F$161/100*BD55</f>
        <v>0.558382435842631</v>
      </c>
      <c r="BE68" s="13" t="n">
        <f aca="false">Inputs!$F$161/100*BE55</f>
        <v>0.565666669716614</v>
      </c>
      <c r="BF68" s="13" t="n">
        <f aca="false">Inputs!$F$161/100*BF55</f>
        <v>0.573018264633753</v>
      </c>
      <c r="BG68" s="13" t="n">
        <f aca="false">Inputs!$F$161/100*BG55</f>
        <v>0.581489769066622</v>
      </c>
      <c r="BH68" s="13" t="n">
        <f aca="false">Inputs!$F$161/100*BH55</f>
        <v>0.590852736275963</v>
      </c>
      <c r="BI68" s="13" t="n">
        <f aca="false">Inputs!$F$161/100*BI55</f>
        <v>0.59633248139005</v>
      </c>
      <c r="BJ68" s="13" t="n">
        <f aca="false">Inputs!$F$161/100*BJ55</f>
        <v>0.585550425158616</v>
      </c>
      <c r="BK68" s="13" t="n">
        <f aca="false">Inputs!$F$161/100*BK55</f>
        <v>0.606144713861445</v>
      </c>
      <c r="BL68" s="13" t="n">
        <f aca="false">Inputs!$F$161/100*BL55</f>
        <v>0.623874245071986</v>
      </c>
      <c r="BM68" s="13" t="n">
        <f aca="false">Inputs!$F$161/100*BM55</f>
        <v>0.422188081551468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195.746495081062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0.726495434857324</v>
      </c>
      <c r="P69" s="13" t="n">
        <f aca="false">Inputs!$F$162*(Inputs!$F$219*P21+(1-Inputs!$F$219)*P27*Inputs!$F$153/P11)*P38/1000000</f>
        <v>2.22076981045772</v>
      </c>
      <c r="Q69" s="13" t="n">
        <f aca="false">Inputs!$F$162*(Inputs!$F$219*Q21+(1-Inputs!$F$219)*Q27*Inputs!$F$153/Q11)*Q38/1000000</f>
        <v>2.24511394112049</v>
      </c>
      <c r="R69" s="13" t="n">
        <f aca="false">Inputs!$F$162*(Inputs!$F$219*R21+(1-Inputs!$F$219)*R27*Inputs!$F$153/R11)*R38/1000000</f>
        <v>2.25210373487874</v>
      </c>
      <c r="S69" s="13" t="n">
        <f aca="false">Inputs!$F$162*(Inputs!$F$219*S21+(1-Inputs!$F$219)*S27*Inputs!$F$153/S11)*S38/1000000</f>
        <v>2.32527310118608</v>
      </c>
      <c r="T69" s="13" t="n">
        <f aca="false">Inputs!$F$162*(Inputs!$F$219*T21+(1-Inputs!$F$219)*T27*Inputs!$F$153/T11)*T38/1000000</f>
        <v>2.43144645252079</v>
      </c>
      <c r="U69" s="13" t="n">
        <f aca="false">Inputs!$F$162*(Inputs!$F$219*U21+(1-Inputs!$F$219)*U27*Inputs!$F$153/U11)*U38/1000000</f>
        <v>2.46772283946709</v>
      </c>
      <c r="V69" s="13" t="n">
        <f aca="false">Inputs!$F$162*(Inputs!$F$219*V21+(1-Inputs!$F$219)*V27*Inputs!$F$153/V11)*V38/1000000</f>
        <v>2.49370183421574</v>
      </c>
      <c r="W69" s="13" t="n">
        <f aca="false">Inputs!$F$162*(Inputs!$F$219*W21+(1-Inputs!$F$219)*W27*Inputs!$F$153/W11)*W38/1000000</f>
        <v>2.58310938779563</v>
      </c>
      <c r="X69" s="13" t="n">
        <f aca="false">Inputs!$F$162*(Inputs!$F$219*X21+(1-Inputs!$F$219)*X27*Inputs!$F$153/X11)*X38/1000000</f>
        <v>2.71649922601506</v>
      </c>
      <c r="Y69" s="13" t="n">
        <f aca="false">Inputs!$F$162*(Inputs!$F$219*Y21+(1-Inputs!$F$219)*Y27*Inputs!$F$153/Y11)*Y38/1000000</f>
        <v>2.73132019659209</v>
      </c>
      <c r="Z69" s="13" t="n">
        <f aca="false">Inputs!$F$162*(Inputs!$F$219*Z21+(1-Inputs!$F$219)*Z27*Inputs!$F$153/Z11)*Z38/1000000</f>
        <v>2.70567835494552</v>
      </c>
      <c r="AA69" s="13" t="n">
        <f aca="false">Inputs!$F$162*(Inputs!$F$219*AA21+(1-Inputs!$F$219)*AA27*Inputs!$F$153/AA11)*AA38/1000000</f>
        <v>2.8170543388355</v>
      </c>
      <c r="AB69" s="13" t="n">
        <f aca="false">Inputs!$F$162*(Inputs!$F$219*AB21+(1-Inputs!$F$219)*AB27*Inputs!$F$153/AB11)*AB38/1000000</f>
        <v>2.98979672447836</v>
      </c>
      <c r="AC69" s="13" t="n">
        <f aca="false">Inputs!$F$162*(Inputs!$F$219*AC21+(1-Inputs!$F$219)*AC27*Inputs!$F$153/AC11)*AC38/1000000</f>
        <v>2.96433420982478</v>
      </c>
      <c r="AD69" s="13" t="n">
        <f aca="false">Inputs!$F$162*(Inputs!$F$219*AD21+(1-Inputs!$F$219)*AD27*Inputs!$F$153/AD11)*AD38/1000000</f>
        <v>2.84798685177887</v>
      </c>
      <c r="AE69" s="13" t="n">
        <f aca="false">Inputs!$F$162*(Inputs!$F$219*AE21+(1-Inputs!$F$219)*AE27*Inputs!$F$153/AE11)*AE38/1000000</f>
        <v>2.91180034368762</v>
      </c>
      <c r="AF69" s="13" t="n">
        <f aca="false">Inputs!$F$162*(Inputs!$F$219*AF21+(1-Inputs!$F$219)*AF27*Inputs!$F$153/AF11)*AF38/1000000</f>
        <v>2.98169629379886</v>
      </c>
      <c r="AG69" s="13" t="n">
        <f aca="false">Inputs!$F$162*(Inputs!$F$219*AG21+(1-Inputs!$F$219)*AG27*Inputs!$F$153/AG11)*AG38/1000000</f>
        <v>3.04810674707631</v>
      </c>
      <c r="AH69" s="13" t="n">
        <f aca="false">Inputs!$F$162*(Inputs!$F$219*AH21+(1-Inputs!$F$219)*AH27*Inputs!$F$153/AH11)*AH38/1000000</f>
        <v>3.11949932291853</v>
      </c>
      <c r="AI69" s="13" t="n">
        <f aca="false">Inputs!$F$162*(Inputs!$F$219*AI21+(1-Inputs!$F$219)*AI27*Inputs!$F$153/AI11)*AI38/1000000</f>
        <v>3.19967414626716</v>
      </c>
      <c r="AJ69" s="13" t="n">
        <f aca="false">Inputs!$F$162*(Inputs!$F$219*AJ21+(1-Inputs!$F$219)*AJ27*Inputs!$F$153/AJ11)*AJ38/1000000</f>
        <v>3.29543955947649</v>
      </c>
      <c r="AK69" s="13" t="n">
        <f aca="false">Inputs!$F$162*(Inputs!$F$219*AK21+(1-Inputs!$F$219)*AK27*Inputs!$F$153/AK11)*AK38/1000000</f>
        <v>3.34727744431981</v>
      </c>
      <c r="AL69" s="13" t="n">
        <f aca="false">Inputs!$F$162*(Inputs!$F$219*AL21+(1-Inputs!$F$219)*AL27*Inputs!$F$153/AL11)*AL38/1000000</f>
        <v>3.37947941283118</v>
      </c>
      <c r="AM69" s="13" t="n">
        <f aca="false">Inputs!$F$162*(Inputs!$F$219*AM21+(1-Inputs!$F$219)*AM27*Inputs!$F$153/AM11)*AM38/1000000</f>
        <v>3.51387368059133</v>
      </c>
      <c r="AN69" s="13" t="n">
        <f aca="false">Inputs!$F$162*(Inputs!$F$219*AN21+(1-Inputs!$F$219)*AN27*Inputs!$F$153/AN11)*AN38/1000000</f>
        <v>3.71368998782052</v>
      </c>
      <c r="AO69" s="13" t="n">
        <f aca="false">Inputs!$F$162*(Inputs!$F$219*AO21+(1-Inputs!$F$219)*AO27*Inputs!$F$153/AO11)*AO38/1000000</f>
        <v>3.8418999256982</v>
      </c>
      <c r="AP69" s="13" t="n">
        <f aca="false">Inputs!$F$162*(Inputs!$F$219*AP21+(1-Inputs!$F$219)*AP27*Inputs!$F$153/AP11)*AP38/1000000</f>
        <v>4.02002930047314</v>
      </c>
      <c r="AQ69" s="13" t="n">
        <f aca="false">Inputs!$F$162*(Inputs!$F$219*AQ21+(1-Inputs!$F$219)*AQ27*Inputs!$F$153/AQ11)*AQ38/1000000</f>
        <v>4.05396689934606</v>
      </c>
      <c r="AR69" s="13" t="n">
        <f aca="false">Inputs!$F$162*(Inputs!$F$219*AR21+(1-Inputs!$F$219)*AR27*Inputs!$F$153/AR11)*AR38/1000000</f>
        <v>4.02854860099795</v>
      </c>
      <c r="AS69" s="13" t="n">
        <f aca="false">Inputs!$F$162*(Inputs!$F$219*AS21+(1-Inputs!$F$219)*AS27*Inputs!$F$153/AS11)*AS38/1000000</f>
        <v>4.0422379137458</v>
      </c>
      <c r="AT69" s="13" t="n">
        <f aca="false">Inputs!$F$162*(Inputs!$F$219*AT21+(1-Inputs!$F$219)*AT27*Inputs!$F$153/AT11)*AT38/1000000</f>
        <v>3.97329949112583</v>
      </c>
      <c r="AU69" s="13" t="n">
        <f aca="false">Inputs!$F$162*(Inputs!$F$219*AU21+(1-Inputs!$F$219)*AU27*Inputs!$F$153/AU11)*AU38/1000000</f>
        <v>4.14794963295298</v>
      </c>
      <c r="AV69" s="13" t="n">
        <f aca="false">Inputs!$F$162*(Inputs!$F$219*AV21+(1-Inputs!$F$219)*AV27*Inputs!$F$153/AV11)*AV38/1000000</f>
        <v>4.41231473845015</v>
      </c>
      <c r="AW69" s="13" t="n">
        <f aca="false">Inputs!$F$162*(Inputs!$F$219*AW21+(1-Inputs!$F$219)*AW27*Inputs!$F$153/AW11)*AW38/1000000</f>
        <v>4.56914064381904</v>
      </c>
      <c r="AX69" s="13" t="n">
        <f aca="false">Inputs!$F$162*(Inputs!$F$219*AX21+(1-Inputs!$F$219)*AX27*Inputs!$F$153/AX11)*AX38/1000000</f>
        <v>4.78441286286814</v>
      </c>
      <c r="AY69" s="13" t="n">
        <f aca="false">Inputs!$F$162*(Inputs!$F$219*AY21+(1-Inputs!$F$219)*AY27*Inputs!$F$153/AY11)*AY38/1000000</f>
        <v>4.83037295293111</v>
      </c>
      <c r="AZ69" s="13" t="n">
        <f aca="false">Inputs!$F$162*(Inputs!$F$219*AZ21+(1-Inputs!$F$219)*AZ27*Inputs!$F$153/AZ11)*AZ38/1000000</f>
        <v>4.80501152223055</v>
      </c>
      <c r="BA69" s="13" t="n">
        <f aca="false">Inputs!$F$162*(Inputs!$F$219*BA21+(1-Inputs!$F$219)*BA27*Inputs!$F$153/BA11)*BA38/1000000</f>
        <v>4.88347011457688</v>
      </c>
      <c r="BB69" s="13" t="n">
        <f aca="false">Inputs!$F$162*(Inputs!$F$219*BB21+(1-Inputs!$F$219)*BB27*Inputs!$F$153/BB11)*BB38/1000000</f>
        <v>4.92333199072511</v>
      </c>
      <c r="BC69" s="13" t="n">
        <f aca="false">Inputs!$F$162*(Inputs!$F$219*BC21+(1-Inputs!$F$219)*BC27*Inputs!$F$153/BC11)*BC38/1000000</f>
        <v>5.10810618593101</v>
      </c>
      <c r="BD69" s="13" t="n">
        <f aca="false">Inputs!$F$162*(Inputs!$F$219*BD21+(1-Inputs!$F$219)*BD27*Inputs!$F$153/BD11)*BD38/1000000</f>
        <v>5.36388279281434</v>
      </c>
      <c r="BE69" s="13" t="n">
        <f aca="false">Inputs!$F$162*(Inputs!$F$219*BE21+(1-Inputs!$F$219)*BE27*Inputs!$F$153/BE11)*BE38/1000000</f>
        <v>5.49160508010997</v>
      </c>
      <c r="BF69" s="13" t="n">
        <f aca="false">Inputs!$F$162*(Inputs!$F$219*BF21+(1-Inputs!$F$219)*BF27*Inputs!$F$153/BF11)*BF38/1000000</f>
        <v>5.61581384210382</v>
      </c>
      <c r="BG69" s="13" t="n">
        <f aca="false">Inputs!$F$162*(Inputs!$F$219*BG21+(1-Inputs!$F$219)*BG27*Inputs!$F$153/BG11)*BG38/1000000</f>
        <v>5.79016142527444</v>
      </c>
      <c r="BH69" s="13" t="n">
        <f aca="false">Inputs!$F$162*(Inputs!$F$219*BH21+(1-Inputs!$F$219)*BH27*Inputs!$F$153/BH11)*BH38/1000000</f>
        <v>6.00274525404266</v>
      </c>
      <c r="BI69" s="13" t="n">
        <f aca="false">Inputs!$F$162*(Inputs!$F$219*BI21+(1-Inputs!$F$219)*BI27*Inputs!$F$153/BI11)*BI38/1000000</f>
        <v>6.00872682201663</v>
      </c>
      <c r="BJ69" s="13" t="n">
        <f aca="false">Inputs!$F$162*(Inputs!$F$219*BJ21+(1-Inputs!$F$219)*BJ27*Inputs!$F$153/BJ11)*BJ38/1000000</f>
        <v>5.85925473143473</v>
      </c>
      <c r="BK69" s="13" t="n">
        <f aca="false">Inputs!$F$162*(Inputs!$F$219*BK21+(1-Inputs!$F$219)*BK27*Inputs!$F$153/BK11)*BK38/1000000</f>
        <v>6.13448548531635</v>
      </c>
      <c r="BL69" s="13" t="n">
        <f aca="false">Inputs!$F$162*(Inputs!$F$219*BL21+(1-Inputs!$F$219)*BL27*Inputs!$F$153/BL11)*BL38/1000000</f>
        <v>6.54657895013963</v>
      </c>
      <c r="BM69" s="13" t="n">
        <f aca="false">Inputs!$F$162*(Inputs!$F$219*BM21+(1-Inputs!$F$219)*BM27*Inputs!$F$153/BM11)*BM38/1000000</f>
        <v>4.48020454418032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1452.29207262898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5.87158995522985</v>
      </c>
      <c r="P72" s="13" t="n">
        <f aca="false">P60+P61+P62+P64+P65+P66+P67+P68+P69+P70+P71</f>
        <v>17.8999417296307</v>
      </c>
      <c r="Q72" s="13" t="n">
        <f aca="false">Q60+Q61+Q62+Q64+Q65+Q66+Q67+Q68+Q69+Q70+Q71</f>
        <v>18.0966177585793</v>
      </c>
      <c r="R72" s="13" t="n">
        <f aca="false">R60+R61+R62+R64+R65+R66+R67+R68+R69+R70+R71</f>
        <v>18.2003467837851</v>
      </c>
      <c r="S72" s="13" t="n">
        <f aca="false">S60+S61+S62+S64+S65+S66+S67+S68+S69+S70+S71</f>
        <v>18.6647570307691</v>
      </c>
      <c r="T72" s="13" t="n">
        <f aca="false">T60+T61+T62+T64+T65+T66+T67+T68+T69+T70+T71</f>
        <v>19.3017737316373</v>
      </c>
      <c r="U72" s="13" t="n">
        <f aca="false">U60+U61+U62+U64+U65+U66+U67+U68+U69+U70+U71</f>
        <v>19.5668069333637</v>
      </c>
      <c r="V72" s="13" t="n">
        <f aca="false">V60+V61+V62+V64+V65+V66+V67+V68+V69+V70+V71</f>
        <v>19.7797798953563</v>
      </c>
      <c r="W72" s="13" t="n">
        <f aca="false">W60+W61+W62+W64+W65+W66+W67+W68+W69+W70+W71</f>
        <v>20.3255958099845</v>
      </c>
      <c r="X72" s="13" t="n">
        <f aca="false">X60+X61+X62+X64+X65+X66+X67+X68+X69+X70+X71</f>
        <v>20.9559593530244</v>
      </c>
      <c r="Y72" s="13" t="n">
        <f aca="false">Y60+Y61+Y62+Y64+Y65+Y66+Y67+Y68+Y69+Y70+Y71</f>
        <v>21.2554764669315</v>
      </c>
      <c r="Z72" s="13" t="n">
        <f aca="false">Z60+Z61+Z62+Z64+Z65+Z66+Z67+Z68+Z69+Z70+Z71</f>
        <v>21.212108166865</v>
      </c>
      <c r="AA72" s="13" t="n">
        <f aca="false">AA60+AA61+AA62+AA64+AA65+AA66+AA67+AA68+AA69+AA70+AA71</f>
        <v>21.8688121664567</v>
      </c>
      <c r="AB72" s="13" t="n">
        <f aca="false">AB60+AB61+AB62+AB64+AB65+AB66+AB67+AB68+AB69+AB70+AB71</f>
        <v>22.4980672674373</v>
      </c>
      <c r="AC72" s="13" t="n">
        <f aca="false">AC60+AC61+AC62+AC64+AC65+AC66+AC67+AC68+AC69+AC70+AC71</f>
        <v>22.7988305883134</v>
      </c>
      <c r="AD72" s="13" t="n">
        <f aca="false">AD60+AD61+AD62+AD64+AD65+AD66+AD67+AD68+AD69+AD70+AD71</f>
        <v>22.3234055716906</v>
      </c>
      <c r="AE72" s="13" t="n">
        <f aca="false">AE60+AE61+AE62+AE64+AE65+AE66+AE67+AE68+AE69+AE70+AE71</f>
        <v>22.7498528811792</v>
      </c>
      <c r="AF72" s="13" t="n">
        <f aca="false">AF60+AF61+AF62+AF64+AF65+AF66+AF67+AF68+AF69+AF70+AF71</f>
        <v>23.2083584771234</v>
      </c>
      <c r="AG72" s="13" t="n">
        <f aca="false">AG60+AG61+AG62+AG64+AG65+AG66+AG67+AG68+AG69+AG70+AG71</f>
        <v>23.6511198244217</v>
      </c>
      <c r="AH72" s="13" t="n">
        <f aca="false">AH60+AH61+AH62+AH64+AH65+AH66+AH67+AH68+AH69+AH70+AH71</f>
        <v>24.1203780682715</v>
      </c>
      <c r="AI72" s="13" t="n">
        <f aca="false">AI60+AI61+AI62+AI64+AI65+AI66+AI67+AI68+AI69+AI70+AI71</f>
        <v>24.6328535378502</v>
      </c>
      <c r="AJ72" s="13" t="n">
        <f aca="false">AJ60+AJ61+AJ62+AJ64+AJ65+AJ66+AJ67+AJ68+AJ69+AJ70+AJ71</f>
        <v>25.2204342549674</v>
      </c>
      <c r="AK72" s="13" t="n">
        <f aca="false">AK60+AK61+AK62+AK64+AK65+AK66+AK67+AK68+AK69+AK70+AK71</f>
        <v>25.6038763555633</v>
      </c>
      <c r="AL72" s="13" t="n">
        <f aca="false">AL60+AL61+AL62+AL64+AL65+AL66+AL67+AL68+AL69+AL70+AL71</f>
        <v>25.8986208126489</v>
      </c>
      <c r="AM72" s="13" t="n">
        <f aca="false">AM60+AM61+AM62+AM64+AM65+AM66+AM67+AM68+AM69+AM70+AM71</f>
        <v>26.6738184477366</v>
      </c>
      <c r="AN72" s="13" t="n">
        <f aca="false">AN60+AN61+AN62+AN64+AN65+AN66+AN67+AN68+AN69+AN70+AN71</f>
        <v>27.7427926308263</v>
      </c>
      <c r="AO72" s="13" t="n">
        <f aca="false">AO60+AO61+AO62+AO64+AO65+AO66+AO67+AO68+AO69+AO70+AO71</f>
        <v>28.4679274958135</v>
      </c>
      <c r="AP72" s="13" t="n">
        <f aca="false">AP60+AP61+AP62+AP64+AP65+AP66+AP67+AP68+AP69+AP70+AP71</f>
        <v>29.1179920130843</v>
      </c>
      <c r="AQ72" s="13" t="n">
        <f aca="false">AQ60+AQ61+AQ62+AQ64+AQ65+AQ66+AQ67+AQ68+AQ69+AQ70+AQ71</f>
        <v>29.6337214919237</v>
      </c>
      <c r="AR72" s="13" t="n">
        <f aca="false">AR60+AR61+AR62+AR64+AR65+AR66+AR67+AR68+AR69+AR70+AR71</f>
        <v>29.8369255242317</v>
      </c>
      <c r="AS72" s="13" t="n">
        <f aca="false">AS60+AS61+AS62+AS64+AS65+AS66+AS67+AS68+AS69+AS70+AS71</f>
        <v>30.090094175263</v>
      </c>
      <c r="AT72" s="13" t="n">
        <f aca="false">AT60+AT61+AT62+AT64+AT65+AT66+AT67+AT68+AT69+AT70+AT71</f>
        <v>30.172440710817</v>
      </c>
      <c r="AU72" s="13" t="n">
        <f aca="false">AU60+AU61+AU62+AU64+AU65+AU66+AU67+AU68+AU69+AU70+AU71</f>
        <v>30.9619740441987</v>
      </c>
      <c r="AV72" s="13" t="n">
        <f aca="false">AV60+AV61+AV62+AV64+AV65+AV66+AV67+AV68+AV69+AV70+AV71</f>
        <v>32.3079059180689</v>
      </c>
      <c r="AW72" s="13" t="n">
        <f aca="false">AW60+AW61+AW62+AW64+AW65+AW66+AW67+AW68+AW69+AW70+AW71</f>
        <v>33.1939726458781</v>
      </c>
      <c r="AX72" s="13" t="n">
        <f aca="false">AX60+AX61+AX62+AX64+AX65+AX66+AX67+AX68+AX69+AX70+AX71</f>
        <v>34.1386199292494</v>
      </c>
      <c r="AY72" s="13" t="n">
        <f aca="false">AY60+AY61+AY62+AY64+AY65+AY66+AY67+AY68+AY69+AY70+AY71</f>
        <v>34.7563929415716</v>
      </c>
      <c r="AZ72" s="13" t="n">
        <f aca="false">AZ60+AZ61+AZ62+AZ64+AZ65+AZ66+AZ67+AZ68+AZ69+AZ70+AZ71</f>
        <v>34.910991133262</v>
      </c>
      <c r="BA72" s="13" t="n">
        <f aca="false">BA60+BA61+BA62+BA64+BA65+BA66+BA67+BA68+BA69+BA70+BA71</f>
        <v>35.5013130689139</v>
      </c>
      <c r="BB72" s="13" t="n">
        <f aca="false">BB60+BB61+BB62+BB64+BB65+BB66+BB67+BB68+BB69+BB70+BB71</f>
        <v>35.9477137096371</v>
      </c>
      <c r="BC72" s="13" t="n">
        <f aca="false">BC60+BC61+BC62+BC64+BC65+BC66+BC67+BC68+BC69+BC70+BC71</f>
        <v>36.9807761444909</v>
      </c>
      <c r="BD72" s="13" t="n">
        <f aca="false">BD60+BD61+BD62+BD64+BD65+BD66+BD67+BD68+BD69+BD70+BD71</f>
        <v>38.2934881238526</v>
      </c>
      <c r="BE72" s="13" t="n">
        <f aca="false">BE60+BE61+BE62+BE64+BE65+BE66+BE67+BE68+BE69+BE70+BE71</f>
        <v>39.110026966551</v>
      </c>
      <c r="BF72" s="13" t="n">
        <f aca="false">BF60+BF61+BF62+BF64+BF65+BF66+BF67+BF68+BF69+BF70+BF71</f>
        <v>39.9225021448779</v>
      </c>
      <c r="BG72" s="13" t="n">
        <f aca="false">BG60+BG61+BG62+BG64+BG65+BG66+BG67+BG68+BG69+BG70+BG71</f>
        <v>40.9350565263799</v>
      </c>
      <c r="BH72" s="13" t="n">
        <f aca="false">BH60+BH61+BH62+BH64+BH65+BH66+BH67+BH68+BH69+BH70+BH71</f>
        <v>42.0980233951197</v>
      </c>
      <c r="BI72" s="13" t="n">
        <f aca="false">BI60+BI61+BI62+BI64+BI65+BI66+BI67+BI68+BI69+BI70+BI71</f>
        <v>42.5010993370236</v>
      </c>
      <c r="BJ72" s="13" t="n">
        <f aca="false">BJ60+BJ61+BJ62+BJ64+BJ65+BJ66+BJ67+BJ68+BJ69+BJ70+BJ71</f>
        <v>42.6066452708157</v>
      </c>
      <c r="BK72" s="13" t="n">
        <f aca="false">BK60+BK61+BK62+BK64+BK65+BK66+BK67+BK68+BK69+BK70+BK71</f>
        <v>43.7837910135694</v>
      </c>
      <c r="BL72" s="13" t="n">
        <f aca="false">BL60+BL61+BL62+BL64+BL65+BL66+BL67+BL68+BL69+BL70+BL71</f>
        <v>45.7122304126883</v>
      </c>
      <c r="BM72" s="13" t="n">
        <f aca="false">BM60+BM61+BM62+BM64+BM65+BM66+BM67+BM68+BM69+BM70+BM71</f>
        <v>31.1884739920524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4910.09682207545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25.6142701625884</v>
      </c>
      <c r="P73" s="13" t="n">
        <f aca="false">P42*P41/1000000</f>
        <v>76.8144123082029</v>
      </c>
      <c r="Q73" s="13" t="n">
        <f aca="false">Q42*Q41/1000000</f>
        <v>77.7023867228858</v>
      </c>
      <c r="R73" s="13" t="n">
        <f aca="false">R42*R41/1000000</f>
        <v>76.4502122206522</v>
      </c>
      <c r="S73" s="13" t="n">
        <f aca="false">S42*S41/1000000</f>
        <v>78.9579708657028</v>
      </c>
      <c r="T73" s="13" t="n">
        <f aca="false">T42*T41/1000000</f>
        <v>80.9571062650622</v>
      </c>
      <c r="U73" s="13" t="n">
        <f aca="false">U42*U41/1000000</f>
        <v>82.1658454081892</v>
      </c>
      <c r="V73" s="13" t="n">
        <f aca="false">V42*V41/1000000</f>
        <v>81.3916368847243</v>
      </c>
      <c r="W73" s="13" t="n">
        <f aca="false">W42*W41/1000000</f>
        <v>84.2857011327291</v>
      </c>
      <c r="X73" s="13" t="n">
        <f aca="false">X42*X41/1000000</f>
        <v>86.8622978929722</v>
      </c>
      <c r="Y73" s="13" t="n">
        <f aca="false">Y42*Y41/1000000</f>
        <v>87.2850133082445</v>
      </c>
      <c r="Z73" s="13" t="n">
        <f aca="false">Z42*Z41/1000000</f>
        <v>84.707635286709</v>
      </c>
      <c r="AA73" s="13" t="n">
        <f aca="false">AA42*AA41/1000000</f>
        <v>88.1160258918213</v>
      </c>
      <c r="AB73" s="13" t="n">
        <f aca="false">AB42*AB41/1000000</f>
        <v>91.5899656222331</v>
      </c>
      <c r="AC73" s="13" t="n">
        <f aca="false">AC42*AC41/1000000</f>
        <v>90.701243167271</v>
      </c>
      <c r="AD73" s="13" t="n">
        <f aca="false">AD42*AD41/1000000</f>
        <v>85.3171855672596</v>
      </c>
      <c r="AE73" s="13" t="n">
        <f aca="false">AE42*AE41/1000000</f>
        <v>87.0974177965782</v>
      </c>
      <c r="AF73" s="13" t="n">
        <f aca="false">AF42*AF41/1000000</f>
        <v>87.2939812983662</v>
      </c>
      <c r="AG73" s="13" t="n">
        <f aca="false">AG42*AG41/1000000</f>
        <v>89.0759435901261</v>
      </c>
      <c r="AH73" s="13" t="n">
        <f aca="false">AH42*AH41/1000000</f>
        <v>89.1982014838967</v>
      </c>
      <c r="AI73" s="13" t="n">
        <f aca="false">AI42*AI41/1000000</f>
        <v>91.2955498213424</v>
      </c>
      <c r="AJ73" s="13" t="n">
        <f aca="false">AJ42*AJ41/1000000</f>
        <v>91.9731454266539</v>
      </c>
      <c r="AK73" s="13" t="n">
        <f aca="false">AK42*AK41/1000000</f>
        <v>93.1911314083374</v>
      </c>
      <c r="AL73" s="13" t="n">
        <f aca="false">AL42*AL41/1000000</f>
        <v>92.0023085679743</v>
      </c>
      <c r="AM73" s="13" t="n">
        <f aca="false">AM42*AM41/1000000</f>
        <v>95.3964449983356</v>
      </c>
      <c r="AN73" s="13" t="n">
        <f aca="false">AN42*AN41/1000000</f>
        <v>98.5551787744929</v>
      </c>
      <c r="AO73" s="13" t="n">
        <f aca="false">AO42*AO41/1000000</f>
        <v>101.64324043974</v>
      </c>
      <c r="AP73" s="13" t="n">
        <f aca="false">AP42*AP41/1000000</f>
        <v>103.932365702845</v>
      </c>
      <c r="AQ73" s="13" t="n">
        <f aca="false">AQ42*AQ41/1000000</f>
        <v>104.453194820761</v>
      </c>
      <c r="AR73" s="13" t="n">
        <f aca="false">AR42*AR41/1000000</f>
        <v>101.400596046147</v>
      </c>
      <c r="AS73" s="13" t="n">
        <f aca="false">AS42*AS41/1000000</f>
        <v>101.366611228418</v>
      </c>
      <c r="AT73" s="13" t="n">
        <f aca="false">AT42*AT41/1000000</f>
        <v>97.3051855119567</v>
      </c>
      <c r="AU73" s="13" t="n">
        <f aca="false">AU42*AU41/1000000</f>
        <v>101.172072969016</v>
      </c>
      <c r="AV73" s="13" t="n">
        <f aca="false">AV42*AV41/1000000</f>
        <v>105.067099358984</v>
      </c>
      <c r="AW73" s="13" t="n">
        <f aca="false">AW42*AW41/1000000</f>
        <v>108.327545036796</v>
      </c>
      <c r="AX73" s="13" t="n">
        <f aca="false">AX42*AX41/1000000</f>
        <v>110.705180509809</v>
      </c>
      <c r="AY73" s="13" t="n">
        <f aca="false">AY42*AY41/1000000</f>
        <v>111.246451116076</v>
      </c>
      <c r="AZ73" s="13" t="n">
        <f aca="false">AZ42*AZ41/1000000</f>
        <v>107.968543665529</v>
      </c>
      <c r="BA73" s="13" t="n">
        <f aca="false">BA42*BA41/1000000</f>
        <v>109.184321434318</v>
      </c>
      <c r="BB73" s="13" t="n">
        <f aca="false">BB42*BB41/1000000</f>
        <v>107.362171594691</v>
      </c>
      <c r="BC73" s="13" t="n">
        <f aca="false">BC42*BC41/1000000</f>
        <v>110.801222811386</v>
      </c>
      <c r="BD73" s="13" t="n">
        <f aca="false">BD42*BD41/1000000</f>
        <v>113.44577827563</v>
      </c>
      <c r="BE73" s="13" t="n">
        <f aca="false">BE42*BE41/1000000</f>
        <v>115.495573253887</v>
      </c>
      <c r="BF73" s="13" t="n">
        <f aca="false">BF42*BF41/1000000</f>
        <v>115.124623649264</v>
      </c>
      <c r="BG73" s="13" t="n">
        <f aca="false">BG42*BG41/1000000</f>
        <v>117.996416237675</v>
      </c>
      <c r="BH73" s="13" t="n">
        <f aca="false">BH42*BH41/1000000</f>
        <v>119.20207288361</v>
      </c>
      <c r="BI73" s="13" t="n">
        <f aca="false">BI42*BI41/1000000</f>
        <v>118.578489147866</v>
      </c>
      <c r="BJ73" s="13" t="n">
        <f aca="false">BJ42*BJ41/1000000</f>
        <v>112.639111214761</v>
      </c>
      <c r="BK73" s="13" t="n">
        <f aca="false">BK42*BK41/1000000</f>
        <v>117.160956305521</v>
      </c>
      <c r="BL73" s="13" t="n">
        <f aca="false">BL42*BL41/1000000</f>
        <v>121.761979874868</v>
      </c>
      <c r="BM73" s="13" t="n">
        <f aca="false">BM42*BM41/1000000</f>
        <v>82.7578071125481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5747.48221125736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30.2489527267881</v>
      </c>
      <c r="P74" s="13" t="n">
        <f aca="false">P73+P52+P53+P54</f>
        <v>90.7801156522124</v>
      </c>
      <c r="Q74" s="13" t="n">
        <f aca="false">Q73+Q52+Q53+Q54</f>
        <v>91.6664602032763</v>
      </c>
      <c r="R74" s="13" t="n">
        <f aca="false">R73+R52+R53+R54</f>
        <v>90.5649805647377</v>
      </c>
      <c r="S74" s="13" t="n">
        <f aca="false">S73+S52+S53+S54</f>
        <v>93.1220631721375</v>
      </c>
      <c r="T74" s="13" t="n">
        <f aca="false">T73+T52+T53+T54</f>
        <v>95.3778054739344</v>
      </c>
      <c r="U74" s="13" t="n">
        <f aca="false">U73+U52+U53+U54</f>
        <v>96.6590937079683</v>
      </c>
      <c r="V74" s="13" t="n">
        <f aca="false">V73+V52+V53+V54</f>
        <v>95.9913535960586</v>
      </c>
      <c r="W74" s="13" t="n">
        <f aca="false">W73+W52+W53+W54</f>
        <v>98.9448746079428</v>
      </c>
      <c r="X74" s="13" t="n">
        <f aca="false">X73+X52+X53+X54</f>
        <v>101.801394157013</v>
      </c>
      <c r="Y74" s="13" t="n">
        <f aca="false">Y73+Y52+Y53+Y54</f>
        <v>102.205023590894</v>
      </c>
      <c r="Z74" s="13" t="n">
        <f aca="false">Z73+Z52+Z53+Z54</f>
        <v>99.7494943140369</v>
      </c>
      <c r="AA74" s="13" t="n">
        <f aca="false">AA73+AA52+AA53+AA54</f>
        <v>103.231462257776</v>
      </c>
      <c r="AB74" s="13" t="n">
        <f aca="false">AB73+AB52+AB53+AB54</f>
        <v>107.018392408647</v>
      </c>
      <c r="AC74" s="13" t="n">
        <f aca="false">AC73+AC52+AC53+AC54</f>
        <v>106.138247775917</v>
      </c>
      <c r="AD74" s="13" t="n">
        <f aca="false">AD73+AD52+AD53+AD54</f>
        <v>100.726863029086</v>
      </c>
      <c r="AE74" s="13" t="n">
        <f aca="false">AE73+AE52+AE53+AE54</f>
        <v>102.529080008376</v>
      </c>
      <c r="AF74" s="13" t="n">
        <f aca="false">AF73+AF52+AF53+AF54</f>
        <v>102.943111430527</v>
      </c>
      <c r="AG74" s="13" t="n">
        <f aca="false">AG73+AG52+AG53+AG54</f>
        <v>104.7463120913</v>
      </c>
      <c r="AH74" s="13" t="n">
        <f aca="false">AH73+AH52+AH53+AH54</f>
        <v>105.086908492754</v>
      </c>
      <c r="AI74" s="13" t="n">
        <f aca="false">AI73+AI52+AI53+AI54</f>
        <v>107.214299028168</v>
      </c>
      <c r="AJ74" s="13" t="n">
        <f aca="false">AJ73+AJ52+AJ53+AJ54</f>
        <v>108.130325393727</v>
      </c>
      <c r="AK74" s="13" t="n">
        <f aca="false">AK73+AK52+AK53+AK54</f>
        <v>109.424466561102</v>
      </c>
      <c r="AL74" s="13" t="n">
        <f aca="false">AL73+AL52+AL53+AL54</f>
        <v>108.347052781875</v>
      </c>
      <c r="AM74" s="13" t="n">
        <f aca="false">AM73+AM52+AM53+AM54</f>
        <v>111.808764242866</v>
      </c>
      <c r="AN74" s="13" t="n">
        <f aca="false">AN73+AN52+AN53+AN54</f>
        <v>115.287040840629</v>
      </c>
      <c r="AO74" s="13" t="n">
        <f aca="false">AO73+AO52+AO53+AO54</f>
        <v>118.431787240835</v>
      </c>
      <c r="AP74" s="13" t="n">
        <f aca="false">AP73+AP52+AP53+AP54</f>
        <v>121.01729146423</v>
      </c>
      <c r="AQ74" s="13" t="n">
        <f aca="false">AQ73+AQ52+AQ53+AQ54</f>
        <v>121.516746271191</v>
      </c>
      <c r="AR74" s="13" t="n">
        <f aca="false">AR73+AR52+AR53+AR54</f>
        <v>118.604291486123</v>
      </c>
      <c r="AS74" s="13" t="n">
        <f aca="false">AS73+AS52+AS53+AS54</f>
        <v>118.61072879066</v>
      </c>
      <c r="AT74" s="13" t="n">
        <f aca="false">AT73+AT52+AT53+AT54</f>
        <v>114.585202513016</v>
      </c>
      <c r="AU74" s="13" t="n">
        <f aca="false">AU73+AU52+AU53+AU54</f>
        <v>118.529842336818</v>
      </c>
      <c r="AV74" s="13" t="n">
        <f aca="false">AV73+AV52+AV53+AV54</f>
        <v>122.778074919534</v>
      </c>
      <c r="AW74" s="13" t="n">
        <f aca="false">AW73+AW52+AW53+AW54</f>
        <v>126.096502228706</v>
      </c>
      <c r="AX74" s="13" t="n">
        <f aca="false">AX73+AX52+AX53+AX54</f>
        <v>128.785759199285</v>
      </c>
      <c r="AY74" s="13" t="n">
        <f aca="false">AY73+AY52+AY53+AY54</f>
        <v>129.303944666849</v>
      </c>
      <c r="AZ74" s="13" t="n">
        <f aca="false">AZ73+AZ52+AZ53+AZ54</f>
        <v>126.175550751431</v>
      </c>
      <c r="BA74" s="13" t="n">
        <f aca="false">BA73+BA52+BA53+BA54</f>
        <v>127.470938426938</v>
      </c>
      <c r="BB74" s="13" t="n">
        <f aca="false">BB73+BB52+BB53+BB54</f>
        <v>125.761798416164</v>
      </c>
      <c r="BC74" s="13" t="n">
        <f aca="false">BC73+BC52+BC53+BC54</f>
        <v>129.261462799907</v>
      </c>
      <c r="BD74" s="13" t="n">
        <f aca="false">BD73+BD52+BD53+BD54</f>
        <v>132.23538934744</v>
      </c>
      <c r="BE74" s="13" t="n">
        <f aca="false">BE73+BE52+BE53+BE54</f>
        <v>134.304132806968</v>
      </c>
      <c r="BF74" s="13" t="n">
        <f aca="false">BF73+BF52+BF53+BF54</f>
        <v>134.179075299954</v>
      </c>
      <c r="BG74" s="13" t="n">
        <f aca="false">BG73+BG52+BG53+BG54</f>
        <v>137.092579136786</v>
      </c>
      <c r="BH74" s="13" t="n">
        <f aca="false">BH73+BH52+BH53+BH54</f>
        <v>138.593238114563</v>
      </c>
      <c r="BI74" s="13" t="n">
        <f aca="false">BI73+BI52+BI53+BI54</f>
        <v>137.998476679243</v>
      </c>
      <c r="BJ74" s="13" t="n">
        <f aca="false">BJ73+BJ52+BJ53+BJ54</f>
        <v>132.065846633031</v>
      </c>
      <c r="BK74" s="13" t="n">
        <f aca="false">BK73+BK52+BK53+BK54</f>
        <v>136.675220015724</v>
      </c>
      <c r="BL74" s="13" t="n">
        <f aca="false">BL73+BL52+BL53+BL54</f>
        <v>141.675189111629</v>
      </c>
      <c r="BM74" s="13" t="n">
        <f aca="false">BM73+BM52+BM53+BM54</f>
        <v>95.9892044905873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0.130798154136094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0.115610453444913</v>
      </c>
      <c r="Q75" s="13" t="n">
        <f aca="false">SUMIFS(Construction!$J$38:$BJ$38,Construction!$J$12:$BJ$12,Time!Q20,Construction!$J$8:$BJ$8,"&gt;"&amp;Time!$F$14)</f>
        <v>0.0151877006911809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7270.672337388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36.1205426820179</v>
      </c>
      <c r="P83" s="13" t="n">
        <f aca="false">P72+P74+P75+P76+P79+P82</f>
        <v>108.795667835288</v>
      </c>
      <c r="Q83" s="13" t="n">
        <f aca="false">Q72+Q74+Q75+Q76+Q79+Q82</f>
        <v>109.778265662547</v>
      </c>
      <c r="R83" s="13" t="n">
        <f aca="false">R72+R74+R75+R76+R79+R82</f>
        <v>108.765327348523</v>
      </c>
      <c r="S83" s="13" t="n">
        <f aca="false">S72+S74+S75+S76+S79+S82</f>
        <v>111.786820202907</v>
      </c>
      <c r="T83" s="13" t="n">
        <f aca="false">T72+T74+T75+T76+T79+T82</f>
        <v>114.679579205572</v>
      </c>
      <c r="U83" s="13" t="n">
        <f aca="false">U72+U74+U75+U76+U79+U82</f>
        <v>116.225900641332</v>
      </c>
      <c r="V83" s="13" t="n">
        <f aca="false">V72+V74+V75+V76+V79+V82</f>
        <v>118.268743306144</v>
      </c>
      <c r="W83" s="13" t="n">
        <f aca="false">W72+W74+W75+W76+W79+W82</f>
        <v>119.270470417927</v>
      </c>
      <c r="X83" s="13" t="n">
        <f aca="false">X72+X74+X75+X76+X79+X82</f>
        <v>122.757353510037</v>
      </c>
      <c r="Y83" s="13" t="n">
        <f aca="false">Y72+Y74+Y75+Y76+Y79+Y82</f>
        <v>123.460500057826</v>
      </c>
      <c r="Z83" s="13" t="n">
        <f aca="false">Z72+Z74+Z75+Z76+Z79+Z82</f>
        <v>120.961602480902</v>
      </c>
      <c r="AA83" s="13" t="n">
        <f aca="false">AA72+AA74+AA75+AA76+AA79+AA82</f>
        <v>125.100274424233</v>
      </c>
      <c r="AB83" s="13" t="n">
        <f aca="false">AB72+AB74+AB75+AB76+AB79+AB82</f>
        <v>129.516459676084</v>
      </c>
      <c r="AC83" s="13" t="n">
        <f aca="false">AC72+AC74+AC75+AC76+AC79+AC82</f>
        <v>128.937078364231</v>
      </c>
      <c r="AD83" s="13" t="n">
        <f aca="false">AD72+AD74+AD75+AD76+AD79+AD82</f>
        <v>134.886723862577</v>
      </c>
      <c r="AE83" s="13" t="n">
        <f aca="false">AE72+AE74+AE75+AE76+AE79+AE82</f>
        <v>125.278932889555</v>
      </c>
      <c r="AF83" s="13" t="n">
        <f aca="false">AF72+AF74+AF75+AF76+AF79+AF82</f>
        <v>126.15146990765</v>
      </c>
      <c r="AG83" s="13" t="n">
        <f aca="false">AG72+AG74+AG75+AG76+AG79+AG82</f>
        <v>128.397431915722</v>
      </c>
      <c r="AH83" s="13" t="n">
        <f aca="false">AH72+AH74+AH75+AH76+AH79+AH82</f>
        <v>129.207286561025</v>
      </c>
      <c r="AI83" s="13" t="n">
        <f aca="false">AI72+AI74+AI75+AI76+AI79+AI82</f>
        <v>131.847152566018</v>
      </c>
      <c r="AJ83" s="13" t="n">
        <f aca="false">AJ72+AJ74+AJ75+AJ76+AJ79+AJ82</f>
        <v>133.350759648695</v>
      </c>
      <c r="AK83" s="13" t="n">
        <f aca="false">AK72+AK74+AK75+AK76+AK79+AK82</f>
        <v>135.028342916666</v>
      </c>
      <c r="AL83" s="13" t="n">
        <f aca="false">AL72+AL74+AL75+AL76+AL79+AL82</f>
        <v>137.21824132402</v>
      </c>
      <c r="AM83" s="13" t="n">
        <f aca="false">AM72+AM74+AM75+AM76+AM79+AM82</f>
        <v>138.482582690603</v>
      </c>
      <c r="AN83" s="13" t="n">
        <f aca="false">AN72+AN74+AN75+AN76+AN79+AN82</f>
        <v>143.029833471455</v>
      </c>
      <c r="AO83" s="13" t="n">
        <f aca="false">AO72+AO74+AO75+AO76+AO79+AO82</f>
        <v>146.899714736649</v>
      </c>
      <c r="AP83" s="13" t="n">
        <f aca="false">AP72+AP74+AP75+AP76+AP79+AP82</f>
        <v>150.135283477315</v>
      </c>
      <c r="AQ83" s="13" t="n">
        <f aca="false">AQ72+AQ74+AQ75+AQ76+AQ79+AQ82</f>
        <v>151.150467763115</v>
      </c>
      <c r="AR83" s="13" t="n">
        <f aca="false">AR72+AR74+AR75+AR76+AR79+AR82</f>
        <v>148.441217010355</v>
      </c>
      <c r="AS83" s="13" t="n">
        <f aca="false">AS72+AS74+AS75+AS76+AS79+AS82</f>
        <v>148.700822965923</v>
      </c>
      <c r="AT83" s="13" t="n">
        <f aca="false">AT72+AT74+AT75+AT76+AT79+AT82</f>
        <v>158.844977736755</v>
      </c>
      <c r="AU83" s="13" t="n">
        <f aca="false">AU72+AU74+AU75+AU76+AU79+AU82</f>
        <v>149.491816381017</v>
      </c>
      <c r="AV83" s="13" t="n">
        <f aca="false">AV72+AV74+AV75+AV76+AV79+AV82</f>
        <v>155.085980837603</v>
      </c>
      <c r="AW83" s="13" t="n">
        <f aca="false">AW72+AW74+AW75+AW76+AW79+AW82</f>
        <v>159.290474874584</v>
      </c>
      <c r="AX83" s="13" t="n">
        <f aca="false">AX72+AX74+AX75+AX76+AX79+AX82</f>
        <v>162.924379128534</v>
      </c>
      <c r="AY83" s="13" t="n">
        <f aca="false">AY72+AY74+AY75+AY76+AY79+AY82</f>
        <v>164.060337608421</v>
      </c>
      <c r="AZ83" s="13" t="n">
        <f aca="false">AZ72+AZ74+AZ75+AZ76+AZ79+AZ82</f>
        <v>161.086541884693</v>
      </c>
      <c r="BA83" s="13" t="n">
        <f aca="false">BA72+BA74+BA75+BA76+BA79+BA82</f>
        <v>162.972251495852</v>
      </c>
      <c r="BB83" s="13" t="n">
        <f aca="false">BB72+BB74+BB75+BB76+BB79+BB82</f>
        <v>165.247358131341</v>
      </c>
      <c r="BC83" s="13" t="n">
        <f aca="false">BC72+BC74+BC75+BC76+BC79+BC82</f>
        <v>166.242238944398</v>
      </c>
      <c r="BD83" s="13" t="n">
        <f aca="false">BD72+BD74+BD75+BD76+BD79+BD82</f>
        <v>170.528877471293</v>
      </c>
      <c r="BE83" s="13" t="n">
        <f aca="false">BE72+BE74+BE75+BE76+BE79+BE82</f>
        <v>173.414159773519</v>
      </c>
      <c r="BF83" s="13" t="n">
        <f aca="false">BF72+BF74+BF75+BF76+BF79+BF82</f>
        <v>174.101577444832</v>
      </c>
      <c r="BG83" s="13" t="n">
        <f aca="false">BG72+BG74+BG75+BG76+BG79+BG82</f>
        <v>178.027635663166</v>
      </c>
      <c r="BH83" s="13" t="n">
        <f aca="false">BH72+BH74+BH75+BH76+BH79+BH82</f>
        <v>180.691261509683</v>
      </c>
      <c r="BI83" s="13" t="n">
        <f aca="false">BI72+BI74+BI75+BI76+BI79+BI82</f>
        <v>180.499576016266</v>
      </c>
      <c r="BJ83" s="13" t="n">
        <f aca="false">BJ72+BJ74+BJ75+BJ76+BJ79+BJ82</f>
        <v>191.438744070524</v>
      </c>
      <c r="BK83" s="13" t="n">
        <f aca="false">BK72+BK74+BK75+BK76+BK79+BK82</f>
        <v>180.459011029294</v>
      </c>
      <c r="BL83" s="13" t="n">
        <f aca="false">BL72+BL74+BL75+BL76+BL79+BL82</f>
        <v>187.387419524317</v>
      </c>
      <c r="BM83" s="13" t="n">
        <f aca="false">BM72+BM74+BM75+BM76+BM79+BM82</f>
        <v>146.246868338994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2862.03926759498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17.0285521481503</v>
      </c>
      <c r="P84" s="13" t="n">
        <f aca="false">P56-P83+P58</f>
        <v>51.1621554141174</v>
      </c>
      <c r="Q84" s="13" t="n">
        <f aca="false">Q56-Q83+Q58</f>
        <v>51.4991518191535</v>
      </c>
      <c r="R84" s="13" t="n">
        <f aca="false">R56-R83+R58</f>
        <v>51.4783586589143</v>
      </c>
      <c r="S84" s="13" t="n">
        <f aca="false">S56-S83+S58</f>
        <v>51.9472428068036</v>
      </c>
      <c r="T84" s="13" t="n">
        <f aca="false">T56-T83+T58</f>
        <v>52.0644423561361</v>
      </c>
      <c r="U84" s="13" t="n">
        <f aca="false">U56-U83+U58</f>
        <v>52.3085056005145</v>
      </c>
      <c r="V84" s="13" t="n">
        <f aca="false">V56-V83+V58</f>
        <v>50.0708584580408</v>
      </c>
      <c r="W84" s="13" t="n">
        <f aca="false">W56-W83+W58</f>
        <v>52.7466374055138</v>
      </c>
      <c r="X84" s="13" t="n">
        <f aca="false">X56-X83+X58</f>
        <v>53.0067009216076</v>
      </c>
      <c r="Y84" s="13" t="n">
        <f aca="false">Y56-Y83+Y58</f>
        <v>53.1718456829995</v>
      </c>
      <c r="Z84" s="13" t="n">
        <f aca="false">Z56-Z83+Z58</f>
        <v>53.5284868261508</v>
      </c>
      <c r="AA84" s="13" t="n">
        <f aca="false">AA56-AA83+AA58</f>
        <v>53.7168964343639</v>
      </c>
      <c r="AB84" s="13" t="n">
        <f aca="false">AB56-AB83+AB58</f>
        <v>54.1645036739538</v>
      </c>
      <c r="AC84" s="13" t="n">
        <f aca="false">AC56-AC83+AC58</f>
        <v>54.215513184838</v>
      </c>
      <c r="AD84" s="13" t="n">
        <f aca="false">AD56-AD83+AD58</f>
        <v>42.3782883647736</v>
      </c>
      <c r="AE84" s="13" t="n">
        <f aca="false">AE56-AE83+AE58</f>
        <v>54.5864650662166</v>
      </c>
      <c r="AF84" s="13" t="n">
        <f aca="false">AF56-AF83+AF58</f>
        <v>55.0440443907817</v>
      </c>
      <c r="AG84" s="13" t="n">
        <f aca="false">AG56-AG83+AG58</f>
        <v>55.4058356158639</v>
      </c>
      <c r="AH84" s="13" t="n">
        <f aca="false">AH56-AH83+AH58</f>
        <v>55.8255954272658</v>
      </c>
      <c r="AI84" s="13" t="n">
        <f aca="false">AI56-AI83+AI58</f>
        <v>56.1427109708385</v>
      </c>
      <c r="AJ84" s="13" t="n">
        <f aca="false">AJ56-AJ83+AJ58</f>
        <v>56.4297045289509</v>
      </c>
      <c r="AK84" s="13" t="n">
        <f aca="false">AK56-AK83+AK58</f>
        <v>56.7813010096403</v>
      </c>
      <c r="AL84" s="13" t="n">
        <f aca="false">AL56-AL83+AL58</f>
        <v>53.7120526155489</v>
      </c>
      <c r="AM84" s="13" t="n">
        <f aca="false">AM56-AM83+AM58</f>
        <v>57.4456429127503</v>
      </c>
      <c r="AN84" s="13" t="n">
        <f aca="false">AN56-AN83+AN58</f>
        <v>57.7007039742505</v>
      </c>
      <c r="AO84" s="13" t="n">
        <f aca="false">AO56-AO83+AO58</f>
        <v>58.0591306062935</v>
      </c>
      <c r="AP84" s="13" t="n">
        <f aca="false">AP56-AP83+AP58</f>
        <v>58.6792223836679</v>
      </c>
      <c r="AQ84" s="13" t="n">
        <f aca="false">AQ56-AQ83+AQ58</f>
        <v>58.9172438229831</v>
      </c>
      <c r="AR84" s="13" t="n">
        <f aca="false">AR56-AR83+AR58</f>
        <v>59.234175913524</v>
      </c>
      <c r="AS84" s="13" t="n">
        <f aca="false">AS56-AS83+AS58</f>
        <v>59.6881340516816</v>
      </c>
      <c r="AT84" s="13" t="n">
        <f aca="false">AT56-AT83+AT58</f>
        <v>44.0403697847418</v>
      </c>
      <c r="AU84" s="13" t="n">
        <f aca="false">AU56-AU83+AU58</f>
        <v>60.1496563803701</v>
      </c>
      <c r="AV84" s="13" t="n">
        <f aca="false">AV56-AV83+AV58</f>
        <v>60.9120157635593</v>
      </c>
      <c r="AW84" s="13" t="n">
        <f aca="false">AW56-AW83+AW58</f>
        <v>61.3543245592536</v>
      </c>
      <c r="AX84" s="13" t="n">
        <f aca="false">AX56-AX83+AX58</f>
        <v>61.956012271963</v>
      </c>
      <c r="AY84" s="13" t="n">
        <f aca="false">AY56-AY83+AY58</f>
        <v>62.2793615853118</v>
      </c>
      <c r="AZ84" s="13" t="n">
        <f aca="false">AZ56-AZ83+AZ58</f>
        <v>62.7830651710327</v>
      </c>
      <c r="BA84" s="13" t="n">
        <f aca="false">BA56-BA83+BA58</f>
        <v>63.2995411095856</v>
      </c>
      <c r="BB84" s="13" t="n">
        <f aca="false">BB56-BB83+BB58</f>
        <v>60.1507824204377</v>
      </c>
      <c r="BC84" s="13" t="n">
        <f aca="false">BC56-BC83+BC58</f>
        <v>64.3311815455839</v>
      </c>
      <c r="BD84" s="13" t="n">
        <f aca="false">BD56-BD83+BD58</f>
        <v>64.845087986784</v>
      </c>
      <c r="BE84" s="13" t="n">
        <f aca="false">BE56-BE83+BE58</f>
        <v>65.4167575595203</v>
      </c>
      <c r="BF84" s="13" t="n">
        <f aca="false">BF56-BF83+BF58</f>
        <v>65.97005171243</v>
      </c>
      <c r="BG84" s="13" t="n">
        <f aca="false">BG56-BG83+BG58</f>
        <v>66.5757155642226</v>
      </c>
      <c r="BH84" s="13" t="n">
        <f aca="false">BH56-BH83+BH58</f>
        <v>67.1690491752597</v>
      </c>
      <c r="BI84" s="13" t="n">
        <f aca="false">BI56-BI83+BI58</f>
        <v>67.7881684736296</v>
      </c>
      <c r="BJ84" s="13" t="n">
        <f aca="false">BJ56-BJ83+BJ58</f>
        <v>48.8962817750215</v>
      </c>
      <c r="BK84" s="13" t="n">
        <f aca="false">BK56-BK83+BK58</f>
        <v>68.3373322252129</v>
      </c>
      <c r="BL84" s="13" t="n">
        <f aca="false">BL56-BL83+BL58</f>
        <v>69.7439796164164</v>
      </c>
      <c r="BM84" s="13" t="n">
        <f aca="false">BM56-BM83+BM58</f>
        <v>27.9004298683568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39.208348645206</v>
      </c>
      <c r="P88" s="13" t="n">
        <f aca="false">(1-P86)*(P56/MAX(Time!P31,1)*Inputs!$F$168+P55/MAX(Time!P31,1)*P87)</f>
        <v>39.1201198164307</v>
      </c>
      <c r="Q88" s="13" t="n">
        <f aca="false">(1-Q86)*(Q56/MAX(Time!Q31,1)*Inputs!$F$168+Q55/MAX(Time!Q31,1)*Q87)</f>
        <v>40.0965955065001</v>
      </c>
      <c r="R88" s="13" t="n">
        <f aca="false">(1-R86)*(R56/MAX(Time!R31,1)*Inputs!$F$168+R55/MAX(Time!R31,1)*R87)</f>
        <v>39.1900319039928</v>
      </c>
      <c r="S88" s="13" t="n">
        <f aca="false">(1-S86)*(S56/MAX(Time!S31,1)*Inputs!$F$168+S55/MAX(Time!S31,1)*S87)</f>
        <v>40.7073637316959</v>
      </c>
      <c r="T88" s="13" t="n">
        <f aca="false">(1-T86)*(T56/MAX(Time!T31,1)*Inputs!$F$168+T55/MAX(Time!T31,1)*T87)</f>
        <v>40.7797878819394</v>
      </c>
      <c r="U88" s="13" t="n">
        <f aca="false">(1-U86)*(U56/MAX(Time!U31,1)*Inputs!$F$168+U55/MAX(Time!U31,1)*U87)</f>
        <v>41.6705949499071</v>
      </c>
      <c r="V88" s="13" t="n">
        <f aca="false">(1-V86)*(V56/MAX(Time!V31,1)*Inputs!$F$168+V55/MAX(Time!V31,1)*V87)</f>
        <v>41.1700113010235</v>
      </c>
      <c r="W88" s="13" t="n">
        <f aca="false">(1-W86)*(W56/MAX(Time!W31,1)*Inputs!$F$168+W55/MAX(Time!W31,1)*W87)</f>
        <v>42.7666842654964</v>
      </c>
      <c r="X88" s="13" t="n">
        <f aca="false">(1-X86)*(X56/MAX(Time!X31,1)*Inputs!$F$168+X55/MAX(Time!X31,1)*X87)</f>
        <v>42.9857741816522</v>
      </c>
      <c r="Y88" s="13" t="n">
        <f aca="false">(1-Y86)*(Y56/MAX(Time!Y31,1)*Inputs!$F$168+Y55/MAX(Time!Y31,1)*Y87)</f>
        <v>43.914119106835</v>
      </c>
      <c r="Z88" s="13" t="n">
        <f aca="false">(1-Z86)*(Z56/MAX(Time!Z31,1)*Inputs!$F$168+Z55/MAX(Time!Z31,1)*Z87)</f>
        <v>42.6742066240074</v>
      </c>
      <c r="AA88" s="13" t="n">
        <f aca="false">(1-AA86)*(AA56/MAX(Time!AA31,1)*Inputs!$F$168+AA55/MAX(Time!AA31,1)*AA87)</f>
        <v>44.4573076720267</v>
      </c>
      <c r="AB88" s="13" t="n">
        <f aca="false">(1-AB86)*(AB56/MAX(Time!AB31,1)*Inputs!$F$168+AB55/MAX(Time!AB31,1)*AB87)</f>
        <v>44.9219747323463</v>
      </c>
      <c r="AC88" s="13" t="n">
        <f aca="false">(1-AC86)*(AC56/MAX(Time!AC31,1)*Inputs!$F$168+AC55/MAX(Time!AC31,1)*AC87)</f>
        <v>45.2849814269675</v>
      </c>
      <c r="AD88" s="13" t="n">
        <f aca="false">(1-AD86)*(AD56/MAX(Time!AD31,1)*Inputs!$F$168+AD55/MAX(Time!AD31,1)*AD87)</f>
        <v>43.3528562512543</v>
      </c>
      <c r="AE88" s="13" t="n">
        <f aca="false">(1-AE86)*(AE56/MAX(Time!AE31,1)*Inputs!$F$168+AE55/MAX(Time!AE31,1)*AE87)</f>
        <v>44.7179166188382</v>
      </c>
      <c r="AF88" s="13" t="n">
        <f aca="false">(1-AF86)*(AF56/MAX(Time!AF31,1)*Inputs!$F$168+AF55/MAX(Time!AF31,1)*AF87)</f>
        <v>44.3141203447252</v>
      </c>
      <c r="AG88" s="13" t="n">
        <f aca="false">(1-AG86)*(AG56/MAX(Time!AG31,1)*Inputs!$F$168+AG55/MAX(Time!AG31,1)*AG87)</f>
        <v>45.6969449664164</v>
      </c>
      <c r="AH88" s="13" t="n">
        <f aca="false">(1-AH86)*(AH56/MAX(Time!AH31,1)*Inputs!$F$168+AH55/MAX(Time!AH31,1)*AH87)</f>
        <v>45.2526070080059</v>
      </c>
      <c r="AI88" s="13" t="n">
        <f aca="false">(1-AI86)*(AI56/MAX(Time!AI31,1)*Inputs!$F$168+AI55/MAX(Time!AI31,1)*AI87)</f>
        <v>46.7378113765666</v>
      </c>
      <c r="AJ88" s="13" t="n">
        <f aca="false">(1-AJ86)*(AJ56/MAX(Time!AJ31,1)*Inputs!$F$168+AJ55/MAX(Time!AJ31,1)*AJ87)</f>
        <v>46.4137004782285</v>
      </c>
      <c r="AK88" s="13" t="n">
        <f aca="false">(1-AK86)*(AK56/MAX(Time!AK31,1)*Inputs!$F$168+AK55/MAX(Time!AK31,1)*AK87)</f>
        <v>47.4254614103504</v>
      </c>
      <c r="AL88" s="13" t="n">
        <f aca="false">(1-AL86)*(AL56/MAX(Time!AL31,1)*Inputs!$F$168+AL55/MAX(Time!AL31,1)*AL87)</f>
        <v>46.6949088439162</v>
      </c>
      <c r="AM88" s="13" t="n">
        <f aca="false">(1-AM86)*(AM56/MAX(Time!AM31,1)*Inputs!$F$168+AM55/MAX(Time!AM31,1)*AM87)</f>
        <v>48.7114373047011</v>
      </c>
      <c r="AN88" s="13" t="n">
        <f aca="false">(1-AN86)*(AN56/MAX(Time!AN31,1)*Inputs!$F$168+AN55/MAX(Time!AN31,1)*AN87)</f>
        <v>49.0917075274824</v>
      </c>
      <c r="AO88" s="13" t="n">
        <f aca="false">(1-AO86)*(AO56/MAX(Time!AO31,1)*Inputs!$F$168+AO55/MAX(Time!AO31,1)*AO87)</f>
        <v>50.9566190079138</v>
      </c>
      <c r="AP88" s="13" t="n">
        <f aca="false">(1-AP86)*(AP56/MAX(Time!AP31,1)*Inputs!$F$168+AP55/MAX(Time!AP31,1)*AP87)</f>
        <v>51.068765020349</v>
      </c>
      <c r="AQ88" s="13" t="n">
        <f aca="false">(1-AQ86)*(AQ56/MAX(Time!AQ31,1)*Inputs!$F$168+AQ55/MAX(Time!AQ31,1)*AQ87)</f>
        <v>52.2267791236155</v>
      </c>
      <c r="AR88" s="13" t="n">
        <f aca="false">(1-AR86)*(AR56/MAX(Time!AR31,1)*Inputs!$F$168+AR55/MAX(Time!AR31,1)*AR87)</f>
        <v>50.7901776172531</v>
      </c>
      <c r="AS88" s="13" t="n">
        <f aca="false">(1-AS86)*(AS56/MAX(Time!AS31,1)*Inputs!$F$168+AS55/MAX(Time!AS31,1)*AS87)</f>
        <v>51.5247421197374</v>
      </c>
      <c r="AT88" s="13" t="n">
        <f aca="false">(1-AT86)*(AT56/MAX(Time!AT31,1)*Inputs!$F$168+AT55/MAX(Time!AT31,1)*AT87)</f>
        <v>49.6186991221052</v>
      </c>
      <c r="AU88" s="13" t="n">
        <f aca="false">(1-AU86)*(AU56/MAX(Time!AU31,1)*Inputs!$F$168+AU55/MAX(Time!AU31,1)*AU87)</f>
        <v>52.1208081450962</v>
      </c>
      <c r="AV88" s="13" t="n">
        <f aca="false">(1-AV86)*(AV56/MAX(Time!AV31,1)*Inputs!$F$168+AV55/MAX(Time!AV31,1)*AV87)</f>
        <v>52.8255969948495</v>
      </c>
      <c r="AW88" s="13" t="n">
        <f aca="false">(1-AW86)*(AW56/MAX(Time!AW31,1)*Inputs!$F$168+AW55/MAX(Time!AW31,1)*AW87)</f>
        <v>54.8564418481916</v>
      </c>
      <c r="AX88" s="13" t="n">
        <f aca="false">(1-AX86)*(AX56/MAX(Time!AX31,1)*Inputs!$F$168+AX55/MAX(Time!AX31,1)*AX87)</f>
        <v>54.9979218099042</v>
      </c>
      <c r="AY88" s="13" t="n">
        <f aca="false">(1-AY86)*(AY56/MAX(Time!AY31,1)*Inputs!$F$168+AY55/MAX(Time!AY31,1)*AY87)</f>
        <v>56.2723009045191</v>
      </c>
      <c r="AZ88" s="13" t="n">
        <f aca="false">(1-AZ86)*(AZ56/MAX(Time!AZ31,1)*Inputs!$F$168+AZ55/MAX(Time!AZ31,1)*AZ87)</f>
        <v>54.7507191168893</v>
      </c>
      <c r="BA88" s="13" t="n">
        <f aca="false">(1-BA86)*(BA56/MAX(Time!BA31,1)*Inputs!$F$168+BA55/MAX(Time!BA31,1)*BA87)</f>
        <v>55.9463223474983</v>
      </c>
      <c r="BB88" s="13" t="n">
        <f aca="false">(1-BB86)*(BB56/MAX(Time!BB31,1)*Inputs!$F$168+BB55/MAX(Time!BB31,1)*BB87)</f>
        <v>55.1245452436416</v>
      </c>
      <c r="BC88" s="13" t="n">
        <f aca="false">(1-BC86)*(BC56/MAX(Time!BC31,1)*Inputs!$F$168+BC55/MAX(Time!BC31,1)*BC87)</f>
        <v>57.324883547233</v>
      </c>
      <c r="BD88" s="13" t="n">
        <f aca="false">(1-BD86)*(BD56/MAX(Time!BD31,1)*Inputs!$F$168+BD55/MAX(Time!BD31,1)*BD87)</f>
        <v>57.5642850305078</v>
      </c>
      <c r="BE88" s="13" t="n">
        <f aca="false">(1-BE86)*(BE56/MAX(Time!BE31,1)*Inputs!$F$168+BE55/MAX(Time!BE31,1)*BE87)</f>
        <v>59.3778523756174</v>
      </c>
      <c r="BF88" s="13" t="n">
        <f aca="false">(1-BF86)*(BF56/MAX(Time!BF31,1)*Inputs!$F$168+BF55/MAX(Time!BF31,1)*BF87)</f>
        <v>58.7131701743303</v>
      </c>
      <c r="BG88" s="13" t="n">
        <f aca="false">(1-BG86)*(BG56/MAX(Time!BG31,1)*Inputs!$F$168+BG55/MAX(Time!BG31,1)*BG87)</f>
        <v>60.8129878742125</v>
      </c>
      <c r="BH88" s="13" t="n">
        <f aca="false">(1-BH86)*(BH56/MAX(Time!BH31,1)*Inputs!$F$168+BH55/MAX(Time!BH31,1)*BH87)</f>
        <v>60.6180107653392</v>
      </c>
      <c r="BI88" s="13" t="n">
        <f aca="false">(1-BI86)*(BI56/MAX(Time!BI31,1)*Inputs!$F$168+BI55/MAX(Time!BI31,1)*BI87)</f>
        <v>61.389826934315</v>
      </c>
      <c r="BJ88" s="13" t="n">
        <f aca="false">(1-BJ86)*(BJ56/MAX(Time!BJ31,1)*Inputs!$F$168+BJ55/MAX(Time!BJ31,1)*BJ87)</f>
        <v>58.7775878426607</v>
      </c>
      <c r="BK88" s="13" t="n">
        <f aca="false">(1-BK86)*(BK56/MAX(Time!BK31,1)*Inputs!$F$168+BK55/MAX(Time!BK31,1)*BK87)</f>
        <v>61.8554444555403</v>
      </c>
      <c r="BL88" s="13" t="n">
        <f aca="false">(1-BL86)*(BL56/MAX(Time!BL31,1)*Inputs!$F$168+BL55/MAX(Time!BL31,1)*BL87)</f>
        <v>62.8853965289838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18.895773070762</v>
      </c>
      <c r="P90" s="13" t="n">
        <f aca="false">(1-P86)*(P73+P54)/MAX(Time!P31,1)*Inputs!$F$169</f>
        <v>18.7861334449409</v>
      </c>
      <c r="Q90" s="13" t="n">
        <f aca="false">(1-Q86)*(Q73+Q54)/MAX(Time!Q31,1)*Inputs!$F$169</f>
        <v>19.3182729421539</v>
      </c>
      <c r="R90" s="13" t="n">
        <f aca="false">(1-R86)*(R73+R54)/MAX(Time!R31,1)*Inputs!$F$169</f>
        <v>18.6970627713551</v>
      </c>
      <c r="S90" s="13" t="n">
        <f aca="false">(1-S86)*(S73+S54)/MAX(Time!S31,1)*Inputs!$F$169</f>
        <v>19.6304347456167</v>
      </c>
      <c r="T90" s="13" t="n">
        <f aca="false">(1-T86)*(T73+T54)/MAX(Time!T31,1)*Inputs!$F$169</f>
        <v>19.7992922930859</v>
      </c>
      <c r="U90" s="13" t="n">
        <f aca="false">(1-U86)*(U73+U54)/MAX(Time!U31,1)*Inputs!$F$169</f>
        <v>20.3157310075193</v>
      </c>
      <c r="V90" s="13" t="n">
        <f aca="false">(1-V86)*(V73+V54)/MAX(Time!V31,1)*Inputs!$F$169</f>
        <v>19.9055633685467</v>
      </c>
      <c r="W90" s="13" t="n">
        <f aca="false">(1-W86)*(W73+W54)/MAX(Time!W31,1)*Inputs!$F$169</f>
        <v>20.9550085689106</v>
      </c>
      <c r="X90" s="13" t="n">
        <f aca="false">(1-X86)*(X73+X54)/MAX(Time!X31,1)*Inputs!$F$169</f>
        <v>21.243496767303</v>
      </c>
      <c r="Y90" s="13" t="n">
        <f aca="false">(1-Y86)*(Y73+Y54)/MAX(Time!Y31,1)*Inputs!$F$169</f>
        <v>21.7006939164144</v>
      </c>
      <c r="Z90" s="13" t="n">
        <f aca="false">(1-Z86)*(Z73+Z54)/MAX(Time!Z31,1)*Inputs!$F$169</f>
        <v>20.7165412385973</v>
      </c>
      <c r="AA90" s="13" t="n">
        <f aca="false">(1-AA86)*(AA73+AA54)/MAX(Time!AA31,1)*Inputs!$F$169</f>
        <v>21.9072992548727</v>
      </c>
      <c r="AB90" s="13" t="n">
        <f aca="false">(1-AB86)*(AB73+AB54)/MAX(Time!AB31,1)*Inputs!$F$169</f>
        <v>22.3997198532635</v>
      </c>
      <c r="AC90" s="13" t="n">
        <f aca="false">(1-AC86)*(AC73+AC54)/MAX(Time!AC31,1)*Inputs!$F$169</f>
        <v>22.4261315523472</v>
      </c>
      <c r="AD90" s="13" t="n">
        <f aca="false">(1-AD86)*(AD73+AD54)/MAX(Time!AD31,1)*Inputs!$F$169</f>
        <v>20.8656160354711</v>
      </c>
      <c r="AE90" s="13" t="n">
        <f aca="false">(1-AE86)*(AE73+AE54)/MAX(Time!AE31,1)*Inputs!$F$169</f>
        <v>21.6540541483206</v>
      </c>
      <c r="AF90" s="13" t="n">
        <f aca="false">(1-AF86)*(AF73+AF54)/MAX(Time!AF31,1)*Inputs!$F$169</f>
        <v>21.3490715131874</v>
      </c>
      <c r="AG90" s="13" t="n">
        <f aca="false">(1-AG86)*(AG73+AG54)/MAX(Time!AG31,1)*Inputs!$F$169</f>
        <v>22.1459528262745</v>
      </c>
      <c r="AH90" s="13" t="n">
        <f aca="false">(1-AH86)*(AH73+AH54)/MAX(Time!AH31,1)*Inputs!$F$169</f>
        <v>21.8147775368226</v>
      </c>
      <c r="AI90" s="13" t="n">
        <f aca="false">(1-AI86)*(AI73+AI54)/MAX(Time!AI31,1)*Inputs!$F$169</f>
        <v>22.6977886296155</v>
      </c>
      <c r="AJ90" s="13" t="n">
        <f aca="false">(1-AJ86)*(AJ73+AJ54)/MAX(Time!AJ31,1)*Inputs!$F$169</f>
        <v>22.4934323054317</v>
      </c>
      <c r="AK90" s="13" t="n">
        <f aca="false">(1-AK86)*(AK73+AK54)/MAX(Time!AK31,1)*Inputs!$F$169</f>
        <v>23.0417632603032</v>
      </c>
      <c r="AL90" s="13" t="n">
        <f aca="false">(1-AL86)*(AL73+AL54)/MAX(Time!AL31,1)*Inputs!$F$169</f>
        <v>22.5005645954285</v>
      </c>
      <c r="AM90" s="13" t="n">
        <f aca="false">(1-AM86)*(AM73+AM54)/MAX(Time!AM31,1)*Inputs!$F$169</f>
        <v>23.7173482040061</v>
      </c>
      <c r="AN90" s="13" t="n">
        <f aca="false">(1-AN86)*(AN73+AN54)/MAX(Time!AN31,1)*Inputs!$F$169</f>
        <v>24.1031687220227</v>
      </c>
      <c r="AO90" s="13" t="n">
        <f aca="false">(1-AO86)*(AO73+AO54)/MAX(Time!AO31,1)*Inputs!$F$169</f>
        <v>25.2704188938581</v>
      </c>
      <c r="AP90" s="13" t="n">
        <f aca="false">(1-AP86)*(AP73+AP54)/MAX(Time!AP31,1)*Inputs!$F$169</f>
        <v>25.4182416121089</v>
      </c>
      <c r="AQ90" s="13" t="n">
        <f aca="false">(1-AQ86)*(AQ73+AQ54)/MAX(Time!AQ31,1)*Inputs!$F$169</f>
        <v>25.9690263366532</v>
      </c>
      <c r="AR90" s="13" t="n">
        <f aca="false">(1-AR86)*(AR73+AR54)/MAX(Time!AR31,1)*Inputs!$F$169</f>
        <v>24.7990588156338</v>
      </c>
      <c r="AS90" s="13" t="n">
        <f aca="false">(1-AS86)*(AS73+AS54)/MAX(Time!AS31,1)*Inputs!$F$169</f>
        <v>25.0631731059276</v>
      </c>
      <c r="AT90" s="13" t="n">
        <f aca="false">(1-AT86)*(AT73+AT54)/MAX(Time!AT31,1)*Inputs!$F$169</f>
        <v>23.7974638480329</v>
      </c>
      <c r="AU90" s="13" t="n">
        <f aca="false">(1-AU86)*(AU73+AU54)/MAX(Time!AU31,1)*Inputs!$F$169</f>
        <v>25.1532778099764</v>
      </c>
      <c r="AV90" s="13" t="n">
        <f aca="false">(1-AV86)*(AV73+AV54)/MAX(Time!AV31,1)*Inputs!$F$169</f>
        <v>25.6957579954038</v>
      </c>
      <c r="AW90" s="13" t="n">
        <f aca="false">(1-AW86)*(AW73+AW54)/MAX(Time!AW31,1)*Inputs!$F$169</f>
        <v>26.9322625782089</v>
      </c>
      <c r="AX90" s="13" t="n">
        <f aca="false">(1-AX86)*(AX73+AX54)/MAX(Time!AX31,1)*Inputs!$F$169</f>
        <v>27.0746365377251</v>
      </c>
      <c r="AY90" s="13" t="n">
        <f aca="false">(1-AY86)*(AY73+AY54)/MAX(Time!AY31,1)*Inputs!$F$169</f>
        <v>27.6579574597979</v>
      </c>
      <c r="AZ90" s="13" t="n">
        <f aca="false">(1-AZ86)*(AZ73+AZ54)/MAX(Time!AZ31,1)*Inputs!$F$169</f>
        <v>26.4053503529825</v>
      </c>
      <c r="BA90" s="13" t="n">
        <f aca="false">(1-BA86)*(BA73+BA54)/MAX(Time!BA31,1)*Inputs!$F$169</f>
        <v>26.9961234315622</v>
      </c>
      <c r="BB90" s="13" t="n">
        <f aca="false">(1-BB86)*(BB73+BB54)/MAX(Time!BB31,1)*Inputs!$F$169</f>
        <v>26.2570528356581</v>
      </c>
      <c r="BC90" s="13" t="n">
        <f aca="false">(1-BC86)*(BC73+BC54)/MAX(Time!BC31,1)*Inputs!$F$169</f>
        <v>27.5472653398473</v>
      </c>
      <c r="BD90" s="13" t="n">
        <f aca="false">(1-BD86)*(BD73+BD54)/MAX(Time!BD31,1)*Inputs!$F$169</f>
        <v>27.7448914261051</v>
      </c>
      <c r="BE90" s="13" t="n">
        <f aca="false">(1-BE86)*(BE73+BE54)/MAX(Time!BE31,1)*Inputs!$F$169</f>
        <v>28.7143690410215</v>
      </c>
      <c r="BF90" s="13" t="n">
        <f aca="false">(1-BF86)*(BF73+BF54)/MAX(Time!BF31,1)*Inputs!$F$169</f>
        <v>28.1554786098744</v>
      </c>
      <c r="BG90" s="13" t="n">
        <f aca="false">(1-BG86)*(BG73+BG54)/MAX(Time!BG31,1)*Inputs!$F$169</f>
        <v>29.3361255839523</v>
      </c>
      <c r="BH90" s="13" t="n">
        <f aca="false">(1-BH86)*(BH73+BH54)/MAX(Time!BH31,1)*Inputs!$F$169</f>
        <v>29.1526808682741</v>
      </c>
      <c r="BI90" s="13" t="n">
        <f aca="false">(1-BI86)*(BI73+BI54)/MAX(Time!BI31,1)*Inputs!$F$169</f>
        <v>29.3188572068899</v>
      </c>
      <c r="BJ90" s="13" t="n">
        <f aca="false">(1-BJ86)*(BJ73+BJ54)/MAX(Time!BJ31,1)*Inputs!$F$169</f>
        <v>27.5476087210012</v>
      </c>
      <c r="BK90" s="13" t="n">
        <f aca="false">(1-BK86)*(BK73+BK54)/MAX(Time!BK31,1)*Inputs!$F$169</f>
        <v>29.1284145510964</v>
      </c>
      <c r="BL90" s="13" t="n">
        <f aca="false">(1-BL86)*(BL73+BL54)/MAX(Time!BL31,1)*Inputs!$F$169</f>
        <v>29.7787450780928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2.27935208075392</v>
      </c>
      <c r="P91" s="13" t="n">
        <f aca="false">(1-P86)*(P52+P53)/MAX(Time!P31,1)*Inputs!$F$170</f>
        <v>2.27701684956677</v>
      </c>
      <c r="Q91" s="13" t="n">
        <f aca="false">(1-Q86)*(Q52+Q53)/MAX(Time!Q31,1)*Inputs!$F$170</f>
        <v>2.3144873171918</v>
      </c>
      <c r="R91" s="13" t="n">
        <f aca="false">(1-R86)*(R52+R53)/MAX(Time!R31,1)*Inputs!$F$170</f>
        <v>2.30132092566612</v>
      </c>
      <c r="S91" s="13" t="n">
        <f aca="false">(1-S86)*(S52+S53)/MAX(Time!S31,1)*Inputs!$F$170</f>
        <v>2.34763960880132</v>
      </c>
      <c r="T91" s="13" t="n">
        <f aca="false">(1-T86)*(T52+T53)/MAX(Time!T31,1)*Inputs!$F$170</f>
        <v>2.3512009579683</v>
      </c>
      <c r="U91" s="13" t="n">
        <f aca="false">(1-U86)*(U52+U53)/MAX(Time!U31,1)*Inputs!$F$170</f>
        <v>2.38899697249106</v>
      </c>
      <c r="V91" s="13" t="n">
        <f aca="false">(1-V86)*(V52+V53)/MAX(Time!V31,1)*Inputs!$F$170</f>
        <v>2.38038859423929</v>
      </c>
      <c r="W91" s="13" t="n">
        <f aca="false">(1-W86)*(W52+W53)/MAX(Time!W31,1)*Inputs!$F$170</f>
        <v>2.42969726108515</v>
      </c>
      <c r="X91" s="13" t="n">
        <f aca="false">(1-X86)*(X52+X53)/MAX(Time!X31,1)*Inputs!$F$170</f>
        <v>2.43572221696311</v>
      </c>
      <c r="Y91" s="13" t="n">
        <f aca="false">(1-Y86)*(Y52+Y53)/MAX(Time!Y31,1)*Inputs!$F$170</f>
        <v>2.47292988110212</v>
      </c>
      <c r="Z91" s="13" t="n">
        <f aca="false">(1-Z86)*(Z52+Z53)/MAX(Time!Z31,1)*Inputs!$F$170</f>
        <v>2.45247701532521</v>
      </c>
      <c r="AA91" s="13" t="n">
        <f aca="false">(1-AA86)*(AA52+AA53)/MAX(Time!AA31,1)*Inputs!$F$170</f>
        <v>2.50532094463336</v>
      </c>
      <c r="AB91" s="13" t="n">
        <f aca="false">(1-AB86)*(AB52+AB53)/MAX(Time!AB31,1)*Inputs!$F$170</f>
        <v>2.51550436735011</v>
      </c>
      <c r="AC91" s="13" t="n">
        <f aca="false">(1-AC86)*(AC52+AC53)/MAX(Time!AC31,1)*Inputs!$F$170</f>
        <v>2.54456119922739</v>
      </c>
      <c r="AD91" s="13" t="n">
        <f aca="false">(1-AD86)*(AD52+AD53)/MAX(Time!AD31,1)*Inputs!$F$170</f>
        <v>2.51244741225428</v>
      </c>
      <c r="AE91" s="13" t="n">
        <f aca="false">(1-AE86)*(AE52+AE53)/MAX(Time!AE31,1)*Inputs!$F$170</f>
        <v>2.55773406825373</v>
      </c>
      <c r="AF91" s="13" t="n">
        <f aca="false">(1-AF86)*(AF52+AF53)/MAX(Time!AF31,1)*Inputs!$F$170</f>
        <v>2.55148860850443</v>
      </c>
      <c r="AG91" s="13" t="n">
        <f aca="false">(1-AG86)*(AG52+AG53)/MAX(Time!AG31,1)*Inputs!$F$170</f>
        <v>2.59729864660347</v>
      </c>
      <c r="AH91" s="13" t="n">
        <f aca="false">(1-AH86)*(AH52+AH53)/MAX(Time!AH31,1)*Inputs!$F$170</f>
        <v>2.59055005579187</v>
      </c>
      <c r="AI91" s="13" t="n">
        <f aca="false">(1-AI86)*(AI52+AI53)/MAX(Time!AI31,1)*Inputs!$F$170</f>
        <v>2.6384667193634</v>
      </c>
      <c r="AJ91" s="13" t="n">
        <f aca="false">(1-AJ86)*(AJ52+AJ53)/MAX(Time!AJ31,1)*Inputs!$F$170</f>
        <v>2.63432282071848</v>
      </c>
      <c r="AK91" s="13" t="n">
        <f aca="false">(1-AK86)*(AK52+AK53)/MAX(Time!AK31,1)*Inputs!$F$170</f>
        <v>2.67582447573049</v>
      </c>
      <c r="AL91" s="13" t="n">
        <f aca="false">(1-AL86)*(AL52+AL53)/MAX(Time!AL31,1)*Inputs!$F$170</f>
        <v>2.66490394791862</v>
      </c>
      <c r="AM91" s="13" t="n">
        <f aca="false">(1-AM86)*(AM52+AM53)/MAX(Time!AM31,1)*Inputs!$F$170</f>
        <v>2.72027390793328</v>
      </c>
      <c r="AN91" s="13" t="n">
        <f aca="false">(1-AN86)*(AN52+AN53)/MAX(Time!AN31,1)*Inputs!$F$170</f>
        <v>2.72802098904396</v>
      </c>
      <c r="AO91" s="13" t="n">
        <f aca="false">(1-AO86)*(AO52+AO53)/MAX(Time!AO31,1)*Inputs!$F$170</f>
        <v>2.7826320664798</v>
      </c>
      <c r="AP91" s="13" t="n">
        <f aca="false">(1-AP86)*(AP52+AP53)/MAX(Time!AP31,1)*Inputs!$F$170</f>
        <v>2.78558572196496</v>
      </c>
      <c r="AQ91" s="13" t="n">
        <f aca="false">(1-AQ86)*(AQ52+AQ53)/MAX(Time!AQ31,1)*Inputs!$F$170</f>
        <v>2.82821294758513</v>
      </c>
      <c r="AR91" s="13" t="n">
        <f aca="false">(1-AR86)*(AR52+AR53)/MAX(Time!AR31,1)*Inputs!$F$170</f>
        <v>2.80495034347438</v>
      </c>
      <c r="AS91" s="13" t="n">
        <f aca="false">(1-AS86)*(AS52+AS53)/MAX(Time!AS31,1)*Inputs!$F$170</f>
        <v>2.84243696080906</v>
      </c>
      <c r="AT91" s="13" t="n">
        <f aca="false">(1-AT86)*(AT52+AT53)/MAX(Time!AT31,1)*Inputs!$F$170</f>
        <v>2.8173940762597</v>
      </c>
      <c r="AU91" s="13" t="n">
        <f aca="false">(1-AU86)*(AU52+AU53)/MAX(Time!AU31,1)*Inputs!$F$170</f>
        <v>2.87697834825449</v>
      </c>
      <c r="AV91" s="13" t="n">
        <f aca="false">(1-AV86)*(AV52+AV53)/MAX(Time!AV31,1)*Inputs!$F$170</f>
        <v>2.88765905878534</v>
      </c>
      <c r="AW91" s="13" t="n">
        <f aca="false">(1-AW86)*(AW52+AW53)/MAX(Time!AW31,1)*Inputs!$F$170</f>
        <v>2.94513102628336</v>
      </c>
      <c r="AX91" s="13" t="n">
        <f aca="false">(1-AX86)*(AX52+AX53)/MAX(Time!AX31,1)*Inputs!$F$170</f>
        <v>2.94792043850146</v>
      </c>
      <c r="AY91" s="13" t="n">
        <f aca="false">(1-AY86)*(AY52+AY53)/MAX(Time!AY31,1)*Inputs!$F$170</f>
        <v>2.99295473217233</v>
      </c>
      <c r="AZ91" s="13" t="n">
        <f aca="false">(1-AZ86)*(AZ52+AZ53)/MAX(Time!AZ31,1)*Inputs!$F$170</f>
        <v>2.96853376400578</v>
      </c>
      <c r="BA91" s="13" t="n">
        <f aca="false">(1-BA86)*(BA52+BA53)/MAX(Time!BA31,1)*Inputs!$F$170</f>
        <v>3.01427752625604</v>
      </c>
      <c r="BB91" s="13" t="n">
        <f aca="false">(1-BB86)*(BB52+BB53)/MAX(Time!BB31,1)*Inputs!$F$170</f>
        <v>2.99993915567494</v>
      </c>
      <c r="BC91" s="13" t="n">
        <f aca="false">(1-BC86)*(BC52+BC53)/MAX(Time!BC31,1)*Inputs!$F$170</f>
        <v>3.05970828539029</v>
      </c>
      <c r="BD91" s="13" t="n">
        <f aca="false">(1-BD86)*(BD52+BD53)/MAX(Time!BD31,1)*Inputs!$F$170</f>
        <v>3.06352354431689</v>
      </c>
      <c r="BE91" s="13" t="n">
        <f aca="false">(1-BE86)*(BE52+BE53)/MAX(Time!BE31,1)*Inputs!$F$170</f>
        <v>3.11744080990295</v>
      </c>
      <c r="BF91" s="13" t="n">
        <f aca="false">(1-BF86)*(BF52+BF53)/MAX(Time!BF31,1)*Inputs!$F$170</f>
        <v>3.10670407348198</v>
      </c>
      <c r="BG91" s="13" t="n">
        <f aca="false">(1-BG86)*(BG52+BG53)/MAX(Time!BG31,1)*Inputs!$F$170</f>
        <v>3.16510987278079</v>
      </c>
      <c r="BH91" s="13" t="n">
        <f aca="false">(1-BH86)*(BH52+BH53)/MAX(Time!BH31,1)*Inputs!$F$170</f>
        <v>3.16160302678589</v>
      </c>
      <c r="BI91" s="13" t="n">
        <f aca="false">(1-BI86)*(BI52+BI53)/MAX(Time!BI31,1)*Inputs!$F$170</f>
        <v>3.20109684583138</v>
      </c>
      <c r="BJ91" s="13" t="n">
        <f aca="false">(1-BJ86)*(BJ52+BJ53)/MAX(Time!BJ31,1)*Inputs!$F$170</f>
        <v>3.16740251384842</v>
      </c>
      <c r="BK91" s="13" t="n">
        <f aca="false">(1-BK86)*(BK52+BK53)/MAX(Time!BK31,1)*Inputs!$F$170</f>
        <v>3.23440834975745</v>
      </c>
      <c r="BL91" s="13" t="n">
        <f aca="false">(1-BL86)*(BL52+BL53)/MAX(Time!BL31,1)*Inputs!$F$170</f>
        <v>3.24671889729795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1.67443858303465</v>
      </c>
      <c r="P92" s="13" t="n">
        <f aca="false">(1-P86)*(P60+P61+P62+P64)/MAX(Time!P31,1)*Inputs!$F$171</f>
        <v>1.6906570425419</v>
      </c>
      <c r="Q92" s="13" t="n">
        <f aca="false">(1-Q86)*(Q60+Q61+Q62+Q64)/MAX(Time!Q31,1)*Inputs!$F$171</f>
        <v>1.73222963619604</v>
      </c>
      <c r="R92" s="13" t="n">
        <f aca="false">(1-R86)*(R60+R61+R62+R64)/MAX(Time!R31,1)*Inputs!$F$171</f>
        <v>1.70493189286809</v>
      </c>
      <c r="S92" s="13" t="n">
        <f aca="false">(1-S86)*(S60+S61+S62+S64)/MAX(Time!S31,1)*Inputs!$F$171</f>
        <v>1.78178271212221</v>
      </c>
      <c r="T92" s="13" t="n">
        <f aca="false">(1-T86)*(T60+T61+T62+T64)/MAX(Time!T31,1)*Inputs!$F$171</f>
        <v>1.82304556293456</v>
      </c>
      <c r="U92" s="13" t="n">
        <f aca="false">(1-U86)*(U60+U61+U62+U64)/MAX(Time!U31,1)*Inputs!$F$171</f>
        <v>1.86416552385382</v>
      </c>
      <c r="V92" s="13" t="n">
        <f aca="false">(1-V86)*(V60+V61+V62+V64)/MAX(Time!V31,1)*Inputs!$F$171</f>
        <v>1.8575417439921</v>
      </c>
      <c r="W92" s="13" t="n">
        <f aca="false">(1-W86)*(W60+W61+W62+W64)/MAX(Time!W31,1)*Inputs!$F$171</f>
        <v>1.94617692411871</v>
      </c>
      <c r="X92" s="13" t="n">
        <f aca="false">(1-X86)*(X60+X61+X62+X64)/MAX(Time!X31,1)*Inputs!$F$171</f>
        <v>1.97735028287957</v>
      </c>
      <c r="Y92" s="13" t="n">
        <f aca="false">(1-Y86)*(Y60+Y61+Y62+Y64)/MAX(Time!Y31,1)*Inputs!$F$171</f>
        <v>2.03877922017439</v>
      </c>
      <c r="Z92" s="13" t="n">
        <f aca="false">(1-Z86)*(Z60+Z61+Z62+Z64)/MAX(Time!Z31,1)*Inputs!$F$171</f>
        <v>1.98404447308126</v>
      </c>
      <c r="AA92" s="13" t="n">
        <f aca="false">(1-AA86)*(AA60+AA61+AA62+AA64)/MAX(Time!AA31,1)*Inputs!$F$171</f>
        <v>2.08742602936559</v>
      </c>
      <c r="AB92" s="13" t="n">
        <f aca="false">(1-AB86)*(AB60+AB61+AB62+AB64)/MAX(Time!AB31,1)*Inputs!$F$171</f>
        <v>2.1075236272624</v>
      </c>
      <c r="AC92" s="13" t="n">
        <f aca="false">(1-AC86)*(AC60+AC61+AC62+AC64)/MAX(Time!AC31,1)*Inputs!$F$171</f>
        <v>2.1640160790342</v>
      </c>
      <c r="AD92" s="13" t="n">
        <f aca="false">(1-AD86)*(AD60+AD61+AD62+AD64)/MAX(Time!AD31,1)*Inputs!$F$171</f>
        <v>2.06188129905382</v>
      </c>
      <c r="AE92" s="13" t="n">
        <f aca="false">(1-AE86)*(AE60+AE61+AE62+AE64)/MAX(Time!AE31,1)*Inputs!$F$171</f>
        <v>2.13404601584105</v>
      </c>
      <c r="AF92" s="13" t="n">
        <f aca="false">(1-AF86)*(AF60+AF61+AF62+AF64)/MAX(Time!AF31,1)*Inputs!$F$171</f>
        <v>2.14013877156299</v>
      </c>
      <c r="AG92" s="13" t="n">
        <f aca="false">(1-AG86)*(AG60+AG61+AG62+AG64)/MAX(Time!AG31,1)*Inputs!$F$171</f>
        <v>2.21462116756326</v>
      </c>
      <c r="AH92" s="13" t="n">
        <f aca="false">(1-AH86)*(AH60+AH61+AH62+AH64)/MAX(Time!AH31,1)*Inputs!$F$171</f>
        <v>2.21966398039197</v>
      </c>
      <c r="AI92" s="13" t="n">
        <f aca="false">(1-AI86)*(AI60+AI61+AI62+AI64)/MAX(Time!AI31,1)*Inputs!$F$171</f>
        <v>2.30338442309653</v>
      </c>
      <c r="AJ92" s="13" t="n">
        <f aca="false">(1-AJ86)*(AJ60+AJ61+AJ62+AJ64)/MAX(Time!AJ31,1)*Inputs!$F$171</f>
        <v>2.32095843603257</v>
      </c>
      <c r="AK92" s="13" t="n">
        <f aca="false">(1-AK86)*(AK60+AK61+AK62+AK64)/MAX(Time!AK31,1)*Inputs!$F$171</f>
        <v>2.37519993780769</v>
      </c>
      <c r="AL92" s="13" t="n">
        <f aca="false">(1-AL86)*(AL60+AL61+AL62+AL64)/MAX(Time!AL31,1)*Inputs!$F$171</f>
        <v>2.36627214905559</v>
      </c>
      <c r="AM92" s="13" t="n">
        <f aca="false">(1-AM86)*(AM60+AM61+AM62+AM64)/MAX(Time!AM31,1)*Inputs!$F$171</f>
        <v>2.48339900675247</v>
      </c>
      <c r="AN92" s="13" t="n">
        <f aca="false">(1-AN86)*(AN60+AN61+AN62+AN64)/MAX(Time!AN31,1)*Inputs!$F$171</f>
        <v>2.55617848552723</v>
      </c>
      <c r="AO92" s="13" t="n">
        <f aca="false">(1-AO86)*(AO60+AO61+AO62+AO64)/MAX(Time!AO31,1)*Inputs!$F$171</f>
        <v>2.66796267933271</v>
      </c>
      <c r="AP92" s="13" t="n">
        <f aca="false">(1-AP86)*(AP60+AP61+AP62+AP64)/MAX(Time!AP31,1)*Inputs!$F$171</f>
        <v>2.6713527143921</v>
      </c>
      <c r="AQ92" s="13" t="n">
        <f aca="false">(1-AQ86)*(AQ60+AQ61+AQ62+AQ64)/MAX(Time!AQ31,1)*Inputs!$F$171</f>
        <v>2.76449775917555</v>
      </c>
      <c r="AR92" s="13" t="n">
        <f aca="false">(1-AR86)*(AR60+AR61+AR62+AR64)/MAX(Time!AR31,1)*Inputs!$F$171</f>
        <v>2.7254914665362</v>
      </c>
      <c r="AS92" s="13" t="n">
        <f aca="false">(1-AS86)*(AS60+AS61+AS62+AS64)/MAX(Time!AS31,1)*Inputs!$F$171</f>
        <v>2.7622798427885</v>
      </c>
      <c r="AT92" s="13" t="n">
        <f aca="false">(1-AT86)*(AT60+AT61+AT62+AT64)/MAX(Time!AT31,1)*Inputs!$F$171</f>
        <v>2.7255920682171</v>
      </c>
      <c r="AU92" s="13" t="n">
        <f aca="false">(1-AU86)*(AU60+AU61+AU62+AU64)/MAX(Time!AU31,1)*Inputs!$F$171</f>
        <v>2.83598837360021</v>
      </c>
      <c r="AV92" s="13" t="n">
        <f aca="false">(1-AV86)*(AV60+AV61+AV62+AV64)/MAX(Time!AV31,1)*Inputs!$F$171</f>
        <v>2.92959544206503</v>
      </c>
      <c r="AW92" s="13" t="n">
        <f aca="false">(1-AW86)*(AW60+AW61+AW62+AW64)/MAX(Time!AW31,1)*Inputs!$F$171</f>
        <v>3.06153809452713</v>
      </c>
      <c r="AX92" s="13" t="n">
        <f aca="false">(1-AX86)*(AX60+AX61+AX62+AX64)/MAX(Time!AX31,1)*Inputs!$F$171</f>
        <v>3.09235933416669</v>
      </c>
      <c r="AY92" s="13" t="n">
        <f aca="false">(1-AY86)*(AY60+AY61+AY62+AY64)/MAX(Time!AY31,1)*Inputs!$F$171</f>
        <v>3.19894169595562</v>
      </c>
      <c r="AZ92" s="13" t="n">
        <f aca="false">(1-AZ86)*(AZ60+AZ61+AZ62+AZ64)/MAX(Time!AZ31,1)*Inputs!$F$171</f>
        <v>3.13634555819074</v>
      </c>
      <c r="BA92" s="13" t="n">
        <f aca="false">(1-BA86)*(BA60+BA61+BA62+BA64)/MAX(Time!BA31,1)*Inputs!$F$171</f>
        <v>3.21337189742554</v>
      </c>
      <c r="BB92" s="13" t="n">
        <f aca="false">(1-BB86)*(BB60+BB61+BB62+BB64)/MAX(Time!BB31,1)*Inputs!$F$171</f>
        <v>3.20230720817826</v>
      </c>
      <c r="BC92" s="13" t="n">
        <f aca="false">(1-BC86)*(BC60+BC61+BC62+BC64)/MAX(Time!BC31,1)*Inputs!$F$171</f>
        <v>3.3508254428467</v>
      </c>
      <c r="BD92" s="13" t="n">
        <f aca="false">(1-BD86)*(BD60+BD61+BD62+BD64)/MAX(Time!BD31,1)*Inputs!$F$171</f>
        <v>3.42259272916154</v>
      </c>
      <c r="BE92" s="13" t="n">
        <f aca="false">(1-BE86)*(BE60+BE61+BE62+BE64)/MAX(Time!BE31,1)*Inputs!$F$171</f>
        <v>3.54576447415214</v>
      </c>
      <c r="BF92" s="13" t="n">
        <f aca="false">(1-BF86)*(BF60+BF61+BF62+BF64)/MAX(Time!BF31,1)*Inputs!$F$171</f>
        <v>3.5517560641772</v>
      </c>
      <c r="BG92" s="13" t="n">
        <f aca="false">(1-BG86)*(BG60+BG61+BG62+BG64)/MAX(Time!BG31,1)*Inputs!$F$171</f>
        <v>3.69861894616065</v>
      </c>
      <c r="BH92" s="13" t="n">
        <f aca="false">(1-BH86)*(BH60+BH61+BH62+BH64)/MAX(Time!BH31,1)*Inputs!$F$171</f>
        <v>3.74145808609291</v>
      </c>
      <c r="BI92" s="13" t="n">
        <f aca="false">(1-BI86)*(BI60+BI61+BI62+BI64)/MAX(Time!BI31,1)*Inputs!$F$171</f>
        <v>3.79465428237109</v>
      </c>
      <c r="BJ92" s="13" t="n">
        <f aca="false">(1-BJ86)*(BJ60+BJ61+BJ62+BJ64)/MAX(Time!BJ31,1)*Inputs!$F$171</f>
        <v>3.74317205614062</v>
      </c>
      <c r="BK92" s="13" t="n">
        <f aca="false">(1-BK86)*(BK60+BK61+BK62+BK64)/MAX(Time!BK31,1)*Inputs!$F$171</f>
        <v>3.89506755153259</v>
      </c>
      <c r="BL92" s="13" t="n">
        <f aca="false">(1-BL86)*(BL60+BL61+BL62+BL64)/MAX(Time!BL31,1)*Inputs!$F$171</f>
        <v>4.01880320738618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1.213228608062</v>
      </c>
      <c r="P93" s="13" t="n">
        <f aca="false">(1-P86)*(P65+P66+P67+P68+P69+P70+P71)/MAX(Time!P31,1)*Inputs!$F$172</f>
        <v>1.22781171772396</v>
      </c>
      <c r="Q93" s="13" t="n">
        <f aca="false">(1-Q86)*(Q65+Q66+Q67+Q68+Q69+Q70+Q71)/MAX(Time!Q31,1)*Inputs!$F$172</f>
        <v>1.26720977130329</v>
      </c>
      <c r="R93" s="13" t="n">
        <f aca="false">(1-R86)*(R65+R66+R67+R68+R69+R70+R71)/MAX(Time!R31,1)*Inputs!$F$172</f>
        <v>1.26251595231427</v>
      </c>
      <c r="S93" s="13" t="n">
        <f aca="false">(1-S86)*(S65+S66+S67+S68+S69+S70+S71)/MAX(Time!S31,1)*Inputs!$F$172</f>
        <v>1.31182342557433</v>
      </c>
      <c r="T93" s="13" t="n">
        <f aca="false">(1-T86)*(T65+T66+T67+T68+T69+T70+T71)/MAX(Time!T31,1)*Inputs!$F$172</f>
        <v>1.32398276287588</v>
      </c>
      <c r="U93" s="13" t="n">
        <f aca="false">(1-U86)*(U65+U66+U67+U68+U69+U70+U71)/MAX(Time!U31,1)*Inputs!$F$172</f>
        <v>1.36113232230503</v>
      </c>
      <c r="V93" s="13" t="n">
        <f aca="false">(1-V86)*(V65+V66+V67+V68+V69+V70+V71)/MAX(Time!V31,1)*Inputs!$F$172</f>
        <v>1.36742236938121</v>
      </c>
      <c r="W93" s="13" t="n">
        <f aca="false">(1-W86)*(W65+W66+W67+W68+W69+W70+W71)/MAX(Time!W31,1)*Inputs!$F$172</f>
        <v>1.42270635930414</v>
      </c>
      <c r="X93" s="13" t="n">
        <f aca="false">(1-X86)*(X65+X66+X67+X68+X69+X70+X71)/MAX(Time!X31,1)*Inputs!$F$172</f>
        <v>1.43938222033094</v>
      </c>
      <c r="Y93" s="13" t="n">
        <f aca="false">(1-Y86)*(Y65+Y66+Y67+Y68+Y69+Y70+Y71)/MAX(Time!Y31,1)*Inputs!$F$172</f>
        <v>1.48422792904078</v>
      </c>
      <c r="Z93" s="13" t="n">
        <f aca="false">(1-Z86)*(Z65+Z66+Z67+Z68+Z69+Z70+Z71)/MAX(Time!Z31,1)*Inputs!$F$172</f>
        <v>1.4744514236902</v>
      </c>
      <c r="AA93" s="13" t="n">
        <f aca="false">(1-AA86)*(AA65+AA66+AA67+AA68+AA69+AA70+AA71)/MAX(Time!AA31,1)*Inputs!$F$172</f>
        <v>1.5372389705996</v>
      </c>
      <c r="AB93" s="13" t="n">
        <f aca="false">(1-AB86)*(AB65+AB66+AB67+AB68+AB69+AB70+AB71)/MAX(Time!AB31,1)*Inputs!$F$172</f>
        <v>1.56063951416759</v>
      </c>
      <c r="AC93" s="13" t="n">
        <f aca="false">(1-AC86)*(AC65+AC66+AC67+AC68+AC69+AC70+AC71)/MAX(Time!AC31,1)*Inputs!$F$172</f>
        <v>1.59403291903944</v>
      </c>
      <c r="AD93" s="13" t="n">
        <f aca="false">(1-AD86)*(AD65+AD66+AD67+AD68+AD69+AD70+AD71)/MAX(Time!AD31,1)*Inputs!$F$172</f>
        <v>1.57780439198269</v>
      </c>
      <c r="AE93" s="13" t="n">
        <f aca="false">(1-AE86)*(AE65+AE66+AE67+AE68+AE69+AE70+AE71)/MAX(Time!AE31,1)*Inputs!$F$172</f>
        <v>1.63664783186822</v>
      </c>
      <c r="AF93" s="13" t="n">
        <f aca="false">(1-AF86)*(AF65+AF66+AF67+AF68+AF69+AF70+AF71)/MAX(Time!AF31,1)*Inputs!$F$172</f>
        <v>1.64383271927234</v>
      </c>
      <c r="AG93" s="13" t="n">
        <f aca="false">(1-AG86)*(AG65+AG66+AG67+AG68+AG69+AG70+AG71)/MAX(Time!AG31,1)*Inputs!$F$172</f>
        <v>1.70545394145692</v>
      </c>
      <c r="AH93" s="13" t="n">
        <f aca="false">(1-AH86)*(AH65+AH66+AH67+AH68+AH69+AH70+AH71)/MAX(Time!AH31,1)*Inputs!$F$172</f>
        <v>1.7130063568262</v>
      </c>
      <c r="AI93" s="13" t="n">
        <f aca="false">(1-AI86)*(AI65+AI66+AI67+AI68+AI69+AI70+AI71)/MAX(Time!AI31,1)*Inputs!$F$172</f>
        <v>1.77940898096704</v>
      </c>
      <c r="AJ93" s="13" t="n">
        <f aca="false">(1-AJ86)*(AJ65+AJ66+AJ67+AJ68+AJ69+AJ70+AJ71)/MAX(Time!AJ31,1)*Inputs!$F$172</f>
        <v>1.7910688881469</v>
      </c>
      <c r="AK93" s="13" t="n">
        <f aca="false">(1-AK86)*(AK65+AK66+AK67+AK68+AK69+AK70+AK71)/MAX(Time!AK31,1)*Inputs!$F$172</f>
        <v>1.84521924168076</v>
      </c>
      <c r="AL93" s="13" t="n">
        <f aca="false">(1-AL86)*(AL65+AL66+AL67+AL68+AL69+AL70+AL71)/MAX(Time!AL31,1)*Inputs!$F$172</f>
        <v>1.85632907039804</v>
      </c>
      <c r="AM93" s="13" t="n">
        <f aca="false">(1-AM86)*(AM65+AM66+AM67+AM68+AM69+AM70+AM71)/MAX(Time!AM31,1)*Inputs!$F$172</f>
        <v>1.93767587408785</v>
      </c>
      <c r="AN93" s="13" t="n">
        <f aca="false">(1-AN86)*(AN65+AN66+AN67+AN68+AN69+AN70+AN71)/MAX(Time!AN31,1)*Inputs!$F$172</f>
        <v>1.96710292167271</v>
      </c>
      <c r="AO93" s="13" t="n">
        <f aca="false">(1-AO86)*(AO65+AO66+AO67+AO68+AO69+AO70+AO71)/MAX(Time!AO31,1)*Inputs!$F$172</f>
        <v>2.05047834207285</v>
      </c>
      <c r="AP93" s="13" t="n">
        <f aca="false">(1-AP86)*(AP65+AP66+AP67+AP68+AP69+AP70+AP71)/MAX(Time!AP31,1)*Inputs!$F$172</f>
        <v>2.07614598339338</v>
      </c>
      <c r="AQ93" s="13" t="n">
        <f aca="false">(1-AQ86)*(AQ65+AQ66+AQ67+AQ68+AQ69+AQ70+AQ71)/MAX(Time!AQ31,1)*Inputs!$F$172</f>
        <v>2.14716878644716</v>
      </c>
      <c r="AR93" s="13" t="n">
        <f aca="false">(1-AR86)*(AR65+AR66+AR67+AR68+AR69+AR70+AR71)/MAX(Time!AR31,1)*Inputs!$F$172</f>
        <v>2.13922465154505</v>
      </c>
      <c r="AS93" s="13" t="n">
        <f aca="false">(1-AS86)*(AS65+AS66+AS67+AS68+AS69+AS70+AS71)/MAX(Time!AS31,1)*Inputs!$F$172</f>
        <v>2.1976257904966</v>
      </c>
      <c r="AT93" s="13" t="n">
        <f aca="false">(1-AT86)*(AT65+AT66+AT67+AT68+AT69+AT70+AT71)/MAX(Time!AT31,1)*Inputs!$F$172</f>
        <v>2.19382761289436</v>
      </c>
      <c r="AU93" s="13" t="n">
        <f aca="false">(1-AU86)*(AU65+AU66+AU67+AU68+AU69+AU70+AU71)/MAX(Time!AU31,1)*Inputs!$F$172</f>
        <v>2.29583052875317</v>
      </c>
      <c r="AV93" s="13" t="n">
        <f aca="false">(1-AV86)*(AV65+AV66+AV67+AV68+AV69+AV70+AV71)/MAX(Time!AV31,1)*Inputs!$F$172</f>
        <v>2.33799791414186</v>
      </c>
      <c r="AW93" s="13" t="n">
        <f aca="false">(1-AW86)*(AW65+AW66+AW67+AW68+AW69+AW70+AW71)/MAX(Time!AW31,1)*Inputs!$F$172</f>
        <v>2.44022532744162</v>
      </c>
      <c r="AX93" s="13" t="n">
        <f aca="false">(1-AX86)*(AX65+AX66+AX67+AX68+AX69+AX70+AX71)/MAX(Time!AX31,1)*Inputs!$F$172</f>
        <v>2.47372000212398</v>
      </c>
      <c r="AY93" s="13" t="n">
        <f aca="false">(1-AY86)*(AY65+AY66+AY67+AY68+AY69+AY70+AY71)/MAX(Time!AY31,1)*Inputs!$F$172</f>
        <v>2.56178641590708</v>
      </c>
      <c r="AZ93" s="13" t="n">
        <f aca="false">(1-AZ86)*(AZ65+AZ66+AZ67+AZ68+AZ69+AZ70+AZ71)/MAX(Time!AZ31,1)*Inputs!$F$172</f>
        <v>2.55566386571067</v>
      </c>
      <c r="BA93" s="13" t="n">
        <f aca="false">(1-BA86)*(BA65+BA66+BA67+BA68+BA69+BA70+BA71)/MAX(Time!BA31,1)*Inputs!$F$172</f>
        <v>2.63849289415366</v>
      </c>
      <c r="BB93" s="13" t="n">
        <f aca="false">(1-BB86)*(BB65+BB66+BB67+BB68+BB69+BB70+BB71)/MAX(Time!BB31,1)*Inputs!$F$172</f>
        <v>2.65873307056691</v>
      </c>
      <c r="BC93" s="13" t="n">
        <f aca="false">(1-BC86)*(BC65+BC66+BC67+BC68+BC69+BC70+BC71)/MAX(Time!BC31,1)*Inputs!$F$172</f>
        <v>2.7785849678424</v>
      </c>
      <c r="BD93" s="13" t="n">
        <f aca="false">(1-BD86)*(BD65+BD66+BD67+BD68+BD69+BD70+BD71)/MAX(Time!BD31,1)*Inputs!$F$172</f>
        <v>2.82091076929269</v>
      </c>
      <c r="BE93" s="13" t="n">
        <f aca="false">(1-BE86)*(BE65+BE66+BE67+BE68+BE69+BE70+BE71)/MAX(Time!BE31,1)*Inputs!$F$172</f>
        <v>2.9365604374309</v>
      </c>
      <c r="BF93" s="13" t="n">
        <f aca="false">(1-BF86)*(BF65+BF66+BF67+BF68+BF69+BF70+BF71)/MAX(Time!BF31,1)*Inputs!$F$172</f>
        <v>2.95734754640072</v>
      </c>
      <c r="BG93" s="13" t="n">
        <f aca="false">(1-BG86)*(BG65+BG66+BG67+BG68+BG69+BG70+BG71)/MAX(Time!BG31,1)*Inputs!$F$172</f>
        <v>3.08619705268686</v>
      </c>
      <c r="BH93" s="13" t="n">
        <f aca="false">(1-BH86)*(BH65+BH66+BH67+BH68+BH69+BH70+BH71)/MAX(Time!BH31,1)*Inputs!$F$172</f>
        <v>3.12235007615487</v>
      </c>
      <c r="BI93" s="13" t="n">
        <f aca="false">(1-BI86)*(BI65+BI66+BI67+BI68+BI69+BI70+BI71)/MAX(Time!BI31,1)*Inputs!$F$172</f>
        <v>3.21102143252291</v>
      </c>
      <c r="BJ93" s="13" t="n">
        <f aca="false">(1-BJ86)*(BJ65+BJ66+BJ67+BJ68+BJ69+BJ70+BJ71)/MAX(Time!BJ31,1)*Inputs!$F$172</f>
        <v>3.2035635858402</v>
      </c>
      <c r="BK93" s="13" t="n">
        <f aca="false">(1-BK86)*(BK65+BK66+BK67+BK68+BK69+BK70+BK71)/MAX(Time!BK31,1)*Inputs!$F$172</f>
        <v>3.36191438441814</v>
      </c>
      <c r="BL93" s="13" t="n">
        <f aca="false">(1-BL86)*(BL65+BL66+BL67+BL68+BL69+BL70+BL71)/MAX(Time!BL31,1)*Inputs!$F$172</f>
        <v>3.43427783816083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15.1455563025935</v>
      </c>
      <c r="P95" s="13" t="n">
        <f aca="false">P88+P89-P90-P91-P92-P93-P94</f>
        <v>15.1385007616571</v>
      </c>
      <c r="Q95" s="13" t="n">
        <f aca="false">Q88+Q89-Q90-Q91-Q92-Q93-Q94</f>
        <v>15.464395839655</v>
      </c>
      <c r="R95" s="13" t="n">
        <f aca="false">R88+R89-R90-R91-R92-R93-R94</f>
        <v>15.2242003617892</v>
      </c>
      <c r="S95" s="13" t="n">
        <f aca="false">S88+S89-S90-S91-S92-S93-S94</f>
        <v>15.6356832395813</v>
      </c>
      <c r="T95" s="13" t="n">
        <f aca="false">T88+T89-T90-T91-T92-T93-T94</f>
        <v>15.4822663050748</v>
      </c>
      <c r="U95" s="13" t="n">
        <f aca="false">U88+U89-U90-U91-U92-U93-U94</f>
        <v>15.7405691237379</v>
      </c>
      <c r="V95" s="13" t="n">
        <f aca="false">V88+V89-V90-V91-V92-V93-V94</f>
        <v>15.6590952248642</v>
      </c>
      <c r="W95" s="13" t="n">
        <f aca="false">W88+W89-W90-W91-W92-W93-W94</f>
        <v>16.0130951520779</v>
      </c>
      <c r="X95" s="13" t="n">
        <f aca="false">X88+X89-X90-X91-X92-X93-X94</f>
        <v>15.8898226941756</v>
      </c>
      <c r="Y95" s="13" t="n">
        <f aca="false">Y88+Y89-Y90-Y91-Y92-Y93-Y94</f>
        <v>16.2174881601033</v>
      </c>
      <c r="Z95" s="13" t="n">
        <f aca="false">Z88+Z89-Z90-Z91-Z92-Z93-Z94</f>
        <v>16.0466924733135</v>
      </c>
      <c r="AA95" s="13" t="n">
        <f aca="false">AA88+AA89-AA90-AA91-AA92-AA93-AA94</f>
        <v>16.4200224725555</v>
      </c>
      <c r="AB95" s="13" t="n">
        <f aca="false">AB88+AB89-AB90-AB91-AB92-AB93-AB94</f>
        <v>16.3385873703027</v>
      </c>
      <c r="AC95" s="13" t="n">
        <f aca="false">AC88+AC89-AC90-AC91-AC92-AC93-AC94</f>
        <v>16.5562396773192</v>
      </c>
      <c r="AD95" s="13" t="n">
        <f aca="false">AD88+AD89-AD90-AD91-AD92-AD93-AD94</f>
        <v>16.3351071124924</v>
      </c>
      <c r="AE95" s="13" t="n">
        <f aca="false">AE88+AE89-AE90-AE91-AE92-AE93-AE94</f>
        <v>16.7354345545547</v>
      </c>
      <c r="AF95" s="13" t="n">
        <f aca="false">AF88+AF89-AF90-AF91-AF92-AF93-AF94</f>
        <v>16.629588732198</v>
      </c>
      <c r="AG95" s="13" t="n">
        <f aca="false">AG88+AG89-AG90-AG91-AG92-AG93-AG94</f>
        <v>17.0336183845183</v>
      </c>
      <c r="AH95" s="13" t="n">
        <f aca="false">AH88+AH89-AH90-AH91-AH92-AH93-AH94</f>
        <v>16.9146090781733</v>
      </c>
      <c r="AI95" s="13" t="n">
        <f aca="false">AI88+AI89-AI90-AI91-AI92-AI93-AI94</f>
        <v>17.3187626235242</v>
      </c>
      <c r="AJ95" s="13" t="n">
        <f aca="false">AJ88+AJ89-AJ90-AJ91-AJ92-AJ93-AJ94</f>
        <v>17.1739180278989</v>
      </c>
      <c r="AK95" s="13" t="n">
        <f aca="false">AK88+AK89-AK90-AK91-AK92-AK93-AK94</f>
        <v>17.4874544948282</v>
      </c>
      <c r="AL95" s="13" t="n">
        <f aca="false">AL88+AL89-AL90-AL91-AL92-AL93-AL94</f>
        <v>17.3068390811155</v>
      </c>
      <c r="AM95" s="13" t="n">
        <f aca="false">AM88+AM89-AM90-AM91-AM92-AM93-AM94</f>
        <v>17.8527403119214</v>
      </c>
      <c r="AN95" s="13" t="n">
        <f aca="false">AN88+AN89-AN90-AN91-AN92-AN93-AN94</f>
        <v>17.7372364092158</v>
      </c>
      <c r="AO95" s="13" t="n">
        <f aca="false">AO88+AO89-AO90-AO91-AO92-AO93-AO94</f>
        <v>18.1851270261704</v>
      </c>
      <c r="AP95" s="13" t="n">
        <f aca="false">AP88+AP89-AP90-AP91-AP92-AP93-AP94</f>
        <v>18.1174389884897</v>
      </c>
      <c r="AQ95" s="13" t="n">
        <f aca="false">AQ88+AQ89-AQ90-AQ91-AQ92-AQ93-AQ94</f>
        <v>18.5178732937544</v>
      </c>
      <c r="AR95" s="13" t="n">
        <f aca="false">AR88+AR89-AR90-AR91-AR92-AR93-AR94</f>
        <v>18.3214523400636</v>
      </c>
      <c r="AS95" s="13" t="n">
        <f aca="false">AS88+AS89-AS90-AS91-AS92-AS93-AS94</f>
        <v>18.6592264197156</v>
      </c>
      <c r="AT95" s="13" t="n">
        <f aca="false">AT88+AT89-AT90-AT91-AT92-AT93-AT94</f>
        <v>18.0844215167011</v>
      </c>
      <c r="AU95" s="13" t="n">
        <f aca="false">AU88+AU89-AU90-AU91-AU92-AU93-AU94</f>
        <v>18.958733084512</v>
      </c>
      <c r="AV95" s="13" t="n">
        <f aca="false">AV88+AV89-AV90-AV91-AV92-AV93-AV94</f>
        <v>18.9745865844535</v>
      </c>
      <c r="AW95" s="13" t="n">
        <f aca="false">AW88+AW89-AW90-AW91-AW92-AW93-AW94</f>
        <v>19.4772848217305</v>
      </c>
      <c r="AX95" s="13" t="n">
        <f aca="false">AX88+AX89-AX90-AX91-AX92-AX93-AX94</f>
        <v>19.409285497387</v>
      </c>
      <c r="AY95" s="13" t="n">
        <f aca="false">AY88+AY89-AY90-AY91-AY92-AY93-AY94</f>
        <v>19.8606606006862</v>
      </c>
      <c r="AZ95" s="13" t="n">
        <f aca="false">AZ88+AZ89-AZ90-AZ91-AZ92-AZ93-AZ94</f>
        <v>19.6848255759996</v>
      </c>
      <c r="BA95" s="13" t="n">
        <f aca="false">BA88+BA89-BA90-BA91-BA92-BA93-BA94</f>
        <v>20.0840565981009</v>
      </c>
      <c r="BB95" s="13" t="n">
        <f aca="false">BB88+BB89-BB90-BB91-BB92-BB93-BB94</f>
        <v>20.0065129735634</v>
      </c>
      <c r="BC95" s="13" t="n">
        <f aca="false">BC88+BC89-BC90-BC91-BC92-BC93-BC94</f>
        <v>20.5884995113064</v>
      </c>
      <c r="BD95" s="13" t="n">
        <f aca="false">BD88+BD89-BD90-BD91-BD92-BD93-BD94</f>
        <v>20.5123665616316</v>
      </c>
      <c r="BE95" s="13" t="n">
        <f aca="false">BE88+BE89-BE90-BE91-BE92-BE93-BE94</f>
        <v>21.0637176131099</v>
      </c>
      <c r="BF95" s="13" t="n">
        <f aca="false">BF88+BF89-BF90-BF91-BF92-BF93-BF94</f>
        <v>20.941883880396</v>
      </c>
      <c r="BG95" s="13" t="n">
        <f aca="false">BG88+BG89-BG90-BG91-BG92-BG93-BG94</f>
        <v>21.5269364186319</v>
      </c>
      <c r="BH95" s="13" t="n">
        <f aca="false">BH88+BH89-BH90-BH91-BH92-BH93-BH94</f>
        <v>21.4399187080314</v>
      </c>
      <c r="BI95" s="13" t="n">
        <f aca="false">BI88+BI89-BI90-BI91-BI92-BI93-BI94</f>
        <v>21.8641971666997</v>
      </c>
      <c r="BJ95" s="13" t="n">
        <f aca="false">BJ88+BJ89-BJ90-BJ91-BJ92-BJ93-BJ94</f>
        <v>21.1158409658302</v>
      </c>
      <c r="BK95" s="13" t="n">
        <f aca="false">BK88+BK89-BK90-BK91-BK92-BK93-BK94</f>
        <v>22.2356396187357</v>
      </c>
      <c r="BL95" s="13" t="n">
        <f aca="false">BL88+BL89-BL90-BL91-BL92-BL93-BL94</f>
        <v>22.406851508046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15.1455563025935</v>
      </c>
      <c r="P96" s="13" t="n">
        <f aca="false">P95-O95</f>
        <v>-0.00705554093641503</v>
      </c>
      <c r="Q96" s="13" t="n">
        <f aca="false">Q95-P95</f>
        <v>0.325895077997902</v>
      </c>
      <c r="R96" s="13" t="n">
        <f aca="false">R95-Q95</f>
        <v>-0.240195477865845</v>
      </c>
      <c r="S96" s="13" t="n">
        <f aca="false">S95-R95</f>
        <v>0.41148287779216</v>
      </c>
      <c r="T96" s="13" t="n">
        <f aca="false">T95-S95</f>
        <v>-0.153416934506506</v>
      </c>
      <c r="U96" s="13" t="n">
        <f aca="false">U95-T95</f>
        <v>0.25830281866306</v>
      </c>
      <c r="V96" s="13" t="n">
        <f aca="false">V95-U95</f>
        <v>-0.0814738988736927</v>
      </c>
      <c r="W96" s="13" t="n">
        <f aca="false">W95-V95</f>
        <v>0.353999927213682</v>
      </c>
      <c r="X96" s="13" t="n">
        <f aca="false">X95-W95</f>
        <v>-0.123272457902235</v>
      </c>
      <c r="Y96" s="13" t="n">
        <f aca="false">Y95-X95</f>
        <v>0.327665465927641</v>
      </c>
      <c r="Z96" s="13" t="n">
        <f aca="false">Z95-Y95</f>
        <v>-0.170795686789802</v>
      </c>
      <c r="AA96" s="13" t="n">
        <f aca="false">AA95-Z95</f>
        <v>0.373329999242031</v>
      </c>
      <c r="AB96" s="13" t="n">
        <f aca="false">AB95-AA95</f>
        <v>-0.0814351022528435</v>
      </c>
      <c r="AC96" s="13" t="n">
        <f aca="false">AC95-AB95</f>
        <v>0.217652307016571</v>
      </c>
      <c r="AD96" s="13" t="n">
        <f aca="false">AD95-AC95</f>
        <v>-0.221132564826846</v>
      </c>
      <c r="AE96" s="13" t="n">
        <f aca="false">AE95-AD95</f>
        <v>0.400327442062288</v>
      </c>
      <c r="AF96" s="13" t="n">
        <f aca="false">AF95-AE95</f>
        <v>-0.105845822356656</v>
      </c>
      <c r="AG96" s="13" t="n">
        <f aca="false">AG95-AF95</f>
        <v>0.404029652320315</v>
      </c>
      <c r="AH96" s="13" t="n">
        <f aca="false">AH95-AG95</f>
        <v>-0.119009306345045</v>
      </c>
      <c r="AI96" s="13" t="n">
        <f aca="false">AI95-AH95</f>
        <v>0.404153545350884</v>
      </c>
      <c r="AJ96" s="13" t="n">
        <f aca="false">AJ95-AI95</f>
        <v>-0.144844595625244</v>
      </c>
      <c r="AK96" s="13" t="n">
        <f aca="false">AK95-AJ95</f>
        <v>0.313536466929314</v>
      </c>
      <c r="AL96" s="13" t="n">
        <f aca="false">AL95-AK95</f>
        <v>-0.180615413712768</v>
      </c>
      <c r="AM96" s="13" t="n">
        <f aca="false">AM95-AL95</f>
        <v>0.545901230805921</v>
      </c>
      <c r="AN96" s="13" t="n">
        <f aca="false">AN95-AM95</f>
        <v>-0.115503902705566</v>
      </c>
      <c r="AO96" s="13" t="n">
        <f aca="false">AO95-AN95</f>
        <v>0.447890616954524</v>
      </c>
      <c r="AP96" s="13" t="n">
        <f aca="false">AP95-AO95</f>
        <v>-0.0676880376806928</v>
      </c>
      <c r="AQ96" s="13" t="n">
        <f aca="false">AQ95-AP95</f>
        <v>0.400434305264756</v>
      </c>
      <c r="AR96" s="13" t="n">
        <f aca="false">AR95-AQ95</f>
        <v>-0.196420953690829</v>
      </c>
      <c r="AS96" s="13" t="n">
        <f aca="false">AS95-AR95</f>
        <v>0.337774079652018</v>
      </c>
      <c r="AT96" s="13" t="n">
        <f aca="false">AT95-AS95</f>
        <v>-0.574804903014503</v>
      </c>
      <c r="AU96" s="13" t="n">
        <f aca="false">AU95-AT95</f>
        <v>0.874311567810878</v>
      </c>
      <c r="AV96" s="13" t="n">
        <f aca="false">AV95-AU95</f>
        <v>0.0158534999415636</v>
      </c>
      <c r="AW96" s="13" t="n">
        <f aca="false">AW95-AV95</f>
        <v>0.502698237276999</v>
      </c>
      <c r="AX96" s="13" t="n">
        <f aca="false">AX95-AW95</f>
        <v>-0.0679993243435497</v>
      </c>
      <c r="AY96" s="13" t="n">
        <f aca="false">AY95-AX95</f>
        <v>0.451375103299185</v>
      </c>
      <c r="AZ96" s="13" t="n">
        <f aca="false">AZ95-AY95</f>
        <v>-0.175835024686549</v>
      </c>
      <c r="BA96" s="13" t="n">
        <f aca="false">BA95-AZ95</f>
        <v>0.399231022101233</v>
      </c>
      <c r="BB96" s="13" t="n">
        <f aca="false">BB95-BA95</f>
        <v>-0.077543624537487</v>
      </c>
      <c r="BC96" s="13" t="n">
        <f aca="false">BC95-BB95</f>
        <v>0.581986537743031</v>
      </c>
      <c r="BD96" s="13" t="n">
        <f aca="false">BD95-BC95</f>
        <v>-0.0761329496747649</v>
      </c>
      <c r="BE96" s="13" t="n">
        <f aca="false">BE95-BD95</f>
        <v>0.551351051478278</v>
      </c>
      <c r="BF96" s="13" t="n">
        <f aca="false">BF95-BE95</f>
        <v>-0.121833732713942</v>
      </c>
      <c r="BG96" s="13" t="n">
        <f aca="false">BG95-BF95</f>
        <v>0.585052538235932</v>
      </c>
      <c r="BH96" s="13" t="n">
        <f aca="false">BH95-BG95</f>
        <v>-0.087017710600481</v>
      </c>
      <c r="BI96" s="13" t="n">
        <f aca="false">BI95-BH95</f>
        <v>0.424278458668262</v>
      </c>
      <c r="BJ96" s="13" t="n">
        <f aca="false">BJ95-BI95</f>
        <v>-0.748356200869459</v>
      </c>
      <c r="BK96" s="13" t="n">
        <f aca="false">BK95-BJ95</f>
        <v>1.11979865290552</v>
      </c>
      <c r="BL96" s="13" t="n">
        <f aca="false">BL95-BK95</f>
        <v>0.171211889310293</v>
      </c>
      <c r="BM96" s="13" t="n">
        <f aca="false">BM95-BL95</f>
        <v>-22.406851508046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49.2867235509671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0.0496470263558422</v>
      </c>
      <c r="P98" s="13" t="n">
        <f aca="false">P51-P73</f>
        <v>0.164487516474395</v>
      </c>
      <c r="Q98" s="13" t="n">
        <f aca="false">Q51-Q73</f>
        <v>0.19005401730162</v>
      </c>
      <c r="R98" s="13" t="n">
        <f aca="false">R51-R73</f>
        <v>0.210265843594698</v>
      </c>
      <c r="S98" s="13" t="n">
        <f aca="false">S51-S73</f>
        <v>0.241191693230292</v>
      </c>
      <c r="T98" s="13" t="n">
        <f aca="false">T51-T73</f>
        <v>0.271925762315149</v>
      </c>
      <c r="U98" s="13" t="n">
        <f aca="false">U51-U73</f>
        <v>0.300971043078818</v>
      </c>
      <c r="V98" s="13" t="n">
        <f aca="false">V51-V73</f>
        <v>0.322875297336466</v>
      </c>
      <c r="W98" s="13" t="n">
        <f aca="false">W51-W73</f>
        <v>0.359965690038109</v>
      </c>
      <c r="X98" s="13" t="n">
        <f aca="false">X51-X73</f>
        <v>0.397352164098791</v>
      </c>
      <c r="Y98" s="13" t="n">
        <f aca="false">Y51-Y73</f>
        <v>0.425786300003026</v>
      </c>
      <c r="Z98" s="13" t="n">
        <f aca="false">Z51-Z73</f>
        <v>0.438921410960916</v>
      </c>
      <c r="AA98" s="13" t="n">
        <f aca="false">AA51-AA73</f>
        <v>0.483314156192179</v>
      </c>
      <c r="AB98" s="13" t="n">
        <f aca="false">AB51-AB73</f>
        <v>0.530143477012288</v>
      </c>
      <c r="AC98" s="13" t="n">
        <f aca="false">AC51-AC73</f>
        <v>0.552493948011062</v>
      </c>
      <c r="AD98" s="13" t="n">
        <f aca="false">AD51-AD73</f>
        <v>0.545550121244773</v>
      </c>
      <c r="AE98" s="13" t="n">
        <f aca="false">AE51-AE73</f>
        <v>0.583315133829188</v>
      </c>
      <c r="AF98" s="13" t="n">
        <f aca="false">AF51-AF73</f>
        <v>0.611062327648668</v>
      </c>
      <c r="AG98" s="13" t="n">
        <f aca="false">AG51-AG73</f>
        <v>0.65049592158546</v>
      </c>
      <c r="AH98" s="13" t="n">
        <f aca="false">AH51-AH73</f>
        <v>0.678374969179984</v>
      </c>
      <c r="AI98" s="13" t="n">
        <f aca="false">AI51-AI73</f>
        <v>0.721935828471302</v>
      </c>
      <c r="AJ98" s="13" t="n">
        <f aca="false">AJ51-AJ73</f>
        <v>0.755098099407604</v>
      </c>
      <c r="AK98" s="13" t="n">
        <f aca="false">AK51-AK73</f>
        <v>0.793259024874445</v>
      </c>
      <c r="AL98" s="13" t="n">
        <f aca="false">AL51-AL73</f>
        <v>0.810930748376165</v>
      </c>
      <c r="AM98" s="13" t="n">
        <f aca="false">AM51-AM73</f>
        <v>0.869652715803426</v>
      </c>
      <c r="AN98" s="13" t="n">
        <f aca="false">AN51-AN73</f>
        <v>0.928195763371491</v>
      </c>
      <c r="AO98" s="13" t="n">
        <f aca="false">AO51-AO73</f>
        <v>0.987946763823075</v>
      </c>
      <c r="AP98" s="13" t="n">
        <f aca="false">AP51-AP73</f>
        <v>1.04154247513115</v>
      </c>
      <c r="AQ98" s="13" t="n">
        <f aca="false">AQ51-AQ73</f>
        <v>1.07825268293597</v>
      </c>
      <c r="AR98" s="13" t="n">
        <f aca="false">AR51-AR73</f>
        <v>1.0772998068598</v>
      </c>
      <c r="AS98" s="13" t="n">
        <f aca="false">AS51-AS73</f>
        <v>1.10747519241585</v>
      </c>
      <c r="AT98" s="13" t="n">
        <f aca="false">AT51-AT73</f>
        <v>1.09240385384048</v>
      </c>
      <c r="AU98" s="13" t="n">
        <f aca="false">AU51-AU73</f>
        <v>1.16626986757727</v>
      </c>
      <c r="AV98" s="13" t="n">
        <f aca="false">AV51-AV73</f>
        <v>1.24278438350845</v>
      </c>
      <c r="AW98" s="13" t="n">
        <f aca="false">AW51-AW73</f>
        <v>1.31393314077866</v>
      </c>
      <c r="AX98" s="13" t="n">
        <f aca="false">AX51-AX73</f>
        <v>1.37605692277272</v>
      </c>
      <c r="AY98" s="13" t="n">
        <f aca="false">AY51-AY73</f>
        <v>1.41621942310857</v>
      </c>
      <c r="AZ98" s="13" t="n">
        <f aca="false">AZ51-AZ73</f>
        <v>1.4069268962981</v>
      </c>
      <c r="BA98" s="13" t="n">
        <f aca="false">BA51-BA73</f>
        <v>1.45555883977816</v>
      </c>
      <c r="BB98" s="13" t="n">
        <f aca="false">BB51-BB73</f>
        <v>1.46349690556951</v>
      </c>
      <c r="BC98" s="13" t="n">
        <f aca="false">BC51-BC73</f>
        <v>1.54362497380215</v>
      </c>
      <c r="BD98" s="13" t="n">
        <f aca="false">BD51-BD73</f>
        <v>1.61449686652179</v>
      </c>
      <c r="BE98" s="13" t="n">
        <f aca="false">BE51-BE73</f>
        <v>1.67829912305047</v>
      </c>
      <c r="BF98" s="13" t="n">
        <f aca="false">BF51-BF73</f>
        <v>1.70741483298913</v>
      </c>
      <c r="BG98" s="13" t="n">
        <f aca="false">BG51-BG73</f>
        <v>1.78535953303486</v>
      </c>
      <c r="BH98" s="13" t="n">
        <f aca="false">BH51-BH73</f>
        <v>1.83930233838622</v>
      </c>
      <c r="BI98" s="13" t="n">
        <f aca="false">BI51-BI73</f>
        <v>1.86518028518964</v>
      </c>
      <c r="BJ98" s="13" t="n">
        <f aca="false">BJ51-BJ73</f>
        <v>1.80546554731214</v>
      </c>
      <c r="BK98" s="13" t="n">
        <f aca="false">BK51-BK73</f>
        <v>1.91299344579224</v>
      </c>
      <c r="BL98" s="13" t="n">
        <f aca="false">BL51-BL73</f>
        <v>2.02452910692544</v>
      </c>
      <c r="BM98" s="13" t="n">
        <f aca="false">BM51-BM73</f>
        <v>1.39662434376912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836.829151841665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7.53146236657498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22.5943870997249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22.5943870997249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22.5943870997249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22.5943870997249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22.5943870997249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22.5943870997249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22.5943870997249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22.5943870997249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22.5943870997249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21.7575579478833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20.0838996442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20.0838996442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20.0838996442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20.0838996442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20.0838996442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20.0838996442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20.0838996442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20.0838996442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20.0838996442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20.0838996442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20.0838996442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20.0838996442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20.0838996442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20.0838996442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20.0838996442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20.0838996442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20.0838996442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20.0838996442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20.0838996442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20.0838996442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20.0838996442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20.0838996442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20.0838996442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20.0838996442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20.0838996442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20.0838996442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20.0838996442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20.0838996442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20.0838996442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13.6682094800805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0.836829151841665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0.836829151841665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0.836829151841665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0.836829151841665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0.836829151841665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0.836829151841665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0.836829151841665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0.836829151841665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0.836829151841665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0.557886101227776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225.943870997249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7.53146236657498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22.5943870997249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22.5943870997249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22.5943870997249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22.5943870997249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22.5943870997249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22.5943870997249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22.5943870997249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22.5943870997249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22.5943870997249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15.06292473315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610.885280844415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6.69463321473332</v>
      </c>
      <c r="Z12" s="13" t="n">
        <f aca="false">Z10-Z11</f>
        <v>20.0838996442</v>
      </c>
      <c r="AA12" s="13" t="n">
        <f aca="false">AA10-AA11</f>
        <v>20.0838996442</v>
      </c>
      <c r="AB12" s="13" t="n">
        <f aca="false">AB10-AB11</f>
        <v>20.0838996442</v>
      </c>
      <c r="AC12" s="13" t="n">
        <f aca="false">AC10-AC11</f>
        <v>20.0838996442</v>
      </c>
      <c r="AD12" s="13" t="n">
        <f aca="false">AD10-AD11</f>
        <v>20.0838996442</v>
      </c>
      <c r="AE12" s="13" t="n">
        <f aca="false">AE10-AE11</f>
        <v>20.0838996442</v>
      </c>
      <c r="AF12" s="13" t="n">
        <f aca="false">AF10-AF11</f>
        <v>20.0838996442</v>
      </c>
      <c r="AG12" s="13" t="n">
        <f aca="false">AG10-AG11</f>
        <v>20.0838996442</v>
      </c>
      <c r="AH12" s="13" t="n">
        <f aca="false">AH10-AH11</f>
        <v>20.0838996442</v>
      </c>
      <c r="AI12" s="13" t="n">
        <f aca="false">AI10-AI11</f>
        <v>20.0838996442</v>
      </c>
      <c r="AJ12" s="13" t="n">
        <f aca="false">AJ10-AJ11</f>
        <v>20.0838996442</v>
      </c>
      <c r="AK12" s="13" t="n">
        <f aca="false">AK10-AK11</f>
        <v>20.0838996442</v>
      </c>
      <c r="AL12" s="13" t="n">
        <f aca="false">AL10-AL11</f>
        <v>20.0838996442</v>
      </c>
      <c r="AM12" s="13" t="n">
        <f aca="false">AM10-AM11</f>
        <v>20.0838996442</v>
      </c>
      <c r="AN12" s="13" t="n">
        <f aca="false">AN10-AN11</f>
        <v>20.0838996442</v>
      </c>
      <c r="AO12" s="13" t="n">
        <f aca="false">AO10-AO11</f>
        <v>20.0838996442</v>
      </c>
      <c r="AP12" s="13" t="n">
        <f aca="false">AP10-AP11</f>
        <v>20.0838996442</v>
      </c>
      <c r="AQ12" s="13" t="n">
        <f aca="false">AQ10-AQ11</f>
        <v>20.0838996442</v>
      </c>
      <c r="AR12" s="13" t="n">
        <f aca="false">AR10-AR11</f>
        <v>20.0838996442</v>
      </c>
      <c r="AS12" s="13" t="n">
        <f aca="false">AS10-AS11</f>
        <v>20.0838996442</v>
      </c>
      <c r="AT12" s="13" t="n">
        <f aca="false">AT10-AT11</f>
        <v>20.0838996442</v>
      </c>
      <c r="AU12" s="13" t="n">
        <f aca="false">AU10-AU11</f>
        <v>20.0838996442</v>
      </c>
      <c r="AV12" s="13" t="n">
        <f aca="false">AV10-AV11</f>
        <v>20.0838996442</v>
      </c>
      <c r="AW12" s="13" t="n">
        <f aca="false">AW10-AW11</f>
        <v>20.0838996442</v>
      </c>
      <c r="AX12" s="13" t="n">
        <f aca="false">AX10-AX11</f>
        <v>20.0838996442</v>
      </c>
      <c r="AY12" s="13" t="n">
        <f aca="false">AY10-AY11</f>
        <v>20.0838996442</v>
      </c>
      <c r="AZ12" s="13" t="n">
        <f aca="false">AZ10-AZ11</f>
        <v>20.0838996442</v>
      </c>
      <c r="BA12" s="13" t="n">
        <f aca="false">BA10-BA11</f>
        <v>20.0838996442</v>
      </c>
      <c r="BB12" s="13" t="n">
        <f aca="false">BB10-BB11</f>
        <v>20.0838996442</v>
      </c>
      <c r="BC12" s="13" t="n">
        <f aca="false">BC10-BC11</f>
        <v>13.6682094800805</v>
      </c>
      <c r="BD12" s="13" t="n">
        <f aca="false">BD10-BD11</f>
        <v>0.836829151841665</v>
      </c>
      <c r="BE12" s="13" t="n">
        <f aca="false">BE10-BE11</f>
        <v>0.836829151841665</v>
      </c>
      <c r="BF12" s="13" t="n">
        <f aca="false">BF10-BF11</f>
        <v>0.836829151841665</v>
      </c>
      <c r="BG12" s="13" t="n">
        <f aca="false">BG10-BG11</f>
        <v>0.836829151841665</v>
      </c>
      <c r="BH12" s="13" t="n">
        <f aca="false">BH10-BH11</f>
        <v>0.836829151841665</v>
      </c>
      <c r="BI12" s="13" t="n">
        <f aca="false">BI10-BI11</f>
        <v>0.836829151841665</v>
      </c>
      <c r="BJ12" s="13" t="n">
        <f aca="false">BJ10-BJ11</f>
        <v>0.836829151841665</v>
      </c>
      <c r="BK12" s="13" t="n">
        <f aca="false">BK10-BK11</f>
        <v>0.836829151841665</v>
      </c>
      <c r="BL12" s="13" t="n">
        <f aca="false">BL10-BL11</f>
        <v>0.836829151841665</v>
      </c>
      <c r="BM12" s="13" t="n">
        <f aca="false">BM10-BM11</f>
        <v>0.557886101227776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166.008596397148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3.20217513657845</v>
      </c>
      <c r="P13" s="13" t="n">
        <f aca="false">IF(Time!P20&gt;=Time!$F$12,Waterfall!P33*Inputs!$F$104/100*Time!P31/Inputs!$F$248,0)</f>
        <v>9.81237356735861</v>
      </c>
      <c r="Q13" s="13" t="n">
        <f aca="false">IF(Time!Q20&gt;=Time!$F$12,Waterfall!Q33*Inputs!$F$104/100*Time!Q31/Inputs!$F$248,0)</f>
        <v>9.38607376313612</v>
      </c>
      <c r="R13" s="13" t="n">
        <f aca="false">IF(Time!R20&gt;=Time!$F$12,Waterfall!R33*Inputs!$F$104/100*Time!R31/Inputs!$F$248,0)</f>
        <v>9.36256551641639</v>
      </c>
      <c r="S13" s="13" t="n">
        <f aca="false">IF(Time!S20&gt;=Time!$F$12,Waterfall!S33*Inputs!$F$104/100*Time!S31/Inputs!$F$248,0)</f>
        <v>8.99322478111513</v>
      </c>
      <c r="T13" s="13" t="n">
        <f aca="false">IF(Time!T20&gt;=Time!$F$12,Waterfall!T33*Inputs!$F$104/100*Time!T31/Inputs!$F$248,0)</f>
        <v>8.93308574026617</v>
      </c>
      <c r="U13" s="13" t="n">
        <f aca="false">IF(Time!U20&gt;=Time!$F$12,Waterfall!U33*Inputs!$F$104/100*Time!U31/Inputs!$F$248,0)</f>
        <v>8.58534867500075</v>
      </c>
      <c r="V13" s="13" t="n">
        <f aca="false">IF(Time!V20&gt;=Time!$F$12,Waterfall!V33*Inputs!$F$104/100*Time!V31/Inputs!$F$248,0)</f>
        <v>8.45203049278102</v>
      </c>
      <c r="W13" s="13" t="n">
        <f aca="false">IF(Time!W20&gt;=Time!$F$12,Waterfall!W33*Inputs!$F$104/100*Time!W31/Inputs!$F$248,0)</f>
        <v>8.02365698503331</v>
      </c>
      <c r="X13" s="13" t="n">
        <f aca="false">IF(Time!X20&gt;=Time!$F$12,Waterfall!X33*Inputs!$F$104/100*Time!X31/Inputs!$F$248,0)</f>
        <v>7.80055142740512</v>
      </c>
      <c r="Y13" s="13" t="n">
        <f aca="false">IF(Time!Y20&gt;=Time!$F$12,Waterfall!Y33*Inputs!$F$104/100*Time!Y31/Inputs!$F$248,0)</f>
        <v>7.35397673613765</v>
      </c>
      <c r="Z13" s="13" t="n">
        <f aca="false">IF(Time!Z20&gt;=Time!$F$12,Waterfall!Z33*Inputs!$F$104/100*Time!Z31/Inputs!$F$248,0)</f>
        <v>7.16380313540271</v>
      </c>
      <c r="AA13" s="13" t="n">
        <f aca="false">IF(Time!AA20&gt;=Time!$F$12,Waterfall!AA33*Inputs!$F$104/100*Time!AA31/Inputs!$F$248,0)</f>
        <v>6.68847663746366</v>
      </c>
      <c r="AB13" s="13" t="n">
        <f aca="false">IF(Time!AB20&gt;=Time!$F$12,Waterfall!AB33*Inputs!$F$104/100*Time!AB31/Inputs!$F$248,0)</f>
        <v>6.7847993746001</v>
      </c>
      <c r="AC13" s="13" t="n">
        <f aca="false">IF(Time!AC20&gt;=Time!$F$12,Waterfall!AC33*Inputs!$F$104/100*Time!AC31/Inputs!$F$248,0)</f>
        <v>6.64198774469886</v>
      </c>
      <c r="AD13" s="13" t="n">
        <f aca="false">IF(Time!AD20&gt;=Time!$F$12,Waterfall!AD33*Inputs!$F$104/100*Time!AD31/Inputs!$F$248,0)</f>
        <v>6.65146855091653</v>
      </c>
      <c r="AE13" s="13" t="n">
        <f aca="false">IF(Time!AE20&gt;=Time!$F$12,Waterfall!AE33*Inputs!$F$104/100*Time!AE31/Inputs!$F$248,0)</f>
        <v>6.40251445603</v>
      </c>
      <c r="AF13" s="13" t="n">
        <f aca="false">IF(Time!AF20&gt;=Time!$F$12,Waterfall!AF33*Inputs!$F$104/100*Time!AF31/Inputs!$F$248,0)</f>
        <v>6.32704278593966</v>
      </c>
      <c r="AG13" s="13" t="n">
        <f aca="false">IF(Time!AG20&gt;=Time!$F$12,Waterfall!AG33*Inputs!$F$104/100*Time!AG31/Inputs!$F$248,0)</f>
        <v>5.98776303364947</v>
      </c>
      <c r="AH13" s="13" t="n">
        <f aca="false">IF(Time!AH20&gt;=Time!$F$12,Waterfall!AH33*Inputs!$F$104/100*Time!AH31/Inputs!$F$248,0)</f>
        <v>5.79742200632369</v>
      </c>
      <c r="AI13" s="13" t="n">
        <f aca="false">IF(Time!AI20&gt;=Time!$F$12,Waterfall!AI33*Inputs!$F$104/100*Time!AI31/Inputs!$F$248,0)</f>
        <v>5.32904961630676</v>
      </c>
      <c r="AJ13" s="13" t="n">
        <f aca="false">IF(Time!AJ20&gt;=Time!$F$12,Waterfall!AJ33*Inputs!$F$104/100*Time!AJ31/Inputs!$F$248,0)</f>
        <v>4.95599110058318</v>
      </c>
      <c r="AK13" s="13" t="n">
        <f aca="false">IF(Time!AK20&gt;=Time!$F$12,Waterfall!AK33*Inputs!$F$104/100*Time!AK31/Inputs!$F$248,0)</f>
        <v>3.73747591350158</v>
      </c>
      <c r="AL13" s="13" t="n">
        <f aca="false">IF(Time!AL20&gt;=Time!$F$12,Waterfall!AL33*Inputs!$F$104/100*Time!AL31/Inputs!$F$248,0)</f>
        <v>2.37124835321713</v>
      </c>
      <c r="AM13" s="13" t="n">
        <f aca="false">IF(Time!AM20&gt;=Time!$F$12,Waterfall!AM33*Inputs!$F$104/100*Time!AM31/Inputs!$F$248,0)</f>
        <v>1.24818213071797</v>
      </c>
      <c r="AN13" s="13" t="n">
        <f aca="false">IF(Time!AN20&gt;=Time!$F$12,Waterfall!AN33*Inputs!$F$104/100*Time!AN31/Inputs!$F$248,0)</f>
        <v>0.0163087365684867</v>
      </c>
      <c r="AO13" s="13" t="n">
        <f aca="false">IF(Time!AO20&gt;=Time!$F$12,Waterfall!AO33*Inputs!$F$104/100*Time!AO31/Inputs!$F$248,0)</f>
        <v>0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0.66002908123298</v>
      </c>
      <c r="P14" s="3" t="n">
        <f aca="false">IF(Waterfall!P33&gt;0,MIN(1,Inputs!$F$183*(Waterfall!$F$32+MAX(0,Waterfall!O43))/Waterfall!P33),1)</f>
        <v>0.794978038888139</v>
      </c>
      <c r="Q14" s="3" t="n">
        <f aca="false">IF(Waterfall!Q33&gt;0,MIN(1,Inputs!$F$183*(Waterfall!$F$32+MAX(0,Waterfall!P43))/Waterfall!Q33),1)</f>
        <v>0.936092675643636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162.308359041557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2.11352871334296</v>
      </c>
      <c r="P15" s="13" t="n">
        <f aca="false">P13*P14</f>
        <v>7.80062149541656</v>
      </c>
      <c r="Q15" s="13" t="n">
        <f aca="false">Q13*Q14</f>
        <v>8.78623490272262</v>
      </c>
      <c r="R15" s="13" t="n">
        <f aca="false">R13*R14</f>
        <v>9.36256551641639</v>
      </c>
      <c r="S15" s="13" t="n">
        <f aca="false">S13*S14</f>
        <v>8.99322478111513</v>
      </c>
      <c r="T15" s="13" t="n">
        <f aca="false">T13*T14</f>
        <v>8.93308574026617</v>
      </c>
      <c r="U15" s="13" t="n">
        <f aca="false">U13*U14</f>
        <v>8.58534867500075</v>
      </c>
      <c r="V15" s="13" t="n">
        <f aca="false">V13*V14</f>
        <v>8.45203049278102</v>
      </c>
      <c r="W15" s="13" t="n">
        <f aca="false">W13*W14</f>
        <v>8.02365698503331</v>
      </c>
      <c r="X15" s="13" t="n">
        <f aca="false">X13*X14</f>
        <v>7.80055142740512</v>
      </c>
      <c r="Y15" s="13" t="n">
        <f aca="false">Y13*Y14</f>
        <v>7.35397673613765</v>
      </c>
      <c r="Z15" s="13" t="n">
        <f aca="false">Z13*Z14</f>
        <v>7.16380313540271</v>
      </c>
      <c r="AA15" s="13" t="n">
        <f aca="false">AA13*AA14</f>
        <v>6.68847663746366</v>
      </c>
      <c r="AB15" s="13" t="n">
        <f aca="false">AB13*AB14</f>
        <v>6.7847993746001</v>
      </c>
      <c r="AC15" s="13" t="n">
        <f aca="false">AC13*AC14</f>
        <v>6.64198774469886</v>
      </c>
      <c r="AD15" s="13" t="n">
        <f aca="false">AD13*AD14</f>
        <v>6.65146855091653</v>
      </c>
      <c r="AE15" s="13" t="n">
        <f aca="false">AE13*AE14</f>
        <v>6.40251445603</v>
      </c>
      <c r="AF15" s="13" t="n">
        <f aca="false">AF13*AF14</f>
        <v>6.32704278593966</v>
      </c>
      <c r="AG15" s="13" t="n">
        <f aca="false">AG13*AG14</f>
        <v>5.98776303364947</v>
      </c>
      <c r="AH15" s="13" t="n">
        <f aca="false">AH13*AH14</f>
        <v>5.79742200632369</v>
      </c>
      <c r="AI15" s="13" t="n">
        <f aca="false">AI13*AI14</f>
        <v>5.32904961630676</v>
      </c>
      <c r="AJ15" s="13" t="n">
        <f aca="false">AJ13*AJ14</f>
        <v>4.95599110058318</v>
      </c>
      <c r="AK15" s="13" t="n">
        <f aca="false">AK13*AK14</f>
        <v>3.73747591350158</v>
      </c>
      <c r="AL15" s="13" t="n">
        <f aca="false">AL13*AL14</f>
        <v>2.37124835321713</v>
      </c>
      <c r="AM15" s="13" t="n">
        <f aca="false">AM13*AM14</f>
        <v>1.24818213071797</v>
      </c>
      <c r="AN15" s="13" t="n">
        <f aca="false">AN13*AN14</f>
        <v>0.0163087365684867</v>
      </c>
      <c r="AO15" s="13" t="n">
        <f aca="false">AO13*AO14</f>
        <v>0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310.417459562186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21.7603524453945</v>
      </c>
      <c r="Q16" s="13" t="n">
        <f aca="false">Debt!Q112+Debt!Q110+Debt!Q104-Debt!Q103</f>
        <v>21.0157645471025</v>
      </c>
      <c r="R16" s="13" t="n">
        <f aca="false">Debt!R112+Debt!R110+Debt!R104-Debt!R103</f>
        <v>20.6881980456662</v>
      </c>
      <c r="S16" s="13" t="n">
        <f aca="false">Debt!S112+Debt!S110+Debt!S104-Debt!S103</f>
        <v>19.8973448415776</v>
      </c>
      <c r="T16" s="13" t="n">
        <f aca="false">Debt!T112+Debt!T110+Debt!T104-Debt!T103</f>
        <v>19.5129745504922</v>
      </c>
      <c r="U16" s="13" t="n">
        <f aca="false">Debt!U112+Debt!U110+Debt!U104-Debt!U103</f>
        <v>18.7505200254826</v>
      </c>
      <c r="V16" s="13" t="n">
        <f aca="false">Debt!V112+Debt!V110+Debt!V104-Debt!V103</f>
        <v>18.2379191979826</v>
      </c>
      <c r="W16" s="13" t="n">
        <f aca="false">Debt!W112+Debt!W110+Debt!W104-Debt!W103</f>
        <v>17.3600152776501</v>
      </c>
      <c r="X16" s="13" t="n">
        <f aca="false">Debt!X112+Debt!X110+Debt!X104-Debt!X103</f>
        <v>16.8371573082417</v>
      </c>
      <c r="Y16" s="13" t="n">
        <f aca="false">Debt!Y112+Debt!Y110+Debt!Y104-Debt!Y103</f>
        <v>16.4712467719445</v>
      </c>
      <c r="Z16" s="13" t="n">
        <f aca="false">Debt!Z112+Debt!Z110+Debt!Z104-Debt!Z103</f>
        <v>15.9393335251597</v>
      </c>
      <c r="AA16" s="13" t="n">
        <f aca="false">Debt!AA112+Debt!AA110+Debt!AA104-Debt!AA103</f>
        <v>15.0311256419707</v>
      </c>
      <c r="AB16" s="13" t="n">
        <f aca="false">Debt!AB112+Debt!AB110+Debt!AB104-Debt!AB103</f>
        <v>14.0891141646944</v>
      </c>
      <c r="AC16" s="13" t="n">
        <f aca="false">Debt!AC112+Debt!AC110+Debt!AC104-Debt!AC103</f>
        <v>12.811789607326</v>
      </c>
      <c r="AD16" s="13" t="n">
        <f aca="false">Debt!AD112+Debt!AD110+Debt!AD104-Debt!AD103</f>
        <v>11.7286245902393</v>
      </c>
      <c r="AE16" s="13" t="n">
        <f aca="false">Debt!AE112+Debt!AE110+Debt!AE104-Debt!AE103</f>
        <v>10.3227320084191</v>
      </c>
      <c r="AF16" s="13" t="n">
        <f aca="false">Debt!AF112+Debt!AF110+Debt!AF104-Debt!AF103</f>
        <v>9.10232935144276</v>
      </c>
      <c r="AG16" s="13" t="n">
        <f aca="false">Debt!AG112+Debt!AG110+Debt!AG104-Debt!AG103</f>
        <v>7.83450404403355</v>
      </c>
      <c r="AH16" s="13" t="n">
        <f aca="false">Debt!AH112+Debt!AH110+Debt!AH104-Debt!AH103</f>
        <v>6.49748269379548</v>
      </c>
      <c r="AI16" s="13" t="n">
        <f aca="false">Debt!AI112+Debt!AI110+Debt!AI104-Debt!AI103</f>
        <v>4.99143547974865</v>
      </c>
      <c r="AJ16" s="13" t="n">
        <f aca="false">Debt!AJ112+Debt!AJ110+Debt!AJ104-Debt!AJ103</f>
        <v>3.57371791342899</v>
      </c>
      <c r="AK16" s="13" t="n">
        <f aca="false">Debt!AK112+Debt!AK110+Debt!AK104-Debt!AK103</f>
        <v>2.71736082094727</v>
      </c>
      <c r="AL16" s="13" t="n">
        <f aca="false">Debt!AL112+Debt!AL110+Debt!AL104-Debt!AL103</f>
        <v>2.17458076501893</v>
      </c>
      <c r="AM16" s="13" t="n">
        <f aca="false">Debt!AM112+Debt!AM110+Debt!AM104-Debt!AM103</f>
        <v>1.58185601121652</v>
      </c>
      <c r="AN16" s="13" t="n">
        <f aca="false">Debt!AN112+Debt!AN110+Debt!AN104-Debt!AN103</f>
        <v>0.992516802584245</v>
      </c>
      <c r="AO16" s="13" t="n">
        <f aca="false">Debt!AO112+Debt!AO110+Debt!AO104-Debt!AO103</f>
        <v>0.497463130625897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1528.46224274368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3.08757417690581</v>
      </c>
      <c r="Z18" s="13" t="n">
        <f aca="false">(Operations!Z84-Z16-Z15)*Z17-Z12</f>
        <v>10.3414505213884</v>
      </c>
      <c r="AA18" s="13" t="n">
        <f aca="false">(Operations!AA84-AA16-AA15)*AA17-AA12</f>
        <v>11.9133945107297</v>
      </c>
      <c r="AB18" s="13" t="n">
        <f aca="false">(Operations!AB84-AB16-AB15)*AB17-AB12</f>
        <v>13.2066904904593</v>
      </c>
      <c r="AC18" s="13" t="n">
        <f aca="false">(Operations!AC84-AC16-AC15)*AC17-AC12</f>
        <v>14.6778361886132</v>
      </c>
      <c r="AD18" s="13" t="n">
        <f aca="false">(Operations!AD84-AD16-AD15)*AD17-AD12</f>
        <v>3.91429557941779</v>
      </c>
      <c r="AE18" s="13" t="n">
        <f aca="false">(Operations!AE84-AE16-AE15)*AE17-AE12</f>
        <v>17.7773189575675</v>
      </c>
      <c r="AF18" s="13" t="n">
        <f aca="false">(Operations!AF84-AF16-AF15)*AF17-AF12</f>
        <v>19.5307726091994</v>
      </c>
      <c r="AG18" s="13" t="n">
        <f aca="false">(Operations!AG84-AG16-AG15)*AG17-AG12</f>
        <v>21.499668893981</v>
      </c>
      <c r="AH18" s="13" t="n">
        <f aca="false">(Operations!AH84-AH16-AH15)*AH17-AH12</f>
        <v>23.4467910829466</v>
      </c>
      <c r="AI18" s="13" t="n">
        <f aca="false">(Operations!AI84-AI16-AI15)*AI17-AI12</f>
        <v>25.7383262305832</v>
      </c>
      <c r="AJ18" s="13" t="n">
        <f aca="false">(Operations!AJ84-AJ16-AJ15)*AJ17-AJ12</f>
        <v>27.8160958707388</v>
      </c>
      <c r="AK18" s="13" t="n">
        <f aca="false">(Operations!AK84-AK16-AK15)*AK17-AK12</f>
        <v>30.2425646309915</v>
      </c>
      <c r="AL18" s="13" t="n">
        <f aca="false">(Operations!AL84-AL16-AL15)*AL17-AL12</f>
        <v>29.0823238531129</v>
      </c>
      <c r="AM18" s="13" t="n">
        <f aca="false">(Operations!AM84-AM16-AM15)*AM17-AM12</f>
        <v>34.5317051266158</v>
      </c>
      <c r="AN18" s="13" t="n">
        <f aca="false">(Operations!AN84-AN16-AN15)*AN17-AN12</f>
        <v>36.6079787908978</v>
      </c>
      <c r="AO18" s="13" t="n">
        <f aca="false">(Operations!AO84-AO16-AO15)*AO17-AO12</f>
        <v>37.4777678314677</v>
      </c>
      <c r="AP18" s="13" t="n">
        <f aca="false">(Operations!AP84-AP16-AP15)*AP17-AP12</f>
        <v>38.595322739468</v>
      </c>
      <c r="AQ18" s="13" t="n">
        <f aca="false">(Operations!AQ84-AQ16-AQ15)*AQ17-AQ12</f>
        <v>38.8333441787832</v>
      </c>
      <c r="AR18" s="13" t="n">
        <f aca="false">(Operations!AR84-AR16-AR15)*AR17-AR12</f>
        <v>39.1502762693241</v>
      </c>
      <c r="AS18" s="13" t="n">
        <f aca="false">(Operations!AS84-AS16-AS15)*AS17-AS12</f>
        <v>39.6042344074816</v>
      </c>
      <c r="AT18" s="13" t="n">
        <f aca="false">(Operations!AT84-AT16-AT15)*AT17-AT12</f>
        <v>23.9564701405418</v>
      </c>
      <c r="AU18" s="13" t="n">
        <f aca="false">(Operations!AU84-AU16-AU15)*AU17-AU12</f>
        <v>40.0657567361702</v>
      </c>
      <c r="AV18" s="13" t="n">
        <f aca="false">(Operations!AV84-AV16-AV15)*AV17-AV12</f>
        <v>40.8281161193593</v>
      </c>
      <c r="AW18" s="13" t="n">
        <f aca="false">(Operations!AW84-AW16-AW15)*AW17-AW12</f>
        <v>41.2704249150537</v>
      </c>
      <c r="AX18" s="13" t="n">
        <f aca="false">(Operations!AX84-AX16-AX15)*AX17-AX12</f>
        <v>41.872112627763</v>
      </c>
      <c r="AY18" s="13" t="n">
        <f aca="false">(Operations!AY84-AY16-AY15)*AY17-AY12</f>
        <v>42.1954619411118</v>
      </c>
      <c r="AZ18" s="13" t="n">
        <f aca="false">(Operations!AZ84-AZ16-AZ15)*AZ17-AZ12</f>
        <v>42.6991655268327</v>
      </c>
      <c r="BA18" s="13" t="n">
        <f aca="false">(Operations!BA84-BA16-BA15)*BA17-BA12</f>
        <v>43.2156414653856</v>
      </c>
      <c r="BB18" s="13" t="n">
        <f aca="false">(Operations!BB84-BB16-BB15)*BB17-BB12</f>
        <v>40.0668827762377</v>
      </c>
      <c r="BC18" s="13" t="n">
        <f aca="false">(Operations!BC84-BC16-BC15)*BC17-BC12</f>
        <v>50.6629720655033</v>
      </c>
      <c r="BD18" s="13" t="n">
        <f aca="false">(Operations!BD84-BD16-BD15)*BD17-BD12</f>
        <v>64.0082588349423</v>
      </c>
      <c r="BE18" s="13" t="n">
        <f aca="false">(Operations!BE84-BE16-BE15)*BE17-BE12</f>
        <v>64.5799284076786</v>
      </c>
      <c r="BF18" s="13" t="n">
        <f aca="false">(Operations!BF84-BF16-BF15)*BF17-BF12</f>
        <v>65.1332225605883</v>
      </c>
      <c r="BG18" s="13" t="n">
        <f aca="false">(Operations!BG84-BG16-BG15)*BG17-BG12</f>
        <v>65.7388864123809</v>
      </c>
      <c r="BH18" s="13" t="n">
        <f aca="false">(Operations!BH84-BH16-BH15)*BH17-BH12</f>
        <v>66.332220023418</v>
      </c>
      <c r="BI18" s="13" t="n">
        <f aca="false">(Operations!BI84-BI16-BI15)*BI17-BI12</f>
        <v>66.951339321788</v>
      </c>
      <c r="BJ18" s="13" t="n">
        <f aca="false">(Operations!BJ84-BJ16-BJ15)*BJ17-BJ12</f>
        <v>48.0594526231798</v>
      </c>
      <c r="BK18" s="13" t="n">
        <f aca="false">(Operations!BK84-BK16-BK15)*BK17-BK12</f>
        <v>67.5005030733712</v>
      </c>
      <c r="BL18" s="13" t="n">
        <f aca="false">(Operations!BL84-BL16-BL15)*BL17-BL12</f>
        <v>68.9071504645747</v>
      </c>
      <c r="BM18" s="13" t="n">
        <f aca="false">(Operations!BM84-BM16-BM15)*BM17-BM12</f>
        <v>27.3425437671291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225.943870997249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3.08757417690581</v>
      </c>
      <c r="Z20" s="13" t="n">
        <f aca="false">MIN(Y21,MAX(0,Z18-Z19))</f>
        <v>10.3414505213884</v>
      </c>
      <c r="AA20" s="13" t="n">
        <f aca="false">MIN(Z21,MAX(0,AA18-AA19))</f>
        <v>11.9133945107297</v>
      </c>
      <c r="AB20" s="13" t="n">
        <f aca="false">MIN(AA21,MAX(0,AB18-AB19))</f>
        <v>13.2066904904593</v>
      </c>
      <c r="AC20" s="13" t="n">
        <f aca="false">MIN(AB21,MAX(0,AC18-AC19))</f>
        <v>14.6778361886132</v>
      </c>
      <c r="AD20" s="13" t="n">
        <f aca="false">MIN(AC21,MAX(0,AD18-AD19))</f>
        <v>3.91429557941779</v>
      </c>
      <c r="AE20" s="13" t="n">
        <f aca="false">MIN(AD21,MAX(0,AE18-AE19))</f>
        <v>17.7773189575675</v>
      </c>
      <c r="AF20" s="13" t="n">
        <f aca="false">MIN(AE21,MAX(0,AF18-AF19))</f>
        <v>19.5307726091994</v>
      </c>
      <c r="AG20" s="13" t="n">
        <f aca="false">MIN(AF21,MAX(0,AG18-AG19))</f>
        <v>21.499668893981</v>
      </c>
      <c r="AH20" s="13" t="n">
        <f aca="false">MIN(AG21,MAX(0,AH18-AH19))</f>
        <v>23.4467910829466</v>
      </c>
      <c r="AI20" s="13" t="n">
        <f aca="false">MIN(AH21,MAX(0,AI18-AI19))</f>
        <v>25.7383262305832</v>
      </c>
      <c r="AJ20" s="13" t="n">
        <f aca="false">MIN(AI21,MAX(0,AJ18-AJ19))</f>
        <v>27.8160958707388</v>
      </c>
      <c r="AK20" s="13" t="n">
        <f aca="false">MIN(AJ21,MAX(0,AK18-AK19))</f>
        <v>30.2425646309915</v>
      </c>
      <c r="AL20" s="13" t="n">
        <f aca="false">MIN(AK21,MAX(0,AL18-AL19))</f>
        <v>2.75109125372724</v>
      </c>
      <c r="AM20" s="13" t="n">
        <f aca="false">MIN(AL21,MAX(0,AM18-AM19))</f>
        <v>0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7.53146236657498</v>
      </c>
      <c r="P21" s="13" t="n">
        <f aca="false">O21+P11-P20</f>
        <v>30.1258494662999</v>
      </c>
      <c r="Q21" s="13" t="n">
        <f aca="false">P21+Q11-Q20</f>
        <v>52.7202365660249</v>
      </c>
      <c r="R21" s="13" t="n">
        <f aca="false">Q21+R11-R20</f>
        <v>75.3146236657498</v>
      </c>
      <c r="S21" s="13" t="n">
        <f aca="false">R21+S11-S20</f>
        <v>97.9090107654748</v>
      </c>
      <c r="T21" s="13" t="n">
        <f aca="false">S21+T11-T20</f>
        <v>120.5033978652</v>
      </c>
      <c r="U21" s="13" t="n">
        <f aca="false">T21+U11-U20</f>
        <v>143.097784964925</v>
      </c>
      <c r="V21" s="13" t="n">
        <f aca="false">U21+V11-V20</f>
        <v>165.69217206465</v>
      </c>
      <c r="W21" s="13" t="n">
        <f aca="false">V21+W11-W20</f>
        <v>188.286559164375</v>
      </c>
      <c r="X21" s="13" t="n">
        <f aca="false">W21+X11-X20</f>
        <v>210.880946264099</v>
      </c>
      <c r="Y21" s="13" t="n">
        <f aca="false">X21+Y11-Y20</f>
        <v>222.856296820344</v>
      </c>
      <c r="Z21" s="13" t="n">
        <f aca="false">Y21+Z11-Z20</f>
        <v>212.514846298955</v>
      </c>
      <c r="AA21" s="13" t="n">
        <f aca="false">Z21+AA11-AA20</f>
        <v>200.601451788226</v>
      </c>
      <c r="AB21" s="13" t="n">
        <f aca="false">AA21+AB11-AB20</f>
        <v>187.394761297766</v>
      </c>
      <c r="AC21" s="13" t="n">
        <f aca="false">AB21+AC11-AC20</f>
        <v>172.716925109153</v>
      </c>
      <c r="AD21" s="13" t="n">
        <f aca="false">AC21+AD11-AD20</f>
        <v>168.802629529735</v>
      </c>
      <c r="AE21" s="13" t="n">
        <f aca="false">AD21+AE11-AE20</f>
        <v>151.025310572168</v>
      </c>
      <c r="AF21" s="13" t="n">
        <f aca="false">AE21+AF11-AF20</f>
        <v>131.494537962968</v>
      </c>
      <c r="AG21" s="13" t="n">
        <f aca="false">AF21+AG11-AG20</f>
        <v>109.994869068987</v>
      </c>
      <c r="AH21" s="13" t="n">
        <f aca="false">AG21+AH11-AH20</f>
        <v>86.5480779860408</v>
      </c>
      <c r="AI21" s="13" t="n">
        <f aca="false">AH21+AI11-AI20</f>
        <v>60.8097517554576</v>
      </c>
      <c r="AJ21" s="13" t="n">
        <f aca="false">AI21+AJ11-AJ20</f>
        <v>32.9936558847188</v>
      </c>
      <c r="AK21" s="13" t="n">
        <f aca="false">AJ21+AK11-AK20</f>
        <v>2.75109125372724</v>
      </c>
      <c r="AL21" s="13" t="n">
        <f aca="false">AK21+AL11-AL20</f>
        <v>0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1302.51837174643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26.3312325993857</v>
      </c>
      <c r="AM23" s="13" t="n">
        <f aca="false">MAX(0,AM18-AM19-AM20)</f>
        <v>34.5317051266158</v>
      </c>
      <c r="AN23" s="13" t="n">
        <f aca="false">MAX(0,AN18-AN19-AN20)</f>
        <v>36.6079787908978</v>
      </c>
      <c r="AO23" s="13" t="n">
        <f aca="false">MAX(0,AO18-AO19-AO20)</f>
        <v>37.4777678314677</v>
      </c>
      <c r="AP23" s="13" t="n">
        <f aca="false">MAX(0,AP18-AP19-AP20)</f>
        <v>38.595322739468</v>
      </c>
      <c r="AQ23" s="13" t="n">
        <f aca="false">MAX(0,AQ18-AQ19-AQ20)</f>
        <v>38.8333441787832</v>
      </c>
      <c r="AR23" s="13" t="n">
        <f aca="false">MAX(0,AR18-AR19-AR20)</f>
        <v>39.1502762693241</v>
      </c>
      <c r="AS23" s="13" t="n">
        <f aca="false">MAX(0,AS18-AS19-AS20)</f>
        <v>39.6042344074816</v>
      </c>
      <c r="AT23" s="13" t="n">
        <f aca="false">MAX(0,AT18-AT19-AT20)</f>
        <v>23.9564701405418</v>
      </c>
      <c r="AU23" s="13" t="n">
        <f aca="false">MAX(0,AU18-AU19-AU20)</f>
        <v>40.0657567361702</v>
      </c>
      <c r="AV23" s="13" t="n">
        <f aca="false">MAX(0,AV18-AV19-AV20)</f>
        <v>40.8281161193593</v>
      </c>
      <c r="AW23" s="13" t="n">
        <f aca="false">MAX(0,AW18-AW19-AW20)</f>
        <v>41.2704249150537</v>
      </c>
      <c r="AX23" s="13" t="n">
        <f aca="false">MAX(0,AX18-AX19-AX20)</f>
        <v>41.872112627763</v>
      </c>
      <c r="AY23" s="13" t="n">
        <f aca="false">MAX(0,AY18-AY19-AY20)</f>
        <v>42.1954619411118</v>
      </c>
      <c r="AZ23" s="13" t="n">
        <f aca="false">MAX(0,AZ18-AZ19-AZ20)</f>
        <v>42.6991655268327</v>
      </c>
      <c r="BA23" s="13" t="n">
        <f aca="false">MAX(0,BA18-BA19-BA20)</f>
        <v>43.2156414653856</v>
      </c>
      <c r="BB23" s="13" t="n">
        <f aca="false">MAX(0,BB18-BB19-BB20)</f>
        <v>40.0668827762377</v>
      </c>
      <c r="BC23" s="13" t="n">
        <f aca="false">MAX(0,BC18-BC19-BC20)</f>
        <v>50.6629720655033</v>
      </c>
      <c r="BD23" s="13" t="n">
        <f aca="false">MAX(0,BD18-BD19-BD20)</f>
        <v>64.0082588349423</v>
      </c>
      <c r="BE23" s="13" t="n">
        <f aca="false">MAX(0,BE18-BE19-BE20)</f>
        <v>64.5799284076786</v>
      </c>
      <c r="BF23" s="13" t="n">
        <f aca="false">MAX(0,BF18-BF19-BF20)</f>
        <v>65.1332225605883</v>
      </c>
      <c r="BG23" s="13" t="n">
        <f aca="false">MAX(0,BG18-BG19-BG20)</f>
        <v>65.7388864123809</v>
      </c>
      <c r="BH23" s="13" t="n">
        <f aca="false">MAX(0,BH18-BH19-BH20)</f>
        <v>66.332220023418</v>
      </c>
      <c r="BI23" s="13" t="n">
        <f aca="false">MAX(0,BI18-BI19-BI20)</f>
        <v>66.951339321788</v>
      </c>
      <c r="BJ23" s="13" t="n">
        <f aca="false">MAX(0,BJ18-BJ19-BJ20)</f>
        <v>48.0594526231798</v>
      </c>
      <c r="BK23" s="13" t="n">
        <f aca="false">MAX(0,BK18-BK19-BK20)</f>
        <v>67.5005030733712</v>
      </c>
      <c r="BL23" s="13" t="n">
        <f aca="false">MAX(0,BL18-BL19-BL20)</f>
        <v>68.9071504645747</v>
      </c>
      <c r="BM23" s="13" t="n">
        <f aca="false">MAX(0,BM18-BM19-BM20)</f>
        <v>27.3425437671291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390.75551152393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7.89936977981571</v>
      </c>
      <c r="AM25" s="13" t="n">
        <f aca="false">AM23*AM24</f>
        <v>10.3595115379847</v>
      </c>
      <c r="AN25" s="13" t="n">
        <f aca="false">AN23*AN24</f>
        <v>10.9823936372694</v>
      </c>
      <c r="AO25" s="13" t="n">
        <f aca="false">AO23*AO24</f>
        <v>11.2433303494403</v>
      </c>
      <c r="AP25" s="13" t="n">
        <f aca="false">AP23*AP24</f>
        <v>11.5785968218404</v>
      </c>
      <c r="AQ25" s="13" t="n">
        <f aca="false">AQ23*AQ24</f>
        <v>11.650003253635</v>
      </c>
      <c r="AR25" s="13" t="n">
        <f aca="false">AR23*AR24</f>
        <v>11.7450828807972</v>
      </c>
      <c r="AS25" s="13" t="n">
        <f aca="false">AS23*AS24</f>
        <v>11.8812703222445</v>
      </c>
      <c r="AT25" s="13" t="n">
        <f aca="false">AT23*AT24</f>
        <v>7.18694104216255</v>
      </c>
      <c r="AU25" s="13" t="n">
        <f aca="false">AU23*AU24</f>
        <v>12.0197270208511</v>
      </c>
      <c r="AV25" s="13" t="n">
        <f aca="false">AV23*AV24</f>
        <v>12.2484348358078</v>
      </c>
      <c r="AW25" s="13" t="n">
        <f aca="false">AW23*AW24</f>
        <v>12.3811274745161</v>
      </c>
      <c r="AX25" s="13" t="n">
        <f aca="false">AX23*AX24</f>
        <v>12.5616337883289</v>
      </c>
      <c r="AY25" s="13" t="n">
        <f aca="false">AY23*AY24</f>
        <v>12.6586385823335</v>
      </c>
      <c r="AZ25" s="13" t="n">
        <f aca="false">AZ23*AZ24</f>
        <v>12.8097496580498</v>
      </c>
      <c r="BA25" s="13" t="n">
        <f aca="false">BA23*BA24</f>
        <v>12.9646924396157</v>
      </c>
      <c r="BB25" s="13" t="n">
        <f aca="false">BB23*BB24</f>
        <v>12.0200648328713</v>
      </c>
      <c r="BC25" s="13" t="n">
        <f aca="false">BC23*BC24</f>
        <v>15.198891619651</v>
      </c>
      <c r="BD25" s="13" t="n">
        <f aca="false">BD23*BD24</f>
        <v>19.2024776504827</v>
      </c>
      <c r="BE25" s="13" t="n">
        <f aca="false">BE23*BE24</f>
        <v>19.3739785223036</v>
      </c>
      <c r="BF25" s="13" t="n">
        <f aca="false">BF23*BF24</f>
        <v>19.5399667681765</v>
      </c>
      <c r="BG25" s="13" t="n">
        <f aca="false">BG23*BG24</f>
        <v>19.7216659237143</v>
      </c>
      <c r="BH25" s="13" t="n">
        <f aca="false">BH23*BH24</f>
        <v>19.8996660070254</v>
      </c>
      <c r="BI25" s="13" t="n">
        <f aca="false">BI23*BI24</f>
        <v>20.0854017965364</v>
      </c>
      <c r="BJ25" s="13" t="n">
        <f aca="false">BJ23*BJ24</f>
        <v>14.4178357869539</v>
      </c>
      <c r="BK25" s="13" t="n">
        <f aca="false">BK23*BK24</f>
        <v>20.2501509220114</v>
      </c>
      <c r="BL25" s="13" t="n">
        <f aca="false">BL23*BL24</f>
        <v>20.6721451393724</v>
      </c>
      <c r="BM25" s="13" t="n">
        <f aca="false">BM23*BM24</f>
        <v>8.20276313013872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18.12256433228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0.123335893083213</v>
      </c>
      <c r="Z26" s="13" t="n">
        <f aca="false">IF(Time!Z30&gt;0,Inputs!$F$176/100*Operations!Z55*(Z8+Z9)/Time!Z30,0)</f>
        <v>0.371508367910274</v>
      </c>
      <c r="AA26" s="13" t="n">
        <f aca="false">IF(Time!AA30&gt;0,Inputs!$F$176/100*Operations!AA55*(AA8+AA9)/Time!AA30,0)</f>
        <v>0.375511972223142</v>
      </c>
      <c r="AB26" s="13" t="n">
        <f aca="false">IF(Time!AB30&gt;0,Inputs!$F$176/100*Operations!AB55*(AB8+AB9)/Time!AB30,0)</f>
        <v>0.380662137321894</v>
      </c>
      <c r="AC26" s="13" t="n">
        <f aca="false">IF(Time!AC30&gt;0,Inputs!$F$176/100*Operations!AC55*(AC8+AC9)/Time!AC30,0)</f>
        <v>0.382309249125701</v>
      </c>
      <c r="AD26" s="13" t="n">
        <f aca="false">IF(Time!AD30&gt;0,Inputs!$F$176/100*Operations!AD55*(AD8+AD9)/Time!AD30,0)</f>
        <v>0.379962995385101</v>
      </c>
      <c r="AE26" s="13" t="n">
        <f aca="false">IF(Time!AE30&gt;0,Inputs!$F$176/100*Operations!AE55*(AE8+AE9)/Time!AE30,0)</f>
        <v>0.383765014067833</v>
      </c>
      <c r="AF26" s="13" t="n">
        <f aca="false">IF(Time!AF30&gt;0,Inputs!$F$176/100*Operations!AF55*(AF8+AF9)/Time!AF30,0)</f>
        <v>0.388206702701282</v>
      </c>
      <c r="AG26" s="13" t="n">
        <f aca="false">IF(Time!AG30&gt;0,Inputs!$F$176/100*Operations!AG55*(AG8+AG9)/Time!AG30,0)</f>
        <v>0.392032297593501</v>
      </c>
      <c r="AH26" s="13" t="n">
        <f aca="false">IF(Time!AH30&gt;0,Inputs!$F$176/100*Operations!AH55*(AH8+AH9)/Time!AH30,0)</f>
        <v>0.396337992631786</v>
      </c>
      <c r="AI26" s="13" t="n">
        <f aca="false">IF(Time!AI30&gt;0,Inputs!$F$176/100*Operations!AI55*(AI8+AI9)/Time!AI30,0)</f>
        <v>0.400268143401087</v>
      </c>
      <c r="AJ26" s="13" t="n">
        <f aca="false">IF(Time!AJ30&gt;0,Inputs!$F$176/100*Operations!AJ55*(AJ8+AJ9)/Time!AJ30,0)</f>
        <v>0.404475203422554</v>
      </c>
      <c r="AK26" s="13" t="n">
        <f aca="false">IF(Time!AK30&gt;0,Inputs!$F$176/100*Operations!AK55*(AK8+AK9)/Time!AK30,0)</f>
        <v>0.407959591701646</v>
      </c>
      <c r="AL26" s="13" t="n">
        <f aca="false">IF(Time!AL30&gt;0,Inputs!$F$176/100*Operations!AL55*(AL8+AL9)/Time!AL30,0)</f>
        <v>0.408861552046586</v>
      </c>
      <c r="AM26" s="13" t="n">
        <f aca="false">IF(Time!AM30&gt;0,Inputs!$F$176/100*Operations!AM55*(AM8+AM9)/Time!AM30,0)</f>
        <v>0.416249043223417</v>
      </c>
      <c r="AN26" s="13" t="n">
        <f aca="false">IF(Time!AN30&gt;0,Inputs!$F$176/100*Operations!AN55*(AN8+AN9)/Time!AN30,0)</f>
        <v>0.422576504208527</v>
      </c>
      <c r="AO26" s="13" t="n">
        <f aca="false">IF(Time!AO30&gt;0,Inputs!$F$176/100*Operations!AO55*(AO8+AO9)/Time!AO30,0)</f>
        <v>0.42769555669142</v>
      </c>
      <c r="AP26" s="13" t="n">
        <f aca="false">IF(Time!AP30&gt;0,Inputs!$F$176/100*Operations!AP55*(AP8+AP9)/Time!AP30,0)</f>
        <v>0.433778359608105</v>
      </c>
      <c r="AQ26" s="13" t="n">
        <f aca="false">IF(Time!AQ30&gt;0,Inputs!$F$176/100*Operations!AQ55*(AQ8+AQ9)/Time!AQ30,0)</f>
        <v>0.437363563159854</v>
      </c>
      <c r="AR26" s="13" t="n">
        <f aca="false">IF(Time!AR30&gt;0,Inputs!$F$176/100*Operations!AR55*(AR8+AR9)/Time!AR30,0)</f>
        <v>0.439969008154479</v>
      </c>
      <c r="AS26" s="13" t="n">
        <f aca="false">IF(Time!AS30&gt;0,Inputs!$F$176/100*Operations!AS55*(AS8+AS9)/Time!AS30,0)</f>
        <v>0.443353765172643</v>
      </c>
      <c r="AT26" s="13" t="n">
        <f aca="false">IF(Time!AT30&gt;0,Inputs!$F$176/100*Operations!AT55*(AT8+AT9)/Time!AT30,0)</f>
        <v>0.4360387057732</v>
      </c>
      <c r="AU26" s="13" t="n">
        <f aca="false">IF(Time!AU30&gt;0,Inputs!$F$176/100*Operations!AU55*(AU8+AU9)/Time!AU30,0)</f>
        <v>0.449726802784958</v>
      </c>
      <c r="AV26" s="13" t="n">
        <f aca="false">IF(Time!AV30&gt;0,Inputs!$F$176/100*Operations!AV55*(AV8+AV9)/Time!AV30,0)</f>
        <v>0.459885686490599</v>
      </c>
      <c r="AW26" s="13" t="n">
        <f aca="false">IF(Time!AW30&gt;0,Inputs!$F$176/100*Operations!AW55*(AW8+AW9)/Time!AW30,0)</f>
        <v>0.466171820321765</v>
      </c>
      <c r="AX26" s="13" t="n">
        <f aca="false">IF(Time!AX30&gt;0,Inputs!$F$176/100*Operations!AX55*(AX8+AX9)/Time!AX30,0)</f>
        <v>0.473592876392198</v>
      </c>
      <c r="AY26" s="13" t="n">
        <f aca="false">IF(Time!AY30&gt;0,Inputs!$F$176/100*Operations!AY55*(AY8+AY9)/Time!AY30,0)</f>
        <v>0.478097675518874</v>
      </c>
      <c r="AZ26" s="13" t="n">
        <f aca="false">IF(Time!AZ30&gt;0,Inputs!$F$176/100*Operations!AZ55*(AZ8+AZ9)/Time!AZ30,0)</f>
        <v>0.481435647039983</v>
      </c>
      <c r="BA26" s="13" t="n">
        <f aca="false">IF(Time!BA30&gt;0,Inputs!$F$176/100*Operations!BA55*(BA8+BA9)/Time!BA30,0)</f>
        <v>0.486726476693606</v>
      </c>
      <c r="BB26" s="13" t="n">
        <f aca="false">IF(Time!BB30&gt;0,Inputs!$F$176/100*Operations!BB55*(BB8+BB9)/Time!BB30,0)</f>
        <v>0.490864226150228</v>
      </c>
      <c r="BC26" s="13" t="n">
        <f aca="false">IF(Time!BC30&gt;0,Inputs!$F$176/100*Operations!BC55*(BC8+BC9)/Time!BC30,0)</f>
        <v>0.498841663581363</v>
      </c>
      <c r="BD26" s="13" t="n">
        <f aca="false">IF(Time!BD30&gt;0,Inputs!$F$176/100*Operations!BD55*(BD8+BD9)/Time!BD30,0)</f>
        <v>0.507620396220574</v>
      </c>
      <c r="BE26" s="13" t="n">
        <f aca="false">IF(Time!BE30&gt;0,Inputs!$F$176/100*Operations!BE55*(BE8+BE9)/Time!BE30,0)</f>
        <v>0.514242427015104</v>
      </c>
      <c r="BF26" s="13" t="n">
        <f aca="false">IF(Time!BF30&gt;0,Inputs!$F$176/100*Operations!BF55*(BF8+BF9)/Time!BF30,0)</f>
        <v>0.520925695121594</v>
      </c>
      <c r="BG26" s="13" t="n">
        <f aca="false">IF(Time!BG30&gt;0,Inputs!$F$176/100*Operations!BG55*(BG8+BG9)/Time!BG30,0)</f>
        <v>0.528627062787838</v>
      </c>
      <c r="BH26" s="13" t="n">
        <f aca="false">IF(Time!BH30&gt;0,Inputs!$F$176/100*Operations!BH55*(BH8+BH9)/Time!BH30,0)</f>
        <v>0.537138851159966</v>
      </c>
      <c r="BI26" s="13" t="n">
        <f aca="false">IF(Time!BI30&gt;0,Inputs!$F$176/100*Operations!BI55*(BI8+BI9)/Time!BI30,0)</f>
        <v>0.542120437627318</v>
      </c>
      <c r="BJ26" s="13" t="n">
        <f aca="false">IF(Time!BJ30&gt;0,Inputs!$F$176/100*Operations!BJ55*(BJ8+BJ9)/Time!BJ30,0)</f>
        <v>0.532318568326015</v>
      </c>
      <c r="BK26" s="13" t="n">
        <f aca="false">IF(Time!BK30&gt;0,Inputs!$F$176/100*Operations!BK55*(BK8+BK9)/Time!BK30,0)</f>
        <v>0.55104064896495</v>
      </c>
      <c r="BL26" s="13" t="n">
        <f aca="false">IF(Time!BL30&gt;0,Inputs!$F$176/100*Operations!BL55*(BL8+BL9)/Time!BL30,0)</f>
        <v>0.567158404610896</v>
      </c>
      <c r="BM26" s="13" t="n">
        <f aca="false">IF(Time!BM30&gt;0,Inputs!$F$176/100*Operations!BM55*(BM8+BM9)/Time!BM30,0)</f>
        <v>0.383807346864971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395.541847084499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0.123335893083213</v>
      </c>
      <c r="Z27" s="13" t="n">
        <f aca="false">MAX(Z25,Z26)</f>
        <v>0.371508367910274</v>
      </c>
      <c r="AA27" s="13" t="n">
        <f aca="false">MAX(AA25,AA26)</f>
        <v>0.375511972223142</v>
      </c>
      <c r="AB27" s="13" t="n">
        <f aca="false">MAX(AB25,AB26)</f>
        <v>0.380662137321894</v>
      </c>
      <c r="AC27" s="13" t="n">
        <f aca="false">MAX(AC25,AC26)</f>
        <v>0.382309249125701</v>
      </c>
      <c r="AD27" s="13" t="n">
        <f aca="false">MAX(AD25,AD26)</f>
        <v>0.379962995385101</v>
      </c>
      <c r="AE27" s="13" t="n">
        <f aca="false">MAX(AE25,AE26)</f>
        <v>0.383765014067833</v>
      </c>
      <c r="AF27" s="13" t="n">
        <f aca="false">MAX(AF25,AF26)</f>
        <v>0.388206702701282</v>
      </c>
      <c r="AG27" s="13" t="n">
        <f aca="false">MAX(AG25,AG26)</f>
        <v>0.392032297593501</v>
      </c>
      <c r="AH27" s="13" t="n">
        <f aca="false">MAX(AH25,AH26)</f>
        <v>0.396337992631786</v>
      </c>
      <c r="AI27" s="13" t="n">
        <f aca="false">MAX(AI25,AI26)</f>
        <v>0.400268143401087</v>
      </c>
      <c r="AJ27" s="13" t="n">
        <f aca="false">MAX(AJ25,AJ26)</f>
        <v>0.404475203422554</v>
      </c>
      <c r="AK27" s="13" t="n">
        <f aca="false">MAX(AK25,AK26)</f>
        <v>0.407959591701646</v>
      </c>
      <c r="AL27" s="13" t="n">
        <f aca="false">MAX(AL25,AL26)</f>
        <v>7.89936977981571</v>
      </c>
      <c r="AM27" s="13" t="n">
        <f aca="false">MAX(AM25,AM26)</f>
        <v>10.3595115379847</v>
      </c>
      <c r="AN27" s="13" t="n">
        <f aca="false">MAX(AN25,AN26)</f>
        <v>10.9823936372694</v>
      </c>
      <c r="AO27" s="13" t="n">
        <f aca="false">MAX(AO25,AO26)</f>
        <v>11.2433303494403</v>
      </c>
      <c r="AP27" s="13" t="n">
        <f aca="false">MAX(AP25,AP26)</f>
        <v>11.5785968218404</v>
      </c>
      <c r="AQ27" s="13" t="n">
        <f aca="false">MAX(AQ25,AQ26)</f>
        <v>11.650003253635</v>
      </c>
      <c r="AR27" s="13" t="n">
        <f aca="false">MAX(AR25,AR26)</f>
        <v>11.7450828807972</v>
      </c>
      <c r="AS27" s="13" t="n">
        <f aca="false">MAX(AS25,AS26)</f>
        <v>11.8812703222445</v>
      </c>
      <c r="AT27" s="13" t="n">
        <f aca="false">MAX(AT25,AT26)</f>
        <v>7.18694104216255</v>
      </c>
      <c r="AU27" s="13" t="n">
        <f aca="false">MAX(AU25,AU26)</f>
        <v>12.0197270208511</v>
      </c>
      <c r="AV27" s="13" t="n">
        <f aca="false">MAX(AV25,AV26)</f>
        <v>12.2484348358078</v>
      </c>
      <c r="AW27" s="13" t="n">
        <f aca="false">MAX(AW25,AW26)</f>
        <v>12.3811274745161</v>
      </c>
      <c r="AX27" s="13" t="n">
        <f aca="false">MAX(AX25,AX26)</f>
        <v>12.5616337883289</v>
      </c>
      <c r="AY27" s="13" t="n">
        <f aca="false">MAX(AY25,AY26)</f>
        <v>12.6586385823335</v>
      </c>
      <c r="AZ27" s="13" t="n">
        <f aca="false">MAX(AZ25,AZ26)</f>
        <v>12.8097496580498</v>
      </c>
      <c r="BA27" s="13" t="n">
        <f aca="false">MAX(BA25,BA26)</f>
        <v>12.9646924396157</v>
      </c>
      <c r="BB27" s="13" t="n">
        <f aca="false">MAX(BB25,BB26)</f>
        <v>12.0200648328713</v>
      </c>
      <c r="BC27" s="13" t="n">
        <f aca="false">MAX(BC25,BC26)</f>
        <v>15.198891619651</v>
      </c>
      <c r="BD27" s="13" t="n">
        <f aca="false">MAX(BD25,BD26)</f>
        <v>19.2024776504827</v>
      </c>
      <c r="BE27" s="13" t="n">
        <f aca="false">MAX(BE25,BE26)</f>
        <v>19.3739785223036</v>
      </c>
      <c r="BF27" s="13" t="n">
        <f aca="false">MAX(BF25,BF26)</f>
        <v>19.5399667681765</v>
      </c>
      <c r="BG27" s="13" t="n">
        <f aca="false">MAX(BG25,BG26)</f>
        <v>19.7216659237143</v>
      </c>
      <c r="BH27" s="13" t="n">
        <f aca="false">MAX(BH25,BH26)</f>
        <v>19.8996660070254</v>
      </c>
      <c r="BI27" s="13" t="n">
        <f aca="false">MAX(BI25,BI26)</f>
        <v>20.0854017965364</v>
      </c>
      <c r="BJ27" s="13" t="n">
        <f aca="false">MAX(BJ25,BJ26)</f>
        <v>14.4178357869539</v>
      </c>
      <c r="BK27" s="13" t="n">
        <f aca="false">MAX(BK25,BK26)</f>
        <v>20.2501509220114</v>
      </c>
      <c r="BL27" s="13" t="n">
        <f aca="false">MAX(BL25,BL26)</f>
        <v>20.6721451393724</v>
      </c>
      <c r="BM27" s="13" t="n">
        <f aca="false">MAX(BM25,BM26)</f>
        <v>8.20276313013872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3.70023735559104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1.08864642323548</v>
      </c>
      <c r="P28" s="13" t="n">
        <f aca="false">P13-P15</f>
        <v>2.01175207194205</v>
      </c>
      <c r="Q28" s="13" t="n">
        <f aca="false">Q13-Q15</f>
        <v>0.599838860413502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1.51028200828273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2.14094841902749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3.447888114512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5.33462188568094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7.68017968577839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10.4078829414158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13.3267189275778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16.3655079159054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19.373819796263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22.25010199188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24.8890521936074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27.2439155508165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29.2288522227223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30.7506539848864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31.8139453375927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32.3334650313538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33.463642001151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31.8336086751034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30.752497165791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29.2479457717375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27.2571143881711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24.9319434914846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22.2314655998307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19.3442794765005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16.3593386952684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13.2931724661255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10.3868544896854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7.63580365808217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5.25360787689943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3.46239363812215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2.04464897703055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49.6774059092732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-0.552508571643367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0.0142300426336132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84.5898820242815</v>
      </c>
      <c r="L22" s="13" t="n">
        <f aca="false">K22+Construction!L14*$F$9/$F$10*(L21+(L19-L20)*K22)</f>
        <v>86.531735700694</v>
      </c>
      <c r="M22" s="13" t="n">
        <f aca="false">L22+Construction!M14*$F$9/$F$10*(M21+(M19-M20)*L22)</f>
        <v>89.4753499941537</v>
      </c>
      <c r="N22" s="13" t="n">
        <f aca="false">M22+Construction!N14*$F$9/$F$10*(N21+(N19-N20)*M22)</f>
        <v>93.8894893720074</v>
      </c>
      <c r="O22" s="13" t="n">
        <f aca="false">N22+Construction!O14*$F$9/$F$10*(O21+(O19-O20)*N22)</f>
        <v>100.139751801253</v>
      </c>
      <c r="P22" s="13" t="n">
        <f aca="false">O22+Construction!P14*$F$9/$F$10*(P21+(P19-P20)*O22)</f>
        <v>108.474304784304</v>
      </c>
      <c r="Q22" s="13" t="n">
        <f aca="false">P22+Construction!Q14*$F$9/$F$10*(Q21+(Q19-Q20)*P22)</f>
        <v>119.119189388657</v>
      </c>
      <c r="R22" s="13" t="n">
        <f aca="false">Q22+Construction!R14*$F$9/$F$10*(R21+(R19-R20)*Q22)</f>
        <v>132.125263402313</v>
      </c>
      <c r="S22" s="13" t="n">
        <f aca="false">R22+Construction!S14*$F$9/$F$10*(S21+(S19-S20)*R22)</f>
        <v>147.506118355127</v>
      </c>
      <c r="T22" s="13" t="n">
        <f aca="false">S22+Construction!T14*$F$9/$F$10*(T21+(T19-T20)*S22)</f>
        <v>165.137310717561</v>
      </c>
      <c r="U22" s="13" t="n">
        <f aca="false">T22+Construction!U14*$F$9/$F$10*(U21+(U19-U20)*T22)</f>
        <v>184.896839449974</v>
      </c>
      <c r="V22" s="13" t="n">
        <f aca="false">U22+Construction!V14*$F$9/$F$10*(V21+(V19-V20)*U22)</f>
        <v>206.541570937397</v>
      </c>
      <c r="W22" s="13" t="n">
        <f aca="false">V22+Construction!W14*$F$9/$F$10*(W21+(W19-W20)*V22)</f>
        <v>229.769017956253</v>
      </c>
      <c r="X22" s="13" t="n">
        <f aca="false">W22+Construction!X14*$F$9/$F$10*(X21+(X19-X20)*W22)</f>
        <v>254.279617260541</v>
      </c>
      <c r="Y22" s="13" t="n">
        <f aca="false">X22+Construction!Y14*$F$9/$F$10*(Y21+(Y19-Y20)*X22)</f>
        <v>279.669424468379</v>
      </c>
      <c r="Z22" s="13" t="n">
        <f aca="false">Y22+Construction!Z14*$F$9/$F$10*(Z21+(Z19-Z20)*Y22)</f>
        <v>305.585888435954</v>
      </c>
      <c r="AA22" s="13" t="n">
        <f aca="false">Z22+Construction!AA14*$F$9/$F$10*(AA21+(AA19-AA20)*Z22)</f>
        <v>332.48624896686</v>
      </c>
      <c r="AB22" s="13" t="n">
        <f aca="false">AA22+Construction!AB14*$F$9/$F$10*(AB21+(AB19-AB20)*AA22)</f>
        <v>358.15443988092</v>
      </c>
      <c r="AC22" s="13" t="n">
        <f aca="false">AB22+Construction!AC14*$F$9/$F$10*(AC21+(AC19-AC20)*AB22)</f>
        <v>383.172621178375</v>
      </c>
      <c r="AD22" s="13" t="n">
        <f aca="false">AC22+Construction!AD14*$F$9/$F$10*(AD21+(AD19-AD20)*AC22)</f>
        <v>407.082805654028</v>
      </c>
      <c r="AE22" s="13" t="n">
        <f aca="false">AD22+Construction!AE14*$F$9/$F$10*(AE21+(AE19-AE20)*AD22)</f>
        <v>429.601919045557</v>
      </c>
      <c r="AF22" s="13" t="n">
        <f aca="false">AE22+Construction!AF14*$F$9/$F$10*(AF21+(AF19-AF20)*AE22)</f>
        <v>450.366807289505</v>
      </c>
      <c r="AG22" s="13" t="n">
        <f aca="false">AF22+Construction!AG14*$F$9/$F$10*(AG21+(AG19-AG20)*AF22)</f>
        <v>469.201167495676</v>
      </c>
      <c r="AH22" s="13" t="n">
        <f aca="false">AG22+Construction!AH14*$F$9/$F$10*(AH21+(AH19-AH20)*AG22)</f>
        <v>485.888867286519</v>
      </c>
      <c r="AI22" s="13" t="n">
        <f aca="false">AH22+Construction!AI14*$F$9/$F$10*(AI21+(AI19-AI20)*AH22)</f>
        <v>500.285766539142</v>
      </c>
      <c r="AJ22" s="13" t="n">
        <f aca="false">AI22+Construction!AJ14*$F$9/$F$10*(AJ21+(AJ19-AJ20)*AI22)</f>
        <v>512.441911305557</v>
      </c>
      <c r="AK22" s="13" t="n">
        <f aca="false">AJ22+Construction!AK14*$F$9/$F$10*(AK21+(AK19-AK20)*AJ22)</f>
        <v>522.346838911047</v>
      </c>
      <c r="AL22" s="13" t="n">
        <f aca="false">AK22+Construction!AL14*$F$9/$F$10*(AL21+(AL19-AL20)*AK22)</f>
        <v>530.239188499107</v>
      </c>
      <c r="AM22" s="13" t="n">
        <f aca="false">AL22+Construction!AM14*$F$9/$F$10*(AM21+(AM19-AM20)*AL22)</f>
        <v>536.341712491803</v>
      </c>
      <c r="AN22" s="13" t="n">
        <f aca="false">AM22+Construction!AN14*$F$9/$F$10*(AN21+(AN19-AN20)*AM22)</f>
        <v>540.888947056528</v>
      </c>
      <c r="AO22" s="13" t="n">
        <f aca="false">AN22+Construction!AO14*$F$9/$F$10*(AO21+(AO19-AO20)*AN22)</f>
        <v>544.565977078253</v>
      </c>
      <c r="AP22" s="13" t="n">
        <f aca="false">AO22+Construction!AP14*$F$9/$F$10*(AP21+(AP19-AP20)*AO22)</f>
        <v>584.807465189599</v>
      </c>
      <c r="AQ22" s="13" t="n">
        <f aca="false">AP22+Construction!AQ14*$F$9/$F$10*(AQ21+(AQ19-AQ20)*AP22)</f>
        <v>586.658818145614</v>
      </c>
      <c r="AR22" s="13" t="n">
        <f aca="false">AQ22+Construction!AR14*$F$9/$F$10*(AR21+(AR19-AR20)*AQ22)</f>
        <v>588.879411785729</v>
      </c>
      <c r="AS22" s="13" t="n">
        <f aca="false">AR22+Construction!AS14*$F$9/$F$10*(AS21+(AS19-AS20)*AR22)</f>
        <v>588.879411785729</v>
      </c>
      <c r="AT22" s="13" t="n">
        <f aca="false">AS22+Construction!AT14*$F$9/$F$10*(AT21+(AT19-AT20)*AS22)</f>
        <v>588.879411785729</v>
      </c>
      <c r="AU22" s="13" t="n">
        <f aca="false">AT22+Construction!AU14*$F$9/$F$10*(AU21+(AU19-AU20)*AT22)</f>
        <v>588.879411785729</v>
      </c>
      <c r="AV22" s="13" t="n">
        <f aca="false">AU22+Construction!AV14*$F$9/$F$10*(AV21+(AV19-AV20)*AU22)</f>
        <v>588.879411785729</v>
      </c>
      <c r="AW22" s="13" t="n">
        <f aca="false">AV22+Construction!AW14*$F$9/$F$10*(AW21+(AW19-AW20)*AV22)</f>
        <v>588.879411785729</v>
      </c>
      <c r="AX22" s="13" t="n">
        <f aca="false">AW22+Construction!AX14*$F$9/$F$10*(AX21+(AX19-AX20)*AW22)</f>
        <v>588.879411785729</v>
      </c>
      <c r="AY22" s="13" t="n">
        <f aca="false">AX22+Construction!AY14*$F$9/$F$10*(AY21+(AY19-AY20)*AX22)</f>
        <v>588.879411785729</v>
      </c>
      <c r="AZ22" s="13" t="n">
        <f aca="false">AY22+Construction!AZ14*$F$9/$F$10*(AZ21+(AZ19-AZ20)*AY22)</f>
        <v>588.879411785729</v>
      </c>
      <c r="BA22" s="13" t="n">
        <f aca="false">AZ22+Construction!BA14*$F$9/$F$10*(BA21+(BA19-BA20)*AZ22)</f>
        <v>588.879411785729</v>
      </c>
      <c r="BB22" s="13" t="n">
        <f aca="false">BA22+Construction!BB14*$F$9/$F$10*(BB21+(BB19-BB20)*BA22)</f>
        <v>588.879411785729</v>
      </c>
      <c r="BC22" s="13" t="n">
        <f aca="false">BB22+Construction!BC14*$F$9/$F$10*(BC21+(BC19-BC20)*BB22)</f>
        <v>588.879411785729</v>
      </c>
      <c r="BD22" s="13" t="n">
        <f aca="false">BC22+Construction!BD14*$F$9/$F$10*(BD21+(BD19-BD20)*BC22)</f>
        <v>588.879411785729</v>
      </c>
      <c r="BE22" s="13" t="n">
        <f aca="false">BD22+Construction!BE14*$F$9/$F$10*(BE21+(BE19-BE20)*BD22)</f>
        <v>588.879411785729</v>
      </c>
      <c r="BF22" s="13" t="n">
        <f aca="false">BE22+Construction!BF14*$F$9/$F$10*(BF21+(BF19-BF20)*BE22)</f>
        <v>588.879411785729</v>
      </c>
      <c r="BG22" s="13" t="n">
        <f aca="false">BF22+Construction!BG14*$F$9/$F$10*(BG21+(BG19-BG20)*BF22)</f>
        <v>588.879411785729</v>
      </c>
      <c r="BH22" s="13" t="n">
        <f aca="false">BG22+Construction!BH14*$F$9/$F$10*(BH21+(BH19-BH20)*BG22)</f>
        <v>588.879411785729</v>
      </c>
      <c r="BI22" s="13" t="n">
        <f aca="false">BH22+Construction!BI14*$F$9/$F$10*(BI21+(BI19-BI20)*BH22)</f>
        <v>588.879411785729</v>
      </c>
      <c r="BJ22" s="13" t="n">
        <f aca="false">BI22+Construction!BJ14*$F$9/$F$10*(BJ21+(BJ19-BJ20)*BI22)</f>
        <v>588.879411785729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857.368258466034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27.5696053714629</v>
      </c>
      <c r="M28" s="13" t="n">
        <f aca="false">L61</f>
        <v>28.2773922955136</v>
      </c>
      <c r="N28" s="13" t="n">
        <f aca="false">M61</f>
        <v>29.2779732718652</v>
      </c>
      <c r="O28" s="13" t="n">
        <f aca="false">N61</f>
        <v>30.7187309741065</v>
      </c>
      <c r="P28" s="13" t="n">
        <f aca="false">O61</f>
        <v>32.7041022331567</v>
      </c>
      <c r="Q28" s="13" t="n">
        <f aca="false">P61</f>
        <v>35.2940583062921</v>
      </c>
      <c r="R28" s="13" t="n">
        <f aca="false">Q61</f>
        <v>38.5815618997097</v>
      </c>
      <c r="S28" s="13" t="n">
        <f aca="false">R61</f>
        <v>42.5642690305297</v>
      </c>
      <c r="T28" s="13" t="n">
        <f aca="false">S61</f>
        <v>47.2548996018106</v>
      </c>
      <c r="U28" s="13" t="n">
        <f aca="false">T61</f>
        <v>52.6078237493982</v>
      </c>
      <c r="V28" s="13" t="n">
        <f aca="false">U61</f>
        <v>58.5959590001544</v>
      </c>
      <c r="W28" s="13" t="n">
        <f aca="false">V61</f>
        <v>65.1425958201305</v>
      </c>
      <c r="X28" s="13" t="n">
        <f aca="false">W61</f>
        <v>72.1537093789831</v>
      </c>
      <c r="Y28" s="13" t="n">
        <f aca="false">X61</f>
        <v>79.5493918237866</v>
      </c>
      <c r="Z28" s="13" t="n">
        <f aca="false">Y61</f>
        <v>87.2011667966475</v>
      </c>
      <c r="AA28" s="13" t="n">
        <f aca="false">Z61</f>
        <v>95.0134654062567</v>
      </c>
      <c r="AB28" s="13" t="n">
        <f aca="false">AA61</f>
        <v>103.117452644705</v>
      </c>
      <c r="AC28" s="13" t="n">
        <f aca="false">AB61</f>
        <v>110.847778539444</v>
      </c>
      <c r="AD28" s="13" t="n">
        <f aca="false">AC61</f>
        <v>118.394626877113</v>
      </c>
      <c r="AE28" s="13" t="n">
        <f aca="false">AD61</f>
        <v>125.609055817266</v>
      </c>
      <c r="AF28" s="13" t="n">
        <f aca="false">AE61</f>
        <v>132.416154559539</v>
      </c>
      <c r="AG28" s="13" t="n">
        <f aca="false">AF61</f>
        <v>138.6994890009</v>
      </c>
      <c r="AH28" s="13" t="n">
        <f aca="false">AG61</f>
        <v>144.415897235144</v>
      </c>
      <c r="AI28" s="13" t="n">
        <f aca="false">AH61</f>
        <v>149.496854931609</v>
      </c>
      <c r="AJ28" s="13" t="n">
        <f aca="false">AI61</f>
        <v>153.895212386837</v>
      </c>
      <c r="AK28" s="13" t="n">
        <f aca="false">AJ61</f>
        <v>157.634802379192</v>
      </c>
      <c r="AL28" s="13" t="n">
        <f aca="false">AK61</f>
        <v>160.703562145097</v>
      </c>
      <c r="AM28" s="13" t="n">
        <f aca="false">AL61</f>
        <v>163.181215654649</v>
      </c>
      <c r="AN28" s="13" t="n">
        <f aca="false">AM61</f>
        <v>165.129341744559</v>
      </c>
      <c r="AO28" s="13" t="n">
        <f aca="false">AN61</f>
        <v>166.603657829253</v>
      </c>
      <c r="AP28" s="13" t="n">
        <f aca="false">AO61</f>
        <v>167.834382257851</v>
      </c>
      <c r="AQ28" s="13" t="n">
        <f aca="false">AP61</f>
        <v>179.889053620742</v>
      </c>
      <c r="AR28" s="13" t="n">
        <f aca="false">AQ61</f>
        <v>189.180999975597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20.2177106057395</v>
      </c>
      <c r="M29" s="13" t="n">
        <f aca="false">L62</f>
        <v>20.7367543500433</v>
      </c>
      <c r="N29" s="13" t="n">
        <f aca="false">M62</f>
        <v>21.4705137327012</v>
      </c>
      <c r="O29" s="13" t="n">
        <f aca="false">N62</f>
        <v>22.5270693810114</v>
      </c>
      <c r="P29" s="13" t="n">
        <f aca="false">O62</f>
        <v>23.9830083043149</v>
      </c>
      <c r="Q29" s="13" t="n">
        <f aca="false">P62</f>
        <v>25.8823094246142</v>
      </c>
      <c r="R29" s="13" t="n">
        <f aca="false">Q62</f>
        <v>28.2931453931204</v>
      </c>
      <c r="S29" s="13" t="n">
        <f aca="false">R62</f>
        <v>31.2137972890551</v>
      </c>
      <c r="T29" s="13" t="n">
        <f aca="false">S62</f>
        <v>34.6535930413278</v>
      </c>
      <c r="U29" s="13" t="n">
        <f aca="false">T62</f>
        <v>38.5790707495587</v>
      </c>
      <c r="V29" s="13" t="n">
        <f aca="false">U62</f>
        <v>42.9703699334466</v>
      </c>
      <c r="W29" s="13" t="n">
        <f aca="false">V62</f>
        <v>47.7712369347623</v>
      </c>
      <c r="X29" s="13" t="n">
        <f aca="false">W62</f>
        <v>52.9127202112543</v>
      </c>
      <c r="Y29" s="13" t="n">
        <f aca="false">X62</f>
        <v>58.3362206707768</v>
      </c>
      <c r="Z29" s="13" t="n">
        <f aca="false">Y62</f>
        <v>63.9475223175415</v>
      </c>
      <c r="AA29" s="13" t="n">
        <f aca="false">Z62</f>
        <v>69.6765412979216</v>
      </c>
      <c r="AB29" s="13" t="n">
        <f aca="false">AA62</f>
        <v>75.6194652727835</v>
      </c>
      <c r="AC29" s="13" t="n">
        <f aca="false">AB62</f>
        <v>81.2883709289258</v>
      </c>
      <c r="AD29" s="13" t="n">
        <f aca="false">AC62</f>
        <v>86.8227263765496</v>
      </c>
      <c r="AE29" s="13" t="n">
        <f aca="false">AD62</f>
        <v>92.1133075993283</v>
      </c>
      <c r="AF29" s="13" t="n">
        <f aca="false">AE62</f>
        <v>97.1051800103283</v>
      </c>
      <c r="AG29" s="13" t="n">
        <f aca="false">AF62</f>
        <v>101.71295860066</v>
      </c>
      <c r="AH29" s="13" t="n">
        <f aca="false">AG62</f>
        <v>105.904991305772</v>
      </c>
      <c r="AI29" s="13" t="n">
        <f aca="false">AH62</f>
        <v>109.631026949847</v>
      </c>
      <c r="AJ29" s="13" t="n">
        <f aca="false">AI62</f>
        <v>112.856489083681</v>
      </c>
      <c r="AK29" s="13" t="n">
        <f aca="false">AJ62</f>
        <v>115.598855078074</v>
      </c>
      <c r="AL29" s="13" t="n">
        <f aca="false">AK62</f>
        <v>117.849278906404</v>
      </c>
      <c r="AM29" s="13" t="n">
        <f aca="false">AL62</f>
        <v>119.666224813409</v>
      </c>
      <c r="AN29" s="13" t="n">
        <f aca="false">AM62</f>
        <v>121.094850612676</v>
      </c>
      <c r="AO29" s="13" t="n">
        <f aca="false">AN62</f>
        <v>122.176015741452</v>
      </c>
      <c r="AP29" s="13" t="n">
        <f aca="false">AO62</f>
        <v>123.078546989091</v>
      </c>
      <c r="AQ29" s="13" t="n">
        <f aca="false">AP62</f>
        <v>131.918639321877</v>
      </c>
      <c r="AR29" s="13" t="n">
        <f aca="false">AQ62</f>
        <v>138.732733315438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9.1898684571543</v>
      </c>
      <c r="M30" s="13" t="n">
        <f aca="false">L63</f>
        <v>9.42579743183786</v>
      </c>
      <c r="N30" s="13" t="n">
        <f aca="false">M63</f>
        <v>9.75932442395507</v>
      </c>
      <c r="O30" s="13" t="n">
        <f aca="false">N63</f>
        <v>10.2395769913688</v>
      </c>
      <c r="P30" s="13" t="n">
        <f aca="false">O63</f>
        <v>10.9013674110522</v>
      </c>
      <c r="Q30" s="13" t="n">
        <f aca="false">P63</f>
        <v>11.7646861020974</v>
      </c>
      <c r="R30" s="13" t="n">
        <f aca="false">Q63</f>
        <v>12.8605206332366</v>
      </c>
      <c r="S30" s="13" t="n">
        <f aca="false">R63</f>
        <v>14.1880896768432</v>
      </c>
      <c r="T30" s="13" t="n">
        <f aca="false">S63</f>
        <v>15.7516332006035</v>
      </c>
      <c r="U30" s="13" t="n">
        <f aca="false">T63</f>
        <v>17.5359412497994</v>
      </c>
      <c r="V30" s="13" t="n">
        <f aca="false">U63</f>
        <v>19.5319863333848</v>
      </c>
      <c r="W30" s="13" t="n">
        <f aca="false">V63</f>
        <v>21.7141986067102</v>
      </c>
      <c r="X30" s="13" t="n">
        <f aca="false">W63</f>
        <v>24.051236459661</v>
      </c>
      <c r="Y30" s="13" t="n">
        <f aca="false">X63</f>
        <v>26.5164639412622</v>
      </c>
      <c r="Z30" s="13" t="n">
        <f aca="false">Y63</f>
        <v>29.0670555988825</v>
      </c>
      <c r="AA30" s="13" t="n">
        <f aca="false">Z63</f>
        <v>31.6711551354189</v>
      </c>
      <c r="AB30" s="13" t="n">
        <f aca="false">AA63</f>
        <v>34.3724842149016</v>
      </c>
      <c r="AC30" s="13" t="n">
        <f aca="false">AB63</f>
        <v>36.9492595131481</v>
      </c>
      <c r="AD30" s="13" t="n">
        <f aca="false">AC63</f>
        <v>39.4648756257044</v>
      </c>
      <c r="AE30" s="13" t="n">
        <f aca="false">AD63</f>
        <v>41.869685272422</v>
      </c>
      <c r="AF30" s="13" t="n">
        <f aca="false">AE63</f>
        <v>44.1387181865129</v>
      </c>
      <c r="AG30" s="13" t="n">
        <f aca="false">AF63</f>
        <v>46.2331630003002</v>
      </c>
      <c r="AH30" s="13" t="n">
        <f aca="false">AG63</f>
        <v>48.1386324117148</v>
      </c>
      <c r="AI30" s="13" t="n">
        <f aca="false">AH63</f>
        <v>49.8322849772031</v>
      </c>
      <c r="AJ30" s="13" t="n">
        <f aca="false">AI63</f>
        <v>51.2984041289457</v>
      </c>
      <c r="AK30" s="13" t="n">
        <f aca="false">AJ63</f>
        <v>52.5449341263974</v>
      </c>
      <c r="AL30" s="13" t="n">
        <f aca="false">AK63</f>
        <v>53.5678540483656</v>
      </c>
      <c r="AM30" s="13" t="n">
        <f aca="false">AL63</f>
        <v>54.3937385515496</v>
      </c>
      <c r="AN30" s="13" t="n">
        <f aca="false">AM63</f>
        <v>55.043113914853</v>
      </c>
      <c r="AO30" s="13" t="n">
        <f aca="false">AN63</f>
        <v>55.534552609751</v>
      </c>
      <c r="AP30" s="13" t="n">
        <f aca="false">AO63</f>
        <v>55.9447940859504</v>
      </c>
      <c r="AQ30" s="13" t="n">
        <f aca="false">AP63</f>
        <v>59.9630178735807</v>
      </c>
      <c r="AR30" s="13" t="n">
        <f aca="false">AQ63</f>
        <v>63.0603333251989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34.9215001371863</v>
      </c>
      <c r="M31" s="13" t="n">
        <f aca="false">L64</f>
        <v>35.8180302409839</v>
      </c>
      <c r="N31" s="13" t="n">
        <f aca="false">M64</f>
        <v>37.0854328110293</v>
      </c>
      <c r="O31" s="13" t="n">
        <f aca="false">N64</f>
        <v>38.9103925672016</v>
      </c>
      <c r="P31" s="13" t="n">
        <f aca="false">O64</f>
        <v>41.4251961619985</v>
      </c>
      <c r="Q31" s="13" t="n">
        <f aca="false">P64</f>
        <v>44.70580718797</v>
      </c>
      <c r="R31" s="13" t="n">
        <f aca="false">Q64</f>
        <v>48.8699784062989</v>
      </c>
      <c r="S31" s="13" t="n">
        <f aca="false">R64</f>
        <v>53.9147407720043</v>
      </c>
      <c r="T31" s="13" t="n">
        <f aca="false">S64</f>
        <v>59.8562061622934</v>
      </c>
      <c r="U31" s="13" t="n">
        <f aca="false">T64</f>
        <v>66.6365767492378</v>
      </c>
      <c r="V31" s="13" t="n">
        <f aca="false">U64</f>
        <v>74.2215480668623</v>
      </c>
      <c r="W31" s="13" t="n">
        <f aca="false">V64</f>
        <v>82.5139547054986</v>
      </c>
      <c r="X31" s="13" t="n">
        <f aca="false">W64</f>
        <v>91.3946985467119</v>
      </c>
      <c r="Y31" s="13" t="n">
        <f aca="false">X64</f>
        <v>100.762562976796</v>
      </c>
      <c r="Z31" s="13" t="n">
        <f aca="false">Y64</f>
        <v>110.454811275753</v>
      </c>
      <c r="AA31" s="13" t="n">
        <f aca="false">Z64</f>
        <v>120.350389514592</v>
      </c>
      <c r="AB31" s="13" t="n">
        <f aca="false">AA64</f>
        <v>130.615440016626</v>
      </c>
      <c r="AC31" s="13" t="n">
        <f aca="false">AB64</f>
        <v>140.407186149963</v>
      </c>
      <c r="AD31" s="13" t="n">
        <f aca="false">AC64</f>
        <v>149.966527377677</v>
      </c>
      <c r="AE31" s="13" t="n">
        <f aca="false">AD64</f>
        <v>159.104804035203</v>
      </c>
      <c r="AF31" s="13" t="n">
        <f aca="false">AE64</f>
        <v>167.727129108749</v>
      </c>
      <c r="AG31" s="13" t="n">
        <f aca="false">AF64</f>
        <v>175.686019401141</v>
      </c>
      <c r="AH31" s="13" t="n">
        <f aca="false">AG64</f>
        <v>182.926803164516</v>
      </c>
      <c r="AI31" s="13" t="n">
        <f aca="false">AH64</f>
        <v>189.362682913372</v>
      </c>
      <c r="AJ31" s="13" t="n">
        <f aca="false">AI64</f>
        <v>194.933935689994</v>
      </c>
      <c r="AK31" s="13" t="n">
        <f aca="false">AJ64</f>
        <v>199.67074968031</v>
      </c>
      <c r="AL31" s="13" t="n">
        <f aca="false">AK64</f>
        <v>203.557845383789</v>
      </c>
      <c r="AM31" s="13" t="n">
        <f aca="false">AL64</f>
        <v>206.696206495888</v>
      </c>
      <c r="AN31" s="13" t="n">
        <f aca="false">AM64</f>
        <v>209.163832876441</v>
      </c>
      <c r="AO31" s="13" t="n">
        <f aca="false">AN64</f>
        <v>211.031299917054</v>
      </c>
      <c r="AP31" s="13" t="n">
        <f aca="false">AO64</f>
        <v>212.590217526612</v>
      </c>
      <c r="AQ31" s="13" t="n">
        <f aca="false">AP64</f>
        <v>227.859467919606</v>
      </c>
      <c r="AR31" s="13" t="n">
        <f aca="false">AQ64</f>
        <v>239.629266635756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0.105237688037368</v>
      </c>
      <c r="AT32" s="13" t="n">
        <f aca="false">AS65</f>
        <v>0.105237688037368</v>
      </c>
      <c r="AU32" s="13" t="n">
        <f aca="false">AT65</f>
        <v>0.105237688037368</v>
      </c>
      <c r="AV32" s="13" t="n">
        <f aca="false">AU65</f>
        <v>0.105237688037368</v>
      </c>
      <c r="AW32" s="13" t="n">
        <f aca="false">AV65</f>
        <v>0.105237688037368</v>
      </c>
      <c r="AX32" s="13" t="n">
        <f aca="false">AW65</f>
        <v>0.105237688037368</v>
      </c>
      <c r="AY32" s="13" t="n">
        <f aca="false">AX65</f>
        <v>0.105237688037368</v>
      </c>
      <c r="AZ32" s="13" t="n">
        <f aca="false">AY65</f>
        <v>0.105237688037368</v>
      </c>
      <c r="BA32" s="13" t="n">
        <f aca="false">AZ65</f>
        <v>0.105237688037368</v>
      </c>
      <c r="BB32" s="13" t="n">
        <f aca="false">BA65</f>
        <v>0.105237688037368</v>
      </c>
      <c r="BC32" s="13" t="n">
        <f aca="false">BB65</f>
        <v>0.105237688037368</v>
      </c>
      <c r="BD32" s="13" t="n">
        <f aca="false">BC65</f>
        <v>0.105237688037368</v>
      </c>
      <c r="BE32" s="13" t="n">
        <f aca="false">BD65</f>
        <v>0.105237688037368</v>
      </c>
      <c r="BF32" s="13" t="n">
        <f aca="false">BE65</f>
        <v>0.105237688037368</v>
      </c>
      <c r="BG32" s="13" t="n">
        <f aca="false">BF65</f>
        <v>0.105237688037368</v>
      </c>
      <c r="BH32" s="13" t="n">
        <f aca="false">BG65</f>
        <v>0.105237688037368</v>
      </c>
      <c r="BI32" s="13" t="n">
        <f aca="false">BH65</f>
        <v>0.105237688037368</v>
      </c>
      <c r="BJ32" s="13" t="n">
        <f aca="false">BI65</f>
        <v>0.105237688037368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12.4351410556616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0.0918757099004001</v>
      </c>
      <c r="M33" s="13" t="n">
        <f aca="false">Construction!M14*M28*(Construction!M17+Inputs!$F$79)/100*Construction!M11/Inputs!$F$247*1</f>
        <v>0.0911945901530313</v>
      </c>
      <c r="N33" s="13" t="n">
        <f aca="false">Construction!N14*N28*(Construction!N17+Inputs!$F$79)/100*Construction!N11/Inputs!$F$247*1</f>
        <v>0.0975688459284908</v>
      </c>
      <c r="O33" s="13" t="n">
        <f aca="false">Construction!O14*O28*(Construction!O17+Inputs!$F$79)/100*Construction!O11/Inputs!$F$247*1</f>
        <v>0.10951227592269</v>
      </c>
      <c r="P33" s="13" t="n">
        <f aca="false">Construction!P14*P28*(Construction!P17+Inputs!$F$79)/100*Construction!P11/Inputs!$F$247*1</f>
        <v>0.105307209190765</v>
      </c>
      <c r="Q33" s="13" t="n">
        <f aca="false">Construction!Q14*Q28*(Construction!Q17+Inputs!$F$79)/100*Construction!Q11/Inputs!$F$247*1</f>
        <v>0.125823317861931</v>
      </c>
      <c r="R33" s="13" t="n">
        <f aca="false">Construction!R14*R28*(Construction!R17+Inputs!$F$79)/100*Construction!R11/Inputs!$F$247*1</f>
        <v>0.133106388553998</v>
      </c>
      <c r="S33" s="13" t="n">
        <f aca="false">Construction!S14*S28*(Construction!S17+Inputs!$F$79)/100*Construction!S11/Inputs!$F$247*1</f>
        <v>0.151741619093839</v>
      </c>
      <c r="T33" s="13" t="n">
        <f aca="false">Construction!T14*T28*(Construction!T17+Inputs!$F$79)/100*Construction!T11/Inputs!$F$247*1</f>
        <v>0.163029403626247</v>
      </c>
      <c r="U33" s="13" t="n">
        <f aca="false">Construction!U14*U28*(Construction!U17+Inputs!$F$79)/100*Construction!U11/Inputs!$F$247*1</f>
        <v>0.194342068900902</v>
      </c>
      <c r="V33" s="13" t="n">
        <f aca="false">Construction!V14*V28*(Construction!V17+Inputs!$F$79)/100*Construction!V11/Inputs!$F$247*1</f>
        <v>0.216463238539737</v>
      </c>
      <c r="W33" s="13" t="n">
        <f aca="false">Construction!W14*W28*(Construction!W17+Inputs!$F$79)/100*Construction!W11/Inputs!$F$247*1</f>
        <v>0.232884780056966</v>
      </c>
      <c r="X33" s="13" t="n">
        <f aca="false">Construction!X14*X28*(Construction!X17+Inputs!$F$79)/100*Construction!X11/Inputs!$F$247*1</f>
        <v>0.266547828064193</v>
      </c>
      <c r="Y33" s="13" t="n">
        <f aca="false">Construction!Y14*Y28*(Construction!Y17+Inputs!$F$79)/100*Construction!Y11/Inputs!$F$247*1</f>
        <v>0.284389075770037</v>
      </c>
      <c r="Z33" s="13" t="n">
        <f aca="false">Construction!Z14*Z28*(Construction!Z17+Inputs!$F$79)/100*Construction!Z11/Inputs!$F$247*1</f>
        <v>0.322135643674615</v>
      </c>
      <c r="AA33" s="13" t="n">
        <f aca="false">Construction!AA14*AA28*(Construction!AA17+Inputs!$F$79)/100*Construction!AA11/Inputs!$F$247*1</f>
        <v>0.3575409488496</v>
      </c>
      <c r="AB33" s="13" t="n">
        <f aca="false">Construction!AB14*AB28*(Construction!AB17+Inputs!$F$79)/100*Construction!AB11/Inputs!$F$247*1</f>
        <v>0.363002077046207</v>
      </c>
      <c r="AC33" s="13" t="n">
        <f aca="false">Construction!AC14*AC28*(Construction!AC17+Inputs!$F$79)/100*Construction!AC11/Inputs!$F$247*1</f>
        <v>0.417126348853848</v>
      </c>
      <c r="AD33" s="13" t="n">
        <f aca="false">Construction!AD14*AD28*(Construction!AD17+Inputs!$F$79)/100*Construction!AD11/Inputs!$F$247*1</f>
        <v>0.43115376621082</v>
      </c>
      <c r="AE33" s="13" t="n">
        <f aca="false">Construction!AE14*AE28*(Construction!AE17+Inputs!$F$79)/100*Construction!AE11/Inputs!$F$247*1</f>
        <v>0.47267385532125</v>
      </c>
      <c r="AF33" s="13" t="n">
        <f aca="false">Construction!AF14*AF28*(Construction!AF17+Inputs!$F$79)/100*Construction!AF11/Inputs!$F$247*1</f>
        <v>0.482215496187653</v>
      </c>
      <c r="AG33" s="13" t="n">
        <f aca="false">Construction!AG14*AG28*(Construction!AG17+Inputs!$F$79)/100*Construction!AG11/Inputs!$F$247*1</f>
        <v>0.52671130948092</v>
      </c>
      <c r="AH33" s="13" t="n">
        <f aca="false">Construction!AH14*AH28*(Construction!AH17+Inputs!$F$79)/100*Construction!AH11/Inputs!$F$247*1</f>
        <v>0.548419369750461</v>
      </c>
      <c r="AI33" s="13" t="n">
        <f aca="false">Construction!AI14*AI28*(Construction!AI17+Inputs!$F$79)/100*Construction!AI11/Inputs!$F$247*1</f>
        <v>0.549400941873664</v>
      </c>
      <c r="AJ33" s="13" t="n">
        <f aca="false">Construction!AJ14*AJ28*(Construction!AJ17+Inputs!$F$79)/100*Construction!AJ11/Inputs!$F$247*1</f>
        <v>0.584417069039014</v>
      </c>
      <c r="AK33" s="13" t="n">
        <f aca="false">Construction!AK14*AK28*(Construction!AK17+Inputs!$F$79)/100*Construction!AK11/Inputs!$F$247*1</f>
        <v>0.579307898743532</v>
      </c>
      <c r="AL33" s="13" t="n">
        <f aca="false">Construction!AL14*AL28*(Construction!AL17+Inputs!$F$79)/100*Construction!AL11/Inputs!$F$247*1</f>
        <v>0.610271777246005</v>
      </c>
      <c r="AM33" s="13" t="n">
        <f aca="false">Construction!AM14*AM28*(Construction!AM17+Inputs!$F$79)/100*Construction!AM11/Inputs!$F$247*1</f>
        <v>0.623896181186274</v>
      </c>
      <c r="AN33" s="13" t="n">
        <f aca="false">Construction!AN14*AN28*(Construction!AN17+Inputs!$F$79)/100*Construction!AN11/Inputs!$F$247*1</f>
        <v>0.570246660157877</v>
      </c>
      <c r="AO33" s="13" t="n">
        <f aca="false">Construction!AO14*AO28*(Construction!AO17+Inputs!$F$79)/100*Construction!AO11/Inputs!$F$247*1</f>
        <v>0.636981318433844</v>
      </c>
      <c r="AP33" s="13" t="n">
        <f aca="false">Construction!AP14*AP28*(Construction!AP17+Inputs!$F$79)/100*Construction!AP11/Inputs!$F$247*1</f>
        <v>0.62098721435405</v>
      </c>
      <c r="AQ33" s="13" t="n">
        <f aca="false">Construction!AQ14*AQ28*(Construction!AQ17+Inputs!$F$79)/100*Construction!AQ11/Inputs!$F$247*1</f>
        <v>0.68777581500997</v>
      </c>
      <c r="AR33" s="13" t="n">
        <f aca="false">Construction!AR14*AR28*(Construction!AR17+Inputs!$F$79)/100*Construction!AR11/Inputs!$F$247*1</f>
        <v>0.699969699909708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13.9295318455122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0.107417819654438</v>
      </c>
      <c r="M34" s="13" t="n">
        <f aca="false">Construction!M14*M29*(Construction!M17+Inputs!$F$80)/100*Construction!M11/Inputs!$F$247*1</f>
        <v>0.106621478616473</v>
      </c>
      <c r="N34" s="13" t="n">
        <f aca="false">Construction!N14*N29*(Construction!N17+Inputs!$F$80)/100*Construction!N11/Inputs!$F$247*1</f>
        <v>0.11407403226816</v>
      </c>
      <c r="O34" s="13" t="n">
        <f aca="false">Construction!O14*O29*(Construction!O17+Inputs!$F$80)/100*Construction!O11/Inputs!$F$247*1</f>
        <v>0.124925114756253</v>
      </c>
      <c r="P34" s="13" t="n">
        <f aca="false">Construction!P14*P29*(Construction!P17+Inputs!$F$80)/100*Construction!P11/Inputs!$F$247*1</f>
        <v>0.120128223817613</v>
      </c>
      <c r="Q34" s="13" t="n">
        <f aca="false">Construction!Q14*Q29*(Construction!Q17+Inputs!$F$80)/100*Construction!Q11/Inputs!$F$247*1</f>
        <v>0.143531784820277</v>
      </c>
      <c r="R34" s="13" t="n">
        <f aca="false">Construction!R14*R29*(Construction!R17+Inputs!$F$80)/100*Construction!R11/Inputs!$F$247*1</f>
        <v>0.151839880276413</v>
      </c>
      <c r="S34" s="13" t="n">
        <f aca="false">Construction!S14*S29*(Construction!S17+Inputs!$F$80)/100*Construction!S11/Inputs!$F$247*1</f>
        <v>0.173097846966305</v>
      </c>
      <c r="T34" s="13" t="n">
        <f aca="false">Construction!T14*T29*(Construction!T17+Inputs!$F$80)/100*Construction!T11/Inputs!$F$247*1</f>
        <v>0.185974282655126</v>
      </c>
      <c r="U34" s="13" t="n">
        <f aca="false">Construction!U14*U29*(Construction!U17+Inputs!$F$80)/100*Construction!U11/Inputs!$F$247*1</f>
        <v>0.218925510095204</v>
      </c>
      <c r="V34" s="13" t="n">
        <f aca="false">Construction!V14*V29*(Construction!V17+Inputs!$F$80)/100*Construction!V11/Inputs!$F$247*1</f>
        <v>0.243844913158439</v>
      </c>
      <c r="W34" s="13" t="n">
        <f aca="false">Construction!W14*W29*(Construction!W17+Inputs!$F$80)/100*Construction!W11/Inputs!$F$247*1</f>
        <v>0.26234370950007</v>
      </c>
      <c r="X34" s="13" t="n">
        <f aca="false">Construction!X14*X29*(Construction!X17+Inputs!$F$80)/100*Construction!X11/Inputs!$F$247*1</f>
        <v>0.300264989221032</v>
      </c>
      <c r="Y34" s="13" t="n">
        <f aca="false">Construction!Y14*Y29*(Construction!Y17+Inputs!$F$80)/100*Construction!Y11/Inputs!$F$247*1</f>
        <v>0.320363078517016</v>
      </c>
      <c r="Z34" s="13" t="n">
        <f aca="false">Construction!Z14*Z29*(Construction!Z17+Inputs!$F$80)/100*Construction!Z11/Inputs!$F$247*1</f>
        <v>0.362884425951404</v>
      </c>
      <c r="AA34" s="13" t="n">
        <f aca="false">Construction!AA14*AA29*(Construction!AA17+Inputs!$F$80)/100*Construction!AA11/Inputs!$F$247*1</f>
        <v>0.400194956782535</v>
      </c>
      <c r="AB34" s="13" t="n">
        <f aca="false">Construction!AB14*AB29*(Construction!AB17+Inputs!$F$80)/100*Construction!AB11/Inputs!$F$247*1</f>
        <v>0.40630758799207</v>
      </c>
      <c r="AC34" s="13" t="n">
        <f aca="false">Construction!AC14*AC29*(Construction!AC17+Inputs!$F$80)/100*Construction!AC11/Inputs!$F$247*1</f>
        <v>0.4668887904715</v>
      </c>
      <c r="AD34" s="13" t="n">
        <f aca="false">Construction!AD14*AD29*(Construction!AD17+Inputs!$F$80)/100*Construction!AD11/Inputs!$F$247*1</f>
        <v>0.482589654109655</v>
      </c>
      <c r="AE34" s="13" t="n">
        <f aca="false">Construction!AE14*AE29*(Construction!AE17+Inputs!$F$80)/100*Construction!AE11/Inputs!$F$247*1</f>
        <v>0.529063017008698</v>
      </c>
      <c r="AF34" s="13" t="n">
        <f aca="false">Construction!AF14*AF29*(Construction!AF17+Inputs!$F$80)/100*Construction!AF11/Inputs!$F$247*1</f>
        <v>0.539742958890741</v>
      </c>
      <c r="AG34" s="13" t="n">
        <f aca="false">Construction!AG14*AG29*(Construction!AG17+Inputs!$F$80)/100*Construction!AG11/Inputs!$F$247*1</f>
        <v>0.587703125514538</v>
      </c>
      <c r="AH34" s="13" t="n">
        <f aca="false">Construction!AH14*AH29*(Construction!AH17+Inputs!$F$80)/100*Construction!AH11/Inputs!$F$247*1</f>
        <v>0.611924923375382</v>
      </c>
      <c r="AI34" s="13" t="n">
        <f aca="false">Construction!AI14*AI29*(Construction!AI17+Inputs!$F$80)/100*Construction!AI11/Inputs!$F$247*1</f>
        <v>0.613020159027893</v>
      </c>
      <c r="AJ34" s="13" t="n">
        <f aca="false">Construction!AJ14*AJ29*(Construction!AJ17+Inputs!$F$80)/100*Construction!AJ11/Inputs!$F$247*1</f>
        <v>0.652091063730455</v>
      </c>
      <c r="AK34" s="13" t="n">
        <f aca="false">Construction!AK14*AK29*(Construction!AK17+Inputs!$F$80)/100*Construction!AK11/Inputs!$F$247*1</f>
        <v>0.646390264644899</v>
      </c>
      <c r="AL34" s="13" t="n">
        <f aca="false">Construction!AL14*AL29*(Construction!AL17+Inputs!$F$80)/100*Construction!AL11/Inputs!$F$247*1</f>
        <v>0.680939680703365</v>
      </c>
      <c r="AM34" s="13" t="n">
        <f aca="false">Construction!AM14*AM29*(Construction!AM17+Inputs!$F$80)/100*Construction!AM11/Inputs!$F$247*1</f>
        <v>0.694529472569825</v>
      </c>
      <c r="AN34" s="13" t="n">
        <f aca="false">Construction!AN14*AN29*(Construction!AN17+Inputs!$F$80)/100*Construction!AN11/Inputs!$F$247*1</f>
        <v>0.634806116878453</v>
      </c>
      <c r="AO34" s="13" t="n">
        <f aca="false">Construction!AO14*AO29*(Construction!AO17+Inputs!$F$80)/100*Construction!AO11/Inputs!$F$247*1</f>
        <v>0.709096020250528</v>
      </c>
      <c r="AP34" s="13" t="n">
        <f aca="false">Construction!AP14*AP29*(Construction!AP17+Inputs!$F$80)/100*Construction!AP11/Inputs!$F$247*1</f>
        <v>0.691291172255394</v>
      </c>
      <c r="AQ34" s="13" t="n">
        <f aca="false">Construction!AQ14*AQ29*(Construction!AQ17+Inputs!$F$80)/100*Construction!AQ11/Inputs!$F$247*1</f>
        <v>0.765641124997585</v>
      </c>
      <c r="AR34" s="13" t="n">
        <f aca="false">Construction!AR14*AR29*(Construction!AR17+Inputs!$F$80)/100*Construction!AR11/Inputs!$F$247*1</f>
        <v>0.779215518788374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6.09393599674004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0.0468479072015821</v>
      </c>
      <c r="M35" s="13" t="n">
        <f aca="false">Construction!M14*M30*(Construction!M17+Inputs!$F$81)/100*Construction!M11/Inputs!$F$247*1</f>
        <v>0.0465006006637334</v>
      </c>
      <c r="N35" s="13" t="n">
        <f aca="false">Construction!N14*N30*(Construction!N17+Inputs!$F$81)/100*Construction!N11/Inputs!$F$247*1</f>
        <v>0.0497508671745621</v>
      </c>
      <c r="O35" s="13" t="n">
        <f aca="false">Construction!O14*O30*(Construction!O17+Inputs!$F$81)/100*Construction!O11/Inputs!$F$247*1</f>
        <v>0.0545797896909379</v>
      </c>
      <c r="P35" s="13" t="n">
        <f aca="false">Construction!P14*P30*(Construction!P17+Inputs!$F$81)/100*Construction!P11/Inputs!$F$247*1</f>
        <v>0.0524840277689882</v>
      </c>
      <c r="Q35" s="13" t="n">
        <f aca="false">Construction!Q14*Q30*(Construction!Q17+Inputs!$F$81)/100*Construction!Q11/Inputs!$F$247*1</f>
        <v>0.0627090448925406</v>
      </c>
      <c r="R35" s="13" t="n">
        <f aca="false">Construction!R14*R30*(Construction!R17+Inputs!$F$81)/100*Construction!R11/Inputs!$F$247*1</f>
        <v>0.0663388522664452</v>
      </c>
      <c r="S35" s="13" t="n">
        <f aca="false">Construction!S14*S30*(Construction!S17+Inputs!$F$81)/100*Construction!S11/Inputs!$F$247*1</f>
        <v>0.0756264591135958</v>
      </c>
      <c r="T35" s="13" t="n">
        <f aca="false">Construction!T14*T30*(Construction!T17+Inputs!$F$81)/100*Construction!T11/Inputs!$F$247*1</f>
        <v>0.0812521745931132</v>
      </c>
      <c r="U35" s="13" t="n">
        <f aca="false">Construction!U14*U30*(Construction!U17+Inputs!$F$81)/100*Construction!U11/Inputs!$F$247*1</f>
        <v>0.0957364970343216</v>
      </c>
      <c r="V35" s="13" t="n">
        <f aca="false">Construction!V14*V30*(Construction!V17+Inputs!$F$81)/100*Construction!V11/Inputs!$F$247*1</f>
        <v>0.106633794276762</v>
      </c>
      <c r="W35" s="13" t="n">
        <f aca="false">Construction!W14*W30*(Construction!W17+Inputs!$F$81)/100*Construction!W11/Inputs!$F$247*1</f>
        <v>0.114723349305452</v>
      </c>
      <c r="X35" s="13" t="n">
        <f aca="false">Construction!X14*X30*(Construction!X17+Inputs!$F$81)/100*Construction!X11/Inputs!$F$247*1</f>
        <v>0.131306389271716</v>
      </c>
      <c r="Y35" s="13" t="n">
        <f aca="false">Construction!Y14*Y30*(Construction!Y17+Inputs!$F$81)/100*Construction!Y11/Inputs!$F$247*1</f>
        <v>0.140095317823002</v>
      </c>
      <c r="Z35" s="13" t="n">
        <f aca="false">Construction!Z14*Z30*(Construction!Z17+Inputs!$F$81)/100*Construction!Z11/Inputs!$F$247*1</f>
        <v>0.158689975205677</v>
      </c>
      <c r="AA35" s="13" t="n">
        <f aca="false">Construction!AA14*AA30*(Construction!AA17+Inputs!$F$81)/100*Construction!AA11/Inputs!$F$247*1</f>
        <v>0.175088702640308</v>
      </c>
      <c r="AB35" s="13" t="n">
        <f aca="false">Construction!AB14*AB30*(Construction!AB17+Inputs!$F$81)/100*Construction!AB11/Inputs!$F$247*1</f>
        <v>0.177763030864733</v>
      </c>
      <c r="AC35" s="13" t="n">
        <f aca="false">Construction!AC14*AC30*(Construction!AC17+Inputs!$F$81)/100*Construction!AC11/Inputs!$F$247*1</f>
        <v>0.20426782300852</v>
      </c>
      <c r="AD35" s="13" t="n">
        <f aca="false">Construction!AD14*AD30*(Construction!AD17+Inputs!$F$81)/100*Construction!AD11/Inputs!$F$247*1</f>
        <v>0.211137084597518</v>
      </c>
      <c r="AE35" s="13" t="n">
        <f aca="false">Construction!AE14*AE30*(Construction!AE17+Inputs!$F$81)/100*Construction!AE11/Inputs!$F$247*1</f>
        <v>0.231469576747706</v>
      </c>
      <c r="AF35" s="13" t="n">
        <f aca="false">Construction!AF14*AF30*(Construction!AF17+Inputs!$F$81)/100*Construction!AF11/Inputs!$F$247*1</f>
        <v>0.236142142297844</v>
      </c>
      <c r="AG35" s="13" t="n">
        <f aca="false">Construction!AG14*AG30*(Construction!AG17+Inputs!$F$81)/100*Construction!AG11/Inputs!$F$247*1</f>
        <v>0.257184811734447</v>
      </c>
      <c r="AH35" s="13" t="n">
        <f aca="false">Construction!AH14*AH30*(Construction!AH17+Inputs!$F$81)/100*Construction!AH11/Inputs!$F$247*1</f>
        <v>0.2677845146325</v>
      </c>
      <c r="AI35" s="13" t="n">
        <f aca="false">Construction!AI14*AI30*(Construction!AI17+Inputs!$F$81)/100*Construction!AI11/Inputs!$F$247*1</f>
        <v>0.268263800793943</v>
      </c>
      <c r="AJ35" s="13" t="n">
        <f aca="false">Construction!AJ14*AJ30*(Construction!AJ17+Inputs!$F$81)/100*Construction!AJ11/Inputs!$F$247*1</f>
        <v>0.285361622523963</v>
      </c>
      <c r="AK35" s="13" t="n">
        <f aca="false">Construction!AK14*AK30*(Construction!AK17+Inputs!$F$81)/100*Construction!AK11/Inputs!$F$247*1</f>
        <v>0.282866895380439</v>
      </c>
      <c r="AL35" s="13" t="n">
        <f aca="false">Construction!AL14*AL30*(Construction!AL17+Inputs!$F$81)/100*Construction!AL11/Inputs!$F$247*1</f>
        <v>0.297986068103491</v>
      </c>
      <c r="AM35" s="13" t="n">
        <f aca="false">Construction!AM14*AM30*(Construction!AM17+Inputs!$F$81)/100*Construction!AM11/Inputs!$F$247*1</f>
        <v>0.303985451644063</v>
      </c>
      <c r="AN35" s="13" t="n">
        <f aca="false">Construction!AN14*AN30*(Construction!AN17+Inputs!$F$81)/100*Construction!AN11/Inputs!$F$247*1</f>
        <v>0.277845407239086</v>
      </c>
      <c r="AO35" s="13" t="n">
        <f aca="false">Construction!AO14*AO30*(Construction!AO17+Inputs!$F$81)/100*Construction!AO11/Inputs!$F$247*1</f>
        <v>0.310361017765439</v>
      </c>
      <c r="AP35" s="13" t="n">
        <f aca="false">Construction!AP14*AP30*(Construction!AP17+Inputs!$F$81)/100*Construction!AP11/Inputs!$F$247*1</f>
        <v>0.302568094681515</v>
      </c>
      <c r="AQ35" s="13" t="n">
        <f aca="false">Construction!AQ14*AQ30*(Construction!AQ17+Inputs!$F$81)/100*Construction!AQ11/Inputs!$F$247*1</f>
        <v>0.335109987944047</v>
      </c>
      <c r="AR35" s="13" t="n">
        <f aca="false">Construction!AR14*AR30*(Construction!AR17+Inputs!$F$81)/100*Construction!AR11/Inputs!$F$247*1</f>
        <v>0.341051302733784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28.5397323016695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0.221191057350413</v>
      </c>
      <c r="M36" s="13" t="n">
        <f aca="false">Construction!M14*M31*(Construction!M17+Inputs!$F$82)/100*Construction!M11/Inputs!$F$247*(1/(1-Inputs!$F$93/100))</f>
        <v>0.219551259440105</v>
      </c>
      <c r="N36" s="13" t="n">
        <f aca="false">Construction!N14*N31*(Construction!N17+Inputs!$F$82)/100*Construction!N11/Inputs!$F$247*(1/(1-Inputs!$F$93/100))</f>
        <v>0.234897300045661</v>
      </c>
      <c r="O36" s="13" t="n">
        <f aca="false">Construction!O14*O31*(Construction!O17+Inputs!$F$82)/100*Construction!O11/Inputs!$F$247*(1/(1-Inputs!$F$93/100))</f>
        <v>0.256508356432981</v>
      </c>
      <c r="P36" s="13" t="n">
        <f aca="false">Construction!P14*P31*(Construction!P17+Inputs!$F$82)/100*Construction!P11/Inputs!$F$247*(1/(1-Inputs!$F$93/100))</f>
        <v>0.246658914925085</v>
      </c>
      <c r="Q36" s="13" t="n">
        <f aca="false">Construction!Q14*Q31*(Construction!Q17+Inputs!$F$82)/100*Construction!Q11/Inputs!$F$247*(1/(1-Inputs!$F$93/100))</f>
        <v>0.294713375224645</v>
      </c>
      <c r="R36" s="13" t="n">
        <f aca="false">Construction!R14*R31*(Construction!R17+Inputs!$F$82)/100*Construction!R11/Inputs!$F$247*(1/(1-Inputs!$F$93/100))</f>
        <v>0.311772362240185</v>
      </c>
      <c r="S36" s="13" t="n">
        <f aca="false">Construction!S14*S31*(Construction!S17+Inputs!$F$82)/100*Construction!S11/Inputs!$F$247*(1/(1-Inputs!$F$93/100))</f>
        <v>0.355421280292976</v>
      </c>
      <c r="T36" s="13" t="n">
        <f aca="false">Construction!T14*T31*(Construction!T17+Inputs!$F$82)/100*Construction!T11/Inputs!$F$247*(1/(1-Inputs!$F$93/100))</f>
        <v>0.381860426350187</v>
      </c>
      <c r="U36" s="13" t="n">
        <f aca="false">Construction!U14*U31*(Construction!U17+Inputs!$F$82)/100*Construction!U11/Inputs!$F$247*(1/(1-Inputs!$F$93/100))</f>
        <v>0.448850818202273</v>
      </c>
      <c r="V36" s="13" t="n">
        <f aca="false">Construction!V14*V31*(Construction!V17+Inputs!$F$82)/100*Construction!V11/Inputs!$F$247*(1/(1-Inputs!$F$93/100))</f>
        <v>0.499941686731853</v>
      </c>
      <c r="W36" s="13" t="n">
        <f aca="false">Construction!W14*W31*(Construction!W17+Inputs!$F$82)/100*Construction!W11/Inputs!$F$247*(1/(1-Inputs!$F$93/100))</f>
        <v>0.537868741783991</v>
      </c>
      <c r="X36" s="13" t="n">
        <f aca="false">Construction!X14*X31*(Construction!X17+Inputs!$F$82)/100*Construction!X11/Inputs!$F$247*(1/(1-Inputs!$F$93/100))</f>
        <v>0.615616636136865</v>
      </c>
      <c r="Y36" s="13" t="n">
        <f aca="false">Construction!Y14*Y31*(Construction!Y17+Inputs!$F$82)/100*Construction!Y11/Inputs!$F$247*(1/(1-Inputs!$F$93/100))</f>
        <v>0.656822632737635</v>
      </c>
      <c r="Z36" s="13" t="n">
        <f aca="false">Construction!Z14*Z31*(Construction!Z17+Inputs!$F$82)/100*Construction!Z11/Inputs!$F$247*(1/(1-Inputs!$F$93/100))</f>
        <v>0.744001790519149</v>
      </c>
      <c r="AA36" s="13" t="n">
        <f aca="false">Construction!AA14*AA31*(Construction!AA17+Inputs!$F$82)/100*Construction!AA11/Inputs!$F$247*(1/(1-Inputs!$F$93/100))</f>
        <v>0.819868455977182</v>
      </c>
      <c r="AB36" s="13" t="n">
        <f aca="false">Construction!AB14*AB31*(Construction!AB17+Inputs!$F$82)/100*Construction!AB11/Inputs!$F$247*(1/(1-Inputs!$F$93/100))</f>
        <v>0.832391236254103</v>
      </c>
      <c r="AC36" s="13" t="n">
        <f aca="false">Construction!AC14*AC31*(Construction!AC17+Inputs!$F$82)/100*Construction!AC11/Inputs!$F$247*(1/(1-Inputs!$F$93/100))</f>
        <v>0.956502287870981</v>
      </c>
      <c r="AD36" s="13" t="n">
        <f aca="false">Construction!AD14*AD31*(Construction!AD17+Inputs!$F$82)/100*Construction!AD11/Inputs!$F$247*(1/(1-Inputs!$F$93/100))</f>
        <v>0.988668217526904</v>
      </c>
      <c r="AE36" s="13" t="n">
        <f aca="false">Construction!AE14*AE31*(Construction!AE17+Inputs!$F$82)/100*Construction!AE11/Inputs!$F$247*(1/(1-Inputs!$F$93/100))</f>
        <v>1.08387692427932</v>
      </c>
      <c r="AF36" s="13" t="n">
        <f aca="false">Construction!AF14*AF31*(Construction!AF17+Inputs!$F$82)/100*Construction!AF11/Inputs!$F$247*(1/(1-Inputs!$F$93/100))</f>
        <v>1.10575662893916</v>
      </c>
      <c r="AG36" s="13" t="n">
        <f aca="false">Construction!AG14*AG31*(Construction!AG17+Inputs!$F$82)/100*Construction!AG11/Inputs!$F$247*(1/(1-Inputs!$F$93/100))</f>
        <v>1.20355768105794</v>
      </c>
      <c r="AH36" s="13" t="n">
        <f aca="false">Construction!AH14*AH31*(Construction!AH17+Inputs!$F$82)/100*Construction!AH11/Inputs!$F$247*(1/(1-Inputs!$F$93/100))</f>
        <v>1.25316151945667</v>
      </c>
      <c r="AI36" s="13" t="n">
        <f aca="false">Construction!AI14*AI31*(Construction!AI17+Inputs!$F$82)/100*Construction!AI11/Inputs!$F$247*(1/(1-Inputs!$F$93/100))</f>
        <v>1.25540445338865</v>
      </c>
      <c r="AJ36" s="13" t="n">
        <f aca="false">Construction!AJ14*AJ31*(Construction!AJ17+Inputs!$F$82)/100*Construction!AJ11/Inputs!$F$247*(1/(1-Inputs!$F$93/100))</f>
        <v>1.33541778906639</v>
      </c>
      <c r="AK36" s="13" t="n">
        <f aca="false">Construction!AK14*AK31*(Construction!AK17+Inputs!$F$82)/100*Construction!AK11/Inputs!$F$247*(1/(1-Inputs!$F$93/100))</f>
        <v>1.32374311825095</v>
      </c>
      <c r="AL36" s="13" t="n">
        <f aca="false">Construction!AL14*AL31*(Construction!AL17+Inputs!$F$82)/100*Construction!AL11/Inputs!$F$247*(1/(1-Inputs!$F$93/100))</f>
        <v>1.39449689386993</v>
      </c>
      <c r="AM36" s="13" t="n">
        <f aca="false">Construction!AM14*AM31*(Construction!AM17+Inputs!$F$82)/100*Construction!AM11/Inputs!$F$247*(1/(1-Inputs!$F$93/100))</f>
        <v>1.4219295514157</v>
      </c>
      <c r="AN36" s="13" t="n">
        <f aca="false">Construction!AN14*AN31*(Construction!AN17+Inputs!$F$82)/100*Construction!AN11/Inputs!$F$247*(1/(1-Inputs!$F$93/100))</f>
        <v>1.29965626032979</v>
      </c>
      <c r="AO36" s="13" t="n">
        <f aca="false">Construction!AO14*AO31*(Construction!AO17+Inputs!$F$82)/100*Construction!AO11/Inputs!$F$247*(1/(1-Inputs!$F$93/100))</f>
        <v>1.45175205057136</v>
      </c>
      <c r="AP36" s="13" t="n">
        <f aca="false">Construction!AP14*AP31*(Construction!AP17+Inputs!$F$82)/100*Construction!AP11/Inputs!$F$247*(1/(1-Inputs!$F$93/100))</f>
        <v>1.41529968890402</v>
      </c>
      <c r="AQ36" s="13" t="n">
        <f aca="false">Construction!AQ14*AQ31*(Construction!AQ17+Inputs!$F$82)/100*Construction!AQ11/Inputs!$F$247*(1/(1-Inputs!$F$93/100))</f>
        <v>1.5675184198951</v>
      </c>
      <c r="AR36" s="13" t="n">
        <f aca="false">Construction!AR14*AR31*(Construction!AR17+Inputs!$F$82)/100*Construction!AR11/Inputs!$F$247*(1/(1-Inputs!$F$93/100))</f>
        <v>1.59530965473249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3.68779542456966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0.0306974337507294</v>
      </c>
      <c r="M38" s="13" t="n">
        <f aca="false">Construction!M14*(Inputs!$F$95/100*Inputs!$F$96/100)*M31*Construction!M11/Inputs!$F$248</f>
        <v>0.0304698586022616</v>
      </c>
      <c r="N38" s="13" t="n">
        <f aca="false">Construction!N14*(Inputs!$F$95/100*Inputs!$F$96/100)*N31*Construction!N11/Inputs!$F$248</f>
        <v>0.0325996194997774</v>
      </c>
      <c r="O38" s="13" t="n">
        <f aca="false">Construction!O14*(Inputs!$F$95/100*Inputs!$F$96/100)*O31*Construction!O11/Inputs!$F$248</f>
        <v>0.0342038341237989</v>
      </c>
      <c r="P38" s="13" t="n">
        <f aca="false">Construction!P14*(Inputs!$F$95/100*Inputs!$F$96/100)*P31*Construction!P11/Inputs!$F$248</f>
        <v>0.0328904708157457</v>
      </c>
      <c r="Q38" s="13" t="n">
        <f aca="false">Construction!Q14*(Inputs!$F$95/100*Inputs!$F$96/100)*Q31*Construction!Q11/Inputs!$F$248</f>
        <v>0.0392982417431785</v>
      </c>
      <c r="R38" s="13" t="n">
        <f aca="false">Construction!R14*(Inputs!$F$95/100*Inputs!$F$96/100)*R31*Construction!R11/Inputs!$F$248</f>
        <v>0.0415729542333036</v>
      </c>
      <c r="S38" s="13" t="n">
        <f aca="false">Construction!S14*(Inputs!$F$95/100*Inputs!$F$96/100)*S31*Construction!S11/Inputs!$F$248</f>
        <v>0.0473932728128701</v>
      </c>
      <c r="T38" s="13" t="n">
        <f aca="false">Construction!T14*(Inputs!$F$95/100*Inputs!$F$96/100)*T31*Construction!T11/Inputs!$F$248</f>
        <v>0.0509187726394304</v>
      </c>
      <c r="U38" s="13" t="n">
        <f aca="false">Construction!U14*(Inputs!$F$95/100*Inputs!$F$96/100)*U31*Construction!U11/Inputs!$F$248</f>
        <v>0.0585762894520355</v>
      </c>
      <c r="V38" s="13" t="n">
        <f aca="false">Construction!V14*(Inputs!$F$95/100*Inputs!$F$96/100)*V31*Construction!V11/Inputs!$F$248</f>
        <v>0.0652437909513774</v>
      </c>
      <c r="W38" s="13" t="n">
        <f aca="false">Construction!W14*(Inputs!$F$95/100*Inputs!$F$96/100)*W31*Construction!W11/Inputs!$F$248</f>
        <v>0.0701933779070063</v>
      </c>
      <c r="X38" s="13" t="n">
        <f aca="false">Construction!X14*(Inputs!$F$95/100*Inputs!$F$96/100)*X31*Construction!X11/Inputs!$F$248</f>
        <v>0.0803396959690754</v>
      </c>
      <c r="Y38" s="13" t="n">
        <f aca="false">Construction!Y14*(Inputs!$F$95/100*Inputs!$F$96/100)*Y31*Construction!Y11/Inputs!$F$248</f>
        <v>0.0857171939843706</v>
      </c>
      <c r="Z38" s="13" t="n">
        <f aca="false">Construction!Z14*(Inputs!$F$95/100*Inputs!$F$96/100)*Z31*Construction!Z11/Inputs!$F$248</f>
        <v>0.0970943183502069</v>
      </c>
      <c r="AA38" s="13" t="n">
        <f aca="false">Construction!AA14*(Inputs!$F$95/100*Inputs!$F$96/100)*AA31*Construction!AA11/Inputs!$F$248</f>
        <v>0.105792938289745</v>
      </c>
      <c r="AB38" s="13" t="n">
        <f aca="false">Construction!AB14*(Inputs!$F$95/100*Inputs!$F$96/100)*AB31*Construction!AB11/Inputs!$F$248</f>
        <v>0.107408833756138</v>
      </c>
      <c r="AC38" s="13" t="n">
        <f aca="false">Construction!AC14*(Inputs!$F$95/100*Inputs!$F$96/100)*AC31*Construction!AC11/Inputs!$F$248</f>
        <v>0.123423686784152</v>
      </c>
      <c r="AD38" s="13" t="n">
        <f aca="false">Construction!AD14*(Inputs!$F$95/100*Inputs!$F$96/100)*AD31*Construction!AD11/Inputs!$F$248</f>
        <v>0.127574265070599</v>
      </c>
      <c r="AE38" s="13" t="n">
        <f aca="false">Construction!AE14*(Inputs!$F$95/100*Inputs!$F$96/100)*AE31*Construction!AE11/Inputs!$F$248</f>
        <v>0.139859661300534</v>
      </c>
      <c r="AF38" s="13" t="n">
        <f aca="false">Construction!AF14*(Inputs!$F$95/100*Inputs!$F$96/100)*AF31*Construction!AF11/Inputs!$F$248</f>
        <v>0.142682941337717</v>
      </c>
      <c r="AG38" s="13" t="n">
        <f aca="false">Construction!AG14*(Inputs!$F$95/100*Inputs!$F$96/100)*AG31*Construction!AG11/Inputs!$F$248</f>
        <v>0.154435231027003</v>
      </c>
      <c r="AH38" s="13" t="n">
        <f aca="false">Construction!AH14*(Inputs!$F$95/100*Inputs!$F$96/100)*AH31*Construction!AH11/Inputs!$F$248</f>
        <v>0.160800177521466</v>
      </c>
      <c r="AI38" s="13" t="n">
        <f aca="false">Construction!AI14*(Inputs!$F$95/100*Inputs!$F$96/100)*AI31*Construction!AI11/Inputs!$F$248</f>
        <v>0.161087980944115</v>
      </c>
      <c r="AJ38" s="13" t="n">
        <f aca="false">Construction!AJ14*(Inputs!$F$95/100*Inputs!$F$96/100)*AJ31*Construction!AJ11/Inputs!$F$248</f>
        <v>0.171354940455163</v>
      </c>
      <c r="AK38" s="13" t="n">
        <f aca="false">Construction!AK14*(Inputs!$F$95/100*Inputs!$F$96/100)*AK31*Construction!AK11/Inputs!$F$248</f>
        <v>0.169856898015716</v>
      </c>
      <c r="AL38" s="13" t="n">
        <f aca="false">Construction!AL14*(Inputs!$F$95/100*Inputs!$F$96/100)*AL31*Construction!AL11/Inputs!$F$248</f>
        <v>0.178935711483257</v>
      </c>
      <c r="AM38" s="13" t="n">
        <f aca="false">Construction!AM14*(Inputs!$F$95/100*Inputs!$F$96/100)*AM31*Construction!AM11/Inputs!$F$248</f>
        <v>0.181694459874536</v>
      </c>
      <c r="AN38" s="13" t="n">
        <f aca="false">Construction!AN14*(Inputs!$F$95/100*Inputs!$F$96/100)*AN31*Construction!AN11/Inputs!$F$248</f>
        <v>0.166070352787925</v>
      </c>
      <c r="AO38" s="13" t="n">
        <f aca="false">Construction!AO14*(Inputs!$F$95/100*Inputs!$F$96/100)*AO31*Construction!AO11/Inputs!$F$248</f>
        <v>0.185505185146265</v>
      </c>
      <c r="AP38" s="13" t="n">
        <f aca="false">Construction!AP14*(Inputs!$F$95/100*Inputs!$F$96/100)*AP31*Construction!AP11/Inputs!$F$248</f>
        <v>0.180847294635652</v>
      </c>
      <c r="AQ38" s="13" t="n">
        <f aca="false">Construction!AQ14*(Inputs!$F$95/100*Inputs!$F$96/100)*AQ31*Construction!AQ11/Inputs!$F$248</f>
        <v>0.200297836389057</v>
      </c>
      <c r="AR38" s="13" t="n">
        <f aca="false">Construction!AR14*(Inputs!$F$95/100*Inputs!$F$96/100)*AR31*Construction!AR11/Inputs!$F$248</f>
        <v>0.203849006275074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9.30270889273281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0.469991362318696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0.452848154028696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0.465047503797145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0.460878084410349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0.41108751312533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0.447637510752424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0.423990754598278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0.42659819408414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0.39970059051145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0.397533076686505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0.380203967727784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0.349605103491144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0.340969093478711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0.30925807090535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0.297423144995085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0.274815076179858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0.235145926998334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0.228992040112518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0.200469832069895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0.186274270455435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0.161201764821502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0.148391768899143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0.131849012766301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0.11336631450172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0.104416752431667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0.0905755405665718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0.0847140186340195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0.0775439187897377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0.0649475555965269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0.0676396880292271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0.0620110504730605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0.0291929827378981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0.00222866163130815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2.43892515813584</v>
      </c>
      <c r="L45" s="13" t="n">
        <f aca="false">Construction!L14*(Construction!L32+Construction!L38)+L33+L34+L35+L36+L37+L38+L39+L40+L41+L42+L43+L44</f>
        <v>3.10896970920375</v>
      </c>
      <c r="M45" s="13" t="n">
        <f aca="false">Construction!M14*(Construction!M32+Construction!M38)+M33+M34+M35+M36+M37+M38+M39+M40+M41+M42+M43+M44</f>
        <v>4.3950740560163</v>
      </c>
      <c r="N45" s="13" t="n">
        <f aca="false">Construction!N14*(Construction!N32+Construction!N38)+N33+N34+N35+N36+N37+N38+N39+N40+N41+N42+N43+N44</f>
        <v>6.32856005439474</v>
      </c>
      <c r="O45" s="13" t="n">
        <f aca="false">Construction!O14*(Construction!O32+Construction!O38)+O33+O34+O35+O36+O37+O38+O39+O40+O41+O42+O43+O44</f>
        <v>8.7207871411154</v>
      </c>
      <c r="P45" s="13" t="n">
        <f aca="false">Construction!P14*(Construction!P32+Construction!P38)+P33+P34+P35+P36+P37+P38+P39+P40+P41+P42+P43+P44</f>
        <v>11.3764393010593</v>
      </c>
      <c r="Q45" s="13" t="n">
        <f aca="false">Construction!Q14*(Construction!Q32+Construction!Q38)+Q33+Q34+Q35+Q36+Q37+Q38+Q39+Q40+Q41+Q42+Q43+Q44</f>
        <v>14.4404322028728</v>
      </c>
      <c r="R45" s="13" t="n">
        <f aca="false">Construction!R14*(Construction!R32+Construction!R38)+R33+R34+R35+R36+R37+R38+R39+R40+R41+R42+R43+R44</f>
        <v>17.494129108074</v>
      </c>
      <c r="S45" s="13" t="n">
        <f aca="false">Construction!S14*(Construction!S32+Construction!S38)+S33+S34+S35+S36+S37+S38+S39+S40+S41+S42+S43+S44</f>
        <v>20.6036984686268</v>
      </c>
      <c r="T45" s="13" t="n">
        <f aca="false">Construction!T14*(Construction!T32+Construction!T38)+T33+T34+T35+T36+T37+T38+T39+T40+T41+T42+T43+T44</f>
        <v>23.5128376422556</v>
      </c>
      <c r="U45" s="13" t="n">
        <f aca="false">Construction!U14*(Construction!U32+Construction!U38)+U33+U34+U35+U36+U37+U38+U39+U40+U41+U42+U43+U44</f>
        <v>26.3030164539786</v>
      </c>
      <c r="V45" s="13" t="n">
        <f aca="false">Construction!V14*(Construction!V32+Construction!V38)+V33+V34+V35+V36+V37+V38+V39+V40+V41+V42+V43+V44</f>
        <v>28.7562469422024</v>
      </c>
      <c r="W45" s="13" t="n">
        <f aca="false">Construction!W14*(Construction!W32+Construction!W38)+W33+W34+W35+W36+W37+W38+W39+W40+W41+W42+W43+W44</f>
        <v>30.7964712847669</v>
      </c>
      <c r="X45" s="13" t="n">
        <f aca="false">Construction!X14*(Construction!X32+Construction!X38)+X33+X34+X35+X36+X37+X38+X39+X40+X41+X42+X43+X44</f>
        <v>32.485698617028</v>
      </c>
      <c r="Y45" s="13" t="n">
        <f aca="false">Construction!Y14*(Construction!Y32+Construction!Y38)+Y33+Y34+Y35+Y36+Y37+Y38+Y39+Y40+Y41+Y42+Y43+Y44</f>
        <v>33.6105907073301</v>
      </c>
      <c r="Z45" s="13" t="n">
        <f aca="false">Construction!Z14*(Construction!Z32+Construction!Z38)+Z33+Z34+Z35+Z36+Z37+Z38+Z39+Z40+Z41+Z42+Z43+Z44</f>
        <v>34.3156943300499</v>
      </c>
      <c r="AA45" s="13" t="n">
        <f aca="false">Construction!AA14*(Construction!AA32+Construction!AA38)+AA33+AA34+AA35+AA36+AA37+AA38+AA39+AA40+AA41+AA42+AA43+AA44</f>
        <v>35.5969430798702</v>
      </c>
      <c r="AB45" s="13" t="n">
        <f aca="false">Construction!AB14*(Construction!AB32+Construction!AB38)+AB33+AB34+AB35+AB36+AB37+AB38+AB39+AB40+AB41+AB42+AB43+AB44</f>
        <v>33.955627368015</v>
      </c>
      <c r="AC45" s="13" t="n">
        <f aca="false">Construction!AC14*(Construction!AC32+Construction!AC38)+AC33+AC34+AC35+AC36+AC37+AC38+AC39+AC40+AC41+AC42+AC43+AC44</f>
        <v>33.1496981428925</v>
      </c>
      <c r="AD45" s="13" t="n">
        <f aca="false">Construction!AD14*(Construction!AD32+Construction!AD38)+AD33+AD34+AD35+AD36+AD37+AD38+AD39+AD40+AD41+AD42+AD43+AD44</f>
        <v>31.6895385913229</v>
      </c>
      <c r="AE45" s="13" t="n">
        <f aca="false">Construction!AE14*(Construction!AE32+Construction!AE38)+AE33+AE34+AE35+AE36+AE37+AE38+AE39+AE40+AE41+AE42+AE43+AE44</f>
        <v>29.9003316932841</v>
      </c>
      <c r="AF45" s="13" t="n">
        <f aca="false">Construction!AF14*(Construction!AF32+Construction!AF38)+AF33+AF34+AF35+AF36+AF37+AF38+AF39+AF40+AF41+AF42+AF43+AF44</f>
        <v>27.5996854239593</v>
      </c>
      <c r="AG45" s="13" t="n">
        <f aca="false">Construction!AG14*(Construction!AG32+Construction!AG38)+AG33+AG34+AG35+AG36+AG37+AG38+AG39+AG40+AG41+AG42+AG43+AG44</f>
        <v>25.1094495275447</v>
      </c>
      <c r="AH45" s="13" t="n">
        <f aca="false">Construction!AH14*(Construction!AH32+Construction!AH38)+AH33+AH34+AH35+AH36+AH37+AH38+AH39+AH40+AH41+AH42+AH43+AH44</f>
        <v>22.3182189940033</v>
      </c>
      <c r="AI45" s="13" t="n">
        <f aca="false">Construction!AI14*(Construction!AI32+Construction!AI38)+AI33+AI34+AI35+AI36+AI37+AI38+AI39+AI40+AI41+AI42+AI43+AI44</f>
        <v>19.3198823457984</v>
      </c>
      <c r="AJ45" s="13" t="n">
        <f aca="false">Construction!AJ14*(Construction!AJ32+Construction!AJ38)+AJ33+AJ34+AJ35+AJ36+AJ37+AJ38+AJ39+AJ40+AJ41+AJ42+AJ43+AJ44</f>
        <v>16.4262317033721</v>
      </c>
      <c r="AK45" s="13" t="n">
        <f aca="false">Construction!AK14*(Construction!AK32+Construction!AK38)+AK33+AK34+AK35+AK36+AK37+AK38+AK39+AK40+AK41+AK42+AK43+AK44</f>
        <v>13.4795951052875</v>
      </c>
      <c r="AL45" s="13" t="n">
        <f aca="false">Construction!AL14*(Construction!AL32+Construction!AL38)+AL33+AL34+AL35+AL36+AL37+AL38+AL39+AL40+AL41+AL42+AL43+AL44</f>
        <v>10.8831478081222</v>
      </c>
      <c r="AM45" s="13" t="n">
        <f aca="false">Construction!AM14*(Construction!AM32+Construction!AM38)+AM33+AM34+AM35+AM36+AM37+AM38+AM39+AM40+AM41+AM42+AM43+AM44</f>
        <v>8.55718691237957</v>
      </c>
      <c r="AN45" s="13" t="n">
        <f aca="false">Construction!AN14*(Construction!AN32+Construction!AN38)+AN33+AN34+AN35+AN36+AN37+AN38+AN39+AN40+AN41+AN42+AN43+AN44</f>
        <v>6.47596599111181</v>
      </c>
      <c r="AO45" s="13" t="n">
        <f aca="false">Construction!AO14*(Construction!AO32+Construction!AO38)+AO33+AO34+AO35+AO36+AO37+AO38+AO39+AO40+AO41+AO42+AO43+AO44</f>
        <v>5.40598425722721</v>
      </c>
      <c r="AP45" s="13" t="n">
        <f aca="false">Construction!AP14*(Construction!AP32+Construction!AP38)+AP33+AP34+AP35+AP36+AP37+AP38+AP39+AP40+AP41+AP42+AP43+AP44</f>
        <v>52.9504104245769</v>
      </c>
      <c r="AQ45" s="13" t="n">
        <f aca="false">Construction!AQ14*(Construction!AQ32+Construction!AQ38)+AQ33+AQ34+AQ35+AQ36+AQ37+AQ38+AQ39+AQ40+AQ41+AQ42+AQ43+AQ44</f>
        <v>40.8150797579875</v>
      </c>
      <c r="AR45" s="13" t="n">
        <f aca="false">Construction!AR14*(Construction!AR32+Construction!AR38)+AR33+AR34+AR35+AR36+AR37+AR38+AR39+AR40+AR41+AR42+AR43+AR44</f>
        <v>3.63585388670435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541.357290971231</v>
      </c>
      <c r="M46" s="13" t="n">
        <f aca="false">$F$25-M28-M29-M30-M31</f>
        <v>538.998001224396</v>
      </c>
      <c r="N46" s="13" t="n">
        <f aca="false">$F$25-N28-N29-N30-N31</f>
        <v>535.662731303224</v>
      </c>
      <c r="O46" s="13" t="n">
        <f aca="false">$F$25-O28-O29-O30-O31</f>
        <v>530.860205629086</v>
      </c>
      <c r="P46" s="13" t="n">
        <f aca="false">$F$25-P28-P29-P30-P31</f>
        <v>524.242301432252</v>
      </c>
      <c r="Q46" s="13" t="n">
        <f aca="false">$F$25-Q28-Q29-Q30-Q31</f>
        <v>515.609114521801</v>
      </c>
      <c r="R46" s="13" t="n">
        <f aca="false">$F$25-R28-R29-R30-R31</f>
        <v>504.650769210409</v>
      </c>
      <c r="S46" s="13" t="n">
        <f aca="false">$F$25-S28-S29-S30-S31</f>
        <v>491.375078774342</v>
      </c>
      <c r="T46" s="13" t="n">
        <f aca="false">$F$25-T28-T29-T30-T31</f>
        <v>475.739643536739</v>
      </c>
      <c r="U46" s="13" t="n">
        <f aca="false">$F$25-U28-U29-U30-U31</f>
        <v>457.89656304478</v>
      </c>
      <c r="V46" s="13" t="n">
        <f aca="false">$F$25-V28-V29-V30-V31</f>
        <v>437.936112208926</v>
      </c>
      <c r="W46" s="13" t="n">
        <f aca="false">$F$25-W28-W29-W30-W31</f>
        <v>416.113989475673</v>
      </c>
      <c r="X46" s="13" t="n">
        <f aca="false">$F$25-X28-X29-X30-X31</f>
        <v>392.743610946164</v>
      </c>
      <c r="Y46" s="13" t="n">
        <f aca="false">$F$25-Y28-Y29-Y30-Y31</f>
        <v>368.091336130152</v>
      </c>
      <c r="Z46" s="13" t="n">
        <f aca="false">$F$25-Z28-Z29-Z30-Z31</f>
        <v>342.585419553949</v>
      </c>
      <c r="AA46" s="13" t="n">
        <f aca="false">$F$25-AA28-AA29-AA30-AA31</f>
        <v>316.544424188585</v>
      </c>
      <c r="AB46" s="13" t="n">
        <f aca="false">$F$25-AB28-AB29-AB30-AB31</f>
        <v>289.531133393758</v>
      </c>
      <c r="AC46" s="13" t="n">
        <f aca="false">$F$25-AC28-AC29-AC30-AC31</f>
        <v>263.763380411293</v>
      </c>
      <c r="AD46" s="13" t="n">
        <f aca="false">$F$25-AD28-AD29-AD30-AD31</f>
        <v>238.607219285731</v>
      </c>
      <c r="AE46" s="13" t="n">
        <f aca="false">$F$25-AE28-AE29-AE30-AE31</f>
        <v>214.559122818555</v>
      </c>
      <c r="AF46" s="13" t="n">
        <f aca="false">$F$25-AF28-AF29-AF30-AF31</f>
        <v>191.868793677646</v>
      </c>
      <c r="AG46" s="13" t="n">
        <f aca="false">$F$25-AG28-AG29-AG30-AG31</f>
        <v>170.924345539773</v>
      </c>
      <c r="AH46" s="13" t="n">
        <f aca="false">$F$25-AH28-AH29-AH30-AH31</f>
        <v>151.869651425627</v>
      </c>
      <c r="AI46" s="13" t="n">
        <f aca="false">$F$25-AI28-AI29-AI30-AI31</f>
        <v>134.933125770743</v>
      </c>
      <c r="AJ46" s="13" t="n">
        <f aca="false">$F$25-AJ28-AJ29-AJ30-AJ31</f>
        <v>120.271934253317</v>
      </c>
      <c r="AK46" s="13" t="n">
        <f aca="false">$F$25-AK28-AK29-AK30-AK31</f>
        <v>107.8066342788</v>
      </c>
      <c r="AL46" s="13" t="n">
        <f aca="false">$F$25-AL28-AL29-AL30-AL31</f>
        <v>97.5774350591185</v>
      </c>
      <c r="AM46" s="13" t="n">
        <f aca="false">$F$25-AM28-AM29-AM30-AM31</f>
        <v>89.3185900272783</v>
      </c>
      <c r="AN46" s="13" t="n">
        <f aca="false">$F$25-AN28-AN29-AN30-AN31</f>
        <v>82.8248363942447</v>
      </c>
      <c r="AO46" s="13" t="n">
        <f aca="false">$F$25-AO28-AO29-AO30-AO31</f>
        <v>77.9104494452642</v>
      </c>
      <c r="AP46" s="13" t="n">
        <f aca="false">$F$25-AP28-AP29-AP30-AP31</f>
        <v>73.8080346832698</v>
      </c>
      <c r="AQ46" s="13" t="n">
        <f aca="false">$F$25-AQ28-AQ29-AQ30-AQ31</f>
        <v>33.6257968069677</v>
      </c>
      <c r="AR46" s="13" t="n">
        <f aca="false">$F$25-AR28-AR29-AR30-AR31</f>
        <v>2.65264229078531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1.8508160764175</v>
      </c>
      <c r="L47" s="13" t="n">
        <f aca="false">MIN($F$26*L45/(1-Inputs!$F$94/100*Inputs!$F$75*$F$26),L46)</f>
        <v>2.35928974683563</v>
      </c>
      <c r="M47" s="13" t="n">
        <f aca="false">MIN($F$26*M45/(1-Inputs!$F$94/100*Inputs!$F$75*$F$26),M46)</f>
        <v>3.33526992117213</v>
      </c>
      <c r="N47" s="13" t="n">
        <f aca="false">MIN($F$26*N45/(1-Inputs!$F$94/100*Inputs!$F$75*$F$26),N46)</f>
        <v>4.80252567413758</v>
      </c>
      <c r="O47" s="13" t="n">
        <f aca="false">MIN($F$26*O45/(1-Inputs!$F$94/100*Inputs!$F$75*$F$26),O46)</f>
        <v>6.6179041968341</v>
      </c>
      <c r="P47" s="13" t="n">
        <f aca="false">MIN($F$26*P45/(1-Inputs!$F$94/100*Inputs!$F$75*$F$26),P46)</f>
        <v>8.63318691045119</v>
      </c>
      <c r="Q47" s="13" t="n">
        <f aca="false">MIN($F$26*Q45/(1-Inputs!$F$94/100*Inputs!$F$75*$F$26),Q46)</f>
        <v>10.9583453113921</v>
      </c>
      <c r="R47" s="13" t="n">
        <f aca="false">MIN($F$26*R45/(1-Inputs!$F$94/100*Inputs!$F$75*$F$26),R46)</f>
        <v>13.2756904360668</v>
      </c>
      <c r="S47" s="13" t="n">
        <f aca="false">MIN($F$26*S45/(1-Inputs!$F$94/100*Inputs!$F$75*$F$26),S46)</f>
        <v>15.6354352376028</v>
      </c>
      <c r="T47" s="13" t="n">
        <f aca="false">MIN($F$26*T45/(1-Inputs!$F$94/100*Inputs!$F$75*$F$26),T46)</f>
        <v>17.8430804919588</v>
      </c>
      <c r="U47" s="13" t="n">
        <f aca="false">MIN($F$26*U45/(1-Inputs!$F$94/100*Inputs!$F$75*$F$26),U46)</f>
        <v>19.9604508358539</v>
      </c>
      <c r="V47" s="13" t="n">
        <f aca="false">MIN($F$26*V45/(1-Inputs!$F$94/100*Inputs!$F$75*$F$26),V46)</f>
        <v>21.8221227332535</v>
      </c>
      <c r="W47" s="13" t="n">
        <f aca="false">MIN($F$26*W45/(1-Inputs!$F$94/100*Inputs!$F$75*$F$26),W46)</f>
        <v>23.3703785295088</v>
      </c>
      <c r="X47" s="13" t="n">
        <f aca="false">MIN($F$26*X45/(1-Inputs!$F$94/100*Inputs!$F$75*$F$26),X46)</f>
        <v>24.6522748160116</v>
      </c>
      <c r="Y47" s="13" t="n">
        <f aca="false">MIN($F$26*Y45/(1-Inputs!$F$94/100*Inputs!$F$75*$F$26),Y46)</f>
        <v>25.505916576203</v>
      </c>
      <c r="Z47" s="13" t="n">
        <f aca="false">MIN($F$26*Z45/(1-Inputs!$F$94/100*Inputs!$F$75*$F$26),Z46)</f>
        <v>26.0409953653641</v>
      </c>
      <c r="AA47" s="13" t="n">
        <f aca="false">MIN($F$26*AA45/(1-Inputs!$F$94/100*Inputs!$F$75*$F$26),AA46)</f>
        <v>27.0132907948269</v>
      </c>
      <c r="AB47" s="13" t="n">
        <f aca="false">MIN($F$26*AB45/(1-Inputs!$F$94/100*Inputs!$F$75*$F$26),AB46)</f>
        <v>25.7677529824653</v>
      </c>
      <c r="AC47" s="13" t="n">
        <f aca="false">MIN($F$26*AC45/(1-Inputs!$F$94/100*Inputs!$F$75*$F$26),AC46)</f>
        <v>25.1561611255624</v>
      </c>
      <c r="AD47" s="13" t="n">
        <f aca="false">MIN($F$26*AD45/(1-Inputs!$F$94/100*Inputs!$F$75*$F$26),AD46)</f>
        <v>24.048096467176</v>
      </c>
      <c r="AE47" s="13" t="n">
        <f aca="false">MIN($F$26*AE45/(1-Inputs!$F$94/100*Inputs!$F$75*$F$26),AE46)</f>
        <v>22.6903291409091</v>
      </c>
      <c r="AF47" s="13" t="n">
        <f aca="false">MIN($F$26*AF45/(1-Inputs!$F$94/100*Inputs!$F$75*$F$26),AF46)</f>
        <v>20.9444481378729</v>
      </c>
      <c r="AG47" s="13" t="n">
        <f aca="false">MIN($F$26*AG45/(1-Inputs!$F$94/100*Inputs!$F$75*$F$26),AG46)</f>
        <v>19.054694114146</v>
      </c>
      <c r="AH47" s="13" t="n">
        <f aca="false">MIN($F$26*AH45/(1-Inputs!$F$94/100*Inputs!$F$75*$F$26),AH46)</f>
        <v>16.9365256548832</v>
      </c>
      <c r="AI47" s="13" t="n">
        <f aca="false">MIN($F$26*AI45/(1-Inputs!$F$94/100*Inputs!$F$75*$F$26),AI46)</f>
        <v>14.6611915174261</v>
      </c>
      <c r="AJ47" s="13" t="n">
        <f aca="false">MIN($F$26*AJ45/(1-Inputs!$F$94/100*Inputs!$F$75*$F$26),AJ46)</f>
        <v>12.4652999745172</v>
      </c>
      <c r="AK47" s="13" t="n">
        <f aca="false">MIN($F$26*AK45/(1-Inputs!$F$94/100*Inputs!$F$75*$F$26),AK46)</f>
        <v>10.2291992196816</v>
      </c>
      <c r="AL47" s="13" t="n">
        <f aca="false">MIN($F$26*AL45/(1-Inputs!$F$94/100*Inputs!$F$75*$F$26),AL46)</f>
        <v>8.25884503184033</v>
      </c>
      <c r="AM47" s="13" t="n">
        <f aca="false">MIN($F$26*AM45/(1-Inputs!$F$94/100*Inputs!$F$75*$F$26),AM46)</f>
        <v>6.49375363303356</v>
      </c>
      <c r="AN47" s="13" t="n">
        <f aca="false">MIN($F$26*AN45/(1-Inputs!$F$94/100*Inputs!$F$75*$F$26),AN46)</f>
        <v>4.91438694898041</v>
      </c>
      <c r="AO47" s="13" t="n">
        <f aca="false">MIN($F$26*AO45/(1-Inputs!$F$94/100*Inputs!$F$75*$F$26),AO46)</f>
        <v>4.10241476199443</v>
      </c>
      <c r="AP47" s="13" t="n">
        <f aca="false">MIN($F$26*AP45/(1-Inputs!$F$94/100*Inputs!$F$75*$F$26),AP46)</f>
        <v>40.1822378763021</v>
      </c>
      <c r="AQ47" s="13" t="n">
        <f aca="false">MIN($F$26*AQ45/(1-Inputs!$F$94/100*Inputs!$F$75*$F$26),AQ46)</f>
        <v>30.9731545161824</v>
      </c>
      <c r="AR47" s="13" t="n">
        <f aca="false">MIN($F$26*AR45/(1-Inputs!$F$94/100*Inputs!$F$75*$F$26),AR46)</f>
        <v>2.65264229078531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0.0602440632873897</v>
      </c>
      <c r="L48" s="13" t="n">
        <f aca="false">Inputs!$F$94/100*Inputs!$F$75*L47</f>
        <v>0.0767948812594996</v>
      </c>
      <c r="M48" s="13" t="n">
        <f aca="false">Inputs!$F$94/100*Inputs!$F$75*M47</f>
        <v>0.108563035934153</v>
      </c>
      <c r="N48" s="13" t="n">
        <f aca="false">Inputs!$F$94/100*Inputs!$F$75*N47</f>
        <v>0.156322210693178</v>
      </c>
      <c r="O48" s="13" t="n">
        <f aca="false">Inputs!$F$94/100*Inputs!$F$75*O47</f>
        <v>0.21541278160695</v>
      </c>
      <c r="P48" s="13" t="n">
        <f aca="false">Inputs!$F$94/100*Inputs!$F$75*P47</f>
        <v>0.281010233935186</v>
      </c>
      <c r="Q48" s="13" t="n">
        <f aca="false">Inputs!$F$94/100*Inputs!$F$75*Q47</f>
        <v>0.356694139885811</v>
      </c>
      <c r="R48" s="13" t="n">
        <f aca="false">Inputs!$F$94/100*Inputs!$F$75*R47</f>
        <v>0.432123723693976</v>
      </c>
      <c r="S48" s="13" t="n">
        <f aca="false">Inputs!$F$94/100*Inputs!$F$75*S47</f>
        <v>0.508933416983971</v>
      </c>
      <c r="T48" s="13" t="n">
        <f aca="false">Inputs!$F$94/100*Inputs!$F$75*T47</f>
        <v>0.58079227001326</v>
      </c>
      <c r="U48" s="13" t="n">
        <f aca="false">Inputs!$F$94/100*Inputs!$F$75*U47</f>
        <v>0.649712674707046</v>
      </c>
      <c r="V48" s="13" t="n">
        <f aca="false">Inputs!$F$94/100*Inputs!$F$75*V47</f>
        <v>0.710310094967401</v>
      </c>
      <c r="W48" s="13" t="n">
        <f aca="false">Inputs!$F$94/100*Inputs!$F$75*W47</f>
        <v>0.760705821135511</v>
      </c>
      <c r="X48" s="13" t="n">
        <f aca="false">Inputs!$F$94/100*Inputs!$F$75*X47</f>
        <v>0.802431545261176</v>
      </c>
      <c r="Y48" s="13" t="n">
        <f aca="false">Inputs!$F$94/100*Inputs!$F$75*Y47</f>
        <v>0.830217584555407</v>
      </c>
      <c r="Z48" s="13" t="n">
        <f aca="false">Inputs!$F$94/100*Inputs!$F$75*Z47</f>
        <v>0.847634399142602</v>
      </c>
      <c r="AA48" s="13" t="n">
        <f aca="false">Inputs!$F$94/100*Inputs!$F$75*AA47</f>
        <v>0.879282615371615</v>
      </c>
      <c r="AB48" s="13" t="n">
        <f aca="false">Inputs!$F$94/100*Inputs!$F$75*AB47</f>
        <v>0.838740359579244</v>
      </c>
      <c r="AC48" s="13" t="n">
        <f aca="false">Inputs!$F$94/100*Inputs!$F$75*AC47</f>
        <v>0.818833044637056</v>
      </c>
      <c r="AD48" s="13" t="n">
        <f aca="false">Inputs!$F$94/100*Inputs!$F$75*AD47</f>
        <v>0.78276554000658</v>
      </c>
      <c r="AE48" s="13" t="n">
        <f aca="false">Inputs!$F$94/100*Inputs!$F$75*AE47</f>
        <v>0.73857021353659</v>
      </c>
      <c r="AF48" s="13" t="n">
        <f aca="false">Inputs!$F$94/100*Inputs!$F$75*AF47</f>
        <v>0.681741786887764</v>
      </c>
      <c r="AG48" s="13" t="n">
        <f aca="false">Inputs!$F$94/100*Inputs!$F$75*AG47</f>
        <v>0.620230293415453</v>
      </c>
      <c r="AH48" s="13" t="n">
        <f aca="false">Inputs!$F$94/100*Inputs!$F$75*AH47</f>
        <v>0.551283910066448</v>
      </c>
      <c r="AI48" s="13" t="n">
        <f aca="false">Inputs!$F$94/100*Inputs!$F$75*AI47</f>
        <v>0.477221783892221</v>
      </c>
      <c r="AJ48" s="13" t="n">
        <f aca="false">Inputs!$F$94/100*Inputs!$F$75*AJ47</f>
        <v>0.405745514170534</v>
      </c>
      <c r="AK48" s="13" t="n">
        <f aca="false">Inputs!$F$94/100*Inputs!$F$75*AK47</f>
        <v>0.332960434600635</v>
      </c>
      <c r="AL48" s="13" t="n">
        <f aca="false">Inputs!$F$94/100*Inputs!$F$75*AL47</f>
        <v>0.268825405786403</v>
      </c>
      <c r="AM48" s="13" t="n">
        <f aca="false">Inputs!$F$94/100*Inputs!$F$75*AM47</f>
        <v>0.211371680755242</v>
      </c>
      <c r="AN48" s="13" t="n">
        <f aca="false">Inputs!$F$94/100*Inputs!$F$75*AN47</f>
        <v>0.159963295189312</v>
      </c>
      <c r="AO48" s="13" t="n">
        <f aca="false">Inputs!$F$94/100*Inputs!$F$75*AO47</f>
        <v>0.133533600502919</v>
      </c>
      <c r="AP48" s="13" t="n">
        <f aca="false">Inputs!$F$94/100*Inputs!$F$75*AP47</f>
        <v>1.30793184287363</v>
      </c>
      <c r="AQ48" s="13" t="n">
        <f aca="false">Inputs!$F$94/100*Inputs!$F$75*AQ47</f>
        <v>1.00817617950174</v>
      </c>
      <c r="AR48" s="13" t="n">
        <f aca="false">Inputs!$F$94/100*Inputs!$F$75*AR47</f>
        <v>0.0863435065650618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855.230060044209</v>
      </c>
      <c r="J49" s="13" t="n">
        <f aca="false">J45+J48</f>
        <v>121.592233969238</v>
      </c>
      <c r="K49" s="13" t="n">
        <f aca="false">K45+K48</f>
        <v>2.49916922142323</v>
      </c>
      <c r="L49" s="13" t="n">
        <f aca="false">L45+L48</f>
        <v>3.18576459046325</v>
      </c>
      <c r="M49" s="13" t="n">
        <f aca="false">M45+M48</f>
        <v>4.50363709195045</v>
      </c>
      <c r="N49" s="13" t="n">
        <f aca="false">N45+N48</f>
        <v>6.48488226508792</v>
      </c>
      <c r="O49" s="13" t="n">
        <f aca="false">O45+O48</f>
        <v>8.93619992272235</v>
      </c>
      <c r="P49" s="13" t="n">
        <f aca="false">P45+P48</f>
        <v>11.6574495349945</v>
      </c>
      <c r="Q49" s="13" t="n">
        <f aca="false">Q45+Q48</f>
        <v>14.7971263427586</v>
      </c>
      <c r="R49" s="13" t="n">
        <f aca="false">R45+R48</f>
        <v>17.926252831768</v>
      </c>
      <c r="S49" s="13" t="n">
        <f aca="false">S45+S48</f>
        <v>21.1126318856107</v>
      </c>
      <c r="T49" s="13" t="n">
        <f aca="false">T45+T48</f>
        <v>24.0936299122688</v>
      </c>
      <c r="U49" s="13" t="n">
        <f aca="false">U45+U48</f>
        <v>26.9527291286857</v>
      </c>
      <c r="V49" s="13" t="n">
        <f aca="false">V45+V48</f>
        <v>29.4665570371698</v>
      </c>
      <c r="W49" s="13" t="n">
        <f aca="false">W45+W48</f>
        <v>31.5571771059025</v>
      </c>
      <c r="X49" s="13" t="n">
        <f aca="false">X45+X48</f>
        <v>33.2881301622891</v>
      </c>
      <c r="Y49" s="13" t="n">
        <f aca="false">Y45+Y48</f>
        <v>34.4408082918855</v>
      </c>
      <c r="Z49" s="13" t="n">
        <f aca="false">Z45+Z48</f>
        <v>35.1633287291925</v>
      </c>
      <c r="AA49" s="13" t="n">
        <f aca="false">AA45+AA48</f>
        <v>36.4762256952418</v>
      </c>
      <c r="AB49" s="13" t="n">
        <f aca="false">AB45+AB48</f>
        <v>34.7943677275942</v>
      </c>
      <c r="AC49" s="13" t="n">
        <f aca="false">AC45+AC48</f>
        <v>33.9685311875296</v>
      </c>
      <c r="AD49" s="13" t="n">
        <f aca="false">AD45+AD48</f>
        <v>32.4723041313295</v>
      </c>
      <c r="AE49" s="13" t="n">
        <f aca="false">AE45+AE48</f>
        <v>30.6389019068206</v>
      </c>
      <c r="AF49" s="13" t="n">
        <f aca="false">AF45+AF48</f>
        <v>28.281427210847</v>
      </c>
      <c r="AG49" s="13" t="n">
        <f aca="false">AG45+AG48</f>
        <v>25.7296798209602</v>
      </c>
      <c r="AH49" s="13" t="n">
        <f aca="false">AH45+AH48</f>
        <v>22.8695029040697</v>
      </c>
      <c r="AI49" s="13" t="n">
        <f aca="false">AI45+AI48</f>
        <v>19.7971041296906</v>
      </c>
      <c r="AJ49" s="13" t="n">
        <f aca="false">AJ45+AJ48</f>
        <v>16.8319772175426</v>
      </c>
      <c r="AK49" s="13" t="n">
        <f aca="false">AK45+AK48</f>
        <v>13.8125555398882</v>
      </c>
      <c r="AL49" s="13" t="n">
        <f aca="false">AL45+AL48</f>
        <v>11.1519732139086</v>
      </c>
      <c r="AM49" s="13" t="n">
        <f aca="false">AM45+AM48</f>
        <v>8.76855859313481</v>
      </c>
      <c r="AN49" s="13" t="n">
        <f aca="false">AN45+AN48</f>
        <v>6.63592928630112</v>
      </c>
      <c r="AO49" s="13" t="n">
        <f aca="false">AO45+AO48</f>
        <v>5.53951785773013</v>
      </c>
      <c r="AP49" s="13" t="n">
        <f aca="false">AP45+AP48</f>
        <v>54.2583422674505</v>
      </c>
      <c r="AQ49" s="13" t="n">
        <f aca="false">AQ45+AQ48</f>
        <v>41.8232559374893</v>
      </c>
      <c r="AR49" s="13" t="n">
        <f aca="false">AR45+AR48</f>
        <v>3.72219739326941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2.49916922142323</v>
      </c>
      <c r="L50" s="13" t="n">
        <f aca="false">L47/$F$26</f>
        <v>3.18576459046325</v>
      </c>
      <c r="M50" s="13" t="n">
        <f aca="false">M47/$F$26</f>
        <v>4.50363709195045</v>
      </c>
      <c r="N50" s="13" t="n">
        <f aca="false">N47/$F$26</f>
        <v>6.48488226508792</v>
      </c>
      <c r="O50" s="13" t="n">
        <f aca="false">O47/$F$26</f>
        <v>8.93619992272235</v>
      </c>
      <c r="P50" s="13" t="n">
        <f aca="false">P47/$F$26</f>
        <v>11.6574495349945</v>
      </c>
      <c r="Q50" s="13" t="n">
        <f aca="false">Q47/$F$26</f>
        <v>14.7971263427586</v>
      </c>
      <c r="R50" s="13" t="n">
        <f aca="false">R47/$F$26</f>
        <v>17.926252831768</v>
      </c>
      <c r="S50" s="13" t="n">
        <f aca="false">S47/$F$26</f>
        <v>21.1126318856107</v>
      </c>
      <c r="T50" s="13" t="n">
        <f aca="false">T47/$F$26</f>
        <v>24.0936299122688</v>
      </c>
      <c r="U50" s="13" t="n">
        <f aca="false">U47/$F$26</f>
        <v>26.9527291286857</v>
      </c>
      <c r="V50" s="13" t="n">
        <f aca="false">V47/$F$26</f>
        <v>29.4665570371698</v>
      </c>
      <c r="W50" s="13" t="n">
        <f aca="false">W47/$F$26</f>
        <v>31.5571771059025</v>
      </c>
      <c r="X50" s="13" t="n">
        <f aca="false">X47/$F$26</f>
        <v>33.2881301622891</v>
      </c>
      <c r="Y50" s="13" t="n">
        <f aca="false">Y47/$F$26</f>
        <v>34.4408082918855</v>
      </c>
      <c r="Z50" s="13" t="n">
        <f aca="false">Z47/$F$26</f>
        <v>35.1633287291925</v>
      </c>
      <c r="AA50" s="13" t="n">
        <f aca="false">AA47/$F$26</f>
        <v>36.4762256952418</v>
      </c>
      <c r="AB50" s="13" t="n">
        <f aca="false">AB47/$F$26</f>
        <v>34.7943677275943</v>
      </c>
      <c r="AC50" s="13" t="n">
        <f aca="false">AC47/$F$26</f>
        <v>33.9685311875296</v>
      </c>
      <c r="AD50" s="13" t="n">
        <f aca="false">AD47/$F$26</f>
        <v>32.4723041313295</v>
      </c>
      <c r="AE50" s="13" t="n">
        <f aca="false">AE47/$F$26</f>
        <v>30.6389019068206</v>
      </c>
      <c r="AF50" s="13" t="n">
        <f aca="false">AF47/$F$26</f>
        <v>28.281427210847</v>
      </c>
      <c r="AG50" s="13" t="n">
        <f aca="false">AG47/$F$26</f>
        <v>25.7296798209602</v>
      </c>
      <c r="AH50" s="13" t="n">
        <f aca="false">AH47/$F$26</f>
        <v>22.8695029040697</v>
      </c>
      <c r="AI50" s="13" t="n">
        <f aca="false">AI47/$F$26</f>
        <v>19.7971041296906</v>
      </c>
      <c r="AJ50" s="13" t="n">
        <f aca="false">AJ47/$F$26</f>
        <v>16.8319772175426</v>
      </c>
      <c r="AK50" s="13" t="n">
        <f aca="false">AK47/$F$26</f>
        <v>13.8125555398882</v>
      </c>
      <c r="AL50" s="13" t="n">
        <f aca="false">AL47/$F$26</f>
        <v>11.1519732139086</v>
      </c>
      <c r="AM50" s="13" t="n">
        <f aca="false">AM47/$F$26</f>
        <v>8.76855859313481</v>
      </c>
      <c r="AN50" s="13" t="n">
        <f aca="false">AN47/$F$26</f>
        <v>6.63592928630112</v>
      </c>
      <c r="AO50" s="13" t="n">
        <f aca="false">AO47/$F$26</f>
        <v>5.53951785773013</v>
      </c>
      <c r="AP50" s="13" t="n">
        <f aca="false">AP47/$F$26</f>
        <v>54.2583422674505</v>
      </c>
      <c r="AQ50" s="13" t="n">
        <f aca="false">AQ47/$F$26</f>
        <v>41.8232559374893</v>
      </c>
      <c r="AR50" s="13" t="n">
        <f aca="false">AR47/$F$26</f>
        <v>3.58188047588625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0.140316917383157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0.105237688037368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0.105237688037368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0.0350792293457893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0.0350792293457893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0.555244822925251</v>
      </c>
      <c r="L57" s="13" t="n">
        <f aca="false">Inputs!$F$75*L47</f>
        <v>0.707786924050688</v>
      </c>
      <c r="M57" s="13" t="n">
        <f aca="false">Inputs!$F$75*M47</f>
        <v>1.00058097635164</v>
      </c>
      <c r="N57" s="13" t="n">
        <f aca="false">Inputs!$F$75*N47</f>
        <v>1.44075770224127</v>
      </c>
      <c r="O57" s="13" t="n">
        <f aca="false">Inputs!$F$75*O47</f>
        <v>1.98537125905023</v>
      </c>
      <c r="P57" s="13" t="n">
        <f aca="false">Inputs!$F$75*P47</f>
        <v>2.58995607313536</v>
      </c>
      <c r="Q57" s="13" t="n">
        <f aca="false">Inputs!$F$75*Q47</f>
        <v>3.28750359341762</v>
      </c>
      <c r="R57" s="13" t="n">
        <f aca="false">Inputs!$F$75*R47</f>
        <v>3.98270713082005</v>
      </c>
      <c r="S57" s="13" t="n">
        <f aca="false">Inputs!$F$75*S47</f>
        <v>4.69063057128084</v>
      </c>
      <c r="T57" s="13" t="n">
        <f aca="false">Inputs!$F$75*T47</f>
        <v>5.35292414758765</v>
      </c>
      <c r="U57" s="13" t="n">
        <f aca="false">Inputs!$F$75*U47</f>
        <v>5.98813525075618</v>
      </c>
      <c r="V57" s="13" t="n">
        <f aca="false">Inputs!$F$75*V47</f>
        <v>6.54663681997605</v>
      </c>
      <c r="W57" s="13" t="n">
        <f aca="false">Inputs!$F$75*W47</f>
        <v>7.01111355885264</v>
      </c>
      <c r="X57" s="13" t="n">
        <f aca="false">Inputs!$F$75*X47</f>
        <v>7.39568244480347</v>
      </c>
      <c r="Y57" s="13" t="n">
        <f aca="false">Inputs!$F$75*Y47</f>
        <v>7.65177497286089</v>
      </c>
      <c r="Z57" s="13" t="n">
        <f aca="false">Inputs!$F$75*Z47</f>
        <v>7.81229860960923</v>
      </c>
      <c r="AA57" s="13" t="n">
        <f aca="false">Inputs!$F$75*AA47</f>
        <v>8.10398723844807</v>
      </c>
      <c r="AB57" s="13" t="n">
        <f aca="false">Inputs!$F$75*AB47</f>
        <v>7.73032589473958</v>
      </c>
      <c r="AC57" s="13" t="n">
        <f aca="false">Inputs!$F$75*AC47</f>
        <v>7.54684833766872</v>
      </c>
      <c r="AD57" s="13" t="n">
        <f aca="false">Inputs!$F$75*AD47</f>
        <v>7.21442894015281</v>
      </c>
      <c r="AE57" s="13" t="n">
        <f aca="false">Inputs!$F$75*AE47</f>
        <v>6.80709874227272</v>
      </c>
      <c r="AF57" s="13" t="n">
        <f aca="false">Inputs!$F$75*AF47</f>
        <v>6.28333444136188</v>
      </c>
      <c r="AG57" s="13" t="n">
        <f aca="false">Inputs!$F$75*AG47</f>
        <v>5.71640823424381</v>
      </c>
      <c r="AH57" s="13" t="n">
        <f aca="false">Inputs!$F$75*AH47</f>
        <v>5.08095769646496</v>
      </c>
      <c r="AI57" s="13" t="n">
        <f aca="false">Inputs!$F$75*AI47</f>
        <v>4.39835745522784</v>
      </c>
      <c r="AJ57" s="13" t="n">
        <f aca="false">Inputs!$F$75*AJ47</f>
        <v>3.73958999235515</v>
      </c>
      <c r="AK57" s="13" t="n">
        <f aca="false">Inputs!$F$75*AK47</f>
        <v>3.06875976590447</v>
      </c>
      <c r="AL57" s="13" t="n">
        <f aca="false">Inputs!$F$75*AL47</f>
        <v>2.4776535095521</v>
      </c>
      <c r="AM57" s="13" t="n">
        <f aca="false">Inputs!$F$75*AM47</f>
        <v>1.94812608991007</v>
      </c>
      <c r="AN57" s="13" t="n">
        <f aca="false">Inputs!$F$75*AN47</f>
        <v>1.47431608469412</v>
      </c>
      <c r="AO57" s="13" t="n">
        <f aca="false">Inputs!$F$75*AO47</f>
        <v>1.23072442859833</v>
      </c>
      <c r="AP57" s="13" t="n">
        <f aca="false">Inputs!$F$75*AP47</f>
        <v>12.0546713628906</v>
      </c>
      <c r="AQ57" s="13" t="n">
        <f aca="false">Inputs!$F$75*AQ47</f>
        <v>9.29194635485472</v>
      </c>
      <c r="AR57" s="13" t="n">
        <f aca="false">Inputs!$F$75*AR47</f>
        <v>0.795792687235593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0.407179536811851</v>
      </c>
      <c r="L58" s="13" t="n">
        <f aca="false">Inputs!$F$76*L47</f>
        <v>0.519043744303838</v>
      </c>
      <c r="M58" s="13" t="n">
        <f aca="false">Inputs!$F$76*M47</f>
        <v>0.733759382657868</v>
      </c>
      <c r="N58" s="13" t="n">
        <f aca="false">Inputs!$F$76*N47</f>
        <v>1.05655564831027</v>
      </c>
      <c r="O58" s="13" t="n">
        <f aca="false">Inputs!$F$76*O47</f>
        <v>1.4559389233035</v>
      </c>
      <c r="P58" s="13" t="n">
        <f aca="false">Inputs!$F$76*P47</f>
        <v>1.89930112029926</v>
      </c>
      <c r="Q58" s="13" t="n">
        <f aca="false">Inputs!$F$76*Q47</f>
        <v>2.41083596850625</v>
      </c>
      <c r="R58" s="13" t="n">
        <f aca="false">Inputs!$F$76*R47</f>
        <v>2.92065189593471</v>
      </c>
      <c r="S58" s="13" t="n">
        <f aca="false">Inputs!$F$76*S47</f>
        <v>3.43979575227262</v>
      </c>
      <c r="T58" s="13" t="n">
        <f aca="false">Inputs!$F$76*T47</f>
        <v>3.92547770823095</v>
      </c>
      <c r="U58" s="13" t="n">
        <f aca="false">Inputs!$F$76*U47</f>
        <v>4.39129918388787</v>
      </c>
      <c r="V58" s="13" t="n">
        <f aca="false">Inputs!$F$76*V47</f>
        <v>4.80086700131577</v>
      </c>
      <c r="W58" s="13" t="n">
        <f aca="false">Inputs!$F$76*W47</f>
        <v>5.14148327649194</v>
      </c>
      <c r="X58" s="13" t="n">
        <f aca="false">Inputs!$F$76*X47</f>
        <v>5.42350045952255</v>
      </c>
      <c r="Y58" s="13" t="n">
        <f aca="false">Inputs!$F$76*Y47</f>
        <v>5.61130164676465</v>
      </c>
      <c r="Z58" s="13" t="n">
        <f aca="false">Inputs!$F$76*Z47</f>
        <v>5.7290189803801</v>
      </c>
      <c r="AA58" s="13" t="n">
        <f aca="false">Inputs!$F$76*AA47</f>
        <v>5.94292397486192</v>
      </c>
      <c r="AB58" s="13" t="n">
        <f aca="false">Inputs!$F$76*AB47</f>
        <v>5.66890565614236</v>
      </c>
      <c r="AC58" s="13" t="n">
        <f aca="false">Inputs!$F$76*AC47</f>
        <v>5.53435544762372</v>
      </c>
      <c r="AD58" s="13" t="n">
        <f aca="false">Inputs!$F$76*AD47</f>
        <v>5.29058122277873</v>
      </c>
      <c r="AE58" s="13" t="n">
        <f aca="false">Inputs!$F$76*AE47</f>
        <v>4.991872411</v>
      </c>
      <c r="AF58" s="13" t="n">
        <f aca="false">Inputs!$F$76*AF47</f>
        <v>4.60777859033205</v>
      </c>
      <c r="AG58" s="13" t="n">
        <f aca="false">Inputs!$F$76*AG47</f>
        <v>4.19203270511212</v>
      </c>
      <c r="AH58" s="13" t="n">
        <f aca="false">Inputs!$F$76*AH47</f>
        <v>3.72603564407431</v>
      </c>
      <c r="AI58" s="13" t="n">
        <f aca="false">Inputs!$F$76*AI47</f>
        <v>3.22546213383375</v>
      </c>
      <c r="AJ58" s="13" t="n">
        <f aca="false">Inputs!$F$76*AJ47</f>
        <v>2.74236599439378</v>
      </c>
      <c r="AK58" s="13" t="n">
        <f aca="false">Inputs!$F$76*AK47</f>
        <v>2.25042382832994</v>
      </c>
      <c r="AL58" s="13" t="n">
        <f aca="false">Inputs!$F$76*AL47</f>
        <v>1.81694590700487</v>
      </c>
      <c r="AM58" s="13" t="n">
        <f aca="false">Inputs!$F$76*AM47</f>
        <v>1.42862579926738</v>
      </c>
      <c r="AN58" s="13" t="n">
        <f aca="false">Inputs!$F$76*AN47</f>
        <v>1.08116512877569</v>
      </c>
      <c r="AO58" s="13" t="n">
        <f aca="false">Inputs!$F$76*AO47</f>
        <v>0.902531247638774</v>
      </c>
      <c r="AP58" s="13" t="n">
        <f aca="false">Inputs!$F$76*AP47</f>
        <v>8.84009233278645</v>
      </c>
      <c r="AQ58" s="13" t="n">
        <f aca="false">Inputs!$F$76*AQ47</f>
        <v>6.81409399356013</v>
      </c>
      <c r="AR58" s="13" t="n">
        <f aca="false">Inputs!$F$76*AR47</f>
        <v>0.583581303972768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0.18508160764175</v>
      </c>
      <c r="L59" s="13" t="n">
        <f aca="false">Inputs!$F$77*L47</f>
        <v>0.235928974683563</v>
      </c>
      <c r="M59" s="13" t="n">
        <f aca="false">Inputs!$F$77*M47</f>
        <v>0.333526992117213</v>
      </c>
      <c r="N59" s="13" t="n">
        <f aca="false">Inputs!$F$77*N47</f>
        <v>0.480252567413758</v>
      </c>
      <c r="O59" s="13" t="n">
        <f aca="false">Inputs!$F$77*O47</f>
        <v>0.66179041968341</v>
      </c>
      <c r="P59" s="13" t="n">
        <f aca="false">Inputs!$F$77*P47</f>
        <v>0.863318691045119</v>
      </c>
      <c r="Q59" s="13" t="n">
        <f aca="false">Inputs!$F$77*Q47</f>
        <v>1.09583453113921</v>
      </c>
      <c r="R59" s="13" t="n">
        <f aca="false">Inputs!$F$77*R47</f>
        <v>1.32756904360668</v>
      </c>
      <c r="S59" s="13" t="n">
        <f aca="false">Inputs!$F$77*S47</f>
        <v>1.56354352376028</v>
      </c>
      <c r="T59" s="13" t="n">
        <f aca="false">Inputs!$F$77*T47</f>
        <v>1.78430804919589</v>
      </c>
      <c r="U59" s="13" t="n">
        <f aca="false">Inputs!$F$77*U47</f>
        <v>1.99604508358539</v>
      </c>
      <c r="V59" s="13" t="n">
        <f aca="false">Inputs!$F$77*V47</f>
        <v>2.18221227332535</v>
      </c>
      <c r="W59" s="13" t="n">
        <f aca="false">Inputs!$F$77*W47</f>
        <v>2.33703785295088</v>
      </c>
      <c r="X59" s="13" t="n">
        <f aca="false">Inputs!$F$77*X47</f>
        <v>2.46522748160116</v>
      </c>
      <c r="Y59" s="13" t="n">
        <f aca="false">Inputs!$F$77*Y47</f>
        <v>2.5505916576203</v>
      </c>
      <c r="Z59" s="13" t="n">
        <f aca="false">Inputs!$F$77*Z47</f>
        <v>2.60409953653641</v>
      </c>
      <c r="AA59" s="13" t="n">
        <f aca="false">Inputs!$F$77*AA47</f>
        <v>2.70132907948269</v>
      </c>
      <c r="AB59" s="13" t="n">
        <f aca="false">Inputs!$F$77*AB47</f>
        <v>2.57677529824653</v>
      </c>
      <c r="AC59" s="13" t="n">
        <f aca="false">Inputs!$F$77*AC47</f>
        <v>2.51561611255624</v>
      </c>
      <c r="AD59" s="13" t="n">
        <f aca="false">Inputs!$F$77*AD47</f>
        <v>2.40480964671761</v>
      </c>
      <c r="AE59" s="13" t="n">
        <f aca="false">Inputs!$F$77*AE47</f>
        <v>2.26903291409091</v>
      </c>
      <c r="AF59" s="13" t="n">
        <f aca="false">Inputs!$F$77*AF47</f>
        <v>2.09444481378729</v>
      </c>
      <c r="AG59" s="13" t="n">
        <f aca="false">Inputs!$F$77*AG47</f>
        <v>1.9054694114146</v>
      </c>
      <c r="AH59" s="13" t="n">
        <f aca="false">Inputs!$F$77*AH47</f>
        <v>1.69365256548832</v>
      </c>
      <c r="AI59" s="13" t="n">
        <f aca="false">Inputs!$F$77*AI47</f>
        <v>1.46611915174261</v>
      </c>
      <c r="AJ59" s="13" t="n">
        <f aca="false">Inputs!$F$77*AJ47</f>
        <v>1.24652999745172</v>
      </c>
      <c r="AK59" s="13" t="n">
        <f aca="false">Inputs!$F$77*AK47</f>
        <v>1.02291992196816</v>
      </c>
      <c r="AL59" s="13" t="n">
        <f aca="false">Inputs!$F$77*AL47</f>
        <v>0.825884503184033</v>
      </c>
      <c r="AM59" s="13" t="n">
        <f aca="false">Inputs!$F$77*AM47</f>
        <v>0.649375363303356</v>
      </c>
      <c r="AN59" s="13" t="n">
        <f aca="false">Inputs!$F$77*AN47</f>
        <v>0.491438694898041</v>
      </c>
      <c r="AO59" s="13" t="n">
        <f aca="false">Inputs!$F$77*AO47</f>
        <v>0.410241476199443</v>
      </c>
      <c r="AP59" s="13" t="n">
        <f aca="false">Inputs!$F$77*AP47</f>
        <v>4.01822378763021</v>
      </c>
      <c r="AQ59" s="13" t="n">
        <f aca="false">Inputs!$F$77*AQ47</f>
        <v>3.09731545161824</v>
      </c>
      <c r="AR59" s="13" t="n">
        <f aca="false">Inputs!$F$77*AR47</f>
        <v>0.265264229078531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0.703310109038651</v>
      </c>
      <c r="L60" s="13" t="n">
        <f aca="false">Inputs!$F$78*L47</f>
        <v>0.896530103797538</v>
      </c>
      <c r="M60" s="13" t="n">
        <f aca="false">Inputs!$F$78*M47</f>
        <v>1.26740257004541</v>
      </c>
      <c r="N60" s="13" t="n">
        <f aca="false">Inputs!$F$78*N47</f>
        <v>1.82495975617228</v>
      </c>
      <c r="O60" s="13" t="n">
        <f aca="false">Inputs!$F$78*O47</f>
        <v>2.51480359479696</v>
      </c>
      <c r="P60" s="13" t="n">
        <f aca="false">Inputs!$F$78*P47</f>
        <v>3.28061102597145</v>
      </c>
      <c r="Q60" s="13" t="n">
        <f aca="false">Inputs!$F$78*Q47</f>
        <v>4.16417121832898</v>
      </c>
      <c r="R60" s="13" t="n">
        <f aca="false">Inputs!$F$78*R47</f>
        <v>5.0447623657054</v>
      </c>
      <c r="S60" s="13" t="n">
        <f aca="false">Inputs!$F$78*S47</f>
        <v>5.94146539028907</v>
      </c>
      <c r="T60" s="13" t="n">
        <f aca="false">Inputs!$F$78*T47</f>
        <v>6.78037058694436</v>
      </c>
      <c r="U60" s="13" t="n">
        <f aca="false">Inputs!$F$78*U47</f>
        <v>7.5849713176245</v>
      </c>
      <c r="V60" s="13" t="n">
        <f aca="false">Inputs!$F$78*V47</f>
        <v>8.29240663863632</v>
      </c>
      <c r="W60" s="13" t="n">
        <f aca="false">Inputs!$F$78*W47</f>
        <v>8.88074384121335</v>
      </c>
      <c r="X60" s="13" t="n">
        <f aca="false">Inputs!$F$78*X47</f>
        <v>9.3678644300844</v>
      </c>
      <c r="Y60" s="13" t="n">
        <f aca="false">Inputs!$F$78*Y47</f>
        <v>9.69224829895713</v>
      </c>
      <c r="Z60" s="13" t="n">
        <f aca="false">Inputs!$F$78*Z47</f>
        <v>9.89557823883836</v>
      </c>
      <c r="AA60" s="13" t="n">
        <f aca="false">Inputs!$F$78*AA47</f>
        <v>10.2650505020342</v>
      </c>
      <c r="AB60" s="13" t="n">
        <f aca="false">Inputs!$F$78*AB47</f>
        <v>9.7917461333368</v>
      </c>
      <c r="AC60" s="13" t="n">
        <f aca="false">Inputs!$F$78*AC47</f>
        <v>9.55934122771371</v>
      </c>
      <c r="AD60" s="13" t="n">
        <f aca="false">Inputs!$F$78*AD47</f>
        <v>9.1382766575269</v>
      </c>
      <c r="AE60" s="13" t="n">
        <f aca="false">Inputs!$F$78*AE47</f>
        <v>8.62232507354545</v>
      </c>
      <c r="AF60" s="13" t="n">
        <f aca="false">Inputs!$F$78*AF47</f>
        <v>7.95889029239172</v>
      </c>
      <c r="AG60" s="13" t="n">
        <f aca="false">Inputs!$F$78*AG47</f>
        <v>7.24078376337549</v>
      </c>
      <c r="AH60" s="13" t="n">
        <f aca="false">Inputs!$F$78*AH47</f>
        <v>6.43587974885562</v>
      </c>
      <c r="AI60" s="13" t="n">
        <f aca="false">Inputs!$F$78*AI47</f>
        <v>5.57125277662193</v>
      </c>
      <c r="AJ60" s="13" t="n">
        <f aca="false">Inputs!$F$78*AJ47</f>
        <v>4.73681399031652</v>
      </c>
      <c r="AK60" s="13" t="n">
        <f aca="false">Inputs!$F$78*AK47</f>
        <v>3.88709570347899</v>
      </c>
      <c r="AL60" s="13" t="n">
        <f aca="false">Inputs!$F$78*AL47</f>
        <v>3.13836111209932</v>
      </c>
      <c r="AM60" s="13" t="n">
        <f aca="false">Inputs!$F$78*AM47</f>
        <v>2.46762638055275</v>
      </c>
      <c r="AN60" s="13" t="n">
        <f aca="false">Inputs!$F$78*AN47</f>
        <v>1.86746704061256</v>
      </c>
      <c r="AO60" s="13" t="n">
        <f aca="false">Inputs!$F$78*AO47</f>
        <v>1.55891760955788</v>
      </c>
      <c r="AP60" s="13" t="n">
        <f aca="false">Inputs!$F$78*AP47</f>
        <v>15.2692503929948</v>
      </c>
      <c r="AQ60" s="13" t="n">
        <f aca="false">Inputs!$F$78*AQ47</f>
        <v>11.7697987161493</v>
      </c>
      <c r="AR60" s="13" t="n">
        <f aca="false">Inputs!$F$78*AR47</f>
        <v>1.00800407049842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27.5696053714629</v>
      </c>
      <c r="L61" s="13" t="n">
        <f aca="false">L28+L57</f>
        <v>28.2773922955136</v>
      </c>
      <c r="M61" s="13" t="n">
        <f aca="false">M28+M57</f>
        <v>29.2779732718652</v>
      </c>
      <c r="N61" s="13" t="n">
        <f aca="false">N28+N57</f>
        <v>30.7187309741065</v>
      </c>
      <c r="O61" s="13" t="n">
        <f aca="false">O28+O57</f>
        <v>32.7041022331567</v>
      </c>
      <c r="P61" s="13" t="n">
        <f aca="false">P28+P57</f>
        <v>35.2940583062921</v>
      </c>
      <c r="Q61" s="13" t="n">
        <f aca="false">Q28+Q57</f>
        <v>38.5815618997097</v>
      </c>
      <c r="R61" s="13" t="n">
        <f aca="false">R28+R57</f>
        <v>42.5642690305297</v>
      </c>
      <c r="S61" s="13" t="n">
        <f aca="false">S28+S57</f>
        <v>47.2548996018106</v>
      </c>
      <c r="T61" s="13" t="n">
        <f aca="false">T28+T57</f>
        <v>52.6078237493982</v>
      </c>
      <c r="U61" s="13" t="n">
        <f aca="false">U28+U57</f>
        <v>58.5959590001544</v>
      </c>
      <c r="V61" s="13" t="n">
        <f aca="false">V28+V57</f>
        <v>65.1425958201305</v>
      </c>
      <c r="W61" s="13" t="n">
        <f aca="false">W28+W57</f>
        <v>72.1537093789831</v>
      </c>
      <c r="X61" s="13" t="n">
        <f aca="false">X28+X57</f>
        <v>79.5493918237866</v>
      </c>
      <c r="Y61" s="13" t="n">
        <f aca="false">Y28+Y57</f>
        <v>87.2011667966475</v>
      </c>
      <c r="Z61" s="13" t="n">
        <f aca="false">Z28+Z57</f>
        <v>95.0134654062567</v>
      </c>
      <c r="AA61" s="13" t="n">
        <f aca="false">AA28+AA57</f>
        <v>103.117452644705</v>
      </c>
      <c r="AB61" s="13" t="n">
        <f aca="false">AB28+AB57</f>
        <v>110.847778539444</v>
      </c>
      <c r="AC61" s="13" t="n">
        <f aca="false">AC28+AC57</f>
        <v>118.394626877113</v>
      </c>
      <c r="AD61" s="13" t="n">
        <f aca="false">AD28+AD57</f>
        <v>125.609055817266</v>
      </c>
      <c r="AE61" s="13" t="n">
        <f aca="false">AE28+AE57</f>
        <v>132.416154559539</v>
      </c>
      <c r="AF61" s="13" t="n">
        <f aca="false">AF28+AF57</f>
        <v>138.6994890009</v>
      </c>
      <c r="AG61" s="13" t="n">
        <f aca="false">AG28+AG57</f>
        <v>144.415897235144</v>
      </c>
      <c r="AH61" s="13" t="n">
        <f aca="false">AH28+AH57</f>
        <v>149.496854931609</v>
      </c>
      <c r="AI61" s="13" t="n">
        <f aca="false">AI28+AI57</f>
        <v>153.895212386837</v>
      </c>
      <c r="AJ61" s="13" t="n">
        <f aca="false">AJ28+AJ57</f>
        <v>157.634802379192</v>
      </c>
      <c r="AK61" s="13" t="n">
        <f aca="false">AK28+AK57</f>
        <v>160.703562145097</v>
      </c>
      <c r="AL61" s="13" t="n">
        <f aca="false">AL28+AL57</f>
        <v>163.181215654649</v>
      </c>
      <c r="AM61" s="13" t="n">
        <f aca="false">AM28+AM57</f>
        <v>165.129341744559</v>
      </c>
      <c r="AN61" s="13" t="n">
        <f aca="false">AN28+AN57</f>
        <v>166.603657829253</v>
      </c>
      <c r="AO61" s="13" t="n">
        <f aca="false">AO28+AO57</f>
        <v>167.834382257851</v>
      </c>
      <c r="AP61" s="13" t="n">
        <f aca="false">AP28+AP57</f>
        <v>179.889053620742</v>
      </c>
      <c r="AQ61" s="13" t="n">
        <f aca="false">AQ28+AQ57</f>
        <v>189.180999975597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20.2177106057395</v>
      </c>
      <c r="L62" s="13" t="n">
        <f aca="false">L29+L58</f>
        <v>20.7367543500433</v>
      </c>
      <c r="M62" s="13" t="n">
        <f aca="false">M29+M58</f>
        <v>21.4705137327012</v>
      </c>
      <c r="N62" s="13" t="n">
        <f aca="false">N29+N58</f>
        <v>22.5270693810114</v>
      </c>
      <c r="O62" s="13" t="n">
        <f aca="false">O29+O58</f>
        <v>23.9830083043149</v>
      </c>
      <c r="P62" s="13" t="n">
        <f aca="false">P29+P58</f>
        <v>25.8823094246142</v>
      </c>
      <c r="Q62" s="13" t="n">
        <f aca="false">Q29+Q58</f>
        <v>28.2931453931204</v>
      </c>
      <c r="R62" s="13" t="n">
        <f aca="false">R29+R58</f>
        <v>31.2137972890551</v>
      </c>
      <c r="S62" s="13" t="n">
        <f aca="false">S29+S58</f>
        <v>34.6535930413278</v>
      </c>
      <c r="T62" s="13" t="n">
        <f aca="false">T29+T58</f>
        <v>38.5790707495587</v>
      </c>
      <c r="U62" s="13" t="n">
        <f aca="false">U29+U58</f>
        <v>42.9703699334466</v>
      </c>
      <c r="V62" s="13" t="n">
        <f aca="false">V29+V58</f>
        <v>47.7712369347623</v>
      </c>
      <c r="W62" s="13" t="n">
        <f aca="false">W29+W58</f>
        <v>52.9127202112543</v>
      </c>
      <c r="X62" s="13" t="n">
        <f aca="false">X29+X58</f>
        <v>58.3362206707768</v>
      </c>
      <c r="Y62" s="13" t="n">
        <f aca="false">Y29+Y58</f>
        <v>63.9475223175415</v>
      </c>
      <c r="Z62" s="13" t="n">
        <f aca="false">Z29+Z58</f>
        <v>69.6765412979216</v>
      </c>
      <c r="AA62" s="13" t="n">
        <f aca="false">AA29+AA58</f>
        <v>75.6194652727835</v>
      </c>
      <c r="AB62" s="13" t="n">
        <f aca="false">AB29+AB58</f>
        <v>81.2883709289258</v>
      </c>
      <c r="AC62" s="13" t="n">
        <f aca="false">AC29+AC58</f>
        <v>86.8227263765496</v>
      </c>
      <c r="AD62" s="13" t="n">
        <f aca="false">AD29+AD58</f>
        <v>92.1133075993283</v>
      </c>
      <c r="AE62" s="13" t="n">
        <f aca="false">AE29+AE58</f>
        <v>97.1051800103283</v>
      </c>
      <c r="AF62" s="13" t="n">
        <f aca="false">AF29+AF58</f>
        <v>101.71295860066</v>
      </c>
      <c r="AG62" s="13" t="n">
        <f aca="false">AG29+AG58</f>
        <v>105.904991305772</v>
      </c>
      <c r="AH62" s="13" t="n">
        <f aca="false">AH29+AH58</f>
        <v>109.631026949847</v>
      </c>
      <c r="AI62" s="13" t="n">
        <f aca="false">AI29+AI58</f>
        <v>112.856489083681</v>
      </c>
      <c r="AJ62" s="13" t="n">
        <f aca="false">AJ29+AJ58</f>
        <v>115.598855078074</v>
      </c>
      <c r="AK62" s="13" t="n">
        <f aca="false">AK29+AK58</f>
        <v>117.849278906404</v>
      </c>
      <c r="AL62" s="13" t="n">
        <f aca="false">AL29+AL58</f>
        <v>119.666224813409</v>
      </c>
      <c r="AM62" s="13" t="n">
        <f aca="false">AM29+AM58</f>
        <v>121.094850612676</v>
      </c>
      <c r="AN62" s="13" t="n">
        <f aca="false">AN29+AN58</f>
        <v>122.176015741452</v>
      </c>
      <c r="AO62" s="13" t="n">
        <f aca="false">AO29+AO58</f>
        <v>123.078546989091</v>
      </c>
      <c r="AP62" s="13" t="n">
        <f aca="false">AP29+AP58</f>
        <v>131.918639321877</v>
      </c>
      <c r="AQ62" s="13" t="n">
        <f aca="false">AQ29+AQ58</f>
        <v>138.732733315438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9.1898684571543</v>
      </c>
      <c r="L63" s="13" t="n">
        <f aca="false">L30+L59</f>
        <v>9.42579743183786</v>
      </c>
      <c r="M63" s="13" t="n">
        <f aca="false">M30+M59</f>
        <v>9.75932442395507</v>
      </c>
      <c r="N63" s="13" t="n">
        <f aca="false">N30+N59</f>
        <v>10.2395769913688</v>
      </c>
      <c r="O63" s="13" t="n">
        <f aca="false">O30+O59</f>
        <v>10.9013674110522</v>
      </c>
      <c r="P63" s="13" t="n">
        <f aca="false">P30+P59</f>
        <v>11.7646861020974</v>
      </c>
      <c r="Q63" s="13" t="n">
        <f aca="false">Q30+Q59</f>
        <v>12.8605206332366</v>
      </c>
      <c r="R63" s="13" t="n">
        <f aca="false">R30+R59</f>
        <v>14.1880896768432</v>
      </c>
      <c r="S63" s="13" t="n">
        <f aca="false">S30+S59</f>
        <v>15.7516332006035</v>
      </c>
      <c r="T63" s="13" t="n">
        <f aca="false">T30+T59</f>
        <v>17.5359412497994</v>
      </c>
      <c r="U63" s="13" t="n">
        <f aca="false">U30+U59</f>
        <v>19.5319863333848</v>
      </c>
      <c r="V63" s="13" t="n">
        <f aca="false">V30+V59</f>
        <v>21.7141986067102</v>
      </c>
      <c r="W63" s="13" t="n">
        <f aca="false">W30+W59</f>
        <v>24.051236459661</v>
      </c>
      <c r="X63" s="13" t="n">
        <f aca="false">X30+X59</f>
        <v>26.5164639412622</v>
      </c>
      <c r="Y63" s="13" t="n">
        <f aca="false">Y30+Y59</f>
        <v>29.0670555988825</v>
      </c>
      <c r="Z63" s="13" t="n">
        <f aca="false">Z30+Z59</f>
        <v>31.6711551354189</v>
      </c>
      <c r="AA63" s="13" t="n">
        <f aca="false">AA30+AA59</f>
        <v>34.3724842149016</v>
      </c>
      <c r="AB63" s="13" t="n">
        <f aca="false">AB30+AB59</f>
        <v>36.9492595131481</v>
      </c>
      <c r="AC63" s="13" t="n">
        <f aca="false">AC30+AC59</f>
        <v>39.4648756257044</v>
      </c>
      <c r="AD63" s="13" t="n">
        <f aca="false">AD30+AD59</f>
        <v>41.869685272422</v>
      </c>
      <c r="AE63" s="13" t="n">
        <f aca="false">AE30+AE59</f>
        <v>44.1387181865129</v>
      </c>
      <c r="AF63" s="13" t="n">
        <f aca="false">AF30+AF59</f>
        <v>46.2331630003002</v>
      </c>
      <c r="AG63" s="13" t="n">
        <f aca="false">AG30+AG59</f>
        <v>48.1386324117148</v>
      </c>
      <c r="AH63" s="13" t="n">
        <f aca="false">AH30+AH59</f>
        <v>49.8322849772031</v>
      </c>
      <c r="AI63" s="13" t="n">
        <f aca="false">AI30+AI59</f>
        <v>51.2984041289457</v>
      </c>
      <c r="AJ63" s="13" t="n">
        <f aca="false">AJ30+AJ59</f>
        <v>52.5449341263974</v>
      </c>
      <c r="AK63" s="13" t="n">
        <f aca="false">AK30+AK59</f>
        <v>53.5678540483656</v>
      </c>
      <c r="AL63" s="13" t="n">
        <f aca="false">AL30+AL59</f>
        <v>54.3937385515496</v>
      </c>
      <c r="AM63" s="13" t="n">
        <f aca="false">AM30+AM59</f>
        <v>55.043113914853</v>
      </c>
      <c r="AN63" s="13" t="n">
        <f aca="false">AN30+AN59</f>
        <v>55.534552609751</v>
      </c>
      <c r="AO63" s="13" t="n">
        <f aca="false">AO30+AO59</f>
        <v>55.9447940859504</v>
      </c>
      <c r="AP63" s="13" t="n">
        <f aca="false">AP30+AP59</f>
        <v>59.9630178735807</v>
      </c>
      <c r="AQ63" s="13" t="n">
        <f aca="false">AQ30+AQ59</f>
        <v>63.0603333251989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34.9215001371863</v>
      </c>
      <c r="L64" s="13" t="n">
        <f aca="false">L31+L60</f>
        <v>35.8180302409839</v>
      </c>
      <c r="M64" s="13" t="n">
        <f aca="false">M31+M60</f>
        <v>37.0854328110293</v>
      </c>
      <c r="N64" s="13" t="n">
        <f aca="false">N31+N60</f>
        <v>38.9103925672016</v>
      </c>
      <c r="O64" s="13" t="n">
        <f aca="false">O31+O60</f>
        <v>41.4251961619985</v>
      </c>
      <c r="P64" s="13" t="n">
        <f aca="false">P31+P60</f>
        <v>44.70580718797</v>
      </c>
      <c r="Q64" s="13" t="n">
        <f aca="false">Q31+Q60</f>
        <v>48.8699784062989</v>
      </c>
      <c r="R64" s="13" t="n">
        <f aca="false">R31+R60</f>
        <v>53.9147407720043</v>
      </c>
      <c r="S64" s="13" t="n">
        <f aca="false">S31+S60</f>
        <v>59.8562061622934</v>
      </c>
      <c r="T64" s="13" t="n">
        <f aca="false">T31+T60</f>
        <v>66.6365767492378</v>
      </c>
      <c r="U64" s="13" t="n">
        <f aca="false">U31+U60</f>
        <v>74.2215480668623</v>
      </c>
      <c r="V64" s="13" t="n">
        <f aca="false">V31+V60</f>
        <v>82.5139547054986</v>
      </c>
      <c r="W64" s="13" t="n">
        <f aca="false">W31+W60</f>
        <v>91.3946985467119</v>
      </c>
      <c r="X64" s="13" t="n">
        <f aca="false">X31+X60</f>
        <v>100.762562976796</v>
      </c>
      <c r="Y64" s="13" t="n">
        <f aca="false">Y31+Y60</f>
        <v>110.454811275753</v>
      </c>
      <c r="Z64" s="13" t="n">
        <f aca="false">Z31+Z60</f>
        <v>120.350389514592</v>
      </c>
      <c r="AA64" s="13" t="n">
        <f aca="false">AA31+AA60</f>
        <v>130.615440016626</v>
      </c>
      <c r="AB64" s="13" t="n">
        <f aca="false">AB31+AB60</f>
        <v>140.407186149963</v>
      </c>
      <c r="AC64" s="13" t="n">
        <f aca="false">AC31+AC60</f>
        <v>149.966527377677</v>
      </c>
      <c r="AD64" s="13" t="n">
        <f aca="false">AD31+AD60</f>
        <v>159.104804035203</v>
      </c>
      <c r="AE64" s="13" t="n">
        <f aca="false">AE31+AE60</f>
        <v>167.727129108749</v>
      </c>
      <c r="AF64" s="13" t="n">
        <f aca="false">AF31+AF60</f>
        <v>175.686019401141</v>
      </c>
      <c r="AG64" s="13" t="n">
        <f aca="false">AG31+AG60</f>
        <v>182.926803164516</v>
      </c>
      <c r="AH64" s="13" t="n">
        <f aca="false">AH31+AH60</f>
        <v>189.362682913372</v>
      </c>
      <c r="AI64" s="13" t="n">
        <f aca="false">AI31+AI60</f>
        <v>194.933935689994</v>
      </c>
      <c r="AJ64" s="13" t="n">
        <f aca="false">AJ31+AJ60</f>
        <v>199.67074968031</v>
      </c>
      <c r="AK64" s="13" t="n">
        <f aca="false">AK31+AK60</f>
        <v>203.557845383789</v>
      </c>
      <c r="AL64" s="13" t="n">
        <f aca="false">AL31+AL60</f>
        <v>206.696206495888</v>
      </c>
      <c r="AM64" s="13" t="n">
        <f aca="false">AM31+AM60</f>
        <v>209.163832876441</v>
      </c>
      <c r="AN64" s="13" t="n">
        <f aca="false">AN31+AN60</f>
        <v>211.031299917054</v>
      </c>
      <c r="AO64" s="13" t="n">
        <f aca="false">AO31+AO60</f>
        <v>212.590217526612</v>
      </c>
      <c r="AP64" s="13" t="n">
        <f aca="false">AP31+AP60</f>
        <v>227.859467919606</v>
      </c>
      <c r="AQ64" s="13" t="n">
        <f aca="false">AQ31+AQ60</f>
        <v>239.629266635756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0.105237688037368</v>
      </c>
      <c r="AS65" s="13" t="n">
        <f aca="false">AS32+AS55</f>
        <v>0.105237688037368</v>
      </c>
      <c r="AT65" s="13" t="n">
        <f aca="false">AT32+AT55</f>
        <v>0.105237688037368</v>
      </c>
      <c r="AU65" s="13" t="n">
        <f aca="false">AU32+AU55</f>
        <v>0.105237688037368</v>
      </c>
      <c r="AV65" s="13" t="n">
        <f aca="false">AV32+AV55</f>
        <v>0.105237688037368</v>
      </c>
      <c r="AW65" s="13" t="n">
        <f aca="false">AW32+AW55</f>
        <v>0.105237688037368</v>
      </c>
      <c r="AX65" s="13" t="n">
        <f aca="false">AX32+AX55</f>
        <v>0.105237688037368</v>
      </c>
      <c r="AY65" s="13" t="n">
        <f aca="false">AY32+AY55</f>
        <v>0.105237688037368</v>
      </c>
      <c r="AZ65" s="13" t="n">
        <f aca="false">AZ32+AZ55</f>
        <v>0.105237688037368</v>
      </c>
      <c r="BA65" s="13" t="n">
        <f aca="false">BA32+BA55</f>
        <v>0.105237688037368</v>
      </c>
      <c r="BB65" s="13" t="n">
        <f aca="false">BB32+BB55</f>
        <v>0.105237688037368</v>
      </c>
      <c r="BC65" s="13" t="n">
        <f aca="false">BC32+BC55</f>
        <v>0.105237688037368</v>
      </c>
      <c r="BD65" s="13" t="n">
        <f aca="false">BD32+BD55</f>
        <v>0.105237688037368</v>
      </c>
      <c r="BE65" s="13" t="n">
        <f aca="false">BE32+BE55</f>
        <v>0.105237688037368</v>
      </c>
      <c r="BF65" s="13" t="n">
        <f aca="false">BF32+BF55</f>
        <v>0.105237688037368</v>
      </c>
      <c r="BG65" s="13" t="n">
        <f aca="false">BG32+BG55</f>
        <v>0.105237688037368</v>
      </c>
      <c r="BH65" s="13" t="n">
        <f aca="false">BH32+BH55</f>
        <v>0.105237688037368</v>
      </c>
      <c r="BI65" s="13" t="n">
        <f aca="false">BI32+BI55</f>
        <v>0.105237688037368</v>
      </c>
      <c r="BJ65" s="13" t="n">
        <f aca="false">BJ32+BJ55</f>
        <v>0.105237688037368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221.868846813397</v>
      </c>
      <c r="J67" s="13" t="n">
        <f aca="false">J50-J47+J56</f>
        <v>31.5443654741124</v>
      </c>
      <c r="K67" s="13" t="n">
        <f aca="false">K50-K47+K56</f>
        <v>0.648353145005725</v>
      </c>
      <c r="L67" s="13" t="n">
        <f aca="false">L50-L47+L56</f>
        <v>0.82647484362762</v>
      </c>
      <c r="M67" s="13" t="n">
        <f aca="false">M50-M47+M56</f>
        <v>1.16836717077832</v>
      </c>
      <c r="N67" s="13" t="n">
        <f aca="false">N50-N47+N56</f>
        <v>1.68235659095034</v>
      </c>
      <c r="O67" s="13" t="n">
        <f aca="false">O50-O47+O56</f>
        <v>2.31829572588826</v>
      </c>
      <c r="P67" s="13" t="n">
        <f aca="false">P50-P47+P56</f>
        <v>3.02426262454328</v>
      </c>
      <c r="Q67" s="13" t="n">
        <f aca="false">Q50-Q47+Q56</f>
        <v>3.83878103136655</v>
      </c>
      <c r="R67" s="13" t="n">
        <f aca="false">R50-R47+R56</f>
        <v>4.65056239570114</v>
      </c>
      <c r="S67" s="13" t="n">
        <f aca="false">S50-S47+S56</f>
        <v>5.47719664800792</v>
      </c>
      <c r="T67" s="13" t="n">
        <f aca="false">T50-T47+T56</f>
        <v>6.25054942030998</v>
      </c>
      <c r="U67" s="13" t="n">
        <f aca="false">U50-U47+U56</f>
        <v>6.99227829283171</v>
      </c>
      <c r="V67" s="13" t="n">
        <f aca="false">V50-V47+V56</f>
        <v>7.64443430391635</v>
      </c>
      <c r="W67" s="13" t="n">
        <f aca="false">W50-W47+W56</f>
        <v>8.18679857639366</v>
      </c>
      <c r="X67" s="13" t="n">
        <f aca="false">X50-X47+X56</f>
        <v>8.63585534627755</v>
      </c>
      <c r="Y67" s="13" t="n">
        <f aca="false">Y50-Y47+Y56</f>
        <v>8.93489171568256</v>
      </c>
      <c r="Z67" s="13" t="n">
        <f aca="false">Z50-Z47+Z56</f>
        <v>9.12233336382838</v>
      </c>
      <c r="AA67" s="13" t="n">
        <f aca="false">AA50-AA47+AA56</f>
        <v>9.46293490041493</v>
      </c>
      <c r="AB67" s="13" t="n">
        <f aca="false">AB50-AB47+AB56</f>
        <v>9.02661474512899</v>
      </c>
      <c r="AC67" s="13" t="n">
        <f aca="false">AC50-AC47+AC56</f>
        <v>8.81237006196717</v>
      </c>
      <c r="AD67" s="13" t="n">
        <f aca="false">AD50-AD47+AD56</f>
        <v>8.4242076641534</v>
      </c>
      <c r="AE67" s="13" t="n">
        <f aca="false">AE50-AE47+AE56</f>
        <v>7.94857276591156</v>
      </c>
      <c r="AF67" s="13" t="n">
        <f aca="false">AF50-AF47+AF56</f>
        <v>7.33697907297409</v>
      </c>
      <c r="AG67" s="13" t="n">
        <f aca="false">AG50-AG47+AG56</f>
        <v>6.67498570681414</v>
      </c>
      <c r="AH67" s="13" t="n">
        <f aca="false">AH50-AH47+AH56</f>
        <v>5.9329772491865</v>
      </c>
      <c r="AI67" s="13" t="n">
        <f aca="false">AI50-AI47+AI56</f>
        <v>5.13591261226447</v>
      </c>
      <c r="AJ67" s="13" t="n">
        <f aca="false">AJ50-AJ47+AJ56</f>
        <v>4.36667724302547</v>
      </c>
      <c r="AK67" s="13" t="n">
        <f aca="false">AK50-AK47+AK56</f>
        <v>3.58335632020661</v>
      </c>
      <c r="AL67" s="13" t="n">
        <f aca="false">AL50-AL47+AL56</f>
        <v>2.89312818206832</v>
      </c>
      <c r="AM67" s="13" t="n">
        <f aca="false">AM50-AM47+AM56</f>
        <v>2.27480496010125</v>
      </c>
      <c r="AN67" s="13" t="n">
        <f aca="false">AN50-AN47+AN56</f>
        <v>1.72154233732071</v>
      </c>
      <c r="AO67" s="13" t="n">
        <f aca="false">AO50-AO47+AO56</f>
        <v>1.4371030957357</v>
      </c>
      <c r="AP67" s="13" t="n">
        <f aca="false">AP50-AP47+AP56</f>
        <v>14.0761043911485</v>
      </c>
      <c r="AQ67" s="13" t="n">
        <f aca="false">AQ50-AQ47+AQ56</f>
        <v>10.8501014213069</v>
      </c>
      <c r="AR67" s="13" t="n">
        <f aca="false">AR50-AR47+AR56</f>
        <v>0.964317414446731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207.668846813397</v>
      </c>
      <c r="J68" s="13" t="n">
        <f aca="false">J67-IF(Construction!J8=1,Inputs!$F$68,0)</f>
        <v>17.3443654741124</v>
      </c>
      <c r="K68" s="13" t="n">
        <f aca="false">K67-IF(Construction!K8=1,Inputs!$F$68,0)</f>
        <v>0.648353145005725</v>
      </c>
      <c r="L68" s="13" t="n">
        <f aca="false">L67-IF(Construction!L8=1,Inputs!$F$68,0)</f>
        <v>0.82647484362762</v>
      </c>
      <c r="M68" s="13" t="n">
        <f aca="false">M67-IF(Construction!M8=1,Inputs!$F$68,0)</f>
        <v>1.16836717077832</v>
      </c>
      <c r="N68" s="13" t="n">
        <f aca="false">N67-IF(Construction!N8=1,Inputs!$F$68,0)</f>
        <v>1.68235659095034</v>
      </c>
      <c r="O68" s="13" t="n">
        <f aca="false">O67-IF(Construction!O8=1,Inputs!$F$68,0)</f>
        <v>2.31829572588826</v>
      </c>
      <c r="P68" s="13" t="n">
        <f aca="false">P67-IF(Construction!P8=1,Inputs!$F$68,0)</f>
        <v>3.02426262454328</v>
      </c>
      <c r="Q68" s="13" t="n">
        <f aca="false">Q67-IF(Construction!Q8=1,Inputs!$F$68,0)</f>
        <v>3.83878103136655</v>
      </c>
      <c r="R68" s="13" t="n">
        <f aca="false">R67-IF(Construction!R8=1,Inputs!$F$68,0)</f>
        <v>4.65056239570114</v>
      </c>
      <c r="S68" s="13" t="n">
        <f aca="false">S67-IF(Construction!S8=1,Inputs!$F$68,0)</f>
        <v>5.47719664800792</v>
      </c>
      <c r="T68" s="13" t="n">
        <f aca="false">T67-IF(Construction!T8=1,Inputs!$F$68,0)</f>
        <v>6.25054942030998</v>
      </c>
      <c r="U68" s="13" t="n">
        <f aca="false">U67-IF(Construction!U8=1,Inputs!$F$68,0)</f>
        <v>6.99227829283171</v>
      </c>
      <c r="V68" s="13" t="n">
        <f aca="false">V67-IF(Construction!V8=1,Inputs!$F$68,0)</f>
        <v>7.64443430391635</v>
      </c>
      <c r="W68" s="13" t="n">
        <f aca="false">W67-IF(Construction!W8=1,Inputs!$F$68,0)</f>
        <v>8.18679857639366</v>
      </c>
      <c r="X68" s="13" t="n">
        <f aca="false">X67-IF(Construction!X8=1,Inputs!$F$68,0)</f>
        <v>8.63585534627755</v>
      </c>
      <c r="Y68" s="13" t="n">
        <f aca="false">Y67-IF(Construction!Y8=1,Inputs!$F$68,0)</f>
        <v>8.93489171568256</v>
      </c>
      <c r="Z68" s="13" t="n">
        <f aca="false">Z67-IF(Construction!Z8=1,Inputs!$F$68,0)</f>
        <v>9.12233336382838</v>
      </c>
      <c r="AA68" s="13" t="n">
        <f aca="false">AA67-IF(Construction!AA8=1,Inputs!$F$68,0)</f>
        <v>9.46293490041493</v>
      </c>
      <c r="AB68" s="13" t="n">
        <f aca="false">AB67-IF(Construction!AB8=1,Inputs!$F$68,0)</f>
        <v>9.02661474512899</v>
      </c>
      <c r="AC68" s="13" t="n">
        <f aca="false">AC67-IF(Construction!AC8=1,Inputs!$F$68,0)</f>
        <v>8.81237006196717</v>
      </c>
      <c r="AD68" s="13" t="n">
        <f aca="false">AD67-IF(Construction!AD8=1,Inputs!$F$68,0)</f>
        <v>8.4242076641534</v>
      </c>
      <c r="AE68" s="13" t="n">
        <f aca="false">AE67-IF(Construction!AE8=1,Inputs!$F$68,0)</f>
        <v>7.94857276591156</v>
      </c>
      <c r="AF68" s="13" t="n">
        <f aca="false">AF67-IF(Construction!AF8=1,Inputs!$F$68,0)</f>
        <v>7.33697907297409</v>
      </c>
      <c r="AG68" s="13" t="n">
        <f aca="false">AG67-IF(Construction!AG8=1,Inputs!$F$68,0)</f>
        <v>6.67498570681414</v>
      </c>
      <c r="AH68" s="13" t="n">
        <f aca="false">AH67-IF(Construction!AH8=1,Inputs!$F$68,0)</f>
        <v>5.9329772491865</v>
      </c>
      <c r="AI68" s="13" t="n">
        <f aca="false">AI67-IF(Construction!AI8=1,Inputs!$F$68,0)</f>
        <v>5.13591261226447</v>
      </c>
      <c r="AJ68" s="13" t="n">
        <f aca="false">AJ67-IF(Construction!AJ8=1,Inputs!$F$68,0)</f>
        <v>4.36667724302547</v>
      </c>
      <c r="AK68" s="13" t="n">
        <f aca="false">AK67-IF(Construction!AK8=1,Inputs!$F$68,0)</f>
        <v>3.58335632020661</v>
      </c>
      <c r="AL68" s="13" t="n">
        <f aca="false">AL67-IF(Construction!AL8=1,Inputs!$F$68,0)</f>
        <v>2.89312818206832</v>
      </c>
      <c r="AM68" s="13" t="n">
        <f aca="false">AM67-IF(Construction!AM8=1,Inputs!$F$68,0)</f>
        <v>2.27480496010125</v>
      </c>
      <c r="AN68" s="13" t="n">
        <f aca="false">AN67-IF(Construction!AN8=1,Inputs!$F$68,0)</f>
        <v>1.72154233732071</v>
      </c>
      <c r="AO68" s="13" t="n">
        <f aca="false">AO67-IF(Construction!AO8=1,Inputs!$F$68,0)</f>
        <v>1.4371030957357</v>
      </c>
      <c r="AP68" s="13" t="n">
        <f aca="false">AP67-IF(Construction!AP8=1,Inputs!$F$68,0)</f>
        <v>14.0761043911485</v>
      </c>
      <c r="AQ68" s="13" t="n">
        <f aca="false">AQ67-IF(Construction!AQ8=1,Inputs!$F$68,0)</f>
        <v>10.8501014213069</v>
      </c>
      <c r="AR68" s="13" t="n">
        <f aca="false">AR67-IF(Construction!AR8=1,Inputs!$F$68,0)</f>
        <v>0.964317414446731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44.3737693626794</v>
      </c>
      <c r="J69" s="13" t="n">
        <f aca="false">(1-Inputs!$F$53)*J67</f>
        <v>6.30887309482249</v>
      </c>
      <c r="K69" s="13" t="n">
        <f aca="false">(1-Inputs!$F$53)*K67</f>
        <v>0.129670629001145</v>
      </c>
      <c r="L69" s="13" t="n">
        <f aca="false">(1-Inputs!$F$53)*L67</f>
        <v>0.165294968725524</v>
      </c>
      <c r="M69" s="13" t="n">
        <f aca="false">(1-Inputs!$F$53)*M67</f>
        <v>0.233673434155664</v>
      </c>
      <c r="N69" s="13" t="n">
        <f aca="false">(1-Inputs!$F$53)*N67</f>
        <v>0.336471318190068</v>
      </c>
      <c r="O69" s="13" t="n">
        <f aca="false">(1-Inputs!$F$53)*O67</f>
        <v>0.463659145177652</v>
      </c>
      <c r="P69" s="13" t="n">
        <f aca="false">(1-Inputs!$F$53)*P67</f>
        <v>0.604852524908655</v>
      </c>
      <c r="Q69" s="13" t="n">
        <f aca="false">(1-Inputs!$F$53)*Q67</f>
        <v>0.767756206273311</v>
      </c>
      <c r="R69" s="13" t="n">
        <f aca="false">(1-Inputs!$F$53)*R67</f>
        <v>0.930112479140228</v>
      </c>
      <c r="S69" s="13" t="n">
        <f aca="false">(1-Inputs!$F$53)*S67</f>
        <v>1.09543932960158</v>
      </c>
      <c r="T69" s="13" t="n">
        <f aca="false">(1-Inputs!$F$53)*T67</f>
        <v>1.250109884062</v>
      </c>
      <c r="U69" s="13" t="n">
        <f aca="false">(1-Inputs!$F$53)*U67</f>
        <v>1.39845565856634</v>
      </c>
      <c r="V69" s="13" t="n">
        <f aca="false">(1-Inputs!$F$53)*V67</f>
        <v>1.52888686078327</v>
      </c>
      <c r="W69" s="13" t="n">
        <f aca="false">(1-Inputs!$F$53)*W67</f>
        <v>1.63735971527873</v>
      </c>
      <c r="X69" s="13" t="n">
        <f aca="false">(1-Inputs!$F$53)*X67</f>
        <v>1.72717106925551</v>
      </c>
      <c r="Y69" s="13" t="n">
        <f aca="false">(1-Inputs!$F$53)*Y67</f>
        <v>1.78697834313651</v>
      </c>
      <c r="Z69" s="13" t="n">
        <f aca="false">(1-Inputs!$F$53)*Z67</f>
        <v>1.82446667276568</v>
      </c>
      <c r="AA69" s="13" t="n">
        <f aca="false">(1-Inputs!$F$53)*AA67</f>
        <v>1.89258698008299</v>
      </c>
      <c r="AB69" s="13" t="n">
        <f aca="false">(1-Inputs!$F$53)*AB67</f>
        <v>1.8053229490258</v>
      </c>
      <c r="AC69" s="13" t="n">
        <f aca="false">(1-Inputs!$F$53)*AC67</f>
        <v>1.76247401239343</v>
      </c>
      <c r="AD69" s="13" t="n">
        <f aca="false">(1-Inputs!$F$53)*AD67</f>
        <v>1.68484153283068</v>
      </c>
      <c r="AE69" s="13" t="n">
        <f aca="false">(1-Inputs!$F$53)*AE67</f>
        <v>1.58971455318231</v>
      </c>
      <c r="AF69" s="13" t="n">
        <f aca="false">(1-Inputs!$F$53)*AF67</f>
        <v>1.46739581459482</v>
      </c>
      <c r="AG69" s="13" t="n">
        <f aca="false">(1-Inputs!$F$53)*AG67</f>
        <v>1.33499714136283</v>
      </c>
      <c r="AH69" s="13" t="n">
        <f aca="false">(1-Inputs!$F$53)*AH67</f>
        <v>1.1865954498373</v>
      </c>
      <c r="AI69" s="13" t="n">
        <f aca="false">(1-Inputs!$F$53)*AI67</f>
        <v>1.02718252245289</v>
      </c>
      <c r="AJ69" s="13" t="n">
        <f aca="false">(1-Inputs!$F$53)*AJ67</f>
        <v>0.873335448605093</v>
      </c>
      <c r="AK69" s="13" t="n">
        <f aca="false">(1-Inputs!$F$53)*AK67</f>
        <v>0.716671264041321</v>
      </c>
      <c r="AL69" s="13" t="n">
        <f aca="false">(1-Inputs!$F$53)*AL67</f>
        <v>0.578625636413663</v>
      </c>
      <c r="AM69" s="13" t="n">
        <f aca="false">(1-Inputs!$F$53)*AM67</f>
        <v>0.454960992020249</v>
      </c>
      <c r="AN69" s="13" t="n">
        <f aca="false">(1-Inputs!$F$53)*AN67</f>
        <v>0.344308467464142</v>
      </c>
      <c r="AO69" s="13" t="n">
        <f aca="false">(1-Inputs!$F$53)*AO67</f>
        <v>0.287420619147141</v>
      </c>
      <c r="AP69" s="13" t="n">
        <f aca="false">(1-Inputs!$F$53)*AP67</f>
        <v>2.8152208782297</v>
      </c>
      <c r="AQ69" s="13" t="n">
        <f aca="false">(1-Inputs!$F$53)*AQ67</f>
        <v>2.17002028426137</v>
      </c>
      <c r="AR69" s="13" t="n">
        <f aca="false">(1-Inputs!$F$53)*AR67</f>
        <v>0.192863482889346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177.495077450718</v>
      </c>
      <c r="J70" s="13" t="n">
        <f aca="false">Inputs!$F$53*J67</f>
        <v>25.23549237929</v>
      </c>
      <c r="K70" s="13" t="n">
        <f aca="false">Inputs!$F$53*K67</f>
        <v>0.51868251600458</v>
      </c>
      <c r="L70" s="13" t="n">
        <f aca="false">Inputs!$F$53*L67</f>
        <v>0.661179874902096</v>
      </c>
      <c r="M70" s="13" t="n">
        <f aca="false">Inputs!$F$53*M67</f>
        <v>0.934693736622655</v>
      </c>
      <c r="N70" s="13" t="n">
        <f aca="false">Inputs!$F$53*N67</f>
        <v>1.34588527276027</v>
      </c>
      <c r="O70" s="13" t="n">
        <f aca="false">Inputs!$F$53*O67</f>
        <v>1.85463658071061</v>
      </c>
      <c r="P70" s="13" t="n">
        <f aca="false">Inputs!$F$53*P67</f>
        <v>2.41941009963462</v>
      </c>
      <c r="Q70" s="13" t="n">
        <f aca="false">Inputs!$F$53*Q67</f>
        <v>3.07102482509324</v>
      </c>
      <c r="R70" s="13" t="n">
        <f aca="false">Inputs!$F$53*R67</f>
        <v>3.72044991656091</v>
      </c>
      <c r="S70" s="13" t="n">
        <f aca="false">Inputs!$F$53*S67</f>
        <v>4.38175731840634</v>
      </c>
      <c r="T70" s="13" t="n">
        <f aca="false">Inputs!$F$53*T67</f>
        <v>5.00043953624799</v>
      </c>
      <c r="U70" s="13" t="n">
        <f aca="false">Inputs!$F$53*U67</f>
        <v>5.59382263426537</v>
      </c>
      <c r="V70" s="13" t="n">
        <f aca="false">Inputs!$F$53*V67</f>
        <v>6.11554744313308</v>
      </c>
      <c r="W70" s="13" t="n">
        <f aca="false">Inputs!$F$53*W67</f>
        <v>6.54943886111493</v>
      </c>
      <c r="X70" s="13" t="n">
        <f aca="false">Inputs!$F$53*X67</f>
        <v>6.90868427702204</v>
      </c>
      <c r="Y70" s="13" t="n">
        <f aca="false">Inputs!$F$53*Y67</f>
        <v>7.14791337254605</v>
      </c>
      <c r="Z70" s="13" t="n">
        <f aca="false">Inputs!$F$53*Z67</f>
        <v>7.29786669106271</v>
      </c>
      <c r="AA70" s="13" t="n">
        <f aca="false">Inputs!$F$53*AA67</f>
        <v>7.57034792033195</v>
      </c>
      <c r="AB70" s="13" t="n">
        <f aca="false">Inputs!$F$53*AB67</f>
        <v>7.22129179610319</v>
      </c>
      <c r="AC70" s="13" t="n">
        <f aca="false">Inputs!$F$53*AC67</f>
        <v>7.04989604957373</v>
      </c>
      <c r="AD70" s="13" t="n">
        <f aca="false">Inputs!$F$53*AD67</f>
        <v>6.73936613132272</v>
      </c>
      <c r="AE70" s="13" t="n">
        <f aca="false">Inputs!$F$53*AE67</f>
        <v>6.35885821272925</v>
      </c>
      <c r="AF70" s="13" t="n">
        <f aca="false">Inputs!$F$53*AF67</f>
        <v>5.86958325837927</v>
      </c>
      <c r="AG70" s="13" t="n">
        <f aca="false">Inputs!$F$53*AG67</f>
        <v>5.33998856545131</v>
      </c>
      <c r="AH70" s="13" t="n">
        <f aca="false">Inputs!$F$53*AH67</f>
        <v>4.7463817993492</v>
      </c>
      <c r="AI70" s="13" t="n">
        <f aca="false">Inputs!$F$53*AI67</f>
        <v>4.10873008981158</v>
      </c>
      <c r="AJ70" s="13" t="n">
        <f aca="false">Inputs!$F$53*AJ67</f>
        <v>3.49334179442037</v>
      </c>
      <c r="AK70" s="13" t="n">
        <f aca="false">Inputs!$F$53*AK67</f>
        <v>2.86668505616529</v>
      </c>
      <c r="AL70" s="13" t="n">
        <f aca="false">Inputs!$F$53*AL67</f>
        <v>2.31450254565465</v>
      </c>
      <c r="AM70" s="13" t="n">
        <f aca="false">Inputs!$F$53*AM67</f>
        <v>1.819843968081</v>
      </c>
      <c r="AN70" s="13" t="n">
        <f aca="false">Inputs!$F$53*AN67</f>
        <v>1.37723386985657</v>
      </c>
      <c r="AO70" s="13" t="n">
        <f aca="false">Inputs!$F$53*AO67</f>
        <v>1.14968247658856</v>
      </c>
      <c r="AP70" s="13" t="n">
        <f aca="false">Inputs!$F$53*AP67</f>
        <v>11.2608835129188</v>
      </c>
      <c r="AQ70" s="13" t="n">
        <f aca="false">Inputs!$F$53*AQ67</f>
        <v>8.68008113704549</v>
      </c>
      <c r="AR70" s="13" t="n">
        <f aca="false">Inputs!$F$53*AR67</f>
        <v>0.771453931557385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24.1949872345512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0.209387233970628</v>
      </c>
      <c r="M71" s="13" t="n">
        <f aca="false">IF(Construction!M8&lt;=Time!$F$11,L72*Inputs!$F$104/100*Construction!M11/Inputs!$F$248,0)</f>
        <v>0.209430385863657</v>
      </c>
      <c r="N71" s="13" t="n">
        <f aca="false">IF(Construction!N8&lt;=Time!$F$11,M72*Inputs!$F$104/100*Construction!N11/Inputs!$F$248,0)</f>
        <v>0.225642756371594</v>
      </c>
      <c r="O71" s="13" t="n">
        <f aca="false">IF(Construction!O8&lt;=Time!$F$11,N72*Inputs!$F$104/100*Construction!O11/Inputs!$F$248,0)</f>
        <v>0.238322619510754</v>
      </c>
      <c r="P71" s="13" t="n">
        <f aca="false">IF(Construction!P8&lt;=Time!$F$11,O72*Inputs!$F$104/100*Construction!P11/Inputs!$F$248,0)</f>
        <v>0.230511938758299</v>
      </c>
      <c r="Q71" s="13" t="n">
        <f aca="false">IF(Construction!Q8&lt;=Time!$F$11,P72*Inputs!$F$104/100*Construction!Q11/Inputs!$F$248,0)</f>
        <v>0.276590524299025</v>
      </c>
      <c r="R71" s="13" t="n">
        <f aca="false">IF(Construction!R8&lt;=Time!$F$11,Q72*Inputs!$F$104/100*Construction!R11/Inputs!$F$248,0)</f>
        <v>0.293807163693604</v>
      </c>
      <c r="S71" s="13" t="n">
        <f aca="false">IF(Construction!S8&lt;=Time!$F$11,R72*Inputs!$F$104/100*Construction!S11/Inputs!$F$248,0)</f>
        <v>0.335989741573846</v>
      </c>
      <c r="T71" s="13" t="n">
        <f aca="false">IF(Construction!T8&lt;=Time!$F$11,S72*Inputs!$F$104/100*Construction!T11/Inputs!$F$248,0)</f>
        <v>0.361988565884478</v>
      </c>
      <c r="U71" s="13" t="n">
        <f aca="false">IF(Construction!U8&lt;=Time!$F$11,T72*Inputs!$F$104/100*Construction!U11/Inputs!$F$248,0)</f>
        <v>0.417321565827057</v>
      </c>
      <c r="V71" s="13" t="n">
        <f aca="false">IF(Construction!V8&lt;=Time!$F$11,U72*Inputs!$F$104/100*Construction!V11/Inputs!$F$248,0)</f>
        <v>0.465822441633282</v>
      </c>
      <c r="W71" s="13" t="n">
        <f aca="false">IF(Construction!W8&lt;=Time!$F$11,V72*Inputs!$F$104/100*Construction!W11/Inputs!$F$248,0)</f>
        <v>0.5021846898103</v>
      </c>
      <c r="X71" s="13" t="n">
        <f aca="false">IF(Construction!X8&lt;=Time!$F$11,W72*Inputs!$F$104/100*Construction!X11/Inputs!$F$248,0)</f>
        <v>0.575820155792492</v>
      </c>
      <c r="Y71" s="13" t="n">
        <f aca="false">IF(Construction!Y8&lt;=Time!$F$11,X72*Inputs!$F$104/100*Construction!Y11/Inputs!$F$248,0)</f>
        <v>0.615685963107994</v>
      </c>
      <c r="Z71" s="13" t="n">
        <f aca="false">IF(Construction!Z8&lt;=Time!$F$11,Y72*Inputs!$F$104/100*Construction!Z11/Inputs!$F$248,0)</f>
        <v>0.698849376609314</v>
      </c>
      <c r="AA71" s="13" t="n">
        <f aca="false">IF(Construction!AA8&lt;=Time!$F$11,Z72*Inputs!$F$104/100*Construction!AA11/Inputs!$F$248,0)</f>
        <v>0.763370825429298</v>
      </c>
      <c r="AB71" s="13" t="n">
        <f aca="false">IF(Construction!AB8&lt;=Time!$F$11,AA72*Inputs!$F$104/100*Construction!AB11/Inputs!$F$248,0)</f>
        <v>0.777023547207323</v>
      </c>
      <c r="AC71" s="13" t="n">
        <f aca="false">IF(Construction!AC8&lt;=Time!$F$11,AB72*Inputs!$F$104/100*Construction!AC11/Inputs!$F$248,0)</f>
        <v>0.895145730613726</v>
      </c>
      <c r="AD71" s="13" t="n">
        <f aca="false">IF(Construction!AD8&lt;=Time!$F$11,AC72*Inputs!$F$104/100*Construction!AD11/Inputs!$F$248,0)</f>
        <v>0.928306689482975</v>
      </c>
      <c r="AE71" s="13" t="n">
        <f aca="false">IF(Construction!AE8&lt;=Time!$F$11,AD72*Inputs!$F$104/100*Construction!AE11/Inputs!$F$248,0)</f>
        <v>1.02111681143544</v>
      </c>
      <c r="AF71" s="13" t="n">
        <f aca="false">IF(Construction!AF8&lt;=Time!$F$11,AE72*Inputs!$F$104/100*Construction!AF11/Inputs!$F$248,0)</f>
        <v>1.0458020219711</v>
      </c>
      <c r="AG71" s="13" t="n">
        <f aca="false">IF(Construction!AG8&lt;=Time!$F$11,AF72*Inputs!$F$104/100*Construction!AG11/Inputs!$F$248,0)</f>
        <v>1.13645882813899</v>
      </c>
      <c r="AH71" s="13" t="n">
        <f aca="false">IF(Construction!AH8&lt;=Time!$F$11,AG72*Inputs!$F$104/100*Construction!AH11/Inputs!$F$248,0)</f>
        <v>1.18871399957495</v>
      </c>
      <c r="AI71" s="13" t="n">
        <f aca="false">IF(Construction!AI8&lt;=Time!$F$11,AH72*Inputs!$F$104/100*Construction!AI11/Inputs!$F$248,0)</f>
        <v>1.19671091552635</v>
      </c>
      <c r="AJ71" s="13" t="n">
        <f aca="false">IF(Construction!AJ8&lt;=Time!$F$11,AI72*Inputs!$F$104/100*Construction!AJ11/Inputs!$F$248,0)</f>
        <v>1.27940819379016</v>
      </c>
      <c r="AK71" s="13" t="n">
        <f aca="false">IF(Construction!AK8&lt;=Time!$F$11,AJ72*Inputs!$F$104/100*Construction!AK11/Inputs!$F$248,0)</f>
        <v>1.27540363972255</v>
      </c>
      <c r="AL71" s="13" t="n">
        <f aca="false">IF(Construction!AL8&lt;=Time!$F$11,AK72*Inputs!$F$104/100*Construction!AL11/Inputs!$F$248,0)</f>
        <v>1.35133750865226</v>
      </c>
      <c r="AM71" s="13" t="n">
        <f aca="false">IF(Construction!AM8&lt;=Time!$F$11,AL72*Inputs!$F$104/100*Construction!AM11/Inputs!$F$248,0)</f>
        <v>1.38091531402195</v>
      </c>
      <c r="AN71" s="13" t="n">
        <f aca="false">IF(Construction!AN8&lt;=Time!$F$11,AM72*Inputs!$F$104/100*Construction!AN11/Inputs!$F$248,0)</f>
        <v>1.2706044294924</v>
      </c>
      <c r="AO71" s="13" t="n">
        <f aca="false">IF(Construction!AO8&lt;=Time!$F$11,AN72*Inputs!$F$104/100*Construction!AO11/Inputs!$F$248,0)</f>
        <v>1.428104683549</v>
      </c>
      <c r="AP71" s="13" t="n">
        <f aca="false">IF(Construction!AP8&lt;=Time!$F$11,AO72*Inputs!$F$104/100*Construction!AP11/Inputs!$F$248,0)</f>
        <v>1.40216471767209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25.9512191508589</v>
      </c>
      <c r="L72" s="13" t="n">
        <f aca="false">K72+L71+L70</f>
        <v>26.8217862597316</v>
      </c>
      <c r="M72" s="13" t="n">
        <f aca="false">L72+M71+M70</f>
        <v>27.9659103822179</v>
      </c>
      <c r="N72" s="13" t="n">
        <f aca="false">M72+N71+N70</f>
        <v>29.5374384113498</v>
      </c>
      <c r="O72" s="13" t="n">
        <f aca="false">N72+O71+O70</f>
        <v>31.6303976115711</v>
      </c>
      <c r="P72" s="13" t="n">
        <f aca="false">O72+P71+P70</f>
        <v>34.280319649964</v>
      </c>
      <c r="Q72" s="13" t="n">
        <f aca="false">P72+Q71+Q70</f>
        <v>37.6279349993563</v>
      </c>
      <c r="R72" s="13" t="n">
        <f aca="false">Q72+R71+R70</f>
        <v>41.6421920796108</v>
      </c>
      <c r="S72" s="13" t="n">
        <f aca="false">R72+S71+S70</f>
        <v>46.359939139591</v>
      </c>
      <c r="T72" s="13" t="n">
        <f aca="false">S72+T71+T70</f>
        <v>51.7223672417235</v>
      </c>
      <c r="U72" s="13" t="n">
        <f aca="false">T72+U71+U70</f>
        <v>57.7335114418159</v>
      </c>
      <c r="V72" s="13" t="n">
        <f aca="false">U72+V71+V70</f>
        <v>64.3148813265823</v>
      </c>
      <c r="W72" s="13" t="n">
        <f aca="false">V72+W71+W70</f>
        <v>71.3665048775075</v>
      </c>
      <c r="X72" s="13" t="n">
        <f aca="false">W72+X71+X70</f>
        <v>78.851009310322</v>
      </c>
      <c r="Y72" s="13" t="n">
        <f aca="false">X72+Y71+Y70</f>
        <v>86.6146086459761</v>
      </c>
      <c r="Z72" s="13" t="n">
        <f aca="false">Y72+Z71+Z70</f>
        <v>94.6113247136481</v>
      </c>
      <c r="AA72" s="13" t="n">
        <f aca="false">Z72+AA71+AA70</f>
        <v>102.945043459409</v>
      </c>
      <c r="AB72" s="13" t="n">
        <f aca="false">AA72+AB71+AB70</f>
        <v>110.94335880272</v>
      </c>
      <c r="AC72" s="13" t="n">
        <f aca="false">AB72+AC71+AC70</f>
        <v>118.888400582907</v>
      </c>
      <c r="AD72" s="13" t="n">
        <f aca="false">AC72+AD71+AD70</f>
        <v>126.556073403713</v>
      </c>
      <c r="AE72" s="13" t="n">
        <f aca="false">AD72+AE71+AE70</f>
        <v>133.936048427878</v>
      </c>
      <c r="AF72" s="13" t="n">
        <f aca="false">AE72+AF71+AF70</f>
        <v>140.851433708228</v>
      </c>
      <c r="AG72" s="13" t="n">
        <f aca="false">AF72+AG71+AG70</f>
        <v>147.327881101818</v>
      </c>
      <c r="AH72" s="13" t="n">
        <f aca="false">AG72+AH71+AH70</f>
        <v>153.262976900743</v>
      </c>
      <c r="AI72" s="13" t="n">
        <f aca="false">AH72+AI71+AI70</f>
        <v>158.56841790608</v>
      </c>
      <c r="AJ72" s="13" t="n">
        <f aca="false">AI72+AJ71+AJ70</f>
        <v>163.341167894291</v>
      </c>
      <c r="AK72" s="13" t="n">
        <f aca="false">AJ72+AK71+AK70</f>
        <v>167.483256590179</v>
      </c>
      <c r="AL72" s="13" t="n">
        <f aca="false">AK72+AL71+AL70</f>
        <v>171.149096644486</v>
      </c>
      <c r="AM72" s="13" t="n">
        <f aca="false">AL72+AM71+AM70</f>
        <v>174.349855926589</v>
      </c>
      <c r="AN72" s="13" t="n">
        <f aca="false">AM72+AN71+AN70</f>
        <v>176.997694225938</v>
      </c>
      <c r="AO72" s="13" t="n">
        <f aca="false">AN72+AO71+AO70</f>
        <v>179.575481386075</v>
      </c>
      <c r="AP72" s="13" t="n">
        <f aca="false">AO72+AP71+AP70</f>
        <v>192.238529616666</v>
      </c>
      <c r="AQ72" s="13" t="n">
        <f aca="false">AP72+AQ71+AQ70</f>
        <v>200.918610753712</v>
      </c>
      <c r="AR72" s="13" t="n">
        <f aca="false">AQ72+AR71+AR70</f>
        <v>201.690064685269</v>
      </c>
      <c r="AS72" s="13" t="n">
        <f aca="false">AR72+AS71+AS70</f>
        <v>201.690064685269</v>
      </c>
      <c r="AT72" s="13" t="n">
        <f aca="false">AS72+AT71+AT70</f>
        <v>201.690064685269</v>
      </c>
      <c r="AU72" s="13" t="n">
        <f aca="false">AT72+AU71+AU70</f>
        <v>201.690064685269</v>
      </c>
      <c r="AV72" s="13" t="n">
        <f aca="false">AU72+AV71+AV70</f>
        <v>201.690064685269</v>
      </c>
      <c r="AW72" s="13" t="n">
        <f aca="false">AV72+AW71+AW70</f>
        <v>201.690064685269</v>
      </c>
      <c r="AX72" s="13" t="n">
        <f aca="false">AW72+AX71+AX70</f>
        <v>201.690064685269</v>
      </c>
      <c r="AY72" s="13" t="n">
        <f aca="false">AX72+AY71+AY70</f>
        <v>201.690064685269</v>
      </c>
      <c r="AZ72" s="13" t="n">
        <f aca="false">AY72+AZ71+AZ70</f>
        <v>201.690064685269</v>
      </c>
      <c r="BA72" s="13" t="n">
        <f aca="false">AZ72+BA71+BA70</f>
        <v>201.690064685269</v>
      </c>
      <c r="BB72" s="13" t="n">
        <f aca="false">BA72+BB71+BB70</f>
        <v>201.690064685269</v>
      </c>
      <c r="BC72" s="13" t="n">
        <f aca="false">BB72+BC71+BC70</f>
        <v>201.690064685269</v>
      </c>
      <c r="BD72" s="13" t="n">
        <f aca="false">BC72+BD71+BD70</f>
        <v>201.690064685269</v>
      </c>
      <c r="BE72" s="13" t="n">
        <f aca="false">BD72+BE71+BE70</f>
        <v>201.690064685269</v>
      </c>
      <c r="BF72" s="13" t="n">
        <f aca="false">BE72+BF71+BF70</f>
        <v>201.690064685269</v>
      </c>
      <c r="BG72" s="13" t="n">
        <f aca="false">BF72+BG71+BG70</f>
        <v>201.690064685269</v>
      </c>
      <c r="BH72" s="13" t="n">
        <f aca="false">BG72+BH71+BH70</f>
        <v>201.690064685269</v>
      </c>
      <c r="BI72" s="13" t="n">
        <f aca="false">BH72+BI71+BI70</f>
        <v>201.690064685269</v>
      </c>
      <c r="BJ72" s="13" t="n">
        <f aca="false">BI72+BJ71+BJ70</f>
        <v>201.690064685269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633.361213230812</v>
      </c>
      <c r="J73" s="13" t="n">
        <f aca="false">J47+J55</f>
        <v>90.0478684951254</v>
      </c>
      <c r="K73" s="13" t="n">
        <f aca="false">K47+K55</f>
        <v>1.8508160764175</v>
      </c>
      <c r="L73" s="13" t="n">
        <f aca="false">L47+L55</f>
        <v>2.35928974683563</v>
      </c>
      <c r="M73" s="13" t="n">
        <f aca="false">M47+M55</f>
        <v>3.33526992117213</v>
      </c>
      <c r="N73" s="13" t="n">
        <f aca="false">N47+N55</f>
        <v>4.80252567413758</v>
      </c>
      <c r="O73" s="13" t="n">
        <f aca="false">O47+O55</f>
        <v>6.6179041968341</v>
      </c>
      <c r="P73" s="13" t="n">
        <f aca="false">P47+P55</f>
        <v>8.63318691045119</v>
      </c>
      <c r="Q73" s="13" t="n">
        <f aca="false">Q47+Q55</f>
        <v>10.9583453113921</v>
      </c>
      <c r="R73" s="13" t="n">
        <f aca="false">R47+R55</f>
        <v>13.2756904360668</v>
      </c>
      <c r="S73" s="13" t="n">
        <f aca="false">S47+S55</f>
        <v>15.6354352376028</v>
      </c>
      <c r="T73" s="13" t="n">
        <f aca="false">T47+T55</f>
        <v>17.8430804919588</v>
      </c>
      <c r="U73" s="13" t="n">
        <f aca="false">U47+U55</f>
        <v>19.9604508358539</v>
      </c>
      <c r="V73" s="13" t="n">
        <f aca="false">V47+V55</f>
        <v>21.8221227332535</v>
      </c>
      <c r="W73" s="13" t="n">
        <f aca="false">W47+W55</f>
        <v>23.3703785295088</v>
      </c>
      <c r="X73" s="13" t="n">
        <f aca="false">X47+X55</f>
        <v>24.6522748160116</v>
      </c>
      <c r="Y73" s="13" t="n">
        <f aca="false">Y47+Y55</f>
        <v>25.505916576203</v>
      </c>
      <c r="Z73" s="13" t="n">
        <f aca="false">Z47+Z55</f>
        <v>26.0409953653641</v>
      </c>
      <c r="AA73" s="13" t="n">
        <f aca="false">AA47+AA55</f>
        <v>27.0132907948269</v>
      </c>
      <c r="AB73" s="13" t="n">
        <f aca="false">AB47+AB55</f>
        <v>25.7677529824653</v>
      </c>
      <c r="AC73" s="13" t="n">
        <f aca="false">AC47+AC55</f>
        <v>25.1561611255624</v>
      </c>
      <c r="AD73" s="13" t="n">
        <f aca="false">AD47+AD55</f>
        <v>24.048096467176</v>
      </c>
      <c r="AE73" s="13" t="n">
        <f aca="false">AE47+AE55</f>
        <v>22.6903291409091</v>
      </c>
      <c r="AF73" s="13" t="n">
        <f aca="false">AF47+AF55</f>
        <v>20.9444481378729</v>
      </c>
      <c r="AG73" s="13" t="n">
        <f aca="false">AG47+AG55</f>
        <v>19.054694114146</v>
      </c>
      <c r="AH73" s="13" t="n">
        <f aca="false">AH47+AH55</f>
        <v>16.9365256548832</v>
      </c>
      <c r="AI73" s="13" t="n">
        <f aca="false">AI47+AI55</f>
        <v>14.6611915174261</v>
      </c>
      <c r="AJ73" s="13" t="n">
        <f aca="false">AJ47+AJ55</f>
        <v>12.4652999745172</v>
      </c>
      <c r="AK73" s="13" t="n">
        <f aca="false">AK47+AK55</f>
        <v>10.2291992196816</v>
      </c>
      <c r="AL73" s="13" t="n">
        <f aca="false">AL47+AL55</f>
        <v>8.25884503184033</v>
      </c>
      <c r="AM73" s="13" t="n">
        <f aca="false">AM47+AM55</f>
        <v>6.49375363303356</v>
      </c>
      <c r="AN73" s="13" t="n">
        <f aca="false">AN47+AN55</f>
        <v>4.91438694898041</v>
      </c>
      <c r="AO73" s="13" t="n">
        <f aca="false">AO47+AO55</f>
        <v>4.10241476199443</v>
      </c>
      <c r="AP73" s="13" t="n">
        <f aca="false">AP47+AP55</f>
        <v>40.1822378763021</v>
      </c>
      <c r="AQ73" s="13" t="n">
        <f aca="false">AQ47+AQ55</f>
        <v>30.9731545161824</v>
      </c>
      <c r="AR73" s="13" t="n">
        <f aca="false">AR47+AR55</f>
        <v>2.75787997882268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106.994164607113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1.07833984233232</v>
      </c>
      <c r="L74" s="13" t="n">
        <f aca="false">L33+L34+L35+L36+L37+L38+L39+L40+L41+L42+L43+L48+Construction!L14*Construction!L38</f>
        <v>1.13109012046325</v>
      </c>
      <c r="M74" s="13" t="n">
        <f aca="false">M33+M34+M35+M36+M37+M38+M39+M40+M41+M42+M43+M48+Construction!M14*Construction!M38</f>
        <v>1.14664285467772</v>
      </c>
      <c r="N74" s="13" t="n">
        <f aca="false">N33+N34+N35+N36+N37+N38+N39+N40+N41+N42+N43+N48+Construction!N14*Construction!N38</f>
        <v>1.23872046417882</v>
      </c>
      <c r="O74" s="13" t="n">
        <f aca="false">O33+O34+O35+O36+O37+O38+O39+O40+O41+O42+O43+O48+Construction!O14*Construction!O38</f>
        <v>1.32780568544962</v>
      </c>
      <c r="P74" s="13" t="n">
        <f aca="false">P33+P34+P35+P36+P37+P38+P39+P40+P41+P42+P43+P48+Construction!P14*Construction!P38</f>
        <v>1.33929023590356</v>
      </c>
      <c r="Q74" s="13" t="n">
        <f aca="false">Q33+Q34+Q35+Q36+Q37+Q38+Q39+Q40+Q41+Q42+Q43+Q48+Construction!Q14*Construction!Q38</f>
        <v>1.54781998912225</v>
      </c>
      <c r="R74" s="13" t="n">
        <f aca="false">R33+R34+R35+R36+R37+R38+R39+R40+R41+R42+R43+R48+Construction!R14*Construction!R38</f>
        <v>1.64871290722254</v>
      </c>
      <c r="S74" s="13" t="n">
        <f aca="false">S33+S34+S35+S36+S37+S38+S39+S40+S41+S42+S43+S48+Construction!S14*Construction!S38</f>
        <v>1.82602833924709</v>
      </c>
      <c r="T74" s="13" t="n">
        <f aca="false">T33+T34+T35+T36+T37+T38+T39+T40+T41+T42+T43+T48+Construction!T14*Construction!T38</f>
        <v>1.92535014772337</v>
      </c>
      <c r="U74" s="13" t="n">
        <f aca="false">U33+U34+U35+U36+U37+U38+U39+U40+U41+U42+U43+U48+Construction!U14*Construction!U38</f>
        <v>2.12662868050383</v>
      </c>
      <c r="V74" s="13" t="n">
        <f aca="false">V33+V34+V35+V36+V37+V38+V39+V40+V41+V42+V43+V48+Construction!V14*Construction!V38</f>
        <v>2.29182863262437</v>
      </c>
      <c r="W74" s="13" t="n">
        <f aca="false">W33+W34+W35+W36+W37+W38+W39+W40+W41+W42+W43+W48+Construction!W14*Construction!W38</f>
        <v>2.41598295590245</v>
      </c>
      <c r="X74" s="13" t="n">
        <f aca="false">X33+X34+X35+X36+X37+X38+X39+X40+X41+X42+X43+X48+Construction!X14*Construction!X38</f>
        <v>2.61952393956184</v>
      </c>
      <c r="Y74" s="13" t="n">
        <f aca="false">Y33+Y34+Y35+Y36+Y37+Y38+Y39+Y40+Y41+Y42+Y43+Y48+Construction!Y14*Construction!Y38</f>
        <v>2.72960419279461</v>
      </c>
      <c r="Z74" s="13" t="n">
        <f aca="false">Z33+Z34+Z35+Z36+Z37+Z38+Z39+Z40+Z41+Z42+Z43+Z48+Construction!Z14*Construction!Z38</f>
        <v>2.9234050664652</v>
      </c>
      <c r="AA74" s="13" t="n">
        <f aca="false">AA33+AA34+AA35+AA36+AA37+AA38+AA39+AA40+AA41+AA42+AA43+AA48+Construction!AA14*Construction!AA38</f>
        <v>3.09330203251455</v>
      </c>
      <c r="AB74" s="13" t="n">
        <f aca="false">AB33+AB34+AB35+AB36+AB37+AB38+AB39+AB40+AB41+AB42+AB43+AB48+Construction!AB14*Construction!AB38</f>
        <v>3.08316362850333</v>
      </c>
      <c r="AC74" s="13" t="n">
        <f aca="false">AC33+AC34+AC35+AC36+AC37+AC38+AC39+AC40+AC41+AC42+AC43+AC48+Construction!AC14*Construction!AC38</f>
        <v>3.29992496480228</v>
      </c>
      <c r="AD74" s="13" t="n">
        <f aca="false">AD33+AD34+AD35+AD36+AD37+AD38+AD39+AD40+AD41+AD42+AD43+AD48+Construction!AD14*Construction!AD38</f>
        <v>3.33110998132945</v>
      </c>
      <c r="AE74" s="13" t="n">
        <f aca="false">AE33+AE34+AE35+AE36+AE37+AE38+AE39+AE40+AE41+AE42+AE43+AE48+Construction!AE14*Construction!AE38</f>
        <v>3.46417350227517</v>
      </c>
      <c r="AF74" s="13" t="n">
        <f aca="false">AF33+AF34+AF35+AF36+AF37+AF38+AF39+AF40+AF41+AF42+AF43+AF48+Construction!AF14*Construction!AF38</f>
        <v>3.4553267626652</v>
      </c>
      <c r="AG74" s="13" t="n">
        <f aca="false">AG33+AG34+AG35+AG36+AG37+AG38+AG39+AG40+AG41+AG42+AG43+AG48+Construction!AG14*Construction!AG38</f>
        <v>3.5614000564147</v>
      </c>
      <c r="AH74" s="13" t="n">
        <f aca="false">AH33+AH34+AH35+AH36+AH37+AH38+AH39+AH40+AH41+AH42+AH43+AH48+Construction!AH14*Construction!AH38</f>
        <v>3.58289935770608</v>
      </c>
      <c r="AI74" s="13" t="n">
        <f aca="false">AI33+AI34+AI35+AI36+AI37+AI38+AI39+AI40+AI41+AI42+AI43+AI48+Construction!AI14*Construction!AI38</f>
        <v>3.51956420514516</v>
      </c>
      <c r="AJ74" s="13" t="n">
        <f aca="false">AJ33+AJ34+AJ35+AJ36+AJ37+AJ38+AJ39+AJ40+AJ41+AJ42+AJ43+AJ48+Construction!AJ14*Construction!AJ38</f>
        <v>3.58267086390627</v>
      </c>
      <c r="AK74" s="13" t="n">
        <f aca="false">AK33+AK34+AK35+AK36+AK37+AK38+AK39+AK40+AK41+AK42+AK43+AK48+Construction!AK14*Construction!AK38</f>
        <v>3.49439624079726</v>
      </c>
      <c r="AL74" s="13" t="n">
        <f aca="false">AL33+AL34+AL35+AL36+AL37+AL38+AL39+AL40+AL41+AL42+AL43+AL48+Construction!AL14*Construction!AL38</f>
        <v>3.54357897663591</v>
      </c>
      <c r="AM74" s="13" t="n">
        <f aca="false">AM33+AM34+AM35+AM36+AM37+AM38+AM39+AM40+AM41+AM42+AM43+AM48+Construction!AM14*Construction!AM38</f>
        <v>3.52239679222571</v>
      </c>
      <c r="AN74" s="13" t="n">
        <f aca="false">AN33+AN34+AN35+AN36+AN37+AN38+AN39+AN40+AN41+AN42+AN43+AN48+Construction!AN14*Construction!AN38</f>
        <v>3.27893504902839</v>
      </c>
      <c r="AO74" s="13" t="n">
        <f aca="false">AO33+AO34+AO35+AO36+AO37+AO38+AO39+AO40+AO41+AO42+AO43+AO48+Construction!AO14*Construction!AO38</f>
        <v>3.48484338773013</v>
      </c>
      <c r="AP74" s="13" t="n">
        <f aca="false">AP33+AP34+AP35+AP36+AP37+AP38+AP39+AP40+AP41+AP42+AP43+AP48+Construction!AP14*Construction!AP38</f>
        <v>4.59951288835961</v>
      </c>
      <c r="AQ74" s="13" t="n">
        <f aca="false">AQ33+AQ34+AQ35+AQ36+AQ37+AQ38+AQ39+AQ40+AQ41+AQ42+AQ43+AQ48+Construction!AQ14*Construction!AQ38</f>
        <v>4.57736050039388</v>
      </c>
      <c r="AR74" s="13" t="n">
        <f aca="false">AR33+AR34+AR35+AR36+AR37+AR38+AR39+AR40+AR41+AR42+AR43+AR48+Construction!AR14*Construction!AR38</f>
        <v>3.72219739326941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855.230060044209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836.829151841665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4.1558165970551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4.37830471385588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0.983202882067071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4.41177179778415</v>
      </c>
      <c r="W38" s="13" t="n">
        <f aca="false">Time!W35*(W35-W36)*W19</f>
        <v>4.54663695400216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6.04863333960494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6.66083822341002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7.80223002718171</v>
      </c>
      <c r="AN38" s="13" t="n">
        <f aca="false">Time!AN35*(AN35-AN36)*AN19</f>
        <v>6.43674714978341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4.41177179778415</v>
      </c>
      <c r="W41" s="13" t="n">
        <f aca="false">W38-W39+W40</f>
        <v>4.54663695400216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6.04863333960494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6.66083822341002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7.80223002718171</v>
      </c>
      <c r="AN41" s="13" t="n">
        <f aca="false">AN38-AN39+AN40</f>
        <v>6.43674714978341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48.9454860536488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0.844273946928669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48.9454860536488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48.9454860536488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147.583811228566</v>
      </c>
      <c r="AC63" s="13" t="n">
        <f aca="false">Time!AC35*AB75</f>
        <v>131.150426880714</v>
      </c>
      <c r="AD63" s="13" t="n">
        <f aca="false">Time!AD35*AC75</f>
        <v>115.220751503994</v>
      </c>
      <c r="AE63" s="13" t="n">
        <f aca="false">Time!AE35*AD75</f>
        <v>97.4555939924814</v>
      </c>
      <c r="AF63" s="13" t="n">
        <f aca="false">Time!AF35*AE75</f>
        <v>79.5435885048681</v>
      </c>
      <c r="AG63" s="13" t="n">
        <f aca="false">Time!AG35*AF75</f>
        <v>61.1234219205704</v>
      </c>
      <c r="AH63" s="13" t="n">
        <f aca="false">Time!AH35*AG75</f>
        <v>43.004446748617</v>
      </c>
      <c r="AI63" s="13" t="n">
        <f aca="false">Time!AI35*AH75</f>
        <v>24.2786442370527</v>
      </c>
      <c r="AJ63" s="13" t="n">
        <f aca="false">Time!AJ35*AI75</f>
        <v>6.03290226254291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131.914322174883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6.47036580783806</v>
      </c>
      <c r="AC65" s="13" t="n">
        <f aca="false">AC63*AC13</f>
        <v>5.68739493161969</v>
      </c>
      <c r="AD65" s="13" t="n">
        <f aca="false">AD63*AD13</f>
        <v>5.05150534248126</v>
      </c>
      <c r="AE65" s="13" t="n">
        <f aca="false">AE63*AE13</f>
        <v>4.20298304313501</v>
      </c>
      <c r="AF65" s="13" t="n">
        <f aca="false">AF63*AF13</f>
        <v>3.48734804319121</v>
      </c>
      <c r="AG65" s="13" t="n">
        <f aca="false">AG63*AG13</f>
        <v>2.80681017289701</v>
      </c>
      <c r="AH65" s="13" t="n">
        <f aca="false">AH63*AH13</f>
        <v>2.00751128451692</v>
      </c>
      <c r="AI65" s="13" t="n">
        <f aca="false">AI63*AI13</f>
        <v>1.11488433545592</v>
      </c>
      <c r="AJ65" s="13" t="n">
        <f aca="false">AJ63*AJ13</f>
        <v>0.281624815248485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140.491668345116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8.19061557629317</v>
      </c>
      <c r="AC66" s="13" t="n">
        <f aca="false">Time!AC35*(AC63-AC64)*AC19</f>
        <v>7.96157518432871</v>
      </c>
      <c r="AD66" s="13" t="n">
        <f aca="false">Time!AD35*(AD63-AD64)*AD19</f>
        <v>8.13114886763207</v>
      </c>
      <c r="AE66" s="13" t="n">
        <f aca="false">Time!AE35*(AE63-AE64)*AE19</f>
        <v>7.71769449888583</v>
      </c>
      <c r="AF66" s="13" t="n">
        <f aca="false">Time!AF35*(AF63-AF64)*AF19</f>
        <v>7.08095003917452</v>
      </c>
      <c r="AG66" s="13" t="n">
        <f aca="false">Time!AG35*(AG63-AG64)*AG19</f>
        <v>6.08437076248578</v>
      </c>
      <c r="AH66" s="13" t="n">
        <f aca="false">Time!AH35*(AH63-AH64)*AH19</f>
        <v>4.99264570600276</v>
      </c>
      <c r="AI66" s="13" t="n">
        <f aca="false">Time!AI35*(AI63-AI64)*AI19</f>
        <v>3.28250263825979</v>
      </c>
      <c r="AJ66" s="13" t="n">
        <f aca="false">Time!AJ35*(AJ63-AJ64)*AJ19</f>
        <v>0.988708373497725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140.491668345116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8.19061557629317</v>
      </c>
      <c r="AC69" s="13" t="n">
        <f aca="false">AC66-AC67+AC68</f>
        <v>7.96157518432871</v>
      </c>
      <c r="AD69" s="13" t="n">
        <f aca="false">AD66-AD67+AD68</f>
        <v>8.13114886763207</v>
      </c>
      <c r="AE69" s="13" t="n">
        <f aca="false">AE66-AE67+AE68</f>
        <v>7.71769449888583</v>
      </c>
      <c r="AF69" s="13" t="n">
        <f aca="false">AF66-AF67+AF68</f>
        <v>7.08095003917452</v>
      </c>
      <c r="AG69" s="13" t="n">
        <f aca="false">AG66-AG67+AG68</f>
        <v>6.08437076248578</v>
      </c>
      <c r="AH69" s="13" t="n">
        <f aca="false">AH66-AH67+AH68</f>
        <v>4.99264570600276</v>
      </c>
      <c r="AI69" s="13" t="n">
        <f aca="false">AI66-AI67+AI68</f>
        <v>3.28250263825979</v>
      </c>
      <c r="AJ69" s="13" t="n">
        <f aca="false">AJ66-AJ67+AJ68</f>
        <v>0.988708373497725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139.393195652273</v>
      </c>
      <c r="AC73" s="13" t="n">
        <f aca="false">AC63-AC69-AC70-AC71</f>
        <v>123.188851696385</v>
      </c>
      <c r="AD73" s="13" t="n">
        <f aca="false">AD63-AD69-AD70-AD71</f>
        <v>107.089602636362</v>
      </c>
      <c r="AE73" s="13" t="n">
        <f aca="false">AE63-AE69-AE70-AE71</f>
        <v>89.7378994935956</v>
      </c>
      <c r="AF73" s="13" t="n">
        <f aca="false">AF63-AF69-AF70-AF71</f>
        <v>72.4626384656936</v>
      </c>
      <c r="AG73" s="13" t="n">
        <f aca="false">AG63-AG69-AG70-AG71</f>
        <v>55.0390511580847</v>
      </c>
      <c r="AH73" s="13" t="n">
        <f aca="false">AH63-AH69-AH70-AH71</f>
        <v>38.0118010426143</v>
      </c>
      <c r="AI73" s="13" t="n">
        <f aca="false">AI63-AI69-AI70-AI71</f>
        <v>20.9961415987929</v>
      </c>
      <c r="AJ73" s="13" t="n">
        <f aca="false">AJ63-AJ69-AJ70-AJ71</f>
        <v>5.04419388904519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100.145602361138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6.99200277913257</v>
      </c>
      <c r="AB74" s="13" t="n">
        <f aca="false">Waterfall!AB28*AB73/(AB31+AB45+AB59+AB73+AB87+Inputs!$F$253)+Waterfall!AB29</f>
        <v>8.24276877155907</v>
      </c>
      <c r="AC74" s="13" t="n">
        <f aca="false">Waterfall!AC28*AC73/(AC31+AC45+AC59+AC73+AC87+Inputs!$F$253)+Waterfall!AC29</f>
        <v>7.96810019239122</v>
      </c>
      <c r="AD74" s="13" t="n">
        <f aca="false">Waterfall!AD28*AD73/(AD31+AD45+AD59+AD73+AD87+Inputs!$F$253)+Waterfall!AD29</f>
        <v>9.63400864388021</v>
      </c>
      <c r="AE74" s="13" t="n">
        <f aca="false">Waterfall!AE28*AE73/(AE31+AE45+AE59+AE73+AE87+Inputs!$F$253)+Waterfall!AE29</f>
        <v>10.1943109887275</v>
      </c>
      <c r="AF74" s="13" t="n">
        <f aca="false">Waterfall!AF28*AF73/(AF31+AF45+AF59+AF73+AF87+Inputs!$F$253)+Waterfall!AF29</f>
        <v>11.3392165451232</v>
      </c>
      <c r="AG74" s="13" t="n">
        <f aca="false">Waterfall!AG28*AG73/(AG31+AG45+AG59+AG73+AG87+Inputs!$F$253)+Waterfall!AG29</f>
        <v>12.0346044094676</v>
      </c>
      <c r="AH74" s="13" t="n">
        <f aca="false">Waterfall!AH28*AH73/(AH31+AH45+AH59+AH73+AH87+Inputs!$F$253)+Waterfall!AH29</f>
        <v>13.7331568055616</v>
      </c>
      <c r="AI74" s="13" t="n">
        <f aca="false">Waterfall!AI28*AI73/(AI31+AI45+AI59+AI73+AI87+Inputs!$F$253)+Waterfall!AI29</f>
        <v>14.96323933625</v>
      </c>
      <c r="AJ74" s="13" t="n">
        <f aca="false">Waterfall!AJ28*AJ73/(AJ31+AJ45+AJ59+AJ73+AJ87+Inputs!$F$253)+Waterfall!AJ29</f>
        <v>5.04419388904519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147.583811228566</v>
      </c>
      <c r="AB75" s="13" t="n">
        <f aca="false">IF(Time!AB34=1,INDEX(Funding!$J$64:$BJ$64,1,Time!$F$14),Time!AB35*(AB73-AB74))</f>
        <v>131.150426880714</v>
      </c>
      <c r="AC75" s="13" t="n">
        <f aca="false">IF(Time!AC34=1,INDEX(Funding!$J$64:$BJ$64,1,Time!$F$14),Time!AC35*(AC73-AC74))</f>
        <v>115.220751503994</v>
      </c>
      <c r="AD75" s="13" t="n">
        <f aca="false">IF(Time!AD34=1,INDEX(Funding!$J$64:$BJ$64,1,Time!$F$14),Time!AD35*(AD73-AD74))</f>
        <v>97.4555939924814</v>
      </c>
      <c r="AE75" s="13" t="n">
        <f aca="false">IF(Time!AE34=1,INDEX(Funding!$J$64:$BJ$64,1,Time!$F$14),Time!AE35*(AE73-AE74))</f>
        <v>79.5435885048681</v>
      </c>
      <c r="AF75" s="13" t="n">
        <f aca="false">IF(Time!AF34=1,INDEX(Funding!$J$64:$BJ$64,1,Time!$F$14),Time!AF35*(AF73-AF74))</f>
        <v>61.1234219205704</v>
      </c>
      <c r="AG75" s="13" t="n">
        <f aca="false">IF(Time!AG34=1,INDEX(Funding!$J$64:$BJ$64,1,Time!$F$14),Time!AG35*(AG73-AG74))</f>
        <v>43.004446748617</v>
      </c>
      <c r="AH75" s="13" t="n">
        <f aca="false">IF(Time!AH34=1,INDEX(Funding!$J$64:$BJ$64,1,Time!$F$14),Time!AH35*(AH73-AH74))</f>
        <v>24.2786442370527</v>
      </c>
      <c r="AI75" s="13" t="n">
        <f aca="false">IF(Time!AI34=1,INDEX(Funding!$J$64:$BJ$64,1,Time!$F$14),Time!AI35*(AI73-AI74))</f>
        <v>6.03290226254291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0.105237688037368</v>
      </c>
      <c r="Q77" s="13" t="n">
        <f aca="false">Time!Q35*P89</f>
        <v>0.102663528713263</v>
      </c>
      <c r="R77" s="13" t="n">
        <f aca="false">Time!R35*Q89</f>
        <v>0.0999804265130559</v>
      </c>
      <c r="S77" s="13" t="n">
        <f aca="false">Time!S35*R89</f>
        <v>0.0971651581557061</v>
      </c>
      <c r="T77" s="13" t="n">
        <f aca="false">Time!T35*S89</f>
        <v>0.0942669283943299</v>
      </c>
      <c r="U77" s="13" t="n">
        <f aca="false">Time!U35*T89</f>
        <v>0.091235381102508</v>
      </c>
      <c r="V77" s="13" t="n">
        <f aca="false">Time!V35*U89</f>
        <v>0.0881071524307625</v>
      </c>
      <c r="W77" s="13" t="n">
        <f aca="false">Time!W35*V89</f>
        <v>0.0847745587900563</v>
      </c>
      <c r="X77" s="13" t="n">
        <f aca="false">Time!X35*W89</f>
        <v>0.0813400898070691</v>
      </c>
      <c r="Y77" s="13" t="n">
        <f aca="false">Time!Y35*X89</f>
        <v>0.0780009538982592</v>
      </c>
      <c r="Z77" s="13" t="n">
        <f aca="false">Time!Z35*Y89</f>
        <v>0.0746602467608001</v>
      </c>
      <c r="AA77" s="13" t="n">
        <f aca="false">Time!AA35*Z89</f>
        <v>0.0711811409586383</v>
      </c>
      <c r="AB77" s="13" t="n">
        <f aca="false">Time!AB35*AA89</f>
        <v>0.0676005061265915</v>
      </c>
      <c r="AC77" s="13" t="n">
        <f aca="false">Time!AC35*AB89</f>
        <v>0.0638488090140386</v>
      </c>
      <c r="AD77" s="13" t="n">
        <f aca="false">Time!AD35*AC89</f>
        <v>0.0599728239678178</v>
      </c>
      <c r="AE77" s="13" t="n">
        <f aca="false">Time!AE35*AD89</f>
        <v>0.0557405311444394</v>
      </c>
      <c r="AF77" s="13" t="n">
        <f aca="false">Time!AF35*AE89</f>
        <v>0.0513263320928016</v>
      </c>
      <c r="AG77" s="13" t="n">
        <f aca="false">Time!AG35*AF89</f>
        <v>0.0467572750503102</v>
      </c>
      <c r="AH77" s="13" t="n">
        <f aca="false">Time!AH35*AG89</f>
        <v>0.0421029447083456</v>
      </c>
      <c r="AI77" s="13" t="n">
        <f aca="false">Time!AI35*AH89</f>
        <v>0.0372149598137381</v>
      </c>
      <c r="AJ77" s="13" t="n">
        <f aca="false">Time!AJ35*AI89</f>
        <v>0.0321834513580519</v>
      </c>
      <c r="AK77" s="13" t="n">
        <f aca="false">Time!AK35*AJ89</f>
        <v>0.026909033430991</v>
      </c>
      <c r="AL77" s="13" t="n">
        <f aca="false">Time!AL35*AK89</f>
        <v>0.0214638919353928</v>
      </c>
      <c r="AM77" s="13" t="n">
        <f aca="false">Time!AM35*AL89</f>
        <v>0.0156901973670904</v>
      </c>
      <c r="AN77" s="13" t="n">
        <f aca="false">Time!AN35*AM89</f>
        <v>0.00979649674890065</v>
      </c>
      <c r="AO77" s="13" t="n">
        <f aca="false">Time!AO35*AN89</f>
        <v>0.00493426370480355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0.0650453686899419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0.00417180904302444</v>
      </c>
      <c r="Q79" s="13" t="n">
        <f aca="false">Q77*Q14</f>
        <v>0.00401442154445141</v>
      </c>
      <c r="R79" s="13" t="n">
        <f aca="false">R77*R14</f>
        <v>0.00397430341942669</v>
      </c>
      <c r="S79" s="13" t="n">
        <f aca="false">S77*S14</f>
        <v>0.00380463132113088</v>
      </c>
      <c r="T79" s="13" t="n">
        <f aca="false">T77*T14</f>
        <v>0.00375232650704577</v>
      </c>
      <c r="U79" s="13" t="n">
        <f aca="false">U77*U14</f>
        <v>0.00359218024835534</v>
      </c>
      <c r="V79" s="13" t="n">
        <f aca="false">V77*V14</f>
        <v>0.00350713457155731</v>
      </c>
      <c r="W79" s="13" t="n">
        <f aca="false">W77*W14</f>
        <v>0.00331946088216971</v>
      </c>
      <c r="X79" s="13" t="n">
        <f aca="false">X77*X14</f>
        <v>0.00323776938813365</v>
      </c>
      <c r="Y79" s="13" t="n">
        <f aca="false">Y77*Y14</f>
        <v>0.00318495517204325</v>
      </c>
      <c r="Z79" s="13" t="n">
        <f aca="false">Z77*Z14</f>
        <v>0.00309907494798838</v>
      </c>
      <c r="AA79" s="13" t="n">
        <f aca="false">AA77*AA14</f>
        <v>0.002906486801993</v>
      </c>
      <c r="AB79" s="13" t="n">
        <f aca="false">AB77*AB14</f>
        <v>0.00280603191253113</v>
      </c>
      <c r="AC79" s="13" t="n">
        <f aca="false">AC77*AC14</f>
        <v>0.00262149494141558</v>
      </c>
      <c r="AD79" s="13" t="n">
        <f aca="false">AD77*AD14</f>
        <v>0.00248941417129585</v>
      </c>
      <c r="AE79" s="13" t="n">
        <f aca="false">AE77*AE14</f>
        <v>0.00227601181893857</v>
      </c>
      <c r="AF79" s="13" t="n">
        <f aca="false">AF77*AF14</f>
        <v>0.00213050661981536</v>
      </c>
      <c r="AG79" s="13" t="n">
        <f aca="false">AG77*AG14</f>
        <v>0.00198756690659322</v>
      </c>
      <c r="AH79" s="13" t="n">
        <f aca="false">AH77*AH14</f>
        <v>0.00181938363410348</v>
      </c>
      <c r="AI79" s="13" t="n">
        <f aca="false">AI77*AI14</f>
        <v>0.0015819404034216</v>
      </c>
      <c r="AJ79" s="13" t="n">
        <f aca="false">AJ77*AJ14</f>
        <v>0.00139073513967774</v>
      </c>
      <c r="AK79" s="13" t="n">
        <f aca="false">AK77*AK14</f>
        <v>0.00115017381257172</v>
      </c>
      <c r="AL79" s="13" t="n">
        <f aca="false">AL77*AL14</f>
        <v>0.000927513597491405</v>
      </c>
      <c r="AM79" s="13" t="n">
        <f aca="false">AM77*AM14</f>
        <v>0.000666961815272383</v>
      </c>
      <c r="AN79" s="13" t="n">
        <f aca="false">AN77*AN14</f>
        <v>0.000423333474177753</v>
      </c>
      <c r="AO79" s="13" t="n">
        <f aca="false">AO77*AO14</f>
        <v>0.000209746595316327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0.105237688037368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0.00257415932410477</v>
      </c>
      <c r="Q80" s="13" t="n">
        <f aca="false">Time!Q35*(Q77-Q78)*Q19</f>
        <v>0.00268310220020733</v>
      </c>
      <c r="R80" s="13" t="n">
        <f aca="false">Time!R35*(R77-R78)*R19</f>
        <v>0.00281526835734983</v>
      </c>
      <c r="S80" s="13" t="n">
        <f aca="false">Time!S35*(S77-S78)*S19</f>
        <v>0.00289822976137615</v>
      </c>
      <c r="T80" s="13" t="n">
        <f aca="false">Time!T35*(T77-T78)*T19</f>
        <v>0.00303154729182195</v>
      </c>
      <c r="U80" s="13" t="n">
        <f aca="false">Time!U35*(U77-U78)*U19</f>
        <v>0.00312822867174549</v>
      </c>
      <c r="V80" s="13" t="n">
        <f aca="false">Time!V35*(V77-V78)*V19</f>
        <v>0.00333259364070617</v>
      </c>
      <c r="W80" s="13" t="n">
        <f aca="false">Time!W35*(W77-W78)*W19</f>
        <v>0.00343446898298718</v>
      </c>
      <c r="X80" s="13" t="n">
        <f aca="false">Time!X35*(X77-X78)*X19</f>
        <v>0.00333913590880989</v>
      </c>
      <c r="Y80" s="13" t="n">
        <f aca="false">Time!Y35*(Y77-Y78)*Y19</f>
        <v>0.00334070713745913</v>
      </c>
      <c r="Z80" s="13" t="n">
        <f aca="false">Time!Z35*(Z77-Z78)*Z19</f>
        <v>0.00347910580216177</v>
      </c>
      <c r="AA80" s="13" t="n">
        <f aca="false">Time!AA35*(AA77-AA78)*AA19</f>
        <v>0.00358063483204686</v>
      </c>
      <c r="AB80" s="13" t="n">
        <f aca="false">Time!AB35*(AB77-AB78)*AB19</f>
        <v>0.00375169711255289</v>
      </c>
      <c r="AC80" s="13" t="n">
        <f aca="false">Time!AC35*(AC77-AC78)*AC19</f>
        <v>0.00387598504622074</v>
      </c>
      <c r="AD80" s="13" t="n">
        <f aca="false">Time!AD35*(AD77-AD78)*AD19</f>
        <v>0.00423229282337841</v>
      </c>
      <c r="AE80" s="13" t="n">
        <f aca="false">Time!AE35*(AE77-AE78)*AE19</f>
        <v>0.00441419905163784</v>
      </c>
      <c r="AF80" s="13" t="n">
        <f aca="false">Time!AF35*(AF77-AF78)*AF19</f>
        <v>0.00456905704249143</v>
      </c>
      <c r="AG80" s="13" t="n">
        <f aca="false">Time!AG35*(AG77-AG78)*AG19</f>
        <v>0.00465433034196456</v>
      </c>
      <c r="AH80" s="13" t="n">
        <f aca="false">Time!AH35*(AH77-AH78)*AH19</f>
        <v>0.00488798489460752</v>
      </c>
      <c r="AI80" s="13" t="n">
        <f aca="false">Time!AI35*(AI77-AI78)*AI19</f>
        <v>0.00503150845568619</v>
      </c>
      <c r="AJ80" s="13" t="n">
        <f aca="false">Time!AJ35*(AJ77-AJ78)*AJ19</f>
        <v>0.00527441792706091</v>
      </c>
      <c r="AK80" s="13" t="n">
        <f aca="false">Time!AK35*(AK77-AK78)*AK19</f>
        <v>0.00544514149559819</v>
      </c>
      <c r="AL80" s="13" t="n">
        <f aca="false">Time!AL35*(AL77-AL78)*AL19</f>
        <v>0.00577369456830242</v>
      </c>
      <c r="AM80" s="13" t="n">
        <f aca="false">Time!AM35*(AM77-AM78)*AM19</f>
        <v>0.00589370061818974</v>
      </c>
      <c r="AN80" s="13" t="n">
        <f aca="false">Time!AN35*(AN77-AN78)*AN19</f>
        <v>0.0048622330440971</v>
      </c>
      <c r="AO80" s="13" t="n">
        <f aca="false">Time!AO35*(AO77-AO78)*AO19</f>
        <v>0.00493426370480355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0.105237688037368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0.00257415932410477</v>
      </c>
      <c r="Q83" s="13" t="n">
        <f aca="false">Q80-Q81+Q82</f>
        <v>0.00268310220020733</v>
      </c>
      <c r="R83" s="13" t="n">
        <f aca="false">R80-R81+R82</f>
        <v>0.00281526835734983</v>
      </c>
      <c r="S83" s="13" t="n">
        <f aca="false">S80-S81+S82</f>
        <v>0.00289822976137615</v>
      </c>
      <c r="T83" s="13" t="n">
        <f aca="false">T80-T81+T82</f>
        <v>0.00303154729182195</v>
      </c>
      <c r="U83" s="13" t="n">
        <f aca="false">U80-U81+U82</f>
        <v>0.00312822867174549</v>
      </c>
      <c r="V83" s="13" t="n">
        <f aca="false">V80-V81+V82</f>
        <v>0.00333259364070617</v>
      </c>
      <c r="W83" s="13" t="n">
        <f aca="false">W80-W81+W82</f>
        <v>0.00343446898298718</v>
      </c>
      <c r="X83" s="13" t="n">
        <f aca="false">X80-X81+X82</f>
        <v>0.00333913590880989</v>
      </c>
      <c r="Y83" s="13" t="n">
        <f aca="false">Y80-Y81+Y82</f>
        <v>0.00334070713745913</v>
      </c>
      <c r="Z83" s="13" t="n">
        <f aca="false">Z80-Z81+Z82</f>
        <v>0.00347910580216177</v>
      </c>
      <c r="AA83" s="13" t="n">
        <f aca="false">AA80-AA81+AA82</f>
        <v>0.00358063483204686</v>
      </c>
      <c r="AB83" s="13" t="n">
        <f aca="false">AB80-AB81+AB82</f>
        <v>0.00375169711255289</v>
      </c>
      <c r="AC83" s="13" t="n">
        <f aca="false">AC80-AC81+AC82</f>
        <v>0.00387598504622074</v>
      </c>
      <c r="AD83" s="13" t="n">
        <f aca="false">AD80-AD81+AD82</f>
        <v>0.00423229282337841</v>
      </c>
      <c r="AE83" s="13" t="n">
        <f aca="false">AE80-AE81+AE82</f>
        <v>0.00441419905163784</v>
      </c>
      <c r="AF83" s="13" t="n">
        <f aca="false">AF80-AF81+AF82</f>
        <v>0.00456905704249143</v>
      </c>
      <c r="AG83" s="13" t="n">
        <f aca="false">AG80-AG81+AG82</f>
        <v>0.00465433034196456</v>
      </c>
      <c r="AH83" s="13" t="n">
        <f aca="false">AH80-AH81+AH82</f>
        <v>0.00488798489460752</v>
      </c>
      <c r="AI83" s="13" t="n">
        <f aca="false">AI80-AI81+AI82</f>
        <v>0.00503150845568619</v>
      </c>
      <c r="AJ83" s="13" t="n">
        <f aca="false">AJ80-AJ81+AJ82</f>
        <v>0.00527441792706091</v>
      </c>
      <c r="AK83" s="13" t="n">
        <f aca="false">AK80-AK81+AK82</f>
        <v>0.00544514149559819</v>
      </c>
      <c r="AL83" s="13" t="n">
        <f aca="false">AL80-AL81+AL82</f>
        <v>0.00577369456830242</v>
      </c>
      <c r="AM83" s="13" t="n">
        <f aca="false">AM80-AM81+AM82</f>
        <v>0.00589370061818974</v>
      </c>
      <c r="AN83" s="13" t="n">
        <f aca="false">AN80-AN81+AN82</f>
        <v>0.0048622330440971</v>
      </c>
      <c r="AO83" s="13" t="n">
        <f aca="false">AO80-AO81+AO82</f>
        <v>0.00493426370480355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0.102663528713263</v>
      </c>
      <c r="Q87" s="13" t="n">
        <f aca="false">Q77-Q83-Q84-Q85</f>
        <v>0.0999804265130559</v>
      </c>
      <c r="R87" s="13" t="n">
        <f aca="false">R77-R83-R84-R85</f>
        <v>0.0971651581557061</v>
      </c>
      <c r="S87" s="13" t="n">
        <f aca="false">S77-S83-S84-S85</f>
        <v>0.0942669283943299</v>
      </c>
      <c r="T87" s="13" t="n">
        <f aca="false">T77-T83-T84-T85</f>
        <v>0.091235381102508</v>
      </c>
      <c r="U87" s="13" t="n">
        <f aca="false">U77-U83-U84-U85</f>
        <v>0.0881071524307625</v>
      </c>
      <c r="V87" s="13" t="n">
        <f aca="false">V77-V83-V84-V85</f>
        <v>0.0847745587900563</v>
      </c>
      <c r="W87" s="13" t="n">
        <f aca="false">W77-W83-W84-W85</f>
        <v>0.0813400898070691</v>
      </c>
      <c r="X87" s="13" t="n">
        <f aca="false">X77-X83-X84-X85</f>
        <v>0.0780009538982592</v>
      </c>
      <c r="Y87" s="13" t="n">
        <f aca="false">Y77-Y83-Y84-Y85</f>
        <v>0.0746602467608001</v>
      </c>
      <c r="Z87" s="13" t="n">
        <f aca="false">Z77-Z83-Z84-Z85</f>
        <v>0.0711811409586383</v>
      </c>
      <c r="AA87" s="13" t="n">
        <f aca="false">AA77-AA83-AA84-AA85</f>
        <v>0.0676005061265915</v>
      </c>
      <c r="AB87" s="13" t="n">
        <f aca="false">AB77-AB83-AB84-AB85</f>
        <v>0.0638488090140386</v>
      </c>
      <c r="AC87" s="13" t="n">
        <f aca="false">AC77-AC83-AC84-AC85</f>
        <v>0.0599728239678178</v>
      </c>
      <c r="AD87" s="13" t="n">
        <f aca="false">AD77-AD83-AD84-AD85</f>
        <v>0.0557405311444394</v>
      </c>
      <c r="AE87" s="13" t="n">
        <f aca="false">AE77-AE83-AE84-AE85</f>
        <v>0.0513263320928016</v>
      </c>
      <c r="AF87" s="13" t="n">
        <f aca="false">AF77-AF83-AF84-AF85</f>
        <v>0.0467572750503102</v>
      </c>
      <c r="AG87" s="13" t="n">
        <f aca="false">AG77-AG83-AG84-AG85</f>
        <v>0.0421029447083456</v>
      </c>
      <c r="AH87" s="13" t="n">
        <f aca="false">AH77-AH83-AH84-AH85</f>
        <v>0.0372149598137381</v>
      </c>
      <c r="AI87" s="13" t="n">
        <f aca="false">AI77-AI83-AI84-AI85</f>
        <v>0.0321834513580519</v>
      </c>
      <c r="AJ87" s="13" t="n">
        <f aca="false">AJ77-AJ83-AJ84-AJ85</f>
        <v>0.026909033430991</v>
      </c>
      <c r="AK87" s="13" t="n">
        <f aca="false">AK77-AK83-AK84-AK85</f>
        <v>0.0214638919353928</v>
      </c>
      <c r="AL87" s="13" t="n">
        <f aca="false">AL77-AL83-AL84-AL85</f>
        <v>0.0156901973670904</v>
      </c>
      <c r="AM87" s="13" t="n">
        <f aca="false">AM77-AM83-AM84-AM85</f>
        <v>0.00979649674890065</v>
      </c>
      <c r="AN87" s="13" t="n">
        <f aca="false">AN77-AN83-AN84-AN85</f>
        <v>0.00493426370480355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0.105237688037368</v>
      </c>
      <c r="P89" s="13" t="n">
        <f aca="false">IF(Time!P34=1,INDEX(Funding!$J$65:$BJ$65,1,Time!$F$14),Time!P35*(P87-P88))</f>
        <v>0.102663528713263</v>
      </c>
      <c r="Q89" s="13" t="n">
        <f aca="false">IF(Time!Q34=1,INDEX(Funding!$J$65:$BJ$65,1,Time!$F$14),Time!Q35*(Q87-Q88))</f>
        <v>0.0999804265130559</v>
      </c>
      <c r="R89" s="13" t="n">
        <f aca="false">IF(Time!R34=1,INDEX(Funding!$J$65:$BJ$65,1,Time!$F$14),Time!R35*(R87-R88))</f>
        <v>0.0971651581557061</v>
      </c>
      <c r="S89" s="13" t="n">
        <f aca="false">IF(Time!S34=1,INDEX(Funding!$J$65:$BJ$65,1,Time!$F$14),Time!S35*(S87-S88))</f>
        <v>0.0942669283943299</v>
      </c>
      <c r="T89" s="13" t="n">
        <f aca="false">IF(Time!T34=1,INDEX(Funding!$J$65:$BJ$65,1,Time!$F$14),Time!T35*(T87-T88))</f>
        <v>0.091235381102508</v>
      </c>
      <c r="U89" s="13" t="n">
        <f aca="false">IF(Time!U34=1,INDEX(Funding!$J$65:$BJ$65,1,Time!$F$14),Time!U35*(U87-U88))</f>
        <v>0.0881071524307625</v>
      </c>
      <c r="V89" s="13" t="n">
        <f aca="false">IF(Time!V34=1,INDEX(Funding!$J$65:$BJ$65,1,Time!$F$14),Time!V35*(V87-V88))</f>
        <v>0.0847745587900563</v>
      </c>
      <c r="W89" s="13" t="n">
        <f aca="false">IF(Time!W34=1,INDEX(Funding!$J$65:$BJ$65,1,Time!$F$14),Time!W35*(W87-W88))</f>
        <v>0.0813400898070691</v>
      </c>
      <c r="X89" s="13" t="n">
        <f aca="false">IF(Time!X34=1,INDEX(Funding!$J$65:$BJ$65,1,Time!$F$14),Time!X35*(X87-X88))</f>
        <v>0.0780009538982592</v>
      </c>
      <c r="Y89" s="13" t="n">
        <f aca="false">IF(Time!Y34=1,INDEX(Funding!$J$65:$BJ$65,1,Time!$F$14),Time!Y35*(Y87-Y88))</f>
        <v>0.0746602467608001</v>
      </c>
      <c r="Z89" s="13" t="n">
        <f aca="false">IF(Time!Z34=1,INDEX(Funding!$J$65:$BJ$65,1,Time!$F$14),Time!Z35*(Z87-Z88))</f>
        <v>0.0711811409586383</v>
      </c>
      <c r="AA89" s="13" t="n">
        <f aca="false">IF(Time!AA34=1,INDEX(Funding!$J$65:$BJ$65,1,Time!$F$14),Time!AA35*(AA87-AA88))</f>
        <v>0.0676005061265915</v>
      </c>
      <c r="AB89" s="13" t="n">
        <f aca="false">IF(Time!AB34=1,INDEX(Funding!$J$65:$BJ$65,1,Time!$F$14),Time!AB35*(AB87-AB88))</f>
        <v>0.0638488090140386</v>
      </c>
      <c r="AC89" s="13" t="n">
        <f aca="false">IF(Time!AC34=1,INDEX(Funding!$J$65:$BJ$65,1,Time!$F$14),Time!AC35*(AC87-AC88))</f>
        <v>0.0599728239678178</v>
      </c>
      <c r="AD89" s="13" t="n">
        <f aca="false">IF(Time!AD34=1,INDEX(Funding!$J$65:$BJ$65,1,Time!$F$14),Time!AD35*(AD87-AD88))</f>
        <v>0.0557405311444394</v>
      </c>
      <c r="AE89" s="13" t="n">
        <f aca="false">IF(Time!AE34=1,INDEX(Funding!$J$65:$BJ$65,1,Time!$F$14),Time!AE35*(AE87-AE88))</f>
        <v>0.0513263320928016</v>
      </c>
      <c r="AF89" s="13" t="n">
        <f aca="false">IF(Time!AF34=1,INDEX(Funding!$J$65:$BJ$65,1,Time!$F$14),Time!AF35*(AF87-AF88))</f>
        <v>0.0467572750503102</v>
      </c>
      <c r="AG89" s="13" t="n">
        <f aca="false">IF(Time!AG34=1,INDEX(Funding!$J$65:$BJ$65,1,Time!$F$14),Time!AG35*(AG87-AG88))</f>
        <v>0.0421029447083456</v>
      </c>
      <c r="AH89" s="13" t="n">
        <f aca="false">IF(Time!AH34=1,INDEX(Funding!$J$65:$BJ$65,1,Time!$F$14),Time!AH35*(AH87-AH88))</f>
        <v>0.0372149598137381</v>
      </c>
      <c r="AI89" s="13" t="n">
        <f aca="false">IF(Time!AI34=1,INDEX(Funding!$J$65:$BJ$65,1,Time!$F$14),Time!AI35*(AI87-AI88))</f>
        <v>0.0321834513580519</v>
      </c>
      <c r="AJ89" s="13" t="n">
        <f aca="false">IF(Time!AJ34=1,INDEX(Funding!$J$65:$BJ$65,1,Time!$F$14),Time!AJ35*(AJ87-AJ88))</f>
        <v>0.026909033430991</v>
      </c>
      <c r="AK89" s="13" t="n">
        <f aca="false">IF(Time!AK34=1,INDEX(Funding!$J$65:$BJ$65,1,Time!$F$14),Time!AK35*(AK87-AK88))</f>
        <v>0.0214638919353928</v>
      </c>
      <c r="AL89" s="13" t="n">
        <f aca="false">IF(Time!AL34=1,INDEX(Funding!$J$65:$BJ$65,1,Time!$F$14),Time!AL35*(AL87-AL88))</f>
        <v>0.0156901973670904</v>
      </c>
      <c r="AM89" s="13" t="n">
        <f aca="false">IF(Time!AM34=1,INDEX(Funding!$J$65:$BJ$65,1,Time!$F$14),Time!AM35*(AM87-AM88))</f>
        <v>0.00979649674890065</v>
      </c>
      <c r="AN89" s="13" t="n">
        <f aca="false">IF(Time!AN34=1,INDEX(Funding!$J$65:$BJ$65,1,Time!$F$14),Time!AN35*(AN87-AN88))</f>
        <v>0.00493426370480355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16.3102507507688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0.770023589325153</v>
      </c>
      <c r="AC108" s="13" t="n">
        <f aca="false">(Inputs!$F$95/100*Inputs!$F$96/100)*AC63*Time!AC25/Inputs!$F$248</f>
        <v>0.676843997575891</v>
      </c>
      <c r="AD108" s="13" t="n">
        <f aca="false">(Inputs!$F$95/100*Inputs!$F$96/100)*AD63*Time!AD25/Inputs!$F$248</f>
        <v>0.601168216888235</v>
      </c>
      <c r="AE108" s="13" t="n">
        <f aca="false">(Inputs!$F$95/100*Inputs!$F$96/100)*AE63*Time!AE25/Inputs!$F$248</f>
        <v>0.500187498646069</v>
      </c>
      <c r="AF108" s="13" t="n">
        <f aca="false">(Inputs!$F$95/100*Inputs!$F$96/100)*AF63*Time!AF25/Inputs!$F$248</f>
        <v>0.415021397119646</v>
      </c>
      <c r="AG108" s="13" t="n">
        <f aca="false">(Inputs!$F$95/100*Inputs!$F$96/100)*AG63*Time!AG25/Inputs!$F$248</f>
        <v>0.313713869739454</v>
      </c>
      <c r="AH108" s="13" t="n">
        <f aca="false">(Inputs!$F$95/100*Inputs!$F$96/100)*AH63*Time!AH25/Inputs!$F$248</f>
        <v>0.224377173665935</v>
      </c>
      <c r="AI108" s="13" t="n">
        <f aca="false">(Inputs!$F$95/100*Inputs!$F$96/100)*AI63*Time!AI25/Inputs!$F$248</f>
        <v>0.124609310086254</v>
      </c>
      <c r="AJ108" s="13" t="n">
        <f aca="false">(Inputs!$F$95/100*Inputs!$F$96/100)*AJ63*Time!AJ25/Inputs!$F$248</f>
        <v>0.0314768741610595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302.441412414402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21.040975970044</v>
      </c>
      <c r="Q111" s="13" t="n">
        <f aca="false">Q23+Q37+Q51+Q65+Q79+Q92</f>
        <v>20.2563902742485</v>
      </c>
      <c r="R111" s="13" t="n">
        <f aca="false">R23+R37+R51+R65+R79+R92</f>
        <v>20.0539580212891</v>
      </c>
      <c r="S111" s="13" t="n">
        <f aca="false">S23+S37+S51+S65+S79+S92</f>
        <v>19.2021576705118</v>
      </c>
      <c r="T111" s="13" t="n">
        <f aca="false">T23+T37+T51+T65+T79+T92</f>
        <v>18.9381727526012</v>
      </c>
      <c r="U111" s="13" t="n">
        <f aca="false">U23+U37+U51+U65+U79+U92</f>
        <v>18.1299068655396</v>
      </c>
      <c r="V111" s="13" t="n">
        <f aca="false">V23+V37+V51+V65+V79+V92</f>
        <v>17.7006772353252</v>
      </c>
      <c r="W111" s="13" t="n">
        <f aca="false">W23+W37+W51+W65+W79+W92</f>
        <v>16.7534790786438</v>
      </c>
      <c r="X111" s="13" t="n">
        <f aca="false">X23+X37+X51+X65+X79+X92</f>
        <v>16.3411781705091</v>
      </c>
      <c r="Y111" s="13" t="n">
        <f aca="false">Y23+Y37+Y51+Y65+Y79+Y92</f>
        <v>15.9131736569492</v>
      </c>
      <c r="Z111" s="13" t="n">
        <f aca="false">Z23+Z37+Z51+Z65+Z79+Z92</f>
        <v>15.4840853824646</v>
      </c>
      <c r="AA111" s="13" t="n">
        <f aca="false">AA23+AA37+AA51+AA65+AA79+AA92</f>
        <v>14.5218462155226</v>
      </c>
      <c r="AB111" s="13" t="n">
        <f aca="false">AB23+AB37+AB51+AB65+AB79+AB92</f>
        <v>13.7133944936157</v>
      </c>
      <c r="AC111" s="13" t="n">
        <f aca="false">AC23+AC37+AC51+AC65+AC79+AC92</f>
        <v>12.4540902694381</v>
      </c>
      <c r="AD111" s="13" t="n">
        <f aca="false">AD23+AD37+AD51+AD65+AD79+AD92</f>
        <v>11.4772691311806</v>
      </c>
      <c r="AE111" s="13" t="n">
        <f aca="false">AE23+AE37+AE51+AE65+AE79+AE92</f>
        <v>10.0779051422464</v>
      </c>
      <c r="AF111" s="13" t="n">
        <f aca="false">AF23+AF37+AF51+AF65+AF79+AF92</f>
        <v>8.98668698286932</v>
      </c>
      <c r="AG111" s="13" t="n">
        <f aca="false">AG23+AG37+AG51+AG65+AG79+AG92</f>
        <v>7.73499637370477</v>
      </c>
      <c r="AH111" s="13" t="n">
        <f aca="false">AH23+AH37+AH51+AH65+AH79+AH92</f>
        <v>6.51868587180808</v>
      </c>
      <c r="AI111" s="13" t="n">
        <f aca="false">AI23+AI37+AI51+AI65+AI79+AI92</f>
        <v>5.03731675309234</v>
      </c>
      <c r="AJ111" s="13" t="n">
        <f aca="false">AJ23+AJ37+AJ51+AJ65+AJ79+AJ92</f>
        <v>3.72996242924408</v>
      </c>
      <c r="AK111" s="13" t="n">
        <f aca="false">AK23+AK37+AK51+AK65+AK79+AK92</f>
        <v>2.85186410220627</v>
      </c>
      <c r="AL111" s="13" t="n">
        <f aca="false">AL23+AL37+AL51+AL65+AL79+AL92</f>
        <v>2.29977652427989</v>
      </c>
      <c r="AM111" s="13" t="n">
        <f aca="false">AM23+AM37+AM51+AM65+AM79+AM92</f>
        <v>1.65373653766703</v>
      </c>
      <c r="AN111" s="13" t="n">
        <f aca="false">AN23+AN37+AN51+AN65+AN79+AN92</f>
        <v>1.04965834300329</v>
      </c>
      <c r="AO111" s="13" t="n">
        <f aca="false">AO23+AO37+AO51+AO65+AO79+AO92</f>
        <v>0.520068166397522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310.417459562186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21.7603524453945</v>
      </c>
      <c r="Q112" s="13" t="n">
        <f aca="false">Q111+Q107+Q108+Q109</f>
        <v>21.0157645471025</v>
      </c>
      <c r="R112" s="13" t="n">
        <f aca="false">R111+R107+R108+R109</f>
        <v>20.6881980456662</v>
      </c>
      <c r="S112" s="13" t="n">
        <f aca="false">S111+S107+S108+S109</f>
        <v>19.8973448415776</v>
      </c>
      <c r="T112" s="13" t="n">
        <f aca="false">T111+T107+T108+T109</f>
        <v>19.5129745504922</v>
      </c>
      <c r="U112" s="13" t="n">
        <f aca="false">U111+U107+U108+U109</f>
        <v>18.7505200254826</v>
      </c>
      <c r="V112" s="13" t="n">
        <f aca="false">V111+V107+V108+V109</f>
        <v>18.2379191979826</v>
      </c>
      <c r="W112" s="13" t="n">
        <f aca="false">W111+W107+W108+W109</f>
        <v>17.3600152776501</v>
      </c>
      <c r="X112" s="13" t="n">
        <f aca="false">X111+X107+X108+X109</f>
        <v>16.8371573082417</v>
      </c>
      <c r="Y112" s="13" t="n">
        <f aca="false">Y111+Y107+Y108+Y109</f>
        <v>16.4712467719445</v>
      </c>
      <c r="Z112" s="13" t="n">
        <f aca="false">Z111+Z107+Z108+Z109</f>
        <v>15.9393335251597</v>
      </c>
      <c r="AA112" s="13" t="n">
        <f aca="false">AA111+AA107+AA108+AA109</f>
        <v>15.0311256419707</v>
      </c>
      <c r="AB112" s="13" t="n">
        <f aca="false">AB111+AB107+AB108+AB109</f>
        <v>14.0891141646944</v>
      </c>
      <c r="AC112" s="13" t="n">
        <f aca="false">AC111+AC107+AC108+AC109</f>
        <v>12.811789607326</v>
      </c>
      <c r="AD112" s="13" t="n">
        <f aca="false">AD111+AD107+AD108+AD109</f>
        <v>11.7286245902393</v>
      </c>
      <c r="AE112" s="13" t="n">
        <f aca="false">AE111+AE107+AE108+AE109</f>
        <v>10.3227320084191</v>
      </c>
      <c r="AF112" s="13" t="n">
        <f aca="false">AF111+AF107+AF108+AF109</f>
        <v>9.10232935144276</v>
      </c>
      <c r="AG112" s="13" t="n">
        <f aca="false">AG111+AG107+AG108+AG109</f>
        <v>7.83450404403355</v>
      </c>
      <c r="AH112" s="13" t="n">
        <f aca="false">AH111+AH107+AH108+AH109</f>
        <v>6.49748269379548</v>
      </c>
      <c r="AI112" s="13" t="n">
        <f aca="false">AI111+AI107+AI108+AI109</f>
        <v>4.99143547974865</v>
      </c>
      <c r="AJ112" s="13" t="n">
        <f aca="false">AJ111+AJ107+AJ108+AJ109</f>
        <v>3.57371791342899</v>
      </c>
      <c r="AK112" s="13" t="n">
        <f aca="false">AK111+AK107+AK108+AK109</f>
        <v>2.71736082094727</v>
      </c>
      <c r="AL112" s="13" t="n">
        <f aca="false">AL111+AL107+AL108+AL109</f>
        <v>2.17458076501893</v>
      </c>
      <c r="AM112" s="13" t="n">
        <f aca="false">AM111+AM107+AM108+AM109</f>
        <v>1.58185601121652</v>
      </c>
      <c r="AN112" s="13" t="n">
        <f aca="false">AN111+AN107+AN108+AN109</f>
        <v>0.992516802584245</v>
      </c>
      <c r="AO112" s="13" t="n">
        <f aca="false">AO111+AO107+AO108+AO109</f>
        <v>0.497463130625897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533.215610869674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15.492288960068</v>
      </c>
      <c r="Q113" s="13" t="n">
        <f aca="false">Q27+Q41+Q55+Q69+Q83+Q93</f>
        <v>16.1479494317868</v>
      </c>
      <c r="R113" s="13" t="n">
        <f aca="false">R27+R41+R55+R69+R83+R93</f>
        <v>16.9433766137874</v>
      </c>
      <c r="S113" s="13" t="n">
        <f aca="false">S27+S41+S55+S69+S83+S93</f>
        <v>17.4426705120607</v>
      </c>
      <c r="T113" s="13" t="n">
        <f aca="false">T27+T41+T55+T69+T83+T93</f>
        <v>18.2450271050534</v>
      </c>
      <c r="U113" s="13" t="n">
        <f aca="false">U27+U41+U55+U69+U83+U93</f>
        <v>18.8268931382891</v>
      </c>
      <c r="V113" s="13" t="n">
        <f aca="false">V27+V41+V55+V69+V83+V93</f>
        <v>20.0568407653869</v>
      </c>
      <c r="W113" s="13" t="n">
        <f aca="false">W27+W41+W55+W69+W83+W93</f>
        <v>20.6699660780837</v>
      </c>
      <c r="X113" s="13" t="n">
        <f aca="false">X27+X41+X55+X69+X83+X93</f>
        <v>20.0962146716436</v>
      </c>
      <c r="Y113" s="13" t="n">
        <f aca="false">Y27+Y41+Y55+Y69+Y83+Y93</f>
        <v>20.1056709349091</v>
      </c>
      <c r="Z113" s="13" t="n">
        <f aca="false">Z27+Z41+Z55+Z69+Z83+Z93</f>
        <v>20.9386077641035</v>
      </c>
      <c r="AA113" s="13" t="n">
        <f aca="false">AA27+AA41+AA55+AA69+AA83+AA93</f>
        <v>21.5496488345168</v>
      </c>
      <c r="AB113" s="13" t="n">
        <f aca="false">AB27+AB41+AB55+AB69+AB83+AB93</f>
        <v>22.1911253620707</v>
      </c>
      <c r="AC113" s="13" t="n">
        <f aca="false">AC27+AC41+AC55+AC69+AC83+AC93</f>
        <v>22.4259002460645</v>
      </c>
      <c r="AD113" s="13" t="n">
        <f aca="false">AD27+AD41+AD55+AD69+AD83+AD93</f>
        <v>23.925136311801</v>
      </c>
      <c r="AE113" s="13" t="n">
        <f aca="false">AE27+AE41+AE55+AE69+AE83+AE93</f>
        <v>24.19051604198</v>
      </c>
      <c r="AF113" s="13" t="n">
        <f aca="false">AF27+AF41+AF55+AF69+AF83+AF93</f>
        <v>24.13166759874</v>
      </c>
      <c r="AG113" s="13" t="n">
        <f aca="false">AG27+AG41+AG55+AG69+AG83+AG93</f>
        <v>23.4533095504507</v>
      </c>
      <c r="AH113" s="13" t="n">
        <f aca="false">AH27+AH41+AH55+AH69+AH83+AH93</f>
        <v>23.2335319760349</v>
      </c>
      <c r="AI113" s="13" t="n">
        <f aca="false">AI27+AI41+AI55+AI69+AI83+AI93</f>
        <v>22.0589873217801</v>
      </c>
      <c r="AJ113" s="13" t="n">
        <f aca="false">AJ27+AJ41+AJ55+AJ69+AJ83+AJ93</f>
        <v>20.6716778634969</v>
      </c>
      <c r="AK113" s="13" t="n">
        <f aca="false">AK27+AK41+AK55+AK69+AK83+AK93</f>
        <v>20.3200723584508</v>
      </c>
      <c r="AL113" s="13" t="n">
        <f aca="false">AL27+AL41+AL55+AL69+AL83+AL93</f>
        <v>21.5461602785421</v>
      </c>
      <c r="AM113" s="13" t="n">
        <f aca="false">AM27+AM41+AM55+AM69+AM83+AM93</f>
        <v>21.9939965044939</v>
      </c>
      <c r="AN113" s="13" t="n">
        <f aca="false">AN27+AN41+AN55+AN69+AN83+AN93</f>
        <v>18.1447860187974</v>
      </c>
      <c r="AO113" s="13" t="n">
        <f aca="false">AO27+AO41+AO55+AO69+AO83+AO93</f>
        <v>18.4135886272815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843.633070431859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37.2526414054625</v>
      </c>
      <c r="Q114" s="13" t="n">
        <f aca="false">Q112+Q113</f>
        <v>37.1637139788893</v>
      </c>
      <c r="R114" s="13" t="n">
        <f aca="false">R112+R113</f>
        <v>37.6315746594536</v>
      </c>
      <c r="S114" s="13" t="n">
        <f aca="false">S112+S113</f>
        <v>37.3400153536383</v>
      </c>
      <c r="T114" s="13" t="n">
        <f aca="false">T112+T113</f>
        <v>37.7580016555455</v>
      </c>
      <c r="U114" s="13" t="n">
        <f aca="false">U112+U113</f>
        <v>37.5774131637717</v>
      </c>
      <c r="V114" s="13" t="n">
        <f aca="false">V112+V113</f>
        <v>38.2947599633695</v>
      </c>
      <c r="W114" s="13" t="n">
        <f aca="false">W112+W113</f>
        <v>38.0299813557338</v>
      </c>
      <c r="X114" s="13" t="n">
        <f aca="false">X112+X113</f>
        <v>36.9333719798852</v>
      </c>
      <c r="Y114" s="13" t="n">
        <f aca="false">Y112+Y113</f>
        <v>36.5769177068536</v>
      </c>
      <c r="Z114" s="13" t="n">
        <f aca="false">Z112+Z113</f>
        <v>36.8779412892632</v>
      </c>
      <c r="AA114" s="13" t="n">
        <f aca="false">AA112+AA113</f>
        <v>36.5807744764874</v>
      </c>
      <c r="AB114" s="13" t="n">
        <f aca="false">AB112+AB113</f>
        <v>36.2802395267651</v>
      </c>
      <c r="AC114" s="13" t="n">
        <f aca="false">AC112+AC113</f>
        <v>35.2376898533905</v>
      </c>
      <c r="AD114" s="13" t="n">
        <f aca="false">AD112+AD113</f>
        <v>35.6537609020403</v>
      </c>
      <c r="AE114" s="13" t="n">
        <f aca="false">AE112+AE113</f>
        <v>34.513248050399</v>
      </c>
      <c r="AF114" s="13" t="n">
        <f aca="false">AF112+AF113</f>
        <v>33.2339969501828</v>
      </c>
      <c r="AG114" s="13" t="n">
        <f aca="false">AG112+AG113</f>
        <v>31.2878135944843</v>
      </c>
      <c r="AH114" s="13" t="n">
        <f aca="false">AH112+AH113</f>
        <v>29.7310146698303</v>
      </c>
      <c r="AI114" s="13" t="n">
        <f aca="false">AI112+AI113</f>
        <v>27.0504228015287</v>
      </c>
      <c r="AJ114" s="13" t="n">
        <f aca="false">AJ112+AJ113</f>
        <v>24.2453957769259</v>
      </c>
      <c r="AK114" s="13" t="n">
        <f aca="false">AK112+AK113</f>
        <v>23.037433179398</v>
      </c>
      <c r="AL114" s="13" t="n">
        <f aca="false">AL112+AL113</f>
        <v>23.7207410435611</v>
      </c>
      <c r="AM114" s="13" t="n">
        <f aca="false">AM112+AM113</f>
        <v>23.5758525157105</v>
      </c>
      <c r="AN114" s="13" t="n">
        <f aca="false">AN112+AN113</f>
        <v>19.1373028213816</v>
      </c>
      <c r="AO114" s="13" t="n">
        <f aca="false">AO112+AO113</f>
        <v>18.9110517579074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633.361213230812</v>
      </c>
      <c r="Q115" s="13" t="n">
        <f aca="false">Q21+Q35+Q49+Q63+Q77+Q91</f>
        <v>617.868924270744</v>
      </c>
      <c r="R115" s="13" t="n">
        <f aca="false">R21+R35+R49+R63+R77+R91</f>
        <v>601.720974838957</v>
      </c>
      <c r="S115" s="13" t="n">
        <f aca="false">S21+S35+S49+S63+S77+S91</f>
        <v>584.777598225169</v>
      </c>
      <c r="T115" s="13" t="n">
        <f aca="false">T21+T35+T49+T63+T77+T91</f>
        <v>567.334927713109</v>
      </c>
      <c r="U115" s="13" t="n">
        <f aca="false">U21+U35+U49+U63+U77+U91</f>
        <v>549.089900608055</v>
      </c>
      <c r="V115" s="13" t="n">
        <f aca="false">V21+V35+V49+V63+V77+V91</f>
        <v>530.263007469766</v>
      </c>
      <c r="W115" s="13" t="n">
        <f aca="false">W21+W35+W49+W63+W77+W91</f>
        <v>510.206166704379</v>
      </c>
      <c r="X115" s="13" t="n">
        <f aca="false">X21+X35+X49+X63+X77+X91</f>
        <v>489.536200626295</v>
      </c>
      <c r="Y115" s="13" t="n">
        <f aca="false">Y21+Y35+Y49+Y63+Y77+Y91</f>
        <v>469.439985954652</v>
      </c>
      <c r="Z115" s="13" t="n">
        <f aca="false">Z21+Z35+Z49+Z63+Z77+Z91</f>
        <v>449.334315019743</v>
      </c>
      <c r="AA115" s="13" t="n">
        <f aca="false">AA21+AA35+AA49+AA63+AA77+AA91</f>
        <v>428.395707255639</v>
      </c>
      <c r="AB115" s="13" t="n">
        <f aca="false">AB21+AB35+AB49+AB63+AB77+AB91</f>
        <v>399.85405564199</v>
      </c>
      <c r="AC115" s="13" t="n">
        <f aca="false">AC21+AC35+AC49+AC63+AC77+AC91</f>
        <v>369.42016150836</v>
      </c>
      <c r="AD115" s="13" t="n">
        <f aca="false">AD21+AD35+AD49+AD63+AD77+AD91</f>
        <v>339.026161069905</v>
      </c>
      <c r="AE115" s="13" t="n">
        <f aca="false">AE21+AE35+AE49+AE63+AE77+AE91</f>
        <v>305.467016114223</v>
      </c>
      <c r="AF115" s="13" t="n">
        <f aca="false">AF21+AF35+AF49+AF63+AF77+AF91</f>
        <v>271.082189083516</v>
      </c>
      <c r="AG115" s="13" t="n">
        <f aca="false">AG21+AG35+AG49+AG63+AG77+AG91</f>
        <v>235.611304939653</v>
      </c>
      <c r="AH115" s="13" t="n">
        <f aca="false">AH21+AH35+AH49+AH63+AH77+AH91</f>
        <v>200.123390979734</v>
      </c>
      <c r="AI115" s="13" t="n">
        <f aca="false">AI21+AI35+AI49+AI63+AI77+AI91</f>
        <v>163.156702198138</v>
      </c>
      <c r="AJ115" s="13" t="n">
        <f aca="false">AJ21+AJ35+AJ49+AJ63+AJ77+AJ91</f>
        <v>126.134475540108</v>
      </c>
      <c r="AK115" s="13" t="n">
        <f aca="false">AK21+AK35+AK49+AK63+AK77+AK91</f>
        <v>100.418603787566</v>
      </c>
      <c r="AL115" s="13" t="n">
        <f aca="false">AL21+AL35+AL49+AL63+AL77+AL91</f>
        <v>80.0985314291149</v>
      </c>
      <c r="AM115" s="13" t="n">
        <f aca="false">AM21+AM35+AM49+AM63+AM77+AM91</f>
        <v>58.5523711505728</v>
      </c>
      <c r="AN115" s="13" t="n">
        <f aca="false">AN21+AN35+AN49+AN63+AN77+AN91</f>
        <v>36.5583746460789</v>
      </c>
      <c r="AO115" s="13" t="n">
        <f aca="false">AO21+AO35+AO49+AO63+AO77+AO91</f>
        <v>18.4135886272815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633.361213230812</v>
      </c>
      <c r="P116" s="13" t="n">
        <f aca="false">P33+P47+P61+P75+P89+P95</f>
        <v>617.868924270744</v>
      </c>
      <c r="Q116" s="13" t="n">
        <f aca="false">Q33+Q47+Q61+Q75+Q89+Q95</f>
        <v>601.720974838957</v>
      </c>
      <c r="R116" s="13" t="n">
        <f aca="false">R33+R47+R61+R75+R89+R95</f>
        <v>584.777598225169</v>
      </c>
      <c r="S116" s="13" t="n">
        <f aca="false">S33+S47+S61+S75+S89+S95</f>
        <v>567.334927713109</v>
      </c>
      <c r="T116" s="13" t="n">
        <f aca="false">T33+T47+T61+T75+T89+T95</f>
        <v>549.089900608055</v>
      </c>
      <c r="U116" s="13" t="n">
        <f aca="false">U33+U47+U61+U75+U89+U95</f>
        <v>530.263007469766</v>
      </c>
      <c r="V116" s="13" t="n">
        <f aca="false">V33+V47+V61+V75+V89+V95</f>
        <v>510.206166704379</v>
      </c>
      <c r="W116" s="13" t="n">
        <f aca="false">W33+W47+W61+W75+W89+W95</f>
        <v>489.536200626295</v>
      </c>
      <c r="X116" s="13" t="n">
        <f aca="false">X33+X47+X61+X75+X89+X95</f>
        <v>469.439985954652</v>
      </c>
      <c r="Y116" s="13" t="n">
        <f aca="false">Y33+Y47+Y61+Y75+Y89+Y95</f>
        <v>449.334315019743</v>
      </c>
      <c r="Z116" s="13" t="n">
        <f aca="false">Z33+Z47+Z61+Z75+Z89+Z95</f>
        <v>428.395707255639</v>
      </c>
      <c r="AA116" s="13" t="n">
        <f aca="false">AA33+AA47+AA61+AA75+AA89+AA95</f>
        <v>399.85405564199</v>
      </c>
      <c r="AB116" s="13" t="n">
        <f aca="false">AB33+AB47+AB61+AB75+AB89+AB95</f>
        <v>369.42016150836</v>
      </c>
      <c r="AC116" s="13" t="n">
        <f aca="false">AC33+AC47+AC61+AC75+AC89+AC95</f>
        <v>339.026161069905</v>
      </c>
      <c r="AD116" s="13" t="n">
        <f aca="false">AD33+AD47+AD61+AD75+AD89+AD95</f>
        <v>305.467016114223</v>
      </c>
      <c r="AE116" s="13" t="n">
        <f aca="false">AE33+AE47+AE61+AE75+AE89+AE95</f>
        <v>271.082189083516</v>
      </c>
      <c r="AF116" s="13" t="n">
        <f aca="false">AF33+AF47+AF61+AF75+AF89+AF95</f>
        <v>235.611304939653</v>
      </c>
      <c r="AG116" s="13" t="n">
        <f aca="false">AG33+AG47+AG61+AG75+AG89+AG95</f>
        <v>200.123390979734</v>
      </c>
      <c r="AH116" s="13" t="n">
        <f aca="false">AH33+AH47+AH61+AH75+AH89+AH95</f>
        <v>163.156702198138</v>
      </c>
      <c r="AI116" s="13" t="n">
        <f aca="false">AI33+AI47+AI61+AI75+AI89+AI95</f>
        <v>126.134475540108</v>
      </c>
      <c r="AJ116" s="13" t="n">
        <f aca="false">AJ33+AJ47+AJ61+AJ75+AJ89+AJ95</f>
        <v>100.418603787566</v>
      </c>
      <c r="AK116" s="13" t="n">
        <f aca="false">AK33+AK47+AK61+AK75+AK89+AK95</f>
        <v>80.0985314291149</v>
      </c>
      <c r="AL116" s="13" t="n">
        <f aca="false">AL33+AL47+AL61+AL75+AL89+AL95</f>
        <v>58.5523711505728</v>
      </c>
      <c r="AM116" s="13" t="n">
        <f aca="false">AM33+AM47+AM61+AM75+AM89+AM95</f>
        <v>36.5583746460789</v>
      </c>
      <c r="AN116" s="13" t="n">
        <f aca="false">AN33+AN47+AN61+AN75+AN89+AN95</f>
        <v>18.4135886272815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139.393195652273</v>
      </c>
      <c r="AC118" s="13" t="n">
        <f aca="false">IF(Time!AC34=1,AC75,AC73)</f>
        <v>123.188851696385</v>
      </c>
      <c r="AD118" s="13" t="n">
        <f aca="false">IF(Time!AD34=1,AD75,AD73)</f>
        <v>107.089602636362</v>
      </c>
      <c r="AE118" s="13" t="n">
        <f aca="false">IF(Time!AE34=1,AE75,AE73)</f>
        <v>89.7378994935956</v>
      </c>
      <c r="AF118" s="13" t="n">
        <f aca="false">IF(Time!AF34=1,AF75,AF73)</f>
        <v>72.4626384656936</v>
      </c>
      <c r="AG118" s="13" t="n">
        <f aca="false">IF(Time!AG34=1,AG75,AG73)</f>
        <v>55.0390511580847</v>
      </c>
      <c r="AH118" s="13" t="n">
        <f aca="false">IF(Time!AH34=1,AH75,AH73)</f>
        <v>38.0118010426143</v>
      </c>
      <c r="AI118" s="13" t="n">
        <f aca="false">IF(Time!AI34=1,AI75,AI73)</f>
        <v>20.9961415987929</v>
      </c>
      <c r="AJ118" s="13" t="n">
        <f aca="false">IF(Time!AJ34=1,AJ75,AJ73)</f>
        <v>5.04419388904519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8.21505461596174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8.06318807096611</v>
      </c>
      <c r="AB120" s="13" t="n">
        <f aca="false">IF(AND(Time!AB20&gt;=Time!$F$12,Time!AC20&gt;0),(IF(Time!AB34=1,AB47,AB45)-AB44)*AC19+IF(Time!AC46&gt;0,Time!AC45*AB44/Time!AC46,0)+IF(Time!AB34=1,AB47,AB45)*AC11,0)</f>
        <v>8.02407781007827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8.45664485774762</v>
      </c>
      <c r="AJ120" s="13" t="n">
        <f aca="false">IF(AND(Time!AJ20&gt;=Time!$F$12,Time!AK20&gt;0),(IF(Time!AJ34=1,AJ47,AJ45)-AJ44)*AK19+IF(Time!AK46&gt;0,Time!AK45*AJ44/Time!AK46,0)+IF(Time!AJ34=1,AJ47,AJ45)*AK11,0)</f>
        <v>8.42764805415071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6.75444325156705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14.5068041871864</v>
      </c>
      <c r="AC122" s="13" t="n">
        <f aca="false">IF(AND(Time!AC20&gt;=Time!$F$12,Time!AD20&gt;0),(IF(Time!AC34=1,AC75,AC73)-AC72)*AD19+IF(Time!AD46&gt;0,Time!AD45*AC72/Time!AD46,0)+IF(Time!AC34=1,AC75,AC73)*AD13,0)</f>
        <v>14.0943017056965</v>
      </c>
      <c r="AD122" s="13" t="n">
        <f aca="false">IF(AND(Time!AD20&gt;=Time!$F$12,Time!AE20&gt;0),(IF(Time!AD34=1,AD75,AD73)-AD72)*AE19+IF(Time!AE46&gt;0,Time!AE45*AD72/Time!AE46,0)+IF(Time!AD34=1,AD75,AD73)*AE13,0)</f>
        <v>13.0991005116617</v>
      </c>
      <c r="AE122" s="13" t="n">
        <f aca="false">IF(AND(Time!AE20&gt;=Time!$F$12,Time!AF20&gt;0),(IF(Time!AE34=1,AE75,AE73)-AE72)*AF19+IF(Time!AF46&gt;0,Time!AF45*AE72/Time!AF46,0)+IF(Time!AE34=1,AE75,AE73)*AF13,0)</f>
        <v>11.9227317871843</v>
      </c>
      <c r="AF122" s="13" t="n">
        <f aca="false">IF(AND(Time!AF20&gt;=Time!$F$12,Time!AG20&gt;0),(IF(Time!AF34=1,AF75,AF73)-AF72)*AG19+IF(Time!AG46&gt;0,Time!AG45*AF72/Time!AG46,0)+IF(Time!AF34=1,AF75,AF73)*AG13,0)</f>
        <v>10.5406145371073</v>
      </c>
      <c r="AG122" s="13" t="n">
        <f aca="false">IF(AND(Time!AG20&gt;=Time!$F$12,Time!AH20&gt;0),(IF(Time!AG34=1,AG75,AG73)-AG72)*AH19+IF(Time!AH46&gt;0,Time!AH45*AG72/Time!AH46,0)+IF(Time!AG34=1,AG75,AG73)*AH13,0)</f>
        <v>8.95911999445097</v>
      </c>
      <c r="AH122" s="13" t="n">
        <f aca="false">IF(AND(Time!AH20&gt;=Time!$F$12,Time!AI20&gt;0),(IF(Time!AH34=1,AH75,AH73)-AH72)*AI19+IF(Time!AI46&gt;0,Time!AI45*AH72/Time!AI46,0)+IF(Time!AH34=1,AH75,AH73)*AI13,0)</f>
        <v>6.88475835471762</v>
      </c>
      <c r="AI122" s="13" t="n">
        <f aca="false">IF(AND(Time!AI20&gt;=Time!$F$12,Time!AJ20&gt;0),(IF(Time!AI34=1,AI75,AI73)-AI72)*AJ19+IF(Time!AJ46&gt;0,Time!AJ45*AI72/Time!AJ46,0)+IF(Time!AI34=1,AI75,AI73)*AJ13,0)</f>
        <v>4.42110519080729</v>
      </c>
      <c r="AJ122" s="13" t="n">
        <f aca="false">IF(AND(Time!AJ20&gt;=Time!$F$12,Time!AK20&gt;0),(IF(Time!AJ34=1,AJ75,AJ73)-AJ72)*AK19+IF(Time!AK46&gt;0,Time!AK45*AJ72/Time!AK46,0)+IF(Time!AJ34=1,AJ75,AJ73)*AK13,0)</f>
        <v>1.25362209505311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0.00674596836712921</v>
      </c>
      <c r="P123" s="13" t="n">
        <f aca="false">IF(AND(Time!P20&gt;=Time!$F$12,Time!Q20&gt;0),(IF(Time!P34=1,P89,P87)-P86)*Q19+IF(Time!Q46&gt;0,Time!Q45*P86/Time!Q46,0)+IF(Time!P34=1,P89,P87)*Q14,0)</f>
        <v>0.00669752374465873</v>
      </c>
      <c r="Q123" s="13" t="n">
        <f aca="false">IF(AND(Time!Q20&gt;=Time!$F$12,Time!R20&gt;0),(IF(Time!Q34=1,Q89,Q87)-Q86)*R19+IF(Time!R46&gt;0,Time!R45*Q86/Time!R46,0)+IF(Time!Q34=1,Q89,Q87)*R14,0)</f>
        <v>0.00678957177677651</v>
      </c>
      <c r="R123" s="13" t="n">
        <f aca="false">IF(AND(Time!R20&gt;=Time!$F$12,Time!S20&gt;0),(IF(Time!R34=1,R89,R87)-R86)*S19+IF(Time!S46&gt;0,Time!S45*R86/Time!S46,0)+IF(Time!R34=1,R89,R87)*S14,0)</f>
        <v>0.00670286108250703</v>
      </c>
      <c r="S123" s="13" t="n">
        <f aca="false">IF(AND(Time!S20&gt;=Time!$F$12,Time!T20&gt;0),(IF(Time!S34=1,S89,S87)-S86)*T19+IF(Time!T46&gt;0,Time!T45*S86/Time!T46,0)+IF(Time!S34=1,S89,S87)*T14,0)</f>
        <v>0.00678387379886771</v>
      </c>
      <c r="T123" s="13" t="n">
        <f aca="false">IF(AND(Time!T20&gt;=Time!$F$12,Time!U20&gt;0),(IF(Time!T34=1,T89,T87)-T86)*U19+IF(Time!U46&gt;0,Time!U45*T86/Time!U46,0)+IF(Time!T34=1,T89,T87)*U14,0)</f>
        <v>0.00672040892010083</v>
      </c>
      <c r="U123" s="13" t="n">
        <f aca="false">IF(AND(Time!U20&gt;=Time!$F$12,Time!V20&gt;0),(IF(Time!U34=1,U89,U87)-U86)*V19+IF(Time!V46&gt;0,Time!V45*U86/Time!V46,0)+IF(Time!U34=1,U89,U87)*V14,0)</f>
        <v>0.00683972821226348</v>
      </c>
      <c r="V123" s="13" t="n">
        <f aca="false">IF(AND(Time!V20&gt;=Time!$F$12,Time!W20&gt;0),(IF(Time!V34=1,V89,V87)-V86)*W19+IF(Time!W46&gt;0,Time!W45*V86/Time!W46,0)+IF(Time!V34=1,V89,V87)*W14,0)</f>
        <v>0.00675392986515689</v>
      </c>
      <c r="W123" s="13" t="n">
        <f aca="false">IF(AND(Time!W20&gt;=Time!$F$12,Time!X20&gt;0),(IF(Time!W34=1,W89,W87)-W86)*X19+IF(Time!X46&gt;0,Time!X45*W86/Time!X46,0)+IF(Time!W34=1,W89,W87)*X14,0)</f>
        <v>0.00657690529694355</v>
      </c>
      <c r="X123" s="13" t="n">
        <f aca="false">IF(AND(Time!X20&gt;=Time!$F$12,Time!Y20&gt;0),(IF(Time!X34=1,X89,X87)-X86)*Y19+IF(Time!Y46&gt;0,Time!Y45*X86/Time!Y46,0)+IF(Time!X34=1,X89,X87)*Y14,0)</f>
        <v>0.00652566230950238</v>
      </c>
      <c r="Y123" s="13" t="n">
        <f aca="false">IF(AND(Time!Y20&gt;=Time!$F$12,Time!Z20&gt;0),(IF(Time!Y34=1,Y89,Y87)-Y86)*Z19+IF(Time!Z46&gt;0,Time!Z45*Y86/Time!Z46,0)+IF(Time!Y34=1,Y89,Y87)*Z14,0)</f>
        <v>0.00657818075015014</v>
      </c>
      <c r="Z123" s="13" t="n">
        <f aca="false">IF(AND(Time!Z20&gt;=Time!$F$12,Time!AA20&gt;0),(IF(Time!Z34=1,Z89,Z87)-Z86)*AA19+IF(Time!AA46&gt;0,Time!AA45*Z86/Time!AA46,0)+IF(Time!Z34=1,Z89,Z87)*AA14,0)</f>
        <v>0.00648712163403986</v>
      </c>
      <c r="AA123" s="13" t="n">
        <f aca="false">IF(AND(Time!AA20&gt;=Time!$F$12,Time!AB20&gt;0),(IF(Time!AA34=1,AA89,AA87)-AA86)*AB19+IF(Time!AB46&gt;0,Time!AB45*AA86/Time!AB46,0)+IF(Time!AA34=1,AA89,AA87)*AB14,0)</f>
        <v>0.00655772902508403</v>
      </c>
      <c r="AB123" s="13" t="n">
        <f aca="false">IF(AND(Time!AB20&gt;=Time!$F$12,Time!AC20&gt;0),(IF(Time!AB34=1,AB89,AB87)-AB86)*AC19+IF(Time!AC46&gt;0,Time!AC45*AB86/Time!AC46,0)+IF(Time!AB34=1,AB89,AB87)*AC14,0)</f>
        <v>0.00649747998763632</v>
      </c>
      <c r="AC123" s="13" t="n">
        <f aca="false">IF(AND(Time!AC20&gt;=Time!$F$12,Time!AD20&gt;0),(IF(Time!AC34=1,AC89,AC87)-AC86)*AD19+IF(Time!AD46&gt;0,Time!AD45*AC86/Time!AD46,0)+IF(Time!AC34=1,AC89,AC87)*AD14,0)</f>
        <v>0.00672170699467426</v>
      </c>
      <c r="AD123" s="13" t="n">
        <f aca="false">IF(AND(Time!AD20&gt;=Time!$F$12,Time!AE20&gt;0),(IF(Time!AD34=1,AD89,AD87)-AD86)*AE19+IF(Time!AE46&gt;0,Time!AE45*AD86/Time!AE46,0)+IF(Time!AD34=1,AD89,AD87)*AE14,0)</f>
        <v>0.00669021087057641</v>
      </c>
      <c r="AE123" s="13" t="n">
        <f aca="false">IF(AND(Time!AE20&gt;=Time!$F$12,Time!AF20&gt;0),(IF(Time!AE34=1,AE89,AE87)-AE86)*AF19+IF(Time!AF46&gt;0,Time!AF45*AE86/Time!AF46,0)+IF(Time!AE34=1,AE89,AE87)*AF14,0)</f>
        <v>0.00669956366230679</v>
      </c>
      <c r="AF123" s="13" t="n">
        <f aca="false">IF(AND(Time!AF20&gt;=Time!$F$12,Time!AG20&gt;0),(IF(Time!AF34=1,AF89,AF87)-AF86)*AG19+IF(Time!AG46&gt;0,Time!AG45*AF86/Time!AG46,0)+IF(Time!AF34=1,AF89,AF87)*AG14,0)</f>
        <v>0.00664189724855778</v>
      </c>
      <c r="AG123" s="13" t="n">
        <f aca="false">IF(AND(Time!AG20&gt;=Time!$F$12,Time!AH20&gt;0),(IF(Time!AG34=1,AG89,AG87)-AG86)*AH19+IF(Time!AH46&gt;0,Time!AH45*AG86/Time!AH46,0)+IF(Time!AG34=1,AG89,AG87)*AH14,0)</f>
        <v>0.006707368528711</v>
      </c>
      <c r="AH123" s="13" t="n">
        <f aca="false">IF(AND(Time!AH20&gt;=Time!$F$12,Time!AI20&gt;0),(IF(Time!AH34=1,AH89,AH87)-AH86)*AI19+IF(Time!AI46&gt;0,Time!AI45*AH86/Time!AI46,0)+IF(Time!AH34=1,AH89,AH87)*AI14,0)</f>
        <v>0.00661344885910779</v>
      </c>
      <c r="AI123" s="13" t="n">
        <f aca="false">IF(AND(Time!AI20&gt;=Time!$F$12,Time!AJ20&gt;0),(IF(Time!AI34=1,AI89,AI87)-AI86)*AJ19+IF(Time!AJ46&gt;0,Time!AJ45*AI86/Time!AJ46,0)+IF(Time!AI34=1,AI89,AI87)*AJ14,0)</f>
        <v>0.00666515306673864</v>
      </c>
      <c r="AJ123" s="13" t="n">
        <f aca="false">IF(AND(Time!AJ20&gt;=Time!$F$12,Time!AK20&gt;0),(IF(Time!AJ34=1,AJ89,AJ87)-AJ86)*AK19+IF(Time!AK46&gt;0,Time!AK45*AJ86/Time!AK46,0)+IF(Time!AJ34=1,AJ89,AJ87)*AK14,0)</f>
        <v>0.0065953153081699</v>
      </c>
      <c r="AK123" s="13" t="n">
        <f aca="false">IF(AND(Time!AK20&gt;=Time!$F$12,Time!AL20&gt;0),(IF(Time!AK34=1,AK89,AK87)-AK86)*AL19+IF(Time!AL46&gt;0,Time!AL45*AK86/Time!AL46,0)+IF(Time!AK34=1,AK89,AK87)*AL14,0)</f>
        <v>0.00670120816579382</v>
      </c>
      <c r="AL123" s="13" t="n">
        <f aca="false">IF(AND(Time!AL20&gt;=Time!$F$12,Time!AM20&gt;0),(IF(Time!AL34=1,AL89,AL87)-AL86)*AM19+IF(Time!AM46&gt;0,Time!AM45*AL86/Time!AM46,0)+IF(Time!AL34=1,AL89,AL87)*AM14,0)</f>
        <v>0.00656066243346212</v>
      </c>
      <c r="AM123" s="13" t="n">
        <f aca="false">IF(AND(Time!AM20&gt;=Time!$F$12,Time!AN20&gt;0),(IF(Time!AM34=1,AM89,AM87)-AM86)*AN19+IF(Time!AN46&gt;0,Time!AN45*AM86/Time!AN46,0)+IF(Time!AM34=1,AM89,AM87)*AN14,0)</f>
        <v>0.00528556651827485</v>
      </c>
      <c r="AN123" s="13" t="n">
        <f aca="false">IF(AND(Time!AN20&gt;=Time!$F$12,Time!AO20&gt;0),(IF(Time!AN34=1,AN89,AN87)-AN86)*AO19+IF(Time!AO46&gt;0,Time!AO45*AN86/Time!AO46,0)+IF(Time!AN34=1,AN89,AN87)*AO14,0)</f>
        <v>0.00514401030011988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37.2526414054625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37.1637139788893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37.6315746594536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37.3400153536384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37.7580016555455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37.5774131637717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38.2947599633695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38.0299813557338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36.9333719798852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36.5769177068536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36.8779412892632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36.5807744764874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37.0113063610002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36.1380633863682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36.6069822332575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35.7411172394728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34.6416198217052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32.9954453367973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31.752768634412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29.6082791395216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27.4742389926635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24.3170874608314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23.7207410435611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23.5758525157105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19.1373028213816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18.9110517579074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875.430449843565</v>
      </c>
      <c r="Q128" s="13" t="n">
        <f aca="false">IF(Time!Q53=1,(Waterfall!Q7+R128)/(1+Q127),0)</f>
        <v>854.753848728895</v>
      </c>
      <c r="R128" s="13" t="n">
        <f aca="false">IF(Time!R53=1,(Waterfall!R7+S128)/(1+R127),0)</f>
        <v>833.069141231497</v>
      </c>
      <c r="S128" s="13" t="n">
        <f aca="false">IF(Time!S53=1,(Waterfall!S7+T128)/(1+S127),0)</f>
        <v>810.408456455031</v>
      </c>
      <c r="T128" s="13" t="n">
        <f aca="false">IF(Time!T53=1,(Waterfall!T7+U128)/(1+T127),0)</f>
        <v>786.862819370948</v>
      </c>
      <c r="U128" s="13" t="n">
        <f aca="false">IF(Time!U53=1,(Waterfall!U7+V128)/(1+U127),0)</f>
        <v>762.123959713872</v>
      </c>
      <c r="V128" s="13" t="n">
        <f aca="false">IF(Time!V53=1,(Waterfall!V7+W128)/(1+V127),0)</f>
        <v>736.514647491023</v>
      </c>
      <c r="W128" s="13" t="n">
        <f aca="false">IF(Time!W53=1,(Waterfall!W7+X128)/(1+W127),0)</f>
        <v>709.195801840642</v>
      </c>
      <c r="X128" s="13" t="n">
        <f aca="false">IF(Time!X53=1,(Waterfall!X7+Y128)/(1+X127),0)</f>
        <v>680.933294948129</v>
      </c>
      <c r="Y128" s="13" t="n">
        <f aca="false">IF(Time!Y53=1,(Waterfall!Y7+Z128)/(1+Y127),0)</f>
        <v>653.195539987759</v>
      </c>
      <c r="Z128" s="13" t="n">
        <f aca="false">IF(Time!Z53=1,(Waterfall!Z7+AA128)/(1+Z127),0)</f>
        <v>625.365494792112</v>
      </c>
      <c r="AA128" s="13" t="n">
        <f aca="false">IF(Time!AA53=1,(Waterfall!AA7+AB128)/(1+AA127),0)</f>
        <v>596.193561619876</v>
      </c>
      <c r="AB128" s="13" t="n">
        <f aca="false">IF(Time!AB53=1,(Waterfall!AB7+AC128)/(1+AB127),0)</f>
        <v>566.116331567641</v>
      </c>
      <c r="AC128" s="13" t="n">
        <f aca="false">IF(Time!AC53=1,(Waterfall!AC7+AD128)/(1+AC127),0)</f>
        <v>534.305196926153</v>
      </c>
      <c r="AD128" s="13" t="n">
        <f aca="false">IF(Time!AD53=1,(Waterfall!AD7+AE128)/(1+AD127),0)</f>
        <v>501.477825948014</v>
      </c>
      <c r="AE128" s="13" t="n">
        <f aca="false">IF(Time!AE53=1,(Waterfall!AE7+AF128)/(1+AE127),0)</f>
        <v>465.210441325587</v>
      </c>
      <c r="AF128" s="13" t="n">
        <f aca="false">IF(Time!AF53=1,(Waterfall!AF7+AG128)/(1+AF127),0)</f>
        <v>427.730469230202</v>
      </c>
      <c r="AG128" s="13" t="n">
        <f aca="false">IF(Time!AG53=1,(Waterfall!AG7+AH128)/(1+AG127),0)</f>
        <v>388.636760256003</v>
      </c>
      <c r="AH128" s="13" t="n">
        <f aca="false">IF(Time!AH53=1,(Waterfall!AH7+AI128)/(1+AH127),0)</f>
        <v>348.570653180452</v>
      </c>
      <c r="AI128" s="13" t="n">
        <f aca="false">IF(Time!AI53=1,(Waterfall!AI7+AJ128)/(1+AI127),0)</f>
        <v>306.25849910787</v>
      </c>
      <c r="AJ128" s="13" t="n">
        <f aca="false">IF(Time!AJ53=1,(Waterfall!AJ7+AK128)/(1+AJ127),0)</f>
        <v>262.486110056092</v>
      </c>
      <c r="AK128" s="13" t="n">
        <f aca="false">IF(Time!AK53=1,(Waterfall!AK7+AL128)/(1+AK127),0)</f>
        <v>216.405653214438</v>
      </c>
      <c r="AL128" s="13" t="n">
        <f aca="false">IF(Time!AL53=1,(Waterfall!AL7+AM128)/(1+AL127),0)</f>
        <v>168.69291921595</v>
      </c>
      <c r="AM128" s="13" t="n">
        <f aca="false">IF(Time!AM53=1,(Waterfall!AM7+AN128)/(1+AM127),0)</f>
        <v>125.892986248055</v>
      </c>
      <c r="AN128" s="13" t="n">
        <f aca="false">IF(Time!AN53=1,(Waterfall!AN7+AO128)/(1+AN127),0)</f>
        <v>83.903470020559</v>
      </c>
      <c r="AO128" s="13" t="n">
        <f aca="false">IF(Time!AO53=1,(Waterfall!AO7+AP128)/(1+AO127),0)</f>
        <v>42.484319559367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1.38242746006971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648.466999884122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643.026193849526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36.7129155912743</v>
      </c>
      <c r="Q132" s="13" t="n">
        <f aca="false">IF(Time!Q53=1,(Waterfall!Q7)/$F$129,0)</f>
        <v>36.7158421723923</v>
      </c>
      <c r="R132" s="13" t="n">
        <f aca="false">IF(Time!R53=1,(Waterfall!R7)/$F$129,0)</f>
        <v>37.1102913651168</v>
      </c>
      <c r="S132" s="13" t="n">
        <f aca="false">IF(Time!S53=1,(Waterfall!S7)/$F$129,0)</f>
        <v>36.9780643853666</v>
      </c>
      <c r="T132" s="13" t="n">
        <f aca="false">IF(Time!T53=1,(Waterfall!T7)/$F$129,0)</f>
        <v>37.4714713678905</v>
      </c>
      <c r="U132" s="13" t="n">
        <f aca="false">IF(Time!U53=1,(Waterfall!U7)/$F$129,0)</f>
        <v>37.350194473707</v>
      </c>
      <c r="V132" s="13" t="n">
        <f aca="false">IF(Time!V53=1,(Waterfall!V7)/$F$129,0)</f>
        <v>38.0851391428442</v>
      </c>
      <c r="W132" s="13" t="n">
        <f aca="false">IF(Time!W53=1,(Waterfall!W7)/$F$129,0)</f>
        <v>37.8990138662741</v>
      </c>
      <c r="X132" s="13" t="n">
        <f aca="false">IF(Time!X53=1,(Waterfall!X7)/$F$129,0)</f>
        <v>37.0053636183534</v>
      </c>
      <c r="Y132" s="13" t="n">
        <f aca="false">IF(Time!Y53=1,(Waterfall!Y7)/$F$129,0)</f>
        <v>36.7094138724618</v>
      </c>
      <c r="Z132" s="13" t="n">
        <f aca="false">IF(Time!Z53=1,(Waterfall!Z7)/$F$129,0)</f>
        <v>37.1484458206633</v>
      </c>
      <c r="AA132" s="13" t="n">
        <f aca="false">IF(Time!AA53=1,(Waterfall!AA7)/$F$129,0)</f>
        <v>36.8882370990329</v>
      </c>
      <c r="AB132" s="13" t="n">
        <f aca="false">IF(Time!AB53=1,(Waterfall!AB7)/$F$129,0)</f>
        <v>37.5372564522369</v>
      </c>
      <c r="AC132" s="13" t="n">
        <f aca="false">IF(Time!AC53=1,(Waterfall!AC7)/$F$129,0)</f>
        <v>37.3566140551476</v>
      </c>
      <c r="AD132" s="13" t="n">
        <f aca="false">IF(Time!AD53=1,(Waterfall!AD7)/$F$129,0)</f>
        <v>39.102169739373</v>
      </c>
      <c r="AE132" s="13" t="n">
        <f aca="false">IF(Time!AE53=1,(Waterfall!AE7)/$F$129,0)</f>
        <v>38.9187672873435</v>
      </c>
      <c r="AF132" s="13" t="n">
        <f aca="false">IF(Time!AF53=1,(Waterfall!AF7)/$F$129,0)</f>
        <v>39.2543240950847</v>
      </c>
      <c r="AG132" s="13" t="n">
        <f aca="false">IF(Time!AG53=1,(Waterfall!AG7)/$F$129,0)</f>
        <v>39.1444377908302</v>
      </c>
      <c r="AH132" s="13" t="n">
        <f aca="false">IF(Time!AH53=1,(Waterfall!AH7)/$F$129,0)</f>
        <v>39.8233110786782</v>
      </c>
      <c r="AI132" s="13" t="n">
        <f aca="false">IF(Time!AI53=1,(Waterfall!AI7)/$F$129,0)</f>
        <v>39.6714206793933</v>
      </c>
      <c r="AJ132" s="13" t="n">
        <f aca="false">IF(Time!AJ53=1,(Waterfall!AJ7)/$F$129,0)</f>
        <v>40.2731047916469</v>
      </c>
      <c r="AK132" s="13" t="n">
        <f aca="false">IF(Time!AK53=1,(Waterfall!AK7)/$F$129,0)</f>
        <v>40.1933400493155</v>
      </c>
      <c r="AL132" s="13" t="n">
        <f aca="false">IF(Time!AL53=1,(Waterfall!AL7)/$F$129,0)</f>
        <v>35.4202064074106</v>
      </c>
      <c r="AM132" s="13" t="n">
        <f aca="false">IF(Time!AM53=1,(Waterfall!AM7)/$F$129,0)</f>
        <v>33.6655857093671</v>
      </c>
      <c r="AN132" s="13" t="n">
        <f aca="false">IF(Time!AN53=1,(Waterfall!AN7)/$F$129,0)</f>
        <v>32.1795728449698</v>
      </c>
      <c r="AO132" s="13" t="n">
        <f aca="false">IF(Time!AO53=1,(Waterfall!AO7)/$F$129,0)</f>
        <v>31.8425536427003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618.299240587851</v>
      </c>
      <c r="R133" s="13" t="n">
        <f aca="false">IF(Time!R53=1,IF(Time!R20=Time!$F$13,Funding!$F$25,Q133-Q134),0)</f>
        <v>602.613276496611</v>
      </c>
      <c r="S133" s="13" t="n">
        <f aca="false">IF(Time!S53=1,IF(Time!S20=Time!$F$13,Funding!$F$25,R133-R134),0)</f>
        <v>586.221324346497</v>
      </c>
      <c r="T133" s="13" t="n">
        <f aca="false">IF(Time!T53=1,IF(Time!T20=Time!$F$13,Funding!$F$25,S133-S134),0)</f>
        <v>569.18922843971</v>
      </c>
      <c r="U133" s="13" t="n">
        <f aca="false">IF(Time!U53=1,IF(Time!U20=Time!$F$13,Funding!$F$25,T133-T134),0)</f>
        <v>551.293996775383</v>
      </c>
      <c r="V133" s="13" t="n">
        <f aca="false">IF(Time!V53=1,IF(Time!V20=Time!$F$13,Funding!$F$25,U133-U134),0)</f>
        <v>532.76910996392</v>
      </c>
      <c r="W133" s="13" t="n">
        <f aca="false">IF(Time!W53=1,IF(Time!W20=Time!$F$13,Funding!$F$25,V133-V134),0)</f>
        <v>513.00760605904</v>
      </c>
      <c r="X133" s="13" t="n">
        <f aca="false">IF(Time!X53=1,IF(Time!X20=Time!$F$13,Funding!$F$25,W133-W134),0)</f>
        <v>492.563490393768</v>
      </c>
      <c r="Y133" s="13" t="n">
        <f aca="false">IF(Time!Y53=1,IF(Time!Y20=Time!$F$13,Funding!$F$25,X133-X134),0)</f>
        <v>472.498962046674</v>
      </c>
      <c r="Z133" s="13" t="n">
        <f aca="false">IF(Time!Z53=1,IF(Time!Z20=Time!$F$13,Funding!$F$25,Y133-Y134),0)</f>
        <v>452.367674149482</v>
      </c>
      <c r="AA133" s="13" t="n">
        <f aca="false">IF(Time!AA53=1,IF(Time!AA20=Time!$F$13,Funding!$F$25,Z133-Z134),0)</f>
        <v>431.265711106325</v>
      </c>
      <c r="AB133" s="13" t="n">
        <f aca="false">IF(Time!AB53=1,IF(Time!AB20=Time!$F$13,Funding!$F$25,AA133-AA134),0)</f>
        <v>409.508887749592</v>
      </c>
      <c r="AC133" s="13" t="n">
        <f aca="false">IF(Time!AC53=1,IF(Time!AC20=Time!$F$13,Funding!$F$25,AB133-AB134),0)</f>
        <v>386.497818047689</v>
      </c>
      <c r="AD133" s="13" t="n">
        <f aca="false">IF(Time!AD53=1,IF(Time!AD20=Time!$F$13,Funding!$F$25,AC133-AC134),0)</f>
        <v>362.751638283231</v>
      </c>
      <c r="AE133" s="13" t="n">
        <f aca="false">IF(Time!AE53=1,IF(Time!AE20=Time!$F$13,Funding!$F$25,AD133-AD134),0)</f>
        <v>336.51707215229</v>
      </c>
      <c r="AF133" s="13" t="n">
        <f aca="false">IF(Time!AF53=1,IF(Time!AF20=Time!$F$13,Funding!$F$25,AE133-AE134),0)</f>
        <v>309.405362367898</v>
      </c>
      <c r="AG133" s="13" t="n">
        <f aca="false">IF(Time!AG53=1,IF(Time!AG20=Time!$F$13,Funding!$F$25,AF133-AF134),0)</f>
        <v>281.126331385521</v>
      </c>
      <c r="AH133" s="13" t="n">
        <f aca="false">IF(Time!AH53=1,IF(Time!AH20=Time!$F$13,Funding!$F$25,AG133-AG134),0)</f>
        <v>252.143901397093</v>
      </c>
      <c r="AI133" s="13" t="n">
        <f aca="false">IF(Time!AI53=1,IF(Time!AI20=Time!$F$13,Funding!$F$25,AH133-AH134),0)</f>
        <v>221.536759037198</v>
      </c>
      <c r="AJ133" s="13" t="n">
        <f aca="false">IF(Time!AJ53=1,IF(Time!AJ20=Time!$F$13,Funding!$F$25,AI133-AI134),0)</f>
        <v>189.873333420948</v>
      </c>
      <c r="AK133" s="13" t="n">
        <f aca="false">IF(Time!AK53=1,IF(Time!AK20=Time!$F$13,Funding!$F$25,AJ133-AJ134),0)</f>
        <v>156.540331746249</v>
      </c>
      <c r="AL133" s="13" t="n">
        <f aca="false">IF(Time!AL53=1,IF(Time!AL20=Time!$F$13,Funding!$F$25,AK133-AK134),0)</f>
        <v>122.026597480524</v>
      </c>
      <c r="AM133" s="13" t="n">
        <f aca="false">IF(Time!AM53=1,IF(Time!AM20=Time!$F$13,Funding!$F$25,AL133-AL134),0)</f>
        <v>91.0666128128745</v>
      </c>
      <c r="AN133" s="13" t="n">
        <f aca="false">IF(Time!AN53=1,IF(Time!AN20=Time!$F$13,Funding!$F$25,AM133-AM134),0)</f>
        <v>60.6928554618893</v>
      </c>
      <c r="AO133" s="13" t="n">
        <f aca="false">IF(Time!AO53=1,IF(Time!AO20=Time!$F$13,Funding!$F$25,AN133-AN134),0)</f>
        <v>30.7316808921196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14.9567349549228</v>
      </c>
      <c r="Q134" s="13" t="n">
        <f aca="false">Q132-Q133*Q127</f>
        <v>15.68596409124</v>
      </c>
      <c r="R134" s="13" t="n">
        <f aca="false">R132-R133*R127</f>
        <v>16.391952150114</v>
      </c>
      <c r="S134" s="13" t="n">
        <f aca="false">S132-S133*S127</f>
        <v>17.0320959067871</v>
      </c>
      <c r="T134" s="13" t="n">
        <f aca="false">T132-T133*T127</f>
        <v>17.8952316643276</v>
      </c>
      <c r="U134" s="13" t="n">
        <f aca="false">U132-U133*U127</f>
        <v>18.5248868114626</v>
      </c>
      <c r="V134" s="13" t="n">
        <f aca="false">V132-V133*V127</f>
        <v>19.76150390488</v>
      </c>
      <c r="W134" s="13" t="n">
        <f aca="false">W132-W133*W127</f>
        <v>20.4441156652714</v>
      </c>
      <c r="X134" s="13" t="n">
        <f aca="false">X132-X133*X127</f>
        <v>20.0645283470947</v>
      </c>
      <c r="Y134" s="13" t="n">
        <f aca="false">Y132-Y133*Y127</f>
        <v>20.1312878971915</v>
      </c>
      <c r="Z134" s="13" t="n">
        <f aca="false">Z132-Z133*Z127</f>
        <v>21.1019630431569</v>
      </c>
      <c r="AA134" s="13" t="n">
        <f aca="false">AA132-AA133*AA127</f>
        <v>21.7568233567336</v>
      </c>
      <c r="AB134" s="13" t="n">
        <f aca="false">AB132-AB133*AB127</f>
        <v>23.0110697019029</v>
      </c>
      <c r="AC134" s="13" t="n">
        <f aca="false">AC132-AC133*AC127</f>
        <v>23.7461797644584</v>
      </c>
      <c r="AD134" s="13" t="n">
        <f aca="false">AD132-AD133*AD127</f>
        <v>26.2345661309405</v>
      </c>
      <c r="AE134" s="13" t="n">
        <f aca="false">AE132-AE133*AE127</f>
        <v>27.1117097843924</v>
      </c>
      <c r="AF134" s="13" t="n">
        <f aca="false">AF132-AF133*AF127</f>
        <v>28.2790309823766</v>
      </c>
      <c r="AG134" s="13" t="n">
        <f aca="false">AG132-AG133*AG127</f>
        <v>28.9824299884283</v>
      </c>
      <c r="AH134" s="13" t="n">
        <f aca="false">AH132-AH133*AH127</f>
        <v>30.6071423598947</v>
      </c>
      <c r="AI134" s="13" t="n">
        <f aca="false">AI132-AI133*AI127</f>
        <v>31.6634256162499</v>
      </c>
      <c r="AJ134" s="13" t="n">
        <f aca="false">AJ132-AJ133*AJ127</f>
        <v>33.3330016746993</v>
      </c>
      <c r="AK134" s="13" t="n">
        <f aca="false">AK132-AK133*AK127</f>
        <v>34.5137342657253</v>
      </c>
      <c r="AL134" s="13" t="n">
        <f aca="false">AL132-AL133*AL127</f>
        <v>30.9599846676491</v>
      </c>
      <c r="AM134" s="13" t="n">
        <f aca="false">AM132-AM133*AM127</f>
        <v>30.3737573509852</v>
      </c>
      <c r="AN134" s="13" t="n">
        <f aca="false">AN132-AN133*AN127</f>
        <v>29.9611745697697</v>
      </c>
      <c r="AO134" s="13" t="n">
        <f aca="false">AO132-AO133*AO127</f>
        <v>30.7316808921205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-0.53297984582111</v>
      </c>
      <c r="Q135" s="13" t="n">
        <f aca="false">IF(Inputs!$F$8=1,Q134-Time!Q53*Inputs!Q298*Funding!$F$25,0)</f>
        <v>-0.459302238346552</v>
      </c>
      <c r="R135" s="13" t="n">
        <f aca="false">IF(Inputs!$F$8=1,R134-Time!R53*Inputs!R298*Funding!$F$25,0)</f>
        <v>-0.548609195316129</v>
      </c>
      <c r="S135" s="13" t="n">
        <f aca="false">IF(Inputs!$F$8=1,S134-Time!S53*Inputs!S298*Funding!$F$25,0)</f>
        <v>-0.407676375512253</v>
      </c>
      <c r="T135" s="13" t="n">
        <f aca="false">IF(Inputs!$F$8=1,T134-Time!T53*Inputs!T298*Funding!$F$25,0)</f>
        <v>-0.346763893433916</v>
      </c>
      <c r="U135" s="13" t="n">
        <f aca="false">IF(Inputs!$F$8=1,U134-Time!U53*Inputs!U298*Funding!$F$25,0)</f>
        <v>-0.298878098154724</v>
      </c>
      <c r="V135" s="13" t="n">
        <f aca="false">IF(Inputs!$F$8=1,V134-Time!V53*Inputs!V298*Funding!$F$25,0)</f>
        <v>-0.292004266866112</v>
      </c>
      <c r="W135" s="13" t="n">
        <f aca="false">IF(Inputs!$F$8=1,W134-Time!W53*Inputs!W298*Funding!$F$25,0)</f>
        <v>-0.222415943829361</v>
      </c>
      <c r="X135" s="13" t="n">
        <f aca="false">IF(Inputs!$F$8=1,X134-Time!X53*Inputs!X298*Funding!$F$25,0)</f>
        <v>-0.0283471886400655</v>
      </c>
      <c r="Y135" s="13" t="n">
        <f aca="false">IF(Inputs!$F$8=1,Y134-Time!Y53*Inputs!Y298*Funding!$F$25,0)</f>
        <v>0.0289576694198246</v>
      </c>
      <c r="Z135" s="13" t="n">
        <f aca="false">IF(Inputs!$F$8=1,Z134-Time!Z53*Inputs!Z298*Funding!$F$25,0)</f>
        <v>0.166834384855594</v>
      </c>
      <c r="AA135" s="13" t="n">
        <f aca="false">IF(Inputs!$F$8=1,AA134-Time!AA53*Inputs!AA298*Funding!$F$25,0)</f>
        <v>0.210755157048858</v>
      </c>
      <c r="AB135" s="13" t="n">
        <f aca="false">IF(Inputs!$F$8=1,AB134-Time!AB53*Inputs!AB298*Funding!$F$25,0)</f>
        <v>0.435653429862665</v>
      </c>
      <c r="AC135" s="13" t="n">
        <f aca="false">IF(Inputs!$F$8=1,AC134-Time!AC53*Inputs!AC298*Funding!$F$25,0)</f>
        <v>0.42287480205577</v>
      </c>
      <c r="AD135" s="13" t="n">
        <f aca="false">IF(Inputs!$F$8=1,AD134-Time!AD53*Inputs!AD298*Funding!$F$25,0)</f>
        <v>0.767219112641168</v>
      </c>
      <c r="AE135" s="13" t="n">
        <f aca="false">IF(Inputs!$F$8=1,AE134-Time!AE53*Inputs!AE298*Funding!$F$25,0)</f>
        <v>0.54976245529156</v>
      </c>
      <c r="AF135" s="13" t="n">
        <f aca="false">IF(Inputs!$F$8=1,AF134-Time!AF53*Inputs!AF298*Funding!$F$25,0)</f>
        <v>0.785243075081382</v>
      </c>
      <c r="AG135" s="13" t="n">
        <f aca="false">IF(Inputs!$F$8=1,AG134-Time!AG53*Inputs!AG298*Funding!$F$25,0)</f>
        <v>0.975519572907341</v>
      </c>
      <c r="AH135" s="13" t="n">
        <f aca="false">IF(Inputs!$F$8=1,AH134-Time!AH53*Inputs!AH298*Funding!$F$25,0)</f>
        <v>1.19424189999553</v>
      </c>
      <c r="AI135" s="13" t="n">
        <f aca="false">IF(Inputs!$F$8=1,AI134-Time!AI53*Inputs!AI298*Funding!$F$25,0)</f>
        <v>1.38688823711347</v>
      </c>
      <c r="AJ135" s="13" t="n">
        <f aca="false">IF(Inputs!$F$8=1,AJ134-Time!AJ53*Inputs!AJ298*Funding!$F$25,0)</f>
        <v>1.59478381651849</v>
      </c>
      <c r="AK135" s="13" t="n">
        <f aca="false">IF(Inputs!$F$8=1,AK134-Time!AK53*Inputs!AK298*Funding!$F$25,0)</f>
        <v>1.74820649644276</v>
      </c>
      <c r="AL135" s="13" t="n">
        <f aca="false">IF(Inputs!$F$8=1,AL134-Time!AL53*Inputs!AL298*Funding!$F$25,0)</f>
        <v>-3.78257433876034</v>
      </c>
      <c r="AM135" s="13" t="n">
        <f aca="false">IF(Inputs!$F$8=1,AM134-Time!AM53*Inputs!AM298*Funding!$F$25,0)</f>
        <v>-5.09092459074991</v>
      </c>
      <c r="AN135" s="13" t="n">
        <f aca="false">IF(Inputs!$F$8=1,AN134-Time!AN53*Inputs!AN298*Funding!$F$25,0)</f>
        <v>0.703232979845133</v>
      </c>
      <c r="AO135" s="13" t="n">
        <f aca="false">IF(Inputs!$F$8=1,AO134-Time!AO53*Inputs!AO298*Funding!$F$25,0)</f>
        <v>1.04030288635164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7.1512661270904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0.0453672314704464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0.0911143897801539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37.2526414054625</v>
      </c>
      <c r="Q9" s="13" t="n">
        <f aca="false">IF(Time!Q34=1,SUM(Funding!$J$44:$BJ$44),P13)</f>
        <v>37.1637139788893</v>
      </c>
      <c r="R9" s="13" t="n">
        <f aca="false">IF(Time!R34=1,SUM(Funding!$J$44:$BJ$44),Q13)</f>
        <v>37.6315746594536</v>
      </c>
      <c r="S9" s="13" t="n">
        <f aca="false">IF(Time!S34=1,SUM(Funding!$J$44:$BJ$44),R13)</f>
        <v>37.3400153536384</v>
      </c>
      <c r="T9" s="13" t="n">
        <f aca="false">IF(Time!T34=1,SUM(Funding!$J$44:$BJ$44),S13)</f>
        <v>37.7580016555455</v>
      </c>
      <c r="U9" s="13" t="n">
        <f aca="false">IF(Time!U34=1,SUM(Funding!$J$44:$BJ$44),T13)</f>
        <v>37.5774131637717</v>
      </c>
      <c r="V9" s="13" t="n">
        <f aca="false">IF(Time!V34=1,SUM(Funding!$J$44:$BJ$44),U13)</f>
        <v>38.2947599633695</v>
      </c>
      <c r="W9" s="13" t="n">
        <f aca="false">IF(Time!W34=1,SUM(Funding!$J$44:$BJ$44),V13)</f>
        <v>38.0299813557338</v>
      </c>
      <c r="X9" s="13" t="n">
        <f aca="false">IF(Time!X34=1,SUM(Funding!$J$44:$BJ$44),W13)</f>
        <v>36.9333719798852</v>
      </c>
      <c r="Y9" s="13" t="n">
        <f aca="false">IF(Time!Y34=1,SUM(Funding!$J$44:$BJ$44),X13)</f>
        <v>36.5769177068536</v>
      </c>
      <c r="Z9" s="13" t="n">
        <f aca="false">IF(Time!Z34=1,SUM(Funding!$J$44:$BJ$44),Y13)</f>
        <v>36.8779412892632</v>
      </c>
      <c r="AA9" s="13" t="n">
        <f aca="false">IF(Time!AA34=1,SUM(Funding!$J$44:$BJ$44),Z13)</f>
        <v>36.5807744764874</v>
      </c>
      <c r="AB9" s="13" t="n">
        <f aca="false">IF(Time!AB34=1,SUM(Funding!$J$44:$BJ$44),AA13)</f>
        <v>37.0113063610002</v>
      </c>
      <c r="AC9" s="13" t="n">
        <f aca="false">IF(Time!AC34=1,SUM(Funding!$J$44:$BJ$44),AB13)</f>
        <v>36.1380633863682</v>
      </c>
      <c r="AD9" s="13" t="n">
        <f aca="false">IF(Time!AD34=1,SUM(Funding!$J$44:$BJ$44),AC13)</f>
        <v>36.6069822332575</v>
      </c>
      <c r="AE9" s="13" t="n">
        <f aca="false">IF(Time!AE34=1,SUM(Funding!$J$44:$BJ$44),AD13)</f>
        <v>35.7411172394728</v>
      </c>
      <c r="AF9" s="13" t="n">
        <f aca="false">IF(Time!AF34=1,SUM(Funding!$J$44:$BJ$44),AE13)</f>
        <v>34.6416198217052</v>
      </c>
      <c r="AG9" s="13" t="n">
        <f aca="false">IF(Time!AG34=1,SUM(Funding!$J$44:$BJ$44),AF13)</f>
        <v>32.9954453367973</v>
      </c>
      <c r="AH9" s="13" t="n">
        <f aca="false">IF(Time!AH34=1,SUM(Funding!$J$44:$BJ$44),AG13)</f>
        <v>31.752768634412</v>
      </c>
      <c r="AI9" s="13" t="n">
        <f aca="false">IF(Time!AI34=1,SUM(Funding!$J$44:$BJ$44),AH13)</f>
        <v>29.6082791395216</v>
      </c>
      <c r="AJ9" s="13" t="n">
        <f aca="false">IF(Time!AJ34=1,SUM(Funding!$J$44:$BJ$44),AI13)</f>
        <v>27.4742389926635</v>
      </c>
      <c r="AK9" s="13" t="n">
        <f aca="false">IF(Time!AK34=1,SUM(Funding!$J$44:$BJ$44),AJ13)</f>
        <v>24.3170874608314</v>
      </c>
      <c r="AL9" s="13" t="n">
        <f aca="false">IF(Time!AL34=1,SUM(Funding!$J$44:$BJ$44),AK13)</f>
        <v>23.7207410435611</v>
      </c>
      <c r="AM9" s="13" t="n">
        <f aca="false">IF(Time!AM34=1,SUM(Funding!$J$44:$BJ$44),AL13)</f>
        <v>23.5758525157105</v>
      </c>
      <c r="AN9" s="13" t="n">
        <f aca="false">IF(Time!AN34=1,SUM(Funding!$J$44:$BJ$44),AM13)</f>
        <v>19.1373028213816</v>
      </c>
      <c r="AO9" s="13" t="n">
        <f aca="false">IF(Time!AO34=1,SUM(Funding!$J$44:$BJ$44),AN13)</f>
        <v>18.9110517579074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2.81041406424804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0.00674596836712738</v>
      </c>
      <c r="P11" s="13" t="n">
        <f aca="false">MIN(Waterfall!P13,MAX(0,Debt!P125-(P9-P10)))</f>
        <v>0</v>
      </c>
      <c r="Q11" s="13" t="n">
        <f aca="false">MIN(Waterfall!Q13,MAX(0,Debt!Q125-(Q9-Q10)))</f>
        <v>0.467860680564321</v>
      </c>
      <c r="R11" s="13" t="n">
        <f aca="false">MIN(Waterfall!R13,MAX(0,Debt!R125-(R9-R10)))</f>
        <v>0</v>
      </c>
      <c r="S11" s="13" t="n">
        <f aca="false">MIN(Waterfall!S13,MAX(0,Debt!S125-(S9-S10)))</f>
        <v>0.417986301907177</v>
      </c>
      <c r="T11" s="13" t="n">
        <f aca="false">MIN(Waterfall!T13,MAX(0,Debt!T125-(T9-T10)))</f>
        <v>0</v>
      </c>
      <c r="U11" s="13" t="n">
        <f aca="false">MIN(Waterfall!U13,MAX(0,Debt!U125-(U9-U10)))</f>
        <v>0.717346799597777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0.301023582409592</v>
      </c>
      <c r="Z11" s="13" t="n">
        <f aca="false">MIN(Waterfall!Z13,MAX(0,Debt!Z125-(Z9-Z10)))</f>
        <v>0</v>
      </c>
      <c r="AA11" s="13" t="n">
        <f aca="false">MIN(Waterfall!AA13,MAX(0,Debt!AA125-(AA9-AA10)))</f>
        <v>0.430531884512753</v>
      </c>
      <c r="AB11" s="13" t="n">
        <f aca="false">MIN(Waterfall!AB13,MAX(0,Debt!AB125-(AB9-AB10)))</f>
        <v>0</v>
      </c>
      <c r="AC11" s="13" t="n">
        <f aca="false">MIN(Waterfall!AC13,MAX(0,Debt!AC125-(AC9-AC10)))</f>
        <v>0.468918846889288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40.0563095013434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0.0889274265731856</v>
      </c>
      <c r="Q12" s="13" t="n">
        <f aca="false">MAX(0,Q9-Q10-Debt!Q125)</f>
        <v>0</v>
      </c>
      <c r="R12" s="13" t="n">
        <f aca="false">MAX(0,R9-R10-Debt!R125)</f>
        <v>0.291559305815284</v>
      </c>
      <c r="S12" s="13" t="n">
        <f aca="false">MAX(0,S9-S10-Debt!S125)</f>
        <v>0</v>
      </c>
      <c r="T12" s="13" t="n">
        <f aca="false">MAX(0,T9-T10-Debt!T125)</f>
        <v>0.180588491773825</v>
      </c>
      <c r="U12" s="13" t="n">
        <f aca="false">MAX(0,U9-U10-Debt!U125)</f>
        <v>0</v>
      </c>
      <c r="V12" s="13" t="n">
        <f aca="false">MAX(0,V9-V10-Debt!V125)</f>
        <v>0.264778607635655</v>
      </c>
      <c r="W12" s="13" t="n">
        <f aca="false">MAX(0,W9-W10-Debt!W125)</f>
        <v>1.09660937584858</v>
      </c>
      <c r="X12" s="13" t="n">
        <f aca="false">MAX(0,X9-X10-Debt!X125)</f>
        <v>0.356454273031673</v>
      </c>
      <c r="Y12" s="13" t="n">
        <f aca="false">MAX(0,Y9-Y10-Debt!Y125)</f>
        <v>0</v>
      </c>
      <c r="Z12" s="13" t="n">
        <f aca="false">MAX(0,Z9-Z10-Debt!Z125)</f>
        <v>0.29716681277575</v>
      </c>
      <c r="AA12" s="13" t="n">
        <f aca="false">MAX(0,AA9-AA10-Debt!AA125)</f>
        <v>0</v>
      </c>
      <c r="AB12" s="13" t="n">
        <f aca="false">MAX(0,AB9-AB10-Debt!AB125)</f>
        <v>0.873242974631985</v>
      </c>
      <c r="AC12" s="13" t="n">
        <f aca="false">MAX(0,AC9-AC10-Debt!AC125)</f>
        <v>0</v>
      </c>
      <c r="AD12" s="13" t="n">
        <f aca="false">MAX(0,AD9-AD10-Debt!AD125)</f>
        <v>0.865864993784655</v>
      </c>
      <c r="AE12" s="13" t="n">
        <f aca="false">MAX(0,AE9-AE10-Debt!AE125)</f>
        <v>1.09949741776757</v>
      </c>
      <c r="AF12" s="13" t="n">
        <f aca="false">MAX(0,AF9-AF10-Debt!AF125)</f>
        <v>1.64617448490792</v>
      </c>
      <c r="AG12" s="13" t="n">
        <f aca="false">MAX(0,AG9-AG10-Debt!AG125)</f>
        <v>1.24267670238531</v>
      </c>
      <c r="AH12" s="13" t="n">
        <f aca="false">MAX(0,AH9-AH10-Debt!AH125)</f>
        <v>2.1444894948904</v>
      </c>
      <c r="AI12" s="13" t="n">
        <f aca="false">MAX(0,AI9-AI10-Debt!AI125)</f>
        <v>2.13404014685808</v>
      </c>
      <c r="AJ12" s="13" t="n">
        <f aca="false">MAX(0,AJ9-AJ10-Debt!AJ125)</f>
        <v>3.15715153183214</v>
      </c>
      <c r="AK12" s="13" t="n">
        <f aca="false">MAX(0,AK9-AK10-Debt!AK125)</f>
        <v>0.596346417270329</v>
      </c>
      <c r="AL12" s="13" t="n">
        <f aca="false">MAX(0,AL9-AL10-Debt!AL125)</f>
        <v>0.144888527850611</v>
      </c>
      <c r="AM12" s="13" t="n">
        <f aca="false">MAX(0,AM9-AM10-Debt!AM125)</f>
        <v>4.43854969432886</v>
      </c>
      <c r="AN12" s="13" t="n">
        <f aca="false">MAX(0,AN9-AN10-Debt!AN125)</f>
        <v>0.226251063474184</v>
      </c>
      <c r="AO12" s="13" t="n">
        <f aca="false">MAX(0,AO9-AO10-Debt!AO125)</f>
        <v>18.9110517579074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37.2526414054625</v>
      </c>
      <c r="P13" s="13" t="n">
        <f aca="false">(1-Time!P37)*(P9-P10+P11-P12)</f>
        <v>37.1637139788893</v>
      </c>
      <c r="Q13" s="13" t="n">
        <f aca="false">(1-Time!Q37)*(Q9-Q10+Q11-Q12)</f>
        <v>37.6315746594536</v>
      </c>
      <c r="R13" s="13" t="n">
        <f aca="false">(1-Time!R37)*(R9-R10+R11-R12)</f>
        <v>37.3400153536384</v>
      </c>
      <c r="S13" s="13" t="n">
        <f aca="false">(1-Time!S37)*(S9-S10+S11-S12)</f>
        <v>37.7580016555455</v>
      </c>
      <c r="T13" s="13" t="n">
        <f aca="false">(1-Time!T37)*(T9-T10+T11-T12)</f>
        <v>37.5774131637717</v>
      </c>
      <c r="U13" s="13" t="n">
        <f aca="false">(1-Time!U37)*(U9-U10+U11-U12)</f>
        <v>38.2947599633695</v>
      </c>
      <c r="V13" s="13" t="n">
        <f aca="false">(1-Time!V37)*(V9-V10+V11-V12)</f>
        <v>38.0299813557338</v>
      </c>
      <c r="W13" s="13" t="n">
        <f aca="false">(1-Time!W37)*(W9-W10+W11-W12)</f>
        <v>36.9333719798852</v>
      </c>
      <c r="X13" s="13" t="n">
        <f aca="false">(1-Time!X37)*(X9-X10+X11-X12)</f>
        <v>36.5769177068536</v>
      </c>
      <c r="Y13" s="13" t="n">
        <f aca="false">(1-Time!Y37)*(Y9-Y10+Y11-Y12)</f>
        <v>36.8779412892632</v>
      </c>
      <c r="Z13" s="13" t="n">
        <f aca="false">(1-Time!Z37)*(Z9-Z10+Z11-Z12)</f>
        <v>36.5807744764874</v>
      </c>
      <c r="AA13" s="13" t="n">
        <f aca="false">(1-Time!AA37)*(AA9-AA10+AA11-AA12)</f>
        <v>37.0113063610002</v>
      </c>
      <c r="AB13" s="13" t="n">
        <f aca="false">(1-Time!AB37)*(AB9-AB10+AB11-AB12)</f>
        <v>36.1380633863682</v>
      </c>
      <c r="AC13" s="13" t="n">
        <f aca="false">(1-Time!AC37)*(AC9-AC10+AC11-AC12)</f>
        <v>36.6069822332575</v>
      </c>
      <c r="AD13" s="13" t="n">
        <f aca="false">(1-Time!AD37)*(AD9-AD10+AD11-AD12)</f>
        <v>35.7411172394728</v>
      </c>
      <c r="AE13" s="13" t="n">
        <f aca="false">(1-Time!AE37)*(AE9-AE10+AE11-AE12)</f>
        <v>34.6416198217052</v>
      </c>
      <c r="AF13" s="13" t="n">
        <f aca="false">(1-Time!AF37)*(AF9-AF10+AF11-AF12)</f>
        <v>32.9954453367973</v>
      </c>
      <c r="AG13" s="13" t="n">
        <f aca="false">(1-Time!AG37)*(AG9-AG10+AG11-AG12)</f>
        <v>31.752768634412</v>
      </c>
      <c r="AH13" s="13" t="n">
        <f aca="false">(1-Time!AH37)*(AH9-AH10+AH11-AH12)</f>
        <v>29.6082791395216</v>
      </c>
      <c r="AI13" s="13" t="n">
        <f aca="false">(1-Time!AI37)*(AI9-AI10+AI11-AI12)</f>
        <v>27.4742389926635</v>
      </c>
      <c r="AJ13" s="13" t="n">
        <f aca="false">(1-Time!AJ37)*(AJ9-AJ10+AJ11-AJ12)</f>
        <v>24.3170874608314</v>
      </c>
      <c r="AK13" s="13" t="n">
        <f aca="false">(1-Time!AK37)*(AK9-AK10+AK11-AK12)</f>
        <v>23.7207410435611</v>
      </c>
      <c r="AL13" s="13" t="n">
        <f aca="false">(1-Time!AL37)*(AL9-AL10+AL11-AL12)</f>
        <v>23.5758525157105</v>
      </c>
      <c r="AM13" s="13" t="n">
        <f aca="false">(1-Time!AM37)*(AM9-AM10+AM11-AM12)</f>
        <v>19.1373028213816</v>
      </c>
      <c r="AN13" s="13" t="n">
        <f aca="false">(1-Time!AN37)*(AN9-AN10+AN11-AN12)</f>
        <v>18.9110517579074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2471.84742051048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1.88299584555676</v>
      </c>
      <c r="P7" s="13" t="n">
        <f aca="false">Operations!P84-Tax!P27-Operations!P96-Reserves!P7+Operations!P79+Operations!P97</f>
        <v>50.752942652599</v>
      </c>
      <c r="Q7" s="13" t="n">
        <f aca="false">Operations!Q84-Tax!Q27-Operations!Q96-Reserves!Q7+Operations!Q79+Operations!Q97</f>
        <v>50.7569884387007</v>
      </c>
      <c r="R7" s="13" t="n">
        <f aca="false">Operations!R84-Tax!R27-Operations!R96-Reserves!R7+Operations!R79+Operations!R97</f>
        <v>51.3022858343253</v>
      </c>
      <c r="S7" s="13" t="n">
        <f aca="false">Operations!S84-Tax!S27-Operations!S96-Reserves!S7+Operations!S79+Operations!S97</f>
        <v>51.1194916265566</v>
      </c>
      <c r="T7" s="13" t="n">
        <f aca="false">Operations!T84-Tax!T27-Operations!T96-Reserves!T7+Operations!T79+Operations!T97</f>
        <v>51.8015909881877</v>
      </c>
      <c r="U7" s="13" t="n">
        <f aca="false">Operations!U84-Tax!U27-Operations!U96-Reserves!U7+Operations!U79+Operations!U97</f>
        <v>51.6339344793966</v>
      </c>
      <c r="V7" s="13" t="n">
        <f aca="false">Operations!V84-Tax!V27-Operations!V96-Reserves!V7+Operations!V79+Operations!V97</f>
        <v>52.6499421716437</v>
      </c>
      <c r="W7" s="13" t="n">
        <f aca="false">Operations!W84-Tax!W27-Operations!W96-Reserves!W7+Operations!W79+Operations!W97</f>
        <v>52.3926374783001</v>
      </c>
      <c r="X7" s="13" t="n">
        <f aca="false">Operations!X84-Tax!X27-Operations!X96-Reserves!X7+Operations!X79+Operations!X97</f>
        <v>51.1572308358764</v>
      </c>
      <c r="Y7" s="13" t="n">
        <f aca="false">Operations!Y84-Tax!Y27-Operations!Y96-Reserves!Y7+Operations!Y79+Operations!Y97</f>
        <v>50.7481017803552</v>
      </c>
      <c r="Z7" s="13" t="n">
        <f aca="false">Operations!Z84-Tax!Z27-Operations!Z96-Reserves!Z7+Operations!Z79+Operations!Z97</f>
        <v>51.3550316013968</v>
      </c>
      <c r="AA7" s="13" t="n">
        <f aca="false">Operations!AA84-Tax!AA27-Operations!AA96-Reserves!AA7+Operations!AA79+Operations!AA97</f>
        <v>50.9953119192653</v>
      </c>
      <c r="AB7" s="13" t="n">
        <f aca="false">Operations!AB84-Tax!AB27-Operations!AB96-Reserves!AB7+Operations!AB79+Operations!AB97</f>
        <v>51.8925340952513</v>
      </c>
      <c r="AC7" s="13" t="n">
        <f aca="false">Operations!AC84-Tax!AC27-Operations!AC96-Reserves!AC7+Operations!AC79+Operations!AC97</f>
        <v>51.6428090850622</v>
      </c>
      <c r="AD7" s="13" t="n">
        <f aca="false">Operations!AD84-Tax!AD27-Operations!AD96-Reserves!AD7+Operations!AD79+Operations!AD97</f>
        <v>54.0559131960161</v>
      </c>
      <c r="AE7" s="13" t="n">
        <f aca="false">Operations!AE84-Tax!AE27-Operations!AE96-Reserves!AE7+Operations!AE79+Operations!AE97</f>
        <v>53.8023726100864</v>
      </c>
      <c r="AF7" s="13" t="n">
        <f aca="false">Operations!AF84-Tax!AF27-Operations!AF96-Reserves!AF7+Operations!AF79+Operations!AF97</f>
        <v>54.2662555555212</v>
      </c>
      <c r="AG7" s="13" t="n">
        <f aca="false">Operations!AG84-Tax!AG27-Operations!AG96-Reserves!AG7+Operations!AG79+Operations!AG97</f>
        <v>54.1143457110342</v>
      </c>
      <c r="AH7" s="13" t="n">
        <f aca="false">Operations!AH84-Tax!AH27-Operations!AH96-Reserves!AH7+Operations!AH79+Operations!AH97</f>
        <v>55.0528387860631</v>
      </c>
      <c r="AI7" s="13" t="n">
        <f aca="false">Operations!AI84-Tax!AI27-Operations!AI96-Reserves!AI7+Operations!AI79+Operations!AI97</f>
        <v>54.8428613271706</v>
      </c>
      <c r="AJ7" s="13" t="n">
        <f aca="false">Operations!AJ84-Tax!AJ27-Operations!AJ96-Reserves!AJ7+Operations!AJ79+Operations!AJ97</f>
        <v>55.6746459662377</v>
      </c>
      <c r="AK7" s="13" t="n">
        <f aca="false">Operations!AK84-Tax!AK27-Operations!AK96-Reserves!AK7+Operations!AK79+Operations!AK97</f>
        <v>55.5643769960934</v>
      </c>
      <c r="AL7" s="13" t="n">
        <f aca="false">Operations!AL84-Tax!AL27-Operations!AL96-Reserves!AL7+Operations!AL79+Operations!AL97</f>
        <v>48.9658659789415</v>
      </c>
      <c r="AM7" s="13" t="n">
        <f aca="false">Operations!AM84-Tax!AM27-Operations!AM96-Reserves!AM7+Operations!AM79+Operations!AM97</f>
        <v>46.5402301439596</v>
      </c>
      <c r="AN7" s="13" t="n">
        <f aca="false">Operations!AN84-Tax!AN27-Operations!AN96-Reserves!AN7+Operations!AN79+Operations!AN97</f>
        <v>44.4859251541998</v>
      </c>
      <c r="AO7" s="13" t="n">
        <f aca="false">Operations!AO84-Tax!AO27-Operations!AO96-Reserves!AO7+Operations!AO79+Operations!AO97</f>
        <v>44.0200205544118</v>
      </c>
      <c r="AP7" s="13" t="n">
        <f aca="false">Operations!AP84-Tax!AP27-Operations!AP96-Reserves!AP7+Operations!AP79+Operations!AP97</f>
        <v>44.8204245140213</v>
      </c>
      <c r="AQ7" s="13" t="n">
        <f aca="false">Operations!AQ84-Tax!AQ27-Operations!AQ96-Reserves!AQ7+Operations!AQ79+Operations!AQ97</f>
        <v>44.5189171785965</v>
      </c>
      <c r="AR7" s="13" t="n">
        <f aca="false">Operations!AR84-Tax!AR27-Operations!AR96-Reserves!AR7+Operations!AR79+Operations!AR97</f>
        <v>45.3376249009307</v>
      </c>
      <c r="AS7" s="13" t="n">
        <f aca="false">Operations!AS84-Tax!AS27-Operations!AS96-Reserves!AS7+Operations!AS79+Operations!AS97</f>
        <v>45.1212005642981</v>
      </c>
      <c r="AT7" s="13" t="n">
        <f aca="false">Operations!AT84-Tax!AT27-Operations!AT96-Reserves!AT7+Operations!AT79+Operations!AT97</f>
        <v>51.5155681585154</v>
      </c>
      <c r="AU7" s="13" t="n">
        <f aca="false">Operations!AU84-Tax!AU27-Operations!AU96-Reserves!AU7+Operations!AU79+Operations!AU97</f>
        <v>47.2556177917082</v>
      </c>
      <c r="AV7" s="13" t="n">
        <f aca="false">Operations!AV84-Tax!AV27-Operations!AV96-Reserves!AV7+Operations!AV79+Operations!AV97</f>
        <v>48.0580864268865</v>
      </c>
      <c r="AW7" s="13" t="n">
        <f aca="false">Operations!AW84-Tax!AW27-Operations!AW96-Reserves!AW7+Operations!AW79+Operations!AW97</f>
        <v>47.8808578465371</v>
      </c>
      <c r="AX7" s="13" t="n">
        <f aca="false">Operations!AX84-Tax!AX27-Operations!AX96-Reserves!AX7+Operations!AX79+Operations!AX97</f>
        <v>48.8727368070542</v>
      </c>
      <c r="AY7" s="13" t="n">
        <f aca="false">Operations!AY84-Tax!AY27-Operations!AY96-Reserves!AY7+Operations!AY79+Operations!AY97</f>
        <v>48.5797068987556</v>
      </c>
      <c r="AZ7" s="13" t="n">
        <f aca="false">Operations!AZ84-Tax!AZ27-Operations!AZ96-Reserves!AZ7+Operations!AZ79+Operations!AZ97</f>
        <v>49.559509536746</v>
      </c>
      <c r="BA7" s="13" t="n">
        <f aca="false">Operations!BA84-Tax!BA27-Operations!BA96-Reserves!BA7+Operations!BA79+Operations!BA97</f>
        <v>49.3459766469453</v>
      </c>
      <c r="BB7" s="13" t="n">
        <f aca="false">Operations!BB84-Tax!BB27-Operations!BB96-Reserves!BB7+Operations!BB79+Operations!BB97</f>
        <v>51.7461072176442</v>
      </c>
      <c r="BC7" s="13" t="n">
        <f aca="false">Operations!BC84-Tax!BC27-Operations!BC96-Reserves!BC7+Operations!BC79+Operations!BC97</f>
        <v>48.5503033881898</v>
      </c>
      <c r="BD7" s="13" t="n">
        <f aca="false">Operations!BD84-Tax!BD27-Operations!BD96-Reserves!BD7+Operations!BD79+Operations!BD97</f>
        <v>42.9243679248631</v>
      </c>
      <c r="BE7" s="13" t="n">
        <f aca="false">Operations!BE84-Tax!BE27-Operations!BE96-Reserves!BE7+Operations!BE79+Operations!BE97</f>
        <v>42.6970526246254</v>
      </c>
      <c r="BF7" s="13" t="n">
        <f aca="false">Operations!BF84-Tax!BF27-Operations!BF96-Reserves!BF7+Operations!BF79+Operations!BF97</f>
        <v>43.7575433158545</v>
      </c>
      <c r="BG7" s="13" t="n">
        <f aca="false">Operations!BG84-Tax!BG27-Operations!BG96-Reserves!BG7+Operations!BG79+Operations!BG97</f>
        <v>43.4746217411594</v>
      </c>
      <c r="BH7" s="13" t="n">
        <f aca="false">Operations!BH84-Tax!BH27-Operations!BH96-Reserves!BH7+Operations!BH79+Operations!BH97</f>
        <v>44.5620255177218</v>
      </c>
      <c r="BI7" s="13" t="n">
        <f aca="false">Operations!BI84-Tax!BI27-Operations!BI96-Reserves!BI7+Operations!BI79+Operations!BI97</f>
        <v>44.484112857312</v>
      </c>
      <c r="BJ7" s="13" t="n">
        <f aca="false">Operations!BJ84-Tax!BJ27-Operations!BJ96-Reserves!BJ7+Operations!BJ79+Operations!BJ97</f>
        <v>51.9930543556149</v>
      </c>
      <c r="BK7" s="13" t="n">
        <f aca="false">Operations!BK84-Tax!BK27-Operations!BK96-Reserves!BK7+Operations!BK79+Operations!BK97</f>
        <v>46.967382650296</v>
      </c>
      <c r="BL7" s="13" t="n">
        <f aca="false">Operations!BL84-Tax!BL27-Operations!BL96-Reserves!BL7+Operations!BL79+Operations!BL97</f>
        <v>48.9006225877337</v>
      </c>
      <c r="BM7" s="13" t="n">
        <f aca="false">Operations!BM84-Tax!BM27-Operations!BM96-Reserves!BM7+Operations!BM79+Operations!BM97</f>
        <v>47.4545182462642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1.87624987718963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1.88299584555676</v>
      </c>
      <c r="P9" s="13" t="n">
        <f aca="false">P7+P8</f>
        <v>52.6291925297886</v>
      </c>
      <c r="Q9" s="13" t="n">
        <f aca="false">Q7+Q8</f>
        <v>50.7569884387007</v>
      </c>
      <c r="R9" s="13" t="n">
        <f aca="false">R7+R8</f>
        <v>51.3022858343253</v>
      </c>
      <c r="S9" s="13" t="n">
        <f aca="false">S7+S8</f>
        <v>51.1194916265566</v>
      </c>
      <c r="T9" s="13" t="n">
        <f aca="false">T7+T8</f>
        <v>51.8015909881877</v>
      </c>
      <c r="U9" s="13" t="n">
        <f aca="false">U7+U8</f>
        <v>51.6339344793966</v>
      </c>
      <c r="V9" s="13" t="n">
        <f aca="false">V7+V8</f>
        <v>52.6499421716437</v>
      </c>
      <c r="W9" s="13" t="n">
        <f aca="false">W7+W8</f>
        <v>52.3926374783001</v>
      </c>
      <c r="X9" s="13" t="n">
        <f aca="false">X7+X8</f>
        <v>51.1572308358764</v>
      </c>
      <c r="Y9" s="13" t="n">
        <f aca="false">Y7+Y8</f>
        <v>50.7481017803552</v>
      </c>
      <c r="Z9" s="13" t="n">
        <f aca="false">Z7+Z8</f>
        <v>51.3550316013968</v>
      </c>
      <c r="AA9" s="13" t="n">
        <f aca="false">AA7+AA8</f>
        <v>50.9953119192653</v>
      </c>
      <c r="AB9" s="13" t="n">
        <f aca="false">AB7+AB8</f>
        <v>51.8925340952513</v>
      </c>
      <c r="AC9" s="13" t="n">
        <f aca="false">AC7+AC8</f>
        <v>51.6428090850622</v>
      </c>
      <c r="AD9" s="13" t="n">
        <f aca="false">AD7+AD8</f>
        <v>54.0559131960161</v>
      </c>
      <c r="AE9" s="13" t="n">
        <f aca="false">AE7+AE8</f>
        <v>53.8023726100864</v>
      </c>
      <c r="AF9" s="13" t="n">
        <f aca="false">AF7+AF8</f>
        <v>54.2662555555212</v>
      </c>
      <c r="AG9" s="13" t="n">
        <f aca="false">AG7+AG8</f>
        <v>54.1143457110342</v>
      </c>
      <c r="AH9" s="13" t="n">
        <f aca="false">AH7+AH8</f>
        <v>55.0528387860631</v>
      </c>
      <c r="AI9" s="13" t="n">
        <f aca="false">AI7+AI8</f>
        <v>54.8428613271706</v>
      </c>
      <c r="AJ9" s="13" t="n">
        <f aca="false">AJ7+AJ8</f>
        <v>55.6746459662377</v>
      </c>
      <c r="AK9" s="13" t="n">
        <f aca="false">AK7+AK8</f>
        <v>55.5643769960934</v>
      </c>
      <c r="AL9" s="13" t="n">
        <f aca="false">AL7+AL8</f>
        <v>48.9658659789415</v>
      </c>
      <c r="AM9" s="13" t="n">
        <f aca="false">AM7+AM8</f>
        <v>46.5402301439596</v>
      </c>
      <c r="AN9" s="13" t="n">
        <f aca="false">AN7+AN8</f>
        <v>44.4859251541998</v>
      </c>
      <c r="AO9" s="13" t="n">
        <f aca="false">AO7+AO8</f>
        <v>44.0200205544118</v>
      </c>
      <c r="AP9" s="13" t="n">
        <f aca="false">AP7+AP8</f>
        <v>44.8204245140213</v>
      </c>
      <c r="AQ9" s="13" t="n">
        <f aca="false">AQ7+AQ8</f>
        <v>44.5189171785965</v>
      </c>
      <c r="AR9" s="13" t="n">
        <f aca="false">AR7+AR8</f>
        <v>45.3376249009307</v>
      </c>
      <c r="AS9" s="13" t="n">
        <f aca="false">AS7+AS8</f>
        <v>45.1212005642981</v>
      </c>
      <c r="AT9" s="13" t="n">
        <f aca="false">AT7+AT8</f>
        <v>51.5155681585154</v>
      </c>
      <c r="AU9" s="13" t="n">
        <f aca="false">AU7+AU8</f>
        <v>47.2556177917082</v>
      </c>
      <c r="AV9" s="13" t="n">
        <f aca="false">AV7+AV8</f>
        <v>48.0580864268865</v>
      </c>
      <c r="AW9" s="13" t="n">
        <f aca="false">AW7+AW8</f>
        <v>47.8808578465371</v>
      </c>
      <c r="AX9" s="13" t="n">
        <f aca="false">AX7+AX8</f>
        <v>48.8727368070542</v>
      </c>
      <c r="AY9" s="13" t="n">
        <f aca="false">AY7+AY8</f>
        <v>48.5797068987556</v>
      </c>
      <c r="AZ9" s="13" t="n">
        <f aca="false">AZ7+AZ8</f>
        <v>49.559509536746</v>
      </c>
      <c r="BA9" s="13" t="n">
        <f aca="false">BA7+BA8</f>
        <v>49.3459766469453</v>
      </c>
      <c r="BB9" s="13" t="n">
        <f aca="false">BB7+BB8</f>
        <v>51.7461072176442</v>
      </c>
      <c r="BC9" s="13" t="n">
        <f aca="false">BC7+BC8</f>
        <v>48.5503033881898</v>
      </c>
      <c r="BD9" s="13" t="n">
        <f aca="false">BD7+BD8</f>
        <v>42.9243679248631</v>
      </c>
      <c r="BE9" s="13" t="n">
        <f aca="false">BE7+BE8</f>
        <v>42.6970526246254</v>
      </c>
      <c r="BF9" s="13" t="n">
        <f aca="false">BF7+BF8</f>
        <v>43.7575433158545</v>
      </c>
      <c r="BG9" s="13" t="n">
        <f aca="false">BG7+BG8</f>
        <v>43.4746217411594</v>
      </c>
      <c r="BH9" s="13" t="n">
        <f aca="false">BH7+BH8</f>
        <v>44.5620255177218</v>
      </c>
      <c r="BI9" s="13" t="n">
        <f aca="false">BI7+BI8</f>
        <v>44.484112857312</v>
      </c>
      <c r="BJ9" s="13" t="n">
        <f aca="false">BJ7+BJ8</f>
        <v>51.9930543556149</v>
      </c>
      <c r="BK9" s="13" t="n">
        <f aca="false">BK7+BK8</f>
        <v>46.967382650296</v>
      </c>
      <c r="BL9" s="13" t="n">
        <f aca="false">BL7+BL8</f>
        <v>48.9006225877337</v>
      </c>
      <c r="BM9" s="13" t="n">
        <f aca="false">BM7+BM8</f>
        <v>47.4545182462642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843.633070431859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37.2526414054625</v>
      </c>
      <c r="Q10" s="13" t="n">
        <f aca="false">Debt!Q114+Debt!Q110</f>
        <v>37.1637139788893</v>
      </c>
      <c r="R10" s="13" t="n">
        <f aca="false">Debt!R114+Debt!R110</f>
        <v>37.6315746594536</v>
      </c>
      <c r="S10" s="13" t="n">
        <f aca="false">Debt!S114+Debt!S110</f>
        <v>37.3400153536383</v>
      </c>
      <c r="T10" s="13" t="n">
        <f aca="false">Debt!T114+Debt!T110</f>
        <v>37.7580016555455</v>
      </c>
      <c r="U10" s="13" t="n">
        <f aca="false">Debt!U114+Debt!U110</f>
        <v>37.5774131637717</v>
      </c>
      <c r="V10" s="13" t="n">
        <f aca="false">Debt!V114+Debt!V110</f>
        <v>38.2947599633695</v>
      </c>
      <c r="W10" s="13" t="n">
        <f aca="false">Debt!W114+Debt!W110</f>
        <v>38.0299813557338</v>
      </c>
      <c r="X10" s="13" t="n">
        <f aca="false">Debt!X114+Debt!X110</f>
        <v>36.9333719798852</v>
      </c>
      <c r="Y10" s="13" t="n">
        <f aca="false">Debt!Y114+Debt!Y110</f>
        <v>36.5769177068536</v>
      </c>
      <c r="Z10" s="13" t="n">
        <f aca="false">Debt!Z114+Debt!Z110</f>
        <v>36.8779412892632</v>
      </c>
      <c r="AA10" s="13" t="n">
        <f aca="false">Debt!AA114+Debt!AA110</f>
        <v>36.5807744764874</v>
      </c>
      <c r="AB10" s="13" t="n">
        <f aca="false">Debt!AB114+Debt!AB110</f>
        <v>36.2802395267651</v>
      </c>
      <c r="AC10" s="13" t="n">
        <f aca="false">Debt!AC114+Debt!AC110</f>
        <v>35.2376898533905</v>
      </c>
      <c r="AD10" s="13" t="n">
        <f aca="false">Debt!AD114+Debt!AD110</f>
        <v>35.6537609020403</v>
      </c>
      <c r="AE10" s="13" t="n">
        <f aca="false">Debt!AE114+Debt!AE110</f>
        <v>34.513248050399</v>
      </c>
      <c r="AF10" s="13" t="n">
        <f aca="false">Debt!AF114+Debt!AF110</f>
        <v>33.2339969501828</v>
      </c>
      <c r="AG10" s="13" t="n">
        <f aca="false">Debt!AG114+Debt!AG110</f>
        <v>31.2878135944843</v>
      </c>
      <c r="AH10" s="13" t="n">
        <f aca="false">Debt!AH114+Debt!AH110</f>
        <v>29.7310146698303</v>
      </c>
      <c r="AI10" s="13" t="n">
        <f aca="false">Debt!AI114+Debt!AI110</f>
        <v>27.0504228015287</v>
      </c>
      <c r="AJ10" s="13" t="n">
        <f aca="false">Debt!AJ114+Debt!AJ110</f>
        <v>24.2453957769259</v>
      </c>
      <c r="AK10" s="13" t="n">
        <f aca="false">Debt!AK114+Debt!AK110</f>
        <v>23.037433179398</v>
      </c>
      <c r="AL10" s="13" t="n">
        <f aca="false">Debt!AL114+Debt!AL110</f>
        <v>23.7207410435611</v>
      </c>
      <c r="AM10" s="13" t="n">
        <f aca="false">Debt!AM114+Debt!AM110</f>
        <v>23.5758525157105</v>
      </c>
      <c r="AN10" s="13" t="n">
        <f aca="false">Debt!AN114+Debt!AN110</f>
        <v>19.1373028213816</v>
      </c>
      <c r="AO10" s="13" t="n">
        <f aca="false">Debt!AO114+Debt!AO110</f>
        <v>18.9110517579074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1.88299584555676</v>
      </c>
      <c r="P13" s="13" t="n">
        <f aca="false">MAX(0,P9-P10)</f>
        <v>15.3765511243261</v>
      </c>
      <c r="Q13" s="13" t="n">
        <f aca="false">MAX(0,Q9-Q10)</f>
        <v>13.5932744598114</v>
      </c>
      <c r="R13" s="13" t="n">
        <f aca="false">MAX(0,R9-R10)</f>
        <v>13.6707111748717</v>
      </c>
      <c r="S13" s="13" t="n">
        <f aca="false">MAX(0,S9-S10)</f>
        <v>13.7794762729182</v>
      </c>
      <c r="T13" s="13" t="n">
        <f aca="false">MAX(0,T9-T10)</f>
        <v>14.0435893326422</v>
      </c>
      <c r="U13" s="13" t="n">
        <f aca="false">MAX(0,U9-U10)</f>
        <v>14.0565213156249</v>
      </c>
      <c r="V13" s="13" t="n">
        <f aca="false">MAX(0,V9-V10)</f>
        <v>14.3551822082742</v>
      </c>
      <c r="W13" s="13" t="n">
        <f aca="false">MAX(0,W9-W10)</f>
        <v>14.3626561225663</v>
      </c>
      <c r="X13" s="13" t="n">
        <f aca="false">MAX(0,X9-X10)</f>
        <v>14.2238588559912</v>
      </c>
      <c r="Y13" s="13" t="n">
        <f aca="false">MAX(0,Y9-Y10)</f>
        <v>14.1711840735016</v>
      </c>
      <c r="Z13" s="13" t="n">
        <f aca="false">MAX(0,Z9-Z10)</f>
        <v>14.4770903121337</v>
      </c>
      <c r="AA13" s="13" t="n">
        <f aca="false">MAX(0,AA9-AA10)</f>
        <v>14.4145374427779</v>
      </c>
      <c r="AB13" s="13" t="n">
        <f aca="false">MAX(0,AB9-AB10)</f>
        <v>15.6122945684862</v>
      </c>
      <c r="AC13" s="13" t="n">
        <f aca="false">MAX(0,AC9-AC10)</f>
        <v>16.4051192316717</v>
      </c>
      <c r="AD13" s="13" t="n">
        <f aca="false">MAX(0,AD9-AD10)</f>
        <v>18.4021522939758</v>
      </c>
      <c r="AE13" s="13" t="n">
        <f aca="false">MAX(0,AE9-AE10)</f>
        <v>19.2891245596874</v>
      </c>
      <c r="AF13" s="13" t="n">
        <f aca="false">MAX(0,AF9-AF10)</f>
        <v>21.0322586053384</v>
      </c>
      <c r="AG13" s="13" t="n">
        <f aca="false">MAX(0,AG9-AG10)</f>
        <v>22.82653211655</v>
      </c>
      <c r="AH13" s="13" t="n">
        <f aca="false">MAX(0,AH9-AH10)</f>
        <v>25.3218241162328</v>
      </c>
      <c r="AI13" s="13" t="n">
        <f aca="false">MAX(0,AI9-AI10)</f>
        <v>27.7924385256419</v>
      </c>
      <c r="AJ13" s="13" t="n">
        <f aca="false">MAX(0,AJ9-AJ10)</f>
        <v>31.4292501893118</v>
      </c>
      <c r="AK13" s="13" t="n">
        <f aca="false">MAX(0,AK9-AK10)</f>
        <v>32.5269438166954</v>
      </c>
      <c r="AL13" s="13" t="n">
        <f aca="false">MAX(0,AL9-AL10)</f>
        <v>25.2451249353804</v>
      </c>
      <c r="AM13" s="13" t="n">
        <f aca="false">MAX(0,AM9-AM10)</f>
        <v>22.9643776282491</v>
      </c>
      <c r="AN13" s="13" t="n">
        <f aca="false">MAX(0,AN9-AN10)</f>
        <v>25.3486223328182</v>
      </c>
      <c r="AO13" s="13" t="n">
        <f aca="false">MAX(0,AO9-AO10)</f>
        <v>25.1089687965044</v>
      </c>
      <c r="AP13" s="13" t="n">
        <f aca="false">MAX(0,AP9-AP10)</f>
        <v>44.8204245140213</v>
      </c>
      <c r="AQ13" s="13" t="n">
        <f aca="false">MAX(0,AQ9-AQ10)</f>
        <v>44.5189171785965</v>
      </c>
      <c r="AR13" s="13" t="n">
        <f aca="false">MAX(0,AR9-AR10)</f>
        <v>45.3376249009307</v>
      </c>
      <c r="AS13" s="13" t="n">
        <f aca="false">MAX(0,AS9-AS10)</f>
        <v>45.1212005642981</v>
      </c>
      <c r="AT13" s="13" t="n">
        <f aca="false">MAX(0,AT9-AT10)</f>
        <v>51.5155681585154</v>
      </c>
      <c r="AU13" s="13" t="n">
        <f aca="false">MAX(0,AU9-AU10)</f>
        <v>47.2556177917082</v>
      </c>
      <c r="AV13" s="13" t="n">
        <f aca="false">MAX(0,AV9-AV10)</f>
        <v>48.0580864268865</v>
      </c>
      <c r="AW13" s="13" t="n">
        <f aca="false">MAX(0,AW9-AW10)</f>
        <v>47.8808578465371</v>
      </c>
      <c r="AX13" s="13" t="n">
        <f aca="false">MAX(0,AX9-AX10)</f>
        <v>48.8727368070542</v>
      </c>
      <c r="AY13" s="13" t="n">
        <f aca="false">MAX(0,AY9-AY10)</f>
        <v>48.5797068987556</v>
      </c>
      <c r="AZ13" s="13" t="n">
        <f aca="false">MAX(0,AZ9-AZ10)</f>
        <v>49.559509536746</v>
      </c>
      <c r="BA13" s="13" t="n">
        <f aca="false">MAX(0,BA9-BA10)</f>
        <v>49.3459766469453</v>
      </c>
      <c r="BB13" s="13" t="n">
        <f aca="false">MAX(0,BB9-BB10)</f>
        <v>51.7461072176442</v>
      </c>
      <c r="BC13" s="13" t="n">
        <f aca="false">MAX(0,BC9-BC10)</f>
        <v>48.5503033881898</v>
      </c>
      <c r="BD13" s="13" t="n">
        <f aca="false">MAX(0,BD9-BD10)</f>
        <v>42.9243679248631</v>
      </c>
      <c r="BE13" s="13" t="n">
        <f aca="false">MAX(0,BE9-BE10)</f>
        <v>42.6970526246254</v>
      </c>
      <c r="BF13" s="13" t="n">
        <f aca="false">MAX(0,BF9-BF10)</f>
        <v>43.7575433158545</v>
      </c>
      <c r="BG13" s="13" t="n">
        <f aca="false">MAX(0,BG9-BG10)</f>
        <v>43.4746217411594</v>
      </c>
      <c r="BH13" s="13" t="n">
        <f aca="false">MAX(0,BH9-BH10)</f>
        <v>44.5620255177218</v>
      </c>
      <c r="BI13" s="13" t="n">
        <f aca="false">MAX(0,BI9-BI10)</f>
        <v>44.484112857312</v>
      </c>
      <c r="BJ13" s="13" t="n">
        <f aca="false">MAX(0,BJ9-BJ10)</f>
        <v>51.9930543556149</v>
      </c>
      <c r="BK13" s="13" t="n">
        <f aca="false">MAX(0,BK9-BK10)</f>
        <v>46.967382650296</v>
      </c>
      <c r="BL13" s="13" t="n">
        <f aca="false">MAX(0,BL9-BL10)</f>
        <v>48.9006225877337</v>
      </c>
      <c r="BM13" s="13" t="n">
        <f aca="false">MAX(0,BM9-BM10)</f>
        <v>47.4545182462642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1.87624987718963</v>
      </c>
      <c r="P14" s="13" t="n">
        <f aca="false">P13-Reserves!P11+Reserves!P12</f>
        <v>15.4654785508993</v>
      </c>
      <c r="Q14" s="13" t="n">
        <f aca="false">Q13-Reserves!Q11+Reserves!Q12</f>
        <v>13.1254137792471</v>
      </c>
      <c r="R14" s="13" t="n">
        <f aca="false">R13-Reserves!R11+Reserves!R12</f>
        <v>13.962270480687</v>
      </c>
      <c r="S14" s="13" t="n">
        <f aca="false">S13-Reserves!S11+Reserves!S12</f>
        <v>13.3614899710111</v>
      </c>
      <c r="T14" s="13" t="n">
        <f aca="false">T13-Reserves!T11+Reserves!T12</f>
        <v>14.224177824416</v>
      </c>
      <c r="U14" s="13" t="n">
        <f aca="false">U13-Reserves!U11+Reserves!U12</f>
        <v>13.3391745160271</v>
      </c>
      <c r="V14" s="13" t="n">
        <f aca="false">V13-Reserves!V11+Reserves!V12</f>
        <v>14.6199608159099</v>
      </c>
      <c r="W14" s="13" t="n">
        <f aca="false">W13-Reserves!W11+Reserves!W12</f>
        <v>15.4592654984149</v>
      </c>
      <c r="X14" s="13" t="n">
        <f aca="false">X13-Reserves!X11+Reserves!X12</f>
        <v>14.5803131290228</v>
      </c>
      <c r="Y14" s="13" t="n">
        <f aca="false">Y13-Reserves!Y11+Reserves!Y12</f>
        <v>13.870160491092</v>
      </c>
      <c r="Z14" s="13" t="n">
        <f aca="false">Z13-Reserves!Z11+Reserves!Z12</f>
        <v>14.7742571249094</v>
      </c>
      <c r="AA14" s="13" t="n">
        <f aca="false">AA13-Reserves!AA11+Reserves!AA12</f>
        <v>13.9840055582651</v>
      </c>
      <c r="AB14" s="13" t="n">
        <f aca="false">AB13-Reserves!AB11+Reserves!AB12</f>
        <v>16.4855375431181</v>
      </c>
      <c r="AC14" s="13" t="n">
        <f aca="false">AC13-Reserves!AC11+Reserves!AC12</f>
        <v>15.9362003847824</v>
      </c>
      <c r="AD14" s="13" t="n">
        <f aca="false">AD13-Reserves!AD11+Reserves!AD12</f>
        <v>19.2680172877604</v>
      </c>
      <c r="AE14" s="13" t="n">
        <f aca="false">AE13-Reserves!AE11+Reserves!AE12</f>
        <v>20.388621977455</v>
      </c>
      <c r="AF14" s="13" t="n">
        <f aca="false">AF13-Reserves!AF11+Reserves!AF12</f>
        <v>22.6784330902463</v>
      </c>
      <c r="AG14" s="13" t="n">
        <f aca="false">AG13-Reserves!AG11+Reserves!AG12</f>
        <v>24.0692088189353</v>
      </c>
      <c r="AH14" s="13" t="n">
        <f aca="false">AH13-Reserves!AH11+Reserves!AH12</f>
        <v>27.4663136111232</v>
      </c>
      <c r="AI14" s="13" t="n">
        <f aca="false">AI13-Reserves!AI11+Reserves!AI12</f>
        <v>29.9264786725</v>
      </c>
      <c r="AJ14" s="13" t="n">
        <f aca="false">AJ13-Reserves!AJ11+Reserves!AJ12</f>
        <v>34.586401721144</v>
      </c>
      <c r="AK14" s="13" t="n">
        <f aca="false">AK13-Reserves!AK11+Reserves!AK12</f>
        <v>33.1232902339658</v>
      </c>
      <c r="AL14" s="13" t="n">
        <f aca="false">AL13-Reserves!AL11+Reserves!AL12</f>
        <v>25.390013463231</v>
      </c>
      <c r="AM14" s="13" t="n">
        <f aca="false">AM13-Reserves!AM11+Reserves!AM12</f>
        <v>27.402927322578</v>
      </c>
      <c r="AN14" s="13" t="n">
        <f aca="false">AN13-Reserves!AN11+Reserves!AN12</f>
        <v>25.5748733962924</v>
      </c>
      <c r="AO14" s="13" t="n">
        <f aca="false">AO13-Reserves!AO11+Reserves!AO12</f>
        <v>44.0200205544118</v>
      </c>
      <c r="AP14" s="13" t="n">
        <f aca="false">AP13-Reserves!AP11+Reserves!AP12</f>
        <v>44.8204245140213</v>
      </c>
      <c r="AQ14" s="13" t="n">
        <f aca="false">AQ13-Reserves!AQ11+Reserves!AQ12</f>
        <v>44.5189171785965</v>
      </c>
      <c r="AR14" s="13" t="n">
        <f aca="false">AR13-Reserves!AR11+Reserves!AR12</f>
        <v>45.3376249009307</v>
      </c>
      <c r="AS14" s="13" t="n">
        <f aca="false">AS13-Reserves!AS11+Reserves!AS12</f>
        <v>45.1212005642981</v>
      </c>
      <c r="AT14" s="13" t="n">
        <f aca="false">AT13-Reserves!AT11+Reserves!AT12</f>
        <v>51.5155681585154</v>
      </c>
      <c r="AU14" s="13" t="n">
        <f aca="false">AU13-Reserves!AU11+Reserves!AU12</f>
        <v>47.2556177917082</v>
      </c>
      <c r="AV14" s="13" t="n">
        <f aca="false">AV13-Reserves!AV11+Reserves!AV12</f>
        <v>48.0580864268865</v>
      </c>
      <c r="AW14" s="13" t="n">
        <f aca="false">AW13-Reserves!AW11+Reserves!AW12</f>
        <v>47.8808578465371</v>
      </c>
      <c r="AX14" s="13" t="n">
        <f aca="false">AX13-Reserves!AX11+Reserves!AX12</f>
        <v>48.8727368070542</v>
      </c>
      <c r="AY14" s="13" t="n">
        <f aca="false">AY13-Reserves!AY11+Reserves!AY12</f>
        <v>48.5797068987556</v>
      </c>
      <c r="AZ14" s="13" t="n">
        <f aca="false">AZ13-Reserves!AZ11+Reserves!AZ12</f>
        <v>49.559509536746</v>
      </c>
      <c r="BA14" s="13" t="n">
        <f aca="false">BA13-Reserves!BA11+Reserves!BA12</f>
        <v>49.3459766469453</v>
      </c>
      <c r="BB14" s="13" t="n">
        <f aca="false">BB13-Reserves!BB11+Reserves!BB12</f>
        <v>51.7461072176442</v>
      </c>
      <c r="BC14" s="13" t="n">
        <f aca="false">BC13-Reserves!BC11+Reserves!BC12</f>
        <v>48.5503033881898</v>
      </c>
      <c r="BD14" s="13" t="n">
        <f aca="false">BD13-Reserves!BD11+Reserves!BD12</f>
        <v>42.9243679248631</v>
      </c>
      <c r="BE14" s="13" t="n">
        <f aca="false">BE13-Reserves!BE11+Reserves!BE12</f>
        <v>42.6970526246254</v>
      </c>
      <c r="BF14" s="13" t="n">
        <f aca="false">BF13-Reserves!BF11+Reserves!BF12</f>
        <v>43.7575433158545</v>
      </c>
      <c r="BG14" s="13" t="n">
        <f aca="false">BG13-Reserves!BG11+Reserves!BG12</f>
        <v>43.4746217411594</v>
      </c>
      <c r="BH14" s="13" t="n">
        <f aca="false">BH13-Reserves!BH11+Reserves!BH12</f>
        <v>44.5620255177218</v>
      </c>
      <c r="BI14" s="13" t="n">
        <f aca="false">BI13-Reserves!BI11+Reserves!BI12</f>
        <v>44.484112857312</v>
      </c>
      <c r="BJ14" s="13" t="n">
        <f aca="false">BJ13-Reserves!BJ11+Reserves!BJ12</f>
        <v>51.9930543556149</v>
      </c>
      <c r="BK14" s="13" t="n">
        <f aca="false">BK13-Reserves!BK11+Reserves!BK12</f>
        <v>46.967382650296</v>
      </c>
      <c r="BL14" s="13" t="n">
        <f aca="false">BL13-Reserves!BL11+Reserves!BL12</f>
        <v>48.9006225877337</v>
      </c>
      <c r="BM14" s="13" t="n">
        <f aca="false">BM13-Reserves!BM11+Reserves!BM12</f>
        <v>47.4545182462642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1.87624987718963</v>
      </c>
      <c r="P15" s="13" t="n">
        <f aca="false">P14-Reserves!P14+Reserves!P15</f>
        <v>15.4654785508993</v>
      </c>
      <c r="Q15" s="13" t="n">
        <f aca="false">Q14-Reserves!Q14+Reserves!Q15</f>
        <v>13.1254137792471</v>
      </c>
      <c r="R15" s="13" t="n">
        <f aca="false">R14-Reserves!R14+Reserves!R15</f>
        <v>13.962270480687</v>
      </c>
      <c r="S15" s="13" t="n">
        <f aca="false">S14-Reserves!S14+Reserves!S15</f>
        <v>13.3614899710111</v>
      </c>
      <c r="T15" s="13" t="n">
        <f aca="false">T14-Reserves!T14+Reserves!T15</f>
        <v>14.224177824416</v>
      </c>
      <c r="U15" s="13" t="n">
        <f aca="false">U14-Reserves!U14+Reserves!U15</f>
        <v>13.3391745160271</v>
      </c>
      <c r="V15" s="13" t="n">
        <f aca="false">V14-Reserves!V14+Reserves!V15</f>
        <v>14.6199608159099</v>
      </c>
      <c r="W15" s="13" t="n">
        <f aca="false">W14-Reserves!W14+Reserves!W15</f>
        <v>15.4592654984149</v>
      </c>
      <c r="X15" s="13" t="n">
        <f aca="false">X14-Reserves!X14+Reserves!X15</f>
        <v>14.5803131290228</v>
      </c>
      <c r="Y15" s="13" t="n">
        <f aca="false">Y14-Reserves!Y14+Reserves!Y15</f>
        <v>13.870160491092</v>
      </c>
      <c r="Z15" s="13" t="n">
        <f aca="false">Z14-Reserves!Z14+Reserves!Z15</f>
        <v>14.7742571249094</v>
      </c>
      <c r="AA15" s="13" t="n">
        <f aca="false">AA14-Reserves!AA14+Reserves!AA15</f>
        <v>13.9840055582651</v>
      </c>
      <c r="AB15" s="13" t="n">
        <f aca="false">AB14-Reserves!AB14+Reserves!AB15</f>
        <v>16.4855375431181</v>
      </c>
      <c r="AC15" s="13" t="n">
        <f aca="false">AC14-Reserves!AC14+Reserves!AC15</f>
        <v>15.9362003847824</v>
      </c>
      <c r="AD15" s="13" t="n">
        <f aca="false">AD14-Reserves!AD14+Reserves!AD15</f>
        <v>19.2680172877604</v>
      </c>
      <c r="AE15" s="13" t="n">
        <f aca="false">AE14-Reserves!AE14+Reserves!AE15</f>
        <v>20.388621977455</v>
      </c>
      <c r="AF15" s="13" t="n">
        <f aca="false">AF14-Reserves!AF14+Reserves!AF15</f>
        <v>22.6784330902463</v>
      </c>
      <c r="AG15" s="13" t="n">
        <f aca="false">AG14-Reserves!AG14+Reserves!AG15</f>
        <v>24.0692088189353</v>
      </c>
      <c r="AH15" s="13" t="n">
        <f aca="false">AH14-Reserves!AH14+Reserves!AH15</f>
        <v>27.4663136111232</v>
      </c>
      <c r="AI15" s="13" t="n">
        <f aca="false">AI14-Reserves!AI14+Reserves!AI15</f>
        <v>29.9264786725</v>
      </c>
      <c r="AJ15" s="13" t="n">
        <f aca="false">AJ14-Reserves!AJ14+Reserves!AJ15</f>
        <v>34.586401721144</v>
      </c>
      <c r="AK15" s="13" t="n">
        <f aca="false">AK14-Reserves!AK14+Reserves!AK15</f>
        <v>33.1232902339658</v>
      </c>
      <c r="AL15" s="13" t="n">
        <f aca="false">AL14-Reserves!AL14+Reserves!AL15</f>
        <v>25.390013463231</v>
      </c>
      <c r="AM15" s="13" t="n">
        <f aca="false">AM14-Reserves!AM14+Reserves!AM15</f>
        <v>27.402927322578</v>
      </c>
      <c r="AN15" s="13" t="n">
        <f aca="false">AN14-Reserves!AN14+Reserves!AN15</f>
        <v>25.5748733962924</v>
      </c>
      <c r="AO15" s="13" t="n">
        <f aca="false">AO14-Reserves!AO14+Reserves!AO15</f>
        <v>44.0200205544118</v>
      </c>
      <c r="AP15" s="13" t="n">
        <f aca="false">AP14-Reserves!AP14+Reserves!AP15</f>
        <v>44.8204245140213</v>
      </c>
      <c r="AQ15" s="13" t="n">
        <f aca="false">AQ14-Reserves!AQ14+Reserves!AQ15</f>
        <v>44.5189171785965</v>
      </c>
      <c r="AR15" s="13" t="n">
        <f aca="false">AR14-Reserves!AR14+Reserves!AR15</f>
        <v>45.3376249009307</v>
      </c>
      <c r="AS15" s="13" t="n">
        <f aca="false">AS14-Reserves!AS14+Reserves!AS15</f>
        <v>45.1212005642981</v>
      </c>
      <c r="AT15" s="13" t="n">
        <f aca="false">AT14-Reserves!AT14+Reserves!AT15</f>
        <v>51.5155681585154</v>
      </c>
      <c r="AU15" s="13" t="n">
        <f aca="false">AU14-Reserves!AU14+Reserves!AU15</f>
        <v>47.2556177917082</v>
      </c>
      <c r="AV15" s="13" t="n">
        <f aca="false">AV14-Reserves!AV14+Reserves!AV15</f>
        <v>48.0580864268865</v>
      </c>
      <c r="AW15" s="13" t="n">
        <f aca="false">AW14-Reserves!AW14+Reserves!AW15</f>
        <v>47.8808578465371</v>
      </c>
      <c r="AX15" s="13" t="n">
        <f aca="false">AX14-Reserves!AX14+Reserves!AX15</f>
        <v>48.8727368070542</v>
      </c>
      <c r="AY15" s="13" t="n">
        <f aca="false">AY14-Reserves!AY14+Reserves!AY15</f>
        <v>48.5797068987556</v>
      </c>
      <c r="AZ15" s="13" t="n">
        <f aca="false">AZ14-Reserves!AZ14+Reserves!AZ15</f>
        <v>49.559509536746</v>
      </c>
      <c r="BA15" s="13" t="n">
        <f aca="false">BA14-Reserves!BA14+Reserves!BA15</f>
        <v>48.8510082603366</v>
      </c>
      <c r="BB15" s="13" t="n">
        <f aca="false">BB14-Reserves!BB14+Reserves!BB15</f>
        <v>50.2449569629998</v>
      </c>
      <c r="BC15" s="13" t="n">
        <f aca="false">BC14-Reserves!BC14+Reserves!BC15</f>
        <v>47.0327303148476</v>
      </c>
      <c r="BD15" s="13" t="n">
        <f aca="false">BD14-Reserves!BD14+Reserves!BD15</f>
        <v>41.3901923646165</v>
      </c>
      <c r="BE15" s="13" t="n">
        <f aca="false">BE14-Reserves!BE14+Reserves!BE15</f>
        <v>41.1460929436697</v>
      </c>
      <c r="BF15" s="13" t="n">
        <f aca="false">BF14-Reserves!BF14+Reserves!BF15</f>
        <v>42.1896158932824</v>
      </c>
      <c r="BG15" s="13" t="n">
        <f aca="false">BG14-Reserves!BG14+Reserves!BG15</f>
        <v>41.8895409472226</v>
      </c>
      <c r="BH15" s="13" t="n">
        <f aca="false">BH14-Reserves!BH14+Reserves!BH15</f>
        <v>42.9596036918532</v>
      </c>
      <c r="BI15" s="13" t="n">
        <f aca="false">BI14-Reserves!BI14+Reserves!BI15</f>
        <v>42.8641602859086</v>
      </c>
      <c r="BJ15" s="13" t="n">
        <f aca="false">BJ14-Reserves!BJ14+Reserves!BJ15</f>
        <v>50.3553792495772</v>
      </c>
      <c r="BK15" s="13" t="n">
        <f aca="false">BK14-Reserves!BK14+Reserves!BK15</f>
        <v>45.3117911223217</v>
      </c>
      <c r="BL15" s="13" t="n">
        <f aca="false">BL14-Reserves!BL14+Reserves!BL15</f>
        <v>47.2269186293631</v>
      </c>
      <c r="BM15" s="13" t="n">
        <f aca="false">BM14-Reserves!BM14+Reserves!BM15</f>
        <v>65.3956984082252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1.36239849679913</v>
      </c>
      <c r="Q17" s="3" t="n">
        <f aca="false">IF(Debt!Q114&gt;Inputs!$F$253,Q7/Debt!Q114,0)</f>
        <v>1.36576738448512</v>
      </c>
      <c r="R17" s="3" t="n">
        <f aca="false">IF(Debt!R114&gt;Inputs!$F$253,R7/Debt!R114,0)</f>
        <v>1.3632776810055</v>
      </c>
      <c r="S17" s="3" t="n">
        <f aca="false">IF(Debt!S114&gt;Inputs!$F$253,S7/Debt!S114,0)</f>
        <v>1.36902706499759</v>
      </c>
      <c r="T17" s="3" t="n">
        <f aca="false">IF(Debt!T114&gt;Inputs!$F$253,T7/Debt!T114,0)</f>
        <v>1.37193677411102</v>
      </c>
      <c r="U17" s="3" t="n">
        <f aca="false">IF(Debt!U114&gt;Inputs!$F$253,U7/Debt!U114,0)</f>
        <v>1.37406836001092</v>
      </c>
      <c r="V17" s="3" t="n">
        <f aca="false">IF(Debt!V114&gt;Inputs!$F$253,V7/Debt!V114,0)</f>
        <v>1.37486022165971</v>
      </c>
      <c r="W17" s="3" t="n">
        <f aca="false">IF(Debt!W114&gt;Inputs!$F$253,W7/Debt!W114,0)</f>
        <v>1.37766666221099</v>
      </c>
      <c r="X17" s="3" t="n">
        <f aca="false">IF(Debt!X114&gt;Inputs!$F$253,X7/Debt!X114,0)</f>
        <v>1.38512212921522</v>
      </c>
      <c r="Y17" s="3" t="n">
        <f aca="false">IF(Debt!Y114&gt;Inputs!$F$253,Y7/Debt!Y114,0)</f>
        <v>1.38743516299205</v>
      </c>
      <c r="Z17" s="3" t="n">
        <f aca="false">IF(Debt!Z114&gt;Inputs!$F$253,Z7/Debt!Z114,0)</f>
        <v>1.39256774662605</v>
      </c>
      <c r="AA17" s="3" t="n">
        <f aca="false">IF(Debt!AA114&gt;Inputs!$F$253,AA7/Debt!AA114,0)</f>
        <v>1.39404680871486</v>
      </c>
      <c r="AB17" s="3" t="n">
        <f aca="false">IF(Debt!AB114&gt;Inputs!$F$253,AB7/Debt!AB114,0)</f>
        <v>1.43032501361984</v>
      </c>
      <c r="AC17" s="3" t="n">
        <f aca="false">IF(Debt!AC114&gt;Inputs!$F$253,AC7/Debt!AC114,0)</f>
        <v>1.46555603673018</v>
      </c>
      <c r="AD17" s="3" t="n">
        <f aca="false">IF(Debt!AD114&gt;Inputs!$F$253,AD7/Debt!AD114,0)</f>
        <v>1.5161349554269</v>
      </c>
      <c r="AE17" s="3" t="n">
        <f aca="false">IF(Debt!AE114&gt;Inputs!$F$253,AE7/Debt!AE114,0)</f>
        <v>1.55889044495377</v>
      </c>
      <c r="AF17" s="3" t="n">
        <f aca="false">IF(Debt!AF114&gt;Inputs!$F$253,AF7/Debt!AF114,0)</f>
        <v>1.63285372014884</v>
      </c>
      <c r="AG17" s="3" t="n">
        <f aca="false">IF(Debt!AG114&gt;Inputs!$F$253,AG7/Debt!AG114,0)</f>
        <v>1.72956622704292</v>
      </c>
      <c r="AH17" s="3" t="n">
        <f aca="false">IF(Debt!AH114&gt;Inputs!$F$253,AH7/Debt!AH114,0)</f>
        <v>1.8516972729467</v>
      </c>
      <c r="AI17" s="3" t="n">
        <f aca="false">IF(Debt!AI114&gt;Inputs!$F$253,AI7/Debt!AI114,0)</f>
        <v>2.02743083646261</v>
      </c>
      <c r="AJ17" s="3" t="n">
        <f aca="false">IF(Debt!AJ114&gt;Inputs!$F$253,AJ7/Debt!AJ114,0)</f>
        <v>2.29629767558683</v>
      </c>
      <c r="AK17" s="3" t="n">
        <f aca="false">IF(Debt!AK114&gt;Inputs!$F$253,AK7/Debt!AK114,0)</f>
        <v>2.41191701190841</v>
      </c>
      <c r="AL17" s="3" t="n">
        <f aca="false">IF(Debt!AL114&gt;Inputs!$F$253,AL7/Debt!AL114,0)</f>
        <v>2.06426375504121</v>
      </c>
      <c r="AM17" s="3" t="n">
        <f aca="false">IF(Debt!AM114&gt;Inputs!$F$253,AM7/Debt!AM114,0)</f>
        <v>1.97406350896309</v>
      </c>
      <c r="AN17" s="3" t="n">
        <f aca="false">IF(Debt!AN114&gt;Inputs!$F$253,AN7/Debt!AN114,0)</f>
        <v>2.32456608799109</v>
      </c>
      <c r="AO17" s="3" t="n">
        <f aca="false">IF(Debt!AO114&gt;Inputs!$F$253,AO7/Debt!AO114,0)</f>
        <v>2.32774047249939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1.36239849679913</v>
      </c>
      <c r="Q18" s="3" t="n">
        <f aca="false">IF(Debt!Q114&gt;Inputs!$F$253,IF(Debt!P114&gt;Inputs!$F$253,(Q7+P7)/(Debt!Q114+Debt!P114),Q17),0)</f>
        <v>1.3640809277344</v>
      </c>
      <c r="R18" s="3" t="n">
        <f aca="false">IF(Debt!R114&gt;Inputs!$F$253,IF(Debt!Q114&gt;Inputs!$F$253,(R7+Q7)/(Debt!R114+Debt!Q114),R17),0)</f>
        <v>1.36451474592888</v>
      </c>
      <c r="S18" s="3" t="n">
        <f aca="false">IF(Debt!S114&gt;Inputs!$F$253,IF(Debt!R114&gt;Inputs!$F$253,(S7+R7)/(Debt!S114+Debt!R114),S17),0)</f>
        <v>1.36614119352406</v>
      </c>
      <c r="T18" s="3" t="n">
        <f aca="false">IF(Debt!T114&gt;Inputs!$F$253,IF(Debt!S114&gt;Inputs!$F$253,(T7+S7)/(Debt!T114+Debt!S114),T17),0)</f>
        <v>1.37049001709536</v>
      </c>
      <c r="U18" s="3" t="n">
        <f aca="false">IF(Debt!U114&gt;Inputs!$F$253,IF(Debt!T114&gt;Inputs!$F$253,(U7+T7)/(Debt!U114+Debt!T114),U17),0)</f>
        <v>1.37300001222084</v>
      </c>
      <c r="V18" s="3" t="n">
        <f aca="false">IF(Debt!V114&gt;Inputs!$F$253,IF(Debt!U114&gt;Inputs!$F$253,(V7+U7)/(Debt!V114+Debt!U114),V17),0)</f>
        <v>1.3744680342329</v>
      </c>
      <c r="W18" s="3" t="n">
        <f aca="false">IF(Debt!W114&gt;Inputs!$F$253,IF(Debt!V114&gt;Inputs!$F$253,(W7+V7)/(Debt!W114+Debt!V114),W17),0)</f>
        <v>1.37625857401567</v>
      </c>
      <c r="X18" s="3" t="n">
        <f aca="false">IF(Debt!X114&gt;Inputs!$F$253,IF(Debt!W114&gt;Inputs!$F$253,(X7+W7)/(Debt!X114+Debt!W114),X17),0)</f>
        <v>1.38133986416766</v>
      </c>
      <c r="Y18" s="3" t="n">
        <f aca="false">IF(Debt!Y114&gt;Inputs!$F$253,IF(Debt!X114&gt;Inputs!$F$253,(Y7+X7)/(Debt!Y114+Debt!X114),Y17),0)</f>
        <v>1.38627303810796</v>
      </c>
      <c r="Z18" s="3" t="n">
        <f aca="false">IF(Debt!Z114&gt;Inputs!$F$253,IF(Debt!Y114&gt;Inputs!$F$253,(Z7+Y7)/(Debt!Z114+Debt!Y114),Z17),0)</f>
        <v>1.39001197166752</v>
      </c>
      <c r="AA18" s="3" t="n">
        <f aca="false">IF(Debt!AA114&gt;Inputs!$F$253,IF(Debt!Z114&gt;Inputs!$F$253,(AA7+Z7)/(Debt!AA114+Debt!Z114),AA17),0)</f>
        <v>1.39330428600253</v>
      </c>
      <c r="AB18" s="3" t="n">
        <f aca="false">IF(Debt!AB114&gt;Inputs!$F$253,IF(Debt!AA114&gt;Inputs!$F$253,(AB7+AA7)/(Debt!AB114+Debt!AA114),AB17),0)</f>
        <v>1.4121110915355</v>
      </c>
      <c r="AC18" s="3" t="n">
        <f aca="false">IF(Debt!AC114&gt;Inputs!$F$253,IF(Debt!AB114&gt;Inputs!$F$253,(AC7+AB7)/(Debt!AC114+Debt!AB114),AC17),0)</f>
        <v>1.44768373577999</v>
      </c>
      <c r="AD18" s="3" t="n">
        <f aca="false">IF(Debt!AD114&gt;Inputs!$F$253,IF(Debt!AC114&gt;Inputs!$F$253,(AD7+AC7)/(Debt!AD114+Debt!AC114),AD17),0)</f>
        <v>1.49099392317036</v>
      </c>
      <c r="AE18" s="3" t="n">
        <f aca="false">IF(Debt!AE114&gt;Inputs!$F$253,IF(Debt!AD114&gt;Inputs!$F$253,(AE7+AD7)/(Debt!AE114+Debt!AD114),AE17),0)</f>
        <v>1.53716522075511</v>
      </c>
      <c r="AF18" s="3" t="n">
        <f aca="false">IF(Debt!AF114&gt;Inputs!$F$253,IF(Debt!AE114&gt;Inputs!$F$253,(AF7+AE7)/(Debt!AF114+Debt!AE114),AF17),0)</f>
        <v>1.59517376927548</v>
      </c>
      <c r="AG18" s="3" t="n">
        <f aca="false">IF(Debt!AG114&gt;Inputs!$F$253,IF(Debt!AF114&gt;Inputs!$F$253,(AG7+AF7)/(Debt!AG114+Debt!AF114),AG17),0)</f>
        <v>1.6797513949415</v>
      </c>
      <c r="AH18" s="3" t="n">
        <f aca="false">IF(Debt!AH114&gt;Inputs!$F$253,IF(Debt!AG114&gt;Inputs!$F$253,(AH7+AG7)/(Debt!AH114+Debt!AG114),AH17),0)</f>
        <v>1.78907375972903</v>
      </c>
      <c r="AI18" s="3" t="n">
        <f aca="false">IF(Debt!AI114&gt;Inputs!$F$253,IF(Debt!AH114&gt;Inputs!$F$253,(AI7+AH7)/(Debt!AI114+Debt!AH114),AI17),0)</f>
        <v>1.93541595646757</v>
      </c>
      <c r="AJ18" s="3" t="n">
        <f aca="false">IF(Debt!AJ114&gt;Inputs!$F$253,IF(Debt!AI114&gt;Inputs!$F$253,(AJ7+AI7)/(Debt!AJ114+Debt!AI114),AJ17),0)</f>
        <v>2.15451298675304</v>
      </c>
      <c r="AK18" s="3" t="n">
        <f aca="false">IF(Debt!AK114&gt;Inputs!$F$253,IF(Debt!AJ114&gt;Inputs!$F$253,(AK7+AJ7)/(Debt!AK114+Debt!AJ114),AK17),0)</f>
        <v>2.35263044571815</v>
      </c>
      <c r="AL18" s="3" t="n">
        <f aca="false">IF(Debt!AL114&gt;Inputs!$F$253,IF(Debt!AK114&gt;Inputs!$F$253,(AL7+AK7)/(Debt!AL114+Debt!AK114),AL17),0)</f>
        <v>2.23555014095715</v>
      </c>
      <c r="AM18" s="3" t="n">
        <f aca="false">IF(Debt!AM114&gt;Inputs!$F$253,IF(Debt!AL114&gt;Inputs!$F$253,(AM7+AL7)/(Debt!AM114+Debt!AL114),AM17),0)</f>
        <v>2.01930179185556</v>
      </c>
      <c r="AN18" s="3" t="n">
        <f aca="false">IF(Debt!AN114&gt;Inputs!$F$253,IF(Debt!AM114&gt;Inputs!$F$253,(AN7+AM7)/(Debt!AN114+Debt!AM114),AN17),0)</f>
        <v>2.13110351084534</v>
      </c>
      <c r="AO18" s="3" t="n">
        <f aca="false">IF(Debt!AO114&gt;Inputs!$F$253,IF(Debt!AN114&gt;Inputs!$F$253,(AO7+AN7)/(Debt!AO114+Debt!AN114),AO17),0)</f>
        <v>2.32614384215154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100.145602361138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6.99200277913257</v>
      </c>
      <c r="AB29" s="13" t="n">
        <f aca="false">IF(AND(AB24=1,Time!AB52=1,Inputs!$F$52=1),MIN(Inputs!$F$111*AB15,Debt!AB73),0)</f>
        <v>8.24276877155907</v>
      </c>
      <c r="AC29" s="13" t="n">
        <f aca="false">IF(AND(AC24=1,Time!AC52=1,Inputs!$F$52=1),MIN(Inputs!$F$111*AC15,Debt!AC73),0)</f>
        <v>7.96810019239122</v>
      </c>
      <c r="AD29" s="13" t="n">
        <f aca="false">IF(AND(AD24=1,Time!AD52=1,Inputs!$F$52=1),MIN(Inputs!$F$111*AD15,Debt!AD73),0)</f>
        <v>9.63400864388021</v>
      </c>
      <c r="AE29" s="13" t="n">
        <f aca="false">IF(AND(AE24=1,Time!AE52=1,Inputs!$F$52=1),MIN(Inputs!$F$111*AE15,Debt!AE73),0)</f>
        <v>10.1943109887275</v>
      </c>
      <c r="AF29" s="13" t="n">
        <f aca="false">IF(AND(AF24=1,Time!AF52=1,Inputs!$F$52=1),MIN(Inputs!$F$111*AF15,Debt!AF73),0)</f>
        <v>11.3392165451232</v>
      </c>
      <c r="AG29" s="13" t="n">
        <f aca="false">IF(AND(AG24=1,Time!AG52=1,Inputs!$F$52=1),MIN(Inputs!$F$111*AG15,Debt!AG73),0)</f>
        <v>12.0346044094676</v>
      </c>
      <c r="AH29" s="13" t="n">
        <f aca="false">IF(AND(AH24=1,Time!AH52=1,Inputs!$F$52=1),MIN(Inputs!$F$111*AH15,Debt!AH73),0)</f>
        <v>13.7331568055616</v>
      </c>
      <c r="AI29" s="13" t="n">
        <f aca="false">IF(AND(AI24=1,Time!AI52=1,Inputs!$F$52=1),MIN(Inputs!$F$111*AI15,Debt!AI73),0)</f>
        <v>14.96323933625</v>
      </c>
      <c r="AJ29" s="13" t="n">
        <f aca="false">IF(AND(AJ24=1,Time!AJ52=1,Inputs!$F$52=1),MIN(Inputs!$F$111*AJ15,Debt!AJ73),0)</f>
        <v>5.04419388904519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1.87624987718963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1565.31464315458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15.4654785508993</v>
      </c>
      <c r="Q31" s="13" t="n">
        <f aca="false">IF(Q24=1,Q15-Q29,0)</f>
        <v>13.1254137792471</v>
      </c>
      <c r="R31" s="13" t="n">
        <f aca="false">IF(R24=1,R15-R29,0)</f>
        <v>13.962270480687</v>
      </c>
      <c r="S31" s="13" t="n">
        <f aca="false">IF(S24=1,S15-S29,0)</f>
        <v>13.3614899710111</v>
      </c>
      <c r="T31" s="13" t="n">
        <f aca="false">IF(T24=1,T15-T29,0)</f>
        <v>14.224177824416</v>
      </c>
      <c r="U31" s="13" t="n">
        <f aca="false">IF(U24=1,U15-U29,0)</f>
        <v>13.3391745160271</v>
      </c>
      <c r="V31" s="13" t="n">
        <f aca="false">IF(V24=1,V15-V29,0)</f>
        <v>14.6199608159099</v>
      </c>
      <c r="W31" s="13" t="n">
        <f aca="false">IF(W24=1,W15-W29,0)</f>
        <v>15.4592654984149</v>
      </c>
      <c r="X31" s="13" t="n">
        <f aca="false">IF(X24=1,X15-X29,0)</f>
        <v>14.5803131290228</v>
      </c>
      <c r="Y31" s="13" t="n">
        <f aca="false">IF(Y24=1,Y15-Y29,0)</f>
        <v>13.870160491092</v>
      </c>
      <c r="Z31" s="13" t="n">
        <f aca="false">IF(Z24=1,Z15-Z29,0)</f>
        <v>14.7742571249094</v>
      </c>
      <c r="AA31" s="13" t="n">
        <f aca="false">IF(AA24=1,AA15-AA29,0)</f>
        <v>6.99200277913257</v>
      </c>
      <c r="AB31" s="13" t="n">
        <f aca="false">IF(AB24=1,AB15-AB29,0)</f>
        <v>8.24276877155907</v>
      </c>
      <c r="AC31" s="13" t="n">
        <f aca="false">IF(AC24=1,AC15-AC29,0)</f>
        <v>7.96810019239122</v>
      </c>
      <c r="AD31" s="13" t="n">
        <f aca="false">IF(AD24=1,AD15-AD29,0)</f>
        <v>9.63400864388021</v>
      </c>
      <c r="AE31" s="13" t="n">
        <f aca="false">IF(AE24=1,AE15-AE29,0)</f>
        <v>10.1943109887275</v>
      </c>
      <c r="AF31" s="13" t="n">
        <f aca="false">IF(AF24=1,AF15-AF29,0)</f>
        <v>11.3392165451232</v>
      </c>
      <c r="AG31" s="13" t="n">
        <f aca="false">IF(AG24=1,AG15-AG29,0)</f>
        <v>12.0346044094676</v>
      </c>
      <c r="AH31" s="13" t="n">
        <f aca="false">IF(AH24=1,AH15-AH29,0)</f>
        <v>13.7331568055616</v>
      </c>
      <c r="AI31" s="13" t="n">
        <f aca="false">IF(AI24=1,AI15-AI29,0)</f>
        <v>14.96323933625</v>
      </c>
      <c r="AJ31" s="13" t="n">
        <f aca="false">IF(AJ24=1,AJ15-AJ29,0)</f>
        <v>29.5422078320988</v>
      </c>
      <c r="AK31" s="13" t="n">
        <f aca="false">IF(AK24=1,AK15-AK29,0)</f>
        <v>33.1232902339658</v>
      </c>
      <c r="AL31" s="13" t="n">
        <f aca="false">IF(AL24=1,AL15-AL29,0)</f>
        <v>25.390013463231</v>
      </c>
      <c r="AM31" s="13" t="n">
        <f aca="false">IF(AM24=1,AM15-AM29,0)</f>
        <v>27.402927322578</v>
      </c>
      <c r="AN31" s="13" t="n">
        <f aca="false">IF(AN24=1,AN15-AN29,0)</f>
        <v>25.5748733962924</v>
      </c>
      <c r="AO31" s="13" t="n">
        <f aca="false">IF(AO24=1,AO15-AO29,0)</f>
        <v>44.0200205544118</v>
      </c>
      <c r="AP31" s="13" t="n">
        <f aca="false">IF(AP24=1,AP15-AP29,0)</f>
        <v>44.8204245140213</v>
      </c>
      <c r="AQ31" s="13" t="n">
        <f aca="false">IF(AQ24=1,AQ15-AQ29,0)</f>
        <v>44.5189171785965</v>
      </c>
      <c r="AR31" s="13" t="n">
        <f aca="false">IF(AR24=1,AR15-AR29,0)</f>
        <v>45.3376249009307</v>
      </c>
      <c r="AS31" s="13" t="n">
        <f aca="false">IF(AS24=1,AS15-AS29,0)</f>
        <v>45.1212005642981</v>
      </c>
      <c r="AT31" s="13" t="n">
        <f aca="false">IF(AT24=1,AT15-AT29,0)</f>
        <v>51.5155681585154</v>
      </c>
      <c r="AU31" s="13" t="n">
        <f aca="false">IF(AU24=1,AU15-AU29,0)</f>
        <v>47.2556177917082</v>
      </c>
      <c r="AV31" s="13" t="n">
        <f aca="false">IF(AV24=1,AV15-AV29,0)</f>
        <v>48.0580864268865</v>
      </c>
      <c r="AW31" s="13" t="n">
        <f aca="false">IF(AW24=1,AW15-AW29,0)</f>
        <v>47.8808578465371</v>
      </c>
      <c r="AX31" s="13" t="n">
        <f aca="false">IF(AX24=1,AX15-AX29,0)</f>
        <v>48.8727368070542</v>
      </c>
      <c r="AY31" s="13" t="n">
        <f aca="false">IF(AY24=1,AY15-AY29,0)</f>
        <v>48.5797068987556</v>
      </c>
      <c r="AZ31" s="13" t="n">
        <f aca="false">IF(AZ24=1,AZ15-AZ29,0)</f>
        <v>49.559509536746</v>
      </c>
      <c r="BA31" s="13" t="n">
        <f aca="false">IF(BA24=1,BA15-BA29,0)</f>
        <v>48.8510082603366</v>
      </c>
      <c r="BB31" s="13" t="n">
        <f aca="false">IF(BB24=1,BB15-BB29,0)</f>
        <v>50.2449569629998</v>
      </c>
      <c r="BC31" s="13" t="n">
        <f aca="false">IF(BC24=1,BC15-BC29,0)</f>
        <v>47.0327303148476</v>
      </c>
      <c r="BD31" s="13" t="n">
        <f aca="false">IF(BD24=1,BD15-BD29,0)</f>
        <v>41.3901923646165</v>
      </c>
      <c r="BE31" s="13" t="n">
        <f aca="false">IF(BE24=1,BE15-BE29,0)</f>
        <v>41.1460929436697</v>
      </c>
      <c r="BF31" s="13" t="n">
        <f aca="false">IF(BF24=1,BF15-BF29,0)</f>
        <v>42.1896158932824</v>
      </c>
      <c r="BG31" s="13" t="n">
        <f aca="false">IF(BG24=1,BG15-BG29,0)</f>
        <v>41.8895409472226</v>
      </c>
      <c r="BH31" s="13" t="n">
        <f aca="false">IF(BH24=1,BH15-BH29,0)</f>
        <v>42.9596036918532</v>
      </c>
      <c r="BI31" s="13" t="n">
        <f aca="false">IF(BI24=1,BI15-BI29,0)</f>
        <v>42.8641602859086</v>
      </c>
      <c r="BJ31" s="13" t="n">
        <f aca="false">IF(BJ24=1,BJ15-BJ29,0)</f>
        <v>50.3553792495772</v>
      </c>
      <c r="BK31" s="13" t="n">
        <f aca="false">IF(BK24=1,BK15-BK29,0)</f>
        <v>45.3117911223217</v>
      </c>
      <c r="BL31" s="13" t="n">
        <f aca="false">IF(BL24=1,BL15-BL29,0)</f>
        <v>47.2269186293631</v>
      </c>
      <c r="BM31" s="13" t="n">
        <f aca="false">IF(BM24=1,BM15-BM29,0)</f>
        <v>65.3956984082252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44.3737693626794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201.690064685269</v>
      </c>
      <c r="P33" s="13" t="n">
        <f aca="false">IF(Time!P20&lt;Time!$F$12,0,IF(Time!P34=1,INDEX(Funding!$J$72:$BJ$72,1,Time!$F$14),O36))</f>
        <v>204.892239821847</v>
      </c>
      <c r="Q33" s="13" t="n">
        <f aca="false">IF(Time!Q20&lt;Time!$F$12,0,IF(Time!Q34=1,INDEX(Funding!$J$72:$BJ$72,1,Time!$F$14),P36))</f>
        <v>199.239134838307</v>
      </c>
      <c r="R33" s="13" t="n">
        <f aca="false">IF(Time!R20&lt;Time!$F$12,0,IF(Time!R34=1,INDEX(Funding!$J$72:$BJ$72,1,Time!$F$14),Q36))</f>
        <v>195.499794822196</v>
      </c>
      <c r="S33" s="13" t="n">
        <f aca="false">IF(Time!S20&lt;Time!$F$12,0,IF(Time!S34=1,INDEX(Funding!$J$72:$BJ$72,1,Time!$F$14),R36))</f>
        <v>190.900089857925</v>
      </c>
      <c r="T33" s="13" t="n">
        <f aca="false">IF(Time!T20&lt;Time!$F$12,0,IF(Time!T34=1,INDEX(Funding!$J$72:$BJ$72,1,Time!$F$14),S36))</f>
        <v>186.531824668029</v>
      </c>
      <c r="U33" s="13" t="n">
        <f aca="false">IF(Time!U20&lt;Time!$F$12,0,IF(Time!U34=1,INDEX(Funding!$J$72:$BJ$72,1,Time!$F$14),T36))</f>
        <v>181.240732583879</v>
      </c>
      <c r="V33" s="13" t="n">
        <f aca="false">IF(Time!V20&lt;Time!$F$12,0,IF(Time!V34=1,INDEX(Funding!$J$72:$BJ$72,1,Time!$F$14),U36))</f>
        <v>176.486906742853</v>
      </c>
      <c r="W33" s="13" t="n">
        <f aca="false">IF(Time!W20&lt;Time!$F$12,0,IF(Time!W34=1,INDEX(Funding!$J$72:$BJ$72,1,Time!$F$14),V36))</f>
        <v>170.318976419724</v>
      </c>
      <c r="X33" s="13" t="n">
        <f aca="false">IF(Time!X20&lt;Time!$F$12,0,IF(Time!X34=1,INDEX(Funding!$J$72:$BJ$72,1,Time!$F$14),W36))</f>
        <v>162.883367906343</v>
      </c>
      <c r="Y33" s="13" t="n">
        <f aca="false">IF(Time!Y20&lt;Time!$F$12,0,IF(Time!Y34=1,INDEX(Funding!$J$72:$BJ$72,1,Time!$F$14),X36))</f>
        <v>156.103606204725</v>
      </c>
      <c r="Z33" s="13" t="n">
        <f aca="false">IF(Time!Z20&lt;Time!$F$12,0,IF(Time!Z34=1,INDEX(Funding!$J$72:$BJ$72,1,Time!$F$14),Y36))</f>
        <v>149.587422449771</v>
      </c>
      <c r="AA33" s="13" t="n">
        <f aca="false">IF(Time!AA20&lt;Time!$F$12,0,IF(Time!AA34=1,INDEX(Funding!$J$72:$BJ$72,1,Time!$F$14),Z36))</f>
        <v>141.976968460264</v>
      </c>
      <c r="AB33" s="13" t="n">
        <f aca="false">IF(Time!AB20&lt;Time!$F$12,0,IF(Time!AB34=1,INDEX(Funding!$J$72:$BJ$72,1,Time!$F$14),AA36))</f>
        <v>141.673442318595</v>
      </c>
      <c r="AC33" s="13" t="n">
        <f aca="false">IF(Time!AC20&lt;Time!$F$12,0,IF(Time!AC34=1,INDEX(Funding!$J$72:$BJ$72,1,Time!$F$14),AB36))</f>
        <v>140.215472921636</v>
      </c>
      <c r="AD33" s="13" t="n">
        <f aca="false">IF(Time!AD20&lt;Time!$F$12,0,IF(Time!AD34=1,INDEX(Funding!$J$72:$BJ$72,1,Time!$F$14),AC36))</f>
        <v>138.889360473944</v>
      </c>
      <c r="AE33" s="13" t="n">
        <f aca="false">IF(Time!AE20&lt;Time!$F$12,0,IF(Time!AE34=1,INDEX(Funding!$J$72:$BJ$72,1,Time!$F$14),AD36))</f>
        <v>135.90682038098</v>
      </c>
      <c r="AF33" s="13" t="n">
        <f aca="false">IF(Time!AF20&lt;Time!$F$12,0,IF(Time!AF34=1,INDEX(Funding!$J$72:$BJ$72,1,Time!$F$14),AE36))</f>
        <v>132.115023848282</v>
      </c>
      <c r="AG33" s="13" t="n">
        <f aca="false">IF(Time!AG20&lt;Time!$F$12,0,IF(Time!AG34=1,INDEX(Funding!$J$72:$BJ$72,1,Time!$F$14),AF36))</f>
        <v>127.102850089099</v>
      </c>
      <c r="AH33" s="13" t="n">
        <f aca="false">IF(Time!AH20&lt;Time!$F$12,0,IF(Time!AH34=1,INDEX(Funding!$J$72:$BJ$72,1,Time!$F$14),AG36))</f>
        <v>121.056008713281</v>
      </c>
      <c r="AI33" s="13" t="n">
        <f aca="false">IF(Time!AI20&lt;Time!$F$12,0,IF(Time!AI34=1,INDEX(Funding!$J$72:$BJ$72,1,Time!$F$14),AH36))</f>
        <v>113.120273914043</v>
      </c>
      <c r="AJ33" s="13" t="n">
        <f aca="false">IF(Time!AJ20&lt;Time!$F$12,0,IF(Time!AJ34=1,INDEX(Funding!$J$72:$BJ$72,1,Time!$F$14),AI36))</f>
        <v>103.4860841941</v>
      </c>
      <c r="AK33" s="13" t="n">
        <f aca="false">IF(Time!AK20&lt;Time!$F$12,0,IF(Time!AK34=1,INDEX(Funding!$J$72:$BJ$72,1,Time!$F$14),AJ36))</f>
        <v>78.8998674625839</v>
      </c>
      <c r="AL33" s="13" t="n">
        <f aca="false">IF(Time!AL20&lt;Time!$F$12,0,IF(Time!AL34=1,INDEX(Funding!$J$72:$BJ$72,1,Time!$F$14),AK36))</f>
        <v>49.5140531421198</v>
      </c>
      <c r="AM33" s="13" t="n">
        <f aca="false">IF(Time!AM20&lt;Time!$F$12,0,IF(Time!AM34=1,INDEX(Funding!$J$72:$BJ$72,1,Time!$F$14),AL36))</f>
        <v>26.4952880321059</v>
      </c>
      <c r="AN33" s="13" t="n">
        <f aca="false">IF(Time!AN20&lt;Time!$F$12,0,IF(Time!AN34=1,INDEX(Funding!$J$72:$BJ$72,1,Time!$F$14),AM36))</f>
        <v>0.34054284024586</v>
      </c>
      <c r="AO33" s="13" t="n">
        <f aca="false">IF(Time!AO20&lt;Time!$F$12,0,IF(Time!AO34=1,INDEX(Funding!$J$72:$BJ$72,1,Time!$F$14),AN36))</f>
        <v>0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162.80642126057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9.81237356735861</v>
      </c>
      <c r="Q34" s="13" t="n">
        <f aca="false">Q24*MIN(Q31,Tax!Q13)</f>
        <v>9.38607376313612</v>
      </c>
      <c r="R34" s="13" t="n">
        <f aca="false">R24*MIN(R31,Tax!R13)</f>
        <v>9.36256551641639</v>
      </c>
      <c r="S34" s="13" t="n">
        <f aca="false">S24*MIN(S31,Tax!S13)</f>
        <v>8.99322478111513</v>
      </c>
      <c r="T34" s="13" t="n">
        <f aca="false">T24*MIN(T31,Tax!T13)</f>
        <v>8.93308574026617</v>
      </c>
      <c r="U34" s="13" t="n">
        <f aca="false">U24*MIN(U31,Tax!U13)</f>
        <v>8.58534867500075</v>
      </c>
      <c r="V34" s="13" t="n">
        <f aca="false">V24*MIN(V31,Tax!V13)</f>
        <v>8.45203049278102</v>
      </c>
      <c r="W34" s="13" t="n">
        <f aca="false">W24*MIN(W31,Tax!W13)</f>
        <v>8.02365698503331</v>
      </c>
      <c r="X34" s="13" t="n">
        <f aca="false">X24*MIN(X31,Tax!X13)</f>
        <v>7.80055142740512</v>
      </c>
      <c r="Y34" s="13" t="n">
        <f aca="false">Y24*MIN(Y31,Tax!Y13)</f>
        <v>7.35397673613765</v>
      </c>
      <c r="Z34" s="13" t="n">
        <f aca="false">Z24*MIN(Z31,Tax!Z13)</f>
        <v>7.16380313540271</v>
      </c>
      <c r="AA34" s="13" t="n">
        <f aca="false">AA24*MIN(AA31,Tax!AA13)</f>
        <v>6.68847663746366</v>
      </c>
      <c r="AB34" s="13" t="n">
        <f aca="false">AB24*MIN(AB31,Tax!AB13)</f>
        <v>6.7847993746001</v>
      </c>
      <c r="AC34" s="13" t="n">
        <f aca="false">AC24*MIN(AC31,Tax!AC13)</f>
        <v>6.64198774469886</v>
      </c>
      <c r="AD34" s="13" t="n">
        <f aca="false">AD24*MIN(AD31,Tax!AD13)</f>
        <v>6.65146855091653</v>
      </c>
      <c r="AE34" s="13" t="n">
        <f aca="false">AE24*MIN(AE31,Tax!AE13)</f>
        <v>6.40251445603</v>
      </c>
      <c r="AF34" s="13" t="n">
        <f aca="false">AF24*MIN(AF31,Tax!AF13)</f>
        <v>6.32704278593966</v>
      </c>
      <c r="AG34" s="13" t="n">
        <f aca="false">AG24*MIN(AG31,Tax!AG13)</f>
        <v>5.98776303364947</v>
      </c>
      <c r="AH34" s="13" t="n">
        <f aca="false">AH24*MIN(AH31,Tax!AH13)</f>
        <v>5.79742200632369</v>
      </c>
      <c r="AI34" s="13" t="n">
        <f aca="false">AI24*MIN(AI31,Tax!AI13)</f>
        <v>5.32904961630676</v>
      </c>
      <c r="AJ34" s="13" t="n">
        <f aca="false">AJ24*MIN(AJ31,Tax!AJ13)</f>
        <v>4.95599110058318</v>
      </c>
      <c r="AK34" s="13" t="n">
        <f aca="false">AK24*MIN(AK31,Tax!AK13)</f>
        <v>3.73747591350158</v>
      </c>
      <c r="AL34" s="13" t="n">
        <f aca="false">AL24*MIN(AL31,Tax!AL13)</f>
        <v>2.37124835321713</v>
      </c>
      <c r="AM34" s="13" t="n">
        <f aca="false">AM24*MIN(AM31,Tax!AM13)</f>
        <v>1.24818213071797</v>
      </c>
      <c r="AN34" s="13" t="n">
        <f aca="false">AN24*MIN(AN31,Tax!AN13)</f>
        <v>0.0163087365684867</v>
      </c>
      <c r="AO34" s="13" t="n">
        <f aca="false">AO24*MIN(AO31,Tax!AO13)</f>
        <v>0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204.892239821847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5.65310498354069</v>
      </c>
      <c r="Q35" s="13" t="n">
        <f aca="false">Q24*MIN(Q31-Q34,Q33+Tax!Q13-Q34)</f>
        <v>3.73934001611099</v>
      </c>
      <c r="R35" s="13" t="n">
        <f aca="false">R24*MIN(R31-R34,R33+Tax!R13-R34)</f>
        <v>4.5997049642706</v>
      </c>
      <c r="S35" s="13" t="n">
        <f aca="false">S24*MIN(S31-S34,S33+Tax!S13-S34)</f>
        <v>4.36826518989593</v>
      </c>
      <c r="T35" s="13" t="n">
        <f aca="false">T24*MIN(T31-T34,T33+Tax!T13-T34)</f>
        <v>5.29109208414985</v>
      </c>
      <c r="U35" s="13" t="n">
        <f aca="false">U24*MIN(U31-U34,U33+Tax!U13-U34)</f>
        <v>4.75382584102634</v>
      </c>
      <c r="V35" s="13" t="n">
        <f aca="false">V24*MIN(V31-V34,V33+Tax!V13-V34)</f>
        <v>6.16793032312886</v>
      </c>
      <c r="W35" s="13" t="n">
        <f aca="false">W24*MIN(W31-W34,W33+Tax!W13-W34)</f>
        <v>7.43560851338157</v>
      </c>
      <c r="X35" s="13" t="n">
        <f aca="false">X24*MIN(X31-X34,X33+Tax!X13-X34)</f>
        <v>6.77976170161772</v>
      </c>
      <c r="Y35" s="13" t="n">
        <f aca="false">Y24*MIN(Y31-Y34,Y33+Tax!Y13-Y34)</f>
        <v>6.51618375495436</v>
      </c>
      <c r="Z35" s="13" t="n">
        <f aca="false">Z24*MIN(Z31-Z34,Z33+Tax!Z13-Z34)</f>
        <v>7.61045398950672</v>
      </c>
      <c r="AA35" s="13" t="n">
        <f aca="false">AA24*MIN(AA31-AA34,AA33+Tax!AA13-AA34)</f>
        <v>0.303526141668907</v>
      </c>
      <c r="AB35" s="13" t="n">
        <f aca="false">AB24*MIN(AB31-AB34,AB33+Tax!AB13-AB34)</f>
        <v>1.45796939695897</v>
      </c>
      <c r="AC35" s="13" t="n">
        <f aca="false">AC24*MIN(AC31-AC34,AC33+Tax!AC13-AC34)</f>
        <v>1.32611244769235</v>
      </c>
      <c r="AD35" s="13" t="n">
        <f aca="false">AD24*MIN(AD31-AD34,AD33+Tax!AD13-AD34)</f>
        <v>2.98254009296368</v>
      </c>
      <c r="AE35" s="13" t="n">
        <f aca="false">AE24*MIN(AE31-AE34,AE33+Tax!AE13-AE34)</f>
        <v>3.79179653269749</v>
      </c>
      <c r="AF35" s="13" t="n">
        <f aca="false">AF24*MIN(AF31-AF34,AF33+Tax!AF13-AF34)</f>
        <v>5.0121737591835</v>
      </c>
      <c r="AG35" s="13" t="n">
        <f aca="false">AG24*MIN(AG31-AG34,AG33+Tax!AG13-AG34)</f>
        <v>6.04684137581816</v>
      </c>
      <c r="AH35" s="13" t="n">
        <f aca="false">AH24*MIN(AH31-AH34,AH33+Tax!AH13-AH34)</f>
        <v>7.9357347992379</v>
      </c>
      <c r="AI35" s="13" t="n">
        <f aca="false">AI24*MIN(AI31-AI34,AI33+Tax!AI13-AI34)</f>
        <v>9.63418971994323</v>
      </c>
      <c r="AJ35" s="13" t="n">
        <f aca="false">AJ24*MIN(AJ31-AJ34,AJ33+Tax!AJ13-AJ34)</f>
        <v>24.5862167315156</v>
      </c>
      <c r="AK35" s="13" t="n">
        <f aca="false">AK24*MIN(AK31-AK34,AK33+Tax!AK13-AK34)</f>
        <v>29.3858143204642</v>
      </c>
      <c r="AL35" s="13" t="n">
        <f aca="false">AL24*MIN(AL31-AL34,AL33+Tax!AL13-AL34)</f>
        <v>23.0187651100139</v>
      </c>
      <c r="AM35" s="13" t="n">
        <f aca="false">AM24*MIN(AM31-AM34,AM33+Tax!AM13-AM34)</f>
        <v>26.15474519186</v>
      </c>
      <c r="AN35" s="13" t="n">
        <f aca="false">AN24*MIN(AN31-AN34,AN33+Tax!AN13-AN34)</f>
        <v>0.34054284024586</v>
      </c>
      <c r="AO35" s="13" t="n">
        <f aca="false">AO24*MIN(AO31-AO34,AO33+Tax!AO13-AO34)</f>
        <v>0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204.892239821847</v>
      </c>
      <c r="P36" s="13" t="n">
        <f aca="false">P33+Tax!P13-P34-P35</f>
        <v>199.239134838307</v>
      </c>
      <c r="Q36" s="13" t="n">
        <f aca="false">Q33+Tax!Q13-Q34-Q35</f>
        <v>195.499794822196</v>
      </c>
      <c r="R36" s="13" t="n">
        <f aca="false">R33+Tax!R13-R34-R35</f>
        <v>190.900089857925</v>
      </c>
      <c r="S36" s="13" t="n">
        <f aca="false">S33+Tax!S13-S34-S35</f>
        <v>186.531824668029</v>
      </c>
      <c r="T36" s="13" t="n">
        <f aca="false">T33+Tax!T13-T34-T35</f>
        <v>181.240732583879</v>
      </c>
      <c r="U36" s="13" t="n">
        <f aca="false">U33+Tax!U13-U34-U35</f>
        <v>176.486906742853</v>
      </c>
      <c r="V36" s="13" t="n">
        <f aca="false">V33+Tax!V13-V34-V35</f>
        <v>170.318976419724</v>
      </c>
      <c r="W36" s="13" t="n">
        <f aca="false">W33+Tax!W13-W34-W35</f>
        <v>162.883367906343</v>
      </c>
      <c r="X36" s="13" t="n">
        <f aca="false">X33+Tax!X13-X34-X35</f>
        <v>156.103606204725</v>
      </c>
      <c r="Y36" s="13" t="n">
        <f aca="false">Y33+Tax!Y13-Y34-Y35</f>
        <v>149.587422449771</v>
      </c>
      <c r="Z36" s="13" t="n">
        <f aca="false">Z33+Tax!Z13-Z34-Z35</f>
        <v>141.976968460264</v>
      </c>
      <c r="AA36" s="13" t="n">
        <f aca="false">AA33+Tax!AA13-AA34-AA35</f>
        <v>141.673442318595</v>
      </c>
      <c r="AB36" s="13" t="n">
        <f aca="false">AB33+Tax!AB13-AB34-AB35</f>
        <v>140.215472921636</v>
      </c>
      <c r="AC36" s="13" t="n">
        <f aca="false">AC33+Tax!AC13-AC34-AC35</f>
        <v>138.889360473944</v>
      </c>
      <c r="AD36" s="13" t="n">
        <f aca="false">AD33+Tax!AD13-AD34-AD35</f>
        <v>135.90682038098</v>
      </c>
      <c r="AE36" s="13" t="n">
        <f aca="false">AE33+Tax!AE13-AE34-AE35</f>
        <v>132.115023848282</v>
      </c>
      <c r="AF36" s="13" t="n">
        <f aca="false">AF33+Tax!AF13-AF34-AF35</f>
        <v>127.102850089099</v>
      </c>
      <c r="AG36" s="13" t="n">
        <f aca="false">AG33+Tax!AG13-AG34-AG35</f>
        <v>121.056008713281</v>
      </c>
      <c r="AH36" s="13" t="n">
        <f aca="false">AH33+Tax!AH13-AH34-AH35</f>
        <v>113.120273914043</v>
      </c>
      <c r="AI36" s="13" t="n">
        <f aca="false">AI33+Tax!AI13-AI34-AI35</f>
        <v>103.4860841941</v>
      </c>
      <c r="AJ36" s="13" t="n">
        <f aca="false">AJ33+Tax!AJ13-AJ34-AJ35</f>
        <v>78.8998674625839</v>
      </c>
      <c r="AK36" s="13" t="n">
        <f aca="false">AK33+Tax!AK13-AK34-AK35</f>
        <v>49.5140531421198</v>
      </c>
      <c r="AL36" s="13" t="n">
        <f aca="false">AL33+Tax!AL13-AL34-AL35</f>
        <v>26.4952880321059</v>
      </c>
      <c r="AM36" s="13" t="n">
        <f aca="false">AM33+Tax!AM13-AM34-AM35</f>
        <v>0.34054284024586</v>
      </c>
      <c r="AN36" s="13" t="n">
        <f aca="false">AN33+Tax!AN13-AN34-AN35</f>
        <v>0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9.92117430297742</v>
      </c>
      <c r="P37" s="13" t="n">
        <f aca="false">MAX(0,O43+Financials!P14)</f>
        <v>17.7949955785585</v>
      </c>
      <c r="Q37" s="13" t="n">
        <f aca="false">MAX(0,P43+Financials!Q14)</f>
        <v>27.17670096169</v>
      </c>
      <c r="R37" s="13" t="n">
        <f aca="false">MAX(0,Q43+Financials!R14)</f>
        <v>36.8886879327385</v>
      </c>
      <c r="S37" s="13" t="n">
        <f aca="false">MAX(0,R43+Financials!S14)</f>
        <v>48.229752991066</v>
      </c>
      <c r="T37" s="13" t="n">
        <f aca="false">MAX(0,S43+Financials!T14)</f>
        <v>60.1325269306604</v>
      </c>
      <c r="U37" s="13" t="n">
        <f aca="false">MAX(0,T43+Financials!U14)</f>
        <v>73.3895557049083</v>
      </c>
      <c r="V37" s="13" t="n">
        <f aca="false">MAX(0,U43+Financials!V14)</f>
        <v>85.0548563464022</v>
      </c>
      <c r="W37" s="13" t="n">
        <f aca="false">MAX(0,V43+Financials!W14)</f>
        <v>100.702213363449</v>
      </c>
      <c r="X37" s="13" t="n">
        <f aca="false">MAX(0,W43+Financials!X14)</f>
        <v>117.355597423627</v>
      </c>
      <c r="Y37" s="13" t="n">
        <f aca="false">MAX(0,X43+Financials!Y14)</f>
        <v>131.928613362186</v>
      </c>
      <c r="Z37" s="13" t="n">
        <f aca="false">MAX(0,Y43+Financials!Z14)</f>
        <v>141.139241984404</v>
      </c>
      <c r="AA37" s="13" t="n">
        <f aca="false">MAX(0,Z43+Financials!AA14)</f>
        <v>151.446227794848</v>
      </c>
      <c r="AB37" s="13" t="n">
        <f aca="false">MAX(0,AA43+Financials!AB14)</f>
        <v>162.653370626005</v>
      </c>
      <c r="AC37" s="13" t="n">
        <f aca="false">MAX(0,AB43+Financials!AC14)</f>
        <v>174.888668334065</v>
      </c>
      <c r="AD37" s="13" t="n">
        <f aca="false">MAX(0,AC43+Financials!AD14)</f>
        <v>179.591833869429</v>
      </c>
      <c r="AE37" s="13" t="n">
        <f aca="false">MAX(0,AD43+Financials!AE14)</f>
        <v>193.995313750815</v>
      </c>
      <c r="AF37" s="13" t="n">
        <f aca="false">MAX(0,AE43+Financials!AF14)</f>
        <v>209.62176949971</v>
      </c>
      <c r="AG37" s="13" t="n">
        <f aca="false">MAX(0,AF43+Financials!AG14)</f>
        <v>226.62262705306</v>
      </c>
      <c r="AH37" s="13" t="n">
        <f aca="false">MAX(0,AG43+Financials!AH14)</f>
        <v>244.982164443647</v>
      </c>
      <c r="AI37" s="13" t="n">
        <f aca="false">MAX(0,AH43+Financials!AI14)</f>
        <v>264.941846286811</v>
      </c>
      <c r="AJ37" s="13" t="n">
        <f aca="false">MAX(0,AI43+Financials!AJ14)</f>
        <v>286.351759818062</v>
      </c>
      <c r="AK37" s="13" t="n">
        <f aca="false">MAX(0,AJ43+Financials!AK14)</f>
        <v>309.456717093211</v>
      </c>
      <c r="AL37" s="13" t="n">
        <f aca="false">MAX(0,AK43+Financials!AL14)</f>
        <v>332.157465415547</v>
      </c>
      <c r="AM37" s="13" t="n">
        <f aca="false">MAX(0,AL43+Financials!AM14)</f>
        <v>358.672780629335</v>
      </c>
      <c r="AN37" s="13" t="n">
        <f aca="false">MAX(0,AM43+Financials!AN14)</f>
        <v>386.64148740812</v>
      </c>
      <c r="AO37" s="13" t="n">
        <f aca="false">MAX(0,AN43+Financials!AO14)</f>
        <v>390.001024695826</v>
      </c>
      <c r="AP37" s="13" t="n">
        <f aca="false">MAX(0,AO43+Financials!AP14)</f>
        <v>375.340851684198</v>
      </c>
      <c r="AQ37" s="13" t="n">
        <f aca="false">MAX(0,AP43+Financials!AQ14)</f>
        <v>360.046889720482</v>
      </c>
      <c r="AR37" s="13" t="n">
        <f aca="false">MAX(0,AQ43+Financials!AR14)</f>
        <v>345.276287555569</v>
      </c>
      <c r="AS37" s="13" t="n">
        <f aca="false">MAX(0,AR43+Financials!AS14)</f>
        <v>330.004748365032</v>
      </c>
      <c r="AT37" s="13" t="n">
        <f aca="false">MAX(0,AS43+Financials!AT14)</f>
        <v>303.99619852427</v>
      </c>
      <c r="AU37" s="13" t="n">
        <f aca="false">MAX(0,AT43+Financials!AU14)</f>
        <v>282.86978170623</v>
      </c>
      <c r="AV37" s="13" t="n">
        <f aca="false">MAX(0,AU43+Financials!AV14)</f>
        <v>266.53696682323</v>
      </c>
      <c r="AW37" s="13" t="n">
        <f aca="false">MAX(0,AV43+Financials!AW14)</f>
        <v>249.711299462038</v>
      </c>
      <c r="AX37" s="13" t="n">
        <f aca="false">MAX(0,AW43+Financials!AX14)</f>
        <v>233.484042080092</v>
      </c>
      <c r="AY37" s="13" t="n">
        <f aca="false">MAX(0,AX43+Financials!AY14)</f>
        <v>216.491250256973</v>
      </c>
      <c r="AZ37" s="13" t="n">
        <f aca="false">MAX(0,AY43+Financials!AZ14)</f>
        <v>200.144080852157</v>
      </c>
      <c r="BA37" s="13" t="n">
        <f aca="false">MAX(0,AZ43+Financials!BA14)</f>
        <v>183.178641966337</v>
      </c>
      <c r="BB37" s="13" t="n">
        <f aca="false">MAX(0,BA43+Financials!BB14)</f>
        <v>164.717573274524</v>
      </c>
      <c r="BC37" s="13" t="n">
        <f aca="false">MAX(0,BB43+Financials!BC14)</f>
        <v>147.788835267649</v>
      </c>
      <c r="BD37" s="13" t="n">
        <f aca="false">MAX(0,BC43+Financials!BD14)</f>
        <v>134.432058417767</v>
      </c>
      <c r="BE37" s="13" t="n">
        <f aca="false">MAX(0,BD43+Financials!BE14)</f>
        <v>127.117988219032</v>
      </c>
      <c r="BF37" s="13" t="n">
        <f aca="false">MAX(0,BE43+Financials!BF14)</f>
        <v>120.43532334828</v>
      </c>
      <c r="BG37" s="13" t="n">
        <f aca="false">MAX(0,BF43+Financials!BG14)</f>
        <v>113.13310022417</v>
      </c>
      <c r="BH37" s="13" t="n">
        <f aca="false">MAX(0,BG43+Financials!BH14)</f>
        <v>106.546285573845</v>
      </c>
      <c r="BI37" s="13" t="n">
        <f aca="false">MAX(0,BH43+Financials!BI14)</f>
        <v>99.3227916877497</v>
      </c>
      <c r="BJ37" s="13" t="n">
        <f aca="false">MAX(0,BI43+Financials!BJ14)</f>
        <v>78.9704205185729</v>
      </c>
      <c r="BK37" s="13" t="n">
        <f aca="false">MAX(0,BJ43+Financials!BK14)</f>
        <v>64.7355657008613</v>
      </c>
      <c r="BL37" s="13" t="n">
        <f aca="false">MAX(0,BK43+Financials!BL14)</f>
        <v>56.5289521842478</v>
      </c>
      <c r="BM37" s="13" t="n">
        <f aca="false">MAX(0,BL43+Financials!BM14)</f>
        <v>21.0219290455456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25.218021819478</v>
      </c>
      <c r="AO38" s="13" t="n">
        <f aca="false">AO24*MIN(AO31-AO34-AO35,AO37)</f>
        <v>44.0200205544118</v>
      </c>
      <c r="AP38" s="13" t="n">
        <f aca="false">AP24*MIN(AP31-AP34-AP35,AP37)</f>
        <v>44.8204245140213</v>
      </c>
      <c r="AQ38" s="13" t="n">
        <f aca="false">AQ24*MIN(AQ31-AQ34-AQ35,AQ37)</f>
        <v>44.5189171785965</v>
      </c>
      <c r="AR38" s="13" t="n">
        <f aca="false">AR24*MIN(AR31-AR34-AR35,AR37)</f>
        <v>45.3376249009307</v>
      </c>
      <c r="AS38" s="13" t="n">
        <f aca="false">AS24*MIN(AS31-AS34-AS35,AS37)</f>
        <v>45.1212005642981</v>
      </c>
      <c r="AT38" s="13" t="n">
        <f aca="false">AT24*MIN(AT31-AT34-AT35,AT37)</f>
        <v>51.5155681585154</v>
      </c>
      <c r="AU38" s="13" t="n">
        <f aca="false">AU24*MIN(AU31-AU34-AU35,AU37)</f>
        <v>47.2556177917082</v>
      </c>
      <c r="AV38" s="13" t="n">
        <f aca="false">AV24*MIN(AV31-AV34-AV35,AV37)</f>
        <v>48.0580864268865</v>
      </c>
      <c r="AW38" s="13" t="n">
        <f aca="false">AW24*MIN(AW31-AW34-AW35,AW37)</f>
        <v>47.8808578465371</v>
      </c>
      <c r="AX38" s="13" t="n">
        <f aca="false">AX24*MIN(AX31-AX34-AX35,AX37)</f>
        <v>48.8727368070542</v>
      </c>
      <c r="AY38" s="13" t="n">
        <f aca="false">AY24*MIN(AY31-AY34-AY35,AY37)</f>
        <v>48.5797068987556</v>
      </c>
      <c r="AZ38" s="13" t="n">
        <f aca="false">AZ24*MIN(AZ31-AZ34-AZ35,AZ37)</f>
        <v>49.559509536746</v>
      </c>
      <c r="BA38" s="13" t="n">
        <f aca="false">BA24*MIN(BA31-BA34-BA35,BA37)</f>
        <v>48.8510082603366</v>
      </c>
      <c r="BB38" s="13" t="n">
        <f aca="false">BB24*MIN(BB31-BB34-BB35,BB37)</f>
        <v>50.2449569629998</v>
      </c>
      <c r="BC38" s="13" t="n">
        <f aca="false">BC24*MIN(BC31-BC34-BC35,BC37)</f>
        <v>47.0327303148476</v>
      </c>
      <c r="BD38" s="13" t="n">
        <f aca="false">BD24*MIN(BD31-BD34-BD35,BD37)</f>
        <v>41.3901923646165</v>
      </c>
      <c r="BE38" s="13" t="n">
        <f aca="false">BE24*MIN(BE31-BE34-BE35,BE37)</f>
        <v>41.1460929436697</v>
      </c>
      <c r="BF38" s="13" t="n">
        <f aca="false">BF24*MIN(BF31-BF34-BF35,BF37)</f>
        <v>42.1896158932824</v>
      </c>
      <c r="BG38" s="13" t="n">
        <f aca="false">BG24*MIN(BG31-BG34-BG35,BG37)</f>
        <v>41.8895409472226</v>
      </c>
      <c r="BH38" s="13" t="n">
        <f aca="false">BH24*MIN(BH31-BH34-BH35,BH37)</f>
        <v>42.9596036918532</v>
      </c>
      <c r="BI38" s="13" t="n">
        <f aca="false">BI24*MIN(BI31-BI34-BI35,BI37)</f>
        <v>42.8641602859086</v>
      </c>
      <c r="BJ38" s="13" t="n">
        <f aca="false">BJ24*MIN(BJ31-BJ34-BJ35,BJ37)</f>
        <v>50.3553792495772</v>
      </c>
      <c r="BK38" s="13" t="n">
        <f aca="false">BK24*MIN(BK31-BK34-BK35,BK37)</f>
        <v>45.3117911223217</v>
      </c>
      <c r="BL38" s="13" t="n">
        <f aca="false">BL24*MIN(BL31-BL34-BL35,BL37)</f>
        <v>47.2269186293631</v>
      </c>
      <c r="BM38" s="13" t="n">
        <f aca="false">BM24*MIN(BM31-BM34-BM35,BM37)</f>
        <v>21.0219290455456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44.3737693626796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44.3737693626796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44.3737693626796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1197.61598207216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25.218021819478</v>
      </c>
      <c r="AO41" s="13" t="n">
        <f aca="false">AO38+AO40</f>
        <v>44.0200205544118</v>
      </c>
      <c r="AP41" s="13" t="n">
        <f aca="false">AP38+AP40</f>
        <v>44.8204245140213</v>
      </c>
      <c r="AQ41" s="13" t="n">
        <f aca="false">AQ38+AQ40</f>
        <v>44.5189171785965</v>
      </c>
      <c r="AR41" s="13" t="n">
        <f aca="false">AR38+AR40</f>
        <v>45.3376249009307</v>
      </c>
      <c r="AS41" s="13" t="n">
        <f aca="false">AS38+AS40</f>
        <v>45.1212005642981</v>
      </c>
      <c r="AT41" s="13" t="n">
        <f aca="false">AT38+AT40</f>
        <v>51.5155681585154</v>
      </c>
      <c r="AU41" s="13" t="n">
        <f aca="false">AU38+AU40</f>
        <v>47.2556177917082</v>
      </c>
      <c r="AV41" s="13" t="n">
        <f aca="false">AV38+AV40</f>
        <v>48.0580864268865</v>
      </c>
      <c r="AW41" s="13" t="n">
        <f aca="false">AW38+AW40</f>
        <v>47.8808578465371</v>
      </c>
      <c r="AX41" s="13" t="n">
        <f aca="false">AX38+AX40</f>
        <v>48.8727368070542</v>
      </c>
      <c r="AY41" s="13" t="n">
        <f aca="false">AY38+AY40</f>
        <v>48.5797068987556</v>
      </c>
      <c r="AZ41" s="13" t="n">
        <f aca="false">AZ38+AZ40</f>
        <v>49.559509536746</v>
      </c>
      <c r="BA41" s="13" t="n">
        <f aca="false">BA38+BA40</f>
        <v>48.8510082603366</v>
      </c>
      <c r="BB41" s="13" t="n">
        <f aca="false">BB38+BB40</f>
        <v>50.2449569629998</v>
      </c>
      <c r="BC41" s="13" t="n">
        <f aca="false">BC38+BC40</f>
        <v>47.0327303148476</v>
      </c>
      <c r="BD41" s="13" t="n">
        <f aca="false">BD38+BD40</f>
        <v>41.3901923646165</v>
      </c>
      <c r="BE41" s="13" t="n">
        <f aca="false">BE38+BE40</f>
        <v>41.1460929436697</v>
      </c>
      <c r="BF41" s="13" t="n">
        <f aca="false">BF38+BF40</f>
        <v>42.1896158932824</v>
      </c>
      <c r="BG41" s="13" t="n">
        <f aca="false">BG38+BG40</f>
        <v>41.8895409472226</v>
      </c>
      <c r="BH41" s="13" t="n">
        <f aca="false">BH38+BH40</f>
        <v>42.9596036918532</v>
      </c>
      <c r="BI41" s="13" t="n">
        <f aca="false">BI38+BI40</f>
        <v>42.8641602859086</v>
      </c>
      <c r="BJ41" s="13" t="n">
        <f aca="false">BJ38+BJ40</f>
        <v>50.3553792495772</v>
      </c>
      <c r="BK41" s="13" t="n">
        <f aca="false">BK38+BK40</f>
        <v>45.3117911223217</v>
      </c>
      <c r="BL41" s="13" t="n">
        <f aca="false">BL38+BL40</f>
        <v>47.2269186293631</v>
      </c>
      <c r="BM41" s="13" t="n">
        <f aca="false">BM38+BM40</f>
        <v>65.3956984082252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9.92117430297742</v>
      </c>
      <c r="P43" s="13" t="n">
        <f aca="false">IF(Time!P20&lt;Time!$F$12,0,O43+Financials!P14-P41)</f>
        <v>17.7949955785585</v>
      </c>
      <c r="Q43" s="13" t="n">
        <f aca="false">IF(Time!Q20&lt;Time!$F$12,0,P43+Financials!Q14-Q41)</f>
        <v>27.17670096169</v>
      </c>
      <c r="R43" s="13" t="n">
        <f aca="false">IF(Time!R20&lt;Time!$F$12,0,Q43+Financials!R14-R41)</f>
        <v>36.8886879327385</v>
      </c>
      <c r="S43" s="13" t="n">
        <f aca="false">IF(Time!S20&lt;Time!$F$12,0,R43+Financials!S14-S41)</f>
        <v>48.229752991066</v>
      </c>
      <c r="T43" s="13" t="n">
        <f aca="false">IF(Time!T20&lt;Time!$F$12,0,S43+Financials!T14-T41)</f>
        <v>60.1325269306604</v>
      </c>
      <c r="U43" s="13" t="n">
        <f aca="false">IF(Time!U20&lt;Time!$F$12,0,T43+Financials!U14-U41)</f>
        <v>73.3895557049083</v>
      </c>
      <c r="V43" s="13" t="n">
        <f aca="false">IF(Time!V20&lt;Time!$F$12,0,U43+Financials!V14-V41)</f>
        <v>85.0548563464022</v>
      </c>
      <c r="W43" s="13" t="n">
        <f aca="false">IF(Time!W20&lt;Time!$F$12,0,V43+Financials!W14-W41)</f>
        <v>100.702213363449</v>
      </c>
      <c r="X43" s="13" t="n">
        <f aca="false">IF(Time!X20&lt;Time!$F$12,0,W43+Financials!X14-X41)</f>
        <v>117.355597423627</v>
      </c>
      <c r="Y43" s="13" t="n">
        <f aca="false">IF(Time!Y20&lt;Time!$F$12,0,X43+Financials!Y14-Y41)</f>
        <v>131.928613362186</v>
      </c>
      <c r="Z43" s="13" t="n">
        <f aca="false">IF(Time!Z20&lt;Time!$F$12,0,Y43+Financials!Z14-Z41)</f>
        <v>141.139241984404</v>
      </c>
      <c r="AA43" s="13" t="n">
        <f aca="false">IF(Time!AA20&lt;Time!$F$12,0,Z43+Financials!AA14-AA41)</f>
        <v>151.446227794848</v>
      </c>
      <c r="AB43" s="13" t="n">
        <f aca="false">IF(Time!AB20&lt;Time!$F$12,0,AA43+Financials!AB14-AB41)</f>
        <v>162.653370626005</v>
      </c>
      <c r="AC43" s="13" t="n">
        <f aca="false">IF(Time!AC20&lt;Time!$F$12,0,AB43+Financials!AC14-AC41)</f>
        <v>174.888668334065</v>
      </c>
      <c r="AD43" s="13" t="n">
        <f aca="false">IF(Time!AD20&lt;Time!$F$12,0,AC43+Financials!AD14-AD41)</f>
        <v>179.591833869429</v>
      </c>
      <c r="AE43" s="13" t="n">
        <f aca="false">IF(Time!AE20&lt;Time!$F$12,0,AD43+Financials!AE14-AE41)</f>
        <v>193.995313750815</v>
      </c>
      <c r="AF43" s="13" t="n">
        <f aca="false">IF(Time!AF20&lt;Time!$F$12,0,AE43+Financials!AF14-AF41)</f>
        <v>209.62176949971</v>
      </c>
      <c r="AG43" s="13" t="n">
        <f aca="false">IF(Time!AG20&lt;Time!$F$12,0,AF43+Financials!AG14-AG41)</f>
        <v>226.62262705306</v>
      </c>
      <c r="AH43" s="13" t="n">
        <f aca="false">IF(Time!AH20&lt;Time!$F$12,0,AG43+Financials!AH14-AH41)</f>
        <v>244.982164443647</v>
      </c>
      <c r="AI43" s="13" t="n">
        <f aca="false">IF(Time!AI20&lt;Time!$F$12,0,AH43+Financials!AI14-AI41)</f>
        <v>264.941846286811</v>
      </c>
      <c r="AJ43" s="13" t="n">
        <f aca="false">IF(Time!AJ20&lt;Time!$F$12,0,AI43+Financials!AJ14-AJ41)</f>
        <v>286.351759818062</v>
      </c>
      <c r="AK43" s="13" t="n">
        <f aca="false">IF(Time!AK20&lt;Time!$F$12,0,AJ43+Financials!AK14-AK41)</f>
        <v>309.456717093211</v>
      </c>
      <c r="AL43" s="13" t="n">
        <f aca="false">IF(Time!AL20&lt;Time!$F$12,0,AK43+Financials!AL14-AL41)</f>
        <v>332.157465415547</v>
      </c>
      <c r="AM43" s="13" t="n">
        <f aca="false">IF(Time!AM20&lt;Time!$F$12,0,AL43+Financials!AM14-AM41)</f>
        <v>358.672780629335</v>
      </c>
      <c r="AN43" s="13" t="n">
        <f aca="false">IF(Time!AN20&lt;Time!$F$12,0,AM43+Financials!AN14-AN41)</f>
        <v>361.423465588642</v>
      </c>
      <c r="AO43" s="13" t="n">
        <f aca="false">IF(Time!AO20&lt;Time!$F$12,0,AN43+Financials!AO14-AO41)</f>
        <v>345.981004141414</v>
      </c>
      <c r="AP43" s="13" t="n">
        <f aca="false">IF(Time!AP20&lt;Time!$F$12,0,AO43+Financials!AP14-AP41)</f>
        <v>330.520427170177</v>
      </c>
      <c r="AQ43" s="13" t="n">
        <f aca="false">IF(Time!AQ20&lt;Time!$F$12,0,AP43+Financials!AQ14-AQ41)</f>
        <v>315.527972541886</v>
      </c>
      <c r="AR43" s="13" t="n">
        <f aca="false">IF(Time!AR20&lt;Time!$F$12,0,AQ43+Financials!AR14-AR41)</f>
        <v>299.938662654638</v>
      </c>
      <c r="AS43" s="13" t="n">
        <f aca="false">IF(Time!AS20&lt;Time!$F$12,0,AR43+Financials!AS14-AS41)</f>
        <v>284.883547800734</v>
      </c>
      <c r="AT43" s="13" t="n">
        <f aca="false">IF(Time!AT20&lt;Time!$F$12,0,AS43+Financials!AT14-AT41)</f>
        <v>252.480630365755</v>
      </c>
      <c r="AU43" s="13" t="n">
        <f aca="false">IF(Time!AU20&lt;Time!$F$12,0,AT43+Financials!AU14-AU41)</f>
        <v>235.614163914522</v>
      </c>
      <c r="AV43" s="13" t="n">
        <f aca="false">IF(Time!AV20&lt;Time!$F$12,0,AU43+Financials!AV14-AV41)</f>
        <v>218.478880396344</v>
      </c>
      <c r="AW43" s="13" t="n">
        <f aca="false">IF(Time!AW20&lt;Time!$F$12,0,AV43+Financials!AW14-AW41)</f>
        <v>201.830441615501</v>
      </c>
      <c r="AX43" s="13" t="n">
        <f aca="false">IF(Time!AX20&lt;Time!$F$12,0,AW43+Financials!AX14-AX41)</f>
        <v>184.611305273038</v>
      </c>
      <c r="AY43" s="13" t="n">
        <f aca="false">IF(Time!AY20&lt;Time!$F$12,0,AX43+Financials!AY14-AY41)</f>
        <v>167.911543358217</v>
      </c>
      <c r="AZ43" s="13" t="n">
        <f aca="false">IF(Time!AZ20&lt;Time!$F$12,0,AY43+Financials!AZ14-AZ41)</f>
        <v>150.58457131541</v>
      </c>
      <c r="BA43" s="13" t="n">
        <f aca="false">IF(Time!BA20&lt;Time!$F$12,0,AZ43+Financials!BA14-BA41)</f>
        <v>134.327633706001</v>
      </c>
      <c r="BB43" s="13" t="n">
        <f aca="false">IF(Time!BB20&lt;Time!$F$12,0,BA43+Financials!BB14-BB41)</f>
        <v>114.472616311524</v>
      </c>
      <c r="BC43" s="13" t="n">
        <f aca="false">IF(Time!BC20&lt;Time!$F$12,0,BB43+Financials!BC14-BC41)</f>
        <v>100.756104952802</v>
      </c>
      <c r="BD43" s="13" t="n">
        <f aca="false">IF(Time!BD20&lt;Time!$F$12,0,BC43+Financials!BD14-BD41)</f>
        <v>93.0418660531506</v>
      </c>
      <c r="BE43" s="13" t="n">
        <f aca="false">IF(Time!BE20&lt;Time!$F$12,0,BD43+Financials!BE14-BE41)</f>
        <v>85.9718952753619</v>
      </c>
      <c r="BF43" s="13" t="n">
        <f aca="false">IF(Time!BF20&lt;Time!$F$12,0,BE43+Financials!BF14-BF41)</f>
        <v>78.2457074549971</v>
      </c>
      <c r="BG43" s="13" t="n">
        <f aca="false">IF(Time!BG20&lt;Time!$F$12,0,BF43+Financials!BG14-BG41)</f>
        <v>71.243559276947</v>
      </c>
      <c r="BH43" s="13" t="n">
        <f aca="false">IF(Time!BH20&lt;Time!$F$12,0,BG43+Financials!BH14-BH41)</f>
        <v>63.5866818819923</v>
      </c>
      <c r="BI43" s="13" t="n">
        <f aca="false">IF(Time!BI20&lt;Time!$F$12,0,BH43+Financials!BI14-BI41)</f>
        <v>56.4586314018411</v>
      </c>
      <c r="BJ43" s="13" t="n">
        <f aca="false">IF(Time!BJ20&lt;Time!$F$12,0,BI43+Financials!BJ14-BJ41)</f>
        <v>28.6150412689956</v>
      </c>
      <c r="BK43" s="13" t="n">
        <f aca="false">IF(Time!BK20&lt;Time!$F$12,0,BJ43+Financials!BK14-BK41)</f>
        <v>19.4237745785396</v>
      </c>
      <c r="BL43" s="13" t="n">
        <f aca="false">IF(Time!BL20&lt;Time!$F$12,0,BK43+Financials!BL14-BL41)</f>
        <v>9.30203355488466</v>
      </c>
      <c r="BM43" s="13" t="n">
        <f aca="false">IF(Time!BM20&lt;Time!$F$12,0,BL43+Financials!BM14-BM41)</f>
        <v>-44.3737693626796</v>
      </c>
      <c r="BN43" s="13" t="n">
        <f aca="false">IF(Time!BN20&lt;Time!$F$12,0,BM43+Financials!BN14-BN41)</f>
        <v>-44.3737693626796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1565.31464315458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15.4654785508993</v>
      </c>
      <c r="Q44" s="13" t="n">
        <f aca="false">Q34+Q35+Q41</f>
        <v>13.1254137792471</v>
      </c>
      <c r="R44" s="13" t="n">
        <f aca="false">R34+R35+R41</f>
        <v>13.962270480687</v>
      </c>
      <c r="S44" s="13" t="n">
        <f aca="false">S34+S35+S41</f>
        <v>13.3614899710111</v>
      </c>
      <c r="T44" s="13" t="n">
        <f aca="false">T34+T35+T41</f>
        <v>14.224177824416</v>
      </c>
      <c r="U44" s="13" t="n">
        <f aca="false">U34+U35+U41</f>
        <v>13.3391745160271</v>
      </c>
      <c r="V44" s="13" t="n">
        <f aca="false">V34+V35+V41</f>
        <v>14.6199608159099</v>
      </c>
      <c r="W44" s="13" t="n">
        <f aca="false">W34+W35+W41</f>
        <v>15.4592654984149</v>
      </c>
      <c r="X44" s="13" t="n">
        <f aca="false">X34+X35+X41</f>
        <v>14.5803131290228</v>
      </c>
      <c r="Y44" s="13" t="n">
        <f aca="false">Y34+Y35+Y41</f>
        <v>13.870160491092</v>
      </c>
      <c r="Z44" s="13" t="n">
        <f aca="false">Z34+Z35+Z41</f>
        <v>14.7742571249094</v>
      </c>
      <c r="AA44" s="13" t="n">
        <f aca="false">AA34+AA35+AA41</f>
        <v>6.99200277913257</v>
      </c>
      <c r="AB44" s="13" t="n">
        <f aca="false">AB34+AB35+AB41</f>
        <v>8.24276877155907</v>
      </c>
      <c r="AC44" s="13" t="n">
        <f aca="false">AC34+AC35+AC41</f>
        <v>7.96810019239122</v>
      </c>
      <c r="AD44" s="13" t="n">
        <f aca="false">AD34+AD35+AD41</f>
        <v>9.63400864388021</v>
      </c>
      <c r="AE44" s="13" t="n">
        <f aca="false">AE34+AE35+AE41</f>
        <v>10.1943109887275</v>
      </c>
      <c r="AF44" s="13" t="n">
        <f aca="false">AF34+AF35+AF41</f>
        <v>11.3392165451232</v>
      </c>
      <c r="AG44" s="13" t="n">
        <f aca="false">AG34+AG35+AG41</f>
        <v>12.0346044094676</v>
      </c>
      <c r="AH44" s="13" t="n">
        <f aca="false">AH34+AH35+AH41</f>
        <v>13.7331568055616</v>
      </c>
      <c r="AI44" s="13" t="n">
        <f aca="false">AI34+AI35+AI41</f>
        <v>14.96323933625</v>
      </c>
      <c r="AJ44" s="13" t="n">
        <f aca="false">AJ34+AJ35+AJ41</f>
        <v>29.5422078320988</v>
      </c>
      <c r="AK44" s="13" t="n">
        <f aca="false">AK34+AK35+AK41</f>
        <v>33.1232902339658</v>
      </c>
      <c r="AL44" s="13" t="n">
        <f aca="false">AL34+AL35+AL41</f>
        <v>25.390013463231</v>
      </c>
      <c r="AM44" s="13" t="n">
        <f aca="false">AM34+AM35+AM41</f>
        <v>27.402927322578</v>
      </c>
      <c r="AN44" s="13" t="n">
        <f aca="false">AN34+AN35+AN41</f>
        <v>25.5748733962924</v>
      </c>
      <c r="AO44" s="13" t="n">
        <f aca="false">AO34+AO35+AO41</f>
        <v>44.0200205544118</v>
      </c>
      <c r="AP44" s="13" t="n">
        <f aca="false">AP34+AP35+AP41</f>
        <v>44.8204245140213</v>
      </c>
      <c r="AQ44" s="13" t="n">
        <f aca="false">AQ34+AQ35+AQ41</f>
        <v>44.5189171785965</v>
      </c>
      <c r="AR44" s="13" t="n">
        <f aca="false">AR34+AR35+AR41</f>
        <v>45.3376249009307</v>
      </c>
      <c r="AS44" s="13" t="n">
        <f aca="false">AS34+AS35+AS41</f>
        <v>45.1212005642981</v>
      </c>
      <c r="AT44" s="13" t="n">
        <f aca="false">AT34+AT35+AT41</f>
        <v>51.5155681585154</v>
      </c>
      <c r="AU44" s="13" t="n">
        <f aca="false">AU34+AU35+AU41</f>
        <v>47.2556177917082</v>
      </c>
      <c r="AV44" s="13" t="n">
        <f aca="false">AV34+AV35+AV41</f>
        <v>48.0580864268865</v>
      </c>
      <c r="AW44" s="13" t="n">
        <f aca="false">AW34+AW35+AW41</f>
        <v>47.8808578465371</v>
      </c>
      <c r="AX44" s="13" t="n">
        <f aca="false">AX34+AX35+AX41</f>
        <v>48.8727368070542</v>
      </c>
      <c r="AY44" s="13" t="n">
        <f aca="false">AY34+AY35+AY41</f>
        <v>48.5797068987556</v>
      </c>
      <c r="AZ44" s="13" t="n">
        <f aca="false">AZ34+AZ35+AZ41</f>
        <v>49.559509536746</v>
      </c>
      <c r="BA44" s="13" t="n">
        <f aca="false">BA34+BA35+BA41</f>
        <v>48.8510082603366</v>
      </c>
      <c r="BB44" s="13" t="n">
        <f aca="false">BB34+BB35+BB41</f>
        <v>50.2449569629998</v>
      </c>
      <c r="BC44" s="13" t="n">
        <f aca="false">BC34+BC35+BC41</f>
        <v>47.0327303148476</v>
      </c>
      <c r="BD44" s="13" t="n">
        <f aca="false">BD34+BD35+BD41</f>
        <v>41.3901923646165</v>
      </c>
      <c r="BE44" s="13" t="n">
        <f aca="false">BE34+BE35+BE41</f>
        <v>41.1460929436697</v>
      </c>
      <c r="BF44" s="13" t="n">
        <f aca="false">BF34+BF35+BF41</f>
        <v>42.1896158932824</v>
      </c>
      <c r="BG44" s="13" t="n">
        <f aca="false">BG34+BG35+BG41</f>
        <v>41.8895409472226</v>
      </c>
      <c r="BH44" s="13" t="n">
        <f aca="false">BH34+BH35+BH41</f>
        <v>42.9596036918532</v>
      </c>
      <c r="BI44" s="13" t="n">
        <f aca="false">BI34+BI35+BI41</f>
        <v>42.8641602859086</v>
      </c>
      <c r="BJ44" s="13" t="n">
        <f aca="false">BJ34+BJ35+BJ41</f>
        <v>50.3553792495772</v>
      </c>
      <c r="BK44" s="13" t="n">
        <f aca="false">BK34+BK35+BK41</f>
        <v>45.3117911223217</v>
      </c>
      <c r="BL44" s="13" t="n">
        <f aca="false">BL34+BL35+BL41</f>
        <v>47.2269186293631</v>
      </c>
      <c r="BM44" s="13" t="n">
        <f aca="false">BM34+BM35+BM41</f>
        <v>65.3956984082252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836.829151841665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5.57886101227776</v>
      </c>
      <c r="P8" s="13" t="n">
        <f aca="false">Funding!$F$76/Time!$F$9*Time!P30</f>
        <v>16.7365830368333</v>
      </c>
      <c r="Q8" s="13" t="n">
        <f aca="false">Funding!$F$76/Time!$F$9*Time!Q30</f>
        <v>16.7365830368333</v>
      </c>
      <c r="R8" s="13" t="n">
        <f aca="false">Funding!$F$76/Time!$F$9*Time!R30</f>
        <v>16.7365830368333</v>
      </c>
      <c r="S8" s="13" t="n">
        <f aca="false">Funding!$F$76/Time!$F$9*Time!S30</f>
        <v>16.7365830368333</v>
      </c>
      <c r="T8" s="13" t="n">
        <f aca="false">Funding!$F$76/Time!$F$9*Time!T30</f>
        <v>16.7365830368333</v>
      </c>
      <c r="U8" s="13" t="n">
        <f aca="false">Funding!$F$76/Time!$F$9*Time!U30</f>
        <v>16.7365830368333</v>
      </c>
      <c r="V8" s="13" t="n">
        <f aca="false">Funding!$F$76/Time!$F$9*Time!V30</f>
        <v>16.7365830368333</v>
      </c>
      <c r="W8" s="13" t="n">
        <f aca="false">Funding!$F$76/Time!$F$9*Time!W30</f>
        <v>16.7365830368333</v>
      </c>
      <c r="X8" s="13" t="n">
        <f aca="false">Funding!$F$76/Time!$F$9*Time!X30</f>
        <v>16.7365830368333</v>
      </c>
      <c r="Y8" s="13" t="n">
        <f aca="false">Funding!$F$76/Time!$F$9*Time!Y30</f>
        <v>16.7365830368333</v>
      </c>
      <c r="Z8" s="13" t="n">
        <f aca="false">Funding!$F$76/Time!$F$9*Time!Z30</f>
        <v>16.7365830368333</v>
      </c>
      <c r="AA8" s="13" t="n">
        <f aca="false">Funding!$F$76/Time!$F$9*Time!AA30</f>
        <v>16.7365830368333</v>
      </c>
      <c r="AB8" s="13" t="n">
        <f aca="false">Funding!$F$76/Time!$F$9*Time!AB30</f>
        <v>16.7365830368333</v>
      </c>
      <c r="AC8" s="13" t="n">
        <f aca="false">Funding!$F$76/Time!$F$9*Time!AC30</f>
        <v>16.7365830368333</v>
      </c>
      <c r="AD8" s="13" t="n">
        <f aca="false">Funding!$F$76/Time!$F$9*Time!AD30</f>
        <v>16.7365830368333</v>
      </c>
      <c r="AE8" s="13" t="n">
        <f aca="false">Funding!$F$76/Time!$F$9*Time!AE30</f>
        <v>16.7365830368333</v>
      </c>
      <c r="AF8" s="13" t="n">
        <f aca="false">Funding!$F$76/Time!$F$9*Time!AF30</f>
        <v>16.7365830368333</v>
      </c>
      <c r="AG8" s="13" t="n">
        <f aca="false">Funding!$F$76/Time!$F$9*Time!AG30</f>
        <v>16.7365830368333</v>
      </c>
      <c r="AH8" s="13" t="n">
        <f aca="false">Funding!$F$76/Time!$F$9*Time!AH30</f>
        <v>16.7365830368333</v>
      </c>
      <c r="AI8" s="13" t="n">
        <f aca="false">Funding!$F$76/Time!$F$9*Time!AI30</f>
        <v>16.7365830368333</v>
      </c>
      <c r="AJ8" s="13" t="n">
        <f aca="false">Funding!$F$76/Time!$F$9*Time!AJ30</f>
        <v>16.7365830368333</v>
      </c>
      <c r="AK8" s="13" t="n">
        <f aca="false">Funding!$F$76/Time!$F$9*Time!AK30</f>
        <v>16.7365830368333</v>
      </c>
      <c r="AL8" s="13" t="n">
        <f aca="false">Funding!$F$76/Time!$F$9*Time!AL30</f>
        <v>16.7365830368333</v>
      </c>
      <c r="AM8" s="13" t="n">
        <f aca="false">Funding!$F$76/Time!$F$9*Time!AM30</f>
        <v>16.7365830368333</v>
      </c>
      <c r="AN8" s="13" t="n">
        <f aca="false">Funding!$F$76/Time!$F$9*Time!AN30</f>
        <v>16.7365830368333</v>
      </c>
      <c r="AO8" s="13" t="n">
        <f aca="false">Funding!$F$76/Time!$F$9*Time!AO30</f>
        <v>16.7365830368333</v>
      </c>
      <c r="AP8" s="13" t="n">
        <f aca="false">Funding!$F$76/Time!$F$9*Time!AP30</f>
        <v>16.7365830368333</v>
      </c>
      <c r="AQ8" s="13" t="n">
        <f aca="false">Funding!$F$76/Time!$F$9*Time!AQ30</f>
        <v>16.7365830368333</v>
      </c>
      <c r="AR8" s="13" t="n">
        <f aca="false">Funding!$F$76/Time!$F$9*Time!AR30</f>
        <v>16.7365830368333</v>
      </c>
      <c r="AS8" s="13" t="n">
        <f aca="false">Funding!$F$76/Time!$F$9*Time!AS30</f>
        <v>16.7365830368333</v>
      </c>
      <c r="AT8" s="13" t="n">
        <f aca="false">Funding!$F$76/Time!$F$9*Time!AT30</f>
        <v>16.7365830368333</v>
      </c>
      <c r="AU8" s="13" t="n">
        <f aca="false">Funding!$F$76/Time!$F$9*Time!AU30</f>
        <v>16.7365830368333</v>
      </c>
      <c r="AV8" s="13" t="n">
        <f aca="false">Funding!$F$76/Time!$F$9*Time!AV30</f>
        <v>16.7365830368333</v>
      </c>
      <c r="AW8" s="13" t="n">
        <f aca="false">Funding!$F$76/Time!$F$9*Time!AW30</f>
        <v>16.7365830368333</v>
      </c>
      <c r="AX8" s="13" t="n">
        <f aca="false">Funding!$F$76/Time!$F$9*Time!AX30</f>
        <v>16.7365830368333</v>
      </c>
      <c r="AY8" s="13" t="n">
        <f aca="false">Funding!$F$76/Time!$F$9*Time!AY30</f>
        <v>16.7365830368333</v>
      </c>
      <c r="AZ8" s="13" t="n">
        <f aca="false">Funding!$F$76/Time!$F$9*Time!AZ30</f>
        <v>16.7365830368333</v>
      </c>
      <c r="BA8" s="13" t="n">
        <f aca="false">Funding!$F$76/Time!$F$9*Time!BA30</f>
        <v>16.7365830368333</v>
      </c>
      <c r="BB8" s="13" t="n">
        <f aca="false">Funding!$F$76/Time!$F$9*Time!BB30</f>
        <v>16.7365830368333</v>
      </c>
      <c r="BC8" s="13" t="n">
        <f aca="false">Funding!$F$76/Time!$F$9*Time!BC30</f>
        <v>16.7365830368333</v>
      </c>
      <c r="BD8" s="13" t="n">
        <f aca="false">Funding!$F$76/Time!$F$9*Time!BD30</f>
        <v>16.7365830368333</v>
      </c>
      <c r="BE8" s="13" t="n">
        <f aca="false">Funding!$F$76/Time!$F$9*Time!BE30</f>
        <v>16.7365830368333</v>
      </c>
      <c r="BF8" s="13" t="n">
        <f aca="false">Funding!$F$76/Time!$F$9*Time!BF30</f>
        <v>16.7365830368333</v>
      </c>
      <c r="BG8" s="13" t="n">
        <f aca="false">Funding!$F$76/Time!$F$9*Time!BG30</f>
        <v>16.7365830368333</v>
      </c>
      <c r="BH8" s="13" t="n">
        <f aca="false">Funding!$F$76/Time!$F$9*Time!BH30</f>
        <v>16.7365830368333</v>
      </c>
      <c r="BI8" s="13" t="n">
        <f aca="false">Funding!$F$76/Time!$F$9*Time!BI30</f>
        <v>16.7365830368333</v>
      </c>
      <c r="BJ8" s="13" t="n">
        <f aca="false">Funding!$F$76/Time!$F$9*Time!BJ30</f>
        <v>16.7365830368333</v>
      </c>
      <c r="BK8" s="13" t="n">
        <f aca="false">Funding!$F$76/Time!$F$9*Time!BK30</f>
        <v>16.7365830368333</v>
      </c>
      <c r="BL8" s="13" t="n">
        <f aca="false">Funding!$F$76/Time!$F$9*Time!BL30</f>
        <v>16.7365830368333</v>
      </c>
      <c r="BM8" s="13" t="n">
        <f aca="false">Funding!$F$76/Time!$F$9*Time!BM30</f>
        <v>11.1577220245555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476.426055959334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3.20217513657845</v>
      </c>
      <c r="P9" s="13" t="n">
        <f aca="false">Debt!P112+Debt!P110+Debt!P104-Debt!P103+Tax!P13</f>
        <v>31.5727260127531</v>
      </c>
      <c r="Q9" s="13" t="n">
        <f aca="false">Debt!Q112+Debt!Q110+Debt!Q104-Debt!Q103+Tax!Q13</f>
        <v>30.4018383102386</v>
      </c>
      <c r="R9" s="13" t="n">
        <f aca="false">Debt!R112+Debt!R110+Debt!R104-Debt!R103+Tax!R13</f>
        <v>30.0507635620826</v>
      </c>
      <c r="S9" s="13" t="n">
        <f aca="false">Debt!S112+Debt!S110+Debt!S104-Debt!S103+Tax!S13</f>
        <v>28.8905696226927</v>
      </c>
      <c r="T9" s="13" t="n">
        <f aca="false">Debt!T112+Debt!T110+Debt!T104-Debt!T103+Tax!T13</f>
        <v>28.4460602907583</v>
      </c>
      <c r="U9" s="13" t="n">
        <f aca="false">Debt!U112+Debt!U110+Debt!U104-Debt!U103+Tax!U13</f>
        <v>27.3358687004833</v>
      </c>
      <c r="V9" s="13" t="n">
        <f aca="false">Debt!V112+Debt!V110+Debt!V104-Debt!V103+Tax!V13</f>
        <v>26.6899496907636</v>
      </c>
      <c r="W9" s="13" t="n">
        <f aca="false">Debt!W112+Debt!W110+Debt!W104-Debt!W103+Tax!W13</f>
        <v>25.3836722626834</v>
      </c>
      <c r="X9" s="13" t="n">
        <f aca="false">Debt!X112+Debt!X110+Debt!X104-Debt!X103+Tax!X13</f>
        <v>24.6377087356468</v>
      </c>
      <c r="Y9" s="13" t="n">
        <f aca="false">Debt!Y112+Debt!Y110+Debt!Y104-Debt!Y103+Tax!Y13</f>
        <v>23.8252235080821</v>
      </c>
      <c r="Z9" s="13" t="n">
        <f aca="false">Debt!Z112+Debt!Z110+Debt!Z104-Debt!Z103+Tax!Z13</f>
        <v>23.1031366605624</v>
      </c>
      <c r="AA9" s="13" t="n">
        <f aca="false">Debt!AA112+Debt!AA110+Debt!AA104-Debt!AA103+Tax!AA13</f>
        <v>21.7196022794343</v>
      </c>
      <c r="AB9" s="13" t="n">
        <f aca="false">Debt!AB112+Debt!AB110+Debt!AB104-Debt!AB103+Tax!AB13</f>
        <v>20.8739135392945</v>
      </c>
      <c r="AC9" s="13" t="n">
        <f aca="false">Debt!AC112+Debt!AC110+Debt!AC104-Debt!AC103+Tax!AC13</f>
        <v>19.4537773520248</v>
      </c>
      <c r="AD9" s="13" t="n">
        <f aca="false">Debt!AD112+Debt!AD110+Debt!AD104-Debt!AD103+Tax!AD13</f>
        <v>18.3800931411558</v>
      </c>
      <c r="AE9" s="13" t="n">
        <f aca="false">Debt!AE112+Debt!AE110+Debt!AE104-Debt!AE103+Tax!AE13</f>
        <v>16.725246464449</v>
      </c>
      <c r="AF9" s="13" t="n">
        <f aca="false">Debt!AF112+Debt!AF110+Debt!AF104-Debt!AF103+Tax!AF13</f>
        <v>15.4293721373824</v>
      </c>
      <c r="AG9" s="13" t="n">
        <f aca="false">Debt!AG112+Debt!AG110+Debt!AG104-Debt!AG103+Tax!AG13</f>
        <v>13.822267077683</v>
      </c>
      <c r="AH9" s="13" t="n">
        <f aca="false">Debt!AH112+Debt!AH110+Debt!AH104-Debt!AH103+Tax!AH13</f>
        <v>12.2949047001192</v>
      </c>
      <c r="AI9" s="13" t="n">
        <f aca="false">Debt!AI112+Debt!AI110+Debt!AI104-Debt!AI103+Tax!AI13</f>
        <v>10.3204850960554</v>
      </c>
      <c r="AJ9" s="13" t="n">
        <f aca="false">Debt!AJ112+Debt!AJ110+Debt!AJ104-Debt!AJ103+Tax!AJ13</f>
        <v>8.52970901401217</v>
      </c>
      <c r="AK9" s="13" t="n">
        <f aca="false">Debt!AK112+Debt!AK110+Debt!AK104-Debt!AK103+Tax!AK13</f>
        <v>6.45483673444885</v>
      </c>
      <c r="AL9" s="13" t="n">
        <f aca="false">Debt!AL112+Debt!AL110+Debt!AL104-Debt!AL103+Tax!AL13</f>
        <v>4.54582911823606</v>
      </c>
      <c r="AM9" s="13" t="n">
        <f aca="false">Debt!AM112+Debt!AM110+Debt!AM104-Debt!AM103+Tax!AM13</f>
        <v>2.83003814193449</v>
      </c>
      <c r="AN9" s="13" t="n">
        <f aca="false">Debt!AN112+Debt!AN110+Debt!AN104-Debt!AN103+Tax!AN13</f>
        <v>1.00882553915273</v>
      </c>
      <c r="AO9" s="13" t="n">
        <f aca="false">Debt!AO112+Debt!AO110+Debt!AO104-Debt!AO103+Tax!AO13</f>
        <v>0.497463130625897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836.829151841665</v>
      </c>
      <c r="K10" s="13" t="n">
        <f aca="false">Funding!$F$76-SUM(Tax!$J$10:K$10)</f>
        <v>836.829151841665</v>
      </c>
      <c r="L10" s="13" t="n">
        <f aca="false">Funding!$F$76-SUM(Tax!$J$10:L$10)</f>
        <v>836.829151841665</v>
      </c>
      <c r="M10" s="13" t="n">
        <f aca="false">Funding!$F$76-SUM(Tax!$J$10:M$10)</f>
        <v>836.829151841665</v>
      </c>
      <c r="N10" s="13" t="n">
        <f aca="false">Funding!$F$76-SUM(Tax!$J$10:N$10)</f>
        <v>836.829151841665</v>
      </c>
      <c r="O10" s="13" t="n">
        <f aca="false">Funding!$F$76-SUM(Tax!$J$10:O$10)</f>
        <v>829.29768947509</v>
      </c>
      <c r="P10" s="13" t="n">
        <f aca="false">Funding!$F$76-SUM(Tax!$J$10:P$10)</f>
        <v>806.703302375365</v>
      </c>
      <c r="Q10" s="13" t="n">
        <f aca="false">Funding!$F$76-SUM(Tax!$J$10:Q$10)</f>
        <v>784.10891527564</v>
      </c>
      <c r="R10" s="13" t="n">
        <f aca="false">Funding!$F$76-SUM(Tax!$J$10:R$10)</f>
        <v>761.514528175915</v>
      </c>
      <c r="S10" s="13" t="n">
        <f aca="false">Funding!$F$76-SUM(Tax!$J$10:S$10)</f>
        <v>738.92014107619</v>
      </c>
      <c r="T10" s="13" t="n">
        <f aca="false">Funding!$F$76-SUM(Tax!$J$10:T$10)</f>
        <v>716.325753976465</v>
      </c>
      <c r="U10" s="13" t="n">
        <f aca="false">Funding!$F$76-SUM(Tax!$J$10:U$10)</f>
        <v>693.73136687674</v>
      </c>
      <c r="V10" s="13" t="n">
        <f aca="false">Funding!$F$76-SUM(Tax!$J$10:V$10)</f>
        <v>671.136979777015</v>
      </c>
      <c r="W10" s="13" t="n">
        <f aca="false">Funding!$F$76-SUM(Tax!$J$10:W$10)</f>
        <v>648.54259267729</v>
      </c>
      <c r="X10" s="13" t="n">
        <f aca="false">Funding!$F$76-SUM(Tax!$J$10:X$10)</f>
        <v>625.948205577565</v>
      </c>
      <c r="Y10" s="13" t="n">
        <f aca="false">Funding!$F$76-SUM(Tax!$J$10:Y$10)</f>
        <v>604.190647629682</v>
      </c>
      <c r="Z10" s="13" t="n">
        <f aca="false">Funding!$F$76-SUM(Tax!$J$10:Z$10)</f>
        <v>584.106747985482</v>
      </c>
      <c r="AA10" s="13" t="n">
        <f aca="false">Funding!$F$76-SUM(Tax!$J$10:AA$10)</f>
        <v>564.022848341282</v>
      </c>
      <c r="AB10" s="13" t="n">
        <f aca="false">Funding!$F$76-SUM(Tax!$J$10:AB$10)</f>
        <v>543.938948697082</v>
      </c>
      <c r="AC10" s="13" t="n">
        <f aca="false">Funding!$F$76-SUM(Tax!$J$10:AC$10)</f>
        <v>523.855049052882</v>
      </c>
      <c r="AD10" s="13" t="n">
        <f aca="false">Funding!$F$76-SUM(Tax!$J$10:AD$10)</f>
        <v>503.771149408682</v>
      </c>
      <c r="AE10" s="13" t="n">
        <f aca="false">Funding!$F$76-SUM(Tax!$J$10:AE$10)</f>
        <v>483.687249764482</v>
      </c>
      <c r="AF10" s="13" t="n">
        <f aca="false">Funding!$F$76-SUM(Tax!$J$10:AF$10)</f>
        <v>463.603350120282</v>
      </c>
      <c r="AG10" s="13" t="n">
        <f aca="false">Funding!$F$76-SUM(Tax!$J$10:AG$10)</f>
        <v>443.519450476082</v>
      </c>
      <c r="AH10" s="13" t="n">
        <f aca="false">Funding!$F$76-SUM(Tax!$J$10:AH$10)</f>
        <v>423.435550831882</v>
      </c>
      <c r="AI10" s="13" t="n">
        <f aca="false">Funding!$F$76-SUM(Tax!$J$10:AI$10)</f>
        <v>403.351651187682</v>
      </c>
      <c r="AJ10" s="13" t="n">
        <f aca="false">Funding!$F$76-SUM(Tax!$J$10:AJ$10)</f>
        <v>383.267751543482</v>
      </c>
      <c r="AK10" s="13" t="n">
        <f aca="false">Funding!$F$76-SUM(Tax!$J$10:AK$10)</f>
        <v>363.183851899282</v>
      </c>
      <c r="AL10" s="13" t="n">
        <f aca="false">Funding!$F$76-SUM(Tax!$J$10:AL$10)</f>
        <v>343.099952255082</v>
      </c>
      <c r="AM10" s="13" t="n">
        <f aca="false">Funding!$F$76-SUM(Tax!$J$10:AM$10)</f>
        <v>323.016052610883</v>
      </c>
      <c r="AN10" s="13" t="n">
        <f aca="false">Funding!$F$76-SUM(Tax!$J$10:AN$10)</f>
        <v>302.932152966682</v>
      </c>
      <c r="AO10" s="13" t="n">
        <f aca="false">Funding!$F$76-SUM(Tax!$J$10:AO$10)</f>
        <v>282.848253322483</v>
      </c>
      <c r="AP10" s="13" t="n">
        <f aca="false">Funding!$F$76-SUM(Tax!$J$10:AP$10)</f>
        <v>262.764353678283</v>
      </c>
      <c r="AQ10" s="13" t="n">
        <f aca="false">Funding!$F$76-SUM(Tax!$J$10:AQ$10)</f>
        <v>242.680454034083</v>
      </c>
      <c r="AR10" s="13" t="n">
        <f aca="false">Funding!$F$76-SUM(Tax!$J$10:AR$10)</f>
        <v>222.596554389883</v>
      </c>
      <c r="AS10" s="13" t="n">
        <f aca="false">Funding!$F$76-SUM(Tax!$J$10:AS$10)</f>
        <v>202.512654745683</v>
      </c>
      <c r="AT10" s="13" t="n">
        <f aca="false">Funding!$F$76-SUM(Tax!$J$10:AT$10)</f>
        <v>182.428755101483</v>
      </c>
      <c r="AU10" s="13" t="n">
        <f aca="false">Funding!$F$76-SUM(Tax!$J$10:AU$10)</f>
        <v>162.344855457283</v>
      </c>
      <c r="AV10" s="13" t="n">
        <f aca="false">Funding!$F$76-SUM(Tax!$J$10:AV$10)</f>
        <v>142.260955813083</v>
      </c>
      <c r="AW10" s="13" t="n">
        <f aca="false">Funding!$F$76-SUM(Tax!$J$10:AW$10)</f>
        <v>122.177056168883</v>
      </c>
      <c r="AX10" s="13" t="n">
        <f aca="false">Funding!$F$76-SUM(Tax!$J$10:AX$10)</f>
        <v>102.093156524683</v>
      </c>
      <c r="AY10" s="13" t="n">
        <f aca="false">Funding!$F$76-SUM(Tax!$J$10:AY$10)</f>
        <v>82.009256880483</v>
      </c>
      <c r="AZ10" s="13" t="n">
        <f aca="false">Funding!$F$76-SUM(Tax!$J$10:AZ$10)</f>
        <v>61.9253572362832</v>
      </c>
      <c r="BA10" s="13" t="n">
        <f aca="false">Funding!$F$76-SUM(Tax!$J$10:BA$10)</f>
        <v>41.8414575920832</v>
      </c>
      <c r="BB10" s="13" t="n">
        <f aca="false">Funding!$F$76-SUM(Tax!$J$10:BB$10)</f>
        <v>21.7575579478832</v>
      </c>
      <c r="BC10" s="13" t="n">
        <f aca="false">Funding!$F$76-SUM(Tax!$J$10:BC$10)</f>
        <v>8.08934846780267</v>
      </c>
      <c r="BD10" s="13" t="n">
        <f aca="false">Funding!$F$76-SUM(Tax!$J$10:BD$10)</f>
        <v>7.25251931596097</v>
      </c>
      <c r="BE10" s="13" t="n">
        <f aca="false">Funding!$F$76-SUM(Tax!$J$10:BE$10)</f>
        <v>6.41569016411938</v>
      </c>
      <c r="BF10" s="13" t="n">
        <f aca="false">Funding!$F$76-SUM(Tax!$J$10:BF$10)</f>
        <v>5.57886101227768</v>
      </c>
      <c r="BG10" s="13" t="n">
        <f aca="false">Funding!$F$76-SUM(Tax!$J$10:BG$10)</f>
        <v>4.74203186043599</v>
      </c>
      <c r="BH10" s="13" t="n">
        <f aca="false">Funding!$F$76-SUM(Tax!$J$10:BH$10)</f>
        <v>3.90520270859429</v>
      </c>
      <c r="BI10" s="13" t="n">
        <f aca="false">Funding!$F$76-SUM(Tax!$J$10:BI$10)</f>
        <v>3.0683735567527</v>
      </c>
      <c r="BJ10" s="13" t="n">
        <f aca="false">Funding!$F$76-SUM(Tax!$J$10:BJ$10)</f>
        <v>2.23154440491101</v>
      </c>
      <c r="BK10" s="13" t="n">
        <f aca="false">Funding!$F$76-SUM(Tax!$J$10:BK$10)</f>
        <v>1.39471525306931</v>
      </c>
      <c r="BL10" s="13" t="n">
        <f aca="false">Funding!$F$76-SUM(Tax!$J$10:BL$10)</f>
        <v>0.557886101227723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836.829151841665</v>
      </c>
      <c r="K11" s="13" t="n">
        <f aca="false">Funding!$F$76-SUM($J$8:K$8)</f>
        <v>836.829151841665</v>
      </c>
      <c r="L11" s="13" t="n">
        <f aca="false">Funding!$F$76-SUM($J$8:L$8)</f>
        <v>836.829151841665</v>
      </c>
      <c r="M11" s="13" t="n">
        <f aca="false">Funding!$F$76-SUM($J$8:M$8)</f>
        <v>836.829151841665</v>
      </c>
      <c r="N11" s="13" t="n">
        <f aca="false">Funding!$F$76-SUM($J$8:N$8)</f>
        <v>836.829151841665</v>
      </c>
      <c r="O11" s="13" t="n">
        <f aca="false">Funding!$F$76-SUM($J$8:O$8)</f>
        <v>831.250290829387</v>
      </c>
      <c r="P11" s="13" t="n">
        <f aca="false">Funding!$F$76-SUM($J$8:P$8)</f>
        <v>814.513707792553</v>
      </c>
      <c r="Q11" s="13" t="n">
        <f aca="false">Funding!$F$76-SUM($J$8:Q$8)</f>
        <v>797.77712475572</v>
      </c>
      <c r="R11" s="13" t="n">
        <f aca="false">Funding!$F$76-SUM($J$8:R$8)</f>
        <v>781.040541718887</v>
      </c>
      <c r="S11" s="13" t="n">
        <f aca="false">Funding!$F$76-SUM($J$8:S$8)</f>
        <v>764.303958682054</v>
      </c>
      <c r="T11" s="13" t="n">
        <f aca="false">Funding!$F$76-SUM($J$8:T$8)</f>
        <v>747.56737564522</v>
      </c>
      <c r="U11" s="13" t="n">
        <f aca="false">Funding!$F$76-SUM($J$8:U$8)</f>
        <v>730.830792608387</v>
      </c>
      <c r="V11" s="13" t="n">
        <f aca="false">Funding!$F$76-SUM($J$8:V$8)</f>
        <v>714.094209571554</v>
      </c>
      <c r="W11" s="13" t="n">
        <f aca="false">Funding!$F$76-SUM($J$8:W$8)</f>
        <v>697.35762653472</v>
      </c>
      <c r="X11" s="13" t="n">
        <f aca="false">Funding!$F$76-SUM($J$8:X$8)</f>
        <v>680.621043497887</v>
      </c>
      <c r="Y11" s="13" t="n">
        <f aca="false">Funding!$F$76-SUM($J$8:Y$8)</f>
        <v>663.884460461054</v>
      </c>
      <c r="Z11" s="13" t="n">
        <f aca="false">Funding!$F$76-SUM($J$8:Z$8)</f>
        <v>647.147877424221</v>
      </c>
      <c r="AA11" s="13" t="n">
        <f aca="false">Funding!$F$76-SUM($J$8:AA$8)</f>
        <v>630.411294387387</v>
      </c>
      <c r="AB11" s="13" t="n">
        <f aca="false">Funding!$F$76-SUM($J$8:AB$8)</f>
        <v>613.674711350554</v>
      </c>
      <c r="AC11" s="13" t="n">
        <f aca="false">Funding!$F$76-SUM($J$8:AC$8)</f>
        <v>596.938128313721</v>
      </c>
      <c r="AD11" s="13" t="n">
        <f aca="false">Funding!$F$76-SUM($J$8:AD$8)</f>
        <v>580.201545276887</v>
      </c>
      <c r="AE11" s="13" t="n">
        <f aca="false">Funding!$F$76-SUM($J$8:AE$8)</f>
        <v>563.464962240054</v>
      </c>
      <c r="AF11" s="13" t="n">
        <f aca="false">Funding!$F$76-SUM($J$8:AF$8)</f>
        <v>546.728379203221</v>
      </c>
      <c r="AG11" s="13" t="n">
        <f aca="false">Funding!$F$76-SUM($J$8:AG$8)</f>
        <v>529.991796166388</v>
      </c>
      <c r="AH11" s="13" t="n">
        <f aca="false">Funding!$F$76-SUM($J$8:AH$8)</f>
        <v>513.255213129554</v>
      </c>
      <c r="AI11" s="13" t="n">
        <f aca="false">Funding!$F$76-SUM($J$8:AI$8)</f>
        <v>496.518630092721</v>
      </c>
      <c r="AJ11" s="13" t="n">
        <f aca="false">Funding!$F$76-SUM($J$8:AJ$8)</f>
        <v>479.782047055888</v>
      </c>
      <c r="AK11" s="13" t="n">
        <f aca="false">Funding!$F$76-SUM($J$8:AK$8)</f>
        <v>463.045464019054</v>
      </c>
      <c r="AL11" s="13" t="n">
        <f aca="false">Funding!$F$76-SUM($J$8:AL$8)</f>
        <v>446.308880982221</v>
      </c>
      <c r="AM11" s="13" t="n">
        <f aca="false">Funding!$F$76-SUM($J$8:AM$8)</f>
        <v>429.572297945388</v>
      </c>
      <c r="AN11" s="13" t="n">
        <f aca="false">Funding!$F$76-SUM($J$8:AN$8)</f>
        <v>412.835714908554</v>
      </c>
      <c r="AO11" s="13" t="n">
        <f aca="false">Funding!$F$76-SUM($J$8:AO$8)</f>
        <v>396.099131871721</v>
      </c>
      <c r="AP11" s="13" t="n">
        <f aca="false">Funding!$F$76-SUM($J$8:AP$8)</f>
        <v>379.362548834888</v>
      </c>
      <c r="AQ11" s="13" t="n">
        <f aca="false">Funding!$F$76-SUM($J$8:AQ$8)</f>
        <v>362.625965798055</v>
      </c>
      <c r="AR11" s="13" t="n">
        <f aca="false">Funding!$F$76-SUM($J$8:AR$8)</f>
        <v>345.889382761221</v>
      </c>
      <c r="AS11" s="13" t="n">
        <f aca="false">Funding!$F$76-SUM($J$8:AS$8)</f>
        <v>329.152799724388</v>
      </c>
      <c r="AT11" s="13" t="n">
        <f aca="false">Funding!$F$76-SUM($J$8:AT$8)</f>
        <v>312.416216687555</v>
      </c>
      <c r="AU11" s="13" t="n">
        <f aca="false">Funding!$F$76-SUM($J$8:AU$8)</f>
        <v>295.679633650721</v>
      </c>
      <c r="AV11" s="13" t="n">
        <f aca="false">Funding!$F$76-SUM($J$8:AV$8)</f>
        <v>278.943050613888</v>
      </c>
      <c r="AW11" s="13" t="n">
        <f aca="false">Funding!$F$76-SUM($J$8:AW$8)</f>
        <v>262.206467577055</v>
      </c>
      <c r="AX11" s="13" t="n">
        <f aca="false">Funding!$F$76-SUM($J$8:AX$8)</f>
        <v>245.469884540222</v>
      </c>
      <c r="AY11" s="13" t="n">
        <f aca="false">Funding!$F$76-SUM($J$8:AY$8)</f>
        <v>228.733301503388</v>
      </c>
      <c r="AZ11" s="13" t="n">
        <f aca="false">Funding!$F$76-SUM($J$8:AZ$8)</f>
        <v>211.996718466555</v>
      </c>
      <c r="BA11" s="13" t="n">
        <f aca="false">Funding!$F$76-SUM($J$8:BA$8)</f>
        <v>195.260135429722</v>
      </c>
      <c r="BB11" s="13" t="n">
        <f aca="false">Funding!$F$76-SUM($J$8:BB$8)</f>
        <v>178.523552392888</v>
      </c>
      <c r="BC11" s="13" t="n">
        <f aca="false">Funding!$F$76-SUM($J$8:BC$8)</f>
        <v>161.786969356055</v>
      </c>
      <c r="BD11" s="13" t="n">
        <f aca="false">Funding!$F$76-SUM($J$8:BD$8)</f>
        <v>145.050386319222</v>
      </c>
      <c r="BE11" s="13" t="n">
        <f aca="false">Funding!$F$76-SUM($J$8:BE$8)</f>
        <v>128.313803282388</v>
      </c>
      <c r="BF11" s="13" t="n">
        <f aca="false">Funding!$F$76-SUM($J$8:BF$8)</f>
        <v>111.577220245555</v>
      </c>
      <c r="BG11" s="13" t="n">
        <f aca="false">Funding!$F$76-SUM($J$8:BG$8)</f>
        <v>94.8406372087219</v>
      </c>
      <c r="BH11" s="13" t="n">
        <f aca="false">Funding!$F$76-SUM($J$8:BH$8)</f>
        <v>78.1040541718886</v>
      </c>
      <c r="BI11" s="13" t="n">
        <f aca="false">Funding!$F$76-SUM($J$8:BI$8)</f>
        <v>61.3674711350553</v>
      </c>
      <c r="BJ11" s="13" t="n">
        <f aca="false">Funding!$F$76-SUM($J$8:BJ$8)</f>
        <v>44.630888098222</v>
      </c>
      <c r="BK11" s="13" t="n">
        <f aca="false">Funding!$F$76-SUM($J$8:BK$8)</f>
        <v>27.8943050613888</v>
      </c>
      <c r="BL11" s="13" t="n">
        <f aca="false">Funding!$F$76-SUM($J$8:BL$8)</f>
        <v>11.1577220245555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-1.67365830368335</v>
      </c>
      <c r="P12" s="13" t="n">
        <f aca="false">IF(Time!P20&gt;=Time!$F$12,Inputs!$F$184/100*(P11-P10-Tax!P21),0)</f>
        <v>-6.69463321473334</v>
      </c>
      <c r="Q12" s="13" t="n">
        <f aca="false">IF(Time!Q20&gt;=Time!$F$12,Inputs!$F$184/100*(Q11-Q10-Tax!Q21),0)</f>
        <v>-11.7156081257833</v>
      </c>
      <c r="R12" s="13" t="n">
        <f aca="false">IF(Time!R20&gt;=Time!$F$12,Inputs!$F$184/100*(R11-R10-Tax!R21),0)</f>
        <v>-16.7365830368333</v>
      </c>
      <c r="S12" s="13" t="n">
        <f aca="false">IF(Time!S20&gt;=Time!$F$12,Inputs!$F$184/100*(S11-S10-Tax!S21),0)</f>
        <v>-21.7575579478833</v>
      </c>
      <c r="T12" s="13" t="n">
        <f aca="false">IF(Time!T20&gt;=Time!$F$12,Inputs!$F$184/100*(T11-T10-Tax!T21),0)</f>
        <v>-26.7785328589332</v>
      </c>
      <c r="U12" s="13" t="n">
        <f aca="false">IF(Time!U20&gt;=Time!$F$12,Inputs!$F$184/100*(U11-U10-Tax!U21),0)</f>
        <v>-31.7995077699833</v>
      </c>
      <c r="V12" s="13" t="n">
        <f aca="false">IF(Time!V20&gt;=Time!$F$12,Inputs!$F$184/100*(V11-V10-Tax!V21),0)</f>
        <v>-36.8204826810332</v>
      </c>
      <c r="W12" s="13" t="n">
        <f aca="false">IF(Time!W20&gt;=Time!$F$12,Inputs!$F$184/100*(W11-W10-Tax!W21),0)</f>
        <v>-41.8414575920833</v>
      </c>
      <c r="X12" s="13" t="n">
        <f aca="false">IF(Time!X20&gt;=Time!$F$12,Inputs!$F$184/100*(X11-X10-Tax!X21),0)</f>
        <v>-46.8624325031332</v>
      </c>
      <c r="Y12" s="13" t="n">
        <f aca="false">IF(Time!Y20&gt;=Time!$F$12,Inputs!$F$184/100*(Y11-Y10-Tax!Y21),0)</f>
        <v>-48.9487451966915</v>
      </c>
      <c r="Z12" s="13" t="n">
        <f aca="false">IF(Time!Z20&gt;=Time!$F$12,Inputs!$F$184/100*(Z11-Z10-Tax!Z21),0)</f>
        <v>-44.8421150580649</v>
      </c>
      <c r="AA12" s="13" t="n">
        <f aca="false">IF(Time!AA20&gt;=Time!$F$12,Inputs!$F$184/100*(AA11-AA10-Tax!AA21),0)</f>
        <v>-40.263901722636</v>
      </c>
      <c r="AB12" s="13" t="n">
        <f aca="false">IF(Time!AB20&gt;=Time!$F$12,Inputs!$F$184/100*(AB11-AB10-Tax!AB21),0)</f>
        <v>-35.2976995932883</v>
      </c>
      <c r="AC12" s="13" t="n">
        <f aca="false">IF(Time!AC20&gt;=Time!$F$12,Inputs!$F$184/100*(AC11-AC10-Tax!AC21),0)</f>
        <v>-29.8901537544943</v>
      </c>
      <c r="AD12" s="13" t="n">
        <f aca="false">IF(Time!AD20&gt;=Time!$F$12,Inputs!$F$184/100*(AD11-AD10-Tax!AD21),0)</f>
        <v>-27.711670098459</v>
      </c>
      <c r="AE12" s="13" t="n">
        <f aca="false">IF(Time!AE20&gt;=Time!$F$12,Inputs!$F$184/100*(AE11-AE10-Tax!AE21),0)</f>
        <v>-21.3742794289787</v>
      </c>
      <c r="AF12" s="13" t="n">
        <f aca="false">IF(Time!AF20&gt;=Time!$F$12,Inputs!$F$184/100*(AF11-AF10-Tax!AF21),0)</f>
        <v>-14.5108526640089</v>
      </c>
      <c r="AG12" s="13" t="n">
        <f aca="false">IF(Time!AG20&gt;=Time!$F$12,Inputs!$F$184/100*(AG11-AG10-Tax!AG21),0)</f>
        <v>-7.05675701360459</v>
      </c>
      <c r="AH12" s="13" t="n">
        <f aca="false">IF(Time!AH20&gt;=Time!$F$12,Inputs!$F$184/100*(AH11-AH10-Tax!AH21),0)</f>
        <v>0.981475293489386</v>
      </c>
      <c r="AI12" s="13" t="n">
        <f aca="false">IF(Time!AI20&gt;=Time!$F$12,Inputs!$F$184/100*(AI11-AI10-Tax!AI21),0)</f>
        <v>9.70716814487432</v>
      </c>
      <c r="AJ12" s="13" t="n">
        <f aca="false">IF(Time!AJ20&gt;=Time!$F$12,Inputs!$F$184/100*(AJ11-AJ10-Tax!AJ21),0)</f>
        <v>19.056191888306</v>
      </c>
      <c r="AK12" s="13" t="n">
        <f aca="false">IF(Time!AK20&gt;=Time!$F$12,Inputs!$F$184/100*(AK11-AK10-Tax!AK21),0)</f>
        <v>29.1331562598134</v>
      </c>
      <c r="AL12" s="13" t="n">
        <f aca="false">IF(Time!AL20&gt;=Time!$F$12,Inputs!$F$184/100*(AL11-AL10-Tax!AL21),0)</f>
        <v>30.9626786181416</v>
      </c>
      <c r="AM12" s="13" t="n">
        <f aca="false">IF(Time!AM20&gt;=Time!$F$12,Inputs!$F$184/100*(AM11-AM10-Tax!AM21),0)</f>
        <v>31.9668736003516</v>
      </c>
      <c r="AN12" s="13" t="n">
        <f aca="false">IF(Time!AN20&gt;=Time!$F$12,Inputs!$F$184/100*(AN11-AN10-Tax!AN21),0)</f>
        <v>32.9710685825616</v>
      </c>
      <c r="AO12" s="13" t="n">
        <f aca="false">IF(Time!AO20&gt;=Time!$F$12,Inputs!$F$184/100*(AO11-AO10-Tax!AO21),0)</f>
        <v>33.9752635647716</v>
      </c>
      <c r="AP12" s="13" t="n">
        <f aca="false">IF(Time!AP20&gt;=Time!$F$12,Inputs!$F$184/100*(AP11-AP10-Tax!AP21),0)</f>
        <v>34.9794585469816</v>
      </c>
      <c r="AQ12" s="13" t="n">
        <f aca="false">IF(Time!AQ20&gt;=Time!$F$12,Inputs!$F$184/100*(AQ11-AQ10-Tax!AQ21),0)</f>
        <v>35.9836535291916</v>
      </c>
      <c r="AR12" s="13" t="n">
        <f aca="false">IF(Time!AR20&gt;=Time!$F$12,Inputs!$F$184/100*(AR11-AR10-Tax!AR21),0)</f>
        <v>36.9878485114016</v>
      </c>
      <c r="AS12" s="13" t="n">
        <f aca="false">IF(Time!AS20&gt;=Time!$F$12,Inputs!$F$184/100*(AS11-AS10-Tax!AS21),0)</f>
        <v>37.9920434936116</v>
      </c>
      <c r="AT12" s="13" t="n">
        <f aca="false">IF(Time!AT20&gt;=Time!$F$12,Inputs!$F$184/100*(AT11-AT10-Tax!AT21),0)</f>
        <v>38.9962384758216</v>
      </c>
      <c r="AU12" s="13" t="n">
        <f aca="false">IF(Time!AU20&gt;=Time!$F$12,Inputs!$F$184/100*(AU11-AU10-Tax!AU21),0)</f>
        <v>40.0004334580316</v>
      </c>
      <c r="AV12" s="13" t="n">
        <f aca="false">IF(Time!AV20&gt;=Time!$F$12,Inputs!$F$184/100*(AV11-AV10-Tax!AV21),0)</f>
        <v>41.0046284402416</v>
      </c>
      <c r="AW12" s="13" t="n">
        <f aca="false">IF(Time!AW20&gt;=Time!$F$12,Inputs!$F$184/100*(AW11-AW10-Tax!AW21),0)</f>
        <v>42.0088234224516</v>
      </c>
      <c r="AX12" s="13" t="n">
        <f aca="false">IF(Time!AX20&gt;=Time!$F$12,Inputs!$F$184/100*(AX11-AX10-Tax!AX21),0)</f>
        <v>43.0130184046616</v>
      </c>
      <c r="AY12" s="13" t="n">
        <f aca="false">IF(Time!AY20&gt;=Time!$F$12,Inputs!$F$184/100*(AY11-AY10-Tax!AY21),0)</f>
        <v>44.0172133868716</v>
      </c>
      <c r="AZ12" s="13" t="n">
        <f aca="false">IF(Time!AZ20&gt;=Time!$F$12,Inputs!$F$184/100*(AZ11-AZ10-Tax!AZ21),0)</f>
        <v>45.0214083690815</v>
      </c>
      <c r="BA12" s="13" t="n">
        <f aca="false">IF(Time!BA20&gt;=Time!$F$12,Inputs!$F$184/100*(BA11-BA10-Tax!BA21),0)</f>
        <v>46.0256033512915</v>
      </c>
      <c r="BB12" s="13" t="n">
        <f aca="false">IF(Time!BB20&gt;=Time!$F$12,Inputs!$F$184/100*(BB11-BB10-Tax!BB21),0)</f>
        <v>47.0297983335015</v>
      </c>
      <c r="BC12" s="13" t="n">
        <f aca="false">IF(Time!BC20&gt;=Time!$F$12,Inputs!$F$184/100*(BC11-BC10-Tax!BC21),0)</f>
        <v>46.1092862664757</v>
      </c>
      <c r="BD12" s="13" t="n">
        <f aca="false">IF(Time!BD20&gt;=Time!$F$12,Inputs!$F$184/100*(BD11-BD10-Tax!BD21),0)</f>
        <v>41.3393601009783</v>
      </c>
      <c r="BE12" s="13" t="n">
        <f aca="false">IF(Time!BE20&gt;=Time!$F$12,Inputs!$F$184/100*(BE11-BE10-Tax!BE21),0)</f>
        <v>36.5694339354807</v>
      </c>
      <c r="BF12" s="13" t="n">
        <f aca="false">IF(Time!BF20&gt;=Time!$F$12,Inputs!$F$184/100*(BF11-BF10-Tax!BF21),0)</f>
        <v>31.7995077699832</v>
      </c>
      <c r="BG12" s="13" t="n">
        <f aca="false">IF(Time!BG20&gt;=Time!$F$12,Inputs!$F$184/100*(BG11-BG10-Tax!BG21),0)</f>
        <v>27.0295816044858</v>
      </c>
      <c r="BH12" s="13" t="n">
        <f aca="false">IF(Time!BH20&gt;=Time!$F$12,Inputs!$F$184/100*(BH11-BH10-Tax!BH21),0)</f>
        <v>22.2596554389883</v>
      </c>
      <c r="BI12" s="13" t="n">
        <f aca="false">IF(Time!BI20&gt;=Time!$F$12,Inputs!$F$184/100*(BI11-BI10-Tax!BI21),0)</f>
        <v>17.4897292734908</v>
      </c>
      <c r="BJ12" s="13" t="n">
        <f aca="false">IF(Time!BJ20&gt;=Time!$F$12,Inputs!$F$184/100*(BJ11-BJ10-Tax!BJ21),0)</f>
        <v>12.7198031079933</v>
      </c>
      <c r="BK12" s="13" t="n">
        <f aca="false">IF(Time!BK20&gt;=Time!$F$12,Inputs!$F$184/100*(BK11-BK10-Tax!BK21),0)</f>
        <v>7.94987694249584</v>
      </c>
      <c r="BL12" s="13" t="n">
        <f aca="false">IF(Time!BL20&gt;=Time!$F$12,Inputs!$F$184/100*(BL11-BL10-Tax!BL21),0)</f>
        <v>3.17995077699833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-1.67365830368335</v>
      </c>
      <c r="P13" s="13" t="n">
        <f aca="false">P12-O12</f>
        <v>-5.02097491104999</v>
      </c>
      <c r="Q13" s="13" t="n">
        <f aca="false">Q12-P12</f>
        <v>-5.02097491104999</v>
      </c>
      <c r="R13" s="13" t="n">
        <f aca="false">R12-Q12</f>
        <v>-5.02097491104999</v>
      </c>
      <c r="S13" s="13" t="n">
        <f aca="false">S12-R12</f>
        <v>-5.02097491104998</v>
      </c>
      <c r="T13" s="13" t="n">
        <f aca="false">T12-S12</f>
        <v>-5.02097491104995</v>
      </c>
      <c r="U13" s="13" t="n">
        <f aca="false">U12-T12</f>
        <v>-5.02097491105002</v>
      </c>
      <c r="V13" s="13" t="n">
        <f aca="false">V12-U12</f>
        <v>-5.02097491104995</v>
      </c>
      <c r="W13" s="13" t="n">
        <f aca="false">W12-V12</f>
        <v>-5.02097491105005</v>
      </c>
      <c r="X13" s="13" t="n">
        <f aca="false">X12-W12</f>
        <v>-5.02097491104995</v>
      </c>
      <c r="Y13" s="13" t="n">
        <f aca="false">Y12-X12</f>
        <v>-2.08631269355826</v>
      </c>
      <c r="Z13" s="13" t="n">
        <f aca="false">Z12-Y12</f>
        <v>4.10663013862654</v>
      </c>
      <c r="AA13" s="13" t="n">
        <f aca="false">AA12-Z12</f>
        <v>4.5782133354289</v>
      </c>
      <c r="AB13" s="13" t="n">
        <f aca="false">AB12-AA12</f>
        <v>4.96620212934775</v>
      </c>
      <c r="AC13" s="13" t="n">
        <f aca="false">AC12-AB12</f>
        <v>5.40754583879399</v>
      </c>
      <c r="AD13" s="13" t="n">
        <f aca="false">AD12-AC12</f>
        <v>2.17848365603533</v>
      </c>
      <c r="AE13" s="13" t="n">
        <f aca="false">AE12-AD12</f>
        <v>6.33739066948027</v>
      </c>
      <c r="AF13" s="13" t="n">
        <f aca="false">AF12-AE12</f>
        <v>6.86342676496982</v>
      </c>
      <c r="AG13" s="13" t="n">
        <f aca="false">AG12-AF12</f>
        <v>7.45409565040429</v>
      </c>
      <c r="AH13" s="13" t="n">
        <f aca="false">AH12-AG12</f>
        <v>8.03823230709398</v>
      </c>
      <c r="AI13" s="13" t="n">
        <f aca="false">AI12-AH12</f>
        <v>8.72569285138494</v>
      </c>
      <c r="AJ13" s="13" t="n">
        <f aca="false">AJ12-AI12</f>
        <v>9.34902374343165</v>
      </c>
      <c r="AK13" s="13" t="n">
        <f aca="false">AK12-AJ12</f>
        <v>10.0769643715075</v>
      </c>
      <c r="AL13" s="13" t="n">
        <f aca="false">AL12-AK12</f>
        <v>1.82952235832816</v>
      </c>
      <c r="AM13" s="13" t="n">
        <f aca="false">AM12-AL12</f>
        <v>1.00419498220997</v>
      </c>
      <c r="AN13" s="13" t="n">
        <f aca="false">AN12-AM12</f>
        <v>1.00419498221004</v>
      </c>
      <c r="AO13" s="13" t="n">
        <f aca="false">AO12-AN12</f>
        <v>1.00419498221</v>
      </c>
      <c r="AP13" s="13" t="n">
        <f aca="false">AP12-AO12</f>
        <v>1.00419498220997</v>
      </c>
      <c r="AQ13" s="13" t="n">
        <f aca="false">AQ12-AP12</f>
        <v>1.00419498221001</v>
      </c>
      <c r="AR13" s="13" t="n">
        <f aca="false">AR12-AQ12</f>
        <v>1.00419498220998</v>
      </c>
      <c r="AS13" s="13" t="n">
        <f aca="false">AS12-AR12</f>
        <v>1.00419498221001</v>
      </c>
      <c r="AT13" s="13" t="n">
        <f aca="false">AT12-AS12</f>
        <v>1.00419498220998</v>
      </c>
      <c r="AU13" s="13" t="n">
        <f aca="false">AU12-AT12</f>
        <v>1.00419498221001</v>
      </c>
      <c r="AV13" s="13" t="n">
        <f aca="false">AV12-AU12</f>
        <v>1.00419498221</v>
      </c>
      <c r="AW13" s="13" t="n">
        <f aca="false">AW12-AV12</f>
        <v>1.00419498221</v>
      </c>
      <c r="AX13" s="13" t="n">
        <f aca="false">AX12-AW12</f>
        <v>1.00419498221</v>
      </c>
      <c r="AY13" s="13" t="n">
        <f aca="false">AY12-AX12</f>
        <v>1.00419498221</v>
      </c>
      <c r="AZ13" s="13" t="n">
        <f aca="false">AZ12-AY12</f>
        <v>1.00419498220997</v>
      </c>
      <c r="BA13" s="13" t="n">
        <f aca="false">BA12-AZ12</f>
        <v>1.00419498221</v>
      </c>
      <c r="BB13" s="13" t="n">
        <f aca="false">BB12-BA12</f>
        <v>1.00419498221</v>
      </c>
      <c r="BC13" s="13" t="n">
        <f aca="false">BC12-BB12</f>
        <v>-0.920512067025811</v>
      </c>
      <c r="BD13" s="13" t="n">
        <f aca="false">BD12-BC12</f>
        <v>-4.76992616549747</v>
      </c>
      <c r="BE13" s="13" t="n">
        <f aca="false">BE12-BD12</f>
        <v>-4.76992616549754</v>
      </c>
      <c r="BF13" s="13" t="n">
        <f aca="false">BF12-BE12</f>
        <v>-4.76992616549747</v>
      </c>
      <c r="BG13" s="13" t="n">
        <f aca="false">BG12-BF12</f>
        <v>-4.76992616549747</v>
      </c>
      <c r="BH13" s="13" t="n">
        <f aca="false">BH12-BG12</f>
        <v>-4.76992616549748</v>
      </c>
      <c r="BI13" s="13" t="n">
        <f aca="false">BI12-BH12</f>
        <v>-4.76992616549751</v>
      </c>
      <c r="BJ13" s="13" t="n">
        <f aca="false">BJ12-BI12</f>
        <v>-4.76992616549747</v>
      </c>
      <c r="BK13" s="13" t="n">
        <f aca="false">BK12-BJ12</f>
        <v>-4.76992616549747</v>
      </c>
      <c r="BL13" s="13" t="n">
        <f aca="false">BL12-BK12</f>
        <v>-4.76992616549751</v>
      </c>
      <c r="BM13" s="13" t="n">
        <f aca="false">BM12-BL12</f>
        <v>-3.17995077699833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1153.24221270948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9.92117430297742</v>
      </c>
      <c r="P14" s="13" t="n">
        <f aca="false">Operations!P84-P8-P9-Tax!P27-P13</f>
        <v>7.87382127558105</v>
      </c>
      <c r="Q14" s="13" t="n">
        <f aca="false">Operations!Q84-Q8-Q9-Tax!Q27-Q13</f>
        <v>9.38170538313154</v>
      </c>
      <c r="R14" s="13" t="n">
        <f aca="false">Operations!R84-R8-R9-Tax!R27-R13</f>
        <v>9.71198697104846</v>
      </c>
      <c r="S14" s="13" t="n">
        <f aca="false">Operations!S84-S8-S9-Tax!S27-S13</f>
        <v>11.3410650583276</v>
      </c>
      <c r="T14" s="13" t="n">
        <f aca="false">Operations!T84-T8-T9-Tax!T27-T13</f>
        <v>11.9027739395944</v>
      </c>
      <c r="U14" s="13" t="n">
        <f aca="false">Operations!U84-U8-U9-Tax!U27-U13</f>
        <v>13.2570287742479</v>
      </c>
      <c r="V14" s="13" t="n">
        <f aca="false">Operations!V84-V8-V9-Tax!V27-V13</f>
        <v>11.6653006414939</v>
      </c>
      <c r="W14" s="13" t="n">
        <f aca="false">Operations!W84-W8-W9-Tax!W27-W13</f>
        <v>15.6473570170472</v>
      </c>
      <c r="X14" s="13" t="n">
        <f aca="false">Operations!X84-X8-X9-Tax!X27-X13</f>
        <v>16.6533840601775</v>
      </c>
      <c r="Y14" s="13" t="n">
        <f aca="false">Operations!Y84-Y8-Y9-Tax!Y27-Y13</f>
        <v>14.5730159385591</v>
      </c>
      <c r="Z14" s="13" t="n">
        <f aca="false">Operations!Z84-Z8-Z9-Tax!Z27-Z13</f>
        <v>9.21062862221826</v>
      </c>
      <c r="AA14" s="13" t="n">
        <f aca="false">Operations!AA84-AA8-AA9-Tax!AA27-AA13</f>
        <v>10.3069858104443</v>
      </c>
      <c r="AB14" s="13" t="n">
        <f aca="false">Operations!AB84-AB8-AB9-Tax!AB27-AB13</f>
        <v>11.2071428311563</v>
      </c>
      <c r="AC14" s="13" t="n">
        <f aca="false">Operations!AC84-AC8-AC9-Tax!AC27-AC13</f>
        <v>12.2352977080601</v>
      </c>
      <c r="AD14" s="13" t="n">
        <f aca="false">Operations!AD84-AD8-AD9-Tax!AD27-AD13</f>
        <v>4.70316553536402</v>
      </c>
      <c r="AE14" s="13" t="n">
        <f aca="false">Operations!AE84-AE8-AE9-Tax!AE27-AE13</f>
        <v>14.4034798813861</v>
      </c>
      <c r="AF14" s="13" t="n">
        <f aca="false">Operations!AF84-AF8-AF9-Tax!AF27-AF13</f>
        <v>15.6264557488949</v>
      </c>
      <c r="AG14" s="13" t="n">
        <f aca="false">Operations!AG84-AG8-AG9-Tax!AG27-AG13</f>
        <v>17.0008575533498</v>
      </c>
      <c r="AH14" s="13" t="n">
        <f aca="false">Operations!AH84-AH8-AH9-Tax!AH27-AH13</f>
        <v>18.3595373905875</v>
      </c>
      <c r="AI14" s="13" t="n">
        <f aca="false">Operations!AI84-AI8-AI9-Tax!AI27-AI13</f>
        <v>19.9596818431638</v>
      </c>
      <c r="AJ14" s="13" t="n">
        <f aca="false">Operations!AJ84-AJ8-AJ9-Tax!AJ27-AJ13</f>
        <v>21.4099135312513</v>
      </c>
      <c r="AK14" s="13" t="n">
        <f aca="false">Operations!AK84-AK8-AK9-Tax!AK27-AK13</f>
        <v>23.1049572751491</v>
      </c>
      <c r="AL14" s="13" t="n">
        <f aca="false">Operations!AL84-AL8-AL9-Tax!AL27-AL13</f>
        <v>22.7007483223357</v>
      </c>
      <c r="AM14" s="13" t="n">
        <f aca="false">Operations!AM84-AM8-AM9-Tax!AM27-AM13</f>
        <v>26.5153152137878</v>
      </c>
      <c r="AN14" s="13" t="n">
        <f aca="false">Operations!AN84-AN8-AN9-Tax!AN27-AN13</f>
        <v>27.9687067787851</v>
      </c>
      <c r="AO14" s="13" t="n">
        <f aca="false">Operations!AO84-AO8-AO9-Tax!AO27-AO13</f>
        <v>28.577559107184</v>
      </c>
      <c r="AP14" s="13" t="n">
        <f aca="false">Operations!AP84-AP8-AP9-Tax!AP27-AP13</f>
        <v>29.3598475427843</v>
      </c>
      <c r="AQ14" s="13" t="n">
        <f aca="false">Operations!AQ84-AQ8-AQ9-Tax!AQ27-AQ13</f>
        <v>29.5264625503049</v>
      </c>
      <c r="AR14" s="13" t="n">
        <f aca="false">Operations!AR84-AR8-AR9-Tax!AR27-AR13</f>
        <v>29.7483150136835</v>
      </c>
      <c r="AS14" s="13" t="n">
        <f aca="false">Operations!AS84-AS8-AS9-Tax!AS27-AS13</f>
        <v>30.0660857103938</v>
      </c>
      <c r="AT14" s="13" t="n">
        <f aca="false">Operations!AT84-AT8-AT9-Tax!AT27-AT13</f>
        <v>19.112650723536</v>
      </c>
      <c r="AU14" s="13" t="n">
        <f aca="false">Operations!AU84-AU8-AU9-Tax!AU27-AU13</f>
        <v>30.3891513404758</v>
      </c>
      <c r="AV14" s="13" t="n">
        <f aca="false">Operations!AV84-AV8-AV9-Tax!AV27-AV13</f>
        <v>30.9228029087082</v>
      </c>
      <c r="AW14" s="13" t="n">
        <f aca="false">Operations!AW84-AW8-AW9-Tax!AW27-AW13</f>
        <v>31.2324190656942</v>
      </c>
      <c r="AX14" s="13" t="n">
        <f aca="false">Operations!AX84-AX8-AX9-Tax!AX27-AX13</f>
        <v>31.6536004645908</v>
      </c>
      <c r="AY14" s="13" t="n">
        <f aca="false">Operations!AY84-AY8-AY9-Tax!AY27-AY13</f>
        <v>31.8799449839349</v>
      </c>
      <c r="AZ14" s="13" t="n">
        <f aca="false">Operations!AZ84-AZ8-AZ9-Tax!AZ27-AZ13</f>
        <v>32.2325374939396</v>
      </c>
      <c r="BA14" s="13" t="n">
        <f aca="false">Operations!BA84-BA8-BA9-Tax!BA27-BA13</f>
        <v>32.5940706509266</v>
      </c>
      <c r="BB14" s="13" t="n">
        <f aca="false">Operations!BB84-BB8-BB9-Tax!BB27-BB13</f>
        <v>30.389939568523</v>
      </c>
      <c r="BC14" s="13" t="n">
        <f aca="false">Operations!BC84-BC8-BC9-Tax!BC27-BC13</f>
        <v>33.3162189561254</v>
      </c>
      <c r="BD14" s="13" t="n">
        <f aca="false">Operations!BD84-BD8-BD9-Tax!BD27-BD13</f>
        <v>33.6759534649655</v>
      </c>
      <c r="BE14" s="13" t="n">
        <f aca="false">Operations!BE84-BE8-BE9-Tax!BE27-BE13</f>
        <v>34.0761221658809</v>
      </c>
      <c r="BF14" s="13" t="n">
        <f aca="false">Operations!BF84-BF8-BF9-Tax!BF27-BF13</f>
        <v>34.4634280729177</v>
      </c>
      <c r="BG14" s="13" t="n">
        <f aca="false">Operations!BG84-BG8-BG9-Tax!BG27-BG13</f>
        <v>34.8873927691725</v>
      </c>
      <c r="BH14" s="13" t="n">
        <f aca="false">Operations!BH84-BH8-BH9-Tax!BH27-BH13</f>
        <v>35.3027262968984</v>
      </c>
      <c r="BI14" s="13" t="n">
        <f aca="false">Operations!BI84-BI8-BI9-Tax!BI27-BI13</f>
        <v>35.7361098057575</v>
      </c>
      <c r="BJ14" s="13" t="n">
        <f aca="false">Operations!BJ84-BJ8-BJ9-Tax!BJ27-BJ13</f>
        <v>22.5117891167317</v>
      </c>
      <c r="BK14" s="13" t="n">
        <f aca="false">Operations!BK84-BK8-BK9-Tax!BK27-BK13</f>
        <v>36.1205244318657</v>
      </c>
      <c r="BL14" s="13" t="n">
        <f aca="false">Operations!BL84-BL8-BL9-Tax!BL27-BL13</f>
        <v>37.1051776057082</v>
      </c>
      <c r="BM14" s="13" t="n">
        <f aca="false">Operations!BM84-BM8-BM9-Tax!BM27-BM13</f>
        <v>11.7198954906609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139.107191769933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239.367692753776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433.512107401681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635.574630887184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753.195456798649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831.250290829387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814.513707792553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797.77712475572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781.040541718887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764.303958682054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747.56737564522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730.830792608387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714.094209571554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697.35762653472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680.621043497887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663.884460461054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647.147877424221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630.411294387387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613.674711350554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596.938128313721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580.201545276887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563.464962240054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546.728379203221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529.991796166388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513.255213129554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496.518630092721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479.782047055888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463.045464019054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446.308880982221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429.572297945388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412.835714908554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396.099131871721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379.362548834888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362.625965798055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345.889382761221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329.152799724388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312.416216687555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295.679633650721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278.943050613888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262.206467577055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245.469884540222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228.733301503388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211.996718466555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195.260135429722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178.523552392888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161.786969356055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145.050386319222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128.313803282388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111.577220245555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94.8406372087219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78.1040541718886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61.3674711350553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44.630888098222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27.8943050613888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11.1577220245555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39.1288912826521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37.5799822813442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38.4641112643634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38.5888202610029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39.423074865365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39.658754676046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40.7923697780986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38.0299813557338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36.9333719798852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38.549660250487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40.8234263765301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42.4990021073878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44.902276535534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46.0017761045355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48.4434374950582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35.7411172394728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34.6416198217052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33.4908732917132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32.7436245442438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31.0945630042694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29.4559508123272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26.794227235411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26.6933087730565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23.5758525157105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19.1373028213816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21.2589408433944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39.208348645206</v>
      </c>
      <c r="P18" s="13" t="n">
        <f aca="false">Operations!P88+Operations!P89</f>
        <v>39.1201198164307</v>
      </c>
      <c r="Q18" s="13" t="n">
        <f aca="false">Operations!Q88+Operations!Q89</f>
        <v>40.0965955065001</v>
      </c>
      <c r="R18" s="13" t="n">
        <f aca="false">Operations!R88+Operations!R89</f>
        <v>39.1900319039928</v>
      </c>
      <c r="S18" s="13" t="n">
        <f aca="false">Operations!S88+Operations!S89</f>
        <v>40.7073637316959</v>
      </c>
      <c r="T18" s="13" t="n">
        <f aca="false">Operations!T88+Operations!T89</f>
        <v>40.7797878819394</v>
      </c>
      <c r="U18" s="13" t="n">
        <f aca="false">Operations!U88+Operations!U89</f>
        <v>41.6705949499071</v>
      </c>
      <c r="V18" s="13" t="n">
        <f aca="false">Operations!V88+Operations!V89</f>
        <v>41.1700113010235</v>
      </c>
      <c r="W18" s="13" t="n">
        <f aca="false">Operations!W88+Operations!W89</f>
        <v>42.7666842654964</v>
      </c>
      <c r="X18" s="13" t="n">
        <f aca="false">Operations!X88+Operations!X89</f>
        <v>42.9857741816522</v>
      </c>
      <c r="Y18" s="13" t="n">
        <f aca="false">Operations!Y88+Operations!Y89</f>
        <v>43.914119106835</v>
      </c>
      <c r="Z18" s="13" t="n">
        <f aca="false">Operations!Z88+Operations!Z89</f>
        <v>42.6742066240074</v>
      </c>
      <c r="AA18" s="13" t="n">
        <f aca="false">Operations!AA88+Operations!AA89</f>
        <v>44.4573076720267</v>
      </c>
      <c r="AB18" s="13" t="n">
        <f aca="false">Operations!AB88+Operations!AB89</f>
        <v>44.9219747323463</v>
      </c>
      <c r="AC18" s="13" t="n">
        <f aca="false">Operations!AC88+Operations!AC89</f>
        <v>45.2849814269675</v>
      </c>
      <c r="AD18" s="13" t="n">
        <f aca="false">Operations!AD88+Operations!AD89</f>
        <v>43.3528562512543</v>
      </c>
      <c r="AE18" s="13" t="n">
        <f aca="false">Operations!AE88+Operations!AE89</f>
        <v>44.7179166188382</v>
      </c>
      <c r="AF18" s="13" t="n">
        <f aca="false">Operations!AF88+Operations!AF89</f>
        <v>44.3141203447252</v>
      </c>
      <c r="AG18" s="13" t="n">
        <f aca="false">Operations!AG88+Operations!AG89</f>
        <v>45.6969449664164</v>
      </c>
      <c r="AH18" s="13" t="n">
        <f aca="false">Operations!AH88+Operations!AH89</f>
        <v>45.2526070080059</v>
      </c>
      <c r="AI18" s="13" t="n">
        <f aca="false">Operations!AI88+Operations!AI89</f>
        <v>46.7378113765666</v>
      </c>
      <c r="AJ18" s="13" t="n">
        <f aca="false">Operations!AJ88+Operations!AJ89</f>
        <v>46.4137004782285</v>
      </c>
      <c r="AK18" s="13" t="n">
        <f aca="false">Operations!AK88+Operations!AK89</f>
        <v>47.4254614103504</v>
      </c>
      <c r="AL18" s="13" t="n">
        <f aca="false">Operations!AL88+Operations!AL89</f>
        <v>46.6949088439162</v>
      </c>
      <c r="AM18" s="13" t="n">
        <f aca="false">Operations!AM88+Operations!AM89</f>
        <v>48.7114373047011</v>
      </c>
      <c r="AN18" s="13" t="n">
        <f aca="false">Operations!AN88+Operations!AN89</f>
        <v>49.0917075274824</v>
      </c>
      <c r="AO18" s="13" t="n">
        <f aca="false">Operations!AO88+Operations!AO89</f>
        <v>50.9566190079138</v>
      </c>
      <c r="AP18" s="13" t="n">
        <f aca="false">Operations!AP88+Operations!AP89</f>
        <v>51.068765020349</v>
      </c>
      <c r="AQ18" s="13" t="n">
        <f aca="false">Operations!AQ88+Operations!AQ89</f>
        <v>52.2267791236155</v>
      </c>
      <c r="AR18" s="13" t="n">
        <f aca="false">Operations!AR88+Operations!AR89</f>
        <v>50.7901776172531</v>
      </c>
      <c r="AS18" s="13" t="n">
        <f aca="false">Operations!AS88+Operations!AS89</f>
        <v>51.5247421197374</v>
      </c>
      <c r="AT18" s="13" t="n">
        <f aca="false">Operations!AT88+Operations!AT89</f>
        <v>49.6186991221052</v>
      </c>
      <c r="AU18" s="13" t="n">
        <f aca="false">Operations!AU88+Operations!AU89</f>
        <v>52.1208081450962</v>
      </c>
      <c r="AV18" s="13" t="n">
        <f aca="false">Operations!AV88+Operations!AV89</f>
        <v>52.8255969948495</v>
      </c>
      <c r="AW18" s="13" t="n">
        <f aca="false">Operations!AW88+Operations!AW89</f>
        <v>54.8564418481916</v>
      </c>
      <c r="AX18" s="13" t="n">
        <f aca="false">Operations!AX88+Operations!AX89</f>
        <v>54.9979218099042</v>
      </c>
      <c r="AY18" s="13" t="n">
        <f aca="false">Operations!AY88+Operations!AY89</f>
        <v>56.2723009045191</v>
      </c>
      <c r="AZ18" s="13" t="n">
        <f aca="false">Operations!AZ88+Operations!AZ89</f>
        <v>54.7507191168893</v>
      </c>
      <c r="BA18" s="13" t="n">
        <f aca="false">Operations!BA88+Operations!BA89</f>
        <v>55.9463223474983</v>
      </c>
      <c r="BB18" s="13" t="n">
        <f aca="false">Operations!BB88+Operations!BB89</f>
        <v>55.1245452436416</v>
      </c>
      <c r="BC18" s="13" t="n">
        <f aca="false">Operations!BC88+Operations!BC89</f>
        <v>57.324883547233</v>
      </c>
      <c r="BD18" s="13" t="n">
        <f aca="false">Operations!BD88+Operations!BD89</f>
        <v>57.5642850305078</v>
      </c>
      <c r="BE18" s="13" t="n">
        <f aca="false">Operations!BE88+Operations!BE89</f>
        <v>59.3778523756174</v>
      </c>
      <c r="BF18" s="13" t="n">
        <f aca="false">Operations!BF88+Operations!BF89</f>
        <v>58.7131701743303</v>
      </c>
      <c r="BG18" s="13" t="n">
        <f aca="false">Operations!BG88+Operations!BG89</f>
        <v>60.8129878742125</v>
      </c>
      <c r="BH18" s="13" t="n">
        <f aca="false">Operations!BH88+Operations!BH89</f>
        <v>60.6180107653392</v>
      </c>
      <c r="BI18" s="13" t="n">
        <f aca="false">Operations!BI88+Operations!BI89</f>
        <v>61.389826934315</v>
      </c>
      <c r="BJ18" s="13" t="n">
        <f aca="false">Operations!BJ88+Operations!BJ89</f>
        <v>58.7775878426607</v>
      </c>
      <c r="BK18" s="13" t="n">
        <f aca="false">Operations!BK88+Operations!BK89</f>
        <v>61.8554444555403</v>
      </c>
      <c r="BL18" s="13" t="n">
        <f aca="false">Operations!BL88+Operations!BL89</f>
        <v>62.8853965289838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1.67365830368335</v>
      </c>
      <c r="P20" s="13" t="n">
        <f aca="false">MAX(0,-P12)</f>
        <v>6.69463321473334</v>
      </c>
      <c r="Q20" s="13" t="n">
        <f aca="false">MAX(0,-Q12)</f>
        <v>11.7156081257833</v>
      </c>
      <c r="R20" s="13" t="n">
        <f aca="false">MAX(0,-R12)</f>
        <v>16.7365830368333</v>
      </c>
      <c r="S20" s="13" t="n">
        <f aca="false">MAX(0,-S12)</f>
        <v>21.7575579478833</v>
      </c>
      <c r="T20" s="13" t="n">
        <f aca="false">MAX(0,-T12)</f>
        <v>26.7785328589332</v>
      </c>
      <c r="U20" s="13" t="n">
        <f aca="false">MAX(0,-U12)</f>
        <v>31.7995077699833</v>
      </c>
      <c r="V20" s="13" t="n">
        <f aca="false">MAX(0,-V12)</f>
        <v>36.8204826810332</v>
      </c>
      <c r="W20" s="13" t="n">
        <f aca="false">MAX(0,-W12)</f>
        <v>41.8414575920833</v>
      </c>
      <c r="X20" s="13" t="n">
        <f aca="false">MAX(0,-X12)</f>
        <v>46.8624325031332</v>
      </c>
      <c r="Y20" s="13" t="n">
        <f aca="false">MAX(0,-Y12)</f>
        <v>48.9487451966915</v>
      </c>
      <c r="Z20" s="13" t="n">
        <f aca="false">MAX(0,-Z12)</f>
        <v>44.8421150580649</v>
      </c>
      <c r="AA20" s="13" t="n">
        <f aca="false">MAX(0,-AA12)</f>
        <v>40.263901722636</v>
      </c>
      <c r="AB20" s="13" t="n">
        <f aca="false">MAX(0,-AB12)</f>
        <v>35.2976995932883</v>
      </c>
      <c r="AC20" s="13" t="n">
        <f aca="false">MAX(0,-AC12)</f>
        <v>29.8901537544943</v>
      </c>
      <c r="AD20" s="13" t="n">
        <f aca="false">MAX(0,-AD12)</f>
        <v>27.711670098459</v>
      </c>
      <c r="AE20" s="13" t="n">
        <f aca="false">MAX(0,-AE12)</f>
        <v>21.3742794289787</v>
      </c>
      <c r="AF20" s="13" t="n">
        <f aca="false">MAX(0,-AF12)</f>
        <v>14.5108526640089</v>
      </c>
      <c r="AG20" s="13" t="n">
        <f aca="false">MAX(0,-AG12)</f>
        <v>7.05675701360459</v>
      </c>
      <c r="AH20" s="13" t="n">
        <f aca="false">MAX(0,-AH12)</f>
        <v>0</v>
      </c>
      <c r="AI20" s="13" t="n">
        <f aca="false">MAX(0,-AI12)</f>
        <v>0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139.107191769933</v>
      </c>
      <c r="K21" s="13" t="n">
        <f aca="false">K16+K17+K18+K19+K20</f>
        <v>239.367692753776</v>
      </c>
      <c r="L21" s="13" t="n">
        <f aca="false">L16+L17+L18+L19+L20</f>
        <v>433.512107401681</v>
      </c>
      <c r="M21" s="13" t="n">
        <f aca="false">M16+M17+M18+M19+M20</f>
        <v>635.574630887184</v>
      </c>
      <c r="N21" s="13" t="n">
        <f aca="false">N16+N17+N18+N19+N20</f>
        <v>753.195456798649</v>
      </c>
      <c r="O21" s="13" t="n">
        <f aca="false">O16+O17+O18+O19+O20</f>
        <v>916.611189060928</v>
      </c>
      <c r="P21" s="13" t="n">
        <f aca="false">P16+P17+P18+P19+P20</f>
        <v>903.258443105062</v>
      </c>
      <c r="Q21" s="13" t="n">
        <f aca="false">Q16+Q17+Q18+Q19+Q20</f>
        <v>893.403439652367</v>
      </c>
      <c r="R21" s="13" t="n">
        <f aca="false">R16+R17+R18+R19+R20</f>
        <v>880.905976920716</v>
      </c>
      <c r="S21" s="13" t="n">
        <f aca="false">S16+S17+S18+S19+S20</f>
        <v>871.541955226998</v>
      </c>
      <c r="T21" s="13" t="n">
        <f aca="false">T16+T17+T18+T19+T20</f>
        <v>860.134451062139</v>
      </c>
      <c r="U21" s="13" t="n">
        <f aca="false">U16+U17+U18+U19+U20</f>
        <v>850.443265106376</v>
      </c>
      <c r="V21" s="13" t="n">
        <f aca="false">V16+V17+V18+V19+V20</f>
        <v>835.464684909344</v>
      </c>
      <c r="W21" s="13" t="n">
        <f aca="false">W16+W17+W18+W19+W20</f>
        <v>824.249140372185</v>
      </c>
      <c r="X21" s="13" t="n">
        <f aca="false">X16+X17+X18+X19+X20</f>
        <v>814.36891043316</v>
      </c>
      <c r="Y21" s="13" t="n">
        <f aca="false">Y16+Y17+Y18+Y19+Y20</f>
        <v>802.92075114111</v>
      </c>
      <c r="Z21" s="13" t="n">
        <f aca="false">Z16+Z17+Z18+Z19+Z20</f>
        <v>782.513201213681</v>
      </c>
      <c r="AA21" s="13" t="n">
        <f aca="false">AA16+AA17+AA18+AA19+AA20</f>
        <v>765.384780317584</v>
      </c>
      <c r="AB21" s="13" t="n">
        <f aca="false">AB16+AB17+AB18+AB19+AB20</f>
        <v>745.246161780724</v>
      </c>
      <c r="AC21" s="13" t="n">
        <f aca="false">AC16+AC17+AC18+AC19+AC20</f>
        <v>725.906700990241</v>
      </c>
      <c r="AD21" s="13" t="n">
        <f aca="false">AD16+AD17+AD18+AD19+AD20</f>
        <v>692.357188866073</v>
      </c>
      <c r="AE21" s="13" t="n">
        <f aca="false">AE16+AE17+AE18+AE19+AE20</f>
        <v>669.548778109576</v>
      </c>
      <c r="AF21" s="13" t="n">
        <f aca="false">AF16+AF17+AF18+AF19+AF20</f>
        <v>644.394225503668</v>
      </c>
      <c r="AG21" s="13" t="n">
        <f aca="false">AG16+AG17+AG18+AG19+AG20</f>
        <v>620.839122690653</v>
      </c>
      <c r="AH21" s="13" t="n">
        <f aca="false">AH16+AH17+AH18+AH19+AH20</f>
        <v>594.95238314183</v>
      </c>
      <c r="AI21" s="13" t="n">
        <f aca="false">AI16+AI17+AI18+AI19+AI20</f>
        <v>578.062392281615</v>
      </c>
      <c r="AJ21" s="13" t="n">
        <f aca="false">AJ16+AJ17+AJ18+AJ19+AJ20</f>
        <v>558.339974769527</v>
      </c>
      <c r="AK21" s="13" t="n">
        <f aca="false">AK16+AK17+AK18+AK19+AK20</f>
        <v>542.514234202461</v>
      </c>
      <c r="AL21" s="13" t="n">
        <f aca="false">AL16+AL17+AL18+AL19+AL20</f>
        <v>521.929642341848</v>
      </c>
      <c r="AM21" s="13" t="n">
        <f aca="false">AM16+AM17+AM18+AM19+AM20</f>
        <v>502.77103807147</v>
      </c>
      <c r="AN21" s="13" t="n">
        <f aca="false">AN16+AN17+AN18+AN19+AN20</f>
        <v>488.536363279431</v>
      </c>
      <c r="AO21" s="13" t="n">
        <f aca="false">AO16+AO17+AO18+AO19+AO20</f>
        <v>457.101529050609</v>
      </c>
      <c r="AP21" s="13" t="n">
        <f aca="false">AP16+AP17+AP18+AP19+AP20</f>
        <v>442.824981111698</v>
      </c>
      <c r="AQ21" s="13" t="n">
        <f aca="false">AQ16+AQ17+AQ18+AQ19+AQ20</f>
        <v>429.594301263618</v>
      </c>
      <c r="AR21" s="13" t="n">
        <f aca="false">AR16+AR17+AR18+AR19+AR20</f>
        <v>413.769005805909</v>
      </c>
      <c r="AS21" s="13" t="n">
        <f aca="false">AS16+AS17+AS18+AS19+AS20</f>
        <v>400.114876357047</v>
      </c>
      <c r="AT21" s="13" t="n">
        <f aca="false">AT16+AT17+AT18+AT19+AT20</f>
        <v>367.38491580966</v>
      </c>
      <c r="AU21" s="13" t="n">
        <f aca="false">AU16+AU17+AU18+AU19+AU20</f>
        <v>353.150441795818</v>
      </c>
      <c r="AV21" s="13" t="n">
        <f aca="false">AV16+AV17+AV18+AV19+AV20</f>
        <v>337.708288609661</v>
      </c>
      <c r="AW21" s="13" t="n">
        <f aca="false">AW16+AW17+AW18+AW19+AW20</f>
        <v>323.592191427093</v>
      </c>
      <c r="AX21" s="13" t="n">
        <f aca="false">AX16+AX17+AX18+AX19+AX20</f>
        <v>307.586729352896</v>
      </c>
      <c r="AY21" s="13" t="n">
        <f aca="false">AY16+AY17+AY18+AY19+AY20</f>
        <v>292.714166411601</v>
      </c>
      <c r="AZ21" s="13" t="n">
        <f aca="false">AZ16+AZ17+AZ18+AZ19+AZ20</f>
        <v>275.045642588061</v>
      </c>
      <c r="BA21" s="13" t="n">
        <f aca="false">BA16+BA17+BA18+BA19+BA20</f>
        <v>260.589272169369</v>
      </c>
      <c r="BB21" s="13" t="n">
        <f aca="false">BB16+BB17+BB18+BB19+BB20</f>
        <v>240.994216277783</v>
      </c>
      <c r="BC21" s="13" t="n">
        <f aca="false">BC16+BC17+BC18+BC19+BC20</f>
        <v>227.975544617884</v>
      </c>
      <c r="BD21" s="13" t="n">
        <f aca="false">BD16+BD17+BD18+BD19+BD20</f>
        <v>215.806913985685</v>
      </c>
      <c r="BE21" s="13" t="n">
        <f aca="false">BE16+BE17+BE18+BE19+BE20</f>
        <v>205.22923333603</v>
      </c>
      <c r="BF21" s="13" t="n">
        <f aca="false">BF16+BF17+BF18+BF19+BF20</f>
        <v>192.190270881594</v>
      </c>
      <c r="BG21" s="13" t="n">
        <f aca="false">BG16+BG17+BG18+BG19+BG20</f>
        <v>181.932961699693</v>
      </c>
      <c r="BH21" s="13" t="n">
        <f aca="false">BH16+BH17+BH18+BH19+BH20</f>
        <v>169.398198740968</v>
      </c>
      <c r="BI21" s="13" t="n">
        <f aca="false">BI16+BI17+BI18+BI19+BI20</f>
        <v>157.847759805627</v>
      </c>
      <c r="BJ21" s="13" t="n">
        <f aca="false">BJ16+BJ17+BJ18+BJ19+BJ20</f>
        <v>123.370360616499</v>
      </c>
      <c r="BK21" s="13" t="n">
        <f aca="false">BK16+BK17+BK18+BK19+BK20</f>
        <v>111.36722572052</v>
      </c>
      <c r="BL21" s="13" t="n">
        <f aca="false">BL16+BL17+BL18+BL19+BL20</f>
        <v>97.3342987155003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102.395769913688</v>
      </c>
      <c r="K22" s="13" t="n">
        <f aca="false">IF(Time!K20&lt;Time!$F$12,SUMIFS(Funding!$J$73:$BJ$73,Construction!$J$12:$BJ$12,"&lt;="&amp;Time!K20),Debt!K116)</f>
        <v>175.359412497994</v>
      </c>
      <c r="L22" s="13" t="n">
        <f aca="false">IF(Time!L20&lt;Time!$F$12,SUMIFS(Funding!$J$73:$BJ$73,Construction!$J$12:$BJ$12,"&lt;="&amp;Time!L20),Debt!L116)</f>
        <v>316.711551354189</v>
      </c>
      <c r="M22" s="13" t="n">
        <f aca="false">IF(Time!M20&lt;Time!$F$12,SUMIFS(Funding!$J$73:$BJ$73,Construction!$J$12:$BJ$12,"&lt;="&amp;Time!M20),Debt!M116)</f>
        <v>462.331630003002</v>
      </c>
      <c r="N22" s="13" t="n">
        <f aca="false">IF(Time!N20&lt;Time!$F$12,SUMIFS(Funding!$J$73:$BJ$73,Construction!$J$12:$BJ$12,"&lt;="&amp;Time!N20),Debt!N116)</f>
        <v>543.937385515496</v>
      </c>
      <c r="O22" s="13" t="n">
        <f aca="false">IF(Time!O20&lt;Time!$F$12,SUMIFS(Funding!$J$73:$BJ$73,Construction!$J$12:$BJ$12,"&lt;="&amp;Time!O20),Debt!O116)</f>
        <v>633.361213230812</v>
      </c>
      <c r="P22" s="13" t="n">
        <f aca="false">IF(Time!P20&lt;Time!$F$12,SUMIFS(Funding!$J$73:$BJ$73,Construction!$J$12:$BJ$12,"&lt;="&amp;Time!P20),Debt!P116)</f>
        <v>617.868924270744</v>
      </c>
      <c r="Q22" s="13" t="n">
        <f aca="false">IF(Time!Q20&lt;Time!$F$12,SUMIFS(Funding!$J$73:$BJ$73,Construction!$J$12:$BJ$12,"&lt;="&amp;Time!Q20),Debt!Q116)</f>
        <v>601.720974838957</v>
      </c>
      <c r="R22" s="13" t="n">
        <f aca="false">IF(Time!R20&lt;Time!$F$12,SUMIFS(Funding!$J$73:$BJ$73,Construction!$J$12:$BJ$12,"&lt;="&amp;Time!R20),Debt!R116)</f>
        <v>584.777598225169</v>
      </c>
      <c r="S22" s="13" t="n">
        <f aca="false">IF(Time!S20&lt;Time!$F$12,SUMIFS(Funding!$J$73:$BJ$73,Construction!$J$12:$BJ$12,"&lt;="&amp;Time!S20),Debt!S116)</f>
        <v>567.334927713109</v>
      </c>
      <c r="T22" s="13" t="n">
        <f aca="false">IF(Time!T20&lt;Time!$F$12,SUMIFS(Funding!$J$73:$BJ$73,Construction!$J$12:$BJ$12,"&lt;="&amp;Time!T20),Debt!T116)</f>
        <v>549.089900608055</v>
      </c>
      <c r="U22" s="13" t="n">
        <f aca="false">IF(Time!U20&lt;Time!$F$12,SUMIFS(Funding!$J$73:$BJ$73,Construction!$J$12:$BJ$12,"&lt;="&amp;Time!U20),Debt!U116)</f>
        <v>530.263007469766</v>
      </c>
      <c r="V22" s="13" t="n">
        <f aca="false">IF(Time!V20&lt;Time!$F$12,SUMIFS(Funding!$J$73:$BJ$73,Construction!$J$12:$BJ$12,"&lt;="&amp;Time!V20),Debt!V116)</f>
        <v>510.206166704379</v>
      </c>
      <c r="W22" s="13" t="n">
        <f aca="false">IF(Time!W20&lt;Time!$F$12,SUMIFS(Funding!$J$73:$BJ$73,Construction!$J$12:$BJ$12,"&lt;="&amp;Time!W20),Debt!W116)</f>
        <v>489.536200626295</v>
      </c>
      <c r="X22" s="13" t="n">
        <f aca="false">IF(Time!X20&lt;Time!$F$12,SUMIFS(Funding!$J$73:$BJ$73,Construction!$J$12:$BJ$12,"&lt;="&amp;Time!X20),Debt!X116)</f>
        <v>469.439985954652</v>
      </c>
      <c r="Y22" s="13" t="n">
        <f aca="false">IF(Time!Y20&lt;Time!$F$12,SUMIFS(Funding!$J$73:$BJ$73,Construction!$J$12:$BJ$12,"&lt;="&amp;Time!Y20),Debt!Y116)</f>
        <v>449.334315019743</v>
      </c>
      <c r="Z22" s="13" t="n">
        <f aca="false">IF(Time!Z20&lt;Time!$F$12,SUMIFS(Funding!$J$73:$BJ$73,Construction!$J$12:$BJ$12,"&lt;="&amp;Time!Z20),Debt!Z116)</f>
        <v>428.395707255639</v>
      </c>
      <c r="AA22" s="13" t="n">
        <f aca="false">IF(Time!AA20&lt;Time!$F$12,SUMIFS(Funding!$J$73:$BJ$73,Construction!$J$12:$BJ$12,"&lt;="&amp;Time!AA20),Debt!AA116)</f>
        <v>399.85405564199</v>
      </c>
      <c r="AB22" s="13" t="n">
        <f aca="false">IF(Time!AB20&lt;Time!$F$12,SUMIFS(Funding!$J$73:$BJ$73,Construction!$J$12:$BJ$12,"&lt;="&amp;Time!AB20),Debt!AB116)</f>
        <v>369.42016150836</v>
      </c>
      <c r="AC22" s="13" t="n">
        <f aca="false">IF(Time!AC20&lt;Time!$F$12,SUMIFS(Funding!$J$73:$BJ$73,Construction!$J$12:$BJ$12,"&lt;="&amp;Time!AC20),Debt!AC116)</f>
        <v>339.026161069905</v>
      </c>
      <c r="AD22" s="13" t="n">
        <f aca="false">IF(Time!AD20&lt;Time!$F$12,SUMIFS(Funding!$J$73:$BJ$73,Construction!$J$12:$BJ$12,"&lt;="&amp;Time!AD20),Debt!AD116)</f>
        <v>305.467016114223</v>
      </c>
      <c r="AE22" s="13" t="n">
        <f aca="false">IF(Time!AE20&lt;Time!$F$12,SUMIFS(Funding!$J$73:$BJ$73,Construction!$J$12:$BJ$12,"&lt;="&amp;Time!AE20),Debt!AE116)</f>
        <v>271.082189083516</v>
      </c>
      <c r="AF22" s="13" t="n">
        <f aca="false">IF(Time!AF20&lt;Time!$F$12,SUMIFS(Funding!$J$73:$BJ$73,Construction!$J$12:$BJ$12,"&lt;="&amp;Time!AF20),Debt!AF116)</f>
        <v>235.611304939653</v>
      </c>
      <c r="AG22" s="13" t="n">
        <f aca="false">IF(Time!AG20&lt;Time!$F$12,SUMIFS(Funding!$J$73:$BJ$73,Construction!$J$12:$BJ$12,"&lt;="&amp;Time!AG20),Debt!AG116)</f>
        <v>200.123390979734</v>
      </c>
      <c r="AH22" s="13" t="n">
        <f aca="false">IF(Time!AH20&lt;Time!$F$12,SUMIFS(Funding!$J$73:$BJ$73,Construction!$J$12:$BJ$12,"&lt;="&amp;Time!AH20),Debt!AH116)</f>
        <v>163.156702198138</v>
      </c>
      <c r="AI22" s="13" t="n">
        <f aca="false">IF(Time!AI20&lt;Time!$F$12,SUMIFS(Funding!$J$73:$BJ$73,Construction!$J$12:$BJ$12,"&lt;="&amp;Time!AI20),Debt!AI116)</f>
        <v>126.134475540108</v>
      </c>
      <c r="AJ22" s="13" t="n">
        <f aca="false">IF(Time!AJ20&lt;Time!$F$12,SUMIFS(Funding!$J$73:$BJ$73,Construction!$J$12:$BJ$12,"&lt;="&amp;Time!AJ20),Debt!AJ116)</f>
        <v>100.418603787566</v>
      </c>
      <c r="AK22" s="13" t="n">
        <f aca="false">IF(Time!AK20&lt;Time!$F$12,SUMIFS(Funding!$J$73:$BJ$73,Construction!$J$12:$BJ$12,"&lt;="&amp;Time!AK20),Debt!AK116)</f>
        <v>80.0985314291149</v>
      </c>
      <c r="AL22" s="13" t="n">
        <f aca="false">IF(Time!AL20&lt;Time!$F$12,SUMIFS(Funding!$J$73:$BJ$73,Construction!$J$12:$BJ$12,"&lt;="&amp;Time!AL20),Debt!AL116)</f>
        <v>58.5523711505728</v>
      </c>
      <c r="AM22" s="13" t="n">
        <f aca="false">IF(Time!AM20&lt;Time!$F$12,SUMIFS(Funding!$J$73:$BJ$73,Construction!$J$12:$BJ$12,"&lt;="&amp;Time!AM20),Debt!AM116)</f>
        <v>36.5583746460789</v>
      </c>
      <c r="AN22" s="13" t="n">
        <f aca="false">IF(Time!AN20&lt;Time!$F$12,SUMIFS(Funding!$J$73:$BJ$73,Construction!$J$12:$BJ$12,"&lt;="&amp;Time!AN20),Debt!AN116)</f>
        <v>18.4135886272815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29.5374384113498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51.7223672417235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94.6113247136481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140.851433708228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171.149096644486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204.892239821847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199.239134838307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195.499794822196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190.900089857925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186.531824668029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181.240732583879</v>
      </c>
      <c r="U23" s="13" t="n">
        <f aca="false">IF(Time!U20&lt;Time!$F$12,SUMIFS(Funding!$J$70:$BJ$70,Construction!$J$12:$BJ$12,"&lt;="&amp;Time!U20)+SUMIFS(Funding!$J$71:$BJ$71,Construction!$J$12:$BJ$12,"&lt;="&amp;Time!U20),Waterfall!U36)</f>
        <v>176.486906742853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170.318976419724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162.883367906343</v>
      </c>
      <c r="X23" s="13" t="n">
        <f aca="false">IF(Time!X20&lt;Time!$F$12,SUMIFS(Funding!$J$70:$BJ$70,Construction!$J$12:$BJ$12,"&lt;="&amp;Time!X20)+SUMIFS(Funding!$J$71:$BJ$71,Construction!$J$12:$BJ$12,"&lt;="&amp;Time!X20),Waterfall!X36)</f>
        <v>156.103606204725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149.587422449771</v>
      </c>
      <c r="Z23" s="13" t="n">
        <f aca="false">IF(Time!Z20&lt;Time!$F$12,SUMIFS(Funding!$J$70:$BJ$70,Construction!$J$12:$BJ$12,"&lt;="&amp;Time!Z20)+SUMIFS(Funding!$J$71:$BJ$71,Construction!$J$12:$BJ$12,"&lt;="&amp;Time!Z20),Waterfall!Z36)</f>
        <v>141.976968460264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141.673442318595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140.215472921636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138.889360473944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135.90682038098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132.115023848282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127.102850089099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121.056008713281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113.120273914043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103.4860841941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78.8998674625839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49.5140531421198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26.4952880321059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0.34054284024586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0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24.0627923426125</v>
      </c>
      <c r="P24" s="13" t="n">
        <f aca="false">Operations!P90+Operations!P91+Operations!P92+Operations!P93+Operations!P94</f>
        <v>23.9816190547736</v>
      </c>
      <c r="Q24" s="13" t="n">
        <f aca="false">Operations!Q90+Operations!Q91+Operations!Q92+Operations!Q93+Operations!Q94</f>
        <v>24.6321996668451</v>
      </c>
      <c r="R24" s="13" t="n">
        <f aca="false">Operations!R90+Operations!R91+Operations!R92+Operations!R93+Operations!R94</f>
        <v>23.9658315422036</v>
      </c>
      <c r="S24" s="13" t="n">
        <f aca="false">Operations!S90+Operations!S91+Operations!S92+Operations!S93+Operations!S94</f>
        <v>25.0716804921146</v>
      </c>
      <c r="T24" s="13" t="n">
        <f aca="false">Operations!T90+Operations!T91+Operations!T92+Operations!T93+Operations!T94</f>
        <v>25.2975215768646</v>
      </c>
      <c r="U24" s="13" t="n">
        <f aca="false">Operations!U90+Operations!U91+Operations!U92+Operations!U93+Operations!U94</f>
        <v>25.9300258261692</v>
      </c>
      <c r="V24" s="13" t="n">
        <f aca="false">Operations!V90+Operations!V91+Operations!V92+Operations!V93+Operations!V94</f>
        <v>25.5109160761593</v>
      </c>
      <c r="W24" s="13" t="n">
        <f aca="false">Operations!W90+Operations!W91+Operations!W92+Operations!W93+Operations!W94</f>
        <v>26.7535891134185</v>
      </c>
      <c r="X24" s="13" t="n">
        <f aca="false">Operations!X90+Operations!X91+Operations!X92+Operations!X93+Operations!X94</f>
        <v>27.0959514874766</v>
      </c>
      <c r="Y24" s="13" t="n">
        <f aca="false">Operations!Y90+Operations!Y91+Operations!Y92+Operations!Y93+Operations!Y94</f>
        <v>27.6966309467317</v>
      </c>
      <c r="Z24" s="13" t="n">
        <f aca="false">Operations!Z90+Operations!Z91+Operations!Z92+Operations!Z93+Operations!Z94</f>
        <v>26.627514150694</v>
      </c>
      <c r="AA24" s="13" t="n">
        <f aca="false">Operations!AA90+Operations!AA91+Operations!AA92+Operations!AA93+Operations!AA94</f>
        <v>28.0372851994712</v>
      </c>
      <c r="AB24" s="13" t="n">
        <f aca="false">Operations!AB90+Operations!AB91+Operations!AB92+Operations!AB93+Operations!AB94</f>
        <v>28.5833873620436</v>
      </c>
      <c r="AC24" s="13" t="n">
        <f aca="false">Operations!AC90+Operations!AC91+Operations!AC92+Operations!AC93+Operations!AC94</f>
        <v>28.7287417496483</v>
      </c>
      <c r="AD24" s="13" t="n">
        <f aca="false">Operations!AD90+Operations!AD91+Operations!AD92+Operations!AD93+Operations!AD94</f>
        <v>27.0177491387619</v>
      </c>
      <c r="AE24" s="13" t="n">
        <f aca="false">Operations!AE90+Operations!AE91+Operations!AE92+Operations!AE93+Operations!AE94</f>
        <v>27.9824820642836</v>
      </c>
      <c r="AF24" s="13" t="n">
        <f aca="false">Operations!AF90+Operations!AF91+Operations!AF92+Operations!AF93+Operations!AF94</f>
        <v>27.6845316125271</v>
      </c>
      <c r="AG24" s="13" t="n">
        <f aca="false">Operations!AG90+Operations!AG91+Operations!AG92+Operations!AG93+Operations!AG94</f>
        <v>28.6633265818981</v>
      </c>
      <c r="AH24" s="13" t="n">
        <f aca="false">Operations!AH90+Operations!AH91+Operations!AH92+Operations!AH93+Operations!AH94</f>
        <v>28.3379979298326</v>
      </c>
      <c r="AI24" s="13" t="n">
        <f aca="false">Operations!AI90+Operations!AI91+Operations!AI92+Operations!AI93+Operations!AI94</f>
        <v>29.4190487530425</v>
      </c>
      <c r="AJ24" s="13" t="n">
        <f aca="false">Operations!AJ90+Operations!AJ91+Operations!AJ92+Operations!AJ93+Operations!AJ94</f>
        <v>29.2397824503296</v>
      </c>
      <c r="AK24" s="13" t="n">
        <f aca="false">Operations!AK90+Operations!AK91+Operations!AK92+Operations!AK93+Operations!AK94</f>
        <v>29.9380069155222</v>
      </c>
      <c r="AL24" s="13" t="n">
        <f aca="false">Operations!AL90+Operations!AL91+Operations!AL92+Operations!AL93+Operations!AL94</f>
        <v>29.3880697628007</v>
      </c>
      <c r="AM24" s="13" t="n">
        <f aca="false">Operations!AM90+Operations!AM91+Operations!AM92+Operations!AM93+Operations!AM94</f>
        <v>30.8586969927797</v>
      </c>
      <c r="AN24" s="13" t="n">
        <f aca="false">Operations!AN90+Operations!AN91+Operations!AN92+Operations!AN93+Operations!AN94</f>
        <v>31.3544711182666</v>
      </c>
      <c r="AO24" s="13" t="n">
        <f aca="false">Operations!AO90+Operations!AO91+Operations!AO92+Operations!AO93+Operations!AO94</f>
        <v>32.7714919817435</v>
      </c>
      <c r="AP24" s="13" t="n">
        <f aca="false">Operations!AP90+Operations!AP91+Operations!AP92+Operations!AP93+Operations!AP94</f>
        <v>32.9513260318593</v>
      </c>
      <c r="AQ24" s="13" t="n">
        <f aca="false">Operations!AQ90+Operations!AQ91+Operations!AQ92+Operations!AQ93+Operations!AQ94</f>
        <v>33.708905829861</v>
      </c>
      <c r="AR24" s="13" t="n">
        <f aca="false">Operations!AR90+Operations!AR91+Operations!AR92+Operations!AR93+Operations!AR94</f>
        <v>32.4687252771895</v>
      </c>
      <c r="AS24" s="13" t="n">
        <f aca="false">Operations!AS90+Operations!AS91+Operations!AS92+Operations!AS93+Operations!AS94</f>
        <v>32.8655157000218</v>
      </c>
      <c r="AT24" s="13" t="n">
        <f aca="false">Operations!AT90+Operations!AT91+Operations!AT92+Operations!AT93+Operations!AT94</f>
        <v>31.5342776054041</v>
      </c>
      <c r="AU24" s="13" t="n">
        <f aca="false">Operations!AU90+Operations!AU91+Operations!AU92+Operations!AU93+Operations!AU94</f>
        <v>33.1620750605843</v>
      </c>
      <c r="AV24" s="13" t="n">
        <f aca="false">Operations!AV90+Operations!AV91+Operations!AV92+Operations!AV93+Operations!AV94</f>
        <v>33.851010410396</v>
      </c>
      <c r="AW24" s="13" t="n">
        <f aca="false">Operations!AW90+Operations!AW91+Operations!AW92+Operations!AW93+Operations!AW94</f>
        <v>35.379157026461</v>
      </c>
      <c r="AX24" s="13" t="n">
        <f aca="false">Operations!AX90+Operations!AX91+Operations!AX92+Operations!AX93+Operations!AX94</f>
        <v>35.5886363125172</v>
      </c>
      <c r="AY24" s="13" t="n">
        <f aca="false">Operations!AY90+Operations!AY91+Operations!AY92+Operations!AY93+Operations!AY94</f>
        <v>36.411640303833</v>
      </c>
      <c r="AZ24" s="13" t="n">
        <f aca="false">Operations!AZ90+Operations!AZ91+Operations!AZ92+Operations!AZ93+Operations!AZ94</f>
        <v>35.0658935408897</v>
      </c>
      <c r="BA24" s="13" t="n">
        <f aca="false">Operations!BA90+Operations!BA91+Operations!BA92+Operations!BA93+Operations!BA94</f>
        <v>35.8622657493974</v>
      </c>
      <c r="BB24" s="13" t="n">
        <f aca="false">Operations!BB90+Operations!BB91+Operations!BB92+Operations!BB93+Operations!BB94</f>
        <v>35.1180322700782</v>
      </c>
      <c r="BC24" s="13" t="n">
        <f aca="false">Operations!BC90+Operations!BC91+Operations!BC92+Operations!BC93+Operations!BC94</f>
        <v>36.7363840359266</v>
      </c>
      <c r="BD24" s="13" t="n">
        <f aca="false">Operations!BD90+Operations!BD91+Operations!BD92+Operations!BD93+Operations!BD94</f>
        <v>37.0519184688762</v>
      </c>
      <c r="BE24" s="13" t="n">
        <f aca="false">Operations!BE90+Operations!BE91+Operations!BE92+Operations!BE93+Operations!BE94</f>
        <v>38.3141347625075</v>
      </c>
      <c r="BF24" s="13" t="n">
        <f aca="false">Operations!BF90+Operations!BF91+Operations!BF92+Operations!BF93+Operations!BF94</f>
        <v>37.7712862939343</v>
      </c>
      <c r="BG24" s="13" t="n">
        <f aca="false">Operations!BG90+Operations!BG91+Operations!BG92+Operations!BG93+Operations!BG94</f>
        <v>39.2860514555806</v>
      </c>
      <c r="BH24" s="13" t="n">
        <f aca="false">Operations!BH90+Operations!BH91+Operations!BH92+Operations!BH93+Operations!BH94</f>
        <v>39.1780920573078</v>
      </c>
      <c r="BI24" s="13" t="n">
        <f aca="false">Operations!BI90+Operations!BI91+Operations!BI92+Operations!BI93+Operations!BI94</f>
        <v>39.5256297676153</v>
      </c>
      <c r="BJ24" s="13" t="n">
        <f aca="false">Operations!BJ90+Operations!BJ91+Operations!BJ92+Operations!BJ93+Operations!BJ94</f>
        <v>37.6617468768304</v>
      </c>
      <c r="BK24" s="13" t="n">
        <f aca="false">Operations!BK90+Operations!BK91+Operations!BK92+Operations!BK93+Operations!BK94</f>
        <v>39.6198048368046</v>
      </c>
      <c r="BL24" s="13" t="n">
        <f aca="false">Operations!BL90+Operations!BL91+Operations!BL92+Operations!BL93+Operations!BL94</f>
        <v>40.4785450209378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0.981475293489386</v>
      </c>
      <c r="AI25" s="13" t="n">
        <f aca="false">MAX(0,AI12)</f>
        <v>9.70716814487432</v>
      </c>
      <c r="AJ25" s="13" t="n">
        <f aca="false">MAX(0,AJ12)</f>
        <v>19.056191888306</v>
      </c>
      <c r="AK25" s="13" t="n">
        <f aca="false">MAX(0,AK12)</f>
        <v>29.1331562598134</v>
      </c>
      <c r="AL25" s="13" t="n">
        <f aca="false">MAX(0,AL12)</f>
        <v>30.9626786181416</v>
      </c>
      <c r="AM25" s="13" t="n">
        <f aca="false">MAX(0,AM12)</f>
        <v>31.9668736003516</v>
      </c>
      <c r="AN25" s="13" t="n">
        <f aca="false">MAX(0,AN12)</f>
        <v>32.9710685825616</v>
      </c>
      <c r="AO25" s="13" t="n">
        <f aca="false">MAX(0,AO12)</f>
        <v>33.9752635647716</v>
      </c>
      <c r="AP25" s="13" t="n">
        <f aca="false">MAX(0,AP12)</f>
        <v>34.9794585469816</v>
      </c>
      <c r="AQ25" s="13" t="n">
        <f aca="false">MAX(0,AQ12)</f>
        <v>35.9836535291916</v>
      </c>
      <c r="AR25" s="13" t="n">
        <f aca="false">MAX(0,AR12)</f>
        <v>36.9878485114016</v>
      </c>
      <c r="AS25" s="13" t="n">
        <f aca="false">MAX(0,AS12)</f>
        <v>37.9920434936116</v>
      </c>
      <c r="AT25" s="13" t="n">
        <f aca="false">MAX(0,AT12)</f>
        <v>38.9962384758216</v>
      </c>
      <c r="AU25" s="13" t="n">
        <f aca="false">MAX(0,AU12)</f>
        <v>40.0004334580316</v>
      </c>
      <c r="AV25" s="13" t="n">
        <f aca="false">MAX(0,AV12)</f>
        <v>41.0046284402416</v>
      </c>
      <c r="AW25" s="13" t="n">
        <f aca="false">MAX(0,AW12)</f>
        <v>42.0088234224516</v>
      </c>
      <c r="AX25" s="13" t="n">
        <f aca="false">MAX(0,AX12)</f>
        <v>43.0130184046616</v>
      </c>
      <c r="AY25" s="13" t="n">
        <f aca="false">MAX(0,AY12)</f>
        <v>44.0172133868716</v>
      </c>
      <c r="AZ25" s="13" t="n">
        <f aca="false">MAX(0,AZ12)</f>
        <v>45.0214083690815</v>
      </c>
      <c r="BA25" s="13" t="n">
        <f aca="false">MAX(0,BA12)</f>
        <v>46.0256033512915</v>
      </c>
      <c r="BB25" s="13" t="n">
        <f aca="false">MAX(0,BB12)</f>
        <v>47.0297983335015</v>
      </c>
      <c r="BC25" s="13" t="n">
        <f aca="false">MAX(0,BC12)</f>
        <v>46.1092862664757</v>
      </c>
      <c r="BD25" s="13" t="n">
        <f aca="false">MAX(0,BD12)</f>
        <v>41.3393601009783</v>
      </c>
      <c r="BE25" s="13" t="n">
        <f aca="false">MAX(0,BE12)</f>
        <v>36.5694339354807</v>
      </c>
      <c r="BF25" s="13" t="n">
        <f aca="false">MAX(0,BF12)</f>
        <v>31.7995077699832</v>
      </c>
      <c r="BG25" s="13" t="n">
        <f aca="false">MAX(0,BG12)</f>
        <v>27.0295816044858</v>
      </c>
      <c r="BH25" s="13" t="n">
        <f aca="false">MAX(0,BH12)</f>
        <v>22.2596554389883</v>
      </c>
      <c r="BI25" s="13" t="n">
        <f aca="false">MAX(0,BI12)</f>
        <v>17.4897292734908</v>
      </c>
      <c r="BJ25" s="13" t="n">
        <f aca="false">MAX(0,BJ12)</f>
        <v>12.7198031079933</v>
      </c>
      <c r="BK25" s="13" t="n">
        <f aca="false">MAX(0,BK12)</f>
        <v>7.94987694249584</v>
      </c>
      <c r="BL25" s="13" t="n">
        <f aca="false">MAX(0,BL12)</f>
        <v>3.17995077699833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7.17398344489489</v>
      </c>
      <c r="K26" s="13" t="n">
        <f aca="false">SUMIFS(Funding!$J$69:$BJ$69,Construction!$J$12:$BJ$12,"&lt;="&amp;Time!K20)</f>
        <v>12.2859130140583</v>
      </c>
      <c r="L26" s="13" t="n">
        <f aca="false">SUMIFS(Funding!$J$69:$BJ$69,Construction!$J$12:$BJ$12,"&lt;="&amp;Time!L20)</f>
        <v>22.1892313338444</v>
      </c>
      <c r="M26" s="13" t="n">
        <f aca="false">SUMIFS(Funding!$J$69:$BJ$69,Construction!$J$12:$BJ$12,"&lt;="&amp;Time!M20)</f>
        <v>32.3915671759544</v>
      </c>
      <c r="N26" s="13" t="n">
        <f aca="false">SUMIFS(Funding!$J$69:$BJ$69,Construction!$J$12:$BJ$12,"&lt;="&amp;Time!N20)</f>
        <v>38.1089746386675</v>
      </c>
      <c r="O26" s="13" t="n">
        <f aca="false">SUMIFS(Funding!$J$69:$BJ$69,Construction!$J$12:$BJ$12,"&lt;="&amp;Time!O20)</f>
        <v>44.3737693626794</v>
      </c>
      <c r="P26" s="13" t="n">
        <f aca="false">SUMIFS(Funding!$J$69:$BJ$69,Construction!$J$12:$BJ$12,"&lt;="&amp;Time!P20)</f>
        <v>44.3737693626794</v>
      </c>
      <c r="Q26" s="13" t="n">
        <f aca="false">SUMIFS(Funding!$J$69:$BJ$69,Construction!$J$12:$BJ$12,"&lt;="&amp;Time!Q20)</f>
        <v>44.3737693626794</v>
      </c>
      <c r="R26" s="13" t="n">
        <f aca="false">SUMIFS(Funding!$J$69:$BJ$69,Construction!$J$12:$BJ$12,"&lt;="&amp;Time!R20)</f>
        <v>44.3737693626794</v>
      </c>
      <c r="S26" s="13" t="n">
        <f aca="false">SUMIFS(Funding!$J$69:$BJ$69,Construction!$J$12:$BJ$12,"&lt;="&amp;Time!S20)</f>
        <v>44.3737693626794</v>
      </c>
      <c r="T26" s="13" t="n">
        <f aca="false">SUMIFS(Funding!$J$69:$BJ$69,Construction!$J$12:$BJ$12,"&lt;="&amp;Time!T20)</f>
        <v>44.3737693626794</v>
      </c>
      <c r="U26" s="13" t="n">
        <f aca="false">SUMIFS(Funding!$J$69:$BJ$69,Construction!$J$12:$BJ$12,"&lt;="&amp;Time!U20)</f>
        <v>44.3737693626794</v>
      </c>
      <c r="V26" s="13" t="n">
        <f aca="false">SUMIFS(Funding!$J$69:$BJ$69,Construction!$J$12:$BJ$12,"&lt;="&amp;Time!V20)</f>
        <v>44.3737693626794</v>
      </c>
      <c r="W26" s="13" t="n">
        <f aca="false">SUMIFS(Funding!$J$69:$BJ$69,Construction!$J$12:$BJ$12,"&lt;="&amp;Time!W20)</f>
        <v>44.3737693626794</v>
      </c>
      <c r="X26" s="13" t="n">
        <f aca="false">SUMIFS(Funding!$J$69:$BJ$69,Construction!$J$12:$BJ$12,"&lt;="&amp;Time!X20)</f>
        <v>44.3737693626794</v>
      </c>
      <c r="Y26" s="13" t="n">
        <f aca="false">SUMIFS(Funding!$J$69:$BJ$69,Construction!$J$12:$BJ$12,"&lt;="&amp;Time!Y20)</f>
        <v>44.3737693626794</v>
      </c>
      <c r="Z26" s="13" t="n">
        <f aca="false">SUMIFS(Funding!$J$69:$BJ$69,Construction!$J$12:$BJ$12,"&lt;="&amp;Time!Z20)</f>
        <v>44.3737693626794</v>
      </c>
      <c r="AA26" s="13" t="n">
        <f aca="false">SUMIFS(Funding!$J$69:$BJ$69,Construction!$J$12:$BJ$12,"&lt;="&amp;Time!AA20)</f>
        <v>44.3737693626794</v>
      </c>
      <c r="AB26" s="13" t="n">
        <f aca="false">SUMIFS(Funding!$J$69:$BJ$69,Construction!$J$12:$BJ$12,"&lt;="&amp;Time!AB20)</f>
        <v>44.3737693626794</v>
      </c>
      <c r="AC26" s="13" t="n">
        <f aca="false">SUMIFS(Funding!$J$69:$BJ$69,Construction!$J$12:$BJ$12,"&lt;="&amp;Time!AC20)</f>
        <v>44.3737693626794</v>
      </c>
      <c r="AD26" s="13" t="n">
        <f aca="false">SUMIFS(Funding!$J$69:$BJ$69,Construction!$J$12:$BJ$12,"&lt;="&amp;Time!AD20)</f>
        <v>44.3737693626794</v>
      </c>
      <c r="AE26" s="13" t="n">
        <f aca="false">SUMIFS(Funding!$J$69:$BJ$69,Construction!$J$12:$BJ$12,"&lt;="&amp;Time!AE20)</f>
        <v>44.3737693626794</v>
      </c>
      <c r="AF26" s="13" t="n">
        <f aca="false">SUMIFS(Funding!$J$69:$BJ$69,Construction!$J$12:$BJ$12,"&lt;="&amp;Time!AF20)</f>
        <v>44.3737693626794</v>
      </c>
      <c r="AG26" s="13" t="n">
        <f aca="false">SUMIFS(Funding!$J$69:$BJ$69,Construction!$J$12:$BJ$12,"&lt;="&amp;Time!AG20)</f>
        <v>44.3737693626794</v>
      </c>
      <c r="AH26" s="13" t="n">
        <f aca="false">SUMIFS(Funding!$J$69:$BJ$69,Construction!$J$12:$BJ$12,"&lt;="&amp;Time!AH20)</f>
        <v>44.3737693626794</v>
      </c>
      <c r="AI26" s="13" t="n">
        <f aca="false">SUMIFS(Funding!$J$69:$BJ$69,Construction!$J$12:$BJ$12,"&lt;="&amp;Time!AI20)</f>
        <v>44.3737693626794</v>
      </c>
      <c r="AJ26" s="13" t="n">
        <f aca="false">SUMIFS(Funding!$J$69:$BJ$69,Construction!$J$12:$BJ$12,"&lt;="&amp;Time!AJ20)</f>
        <v>44.3737693626794</v>
      </c>
      <c r="AK26" s="13" t="n">
        <f aca="false">SUMIFS(Funding!$J$69:$BJ$69,Construction!$J$12:$BJ$12,"&lt;="&amp;Time!AK20)</f>
        <v>44.3737693626794</v>
      </c>
      <c r="AL26" s="13" t="n">
        <f aca="false">SUMIFS(Funding!$J$69:$BJ$69,Construction!$J$12:$BJ$12,"&lt;="&amp;Time!AL20)</f>
        <v>44.3737693626794</v>
      </c>
      <c r="AM26" s="13" t="n">
        <f aca="false">SUMIFS(Funding!$J$69:$BJ$69,Construction!$J$12:$BJ$12,"&lt;="&amp;Time!AM20)</f>
        <v>44.3737693626794</v>
      </c>
      <c r="AN26" s="13" t="n">
        <f aca="false">SUMIFS(Funding!$J$69:$BJ$69,Construction!$J$12:$BJ$12,"&lt;="&amp;Time!AN20)</f>
        <v>44.3737693626794</v>
      </c>
      <c r="AO26" s="13" t="n">
        <f aca="false">SUMIFS(Funding!$J$69:$BJ$69,Construction!$J$12:$BJ$12,"&lt;="&amp;Time!AO20)</f>
        <v>44.3737693626794</v>
      </c>
      <c r="AP26" s="13" t="n">
        <f aca="false">SUMIFS(Funding!$J$69:$BJ$69,Construction!$J$12:$BJ$12,"&lt;="&amp;Time!AP20)</f>
        <v>44.3737693626794</v>
      </c>
      <c r="AQ26" s="13" t="n">
        <f aca="false">SUMIFS(Funding!$J$69:$BJ$69,Construction!$J$12:$BJ$12,"&lt;="&amp;Time!AQ20)</f>
        <v>44.3737693626794</v>
      </c>
      <c r="AR26" s="13" t="n">
        <f aca="false">SUMIFS(Funding!$J$69:$BJ$69,Construction!$J$12:$BJ$12,"&lt;="&amp;Time!AR20)</f>
        <v>44.3737693626794</v>
      </c>
      <c r="AS26" s="13" t="n">
        <f aca="false">SUMIFS(Funding!$J$69:$BJ$69,Construction!$J$12:$BJ$12,"&lt;="&amp;Time!AS20)</f>
        <v>44.3737693626794</v>
      </c>
      <c r="AT26" s="13" t="n">
        <f aca="false">SUMIFS(Funding!$J$69:$BJ$69,Construction!$J$12:$BJ$12,"&lt;="&amp;Time!AT20)</f>
        <v>44.3737693626794</v>
      </c>
      <c r="AU26" s="13" t="n">
        <f aca="false">SUMIFS(Funding!$J$69:$BJ$69,Construction!$J$12:$BJ$12,"&lt;="&amp;Time!AU20)</f>
        <v>44.3737693626794</v>
      </c>
      <c r="AV26" s="13" t="n">
        <f aca="false">SUMIFS(Funding!$J$69:$BJ$69,Construction!$J$12:$BJ$12,"&lt;="&amp;Time!AV20)</f>
        <v>44.3737693626794</v>
      </c>
      <c r="AW26" s="13" t="n">
        <f aca="false">SUMIFS(Funding!$J$69:$BJ$69,Construction!$J$12:$BJ$12,"&lt;="&amp;Time!AW20)</f>
        <v>44.3737693626794</v>
      </c>
      <c r="AX26" s="13" t="n">
        <f aca="false">SUMIFS(Funding!$J$69:$BJ$69,Construction!$J$12:$BJ$12,"&lt;="&amp;Time!AX20)</f>
        <v>44.3737693626794</v>
      </c>
      <c r="AY26" s="13" t="n">
        <f aca="false">SUMIFS(Funding!$J$69:$BJ$69,Construction!$J$12:$BJ$12,"&lt;="&amp;Time!AY20)</f>
        <v>44.3737693626794</v>
      </c>
      <c r="AZ26" s="13" t="n">
        <f aca="false">SUMIFS(Funding!$J$69:$BJ$69,Construction!$J$12:$BJ$12,"&lt;="&amp;Time!AZ20)</f>
        <v>44.3737693626794</v>
      </c>
      <c r="BA26" s="13" t="n">
        <f aca="false">SUMIFS(Funding!$J$69:$BJ$69,Construction!$J$12:$BJ$12,"&lt;="&amp;Time!BA20)</f>
        <v>44.3737693626794</v>
      </c>
      <c r="BB26" s="13" t="n">
        <f aca="false">SUMIFS(Funding!$J$69:$BJ$69,Construction!$J$12:$BJ$12,"&lt;="&amp;Time!BB20)</f>
        <v>44.3737693626794</v>
      </c>
      <c r="BC26" s="13" t="n">
        <f aca="false">SUMIFS(Funding!$J$69:$BJ$69,Construction!$J$12:$BJ$12,"&lt;="&amp;Time!BC20)</f>
        <v>44.3737693626794</v>
      </c>
      <c r="BD26" s="13" t="n">
        <f aca="false">SUMIFS(Funding!$J$69:$BJ$69,Construction!$J$12:$BJ$12,"&lt;="&amp;Time!BD20)</f>
        <v>44.3737693626794</v>
      </c>
      <c r="BE26" s="13" t="n">
        <f aca="false">SUMIFS(Funding!$J$69:$BJ$69,Construction!$J$12:$BJ$12,"&lt;="&amp;Time!BE20)</f>
        <v>44.3737693626794</v>
      </c>
      <c r="BF26" s="13" t="n">
        <f aca="false">SUMIFS(Funding!$J$69:$BJ$69,Construction!$J$12:$BJ$12,"&lt;="&amp;Time!BF20)</f>
        <v>44.3737693626794</v>
      </c>
      <c r="BG26" s="13" t="n">
        <f aca="false">SUMIFS(Funding!$J$69:$BJ$69,Construction!$J$12:$BJ$12,"&lt;="&amp;Time!BG20)</f>
        <v>44.3737693626794</v>
      </c>
      <c r="BH26" s="13" t="n">
        <f aca="false">SUMIFS(Funding!$J$69:$BJ$69,Construction!$J$12:$BJ$12,"&lt;="&amp;Time!BH20)</f>
        <v>44.3737693626794</v>
      </c>
      <c r="BI26" s="13" t="n">
        <f aca="false">SUMIFS(Funding!$J$69:$BJ$69,Construction!$J$12:$BJ$12,"&lt;="&amp;Time!BI20)</f>
        <v>44.3737693626794</v>
      </c>
      <c r="BJ26" s="13" t="n">
        <f aca="false">SUMIFS(Funding!$J$69:$BJ$69,Construction!$J$12:$BJ$12,"&lt;="&amp;Time!BJ20)</f>
        <v>44.3737693626794</v>
      </c>
      <c r="BK26" s="13" t="n">
        <f aca="false">SUMIFS(Funding!$J$69:$BJ$69,Construction!$J$12:$BJ$12,"&lt;="&amp;Time!BK20)</f>
        <v>44.3737693626794</v>
      </c>
      <c r="BL26" s="13" t="n">
        <f aca="false">SUMIFS(Funding!$J$69:$BJ$69,Construction!$J$12:$BJ$12,"&lt;="&amp;Time!BL20)</f>
        <v>44.3737693626794</v>
      </c>
      <c r="BM26" s="13" t="n">
        <f aca="false">SUMIFS(Funding!$J$69:$BJ$69,Construction!$J$12:$BJ$12,"&lt;="&amp;Time!BM20)</f>
        <v>44.3737693626794</v>
      </c>
      <c r="BN26" s="13" t="n">
        <f aca="false">SUMIFS(Funding!$J$69:$BJ$69,Construction!$J$12:$BJ$12,"&lt;="&amp;Time!BN20)</f>
        <v>44.3737693626794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9.92117430297742</v>
      </c>
      <c r="P27" s="18" t="n">
        <f aca="false">Waterfall!P43</f>
        <v>17.7949955785585</v>
      </c>
      <c r="Q27" s="18" t="n">
        <f aca="false">Waterfall!Q43</f>
        <v>27.17670096169</v>
      </c>
      <c r="R27" s="18" t="n">
        <f aca="false">Waterfall!R43</f>
        <v>36.8886879327385</v>
      </c>
      <c r="S27" s="18" t="n">
        <f aca="false">Waterfall!S43</f>
        <v>48.229752991066</v>
      </c>
      <c r="T27" s="18" t="n">
        <f aca="false">Waterfall!T43</f>
        <v>60.1325269306604</v>
      </c>
      <c r="U27" s="18" t="n">
        <f aca="false">Waterfall!U43</f>
        <v>73.3895557049083</v>
      </c>
      <c r="V27" s="18" t="n">
        <f aca="false">Waterfall!V43</f>
        <v>85.0548563464022</v>
      </c>
      <c r="W27" s="18" t="n">
        <f aca="false">Waterfall!W43</f>
        <v>100.702213363449</v>
      </c>
      <c r="X27" s="18" t="n">
        <f aca="false">Waterfall!X43</f>
        <v>117.355597423627</v>
      </c>
      <c r="Y27" s="18" t="n">
        <f aca="false">Waterfall!Y43</f>
        <v>131.928613362186</v>
      </c>
      <c r="Z27" s="18" t="n">
        <f aca="false">Waterfall!Z43</f>
        <v>141.139241984404</v>
      </c>
      <c r="AA27" s="18" t="n">
        <f aca="false">Waterfall!AA43</f>
        <v>151.446227794848</v>
      </c>
      <c r="AB27" s="18" t="n">
        <f aca="false">Waterfall!AB43</f>
        <v>162.653370626005</v>
      </c>
      <c r="AC27" s="18" t="n">
        <f aca="false">Waterfall!AC43</f>
        <v>174.888668334065</v>
      </c>
      <c r="AD27" s="18" t="n">
        <f aca="false">Waterfall!AD43</f>
        <v>179.591833869429</v>
      </c>
      <c r="AE27" s="18" t="n">
        <f aca="false">Waterfall!AE43</f>
        <v>193.995313750815</v>
      </c>
      <c r="AF27" s="18" t="n">
        <f aca="false">Waterfall!AF43</f>
        <v>209.62176949971</v>
      </c>
      <c r="AG27" s="18" t="n">
        <f aca="false">Waterfall!AG43</f>
        <v>226.62262705306</v>
      </c>
      <c r="AH27" s="18" t="n">
        <f aca="false">Waterfall!AH43</f>
        <v>244.982164443647</v>
      </c>
      <c r="AI27" s="18" t="n">
        <f aca="false">Waterfall!AI43</f>
        <v>264.941846286811</v>
      </c>
      <c r="AJ27" s="18" t="n">
        <f aca="false">Waterfall!AJ43</f>
        <v>286.351759818062</v>
      </c>
      <c r="AK27" s="18" t="n">
        <f aca="false">Waterfall!AK43</f>
        <v>309.456717093211</v>
      </c>
      <c r="AL27" s="18" t="n">
        <f aca="false">Waterfall!AL43</f>
        <v>332.157465415547</v>
      </c>
      <c r="AM27" s="18" t="n">
        <f aca="false">Waterfall!AM43</f>
        <v>358.672780629335</v>
      </c>
      <c r="AN27" s="18" t="n">
        <f aca="false">Waterfall!AN43</f>
        <v>361.423465588642</v>
      </c>
      <c r="AO27" s="18" t="n">
        <f aca="false">Waterfall!AO43</f>
        <v>345.981004141414</v>
      </c>
      <c r="AP27" s="18" t="n">
        <f aca="false">Waterfall!AP43</f>
        <v>330.520427170177</v>
      </c>
      <c r="AQ27" s="18" t="n">
        <f aca="false">Waterfall!AQ43</f>
        <v>315.527972541886</v>
      </c>
      <c r="AR27" s="18" t="n">
        <f aca="false">Waterfall!AR43</f>
        <v>299.938662654638</v>
      </c>
      <c r="AS27" s="18" t="n">
        <f aca="false">Waterfall!AS43</f>
        <v>284.883547800734</v>
      </c>
      <c r="AT27" s="18" t="n">
        <f aca="false">Waterfall!AT43</f>
        <v>252.480630365755</v>
      </c>
      <c r="AU27" s="18" t="n">
        <f aca="false">Waterfall!AU43</f>
        <v>235.614163914522</v>
      </c>
      <c r="AV27" s="18" t="n">
        <f aca="false">Waterfall!AV43</f>
        <v>218.478880396344</v>
      </c>
      <c r="AW27" s="18" t="n">
        <f aca="false">Waterfall!AW43</f>
        <v>201.830441615501</v>
      </c>
      <c r="AX27" s="18" t="n">
        <f aca="false">Waterfall!AX43</f>
        <v>184.611305273038</v>
      </c>
      <c r="AY27" s="18" t="n">
        <f aca="false">Waterfall!AY43</f>
        <v>167.911543358217</v>
      </c>
      <c r="AZ27" s="18" t="n">
        <f aca="false">Waterfall!AZ43</f>
        <v>150.58457131541</v>
      </c>
      <c r="BA27" s="18" t="n">
        <f aca="false">Waterfall!BA43</f>
        <v>134.327633706001</v>
      </c>
      <c r="BB27" s="18" t="n">
        <f aca="false">Waterfall!BB43</f>
        <v>114.472616311524</v>
      </c>
      <c r="BC27" s="18" t="n">
        <f aca="false">Waterfall!BC43</f>
        <v>100.756104952802</v>
      </c>
      <c r="BD27" s="18" t="n">
        <f aca="false">Waterfall!BD43</f>
        <v>93.0418660531506</v>
      </c>
      <c r="BE27" s="18" t="n">
        <f aca="false">Waterfall!BE43</f>
        <v>85.9718952753619</v>
      </c>
      <c r="BF27" s="18" t="n">
        <f aca="false">Waterfall!BF43</f>
        <v>78.2457074549971</v>
      </c>
      <c r="BG27" s="18" t="n">
        <f aca="false">Waterfall!BG43</f>
        <v>71.243559276947</v>
      </c>
      <c r="BH27" s="18" t="n">
        <f aca="false">Waterfall!BH43</f>
        <v>63.5866818819923</v>
      </c>
      <c r="BI27" s="18" t="n">
        <f aca="false">Waterfall!BI43</f>
        <v>56.4586314018411</v>
      </c>
      <c r="BJ27" s="18" t="n">
        <f aca="false">Waterfall!BJ43</f>
        <v>28.6150412689956</v>
      </c>
      <c r="BK27" s="18" t="n">
        <f aca="false">Waterfall!BK43</f>
        <v>19.4237745785396</v>
      </c>
      <c r="BL27" s="18" t="n">
        <f aca="false">Waterfall!BL43</f>
        <v>9.30203355488466</v>
      </c>
      <c r="BM27" s="18" t="n">
        <f aca="false">Waterfall!BM43</f>
        <v>-44.3737693626796</v>
      </c>
      <c r="BN27" s="18" t="n">
        <f aca="false">Waterfall!BN43</f>
        <v>-44.3737693626796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139.107191769933</v>
      </c>
      <c r="K28" s="13" t="n">
        <f aca="false">K22+K23+K24+K25+K26+K27</f>
        <v>239.367692753776</v>
      </c>
      <c r="L28" s="13" t="n">
        <f aca="false">L22+L23+L24+L25+L26+L27</f>
        <v>433.512107401682</v>
      </c>
      <c r="M28" s="13" t="n">
        <f aca="false">M22+M23+M24+M25+M26+M27</f>
        <v>635.574630887184</v>
      </c>
      <c r="N28" s="13" t="n">
        <f aca="false">N22+N23+N24+N25+N26+N27</f>
        <v>753.195456798649</v>
      </c>
      <c r="O28" s="13" t="n">
        <f aca="false">O22+O23+O24+O25+O26+O27</f>
        <v>916.611189060928</v>
      </c>
      <c r="P28" s="13" t="n">
        <f aca="false">P22+P23+P24+P25+P26+P27</f>
        <v>903.258443105062</v>
      </c>
      <c r="Q28" s="13" t="n">
        <f aca="false">Q22+Q23+Q24+Q25+Q26+Q27</f>
        <v>893.403439652367</v>
      </c>
      <c r="R28" s="13" t="n">
        <f aca="false">R22+R23+R24+R25+R26+R27</f>
        <v>880.905976920716</v>
      </c>
      <c r="S28" s="13" t="n">
        <f aca="false">S22+S23+S24+S25+S26+S27</f>
        <v>871.541955226998</v>
      </c>
      <c r="T28" s="13" t="n">
        <f aca="false">T22+T23+T24+T25+T26+T27</f>
        <v>860.134451062139</v>
      </c>
      <c r="U28" s="13" t="n">
        <f aca="false">U22+U23+U24+U25+U26+U27</f>
        <v>850.443265106376</v>
      </c>
      <c r="V28" s="13" t="n">
        <f aca="false">V22+V23+V24+V25+V26+V27</f>
        <v>835.464684909344</v>
      </c>
      <c r="W28" s="13" t="n">
        <f aca="false">W22+W23+W24+W25+W26+W27</f>
        <v>824.249140372185</v>
      </c>
      <c r="X28" s="13" t="n">
        <f aca="false">X22+X23+X24+X25+X26+X27</f>
        <v>814.36891043316</v>
      </c>
      <c r="Y28" s="13" t="n">
        <f aca="false">Y22+Y23+Y24+Y25+Y26+Y27</f>
        <v>802.920751141111</v>
      </c>
      <c r="Z28" s="13" t="n">
        <f aca="false">Z22+Z23+Z24+Z25+Z26+Z27</f>
        <v>782.513201213681</v>
      </c>
      <c r="AA28" s="13" t="n">
        <f aca="false">AA22+AA23+AA24+AA25+AA26+AA27</f>
        <v>765.384780317584</v>
      </c>
      <c r="AB28" s="13" t="n">
        <f aca="false">AB22+AB23+AB24+AB25+AB26+AB27</f>
        <v>745.246161780724</v>
      </c>
      <c r="AC28" s="13" t="n">
        <f aca="false">AC22+AC23+AC24+AC25+AC26+AC27</f>
        <v>725.906700990241</v>
      </c>
      <c r="AD28" s="13" t="n">
        <f aca="false">AD22+AD23+AD24+AD25+AD26+AD27</f>
        <v>692.357188866073</v>
      </c>
      <c r="AE28" s="13" t="n">
        <f aca="false">AE22+AE23+AE24+AE25+AE26+AE27</f>
        <v>669.548778109576</v>
      </c>
      <c r="AF28" s="13" t="n">
        <f aca="false">AF22+AF23+AF24+AF25+AF26+AF27</f>
        <v>644.394225503668</v>
      </c>
      <c r="AG28" s="13" t="n">
        <f aca="false">AG22+AG23+AG24+AG25+AG26+AG27</f>
        <v>620.839122690652</v>
      </c>
      <c r="AH28" s="13" t="n">
        <f aca="false">AH22+AH23+AH24+AH25+AH26+AH27</f>
        <v>594.952383141829</v>
      </c>
      <c r="AI28" s="13" t="n">
        <f aca="false">AI22+AI23+AI24+AI25+AI26+AI27</f>
        <v>578.062392281615</v>
      </c>
      <c r="AJ28" s="13" t="n">
        <f aca="false">AJ22+AJ23+AJ24+AJ25+AJ26+AJ27</f>
        <v>558.339974769527</v>
      </c>
      <c r="AK28" s="13" t="n">
        <f aca="false">AK22+AK23+AK24+AK25+AK26+AK27</f>
        <v>542.514234202461</v>
      </c>
      <c r="AL28" s="13" t="n">
        <f aca="false">AL22+AL23+AL24+AL25+AL26+AL27</f>
        <v>521.929642341848</v>
      </c>
      <c r="AM28" s="13" t="n">
        <f aca="false">AM22+AM23+AM24+AM25+AM26+AM27</f>
        <v>502.77103807147</v>
      </c>
      <c r="AN28" s="13" t="n">
        <f aca="false">AN22+AN23+AN24+AN25+AN26+AN27</f>
        <v>488.536363279431</v>
      </c>
      <c r="AO28" s="13" t="n">
        <f aca="false">AO22+AO23+AO24+AO25+AO26+AO27</f>
        <v>457.101529050609</v>
      </c>
      <c r="AP28" s="13" t="n">
        <f aca="false">AP22+AP23+AP24+AP25+AP26+AP27</f>
        <v>442.824981111697</v>
      </c>
      <c r="AQ28" s="13" t="n">
        <f aca="false">AQ22+AQ23+AQ24+AQ25+AQ26+AQ27</f>
        <v>429.594301263618</v>
      </c>
      <c r="AR28" s="13" t="n">
        <f aca="false">AR22+AR23+AR24+AR25+AR26+AR27</f>
        <v>413.769005805909</v>
      </c>
      <c r="AS28" s="13" t="n">
        <f aca="false">AS22+AS23+AS24+AS25+AS26+AS27</f>
        <v>400.114876357047</v>
      </c>
      <c r="AT28" s="13" t="n">
        <f aca="false">AT22+AT23+AT24+AT25+AT26+AT27</f>
        <v>367.38491580966</v>
      </c>
      <c r="AU28" s="13" t="n">
        <f aca="false">AU22+AU23+AU24+AU25+AU26+AU27</f>
        <v>353.150441795817</v>
      </c>
      <c r="AV28" s="13" t="n">
        <f aca="false">AV22+AV23+AV24+AV25+AV26+AV27</f>
        <v>337.708288609661</v>
      </c>
      <c r="AW28" s="13" t="n">
        <f aca="false">AW22+AW23+AW24+AW25+AW26+AW27</f>
        <v>323.592191427093</v>
      </c>
      <c r="AX28" s="13" t="n">
        <f aca="false">AX22+AX23+AX24+AX25+AX26+AX27</f>
        <v>307.586729352896</v>
      </c>
      <c r="AY28" s="13" t="n">
        <f aca="false">AY22+AY23+AY24+AY25+AY26+AY27</f>
        <v>292.714166411601</v>
      </c>
      <c r="AZ28" s="13" t="n">
        <f aca="false">AZ22+AZ23+AZ24+AZ25+AZ26+AZ27</f>
        <v>275.045642588061</v>
      </c>
      <c r="BA28" s="13" t="n">
        <f aca="false">BA22+BA23+BA24+BA25+BA26+BA27</f>
        <v>260.589272169369</v>
      </c>
      <c r="BB28" s="13" t="n">
        <f aca="false">BB22+BB23+BB24+BB25+BB26+BB27</f>
        <v>240.994216277783</v>
      </c>
      <c r="BC28" s="13" t="n">
        <f aca="false">BC22+BC23+BC24+BC25+BC26+BC27</f>
        <v>227.975544617883</v>
      </c>
      <c r="BD28" s="13" t="n">
        <f aca="false">BD22+BD23+BD24+BD25+BD26+BD27</f>
        <v>215.806913985684</v>
      </c>
      <c r="BE28" s="13" t="n">
        <f aca="false">BE22+BE23+BE24+BE25+BE26+BE27</f>
        <v>205.22923333603</v>
      </c>
      <c r="BF28" s="13" t="n">
        <f aca="false">BF22+BF23+BF24+BF25+BF26+BF27</f>
        <v>192.190270881594</v>
      </c>
      <c r="BG28" s="13" t="n">
        <f aca="false">BG22+BG23+BG24+BG25+BG26+BG27</f>
        <v>181.932961699693</v>
      </c>
      <c r="BH28" s="13" t="n">
        <f aca="false">BH22+BH23+BH24+BH25+BH26+BH27</f>
        <v>169.398198740968</v>
      </c>
      <c r="BI28" s="13" t="n">
        <f aca="false">BI22+BI23+BI24+BI25+BI26+BI27</f>
        <v>157.847759805627</v>
      </c>
      <c r="BJ28" s="13" t="n">
        <f aca="false">BJ22+BJ23+BJ24+BJ25+BJ26+BJ27</f>
        <v>123.370360616499</v>
      </c>
      <c r="BK28" s="13" t="n">
        <f aca="false">BK22+BK23+BK24+BK25+BK26+BK27</f>
        <v>111.367225720519</v>
      </c>
      <c r="BL28" s="13" t="n">
        <f aca="false">BL22+BL23+BL24+BL25+BL26+BL27</f>
        <v>97.3342987155002</v>
      </c>
      <c r="BM28" s="13" t="n">
        <f aca="false">BM22+BM23+BM24+BM25+BM26+BM27</f>
        <v>-1.70530256582424E-013</v>
      </c>
      <c r="BN28" s="13" t="n">
        <f aca="false">BN22+BN23+BN24+BN25+BN26+BN27</f>
        <v>-1.70530256582424E-013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1.70530256582424E-013</v>
      </c>
      <c r="BN29" s="13" t="n">
        <f aca="false">BN21-BN28</f>
        <v>1.70530256582424E-013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2862.03926759498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17.0285521481503</v>
      </c>
      <c r="P32" s="18" t="n">
        <f aca="false">Operations!P84</f>
        <v>51.1621554141174</v>
      </c>
      <c r="Q32" s="18" t="n">
        <f aca="false">Operations!Q84</f>
        <v>51.4991518191535</v>
      </c>
      <c r="R32" s="18" t="n">
        <f aca="false">Operations!R84</f>
        <v>51.4783586589143</v>
      </c>
      <c r="S32" s="18" t="n">
        <f aca="false">Operations!S84</f>
        <v>51.9472428068036</v>
      </c>
      <c r="T32" s="18" t="n">
        <f aca="false">Operations!T84</f>
        <v>52.0644423561361</v>
      </c>
      <c r="U32" s="18" t="n">
        <f aca="false">Operations!U84</f>
        <v>52.3085056005145</v>
      </c>
      <c r="V32" s="18" t="n">
        <f aca="false">Operations!V84</f>
        <v>50.0708584580408</v>
      </c>
      <c r="W32" s="18" t="n">
        <f aca="false">Operations!W84</f>
        <v>52.7466374055138</v>
      </c>
      <c r="X32" s="18" t="n">
        <f aca="false">Operations!X84</f>
        <v>53.0067009216076</v>
      </c>
      <c r="Y32" s="18" t="n">
        <f aca="false">Operations!Y84</f>
        <v>53.1718456829995</v>
      </c>
      <c r="Z32" s="18" t="n">
        <f aca="false">Operations!Z84</f>
        <v>53.5284868261508</v>
      </c>
      <c r="AA32" s="18" t="n">
        <f aca="false">Operations!AA84</f>
        <v>53.7168964343639</v>
      </c>
      <c r="AB32" s="18" t="n">
        <f aca="false">Operations!AB84</f>
        <v>54.1645036739538</v>
      </c>
      <c r="AC32" s="18" t="n">
        <f aca="false">Operations!AC84</f>
        <v>54.215513184838</v>
      </c>
      <c r="AD32" s="18" t="n">
        <f aca="false">Operations!AD84</f>
        <v>42.3782883647736</v>
      </c>
      <c r="AE32" s="18" t="n">
        <f aca="false">Operations!AE84</f>
        <v>54.5864650662166</v>
      </c>
      <c r="AF32" s="18" t="n">
        <f aca="false">Operations!AF84</f>
        <v>55.0440443907817</v>
      </c>
      <c r="AG32" s="18" t="n">
        <f aca="false">Operations!AG84</f>
        <v>55.4058356158639</v>
      </c>
      <c r="AH32" s="18" t="n">
        <f aca="false">Operations!AH84</f>
        <v>55.8255954272658</v>
      </c>
      <c r="AI32" s="18" t="n">
        <f aca="false">Operations!AI84</f>
        <v>56.1427109708385</v>
      </c>
      <c r="AJ32" s="18" t="n">
        <f aca="false">Operations!AJ84</f>
        <v>56.4297045289509</v>
      </c>
      <c r="AK32" s="18" t="n">
        <f aca="false">Operations!AK84</f>
        <v>56.7813010096403</v>
      </c>
      <c r="AL32" s="18" t="n">
        <f aca="false">Operations!AL84</f>
        <v>53.7120526155489</v>
      </c>
      <c r="AM32" s="18" t="n">
        <f aca="false">Operations!AM84</f>
        <v>57.4456429127503</v>
      </c>
      <c r="AN32" s="18" t="n">
        <f aca="false">Operations!AN84</f>
        <v>57.7007039742505</v>
      </c>
      <c r="AO32" s="18" t="n">
        <f aca="false">Operations!AO84</f>
        <v>58.0591306062935</v>
      </c>
      <c r="AP32" s="18" t="n">
        <f aca="false">Operations!AP84</f>
        <v>58.6792223836679</v>
      </c>
      <c r="AQ32" s="18" t="n">
        <f aca="false">Operations!AQ84</f>
        <v>58.9172438229831</v>
      </c>
      <c r="AR32" s="18" t="n">
        <f aca="false">Operations!AR84</f>
        <v>59.234175913524</v>
      </c>
      <c r="AS32" s="18" t="n">
        <f aca="false">Operations!AS84</f>
        <v>59.6881340516816</v>
      </c>
      <c r="AT32" s="18" t="n">
        <f aca="false">Operations!AT84</f>
        <v>44.0403697847418</v>
      </c>
      <c r="AU32" s="18" t="n">
        <f aca="false">Operations!AU84</f>
        <v>60.1496563803701</v>
      </c>
      <c r="AV32" s="18" t="n">
        <f aca="false">Operations!AV84</f>
        <v>60.9120157635593</v>
      </c>
      <c r="AW32" s="18" t="n">
        <f aca="false">Operations!AW84</f>
        <v>61.3543245592536</v>
      </c>
      <c r="AX32" s="18" t="n">
        <f aca="false">Operations!AX84</f>
        <v>61.956012271963</v>
      </c>
      <c r="AY32" s="18" t="n">
        <f aca="false">Operations!AY84</f>
        <v>62.2793615853118</v>
      </c>
      <c r="AZ32" s="18" t="n">
        <f aca="false">Operations!AZ84</f>
        <v>62.7830651710327</v>
      </c>
      <c r="BA32" s="18" t="n">
        <f aca="false">Operations!BA84</f>
        <v>63.2995411095856</v>
      </c>
      <c r="BB32" s="18" t="n">
        <f aca="false">Operations!BB84</f>
        <v>60.1507824204377</v>
      </c>
      <c r="BC32" s="18" t="n">
        <f aca="false">Operations!BC84</f>
        <v>64.3311815455839</v>
      </c>
      <c r="BD32" s="18" t="n">
        <f aca="false">Operations!BD84</f>
        <v>64.845087986784</v>
      </c>
      <c r="BE32" s="18" t="n">
        <f aca="false">Operations!BE84</f>
        <v>65.4167575595203</v>
      </c>
      <c r="BF32" s="18" t="n">
        <f aca="false">Operations!BF84</f>
        <v>65.97005171243</v>
      </c>
      <c r="BG32" s="18" t="n">
        <f aca="false">Operations!BG84</f>
        <v>66.5757155642226</v>
      </c>
      <c r="BH32" s="18" t="n">
        <f aca="false">Operations!BH84</f>
        <v>67.1690491752597</v>
      </c>
      <c r="BI32" s="18" t="n">
        <f aca="false">Operations!BI84</f>
        <v>67.7881684736296</v>
      </c>
      <c r="BJ32" s="18" t="n">
        <f aca="false">Operations!BJ84</f>
        <v>48.8962817750215</v>
      </c>
      <c r="BK32" s="18" t="n">
        <f aca="false">Operations!BK84</f>
        <v>68.3373322252129</v>
      </c>
      <c r="BL32" s="18" t="n">
        <f aca="false">Operations!BL84</f>
        <v>69.7439796164164</v>
      </c>
      <c r="BM32" s="18" t="n">
        <f aca="false">Operations!BM84</f>
        <v>27.9004298683568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-395.541847084499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-0.123335893083213</v>
      </c>
      <c r="Z33" s="13" t="n">
        <f aca="false">-Tax!Z27</f>
        <v>-0.371508367910274</v>
      </c>
      <c r="AA33" s="13" t="n">
        <f aca="false">-Tax!AA27</f>
        <v>-0.375511972223142</v>
      </c>
      <c r="AB33" s="13" t="n">
        <f aca="false">-Tax!AB27</f>
        <v>-0.380662137321894</v>
      </c>
      <c r="AC33" s="13" t="n">
        <f aca="false">-Tax!AC27</f>
        <v>-0.382309249125701</v>
      </c>
      <c r="AD33" s="13" t="n">
        <f aca="false">-Tax!AD27</f>
        <v>-0.379962995385101</v>
      </c>
      <c r="AE33" s="13" t="n">
        <f aca="false">-Tax!AE27</f>
        <v>-0.383765014067833</v>
      </c>
      <c r="AF33" s="13" t="n">
        <f aca="false">-Tax!AF27</f>
        <v>-0.388206702701282</v>
      </c>
      <c r="AG33" s="13" t="n">
        <f aca="false">-Tax!AG27</f>
        <v>-0.392032297593501</v>
      </c>
      <c r="AH33" s="13" t="n">
        <f aca="false">-Tax!AH27</f>
        <v>-0.396337992631786</v>
      </c>
      <c r="AI33" s="13" t="n">
        <f aca="false">-Tax!AI27</f>
        <v>-0.400268143401087</v>
      </c>
      <c r="AJ33" s="13" t="n">
        <f aca="false">-Tax!AJ27</f>
        <v>-0.404475203422554</v>
      </c>
      <c r="AK33" s="13" t="n">
        <f aca="false">-Tax!AK27</f>
        <v>-0.407959591701646</v>
      </c>
      <c r="AL33" s="13" t="n">
        <f aca="false">-Tax!AL27</f>
        <v>-7.89936977981571</v>
      </c>
      <c r="AM33" s="13" t="n">
        <f aca="false">-Tax!AM27</f>
        <v>-10.3595115379847</v>
      </c>
      <c r="AN33" s="13" t="n">
        <f aca="false">-Tax!AN27</f>
        <v>-10.9823936372694</v>
      </c>
      <c r="AO33" s="13" t="n">
        <f aca="false">-Tax!AO27</f>
        <v>-11.2433303494403</v>
      </c>
      <c r="AP33" s="13" t="n">
        <f aca="false">-Tax!AP27</f>
        <v>-11.5785968218404</v>
      </c>
      <c r="AQ33" s="13" t="n">
        <f aca="false">-Tax!AQ27</f>
        <v>-11.650003253635</v>
      </c>
      <c r="AR33" s="13" t="n">
        <f aca="false">-Tax!AR27</f>
        <v>-11.7450828807972</v>
      </c>
      <c r="AS33" s="13" t="n">
        <f aca="false">-Tax!AS27</f>
        <v>-11.8812703222445</v>
      </c>
      <c r="AT33" s="13" t="n">
        <f aca="false">-Tax!AT27</f>
        <v>-7.18694104216255</v>
      </c>
      <c r="AU33" s="13" t="n">
        <f aca="false">-Tax!AU27</f>
        <v>-12.0197270208511</v>
      </c>
      <c r="AV33" s="13" t="n">
        <f aca="false">-Tax!AV27</f>
        <v>-12.2484348358078</v>
      </c>
      <c r="AW33" s="13" t="n">
        <f aca="false">-Tax!AW27</f>
        <v>-12.3811274745161</v>
      </c>
      <c r="AX33" s="13" t="n">
        <f aca="false">-Tax!AX27</f>
        <v>-12.5616337883289</v>
      </c>
      <c r="AY33" s="13" t="n">
        <f aca="false">-Tax!AY27</f>
        <v>-12.6586385823335</v>
      </c>
      <c r="AZ33" s="13" t="n">
        <f aca="false">-Tax!AZ27</f>
        <v>-12.8097496580498</v>
      </c>
      <c r="BA33" s="13" t="n">
        <f aca="false">-Tax!BA27</f>
        <v>-12.9646924396157</v>
      </c>
      <c r="BB33" s="13" t="n">
        <f aca="false">-Tax!BB27</f>
        <v>-12.0200648328713</v>
      </c>
      <c r="BC33" s="13" t="n">
        <f aca="false">-Tax!BC27</f>
        <v>-15.198891619651</v>
      </c>
      <c r="BD33" s="13" t="n">
        <f aca="false">-Tax!BD27</f>
        <v>-19.2024776504827</v>
      </c>
      <c r="BE33" s="13" t="n">
        <f aca="false">-Tax!BE27</f>
        <v>-19.3739785223036</v>
      </c>
      <c r="BF33" s="13" t="n">
        <f aca="false">-Tax!BF27</f>
        <v>-19.5399667681765</v>
      </c>
      <c r="BG33" s="13" t="n">
        <f aca="false">-Tax!BG27</f>
        <v>-19.7216659237143</v>
      </c>
      <c r="BH33" s="13" t="n">
        <f aca="false">-Tax!BH27</f>
        <v>-19.8996660070254</v>
      </c>
      <c r="BI33" s="13" t="n">
        <f aca="false">-Tax!BI27</f>
        <v>-20.0854017965364</v>
      </c>
      <c r="BJ33" s="13" t="n">
        <f aca="false">-Tax!BJ27</f>
        <v>-14.4178357869539</v>
      </c>
      <c r="BK33" s="13" t="n">
        <f aca="false">-Tax!BK27</f>
        <v>-20.2501509220114</v>
      </c>
      <c r="BL33" s="13" t="n">
        <f aca="false">-Tax!BL27</f>
        <v>-20.6721451393724</v>
      </c>
      <c r="BM33" s="13" t="n">
        <f aca="false">-Tax!BM27</f>
        <v>-8.20276313013872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-15.1455563025935</v>
      </c>
      <c r="P34" s="13" t="n">
        <f aca="false">-Operations!P96+Operations!P97</f>
        <v>0.00705554093641503</v>
      </c>
      <c r="Q34" s="13" t="n">
        <f aca="false">-Operations!Q96+Operations!Q97</f>
        <v>-0.325895077997902</v>
      </c>
      <c r="R34" s="13" t="n">
        <f aca="false">-Operations!R96+Operations!R97</f>
        <v>0.240195477865845</v>
      </c>
      <c r="S34" s="13" t="n">
        <f aca="false">-Operations!S96+Operations!S97</f>
        <v>-0.41148287779216</v>
      </c>
      <c r="T34" s="13" t="n">
        <f aca="false">-Operations!T96+Operations!T97</f>
        <v>0.153416934506506</v>
      </c>
      <c r="U34" s="13" t="n">
        <f aca="false">-Operations!U96+Operations!U97</f>
        <v>-0.25830281866306</v>
      </c>
      <c r="V34" s="13" t="n">
        <f aca="false">-Operations!V96+Operations!V97</f>
        <v>0.0814738988736927</v>
      </c>
      <c r="W34" s="13" t="n">
        <f aca="false">-Operations!W96+Operations!W97</f>
        <v>-0.353999927213682</v>
      </c>
      <c r="X34" s="13" t="n">
        <f aca="false">-Operations!X96+Operations!X97</f>
        <v>0.123272457902235</v>
      </c>
      <c r="Y34" s="13" t="n">
        <f aca="false">-Operations!Y96+Operations!Y97</f>
        <v>-0.327665465927641</v>
      </c>
      <c r="Z34" s="13" t="n">
        <f aca="false">-Operations!Z96+Operations!Z97</f>
        <v>0.170795686789802</v>
      </c>
      <c r="AA34" s="13" t="n">
        <f aca="false">-Operations!AA96+Operations!AA97</f>
        <v>-0.373329999242031</v>
      </c>
      <c r="AB34" s="13" t="n">
        <f aca="false">-Operations!AB96+Operations!AB97</f>
        <v>0.0814351022528435</v>
      </c>
      <c r="AC34" s="13" t="n">
        <f aca="false">-Operations!AC96+Operations!AC97</f>
        <v>-0.217652307016571</v>
      </c>
      <c r="AD34" s="13" t="n">
        <f aca="false">-Operations!AD96+Operations!AD97</f>
        <v>0.221132564826846</v>
      </c>
      <c r="AE34" s="13" t="n">
        <f aca="false">-Operations!AE96+Operations!AE97</f>
        <v>-0.400327442062288</v>
      </c>
      <c r="AF34" s="13" t="n">
        <f aca="false">-Operations!AF96+Operations!AF97</f>
        <v>0.105845822356656</v>
      </c>
      <c r="AG34" s="13" t="n">
        <f aca="false">-Operations!AG96+Operations!AG97</f>
        <v>-0.404029652320315</v>
      </c>
      <c r="AH34" s="13" t="n">
        <f aca="false">-Operations!AH96+Operations!AH97</f>
        <v>0.119009306345045</v>
      </c>
      <c r="AI34" s="13" t="n">
        <f aca="false">-Operations!AI96+Operations!AI97</f>
        <v>-0.404153545350884</v>
      </c>
      <c r="AJ34" s="13" t="n">
        <f aca="false">-Operations!AJ96+Operations!AJ97</f>
        <v>0.144844595625244</v>
      </c>
      <c r="AK34" s="13" t="n">
        <f aca="false">-Operations!AK96+Operations!AK97</f>
        <v>-0.313536466929314</v>
      </c>
      <c r="AL34" s="13" t="n">
        <f aca="false">-Operations!AL96+Operations!AL97</f>
        <v>0.180615413712768</v>
      </c>
      <c r="AM34" s="13" t="n">
        <f aca="false">-Operations!AM96+Operations!AM97</f>
        <v>-0.545901230805921</v>
      </c>
      <c r="AN34" s="13" t="n">
        <f aca="false">-Operations!AN96+Operations!AN97</f>
        <v>0.115503902705566</v>
      </c>
      <c r="AO34" s="13" t="n">
        <f aca="false">-Operations!AO96+Operations!AO97</f>
        <v>-0.447890616954524</v>
      </c>
      <c r="AP34" s="13" t="n">
        <f aca="false">-Operations!AP96+Operations!AP97</f>
        <v>0.0676880376806928</v>
      </c>
      <c r="AQ34" s="13" t="n">
        <f aca="false">-Operations!AQ96+Operations!AQ97</f>
        <v>-0.400434305264756</v>
      </c>
      <c r="AR34" s="13" t="n">
        <f aca="false">-Operations!AR96+Operations!AR97</f>
        <v>0.196420953690829</v>
      </c>
      <c r="AS34" s="13" t="n">
        <f aca="false">-Operations!AS96+Operations!AS97</f>
        <v>-0.337774079652018</v>
      </c>
      <c r="AT34" s="13" t="n">
        <f aca="false">-Operations!AT96+Operations!AT97</f>
        <v>0.574804903014503</v>
      </c>
      <c r="AU34" s="13" t="n">
        <f aca="false">-Operations!AU96+Operations!AU97</f>
        <v>-0.874311567810878</v>
      </c>
      <c r="AV34" s="13" t="n">
        <f aca="false">-Operations!AV96+Operations!AV97</f>
        <v>-0.0158534999415636</v>
      </c>
      <c r="AW34" s="13" t="n">
        <f aca="false">-Operations!AW96+Operations!AW97</f>
        <v>-0.502698237276999</v>
      </c>
      <c r="AX34" s="13" t="n">
        <f aca="false">-Operations!AX96+Operations!AX97</f>
        <v>0.0679993243435497</v>
      </c>
      <c r="AY34" s="13" t="n">
        <f aca="false">-Operations!AY96+Operations!AY97</f>
        <v>-0.451375103299185</v>
      </c>
      <c r="AZ34" s="13" t="n">
        <f aca="false">-Operations!AZ96+Operations!AZ97</f>
        <v>0.175835024686549</v>
      </c>
      <c r="BA34" s="13" t="n">
        <f aca="false">-Operations!BA96+Operations!BA97</f>
        <v>-0.399231022101233</v>
      </c>
      <c r="BB34" s="13" t="n">
        <f aca="false">-Operations!BB96+Operations!BB97</f>
        <v>0.077543624537487</v>
      </c>
      <c r="BC34" s="13" t="n">
        <f aca="false">-Operations!BC96+Operations!BC97</f>
        <v>-0.581986537743031</v>
      </c>
      <c r="BD34" s="13" t="n">
        <f aca="false">-Operations!BD96+Operations!BD97</f>
        <v>0.0761329496747649</v>
      </c>
      <c r="BE34" s="13" t="n">
        <f aca="false">-Operations!BE96+Operations!BE97</f>
        <v>-0.551351051478278</v>
      </c>
      <c r="BF34" s="13" t="n">
        <f aca="false">-Operations!BF96+Operations!BF97</f>
        <v>0.121833732713942</v>
      </c>
      <c r="BG34" s="13" t="n">
        <f aca="false">-Operations!BG96+Operations!BG97</f>
        <v>-0.585052538235932</v>
      </c>
      <c r="BH34" s="13" t="n">
        <f aca="false">-Operations!BH96+Operations!BH97</f>
        <v>0.087017710600481</v>
      </c>
      <c r="BI34" s="13" t="n">
        <f aca="false">-Operations!BI96+Operations!BI97</f>
        <v>-0.424278458668262</v>
      </c>
      <c r="BJ34" s="13" t="n">
        <f aca="false">-Operations!BJ96+Operations!BJ97</f>
        <v>0.748356200869459</v>
      </c>
      <c r="BK34" s="13" t="n">
        <f aca="false">-Operations!BK96+Operations!BK97</f>
        <v>-1.11979865290552</v>
      </c>
      <c r="BL34" s="13" t="n">
        <f aca="false">-Operations!BL96+Operations!BL97</f>
        <v>-0.171211889310293</v>
      </c>
      <c r="BM34" s="13" t="n">
        <f aca="false">-Operations!BM96+Operations!BM97</f>
        <v>27.756851508046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2471.84742051048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1.88299584555676</v>
      </c>
      <c r="P36" s="13" t="n">
        <f aca="false">P32+P33+P34+P35</f>
        <v>50.752942652599</v>
      </c>
      <c r="Q36" s="13" t="n">
        <f aca="false">Q32+Q33+Q34+Q35</f>
        <v>50.7569884387007</v>
      </c>
      <c r="R36" s="13" t="n">
        <f aca="false">R32+R33+R34+R35</f>
        <v>51.3022858343253</v>
      </c>
      <c r="S36" s="13" t="n">
        <f aca="false">S32+S33+S34+S35</f>
        <v>51.1194916265566</v>
      </c>
      <c r="T36" s="13" t="n">
        <f aca="false">T32+T33+T34+T35</f>
        <v>51.8015909881877</v>
      </c>
      <c r="U36" s="13" t="n">
        <f aca="false">U32+U33+U34+U35</f>
        <v>51.6339344793966</v>
      </c>
      <c r="V36" s="13" t="n">
        <f aca="false">V32+V33+V34+V35</f>
        <v>52.6499421716437</v>
      </c>
      <c r="W36" s="13" t="n">
        <f aca="false">W32+W33+W34+W35</f>
        <v>52.3926374783001</v>
      </c>
      <c r="X36" s="13" t="n">
        <f aca="false">X32+X33+X34+X35</f>
        <v>51.1572308358764</v>
      </c>
      <c r="Y36" s="13" t="n">
        <f aca="false">Y32+Y33+Y34+Y35</f>
        <v>50.7481017803552</v>
      </c>
      <c r="Z36" s="13" t="n">
        <f aca="false">Z32+Z33+Z34+Z35</f>
        <v>51.3550316013968</v>
      </c>
      <c r="AA36" s="13" t="n">
        <f aca="false">AA32+AA33+AA34+AA35</f>
        <v>50.9953119192653</v>
      </c>
      <c r="AB36" s="13" t="n">
        <f aca="false">AB32+AB33+AB34+AB35</f>
        <v>51.8925340952513</v>
      </c>
      <c r="AC36" s="13" t="n">
        <f aca="false">AC32+AC33+AC34+AC35</f>
        <v>51.6428090850622</v>
      </c>
      <c r="AD36" s="13" t="n">
        <f aca="false">AD32+AD33+AD34+AD35</f>
        <v>54.0559131960161</v>
      </c>
      <c r="AE36" s="13" t="n">
        <f aca="false">AE32+AE33+AE34+AE35</f>
        <v>53.8023726100864</v>
      </c>
      <c r="AF36" s="13" t="n">
        <f aca="false">AF32+AF33+AF34+AF35</f>
        <v>54.2662555555212</v>
      </c>
      <c r="AG36" s="13" t="n">
        <f aca="false">AG32+AG33+AG34+AG35</f>
        <v>54.1143457110342</v>
      </c>
      <c r="AH36" s="13" t="n">
        <f aca="false">AH32+AH33+AH34+AH35</f>
        <v>55.0528387860631</v>
      </c>
      <c r="AI36" s="13" t="n">
        <f aca="false">AI32+AI33+AI34+AI35</f>
        <v>54.8428613271706</v>
      </c>
      <c r="AJ36" s="13" t="n">
        <f aca="false">AJ32+AJ33+AJ34+AJ35</f>
        <v>55.6746459662377</v>
      </c>
      <c r="AK36" s="13" t="n">
        <f aca="false">AK32+AK33+AK34+AK35</f>
        <v>55.5643769960934</v>
      </c>
      <c r="AL36" s="13" t="n">
        <f aca="false">AL32+AL33+AL34+AL35</f>
        <v>48.9658659789415</v>
      </c>
      <c r="AM36" s="13" t="n">
        <f aca="false">AM32+AM33+AM34+AM35</f>
        <v>46.5402301439596</v>
      </c>
      <c r="AN36" s="13" t="n">
        <f aca="false">AN32+AN33+AN34+AN35</f>
        <v>44.4859251541998</v>
      </c>
      <c r="AO36" s="13" t="n">
        <f aca="false">AO32+AO33+AO34+AO35</f>
        <v>44.0200205544118</v>
      </c>
      <c r="AP36" s="13" t="n">
        <f aca="false">AP32+AP33+AP34+AP35</f>
        <v>44.8204245140213</v>
      </c>
      <c r="AQ36" s="13" t="n">
        <f aca="false">AQ32+AQ33+AQ34+AQ35</f>
        <v>44.5189171785965</v>
      </c>
      <c r="AR36" s="13" t="n">
        <f aca="false">AR32+AR33+AR34+AR35</f>
        <v>45.3376249009307</v>
      </c>
      <c r="AS36" s="13" t="n">
        <f aca="false">AS32+AS33+AS34+AS35</f>
        <v>45.1212005642981</v>
      </c>
      <c r="AT36" s="13" t="n">
        <f aca="false">AT32+AT33+AT34+AT35</f>
        <v>51.5155681585154</v>
      </c>
      <c r="AU36" s="13" t="n">
        <f aca="false">AU32+AU33+AU34+AU35</f>
        <v>47.2556177917082</v>
      </c>
      <c r="AV36" s="13" t="n">
        <f aca="false">AV32+AV33+AV34+AV35</f>
        <v>48.0580864268865</v>
      </c>
      <c r="AW36" s="13" t="n">
        <f aca="false">AW32+AW33+AW34+AW35</f>
        <v>47.8808578465371</v>
      </c>
      <c r="AX36" s="13" t="n">
        <f aca="false">AX32+AX33+AX34+AX35</f>
        <v>48.8727368070542</v>
      </c>
      <c r="AY36" s="13" t="n">
        <f aca="false">AY32+AY33+AY34+AY35</f>
        <v>48.5797068987556</v>
      </c>
      <c r="AZ36" s="13" t="n">
        <f aca="false">AZ32+AZ33+AZ34+AZ35</f>
        <v>49.559509536746</v>
      </c>
      <c r="BA36" s="13" t="n">
        <f aca="false">BA32+BA33+BA34+BA35</f>
        <v>49.3459766469453</v>
      </c>
      <c r="BB36" s="13" t="n">
        <f aca="false">BB32+BB33+BB34+BB35</f>
        <v>51.7461072176442</v>
      </c>
      <c r="BC36" s="13" t="n">
        <f aca="false">BC32+BC33+BC34+BC35</f>
        <v>48.5503033881898</v>
      </c>
      <c r="BD36" s="13" t="n">
        <f aca="false">BD32+BD33+BD34+BD35</f>
        <v>42.9243679248631</v>
      </c>
      <c r="BE36" s="13" t="n">
        <f aca="false">BE32+BE33+BE34+BE35</f>
        <v>42.6970526246254</v>
      </c>
      <c r="BF36" s="13" t="n">
        <f aca="false">BF32+BF33+BF34+BF35</f>
        <v>43.7575433158545</v>
      </c>
      <c r="BG36" s="13" t="n">
        <f aca="false">BG32+BG33+BG34+BG35</f>
        <v>43.4746217411594</v>
      </c>
      <c r="BH36" s="13" t="n">
        <f aca="false">BH32+BH33+BH34+BH35</f>
        <v>44.5620255177218</v>
      </c>
      <c r="BI36" s="13" t="n">
        <f aca="false">BI32+BI33+BI34+BI35</f>
        <v>44.484112857312</v>
      </c>
      <c r="BJ36" s="13" t="n">
        <f aca="false">BJ32+BJ33+BJ34+BJ35</f>
        <v>51.9930543556149</v>
      </c>
      <c r="BK36" s="13" t="n">
        <f aca="false">BK32+BK33+BK34+BK35</f>
        <v>46.967382650296</v>
      </c>
      <c r="BL36" s="13" t="n">
        <f aca="false">BL32+BL33+BL34+BL35</f>
        <v>48.9006225877337</v>
      </c>
      <c r="BM36" s="13" t="n">
        <f aca="false">BM32+BM33+BM34+BM35</f>
        <v>47.4545182462642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-843.633070431859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-37.2526414054625</v>
      </c>
      <c r="Q37" s="13" t="n">
        <f aca="false">-(Debt!Q114+Debt!Q110)</f>
        <v>-37.1637139788893</v>
      </c>
      <c r="R37" s="13" t="n">
        <f aca="false">-(Debt!R114+Debt!R110)</f>
        <v>-37.6315746594536</v>
      </c>
      <c r="S37" s="13" t="n">
        <f aca="false">-(Debt!S114+Debt!S110)</f>
        <v>-37.3400153536383</v>
      </c>
      <c r="T37" s="13" t="n">
        <f aca="false">-(Debt!T114+Debt!T110)</f>
        <v>-37.7580016555455</v>
      </c>
      <c r="U37" s="13" t="n">
        <f aca="false">-(Debt!U114+Debt!U110)</f>
        <v>-37.5774131637717</v>
      </c>
      <c r="V37" s="13" t="n">
        <f aca="false">-(Debt!V114+Debt!V110)</f>
        <v>-38.2947599633695</v>
      </c>
      <c r="W37" s="13" t="n">
        <f aca="false">-(Debt!W114+Debt!W110)</f>
        <v>-38.0299813557338</v>
      </c>
      <c r="X37" s="13" t="n">
        <f aca="false">-(Debt!X114+Debt!X110)</f>
        <v>-36.9333719798852</v>
      </c>
      <c r="Y37" s="13" t="n">
        <f aca="false">-(Debt!Y114+Debt!Y110)</f>
        <v>-36.5769177068536</v>
      </c>
      <c r="Z37" s="13" t="n">
        <f aca="false">-(Debt!Z114+Debt!Z110)</f>
        <v>-36.8779412892632</v>
      </c>
      <c r="AA37" s="13" t="n">
        <f aca="false">-(Debt!AA114+Debt!AA110)</f>
        <v>-36.5807744764874</v>
      </c>
      <c r="AB37" s="13" t="n">
        <f aca="false">-(Debt!AB114+Debt!AB110)</f>
        <v>-36.2802395267651</v>
      </c>
      <c r="AC37" s="13" t="n">
        <f aca="false">-(Debt!AC114+Debt!AC110)</f>
        <v>-35.2376898533905</v>
      </c>
      <c r="AD37" s="13" t="n">
        <f aca="false">-(Debt!AD114+Debt!AD110)</f>
        <v>-35.6537609020403</v>
      </c>
      <c r="AE37" s="13" t="n">
        <f aca="false">-(Debt!AE114+Debt!AE110)</f>
        <v>-34.513248050399</v>
      </c>
      <c r="AF37" s="13" t="n">
        <f aca="false">-(Debt!AF114+Debt!AF110)</f>
        <v>-33.2339969501828</v>
      </c>
      <c r="AG37" s="13" t="n">
        <f aca="false">-(Debt!AG114+Debt!AG110)</f>
        <v>-31.2878135944843</v>
      </c>
      <c r="AH37" s="13" t="n">
        <f aca="false">-(Debt!AH114+Debt!AH110)</f>
        <v>-29.7310146698303</v>
      </c>
      <c r="AI37" s="13" t="n">
        <f aca="false">-(Debt!AI114+Debt!AI110)</f>
        <v>-27.0504228015287</v>
      </c>
      <c r="AJ37" s="13" t="n">
        <f aca="false">-(Debt!AJ114+Debt!AJ110)</f>
        <v>-24.2453957769259</v>
      </c>
      <c r="AK37" s="13" t="n">
        <f aca="false">-(Debt!AK114+Debt!AK110)</f>
        <v>-23.037433179398</v>
      </c>
      <c r="AL37" s="13" t="n">
        <f aca="false">-(Debt!AL114+Debt!AL110)</f>
        <v>-23.7207410435611</v>
      </c>
      <c r="AM37" s="13" t="n">
        <f aca="false">-(Debt!AM114+Debt!AM110)</f>
        <v>-23.5758525157105</v>
      </c>
      <c r="AN37" s="13" t="n">
        <f aca="false">-(Debt!AN114+Debt!AN110)</f>
        <v>-19.1373028213816</v>
      </c>
      <c r="AO37" s="13" t="n">
        <f aca="false">-(Debt!AO114+Debt!AO110)</f>
        <v>-18.9110517579074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-100.145602361138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-6.99200277913257</v>
      </c>
      <c r="AB43" s="13" t="n">
        <f aca="false">-(Waterfall!AB28+Waterfall!AB29)</f>
        <v>-8.24276877155907</v>
      </c>
      <c r="AC43" s="13" t="n">
        <f aca="false">-(Waterfall!AC28+Waterfall!AC29)</f>
        <v>-7.96810019239122</v>
      </c>
      <c r="AD43" s="13" t="n">
        <f aca="false">-(Waterfall!AD28+Waterfall!AD29)</f>
        <v>-9.63400864388021</v>
      </c>
      <c r="AE43" s="13" t="n">
        <f aca="false">-(Waterfall!AE28+Waterfall!AE29)</f>
        <v>-10.1943109887275</v>
      </c>
      <c r="AF43" s="13" t="n">
        <f aca="false">-(Waterfall!AF28+Waterfall!AF29)</f>
        <v>-11.3392165451232</v>
      </c>
      <c r="AG43" s="13" t="n">
        <f aca="false">-(Waterfall!AG28+Waterfall!AG29)</f>
        <v>-12.0346044094676</v>
      </c>
      <c r="AH43" s="13" t="n">
        <f aca="false">-(Waterfall!AH28+Waterfall!AH29)</f>
        <v>-13.7331568055616</v>
      </c>
      <c r="AI43" s="13" t="n">
        <f aca="false">-(Waterfall!AI28+Waterfall!AI29)</f>
        <v>-14.96323933625</v>
      </c>
      <c r="AJ43" s="13" t="n">
        <f aca="false">-(Waterfall!AJ28+Waterfall!AJ29)</f>
        <v>-5.04419388904519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-367.698661082417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-15.4654785508993</v>
      </c>
      <c r="Q44" s="13" t="n">
        <f aca="false">-(Waterfall!Q34+Waterfall!Q35)</f>
        <v>-13.1254137792471</v>
      </c>
      <c r="R44" s="13" t="n">
        <f aca="false">-(Waterfall!R34+Waterfall!R35)</f>
        <v>-13.962270480687</v>
      </c>
      <c r="S44" s="13" t="n">
        <f aca="false">-(Waterfall!S34+Waterfall!S35)</f>
        <v>-13.3614899710111</v>
      </c>
      <c r="T44" s="13" t="n">
        <f aca="false">-(Waterfall!T34+Waterfall!T35)</f>
        <v>-14.224177824416</v>
      </c>
      <c r="U44" s="13" t="n">
        <f aca="false">-(Waterfall!U34+Waterfall!U35)</f>
        <v>-13.3391745160271</v>
      </c>
      <c r="V44" s="13" t="n">
        <f aca="false">-(Waterfall!V34+Waterfall!V35)</f>
        <v>-14.6199608159099</v>
      </c>
      <c r="W44" s="13" t="n">
        <f aca="false">-(Waterfall!W34+Waterfall!W35)</f>
        <v>-15.4592654984149</v>
      </c>
      <c r="X44" s="13" t="n">
        <f aca="false">-(Waterfall!X34+Waterfall!X35)</f>
        <v>-14.5803131290228</v>
      </c>
      <c r="Y44" s="13" t="n">
        <f aca="false">-(Waterfall!Y34+Waterfall!Y35)</f>
        <v>-13.870160491092</v>
      </c>
      <c r="Z44" s="13" t="n">
        <f aca="false">-(Waterfall!Z34+Waterfall!Z35)</f>
        <v>-14.7742571249094</v>
      </c>
      <c r="AA44" s="13" t="n">
        <f aca="false">-(Waterfall!AA34+Waterfall!AA35)</f>
        <v>-6.99200277913257</v>
      </c>
      <c r="AB44" s="13" t="n">
        <f aca="false">-(Waterfall!AB34+Waterfall!AB35)</f>
        <v>-8.24276877155907</v>
      </c>
      <c r="AC44" s="13" t="n">
        <f aca="false">-(Waterfall!AC34+Waterfall!AC35)</f>
        <v>-7.96810019239122</v>
      </c>
      <c r="AD44" s="13" t="n">
        <f aca="false">-(Waterfall!AD34+Waterfall!AD35)</f>
        <v>-9.63400864388021</v>
      </c>
      <c r="AE44" s="13" t="n">
        <f aca="false">-(Waterfall!AE34+Waterfall!AE35)</f>
        <v>-10.1943109887275</v>
      </c>
      <c r="AF44" s="13" t="n">
        <f aca="false">-(Waterfall!AF34+Waterfall!AF35)</f>
        <v>-11.3392165451232</v>
      </c>
      <c r="AG44" s="13" t="n">
        <f aca="false">-(Waterfall!AG34+Waterfall!AG35)</f>
        <v>-12.0346044094676</v>
      </c>
      <c r="AH44" s="13" t="n">
        <f aca="false">-(Waterfall!AH34+Waterfall!AH35)</f>
        <v>-13.7331568055616</v>
      </c>
      <c r="AI44" s="13" t="n">
        <f aca="false">-(Waterfall!AI34+Waterfall!AI35)</f>
        <v>-14.96323933625</v>
      </c>
      <c r="AJ44" s="13" t="n">
        <f aca="false">-(Waterfall!AJ34+Waterfall!AJ35)</f>
        <v>-29.5422078320988</v>
      </c>
      <c r="AK44" s="13" t="n">
        <f aca="false">-(Waterfall!AK34+Waterfall!AK35)</f>
        <v>-33.1232902339658</v>
      </c>
      <c r="AL44" s="13" t="n">
        <f aca="false">-(Waterfall!AL34+Waterfall!AL35)</f>
        <v>-25.390013463231</v>
      </c>
      <c r="AM44" s="13" t="n">
        <f aca="false">-(Waterfall!AM34+Waterfall!AM35)</f>
        <v>-27.402927322578</v>
      </c>
      <c r="AN44" s="13" t="n">
        <f aca="false">-(Waterfall!AN34+Waterfall!AN35)</f>
        <v>-0.356851576814346</v>
      </c>
      <c r="AO44" s="13" t="n">
        <f aca="false">-(Waterfall!AO34+Waterfall!AO35)</f>
        <v>-0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-1197.61598207216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-25.218021819478</v>
      </c>
      <c r="AO45" s="13" t="n">
        <f aca="false">-Waterfall!AO41</f>
        <v>-44.0200205544118</v>
      </c>
      <c r="AP45" s="13" t="n">
        <f aca="false">-Waterfall!AP41</f>
        <v>-44.8204245140213</v>
      </c>
      <c r="AQ45" s="13" t="n">
        <f aca="false">-Waterfall!AQ41</f>
        <v>-44.5189171785965</v>
      </c>
      <c r="AR45" s="13" t="n">
        <f aca="false">-Waterfall!AR41</f>
        <v>-45.3376249009307</v>
      </c>
      <c r="AS45" s="13" t="n">
        <f aca="false">-Waterfall!AS41</f>
        <v>-45.1212005642981</v>
      </c>
      <c r="AT45" s="13" t="n">
        <f aca="false">-Waterfall!AT41</f>
        <v>-51.5155681585154</v>
      </c>
      <c r="AU45" s="13" t="n">
        <f aca="false">-Waterfall!AU41</f>
        <v>-47.2556177917082</v>
      </c>
      <c r="AV45" s="13" t="n">
        <f aca="false">-Waterfall!AV41</f>
        <v>-48.0580864268865</v>
      </c>
      <c r="AW45" s="13" t="n">
        <f aca="false">-Waterfall!AW41</f>
        <v>-47.8808578465371</v>
      </c>
      <c r="AX45" s="13" t="n">
        <f aca="false">-Waterfall!AX41</f>
        <v>-48.8727368070542</v>
      </c>
      <c r="AY45" s="13" t="n">
        <f aca="false">-Waterfall!AY41</f>
        <v>-48.5797068987556</v>
      </c>
      <c r="AZ45" s="13" t="n">
        <f aca="false">-Waterfall!AZ41</f>
        <v>-49.559509536746</v>
      </c>
      <c r="BA45" s="13" t="n">
        <f aca="false">-Waterfall!BA41</f>
        <v>-48.8510082603366</v>
      </c>
      <c r="BB45" s="13" t="n">
        <f aca="false">-Waterfall!BB41</f>
        <v>-50.2449569629998</v>
      </c>
      <c r="BC45" s="13" t="n">
        <f aca="false">-Waterfall!BC41</f>
        <v>-47.0327303148476</v>
      </c>
      <c r="BD45" s="13" t="n">
        <f aca="false">-Waterfall!BD41</f>
        <v>-41.3901923646165</v>
      </c>
      <c r="BE45" s="13" t="n">
        <f aca="false">-Waterfall!BE41</f>
        <v>-41.1460929436697</v>
      </c>
      <c r="BF45" s="13" t="n">
        <f aca="false">-Waterfall!BF41</f>
        <v>-42.1896158932824</v>
      </c>
      <c r="BG45" s="13" t="n">
        <f aca="false">-Waterfall!BG41</f>
        <v>-41.8895409472226</v>
      </c>
      <c r="BH45" s="13" t="n">
        <f aca="false">-Waterfall!BH41</f>
        <v>-42.9596036918532</v>
      </c>
      <c r="BI45" s="13" t="n">
        <f aca="false">-Waterfall!BI41</f>
        <v>-42.8641602859086</v>
      </c>
      <c r="BJ45" s="13" t="n">
        <f aca="false">-Waterfall!BJ41</f>
        <v>-50.3553792495772</v>
      </c>
      <c r="BK45" s="13" t="n">
        <f aca="false">-Waterfall!BK41</f>
        <v>-45.3117911223217</v>
      </c>
      <c r="BL45" s="13" t="n">
        <f aca="false">-Waterfall!BL41</f>
        <v>-47.2269186293631</v>
      </c>
      <c r="BM45" s="13" t="n">
        <f aca="false">-Waterfall!BM41</f>
        <v>-65.3956984082252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39.1288912826521</v>
      </c>
      <c r="P49" s="13" t="n">
        <f aca="false">P36+P37+P38+P39+P40+P41+P42+P43+P44+P45+P46+P47+P48</f>
        <v>-1.54890900130796</v>
      </c>
      <c r="Q49" s="13" t="n">
        <f aca="false">Q36+Q37+Q38+Q39+Q40+Q41+Q42+Q43+Q44+Q45+Q46+Q47+Q48</f>
        <v>0.884128983019181</v>
      </c>
      <c r="R49" s="13" t="n">
        <f aca="false">R36+R37+R38+R39+R40+R41+R42+R43+R44+R45+R46+R47+R48</f>
        <v>0.124708996639576</v>
      </c>
      <c r="S49" s="13" t="n">
        <f aca="false">S36+S37+S38+S39+S40+S41+S42+S43+S44+S45+S46+S47+S48</f>
        <v>0.834254604362037</v>
      </c>
      <c r="T49" s="13" t="n">
        <f aca="false">T36+T37+T38+T39+T40+T41+T42+T43+T44+T45+T46+T47+T48</f>
        <v>0.235679810681035</v>
      </c>
      <c r="U49" s="13" t="n">
        <f aca="false">U36+U37+U38+U39+U40+U41+U42+U43+U44+U45+U46+U47+U48</f>
        <v>1.13361510205264</v>
      </c>
      <c r="V49" s="13" t="n">
        <f aca="false">V36+V37+V38+V39+V40+V41+V42+V43+V44+V45+V46+V47+V48</f>
        <v>-2.76238842236481</v>
      </c>
      <c r="W49" s="13" t="n">
        <f aca="false">W36+W37+W38+W39+W40+W41+W42+W43+W44+W45+W46+W47+W48</f>
        <v>-1.09660937584858</v>
      </c>
      <c r="X49" s="13" t="n">
        <f aca="false">X36+X37+X38+X39+X40+X41+X42+X43+X44+X45+X46+X47+X48</f>
        <v>1.61628827060179</v>
      </c>
      <c r="Y49" s="13" t="n">
        <f aca="false">Y36+Y37+Y38+Y39+Y40+Y41+Y42+Y43+Y44+Y45+Y46+Y47+Y48</f>
        <v>2.27376612604305</v>
      </c>
      <c r="Z49" s="13" t="n">
        <f aca="false">Z36+Z37+Z38+Z39+Z40+Z41+Z42+Z43+Z44+Z45+Z46+Z47+Z48</f>
        <v>1.67557573085771</v>
      </c>
      <c r="AA49" s="13" t="n">
        <f aca="false">AA36+AA37+AA38+AA39+AA40+AA41+AA42+AA43+AA44+AA45+AA46+AA47+AA48</f>
        <v>2.40327442814621</v>
      </c>
      <c r="AB49" s="13" t="n">
        <f aca="false">AB36+AB37+AB38+AB39+AB40+AB41+AB42+AB43+AB44+AB45+AB46+AB47+AB48</f>
        <v>1.09949956900148</v>
      </c>
      <c r="AC49" s="13" t="n">
        <f aca="false">AC36+AC37+AC38+AC39+AC40+AC41+AC42+AC43+AC44+AC45+AC46+AC47+AC48</f>
        <v>2.44166139052275</v>
      </c>
      <c r="AD49" s="13" t="n">
        <f aca="false">AD36+AD37+AD38+AD39+AD40+AD41+AD42+AD43+AD44+AD45+AD46+AD47+AD48</f>
        <v>-12.7023202555854</v>
      </c>
      <c r="AE49" s="13" t="n">
        <f aca="false">AE36+AE37+AE38+AE39+AE40+AE41+AE42+AE43+AE44+AE45+AE46+AE47+AE48</f>
        <v>-1.09949741776757</v>
      </c>
      <c r="AF49" s="13" t="n">
        <f aca="false">AF36+AF37+AF38+AF39+AF40+AF41+AF42+AF43+AF44+AF45+AF46+AF47+AF48</f>
        <v>-1.150746529992</v>
      </c>
      <c r="AG49" s="13" t="n">
        <f aca="false">AG36+AG37+AG38+AG39+AG40+AG41+AG42+AG43+AG44+AG45+AG46+AG47+AG48</f>
        <v>-0.747248747469397</v>
      </c>
      <c r="AH49" s="13" t="n">
        <f aca="false">AH36+AH37+AH38+AH39+AH40+AH41+AH42+AH43+AH44+AH45+AH46+AH47+AH48</f>
        <v>-1.64906153997449</v>
      </c>
      <c r="AI49" s="13" t="n">
        <f aca="false">AI36+AI37+AI38+AI39+AI40+AI41+AI42+AI43+AI44+AI45+AI46+AI47+AI48</f>
        <v>-1.63861219194216</v>
      </c>
      <c r="AJ49" s="13" t="n">
        <f aca="false">AJ36+AJ37+AJ38+AJ39+AJ40+AJ41+AJ42+AJ43+AJ44+AJ45+AJ46+AJ47+AJ48</f>
        <v>-2.66172357691623</v>
      </c>
      <c r="AK49" s="13" t="n">
        <f aca="false">AK36+AK37+AK38+AK39+AK40+AK41+AK42+AK43+AK44+AK45+AK46+AK47+AK48</f>
        <v>-0.100918462354412</v>
      </c>
      <c r="AL49" s="13" t="n">
        <f aca="false">AL36+AL37+AL38+AL39+AL40+AL41+AL42+AL43+AL44+AL45+AL46+AL47+AL48</f>
        <v>-3.11745625734609</v>
      </c>
      <c r="AM49" s="13" t="n">
        <f aca="false">AM36+AM37+AM38+AM39+AM40+AM41+AM42+AM43+AM44+AM45+AM46+AM47+AM48</f>
        <v>-4.43854969432886</v>
      </c>
      <c r="AN49" s="13" t="n">
        <f aca="false">AN36+AN37+AN38+AN39+AN40+AN41+AN42+AN43+AN44+AN45+AN46+AN47+AN48</f>
        <v>2.12163802201276</v>
      </c>
      <c r="AO49" s="13" t="n">
        <f aca="false">AO36+AO37+AO38+AO39+AO40+AO41+AO42+AO43+AO44+AO45+AO46+AO47+AO48</f>
        <v>-16.5631626724205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0.00674596836712738</v>
      </c>
      <c r="P50" s="13" t="n">
        <f aca="false">Reserves!P11-Reserves!P10-Reserves!P12</f>
        <v>-0.0889274265731856</v>
      </c>
      <c r="Q50" s="13" t="n">
        <f aca="false">Reserves!Q11-Reserves!Q10-Reserves!Q12</f>
        <v>0.467860680564321</v>
      </c>
      <c r="R50" s="13" t="n">
        <f aca="false">Reserves!R11-Reserves!R10-Reserves!R12</f>
        <v>-0.291559305815284</v>
      </c>
      <c r="S50" s="13" t="n">
        <f aca="false">Reserves!S11-Reserves!S10-Reserves!S12</f>
        <v>0.417986301907177</v>
      </c>
      <c r="T50" s="13" t="n">
        <f aca="false">Reserves!T11-Reserves!T10-Reserves!T12</f>
        <v>-0.180588491773825</v>
      </c>
      <c r="U50" s="13" t="n">
        <f aca="false">Reserves!U11-Reserves!U10-Reserves!U12</f>
        <v>0.717346799597777</v>
      </c>
      <c r="V50" s="13" t="n">
        <f aca="false">Reserves!V11-Reserves!V10-Reserves!V12</f>
        <v>-0.264778607635655</v>
      </c>
      <c r="W50" s="13" t="n">
        <f aca="false">Reserves!W11-Reserves!W10-Reserves!W12</f>
        <v>-1.09660937584858</v>
      </c>
      <c r="X50" s="13" t="n">
        <f aca="false">Reserves!X11-Reserves!X10-Reserves!X12</f>
        <v>-0.356454273031673</v>
      </c>
      <c r="Y50" s="13" t="n">
        <f aca="false">Reserves!Y11-Reserves!Y10-Reserves!Y12</f>
        <v>0.301023582409592</v>
      </c>
      <c r="Z50" s="13" t="n">
        <f aca="false">Reserves!Z11-Reserves!Z10-Reserves!Z12</f>
        <v>-0.29716681277575</v>
      </c>
      <c r="AA50" s="13" t="n">
        <f aca="false">Reserves!AA11-Reserves!AA10-Reserves!AA12</f>
        <v>0.430531884512753</v>
      </c>
      <c r="AB50" s="13" t="n">
        <f aca="false">Reserves!AB11-Reserves!AB10-Reserves!AB12</f>
        <v>-0.873242974631985</v>
      </c>
      <c r="AC50" s="13" t="n">
        <f aca="false">Reserves!AC11-Reserves!AC10-Reserves!AC12</f>
        <v>0.468918846889288</v>
      </c>
      <c r="AD50" s="13" t="n">
        <f aca="false">Reserves!AD11-Reserves!AD10-Reserves!AD12</f>
        <v>-0.865864993784655</v>
      </c>
      <c r="AE50" s="13" t="n">
        <f aca="false">Reserves!AE11-Reserves!AE10-Reserves!AE12</f>
        <v>-1.09949741776757</v>
      </c>
      <c r="AF50" s="13" t="n">
        <f aca="false">Reserves!AF11-Reserves!AF10-Reserves!AF12</f>
        <v>-1.64617448490792</v>
      </c>
      <c r="AG50" s="13" t="n">
        <f aca="false">Reserves!AG11-Reserves!AG10-Reserves!AG12</f>
        <v>-1.24267670238531</v>
      </c>
      <c r="AH50" s="13" t="n">
        <f aca="false">Reserves!AH11-Reserves!AH10-Reserves!AH12</f>
        <v>-2.1444894948904</v>
      </c>
      <c r="AI50" s="13" t="n">
        <f aca="false">Reserves!AI11-Reserves!AI10-Reserves!AI12</f>
        <v>-2.13404014685808</v>
      </c>
      <c r="AJ50" s="13" t="n">
        <f aca="false">Reserves!AJ11-Reserves!AJ10-Reserves!AJ12</f>
        <v>-3.15715153183214</v>
      </c>
      <c r="AK50" s="13" t="n">
        <f aca="false">Reserves!AK11-Reserves!AK10-Reserves!AK12</f>
        <v>-0.596346417270329</v>
      </c>
      <c r="AL50" s="13" t="n">
        <f aca="false">Reserves!AL11-Reserves!AL10-Reserves!AL12</f>
        <v>-0.144888527850611</v>
      </c>
      <c r="AM50" s="13" t="n">
        <f aca="false">Reserves!AM11-Reserves!AM10-Reserves!AM12</f>
        <v>-4.43854969432886</v>
      </c>
      <c r="AN50" s="13" t="n">
        <f aca="false">Reserves!AN11-Reserves!AN10-Reserves!AN12</f>
        <v>-0.226251063474184</v>
      </c>
      <c r="AO50" s="13" t="n">
        <f aca="false">Reserves!AO11-Reserves!AO10-Reserves!AO12</f>
        <v>-18.9110517579074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39.1288912826521</v>
      </c>
      <c r="P51" s="13" t="n">
        <f aca="false">P17-O17</f>
        <v>-1.54890900130796</v>
      </c>
      <c r="Q51" s="13" t="n">
        <f aca="false">Q17-P17</f>
        <v>0.884128983019181</v>
      </c>
      <c r="R51" s="13" t="n">
        <f aca="false">R17-Q17</f>
        <v>0.124708996639576</v>
      </c>
      <c r="S51" s="13" t="n">
        <f aca="false">S17-R17</f>
        <v>0.834254604362037</v>
      </c>
      <c r="T51" s="13" t="n">
        <f aca="false">T17-S17</f>
        <v>0.235679810681035</v>
      </c>
      <c r="U51" s="13" t="n">
        <f aca="false">U17-T17</f>
        <v>1.13361510205264</v>
      </c>
      <c r="V51" s="13" t="n">
        <f aca="false">V17-U17</f>
        <v>-2.76238842236481</v>
      </c>
      <c r="W51" s="13" t="n">
        <f aca="false">W17-V17</f>
        <v>-1.09660937584858</v>
      </c>
      <c r="X51" s="13" t="n">
        <f aca="false">X17-W17</f>
        <v>1.61628827060179</v>
      </c>
      <c r="Y51" s="13" t="n">
        <f aca="false">Y17-X17</f>
        <v>2.27376612604305</v>
      </c>
      <c r="Z51" s="13" t="n">
        <f aca="false">Z17-Y17</f>
        <v>1.67557573085772</v>
      </c>
      <c r="AA51" s="13" t="n">
        <f aca="false">AA17-Z17</f>
        <v>2.40327442814621</v>
      </c>
      <c r="AB51" s="13" t="n">
        <f aca="false">AB17-AA17</f>
        <v>1.09949956900147</v>
      </c>
      <c r="AC51" s="13" t="n">
        <f aca="false">AC17-AB17</f>
        <v>2.44166139052275</v>
      </c>
      <c r="AD51" s="13" t="n">
        <f aca="false">AD17-AC17</f>
        <v>-12.7023202555854</v>
      </c>
      <c r="AE51" s="13" t="n">
        <f aca="false">AE17-AD17</f>
        <v>-1.09949741776757</v>
      </c>
      <c r="AF51" s="13" t="n">
        <f aca="false">AF17-AE17</f>
        <v>-1.15074652999201</v>
      </c>
      <c r="AG51" s="13" t="n">
        <f aca="false">AG17-AF17</f>
        <v>-0.747248747469392</v>
      </c>
      <c r="AH51" s="13" t="n">
        <f aca="false">AH17-AG17</f>
        <v>-1.64906153997449</v>
      </c>
      <c r="AI51" s="13" t="n">
        <f aca="false">AI17-AH17</f>
        <v>-1.63861219194216</v>
      </c>
      <c r="AJ51" s="13" t="n">
        <f aca="false">AJ17-AI17</f>
        <v>-2.66172357691623</v>
      </c>
      <c r="AK51" s="13" t="n">
        <f aca="false">AK17-AJ17</f>
        <v>-0.100918462354414</v>
      </c>
      <c r="AL51" s="13" t="n">
        <f aca="false">AL17-AK17</f>
        <v>-3.11745625734609</v>
      </c>
      <c r="AM51" s="13" t="n">
        <f aca="false">AM17-AL17</f>
        <v>-4.43854969432886</v>
      </c>
      <c r="AN51" s="13" t="n">
        <f aca="false">AN17-AM17</f>
        <v>2.12163802201276</v>
      </c>
      <c r="AO51" s="13" t="n">
        <f aca="false">AO17-AN17</f>
        <v>-16.5631626724205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-2.38697950294409E-015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0.0343569388065203</v>
      </c>
      <c r="Q7" s="16" t="n">
        <f aca="false">IF(Debt!Q115&gt;Inputs!$F$253,Debt!Q112/Debt!Q115,0)</f>
        <v>0.0340133056083164</v>
      </c>
      <c r="R7" s="16" t="n">
        <f aca="false">IF(Debt!R115&gt;Inputs!$F$253,Debt!R112/Debt!R115,0)</f>
        <v>0.0343817133035842</v>
      </c>
      <c r="S7" s="16" t="n">
        <f aca="false">IF(Debt!S115&gt;Inputs!$F$253,Debt!S112/Debt!S115,0)</f>
        <v>0.0340254908908397</v>
      </c>
      <c r="T7" s="16" t="n">
        <f aca="false">IF(Debt!T115&gt;Inputs!$F$253,Debt!T112/Debt!T115,0)</f>
        <v>0.0343941005521161</v>
      </c>
      <c r="U7" s="16" t="n">
        <f aca="false">IF(Debt!U115&gt;Inputs!$F$253,Debt!U112/Debt!U115,0)</f>
        <v>0.0341483607779318</v>
      </c>
      <c r="V7" s="16" t="n">
        <f aca="false">IF(Debt!V115&gt;Inputs!$F$253,Debt!V112/Debt!V115,0)</f>
        <v>0.0343941005521161</v>
      </c>
      <c r="W7" s="16" t="n">
        <f aca="false">IF(Debt!W115&gt;Inputs!$F$253,Debt!W112/Debt!W115,0)</f>
        <v>0.0340254908908397</v>
      </c>
      <c r="X7" s="16" t="n">
        <f aca="false">IF(Debt!X115&gt;Inputs!$F$253,Debt!X112/Debt!X115,0)</f>
        <v>0.0343941005521161</v>
      </c>
      <c r="Y7" s="16" t="n">
        <f aca="false">IF(Debt!Y115&gt;Inputs!$F$253,Debt!Y112/Debt!Y115,0)</f>
        <v>0.0350870127487086</v>
      </c>
      <c r="Z7" s="16" t="n">
        <f aca="false">IF(Debt!Z115&gt;Inputs!$F$253,Debt!Z112/Debt!Z115,0)</f>
        <v>0.035473216694922</v>
      </c>
      <c r="AA7" s="16" t="n">
        <f aca="false">IF(Debt!AA115&gt;Inputs!$F$253,Debt!AA112/Debt!AA115,0)</f>
        <v>0.0350870127487086</v>
      </c>
      <c r="AB7" s="16" t="n">
        <f aca="false">IF(Debt!AB115&gt;Inputs!$F$253,Debt!AB112/Debt!AB115,0)</f>
        <v>0.0352356415194376</v>
      </c>
      <c r="AC7" s="16" t="n">
        <f aca="false">IF(Debt!AC115&gt;Inputs!$F$253,Debt!AC112/Debt!AC115,0)</f>
        <v>0.0346808077691667</v>
      </c>
      <c r="AD7" s="16" t="n">
        <f aca="false">IF(Debt!AD115&gt;Inputs!$F$253,Debt!AD112/Debt!AD115,0)</f>
        <v>0.0345950429112193</v>
      </c>
      <c r="AE7" s="16" t="n">
        <f aca="false">IF(Debt!AE115&gt;Inputs!$F$253,Debt!AE112/Debt!AE115,0)</f>
        <v>0.033793278697426</v>
      </c>
      <c r="AF7" s="16" t="n">
        <f aca="false">IF(Debt!AF115&gt;Inputs!$F$253,Debt!AF112/Debt!AF115,0)</f>
        <v>0.0335777477015965</v>
      </c>
      <c r="AG7" s="16" t="n">
        <f aca="false">IF(Debt!AG115&gt;Inputs!$F$253,Debt!AG112/Debt!AG115,0)</f>
        <v>0.0332518172081777</v>
      </c>
      <c r="AH7" s="16" t="n">
        <f aca="false">IF(Debt!AH115&gt;Inputs!$F$253,Debt!AH112/Debt!AH115,0)</f>
        <v>0.0324673825582611</v>
      </c>
      <c r="AI7" s="16" t="n">
        <f aca="false">IF(Debt!AI115&gt;Inputs!$F$253,Debt!AI112/Debt!AI115,0)</f>
        <v>0.0305928926761896</v>
      </c>
      <c r="AJ7" s="16" t="n">
        <f aca="false">IF(Debt!AJ115&gt;Inputs!$F$253,Debt!AJ112/Debt!AJ115,0)</f>
        <v>0.028332602154378</v>
      </c>
      <c r="AK7" s="16" t="n">
        <f aca="false">IF(Debt!AK115&gt;Inputs!$F$253,Debt!AK112/Debt!AK115,0)</f>
        <v>0.0270603326321467</v>
      </c>
      <c r="AL7" s="16" t="n">
        <f aca="false">IF(Debt!AL115&gt;Inputs!$F$253,Debt!AL112/Debt!AL115,0)</f>
        <v>0.0271488219099669</v>
      </c>
      <c r="AM7" s="16" t="n">
        <f aca="false">IF(Debt!AM115&gt;Inputs!$F$253,Debt!AM112/Debt!AM115,0)</f>
        <v>0.0270160879932365</v>
      </c>
      <c r="AN7" s="16" t="n">
        <f aca="false">IF(Debt!AN115&gt;Inputs!$F$253,Debt!AN112/Debt!AN115,0)</f>
        <v>0.0271488219099669</v>
      </c>
      <c r="AO7" s="16" t="n">
        <f aca="false">IF(Debt!AO115&gt;Inputs!$F$253,Debt!AO112/Debt!AO115,0)</f>
        <v>0.0270160879932365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0.0270160879932365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0.0270160879932365</v>
      </c>
      <c r="K10" s="16" t="n">
        <f aca="false">IF(K7&gt;0,K7,$F$9)</f>
        <v>0.0270160879932365</v>
      </c>
      <c r="L10" s="16" t="n">
        <f aca="false">IF(L7&gt;0,L7,$F$9)</f>
        <v>0.0270160879932365</v>
      </c>
      <c r="M10" s="16" t="n">
        <f aca="false">IF(M7&gt;0,M7,$F$9)</f>
        <v>0.0270160879932365</v>
      </c>
      <c r="N10" s="16" t="n">
        <f aca="false">IF(N7&gt;0,N7,$F$9)</f>
        <v>0.0270160879932365</v>
      </c>
      <c r="O10" s="16" t="n">
        <f aca="false">IF(O7&gt;0,O7,$F$9)</f>
        <v>0.0270160879932365</v>
      </c>
      <c r="P10" s="16" t="n">
        <f aca="false">IF(P7&gt;0,P7,$F$9)</f>
        <v>0.0343569388065203</v>
      </c>
      <c r="Q10" s="16" t="n">
        <f aca="false">IF(Q7&gt;0,Q7,$F$9)</f>
        <v>0.0340133056083164</v>
      </c>
      <c r="R10" s="16" t="n">
        <f aca="false">IF(R7&gt;0,R7,$F$9)</f>
        <v>0.0343817133035842</v>
      </c>
      <c r="S10" s="16" t="n">
        <f aca="false">IF(S7&gt;0,S7,$F$9)</f>
        <v>0.0340254908908397</v>
      </c>
      <c r="T10" s="16" t="n">
        <f aca="false">IF(T7&gt;0,T7,$F$9)</f>
        <v>0.0343941005521161</v>
      </c>
      <c r="U10" s="16" t="n">
        <f aca="false">IF(U7&gt;0,U7,$F$9)</f>
        <v>0.0341483607779318</v>
      </c>
      <c r="V10" s="16" t="n">
        <f aca="false">IF(V7&gt;0,V7,$F$9)</f>
        <v>0.0343941005521161</v>
      </c>
      <c r="W10" s="16" t="n">
        <f aca="false">IF(W7&gt;0,W7,$F$9)</f>
        <v>0.0340254908908397</v>
      </c>
      <c r="X10" s="16" t="n">
        <f aca="false">IF(X7&gt;0,X7,$F$9)</f>
        <v>0.0343941005521161</v>
      </c>
      <c r="Y10" s="16" t="n">
        <f aca="false">IF(Y7&gt;0,Y7,$F$9)</f>
        <v>0.0350870127487086</v>
      </c>
      <c r="Z10" s="16" t="n">
        <f aca="false">IF(Z7&gt;0,Z7,$F$9)</f>
        <v>0.035473216694922</v>
      </c>
      <c r="AA10" s="16" t="n">
        <f aca="false">IF(AA7&gt;0,AA7,$F$9)</f>
        <v>0.0350870127487086</v>
      </c>
      <c r="AB10" s="16" t="n">
        <f aca="false">IF(AB7&gt;0,AB7,$F$9)</f>
        <v>0.0352356415194376</v>
      </c>
      <c r="AC10" s="16" t="n">
        <f aca="false">IF(AC7&gt;0,AC7,$F$9)</f>
        <v>0.0346808077691667</v>
      </c>
      <c r="AD10" s="16" t="n">
        <f aca="false">IF(AD7&gt;0,AD7,$F$9)</f>
        <v>0.0345950429112193</v>
      </c>
      <c r="AE10" s="16" t="n">
        <f aca="false">IF(AE7&gt;0,AE7,$F$9)</f>
        <v>0.033793278697426</v>
      </c>
      <c r="AF10" s="16" t="n">
        <f aca="false">IF(AF7&gt;0,AF7,$F$9)</f>
        <v>0.0335777477015965</v>
      </c>
      <c r="AG10" s="16" t="n">
        <f aca="false">IF(AG7&gt;0,AG7,$F$9)</f>
        <v>0.0332518172081777</v>
      </c>
      <c r="AH10" s="16" t="n">
        <f aca="false">IF(AH7&gt;0,AH7,$F$9)</f>
        <v>0.0324673825582611</v>
      </c>
      <c r="AI10" s="16" t="n">
        <f aca="false">IF(AI7&gt;0,AI7,$F$9)</f>
        <v>0.0305928926761896</v>
      </c>
      <c r="AJ10" s="16" t="n">
        <f aca="false">IF(AJ7&gt;0,AJ7,$F$9)</f>
        <v>0.028332602154378</v>
      </c>
      <c r="AK10" s="16" t="n">
        <f aca="false">IF(AK7&gt;0,AK7,$F$9)</f>
        <v>0.0270603326321467</v>
      </c>
      <c r="AL10" s="16" t="n">
        <f aca="false">IF(AL7&gt;0,AL7,$F$9)</f>
        <v>0.0271488219099669</v>
      </c>
      <c r="AM10" s="16" t="n">
        <f aca="false">IF(AM7&gt;0,AM7,$F$9)</f>
        <v>0.0270160879932365</v>
      </c>
      <c r="AN10" s="16" t="n">
        <f aca="false">IF(AN7&gt;0,AN7,$F$9)</f>
        <v>0.0271488219099669</v>
      </c>
      <c r="AO10" s="16" t="n">
        <f aca="false">IF(AO7&gt;0,AO7,$F$9)</f>
        <v>0.0270160879932365</v>
      </c>
      <c r="AP10" s="16" t="n">
        <f aca="false">IF(AP7&gt;0,AP7,$F$9)</f>
        <v>0.0270160879932365</v>
      </c>
      <c r="AQ10" s="16" t="n">
        <f aca="false">IF(AQ7&gt;0,AQ7,$F$9)</f>
        <v>0.0270160879932365</v>
      </c>
      <c r="AR10" s="16" t="n">
        <f aca="false">IF(AR7&gt;0,AR7,$F$9)</f>
        <v>0.0270160879932365</v>
      </c>
      <c r="AS10" s="16" t="n">
        <f aca="false">IF(AS7&gt;0,AS7,$F$9)</f>
        <v>0.0270160879932365</v>
      </c>
      <c r="AT10" s="16" t="n">
        <f aca="false">IF(AT7&gt;0,AT7,$F$9)</f>
        <v>0.0270160879932365</v>
      </c>
      <c r="AU10" s="16" t="n">
        <f aca="false">IF(AU7&gt;0,AU7,$F$9)</f>
        <v>0.0270160879932365</v>
      </c>
      <c r="AV10" s="16" t="n">
        <f aca="false">IF(AV7&gt;0,AV7,$F$9)</f>
        <v>0.0270160879932365</v>
      </c>
      <c r="AW10" s="16" t="n">
        <f aca="false">IF(AW7&gt;0,AW7,$F$9)</f>
        <v>0.0270160879932365</v>
      </c>
      <c r="AX10" s="16" t="n">
        <f aca="false">IF(AX7&gt;0,AX7,$F$9)</f>
        <v>0.0270160879932365</v>
      </c>
      <c r="AY10" s="16" t="n">
        <f aca="false">IF(AY7&gt;0,AY7,$F$9)</f>
        <v>0.0270160879932365</v>
      </c>
      <c r="AZ10" s="16" t="n">
        <f aca="false">IF(AZ7&gt;0,AZ7,$F$9)</f>
        <v>0.0270160879932365</v>
      </c>
      <c r="BA10" s="16" t="n">
        <f aca="false">IF(BA7&gt;0,BA7,$F$9)</f>
        <v>0.0270160879932365</v>
      </c>
      <c r="BB10" s="16" t="n">
        <f aca="false">IF(BB7&gt;0,BB7,$F$9)</f>
        <v>0.0270160879932365</v>
      </c>
      <c r="BC10" s="16" t="n">
        <f aca="false">IF(BC7&gt;0,BC7,$F$9)</f>
        <v>0.0270160879932365</v>
      </c>
      <c r="BD10" s="16" t="n">
        <f aca="false">IF(BD7&gt;0,BD7,$F$9)</f>
        <v>0.0270160879932365</v>
      </c>
      <c r="BE10" s="16" t="n">
        <f aca="false">IF(BE7&gt;0,BE7,$F$9)</f>
        <v>0.0270160879932365</v>
      </c>
      <c r="BF10" s="16" t="n">
        <f aca="false">IF(BF7&gt;0,BF7,$F$9)</f>
        <v>0.0270160879932365</v>
      </c>
      <c r="BG10" s="16" t="n">
        <f aca="false">IF(BG7&gt;0,BG7,$F$9)</f>
        <v>0.0270160879932365</v>
      </c>
      <c r="BH10" s="16" t="n">
        <f aca="false">IF(BH7&gt;0,BH7,$F$9)</f>
        <v>0.0270160879932365</v>
      </c>
      <c r="BI10" s="16" t="n">
        <f aca="false">IF(BI7&gt;0,BI7,$F$9)</f>
        <v>0.0270160879932365</v>
      </c>
      <c r="BJ10" s="16" t="n">
        <f aca="false">IF(BJ7&gt;0,BJ7,$F$9)</f>
        <v>0.0270160879932365</v>
      </c>
      <c r="BK10" s="16" t="n">
        <f aca="false">IF(BK7&gt;0,BK7,$F$9)</f>
        <v>0.0270160879932365</v>
      </c>
      <c r="BL10" s="16" t="n">
        <f aca="false">IF(BL7&gt;0,BL7,$F$9)</f>
        <v>0.0270160879932365</v>
      </c>
      <c r="BM10" s="16" t="n">
        <f aca="false">IF(BM7&gt;0,BM7,$F$9)</f>
        <v>0.0270160879932365</v>
      </c>
      <c r="BN10" s="16" t="n">
        <f aca="false">IF(BN7&gt;0,BN7,$F$9)</f>
        <v>0.0270160879932365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753.939666957641</v>
      </c>
      <c r="K11" s="13" t="n">
        <f aca="false">IF(Time!K20&lt;=$F$8,(Waterfall!K7+L11)/(1+K10),0)</f>
        <v>774.30816734176</v>
      </c>
      <c r="L11" s="13" t="n">
        <f aca="false">IF(Time!L20&lt;=$F$8,(Waterfall!L7+M11)/(1+L10),0)</f>
        <v>795.226944924547</v>
      </c>
      <c r="M11" s="13" t="n">
        <f aca="false">IF(Time!M20&lt;=$F$8,(Waterfall!M7+N11)/(1+M10),0)</f>
        <v>816.710866043221</v>
      </c>
      <c r="N11" s="13" t="n">
        <f aca="false">IF(Time!N20&lt;=$F$8,(Waterfall!N7+O11)/(1+N10),0)</f>
        <v>838.775198665278</v>
      </c>
      <c r="O11" s="13" t="n">
        <f aca="false">IF(Time!O20&lt;=$F$8,(Waterfall!O7+P11)/(1+O10),0)</f>
        <v>861.435623238963</v>
      </c>
      <c r="P11" s="13" t="n">
        <f aca="false">IF(Time!P20&lt;=$F$8,(Waterfall!P7+Q11)/(1+P10),0)</f>
        <v>882.825247991339</v>
      </c>
      <c r="Q11" s="13" t="n">
        <f aca="false">IF(Time!Q20&lt;=$F$8,(Waterfall!Q7+R11)/(1+Q10),0)</f>
        <v>862.40347836083</v>
      </c>
      <c r="R11" s="13" t="n">
        <f aca="false">IF(Time!R20&lt;=$F$8,(Waterfall!R7+S11)/(1+R10),0)</f>
        <v>840.979682989291</v>
      </c>
      <c r="S11" s="13" t="n">
        <f aca="false">IF(Time!S20&lt;=$F$8,(Waterfall!S7+T11)/(1+S10),0)</f>
        <v>818.591719509642</v>
      </c>
      <c r="T11" s="13" t="n">
        <f aca="false">IF(Time!T20&lt;=$F$8,(Waterfall!T7+U11)/(1+T10),0)</f>
        <v>795.325212978578</v>
      </c>
      <c r="U11" s="13" t="n">
        <f aca="false">IF(Time!U20&lt;=$F$8,(Waterfall!U7+V11)/(1+U10),0)</f>
        <v>770.878117337209</v>
      </c>
      <c r="V11" s="13" t="n">
        <f aca="false">IF(Time!V20&lt;=$F$8,(Waterfall!V7+W11)/(1+V10),0)</f>
        <v>745.568406924456</v>
      </c>
      <c r="W11" s="13" t="n">
        <f aca="false">IF(Time!W20&lt;=$F$8,(Waterfall!W7+X11)/(1+W10),0)</f>
        <v>718.561619509053</v>
      </c>
      <c r="X11" s="13" t="n">
        <f aca="false">IF(Time!X20&lt;=$F$8,(Waterfall!X7+Y11)/(1+X10),0)</f>
        <v>690.618393869865</v>
      </c>
      <c r="Y11" s="13" t="n">
        <f aca="false">IF(Time!Y20&lt;=$F$8,(Waterfall!Y7+Z11)/(1+Y10),0)</f>
        <v>663.21436151589</v>
      </c>
      <c r="Z11" s="13" t="n">
        <f aca="false">IF(Time!Z20&lt;=$F$8,(Waterfall!Z7+AA11)/(1+Z10),0)</f>
        <v>635.736470493169</v>
      </c>
      <c r="AA11" s="13" t="n">
        <f aca="false">IF(Time!AA20&lt;=$F$8,(Waterfall!AA7+AB11)/(1+AA10),0)</f>
        <v>606.933056470441</v>
      </c>
      <c r="AB11" s="13" t="n">
        <f aca="false">IF(Time!AB20&lt;=$F$8,(Waterfall!AB7+AC11)/(1+AB10),0)</f>
        <v>577.233212441167</v>
      </c>
      <c r="AC11" s="13" t="n">
        <f aca="false">IF(Time!AC20&lt;=$F$8,(Waterfall!AC7+AD11)/(1+AC10),0)</f>
        <v>545.679860892606</v>
      </c>
      <c r="AD11" s="13" t="n">
        <f aca="false">IF(Time!AD20&lt;=$F$8,(Waterfall!AD7+AE11)/(1+AD10),0)</f>
        <v>512.961670166666</v>
      </c>
      <c r="AE11" s="13" t="n">
        <f aca="false">IF(Time!AE20&lt;=$F$8,(Waterfall!AE7+AF11)/(1+AE10),0)</f>
        <v>476.651687961877</v>
      </c>
      <c r="AF11" s="13" t="n">
        <f aca="false">IF(Time!AF20&lt;=$F$8,(Waterfall!AF7+AG11)/(1+AF10),0)</f>
        <v>438.956938684684</v>
      </c>
      <c r="AG11" s="13" t="n">
        <f aca="false">IF(Time!AG20&lt;=$F$8,(Waterfall!AG7+AH11)/(1+AG10),0)</f>
        <v>399.429868468183</v>
      </c>
      <c r="AH11" s="13" t="n">
        <f aca="false">IF(Time!AH20&lt;=$F$8,(Waterfall!AH7+AI11)/(1+AH10),0)</f>
        <v>358.597291730939</v>
      </c>
      <c r="AI11" s="13" t="n">
        <f aca="false">IF(Time!AI20&lt;=$F$8,(Waterfall!AI7+AJ11)/(1+AI10),0)</f>
        <v>315.187168399861</v>
      </c>
      <c r="AJ11" s="13" t="n">
        <f aca="false">IF(Time!AJ20&lt;=$F$8,(Waterfall!AJ7+AK11)/(1+AJ10),0)</f>
        <v>269.986794288459</v>
      </c>
      <c r="AK11" s="13" t="n">
        <f aca="false">IF(Time!AK20&lt;=$F$8,(Waterfall!AK7+AL11)/(1+AK10),0)</f>
        <v>221.961576751732</v>
      </c>
      <c r="AL11" s="13" t="n">
        <f aca="false">IF(Time!AL20&lt;=$F$8,(Waterfall!AL7+AM11)/(1+AL10),0)</f>
        <v>172.403553854096</v>
      </c>
      <c r="AM11" s="13" t="n">
        <f aca="false">IF(Time!AM20&lt;=$F$8,(Waterfall!AM7+AN11)/(1+AM10),0)</f>
        <v>128.118241255385</v>
      </c>
      <c r="AN11" s="13" t="n">
        <f aca="false">IF(Time!AN20&lt;=$F$8,(Waterfall!AN7+AO11)/(1+AN10),0)</f>
        <v>85.0392647907196</v>
      </c>
      <c r="AO11" s="13" t="n">
        <f aca="false">IF(Time!AO20&lt;=$F$8,(Waterfall!AO7+AP11)/(1+AO10),0)</f>
        <v>42.8620554916776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1058.86566382586</v>
      </c>
      <c r="K12" s="13" t="n">
        <f aca="false">IF(Time!K20&lt;=Time!$F$15,(Waterfall!K7+L12)/(1+K10),0)</f>
        <v>1087.4720717728</v>
      </c>
      <c r="L12" s="13" t="n">
        <f aca="false">IF(Time!L20&lt;=Time!$F$15,(Waterfall!L7+M12)/(1+L10),0)</f>
        <v>1116.851312954</v>
      </c>
      <c r="M12" s="13" t="n">
        <f aca="false">IF(Time!M20&lt;=Time!$F$15,(Waterfall!M7+N12)/(1+M10),0)</f>
        <v>1147.02426630013</v>
      </c>
      <c r="N12" s="13" t="n">
        <f aca="false">IF(Time!N20&lt;=Time!$F$15,(Waterfall!N7+O12)/(1+N10),0)</f>
        <v>1178.01237480887</v>
      </c>
      <c r="O12" s="13" t="n">
        <f aca="false">IF(Time!O20&lt;=Time!$F$15,(Waterfall!O7+P12)/(1+O10),0)</f>
        <v>1209.83766078383</v>
      </c>
      <c r="P12" s="13" t="n">
        <f aca="false">IF(Time!P20&lt;=Time!$F$15,(Waterfall!P7+Q12)/(1+P10),0)</f>
        <v>1240.63974563954</v>
      </c>
      <c r="Q12" s="13" t="n">
        <f aca="false">IF(Time!Q20&lt;=Time!$F$15,(Waterfall!Q7+R12)/(1+Q10),0)</f>
        <v>1232.51138680881</v>
      </c>
      <c r="R12" s="13" t="n">
        <f aca="false">IF(Time!R20&lt;=Time!$F$15,(Waterfall!R7+S12)/(1+R10),0)</f>
        <v>1223.67618483537</v>
      </c>
      <c r="S12" s="13" t="n">
        <f aca="false">IF(Time!S20&lt;=Time!$F$15,(Waterfall!S7+T12)/(1+S10),0)</f>
        <v>1214.44598276448</v>
      </c>
      <c r="T12" s="13" t="n">
        <f aca="false">IF(Time!T20&lt;=Time!$F$15,(Waterfall!T7+U12)/(1+T10),0)</f>
        <v>1204.64861186189</v>
      </c>
      <c r="U12" s="13" t="n">
        <f aca="false">IF(Time!U20&lt;=Time!$F$15,(Waterfall!U7+V12)/(1+U10),0)</f>
        <v>1194.27982636005</v>
      </c>
      <c r="V12" s="13" t="n">
        <f aca="false">IF(Time!V20&lt;=Time!$F$15,(Waterfall!V7+W12)/(1+V10),0)</f>
        <v>1183.428590261</v>
      </c>
      <c r="W12" s="13" t="n">
        <f aca="false">IF(Time!W20&lt;=Time!$F$15,(Waterfall!W7+X12)/(1+W10),0)</f>
        <v>1171.48161001904</v>
      </c>
      <c r="X12" s="13" t="n">
        <f aca="false">IF(Time!X20&lt;=Time!$F$15,(Waterfall!X7+Y12)/(1+X10),0)</f>
        <v>1158.94920939123</v>
      </c>
      <c r="Y12" s="13" t="n">
        <f aca="false">IF(Time!Y20&lt;=Time!$F$15,(Waterfall!Y7+Z12)/(1+Y10),0)</f>
        <v>1147.65299419795</v>
      </c>
      <c r="Z12" s="13" t="n">
        <f aca="false">IF(Time!Z20&lt;=Time!$F$15,(Waterfall!Z7+AA12)/(1+Z10),0)</f>
        <v>1137.17260765611</v>
      </c>
      <c r="AA12" s="13" t="n">
        <f aca="false">IF(Time!AA20&lt;=Time!$F$15,(Waterfall!AA7+AB12)/(1+AA10),0)</f>
        <v>1126.15674638563</v>
      </c>
      <c r="AB12" s="13" t="n">
        <f aca="false">IF(Time!AB20&lt;=Time!$F$15,(Waterfall!AB7+AC12)/(1+AB10),0)</f>
        <v>1114.67491058384</v>
      </c>
      <c r="AC12" s="13" t="n">
        <f aca="false">IF(Time!AC20&lt;=Time!$F$15,(Waterfall!AC7+AD12)/(1+AC10),0)</f>
        <v>1102.05866204864</v>
      </c>
      <c r="AD12" s="13" t="n">
        <f aca="false">IF(Time!AD20&lt;=Time!$F$15,(Waterfall!AD7+AE12)/(1+AD10),0)</f>
        <v>1088.63613757243</v>
      </c>
      <c r="AE12" s="13" t="n">
        <f aca="false">IF(Time!AE20&lt;=Time!$F$15,(Waterfall!AE7+AF12)/(1+AE10),0)</f>
        <v>1072.24163827043</v>
      </c>
      <c r="AF12" s="13" t="n">
        <f aca="false">IF(Time!AF20&lt;=Time!$F$15,(Waterfall!AF7+AG12)/(1+AF10),0)</f>
        <v>1054.67382617341</v>
      </c>
      <c r="AG12" s="13" t="n">
        <f aca="false">IF(Time!AG20&lt;=Time!$F$15,(Waterfall!AG7+AH12)/(1+AG10),0)</f>
        <v>1035.82114226061</v>
      </c>
      <c r="AH12" s="13" t="n">
        <f aca="false">IF(Time!AH20&lt;=Time!$F$15,(Waterfall!AH7+AI12)/(1+AH10),0)</f>
        <v>1016.14973183239</v>
      </c>
      <c r="AI12" s="13" t="n">
        <f aca="false">IF(Time!AI20&lt;=Time!$F$15,(Waterfall!AI7+AJ12)/(1+AI10),0)</f>
        <v>994.088615126207</v>
      </c>
      <c r="AJ12" s="13" t="n">
        <f aca="false">IF(Time!AJ20&lt;=Time!$F$15,(Waterfall!AJ7+AK12)/(1+AJ10),0)</f>
        <v>969.657800112215</v>
      </c>
      <c r="AK12" s="13" t="n">
        <f aca="false">IF(Time!AK20&lt;=Time!$F$15,(Waterfall!AK7+AL12)/(1+AK10),0)</f>
        <v>941.456082822446</v>
      </c>
      <c r="AL12" s="13" t="n">
        <f aca="false">IF(Time!AL20&lt;=Time!$F$15,(Waterfall!AL7+AM12)/(1+AL10),0)</f>
        <v>911.367820586086</v>
      </c>
      <c r="AM12" s="13" t="n">
        <f aca="false">IF(Time!AM20&lt;=Time!$F$15,(Waterfall!AM7+AN12)/(1+AM10),0)</f>
        <v>887.14451726271</v>
      </c>
      <c r="AN12" s="13" t="n">
        <f aca="false">IF(Time!AN20&lt;=Time!$F$15,(Waterfall!AN7+AO12)/(1+AN10),0)</f>
        <v>864.571461459838</v>
      </c>
      <c r="AO12" s="13" t="n">
        <f aca="false">IF(Time!AO20&lt;=Time!$F$15,(Waterfall!AO7+AP12)/(1+AO10),0)</f>
        <v>843.557632941251</v>
      </c>
      <c r="AP12" s="13" t="n">
        <f aca="false">IF(Time!AP20&lt;=Time!$F$15,(Waterfall!AP7+AQ12)/(1+AP10),0)</f>
        <v>822.327239625746</v>
      </c>
      <c r="AQ12" s="13" t="n">
        <f aca="false">IF(Time!AQ20&lt;=Time!$F$15,(Waterfall!AQ7+AR12)/(1+AQ10),0)</f>
        <v>799.72288017669</v>
      </c>
      <c r="AR12" s="13" t="n">
        <f aca="false">IF(Time!AR20&lt;=Time!$F$15,(Waterfall!AR7+AS12)/(1+AR10),0)</f>
        <v>776.809346699151</v>
      </c>
      <c r="AS12" s="13" t="n">
        <f aca="false">IF(Time!AS20&lt;=Time!$F$15,(Waterfall!AS7+AT12)/(1+AS10),0)</f>
        <v>752.458071462613</v>
      </c>
      <c r="AT12" s="13" t="n">
        <f aca="false">IF(Time!AT20&lt;=Time!$F$15,(Waterfall!AT7+AU12)/(1+AT10),0)</f>
        <v>727.66534436817</v>
      </c>
      <c r="AU12" s="13" t="n">
        <f aca="false">IF(Time!AU20&lt;=Time!$F$15,(Waterfall!AU7+AV12)/(1+AU10),0)</f>
        <v>695.808447182734</v>
      </c>
      <c r="AV12" s="13" t="n">
        <f aca="false">IF(Time!AV20&lt;=Time!$F$15,(Waterfall!AV7+AW12)/(1+AV10),0)</f>
        <v>667.350851626552</v>
      </c>
      <c r="AW12" s="13" t="n">
        <f aca="false">IF(Time!AW20&lt;=Time!$F$15,(Waterfall!AW7+AX12)/(1+AW10),0)</f>
        <v>637.32197452957</v>
      </c>
      <c r="AX12" s="13" t="n">
        <f aca="false">IF(Time!AX20&lt;=Time!$F$15,(Waterfall!AX7+AY12)/(1+AX10),0)</f>
        <v>606.659063226947</v>
      </c>
      <c r="AY12" s="13" t="n">
        <f aca="false">IF(Time!AY20&lt;=Time!$F$15,(Waterfall!AY7+AZ12)/(1+AY10),0)</f>
        <v>574.175881053927</v>
      </c>
      <c r="AZ12" s="13" t="n">
        <f aca="false">IF(Time!AZ20&lt;=Time!$F$15,(Waterfall!AZ7+BA12)/(1+AZ10),0)</f>
        <v>541.108160281318</v>
      </c>
      <c r="BA12" s="13" t="n">
        <f aca="false">IF(Time!BA20&lt;=Time!$F$15,(Waterfall!BA7+BB12)/(1+BA10),0)</f>
        <v>506.16727641659</v>
      </c>
      <c r="BB12" s="13" t="n">
        <f aca="false">IF(Time!BB20&lt;=Time!$F$15,(Waterfall!BB7+BC12)/(1+BB10),0)</f>
        <v>470.495959448613</v>
      </c>
      <c r="BC12" s="13" t="n">
        <f aca="false">IF(Time!BC20&lt;=Time!$F$15,(Waterfall!BC7+BD12)/(1+BC10),0)</f>
        <v>431.460812471894</v>
      </c>
      <c r="BD12" s="13" t="n">
        <f aca="false">IF(Time!BD20&lt;=Time!$F$15,(Waterfall!BD7+BE12)/(1+BD10),0)</f>
        <v>394.566892359079</v>
      </c>
      <c r="BE12" s="13" t="n">
        <f aca="false">IF(Time!BE20&lt;=Time!$F$15,(Waterfall!BE7+BF12)/(1+BE10),0)</f>
        <v>362.302178317406</v>
      </c>
      <c r="BF12" s="13" t="n">
        <f aca="false">IF(Time!BF20&lt;=Time!$F$15,(Waterfall!BF7+BG12)/(1+BF10),0)</f>
        <v>329.393113222345</v>
      </c>
      <c r="BG12" s="13" t="n">
        <f aca="false">IF(Time!BG20&lt;=Time!$F$15,(Waterfall!BG7+BH12)/(1+BG10),0)</f>
        <v>294.534483237672</v>
      </c>
      <c r="BH12" s="13" t="n">
        <f aca="false">IF(Time!BH20&lt;=Time!$F$15,(Waterfall!BH7+BI12)/(1+BH10),0)</f>
        <v>259.017031012704</v>
      </c>
      <c r="BI12" s="13" t="n">
        <f aca="false">IF(Time!BI20&lt;=Time!$F$15,(Waterfall!BI7+BJ12)/(1+BI10),0)</f>
        <v>221.452632396568</v>
      </c>
      <c r="BJ12" s="13" t="n">
        <f aca="false">IF(Time!BJ20&lt;=Time!$F$15,(Waterfall!BJ7+BK12)/(1+BJ10),0)</f>
        <v>182.951303342416</v>
      </c>
      <c r="BK12" s="13" t="n">
        <f aca="false">IF(Time!BK20&lt;=Time!$F$15,(Waterfall!BK7+BL12)/(1+BK10),0)</f>
        <v>135.900877496377</v>
      </c>
      <c r="BL12" s="13" t="n">
        <f aca="false">IF(Time!BL20&lt;=Time!$F$15,(Waterfall!BL7+BM12)/(1+BL10),0)</f>
        <v>92.6050049108814</v>
      </c>
      <c r="BM12" s="13" t="n">
        <f aca="false">IF(Time!BM20&lt;=Time!$F$15,(Waterfall!BM7+BN12)/(1+BM10),0)</f>
        <v>46.2062072844342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1.45269061347068</v>
      </c>
      <c r="Q13" s="3" t="n">
        <f aca="false">IF(Debt!Q115&gt;Inputs!$F$253,(Q11+Reserves!Q9)/Debt!Q115,0)</f>
        <v>1.45591913916282</v>
      </c>
      <c r="R13" s="3" t="n">
        <f aca="false">IF(Debt!R115&gt;Inputs!$F$253,(R11+Reserves!R9)/Debt!R115,0)</f>
        <v>1.46016392046811</v>
      </c>
      <c r="S13" s="3" t="n">
        <f aca="false">IF(Debt!S115&gt;Inputs!$F$253,(S11+Reserves!S9)/Debt!S115,0)</f>
        <v>1.46368762664828</v>
      </c>
      <c r="T13" s="3" t="n">
        <f aca="false">IF(Debt!T115&gt;Inputs!$F$253,(T11+Reserves!T9)/Debt!T115,0)</f>
        <v>1.46841517054525</v>
      </c>
      <c r="U13" s="3" t="n">
        <f aca="false">IF(Debt!U115&gt;Inputs!$F$253,(U11+Reserves!U9)/Debt!U115,0)</f>
        <v>1.47235549152462</v>
      </c>
      <c r="V13" s="3" t="n">
        <f aca="false">IF(Debt!V115&gt;Inputs!$F$253,(V11+Reserves!V9)/Debt!V115,0)</f>
        <v>1.47825353804738</v>
      </c>
      <c r="W13" s="3" t="n">
        <f aca="false">IF(Debt!W115&gt;Inputs!$F$253,(W11+Reserves!W9)/Debt!W115,0)</f>
        <v>1.48291347741229</v>
      </c>
      <c r="X13" s="3" t="n">
        <f aca="false">IF(Debt!X115&gt;Inputs!$F$253,(X11+Reserves!X9)/Debt!X115,0)</f>
        <v>1.48620625996391</v>
      </c>
      <c r="Y13" s="3" t="n">
        <f aca="false">IF(Debt!Y115&gt;Inputs!$F$253,(Y11+Reserves!Y9)/Debt!Y115,0)</f>
        <v>1.49069380572609</v>
      </c>
      <c r="Z13" s="3" t="n">
        <f aca="false">IF(Debt!Z115&gt;Inputs!$F$253,(Z11+Reserves!Z9)/Debt!Z115,0)</f>
        <v>1.49691307629794</v>
      </c>
      <c r="AA13" s="3" t="n">
        <f aca="false">IF(Debt!AA115&gt;Inputs!$F$253,(AA11+Reserves!AA9)/Debt!AA115,0)</f>
        <v>1.50214817760282</v>
      </c>
      <c r="AB13" s="3" t="n">
        <f aca="false">IF(Debt!AB115&gt;Inputs!$F$253,(AB11+Reserves!AB9)/Debt!AB115,0)</f>
        <v>1.53617178601818</v>
      </c>
      <c r="AC13" s="3" t="n">
        <f aca="false">IF(Debt!AC115&gt;Inputs!$F$253,(AC11+Reserves!AC9)/Debt!AC115,0)</f>
        <v>1.57494902796692</v>
      </c>
      <c r="AD13" s="3" t="n">
        <f aca="false">IF(Debt!AD115&gt;Inputs!$F$253,(AD11+Reserves!AD9)/Debt!AD115,0)</f>
        <v>1.62102137093369</v>
      </c>
      <c r="AE13" s="3" t="n">
        <f aca="false">IF(Debt!AE115&gt;Inputs!$F$253,(AE11+Reserves!AE9)/Debt!AE115,0)</f>
        <v>1.6774079627954</v>
      </c>
      <c r="AF13" s="3" t="n">
        <f aca="false">IF(Debt!AF115&gt;Inputs!$F$253,(AF11+Reserves!AF9)/Debt!AF115,0)</f>
        <v>1.74706630526907</v>
      </c>
      <c r="AG13" s="3" t="n">
        <f aca="false">IF(Debt!AG115&gt;Inputs!$F$253,(AG11+Reserves!AG9)/Debt!AG115,0)</f>
        <v>1.8353334697405</v>
      </c>
      <c r="AH13" s="3" t="n">
        <f aca="false">IF(Debt!AH115&gt;Inputs!$F$253,(AH11+Reserves!AH9)/Debt!AH115,0)</f>
        <v>1.95054690236026</v>
      </c>
      <c r="AI13" s="3" t="n">
        <f aca="false">IF(Debt!AI115&gt;Inputs!$F$253,(AI11+Reserves!AI9)/Debt!AI115,0)</f>
        <v>2.11327786657922</v>
      </c>
      <c r="AJ13" s="3" t="n">
        <f aca="false">IF(Debt!AJ115&gt;Inputs!$F$253,(AJ11+Reserves!AJ9)/Debt!AJ115,0)</f>
        <v>2.35828493365826</v>
      </c>
      <c r="AK13" s="3" t="n">
        <f aca="false">IF(Debt!AK115&gt;Inputs!$F$253,(AK11+Reserves!AK9)/Debt!AK115,0)</f>
        <v>2.45252029926211</v>
      </c>
      <c r="AL13" s="3" t="n">
        <f aca="false">IF(Debt!AL115&gt;Inputs!$F$253,(AL11+Reserves!AL9)/Debt!AL115,0)</f>
        <v>2.44853796191285</v>
      </c>
      <c r="AM13" s="3" t="n">
        <f aca="false">IF(Debt!AM115&gt;Inputs!$F$253,(AM11+Reserves!AM9)/Debt!AM115,0)</f>
        <v>2.59074211326131</v>
      </c>
      <c r="AN13" s="3" t="n">
        <f aca="false">IF(Debt!AN115&gt;Inputs!$F$253,(AN11+Reserves!AN9)/Debt!AN115,0)</f>
        <v>2.84959516446322</v>
      </c>
      <c r="AO13" s="3" t="n">
        <f aca="false">IF(Debt!AO115&gt;Inputs!$F$253,(AO11+Reserves!AO9)/Debt!AO115,0)</f>
        <v>3.35475656049262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1.39387324254985</v>
      </c>
      <c r="Q14" s="3" t="n">
        <f aca="false">IF(Debt!Q115&gt;Inputs!$F$253,Q11/Debt!Q115,0)</f>
        <v>1.39577092241482</v>
      </c>
      <c r="R14" s="3" t="n">
        <f aca="false">IF(Debt!R115&gt;Inputs!$F$253,R11/Debt!R115,0)</f>
        <v>1.39762401205038</v>
      </c>
      <c r="S14" s="3" t="n">
        <f aca="false">IF(Debt!S115&gt;Inputs!$F$253,S11/Debt!S115,0)</f>
        <v>1.3998342651875</v>
      </c>
      <c r="T14" s="3" t="n">
        <f aca="false">IF(Debt!T115&gt;Inputs!$F$253,T11/Debt!T115,0)</f>
        <v>1.40186188815218</v>
      </c>
      <c r="U14" s="3" t="n">
        <f aca="false">IF(Debt!U115&gt;Inputs!$F$253,U11/Debt!U115,0)</f>
        <v>1.4039196796072</v>
      </c>
      <c r="V14" s="3" t="n">
        <f aca="false">IF(Debt!V115&gt;Inputs!$F$253,V11/Debt!V115,0)</f>
        <v>1.40603511167421</v>
      </c>
      <c r="W14" s="3" t="n">
        <f aca="false">IF(Debt!W115&gt;Inputs!$F$253,W11/Debt!W115,0)</f>
        <v>1.4083750185744</v>
      </c>
      <c r="X14" s="3" t="n">
        <f aca="false">IF(Debt!X115&gt;Inputs!$F$253,X11/Debt!X115,0)</f>
        <v>1.41076061992211</v>
      </c>
      <c r="Y14" s="3" t="n">
        <f aca="false">IF(Debt!Y115&gt;Inputs!$F$253,Y11/Debt!Y115,0)</f>
        <v>1.41277773806843</v>
      </c>
      <c r="Z14" s="3" t="n">
        <f aca="false">IF(Debt!Z115&gt;Inputs!$F$253,Z11/Debt!Z115,0)</f>
        <v>1.41484068597173</v>
      </c>
      <c r="AA14" s="3" t="n">
        <f aca="false">IF(Debt!AA115&gt;Inputs!$F$253,AA11/Debt!AA115,0)</f>
        <v>1.41675802579474</v>
      </c>
      <c r="AB14" s="3" t="n">
        <f aca="false">IF(Debt!AB115&gt;Inputs!$F$253,AB11/Debt!AB115,0)</f>
        <v>1.44360974784758</v>
      </c>
      <c r="AC14" s="3" t="n">
        <f aca="false">IF(Debt!AC115&gt;Inputs!$F$253,AC11/Debt!AC115,0)</f>
        <v>1.47712528375433</v>
      </c>
      <c r="AD14" s="3" t="n">
        <f aca="false">IF(Debt!AD115&gt;Inputs!$F$253,AD11/Debt!AD115,0)</f>
        <v>1.51304450532034</v>
      </c>
      <c r="AE14" s="3" t="n">
        <f aca="false">IF(Debt!AE115&gt;Inputs!$F$253,AE11/Debt!AE115,0)</f>
        <v>1.56040312969058</v>
      </c>
      <c r="AF14" s="3" t="n">
        <f aca="false">IF(Debt!AF115&gt;Inputs!$F$253,AF11/Debt!AF115,0)</f>
        <v>1.61927620611566</v>
      </c>
      <c r="AG14" s="3" t="n">
        <f aca="false">IF(Debt!AG115&gt;Inputs!$F$253,AG11/Debt!AG115,0)</f>
        <v>1.69529160992716</v>
      </c>
      <c r="AH14" s="3" t="n">
        <f aca="false">IF(Debt!AH115&gt;Inputs!$F$253,AH11/Debt!AH115,0)</f>
        <v>1.79188094892542</v>
      </c>
      <c r="AI14" s="3" t="n">
        <f aca="false">IF(Debt!AI115&gt;Inputs!$F$253,AI11/Debt!AI115,0)</f>
        <v>1.93180644223304</v>
      </c>
      <c r="AJ14" s="3" t="n">
        <f aca="false">IF(Debt!AJ115&gt;Inputs!$F$253,AJ11/Debt!AJ115,0)</f>
        <v>2.14046788661368</v>
      </c>
      <c r="AK14" s="3" t="n">
        <f aca="false">IF(Debt!AK115&gt;Inputs!$F$253,AK11/Debt!AK115,0)</f>
        <v>2.21036310384567</v>
      </c>
      <c r="AL14" s="3" t="n">
        <f aca="false">IF(Debt!AL115&gt;Inputs!$F$253,AL11/Debt!AL115,0)</f>
        <v>2.15239344315156</v>
      </c>
      <c r="AM14" s="3" t="n">
        <f aca="false">IF(Debt!AM115&gt;Inputs!$F$253,AM11/Debt!AM115,0)</f>
        <v>2.18809654908624</v>
      </c>
      <c r="AN14" s="3" t="n">
        <f aca="false">IF(Debt!AN115&gt;Inputs!$F$253,AN11/Debt!AN115,0)</f>
        <v>2.32612269046378</v>
      </c>
      <c r="AO14" s="3" t="n">
        <f aca="false">IF(Debt!AO115&gt;Inputs!$F$253,AO11/Debt!AO115,0)</f>
        <v>2.32774047249939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1.95881863259508</v>
      </c>
      <c r="Q15" s="3" t="n">
        <f aca="false">IF(Debt!Q115&gt;Inputs!$F$253,Q12/Debt!Q115,0)</f>
        <v>1.99477808058322</v>
      </c>
      <c r="R15" s="3" t="n">
        <f aca="false">IF(Debt!R115&gt;Inputs!$F$253,R12/Debt!R115,0)</f>
        <v>2.03362727244612</v>
      </c>
      <c r="S15" s="3" t="n">
        <f aca="false">IF(Debt!S115&gt;Inputs!$F$253,S12/Debt!S115,0)</f>
        <v>2.07676557113403</v>
      </c>
      <c r="T15" s="3" t="n">
        <f aca="false">IF(Debt!T115&gt;Inputs!$F$253,T12/Debt!T115,0)</f>
        <v>2.12334646258737</v>
      </c>
      <c r="U15" s="3" t="n">
        <f aca="false">IF(Debt!U115&gt;Inputs!$F$253,U12/Debt!U115,0)</f>
        <v>2.17501692352658</v>
      </c>
      <c r="V15" s="3" t="n">
        <f aca="false">IF(Debt!V115&gt;Inputs!$F$253,V12/Debt!V115,0)</f>
        <v>2.23177663459482</v>
      </c>
      <c r="W15" s="3" t="n">
        <f aca="false">IF(Debt!W115&gt;Inputs!$F$253,W12/Debt!W115,0)</f>
        <v>2.29609457209445</v>
      </c>
      <c r="X15" s="3" t="n">
        <f aca="false">IF(Debt!X115&gt;Inputs!$F$253,X12/Debt!X115,0)</f>
        <v>2.3674433226971</v>
      </c>
      <c r="Y15" s="3" t="n">
        <f aca="false">IF(Debt!Y115&gt;Inputs!$F$253,Y12/Debt!Y115,0)</f>
        <v>2.4447278215214</v>
      </c>
      <c r="Z15" s="3" t="n">
        <f aca="false">IF(Debt!Z115&gt;Inputs!$F$253,Z12/Debt!Z115,0)</f>
        <v>2.53079404275222</v>
      </c>
      <c r="AA15" s="3" t="n">
        <f aca="false">IF(Debt!AA115&gt;Inputs!$F$253,AA12/Debt!AA115,0)</f>
        <v>2.62877691655676</v>
      </c>
      <c r="AB15" s="3" t="n">
        <f aca="false">IF(Debt!AB115&gt;Inputs!$F$253,AB12/Debt!AB115,0)</f>
        <v>2.78770440078235</v>
      </c>
      <c r="AC15" s="3" t="n">
        <f aca="false">IF(Debt!AC115&gt;Inputs!$F$253,AC12/Debt!AC115,0)</f>
        <v>2.98321200864858</v>
      </c>
      <c r="AD15" s="3" t="n">
        <f aca="false">IF(Debt!AD115&gt;Inputs!$F$253,AD12/Debt!AD115,0)</f>
        <v>3.2110682377339</v>
      </c>
      <c r="AE15" s="3" t="n">
        <f aca="false">IF(Debt!AE115&gt;Inputs!$F$253,AE12/Debt!AE115,0)</f>
        <v>3.51017157894878</v>
      </c>
      <c r="AF15" s="3" t="n">
        <f aca="false">IF(Debt!AF115&gt;Inputs!$F$253,AF12/Debt!AF115,0)</f>
        <v>3.89060539070857</v>
      </c>
      <c r="AG15" s="3" t="n">
        <f aca="false">IF(Debt!AG115&gt;Inputs!$F$253,AG12/Debt!AG115,0)</f>
        <v>4.39631342191292</v>
      </c>
      <c r="AH15" s="3" t="n">
        <f aca="false">IF(Debt!AH115&gt;Inputs!$F$253,AH12/Debt!AH115,0)</f>
        <v>5.07761599909775</v>
      </c>
      <c r="AI15" s="3" t="n">
        <f aca="false">IF(Debt!AI115&gt;Inputs!$F$253,AI12/Debt!AI115,0)</f>
        <v>6.09284572275176</v>
      </c>
      <c r="AJ15" s="3" t="n">
        <f aca="false">IF(Debt!AJ115&gt;Inputs!$F$253,AJ12/Debt!AJ115,0)</f>
        <v>7.68749222573877</v>
      </c>
      <c r="AK15" s="3" t="n">
        <f aca="false">IF(Debt!AK115&gt;Inputs!$F$253,AK12/Debt!AK115,0)</f>
        <v>9.37531540285189</v>
      </c>
      <c r="AL15" s="3" t="n">
        <f aca="false">IF(Debt!AL115&gt;Inputs!$F$253,AL12/Debt!AL115,0)</f>
        <v>11.3780840213359</v>
      </c>
      <c r="AM15" s="3" t="n">
        <f aca="false">IF(Debt!AM115&gt;Inputs!$F$253,AM12/Debt!AM115,0)</f>
        <v>15.1512995943638</v>
      </c>
      <c r="AN15" s="3" t="n">
        <f aca="false">IF(Debt!AN115&gt;Inputs!$F$253,AN12/Debt!AN115,0)</f>
        <v>23.6490672747282</v>
      </c>
      <c r="AO15" s="3" t="n">
        <f aca="false">IF(Debt!AO115&gt;Inputs!$F$253,AO12/Debt!AO115,0)</f>
        <v>45.8116910297126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1.36239849679913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1.59024880838288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1.45269061347068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1.95881863259508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1.3640809277344</v>
      </c>
      <c r="P20" s="3" t="n">
        <f aca="false">IF(Debt!Q114&gt;Inputs!$F$253,(Waterfall!Q7+IF(Debt!R114&gt;Inputs!$F$253,Waterfall!R7,0))/(Debt!Q114+Debt!R114),0)</f>
        <v>1.36451474592888</v>
      </c>
      <c r="Q20" s="3" t="n">
        <f aca="false">IF(Debt!R114&gt;Inputs!$F$253,(Waterfall!R7+IF(Debt!S114&gt;Inputs!$F$253,Waterfall!S7,0))/(Debt!R114+Debt!S114),0)</f>
        <v>1.36614119352406</v>
      </c>
      <c r="R20" s="3" t="n">
        <f aca="false">IF(Debt!S114&gt;Inputs!$F$253,(Waterfall!S7+IF(Debt!T114&gt;Inputs!$F$253,Waterfall!T7,0))/(Debt!S114+Debt!T114),0)</f>
        <v>1.37049001709536</v>
      </c>
      <c r="S20" s="3" t="n">
        <f aca="false">IF(Debt!T114&gt;Inputs!$F$253,(Waterfall!T7+IF(Debt!U114&gt;Inputs!$F$253,Waterfall!U7,0))/(Debt!T114+Debt!U114),0)</f>
        <v>1.37300001222084</v>
      </c>
      <c r="T20" s="3" t="n">
        <f aca="false">IF(Debt!U114&gt;Inputs!$F$253,(Waterfall!U7+IF(Debt!V114&gt;Inputs!$F$253,Waterfall!V7,0))/(Debt!U114+Debt!V114),0)</f>
        <v>1.3744680342329</v>
      </c>
      <c r="U20" s="3" t="n">
        <f aca="false">IF(Debt!V114&gt;Inputs!$F$253,(Waterfall!V7+IF(Debt!W114&gt;Inputs!$F$253,Waterfall!W7,0))/(Debt!V114+Debt!W114),0)</f>
        <v>1.37625857401567</v>
      </c>
      <c r="V20" s="3" t="n">
        <f aca="false">IF(Debt!W114&gt;Inputs!$F$253,(Waterfall!W7+IF(Debt!X114&gt;Inputs!$F$253,Waterfall!X7,0))/(Debt!W114+Debt!X114),0)</f>
        <v>1.38133986416766</v>
      </c>
      <c r="W20" s="3" t="n">
        <f aca="false">IF(Debt!X114&gt;Inputs!$F$253,(Waterfall!X7+IF(Debt!Y114&gt;Inputs!$F$253,Waterfall!Y7,0))/(Debt!X114+Debt!Y114),0)</f>
        <v>1.38627303810796</v>
      </c>
      <c r="X20" s="3" t="n">
        <f aca="false">IF(Debt!Y114&gt;Inputs!$F$253,(Waterfall!Y7+IF(Debt!Z114&gt;Inputs!$F$253,Waterfall!Z7,0))/(Debt!Y114+Debt!Z114),0)</f>
        <v>1.39001197166752</v>
      </c>
      <c r="Y20" s="3" t="n">
        <f aca="false">IF(Debt!Z114&gt;Inputs!$F$253,(Waterfall!Z7+IF(Debt!AA114&gt;Inputs!$F$253,Waterfall!AA7,0))/(Debt!Z114+Debt!AA114),0)</f>
        <v>1.39330428600253</v>
      </c>
      <c r="Z20" s="3" t="n">
        <f aca="false">IF(Debt!AA114&gt;Inputs!$F$253,(Waterfall!AA7+IF(Debt!AB114&gt;Inputs!$F$253,Waterfall!AB7,0))/(Debt!AA114+Debt!AB114),0)</f>
        <v>1.4121110915355</v>
      </c>
      <c r="AA20" s="3" t="n">
        <f aca="false">IF(Debt!AB114&gt;Inputs!$F$253,(Waterfall!AB7+IF(Debt!AC114&gt;Inputs!$F$253,Waterfall!AC7,0))/(Debt!AB114+Debt!AC114),0)</f>
        <v>1.44768373577999</v>
      </c>
      <c r="AB20" s="3" t="n">
        <f aca="false">IF(Debt!AC114&gt;Inputs!$F$253,(Waterfall!AC7+IF(Debt!AD114&gt;Inputs!$F$253,Waterfall!AD7,0))/(Debt!AC114+Debt!AD114),0)</f>
        <v>1.49099392317036</v>
      </c>
      <c r="AC20" s="3" t="n">
        <f aca="false">IF(Debt!AD114&gt;Inputs!$F$253,(Waterfall!AD7+IF(Debt!AE114&gt;Inputs!$F$253,Waterfall!AE7,0))/(Debt!AD114+Debt!AE114),0)</f>
        <v>1.53716522075511</v>
      </c>
      <c r="AD20" s="3" t="n">
        <f aca="false">IF(Debt!AE114&gt;Inputs!$F$253,(Waterfall!AE7+IF(Debt!AF114&gt;Inputs!$F$253,Waterfall!AF7,0))/(Debt!AE114+Debt!AF114),0)</f>
        <v>1.59517376927548</v>
      </c>
      <c r="AE20" s="3" t="n">
        <f aca="false">IF(Debt!AF114&gt;Inputs!$F$253,(Waterfall!AF7+IF(Debt!AG114&gt;Inputs!$F$253,Waterfall!AG7,0))/(Debt!AF114+Debt!AG114),0)</f>
        <v>1.6797513949415</v>
      </c>
      <c r="AF20" s="3" t="n">
        <f aca="false">IF(Debt!AG114&gt;Inputs!$F$253,(Waterfall!AG7+IF(Debt!AH114&gt;Inputs!$F$253,Waterfall!AH7,0))/(Debt!AG114+Debt!AH114),0)</f>
        <v>1.78907375972903</v>
      </c>
      <c r="AG20" s="3" t="n">
        <f aca="false">IF(Debt!AH114&gt;Inputs!$F$253,(Waterfall!AH7+IF(Debt!AI114&gt;Inputs!$F$253,Waterfall!AI7,0))/(Debt!AH114+Debt!AI114),0)</f>
        <v>1.93541595646757</v>
      </c>
      <c r="AH20" s="3" t="n">
        <f aca="false">IF(Debt!AI114&gt;Inputs!$F$253,(Waterfall!AI7+IF(Debt!AJ114&gt;Inputs!$F$253,Waterfall!AJ7,0))/(Debt!AI114+Debt!AJ114),0)</f>
        <v>2.15451298675304</v>
      </c>
      <c r="AI20" s="3" t="n">
        <f aca="false">IF(Debt!AJ114&gt;Inputs!$F$253,(Waterfall!AJ7+IF(Debt!AK114&gt;Inputs!$F$253,Waterfall!AK7,0))/(Debt!AJ114+Debt!AK114),0)</f>
        <v>2.35263044571815</v>
      </c>
      <c r="AJ20" s="3" t="n">
        <f aca="false">IF(Debt!AK114&gt;Inputs!$F$253,(Waterfall!AK7+IF(Debt!AL114&gt;Inputs!$F$253,Waterfall!AL7,0))/(Debt!AK114+Debt!AL114),0)</f>
        <v>2.23555014095715</v>
      </c>
      <c r="AK20" s="3" t="n">
        <f aca="false">IF(Debt!AL114&gt;Inputs!$F$253,(Waterfall!AL7+IF(Debt!AM114&gt;Inputs!$F$253,Waterfall!AM7,0))/(Debt!AL114+Debt!AM114),0)</f>
        <v>2.01930179185556</v>
      </c>
      <c r="AL20" s="3" t="n">
        <f aca="false">IF(Debt!AM114&gt;Inputs!$F$253,(Waterfall!AM7+IF(Debt!AN114&gt;Inputs!$F$253,Waterfall!AN7,0))/(Debt!AM114+Debt!AN114),0)</f>
        <v>2.13110351084534</v>
      </c>
      <c r="AM20" s="3" t="n">
        <f aca="false">IF(Debt!AN114&gt;Inputs!$F$253,(Waterfall!AN7+IF(Debt!AO114&gt;Inputs!$F$253,Waterfall!AO7,0))/(Debt!AN114+Debt!AO114),0)</f>
        <v>2.32614384215154</v>
      </c>
      <c r="AN20" s="3" t="n">
        <f aca="false">IF(Debt!AO114&gt;Inputs!$F$253,(Waterfall!AO7+IF(Debt!AP114&gt;Inputs!$F$253,Waterfall!AP7,0))/(Debt!AO114+Debt!AP114),0)</f>
        <v>2.32774047249939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1343.44579634118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-0.648353145005725</v>
      </c>
      <c r="M8" s="13" t="n">
        <f aca="false">-Funding!L68</f>
        <v>-0.82647484362762</v>
      </c>
      <c r="N8" s="13" t="n">
        <f aca="false">-Funding!M68</f>
        <v>-1.16836717077832</v>
      </c>
      <c r="O8" s="13" t="n">
        <f aca="false">-Funding!N68</f>
        <v>-1.68235659095034</v>
      </c>
      <c r="P8" s="13" t="n">
        <f aca="false">-Funding!O68</f>
        <v>-2.31829572588826</v>
      </c>
      <c r="Q8" s="13" t="n">
        <f aca="false">-Funding!P68</f>
        <v>-3.02426262454328</v>
      </c>
      <c r="R8" s="13" t="n">
        <f aca="false">-Funding!Q68</f>
        <v>-3.83878103136655</v>
      </c>
      <c r="S8" s="13" t="n">
        <f aca="false">-Funding!R68</f>
        <v>-4.65056239570114</v>
      </c>
      <c r="T8" s="13" t="n">
        <f aca="false">-Funding!S68</f>
        <v>-5.47719664800792</v>
      </c>
      <c r="U8" s="13" t="n">
        <f aca="false">-Funding!T68</f>
        <v>-6.25054942030998</v>
      </c>
      <c r="V8" s="13" t="n">
        <f aca="false">-Funding!U68</f>
        <v>-6.99227829283171</v>
      </c>
      <c r="W8" s="13" t="n">
        <f aca="false">-Funding!V68</f>
        <v>-7.64443430391635</v>
      </c>
      <c r="X8" s="13" t="n">
        <f aca="false">-Funding!W68</f>
        <v>-8.18679857639366</v>
      </c>
      <c r="Y8" s="13" t="n">
        <f aca="false">-Funding!X68</f>
        <v>-8.63585534627755</v>
      </c>
      <c r="Z8" s="13" t="n">
        <f aca="false">-Funding!Y68</f>
        <v>-8.93489171568256</v>
      </c>
      <c r="AA8" s="13" t="n">
        <f aca="false">-Funding!Z68</f>
        <v>-9.12233336382838</v>
      </c>
      <c r="AB8" s="13" t="n">
        <f aca="false">-Funding!AA68</f>
        <v>-9.46293490041493</v>
      </c>
      <c r="AC8" s="13" t="n">
        <f aca="false">-Funding!AB68</f>
        <v>-9.02661474512899</v>
      </c>
      <c r="AD8" s="13" t="n">
        <f aca="false">-Funding!AC68</f>
        <v>-8.81237006196717</v>
      </c>
      <c r="AE8" s="13" t="n">
        <f aca="false">-Funding!AD68</f>
        <v>-8.4242076641534</v>
      </c>
      <c r="AF8" s="13" t="n">
        <f aca="false">-Funding!AE68</f>
        <v>-7.94857276591156</v>
      </c>
      <c r="AG8" s="13" t="n">
        <f aca="false">-Funding!AF68</f>
        <v>-7.33697907297409</v>
      </c>
      <c r="AH8" s="13" t="n">
        <f aca="false">-Funding!AG68</f>
        <v>-6.67498570681414</v>
      </c>
      <c r="AI8" s="13" t="n">
        <f aca="false">-Funding!AH68</f>
        <v>-5.9329772491865</v>
      </c>
      <c r="AJ8" s="13" t="n">
        <f aca="false">-Funding!AI68</f>
        <v>-5.13591261226447</v>
      </c>
      <c r="AK8" s="13" t="n">
        <f aca="false">-Funding!AJ68</f>
        <v>-4.36667724302547</v>
      </c>
      <c r="AL8" s="13" t="n">
        <f aca="false">-Funding!AK68</f>
        <v>-3.58335632020661</v>
      </c>
      <c r="AM8" s="13" t="n">
        <f aca="false">-Funding!AL68</f>
        <v>-2.89312818206832</v>
      </c>
      <c r="AN8" s="13" t="n">
        <f aca="false">-Funding!AM68</f>
        <v>-2.27480496010125</v>
      </c>
      <c r="AO8" s="13" t="n">
        <f aca="false">-Funding!AN68</f>
        <v>-1.72154233732071</v>
      </c>
      <c r="AP8" s="13" t="n">
        <f aca="false">-Funding!AO68</f>
        <v>-1.4371030957357</v>
      </c>
      <c r="AQ8" s="13" t="n">
        <f aca="false">-Funding!AP68</f>
        <v>-14.0761043911485</v>
      </c>
      <c r="AR8" s="13" t="n">
        <f aca="false">-Funding!AQ68</f>
        <v>-10.8501014213069</v>
      </c>
      <c r="AS8" s="13" t="n">
        <f aca="false">-Funding!AR68</f>
        <v>-0.964317414446731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15.4654785508993</v>
      </c>
      <c r="BS8" s="18" t="n">
        <f aca="false">Waterfall!Q44</f>
        <v>13.1254137792471</v>
      </c>
      <c r="BT8" s="18" t="n">
        <f aca="false">Waterfall!R44</f>
        <v>13.962270480687</v>
      </c>
      <c r="BU8" s="18" t="n">
        <f aca="false">Waterfall!S44</f>
        <v>13.3614899710111</v>
      </c>
      <c r="BV8" s="18" t="n">
        <f aca="false">Waterfall!T44</f>
        <v>14.224177824416</v>
      </c>
      <c r="BW8" s="18" t="n">
        <f aca="false">Waterfall!U44</f>
        <v>13.3391745160271</v>
      </c>
      <c r="BX8" s="18" t="n">
        <f aca="false">Waterfall!V44</f>
        <v>14.6199608159099</v>
      </c>
      <c r="BY8" s="18" t="n">
        <f aca="false">Waterfall!W44</f>
        <v>15.4592654984149</v>
      </c>
      <c r="BZ8" s="18" t="n">
        <f aca="false">Waterfall!X44</f>
        <v>14.5803131290228</v>
      </c>
      <c r="CA8" s="18" t="n">
        <f aca="false">Waterfall!Y44</f>
        <v>13.870160491092</v>
      </c>
      <c r="CB8" s="18" t="n">
        <f aca="false">Waterfall!Z44</f>
        <v>14.7742571249094</v>
      </c>
      <c r="CC8" s="18" t="n">
        <f aca="false">Waterfall!AA44</f>
        <v>6.99200277913257</v>
      </c>
      <c r="CD8" s="18" t="n">
        <f aca="false">Waterfall!AB44</f>
        <v>8.24276877155907</v>
      </c>
      <c r="CE8" s="18" t="n">
        <f aca="false">Waterfall!AC44</f>
        <v>7.96810019239122</v>
      </c>
      <c r="CF8" s="18" t="n">
        <f aca="false">Waterfall!AD44</f>
        <v>9.63400864388021</v>
      </c>
      <c r="CG8" s="18" t="n">
        <f aca="false">Waterfall!AE44</f>
        <v>10.1943109887275</v>
      </c>
      <c r="CH8" s="18" t="n">
        <f aca="false">Waterfall!AF44</f>
        <v>11.3392165451232</v>
      </c>
      <c r="CI8" s="18" t="n">
        <f aca="false">Waterfall!AG44</f>
        <v>12.0346044094676</v>
      </c>
      <c r="CJ8" s="18" t="n">
        <f aca="false">Waterfall!AH44</f>
        <v>13.7331568055616</v>
      </c>
      <c r="CK8" s="18" t="n">
        <f aca="false">Waterfall!AI44</f>
        <v>14.96323933625</v>
      </c>
      <c r="CL8" s="18" t="n">
        <f aca="false">Waterfall!AJ44</f>
        <v>29.5422078320988</v>
      </c>
      <c r="CM8" s="18" t="n">
        <f aca="false">Waterfall!AK44</f>
        <v>33.1232902339658</v>
      </c>
      <c r="CN8" s="18" t="n">
        <f aca="false">Waterfall!AL44</f>
        <v>25.390013463231</v>
      </c>
      <c r="CO8" s="18" t="n">
        <f aca="false">Waterfall!AM44</f>
        <v>27.402927322578</v>
      </c>
      <c r="CP8" s="18" t="n">
        <f aca="false">Waterfall!AN44</f>
        <v>25.5748733962924</v>
      </c>
      <c r="CQ8" s="18" t="n">
        <f aca="false">Waterfall!AO44</f>
        <v>44.0200205544118</v>
      </c>
      <c r="CR8" s="18" t="n">
        <f aca="false">Waterfall!AP44</f>
        <v>44.8204245140213</v>
      </c>
      <c r="CS8" s="18" t="n">
        <f aca="false">Waterfall!AQ44</f>
        <v>44.5189171785965</v>
      </c>
      <c r="CT8" s="18" t="n">
        <f aca="false">Waterfall!AR44</f>
        <v>45.3376249009307</v>
      </c>
      <c r="CU8" s="18" t="n">
        <f aca="false">Waterfall!AS44</f>
        <v>45.1212005642981</v>
      </c>
      <c r="CV8" s="18" t="n">
        <f aca="false">Waterfall!AT44</f>
        <v>51.5155681585154</v>
      </c>
      <c r="CW8" s="18" t="n">
        <f aca="false">Waterfall!AU44</f>
        <v>47.2556177917082</v>
      </c>
      <c r="CX8" s="18" t="n">
        <f aca="false">Waterfall!AV44</f>
        <v>48.0580864268865</v>
      </c>
      <c r="CY8" s="18" t="n">
        <f aca="false">Waterfall!AW44</f>
        <v>47.8808578465371</v>
      </c>
      <c r="CZ8" s="18" t="n">
        <f aca="false">Waterfall!AX44</f>
        <v>48.8727368070542</v>
      </c>
      <c r="DA8" s="18" t="n">
        <f aca="false">Waterfall!AY44</f>
        <v>48.5797068987556</v>
      </c>
      <c r="DB8" s="18" t="n">
        <f aca="false">Waterfall!AZ44</f>
        <v>49.559509536746</v>
      </c>
      <c r="DC8" s="18" t="n">
        <f aca="false">Waterfall!BA44</f>
        <v>48.8510082603366</v>
      </c>
      <c r="DD8" s="18" t="n">
        <f aca="false">Waterfall!BB44</f>
        <v>50.2449569629998</v>
      </c>
      <c r="DE8" s="18" t="n">
        <f aca="false">Waterfall!BC44</f>
        <v>47.0327303148476</v>
      </c>
      <c r="DF8" s="18" t="n">
        <f aca="false">Waterfall!BD44</f>
        <v>41.3901923646165</v>
      </c>
      <c r="DG8" s="18" t="n">
        <f aca="false">Waterfall!BE44</f>
        <v>41.1460929436697</v>
      </c>
      <c r="DH8" s="18" t="n">
        <f aca="false">Waterfall!BF44</f>
        <v>42.1896158932824</v>
      </c>
      <c r="DI8" s="18" t="n">
        <f aca="false">Waterfall!BG44</f>
        <v>41.8895409472226</v>
      </c>
      <c r="DJ8" s="18" t="n">
        <f aca="false">Waterfall!BH44</f>
        <v>42.9596036918532</v>
      </c>
      <c r="DK8" s="18" t="n">
        <f aca="false">Waterfall!BI44</f>
        <v>42.8641602859086</v>
      </c>
      <c r="DL8" s="18" t="n">
        <f aca="false">Waterfall!BJ44</f>
        <v>50.3553792495772</v>
      </c>
      <c r="DM8" s="18" t="n">
        <f aca="false">Waterfall!BK44</f>
        <v>45.3117911223217</v>
      </c>
      <c r="DN8" s="18" t="n">
        <f aca="false">Waterfall!BL44</f>
        <v>47.2269186293631</v>
      </c>
      <c r="DO8" s="18" t="n">
        <f aca="false">Waterfall!BM44</f>
        <v>65.3956984082252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1760.85742051048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1.88299584555676</v>
      </c>
      <c r="BR9" s="18" t="n">
        <f aca="false">Waterfall!P7</f>
        <v>50.752942652599</v>
      </c>
      <c r="BS9" s="18" t="n">
        <f aca="false">Waterfall!Q7</f>
        <v>50.7569884387007</v>
      </c>
      <c r="BT9" s="18" t="n">
        <f aca="false">Waterfall!R7</f>
        <v>51.3022858343253</v>
      </c>
      <c r="BU9" s="18" t="n">
        <f aca="false">Waterfall!S7</f>
        <v>51.1194916265566</v>
      </c>
      <c r="BV9" s="18" t="n">
        <f aca="false">Waterfall!T7</f>
        <v>51.8015909881877</v>
      </c>
      <c r="BW9" s="18" t="n">
        <f aca="false">Waterfall!U7</f>
        <v>51.6339344793966</v>
      </c>
      <c r="BX9" s="18" t="n">
        <f aca="false">Waterfall!V7</f>
        <v>52.6499421716437</v>
      </c>
      <c r="BY9" s="18" t="n">
        <f aca="false">Waterfall!W7</f>
        <v>52.3926374783001</v>
      </c>
      <c r="BZ9" s="18" t="n">
        <f aca="false">Waterfall!X7</f>
        <v>51.1572308358764</v>
      </c>
      <c r="CA9" s="18" t="n">
        <f aca="false">Waterfall!Y7</f>
        <v>50.7481017803552</v>
      </c>
      <c r="CB9" s="18" t="n">
        <f aca="false">Waterfall!Z7</f>
        <v>51.3550316013968</v>
      </c>
      <c r="CC9" s="18" t="n">
        <f aca="false">Waterfall!AA7</f>
        <v>50.9953119192653</v>
      </c>
      <c r="CD9" s="18" t="n">
        <f aca="false">Waterfall!AB7</f>
        <v>51.8925340952513</v>
      </c>
      <c r="CE9" s="18" t="n">
        <f aca="false">Waterfall!AC7</f>
        <v>51.6428090850622</v>
      </c>
      <c r="CF9" s="18" t="n">
        <f aca="false">Waterfall!AD7</f>
        <v>54.0559131960161</v>
      </c>
      <c r="CG9" s="18" t="n">
        <f aca="false">Waterfall!AE7</f>
        <v>53.8023726100864</v>
      </c>
      <c r="CH9" s="18" t="n">
        <f aca="false">Waterfall!AF7</f>
        <v>54.2662555555212</v>
      </c>
      <c r="CI9" s="18" t="n">
        <f aca="false">Waterfall!AG7</f>
        <v>54.1143457110342</v>
      </c>
      <c r="CJ9" s="18" t="n">
        <f aca="false">Waterfall!AH7</f>
        <v>55.0528387860631</v>
      </c>
      <c r="CK9" s="18" t="n">
        <f aca="false">Waterfall!AI7</f>
        <v>54.8428613271706</v>
      </c>
      <c r="CL9" s="18" t="n">
        <f aca="false">Waterfall!AJ7</f>
        <v>55.6746459662377</v>
      </c>
      <c r="CM9" s="18" t="n">
        <f aca="false">Waterfall!AK7</f>
        <v>55.5643769960934</v>
      </c>
      <c r="CN9" s="18" t="n">
        <f aca="false">Waterfall!AL7</f>
        <v>48.9658659789415</v>
      </c>
      <c r="CO9" s="18" t="n">
        <f aca="false">Waterfall!AM7</f>
        <v>46.5402301439596</v>
      </c>
      <c r="CP9" s="18" t="n">
        <f aca="false">Waterfall!AN7</f>
        <v>44.4859251541998</v>
      </c>
      <c r="CQ9" s="18" t="n">
        <f aca="false">Waterfall!AO7</f>
        <v>44.0200205544118</v>
      </c>
      <c r="CR9" s="18" t="n">
        <f aca="false">Waterfall!AP7</f>
        <v>44.8204245140213</v>
      </c>
      <c r="CS9" s="18" t="n">
        <f aca="false">Waterfall!AQ7</f>
        <v>44.5189171785965</v>
      </c>
      <c r="CT9" s="18" t="n">
        <f aca="false">Waterfall!AR7</f>
        <v>45.3376249009307</v>
      </c>
      <c r="CU9" s="18" t="n">
        <f aca="false">Waterfall!AS7</f>
        <v>45.1212005642981</v>
      </c>
      <c r="CV9" s="18" t="n">
        <f aca="false">Waterfall!AT7</f>
        <v>51.5155681585154</v>
      </c>
      <c r="CW9" s="18" t="n">
        <f aca="false">Waterfall!AU7</f>
        <v>47.2556177917082</v>
      </c>
      <c r="CX9" s="18" t="n">
        <f aca="false">Waterfall!AV7</f>
        <v>48.0580864268865</v>
      </c>
      <c r="CY9" s="18" t="n">
        <f aca="false">Waterfall!AW7</f>
        <v>47.8808578465371</v>
      </c>
      <c r="CZ9" s="18" t="n">
        <f aca="false">Waterfall!AX7</f>
        <v>48.8727368070542</v>
      </c>
      <c r="DA9" s="18" t="n">
        <f aca="false">Waterfall!AY7</f>
        <v>48.5797068987556</v>
      </c>
      <c r="DB9" s="18" t="n">
        <f aca="false">Waterfall!AZ7</f>
        <v>49.559509536746</v>
      </c>
      <c r="DC9" s="18" t="n">
        <f aca="false">Waterfall!BA7</f>
        <v>49.3459766469453</v>
      </c>
      <c r="DD9" s="18" t="n">
        <f aca="false">Waterfall!BB7</f>
        <v>51.7461072176442</v>
      </c>
      <c r="DE9" s="18" t="n">
        <f aca="false">Waterfall!BC7</f>
        <v>48.5503033881898</v>
      </c>
      <c r="DF9" s="18" t="n">
        <f aca="false">Waterfall!BD7</f>
        <v>42.9243679248631</v>
      </c>
      <c r="DG9" s="18" t="n">
        <f aca="false">Waterfall!BE7</f>
        <v>42.6970526246254</v>
      </c>
      <c r="DH9" s="18" t="n">
        <f aca="false">Waterfall!BF7</f>
        <v>43.7575433158545</v>
      </c>
      <c r="DI9" s="18" t="n">
        <f aca="false">Waterfall!BG7</f>
        <v>43.4746217411594</v>
      </c>
      <c r="DJ9" s="18" t="n">
        <f aca="false">Waterfall!BH7</f>
        <v>44.5620255177218</v>
      </c>
      <c r="DK9" s="18" t="n">
        <f aca="false">Waterfall!BI7</f>
        <v>44.484112857312</v>
      </c>
      <c r="DL9" s="18" t="n">
        <f aca="false">Waterfall!BJ7</f>
        <v>51.9930543556149</v>
      </c>
      <c r="DM9" s="18" t="n">
        <f aca="false">Waterfall!BK7</f>
        <v>46.967382650296</v>
      </c>
      <c r="DN9" s="18" t="n">
        <f aca="false">Waterfall!BL7</f>
        <v>48.9006225877337</v>
      </c>
      <c r="DO9" s="18" t="n">
        <f aca="false">Waterfall!BM7</f>
        <v>47.4545182462642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2156.39926759498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1.88299584555676</v>
      </c>
      <c r="BR10" s="13" t="n">
        <f aca="false">Waterfall!P7+Tax!P27</f>
        <v>50.752942652599</v>
      </c>
      <c r="BS10" s="13" t="n">
        <f aca="false">Waterfall!Q7+Tax!Q27</f>
        <v>50.7569884387007</v>
      </c>
      <c r="BT10" s="13" t="n">
        <f aca="false">Waterfall!R7+Tax!R27</f>
        <v>51.3022858343253</v>
      </c>
      <c r="BU10" s="13" t="n">
        <f aca="false">Waterfall!S7+Tax!S27</f>
        <v>51.1194916265566</v>
      </c>
      <c r="BV10" s="13" t="n">
        <f aca="false">Waterfall!T7+Tax!T27</f>
        <v>51.8015909881877</v>
      </c>
      <c r="BW10" s="13" t="n">
        <f aca="false">Waterfall!U7+Tax!U27</f>
        <v>51.6339344793966</v>
      </c>
      <c r="BX10" s="13" t="n">
        <f aca="false">Waterfall!V7+Tax!V27</f>
        <v>52.6499421716437</v>
      </c>
      <c r="BY10" s="13" t="n">
        <f aca="false">Waterfall!W7+Tax!W27</f>
        <v>52.3926374783001</v>
      </c>
      <c r="BZ10" s="13" t="n">
        <f aca="false">Waterfall!X7+Tax!X27</f>
        <v>51.1572308358764</v>
      </c>
      <c r="CA10" s="13" t="n">
        <f aca="false">Waterfall!Y7+Tax!Y27</f>
        <v>50.8714376734384</v>
      </c>
      <c r="CB10" s="13" t="n">
        <f aca="false">Waterfall!Z7+Tax!Z27</f>
        <v>51.7265399693071</v>
      </c>
      <c r="CC10" s="13" t="n">
        <f aca="false">Waterfall!AA7+Tax!AA27</f>
        <v>51.3708238914884</v>
      </c>
      <c r="CD10" s="13" t="n">
        <f aca="false">Waterfall!AB7+Tax!AB27</f>
        <v>52.2731962325731</v>
      </c>
      <c r="CE10" s="13" t="n">
        <f aca="false">Waterfall!AC7+Tax!AC27</f>
        <v>52.0251183341879</v>
      </c>
      <c r="CF10" s="13" t="n">
        <f aca="false">Waterfall!AD7+Tax!AD27</f>
        <v>54.4358761914012</v>
      </c>
      <c r="CG10" s="13" t="n">
        <f aca="false">Waterfall!AE7+Tax!AE27</f>
        <v>54.1861376241543</v>
      </c>
      <c r="CH10" s="13" t="n">
        <f aca="false">Waterfall!AF7+Tax!AF27</f>
        <v>54.6544622582225</v>
      </c>
      <c r="CI10" s="13" t="n">
        <f aca="false">Waterfall!AG7+Tax!AG27</f>
        <v>54.5063780086277</v>
      </c>
      <c r="CJ10" s="13" t="n">
        <f aca="false">Waterfall!AH7+Tax!AH27</f>
        <v>55.4491767786949</v>
      </c>
      <c r="CK10" s="13" t="n">
        <f aca="false">Waterfall!AI7+Tax!AI27</f>
        <v>55.2431294705717</v>
      </c>
      <c r="CL10" s="13" t="n">
        <f aca="false">Waterfall!AJ7+Tax!AJ27</f>
        <v>56.0791211696603</v>
      </c>
      <c r="CM10" s="13" t="n">
        <f aca="false">Waterfall!AK7+Tax!AK27</f>
        <v>55.9723365877951</v>
      </c>
      <c r="CN10" s="13" t="n">
        <f aca="false">Waterfall!AL7+Tax!AL27</f>
        <v>56.8652357587572</v>
      </c>
      <c r="CO10" s="13" t="n">
        <f aca="false">Waterfall!AM7+Tax!AM27</f>
        <v>56.8997416819443</v>
      </c>
      <c r="CP10" s="13" t="n">
        <f aca="false">Waterfall!AN7+Tax!AN27</f>
        <v>55.4683187914692</v>
      </c>
      <c r="CQ10" s="13" t="n">
        <f aca="false">Waterfall!AO7+Tax!AO27</f>
        <v>55.2633509038521</v>
      </c>
      <c r="CR10" s="13" t="n">
        <f aca="false">Waterfall!AP7+Tax!AP27</f>
        <v>56.3990213358617</v>
      </c>
      <c r="CS10" s="13" t="n">
        <f aca="false">Waterfall!AQ7+Tax!AQ27</f>
        <v>56.1689204322314</v>
      </c>
      <c r="CT10" s="13" t="n">
        <f aca="false">Waterfall!AR7+Tax!AR27</f>
        <v>57.0827077817279</v>
      </c>
      <c r="CU10" s="13" t="n">
        <f aca="false">Waterfall!AS7+Tax!AS27</f>
        <v>57.0024708865426</v>
      </c>
      <c r="CV10" s="13" t="n">
        <f aca="false">Waterfall!AT7+Tax!AT27</f>
        <v>58.7025092006779</v>
      </c>
      <c r="CW10" s="13" t="n">
        <f aca="false">Waterfall!AU7+Tax!AU27</f>
        <v>59.2753448125592</v>
      </c>
      <c r="CX10" s="13" t="n">
        <f aca="false">Waterfall!AV7+Tax!AV27</f>
        <v>60.3065212626943</v>
      </c>
      <c r="CY10" s="13" t="n">
        <f aca="false">Waterfall!AW7+Tax!AW27</f>
        <v>60.2619853210532</v>
      </c>
      <c r="CZ10" s="13" t="n">
        <f aca="false">Waterfall!AX7+Tax!AX27</f>
        <v>61.4343705953831</v>
      </c>
      <c r="DA10" s="13" t="n">
        <f aca="false">Waterfall!AY7+Tax!AY27</f>
        <v>61.2383454810892</v>
      </c>
      <c r="DB10" s="13" t="n">
        <f aca="false">Waterfall!AZ7+Tax!AZ27</f>
        <v>62.3692591947958</v>
      </c>
      <c r="DC10" s="13" t="n">
        <f aca="false">Waterfall!BA7+Tax!BA27</f>
        <v>62.3106690865609</v>
      </c>
      <c r="DD10" s="13" t="n">
        <f aca="false">Waterfall!BB7+Tax!BB27</f>
        <v>63.7661720505155</v>
      </c>
      <c r="DE10" s="13" t="n">
        <f aca="false">Waterfall!BC7+Tax!BC27</f>
        <v>63.7491950078408</v>
      </c>
      <c r="DF10" s="13" t="n">
        <f aca="false">Waterfall!BD7+Tax!BD27</f>
        <v>62.1268455753457</v>
      </c>
      <c r="DG10" s="13" t="n">
        <f aca="false">Waterfall!BE7+Tax!BE27</f>
        <v>62.071031146929</v>
      </c>
      <c r="DH10" s="13" t="n">
        <f aca="false">Waterfall!BF7+Tax!BF27</f>
        <v>63.297510084031</v>
      </c>
      <c r="DI10" s="13" t="n">
        <f aca="false">Waterfall!BG7+Tax!BG27</f>
        <v>63.1962876648736</v>
      </c>
      <c r="DJ10" s="13" t="n">
        <f aca="false">Waterfall!BH7+Tax!BH27</f>
        <v>64.4616915247472</v>
      </c>
      <c r="DK10" s="13" t="n">
        <f aca="false">Waterfall!BI7+Tax!BI27</f>
        <v>64.5695146538484</v>
      </c>
      <c r="DL10" s="13" t="n">
        <f aca="false">Waterfall!BJ7+Tax!BJ27</f>
        <v>66.4108901425689</v>
      </c>
      <c r="DM10" s="13" t="n">
        <f aca="false">Waterfall!BK7+Tax!BK27</f>
        <v>67.2175335723074</v>
      </c>
      <c r="DN10" s="13" t="n">
        <f aca="false">Waterfall!BL7+Tax!BL27</f>
        <v>69.5727677271061</v>
      </c>
      <c r="DO10" s="13" t="n">
        <f aca="false">Waterfall!BM7+Tax!BM27</f>
        <v>55.6572813764029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-32.1927186191182</v>
      </c>
      <c r="M11" s="13" t="n">
        <f aca="false">L11+M8</f>
        <v>-33.0191934627458</v>
      </c>
      <c r="N11" s="13" t="n">
        <f aca="false">M11+N8</f>
        <v>-34.1875606335241</v>
      </c>
      <c r="O11" s="13" t="n">
        <f aca="false">N11+O8</f>
        <v>-35.8699172244744</v>
      </c>
      <c r="P11" s="13" t="n">
        <f aca="false">O11+P8</f>
        <v>-38.1882129503627</v>
      </c>
      <c r="Q11" s="13" t="n">
        <f aca="false">P11+Q8</f>
        <v>-41.212475574906</v>
      </c>
      <c r="R11" s="13" t="n">
        <f aca="false">Q11+R8</f>
        <v>-45.0512566062725</v>
      </c>
      <c r="S11" s="13" t="n">
        <f aca="false">R11+S8</f>
        <v>-49.7018190019737</v>
      </c>
      <c r="T11" s="13" t="n">
        <f aca="false">S11+T8</f>
        <v>-55.1790156499816</v>
      </c>
      <c r="U11" s="13" t="n">
        <f aca="false">T11+U8</f>
        <v>-61.4295650702916</v>
      </c>
      <c r="V11" s="13" t="n">
        <f aca="false">U11+V8</f>
        <v>-68.4218433631233</v>
      </c>
      <c r="W11" s="13" t="n">
        <f aca="false">V11+W8</f>
        <v>-76.0662776670396</v>
      </c>
      <c r="X11" s="13" t="n">
        <f aca="false">W11+X8</f>
        <v>-84.2530762434333</v>
      </c>
      <c r="Y11" s="13" t="n">
        <f aca="false">X11+Y8</f>
        <v>-92.8889315897109</v>
      </c>
      <c r="Z11" s="13" t="n">
        <f aca="false">Y11+Z8</f>
        <v>-101.823823305393</v>
      </c>
      <c r="AA11" s="13" t="n">
        <f aca="false">Z11+AA8</f>
        <v>-110.946156669222</v>
      </c>
      <c r="AB11" s="13" t="n">
        <f aca="false">AA11+AB8</f>
        <v>-120.409091569637</v>
      </c>
      <c r="AC11" s="13" t="n">
        <f aca="false">AB11+AC8</f>
        <v>-129.435706314766</v>
      </c>
      <c r="AD11" s="13" t="n">
        <f aca="false">AC11+AD8</f>
        <v>-138.248076376733</v>
      </c>
      <c r="AE11" s="13" t="n">
        <f aca="false">AD11+AE8</f>
        <v>-146.672284040886</v>
      </c>
      <c r="AF11" s="13" t="n">
        <f aca="false">AE11+AF8</f>
        <v>-154.620856806798</v>
      </c>
      <c r="AG11" s="13" t="n">
        <f aca="false">AF11+AG8</f>
        <v>-161.957835879772</v>
      </c>
      <c r="AH11" s="13" t="n">
        <f aca="false">AG11+AH8</f>
        <v>-168.632821586586</v>
      </c>
      <c r="AI11" s="13" t="n">
        <f aca="false">AH11+AI8</f>
        <v>-174.565798835773</v>
      </c>
      <c r="AJ11" s="13" t="n">
        <f aca="false">AI11+AJ8</f>
        <v>-179.701711448037</v>
      </c>
      <c r="AK11" s="13" t="n">
        <f aca="false">AJ11+AK8</f>
        <v>-184.068388691063</v>
      </c>
      <c r="AL11" s="13" t="n">
        <f aca="false">AK11+AL8</f>
        <v>-187.651745011269</v>
      </c>
      <c r="AM11" s="13" t="n">
        <f aca="false">AL11+AM8</f>
        <v>-190.544873193337</v>
      </c>
      <c r="AN11" s="13" t="n">
        <f aca="false">AM11+AN8</f>
        <v>-192.819678153439</v>
      </c>
      <c r="AO11" s="13" t="n">
        <f aca="false">AN11+AO8</f>
        <v>-194.541220490759</v>
      </c>
      <c r="AP11" s="13" t="n">
        <f aca="false">AO11+AP8</f>
        <v>-195.978323586495</v>
      </c>
      <c r="AQ11" s="13" t="n">
        <f aca="false">AP11+AQ8</f>
        <v>-210.054427977644</v>
      </c>
      <c r="AR11" s="13" t="n">
        <f aca="false">AQ11+AR8</f>
        <v>-220.90452939895</v>
      </c>
      <c r="AS11" s="13" t="n">
        <f aca="false">AR11+AS8</f>
        <v>-221.868846813397</v>
      </c>
      <c r="AT11" s="13" t="n">
        <f aca="false">AS11+AT8</f>
        <v>-221.868846813397</v>
      </c>
      <c r="AU11" s="13" t="n">
        <f aca="false">AT11+AU8</f>
        <v>-221.868846813397</v>
      </c>
      <c r="AV11" s="13" t="n">
        <f aca="false">AU11+AV8</f>
        <v>-221.868846813397</v>
      </c>
      <c r="AW11" s="13" t="n">
        <f aca="false">AV11+AW8</f>
        <v>-221.868846813397</v>
      </c>
      <c r="AX11" s="13" t="n">
        <f aca="false">AW11+AX8</f>
        <v>-221.868846813397</v>
      </c>
      <c r="AY11" s="13" t="n">
        <f aca="false">AX11+AY8</f>
        <v>-221.868846813397</v>
      </c>
      <c r="AZ11" s="13" t="n">
        <f aca="false">AY11+AZ8</f>
        <v>-221.868846813397</v>
      </c>
      <c r="BA11" s="13" t="n">
        <f aca="false">AZ11+BA8</f>
        <v>-221.868846813397</v>
      </c>
      <c r="BB11" s="13" t="n">
        <f aca="false">BA11+BB8</f>
        <v>-221.868846813397</v>
      </c>
      <c r="BC11" s="13" t="n">
        <f aca="false">BB11+BC8</f>
        <v>-221.868846813397</v>
      </c>
      <c r="BD11" s="13" t="n">
        <f aca="false">BC11+BD8</f>
        <v>-221.868846813397</v>
      </c>
      <c r="BE11" s="13" t="n">
        <f aca="false">BD11+BE8</f>
        <v>-221.868846813397</v>
      </c>
      <c r="BF11" s="13" t="n">
        <f aca="false">BE11+BF8</f>
        <v>-221.868846813397</v>
      </c>
      <c r="BG11" s="13" t="n">
        <f aca="false">BF11+BG8</f>
        <v>-221.868846813397</v>
      </c>
      <c r="BH11" s="13" t="n">
        <f aca="false">BG11+BH8</f>
        <v>-221.868846813397</v>
      </c>
      <c r="BI11" s="13" t="n">
        <f aca="false">BH11+BI8</f>
        <v>-221.868846813397</v>
      </c>
      <c r="BJ11" s="13" t="n">
        <f aca="false">BI11+BJ8</f>
        <v>-221.868846813397</v>
      </c>
      <c r="BK11" s="13" t="n">
        <f aca="false">BJ11+BK8</f>
        <v>-221.868846813397</v>
      </c>
      <c r="BL11" s="13" t="n">
        <f aca="false">BK11+BL8</f>
        <v>-221.868846813397</v>
      </c>
      <c r="BM11" s="13" t="n">
        <f aca="false">BL11+BM8</f>
        <v>-221.868846813397</v>
      </c>
      <c r="BN11" s="13" t="n">
        <f aca="false">BM11+BN8</f>
        <v>-221.868846813397</v>
      </c>
      <c r="BO11" s="13" t="n">
        <f aca="false">BN11+BO8</f>
        <v>-221.868846813397</v>
      </c>
      <c r="BP11" s="13" t="n">
        <f aca="false">BO11+BP8</f>
        <v>-221.868846813397</v>
      </c>
      <c r="BQ11" s="13" t="n">
        <f aca="false">BP11+BQ8</f>
        <v>-221.868846813397</v>
      </c>
      <c r="BR11" s="13" t="n">
        <f aca="false">BQ11+BR8</f>
        <v>-206.403368262498</v>
      </c>
      <c r="BS11" s="13" t="n">
        <f aca="false">BR11+BS8</f>
        <v>-193.277954483251</v>
      </c>
      <c r="BT11" s="13" t="n">
        <f aca="false">BS11+BT8</f>
        <v>-179.315684002564</v>
      </c>
      <c r="BU11" s="13" t="n">
        <f aca="false">BT11+BU8</f>
        <v>-165.954194031553</v>
      </c>
      <c r="BV11" s="13" t="n">
        <f aca="false">BU11+BV8</f>
        <v>-151.730016207137</v>
      </c>
      <c r="BW11" s="13" t="n">
        <f aca="false">BV11+BW8</f>
        <v>-138.39084169111</v>
      </c>
      <c r="BX11" s="13" t="n">
        <f aca="false">BW11+BX8</f>
        <v>-123.7708808752</v>
      </c>
      <c r="BY11" s="13" t="n">
        <f aca="false">BX11+BY8</f>
        <v>-108.311615376785</v>
      </c>
      <c r="BZ11" s="13" t="n">
        <f aca="false">BY11+BZ8</f>
        <v>-93.731302247762</v>
      </c>
      <c r="CA11" s="13" t="n">
        <f aca="false">BZ11+CA8</f>
        <v>-79.86114175667</v>
      </c>
      <c r="CB11" s="13" t="n">
        <f aca="false">CA11+CB8</f>
        <v>-65.0868846317606</v>
      </c>
      <c r="CC11" s="13" t="n">
        <f aca="false">CB11+CC8</f>
        <v>-58.094881852628</v>
      </c>
      <c r="CD11" s="13" t="n">
        <f aca="false">CC11+CD8</f>
        <v>-49.852113081069</v>
      </c>
      <c r="CE11" s="13" t="n">
        <f aca="false">CD11+CE8</f>
        <v>-41.8840128886777</v>
      </c>
      <c r="CF11" s="13" t="n">
        <f aca="false">CE11+CF8</f>
        <v>-32.2500042447975</v>
      </c>
      <c r="CG11" s="13" t="n">
        <f aca="false">CF11+CG8</f>
        <v>-22.05569325607</v>
      </c>
      <c r="CH11" s="13" t="n">
        <f aca="false">CG11+CH8</f>
        <v>-10.7164767109469</v>
      </c>
      <c r="CI11" s="13" t="n">
        <f aca="false">CH11+CI8</f>
        <v>1.31812769852075</v>
      </c>
      <c r="CJ11" s="13" t="n">
        <f aca="false">CI11+CJ8</f>
        <v>15.0512845040823</v>
      </c>
      <c r="CK11" s="13" t="n">
        <f aca="false">CJ11+CK8</f>
        <v>30.0145238403323</v>
      </c>
      <c r="CL11" s="13" t="n">
        <f aca="false">CK11+CL8</f>
        <v>59.5567316724311</v>
      </c>
      <c r="CM11" s="13" t="n">
        <f aca="false">CL11+CM8</f>
        <v>92.6800219063969</v>
      </c>
      <c r="CN11" s="13" t="n">
        <f aca="false">CM11+CN8</f>
        <v>118.070035369628</v>
      </c>
      <c r="CO11" s="13" t="n">
        <f aca="false">CN11+CO8</f>
        <v>145.472962692206</v>
      </c>
      <c r="CP11" s="13" t="n">
        <f aca="false">CO11+CP8</f>
        <v>171.047836088498</v>
      </c>
      <c r="CQ11" s="13" t="n">
        <f aca="false">CP11+CQ8</f>
        <v>215.06785664291</v>
      </c>
      <c r="CR11" s="13" t="n">
        <f aca="false">CQ11+CR8</f>
        <v>259.888281156931</v>
      </c>
      <c r="CS11" s="13" t="n">
        <f aca="false">CR11+CS8</f>
        <v>304.407198335528</v>
      </c>
      <c r="CT11" s="13" t="n">
        <f aca="false">CS11+CT8</f>
        <v>349.744823236459</v>
      </c>
      <c r="CU11" s="13" t="n">
        <f aca="false">CT11+CU8</f>
        <v>394.866023800757</v>
      </c>
      <c r="CV11" s="13" t="n">
        <f aca="false">CU11+CV8</f>
        <v>446.381591959272</v>
      </c>
      <c r="CW11" s="13" t="n">
        <f aca="false">CV11+CW8</f>
        <v>493.63720975098</v>
      </c>
      <c r="CX11" s="13" t="n">
        <f aca="false">CW11+CX8</f>
        <v>541.695296177867</v>
      </c>
      <c r="CY11" s="13" t="n">
        <f aca="false">CX11+CY8</f>
        <v>589.576154024404</v>
      </c>
      <c r="CZ11" s="13" t="n">
        <f aca="false">CY11+CZ8</f>
        <v>638.448890831458</v>
      </c>
      <c r="DA11" s="13" t="n">
        <f aca="false">CZ11+DA8</f>
        <v>687.028597730214</v>
      </c>
      <c r="DB11" s="13" t="n">
        <f aca="false">DA11+DB8</f>
        <v>736.58810726696</v>
      </c>
      <c r="DC11" s="13" t="n">
        <f aca="false">DB11+DC8</f>
        <v>785.439115527296</v>
      </c>
      <c r="DD11" s="13" t="n">
        <f aca="false">DC11+DD8</f>
        <v>835.684072490296</v>
      </c>
      <c r="DE11" s="13" t="n">
        <f aca="false">DD11+DE8</f>
        <v>882.716802805144</v>
      </c>
      <c r="DF11" s="13" t="n">
        <f aca="false">DE11+DF8</f>
        <v>924.10699516976</v>
      </c>
      <c r="DG11" s="13" t="n">
        <f aca="false">DF11+DG8</f>
        <v>965.25308811343</v>
      </c>
      <c r="DH11" s="13" t="n">
        <f aca="false">DG11+DH8</f>
        <v>1007.44270400671</v>
      </c>
      <c r="DI11" s="13" t="n">
        <f aca="false">DH11+DI8</f>
        <v>1049.33224495393</v>
      </c>
      <c r="DJ11" s="13" t="n">
        <f aca="false">DI11+DJ8</f>
        <v>1092.29184864579</v>
      </c>
      <c r="DK11" s="13" t="n">
        <f aca="false">DJ11+DK8</f>
        <v>1135.1560089317</v>
      </c>
      <c r="DL11" s="13" t="n">
        <f aca="false">DK11+DL8</f>
        <v>1185.51138818127</v>
      </c>
      <c r="DM11" s="13" t="n">
        <f aca="false">DL11+DM8</f>
        <v>1230.8231793036</v>
      </c>
      <c r="DN11" s="13" t="n">
        <f aca="false">DM11+DN8</f>
        <v>1278.05009793296</v>
      </c>
      <c r="DO11" s="13" t="n">
        <f aca="false">DN11+DO8</f>
        <v>1343.44579634118</v>
      </c>
      <c r="DP11" s="13" t="n">
        <f aca="false">DO11+DP8</f>
        <v>1343.44579634118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0.141465580009719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0.114262755368907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0.12162670318165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-30.2680578967755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855.230060044209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221.868846813397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0.740574078041728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63.9059822298795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20.8177428282652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0.105237688037368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0.0350792293457893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1.36239849679913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1.59024880838288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1.45269061347068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1.95881863259508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0.141465580009719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0.114262755368907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-30.2680578967755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2026-10-03T22:43:53Z</dcterms:created>
  <dc:creator>openpyxl</dc:creator>
  <dc:description/>
  <dc:language>en-US</dc:language>
  <cp:lastModifiedBy/>
  <dcterms:modified xsi:type="dcterms:W3CDTF">2026-10-03T22:43:54Z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