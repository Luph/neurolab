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<sst xmlns="http://schemas.openxmlformats.org/spreadsheetml/2006/main" count="3605" uniqueCount="2018">
  <si>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</si>
  <si>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</si>
  <si>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</si>
  <si>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</si>
  <si>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</si>
  <si>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</si>
  <si>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</si>
  <si>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</si>
  <si>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</si>
  <si>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</si>
  <si>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</si>
  <si>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</si>
  <si>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</si>
  <si>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</si>
  <si>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</si>
  <si>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</si>
  <si>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</si>
  <si>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</si>
  <si>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</si>
  <si>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</si>
  <si>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</si>
  <si>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</si>
  <si>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</si>
  <si>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</si>
  <si>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</si>
  <si>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</si>
  <si>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</si>
  <si>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</si>
  <si>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</si>
  <si>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</si>
  <si>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</si>
  <si>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</si>
  <si>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</si>
  <si>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</si>
  <si>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</si>
  <si>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</si>
  <si>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</si>
  <si>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</si>
  <si>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</si>
  <si>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</si>
  <si>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</si>
  <si>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</si>
  <si>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</si>
  <si>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</si>
  <si>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</si>
  <si>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</si>
  <si>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</si>
  <si>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</si>
  <si>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</si>
  <si>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</si>
  <si>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</si>
  <si>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</si>
  <si>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</si>
  <si>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</si>
  <si>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</si>
  <si>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</si>
  <si>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</si>
  <si>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</si>
  <si>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</si>
  <si>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</si>
  <si>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</si>
  <si>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</si>
  <si>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</si>
  <si>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</si>
  <si>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</si>
  <si>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</si>
  <si>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</si>
  <si>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</si>
  <si>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</si>
  <si>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</si>
  <si>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</si>
  <si>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</si>
  <si>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</si>
  <si>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</si>
  <si>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</si>
  <si>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</si>
  <si>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</si>
  <si>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</si>
  <si>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</si>
  <si>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</si>
  <si>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</si>
  <si>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</si>
  <si>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</si>
  <si>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</si>
  <si>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</si>
  <si>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</si>
  <si>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</si>
  <si>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</si>
  <si>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</si>
  <si>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</si>
  <si>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</si>
  <si>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</si>
  <si>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</si>
  <si>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</si>
  <si>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</si>
  <si>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</si>
  <si>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</si>
  <si>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</si>
  <si>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</si>
  <si>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</si>
  <si>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</si>
  <si>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</si>
  <si>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</si>
  <si>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</si>
  <si>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</si>
  <si>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</si>
  <si>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</si>
  <si>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</si>
  <si>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</si>
  <si>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</si>
  <si>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</si>
  <si>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</si>
  <si>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</si>
  <si>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</si>
  <si>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</si>
  <si>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</si>
  <si>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</si>
  <si>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</si>
  <si>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</si>
  <si>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</si>
  <si>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</si>
  <si>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</si>
  <si>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</si>
  <si>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</si>
  <si>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</si>
  <si>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</si>
  <si>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</si>
  <si>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</si>
  <si>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</si>
  <si>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</si>
  <si>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</si>
  <si>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</si>
  <si>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</si>
  <si>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</si>
  <si>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</si>
  <si>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</si>
  <si>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</si>
  <si>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</si>
  <si>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</si>
  <si>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</si>
  <si>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</si>
  <si>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</si>
  <si>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</si>
  <si>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</si>
  <si>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</si>
  <si>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</si>
  <si>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</si>
  <si>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</si>
  <si>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</si>
  <si>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</si>
  <si>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</si>
  <si>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</si>
  <si>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</si>
  <si>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</si>
  <si>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</si>
  <si>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</si>
  <si>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</si>
  <si>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</si>
  <si>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</si>
  <si>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</si>
  <si>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</si>
  <si>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</si>
  <si>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</si>
  <si>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</si>
  <si>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</si>
  <si>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</si>
  <si>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</si>
  <si>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</si>
  <si>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</si>
  <si>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</si>
  <si>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</si>
  <si>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</si>
  <si>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</si>
  <si>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</si>
  <si>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</si>
  <si>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</si>
  <si>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</si>
  <si>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</si>
  <si>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</si>
  <si>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</si>
  <si>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</si>
  <si>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</si>
  <si>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</si>
  <si>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</si>
  <si>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</si>
  <si>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</si>
  <si>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</si>
  <si>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</si>
  <si>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</si>
  <si>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</si>
  <si>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</si>
  <si>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</si>
  <si>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</si>
  <si>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</si>
  <si>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</si>
  <si>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</si>
  <si>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</si>
  <si>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</si>
  <si>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</si>
  <si>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</si>
  <si>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</si>
  <si>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</si>
  <si>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</si>
  <si>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</si>
  <si>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</si>
  <si>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</si>
  <si>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</si>
  <si>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</si>
  <si>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</si>
  <si>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</si>
  <si>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</si>
  <si>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</si>
  <si>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</si>
  <si>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</si>
  <si>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</si>
  <si>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</si>
  <si>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</si>
  <si>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</si>
  <si>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</si>
  <si>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</si>
  <si>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</si>
  <si>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</si>
  <si>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</si>
  <si>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</si>
  <si>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</si>
  <si>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</si>
  <si>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</si>
  <si>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</si>
  <si>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</si>
  <si>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</si>
  <si>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</si>
  <si>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</si>
  <si>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</si>
  <si>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</si>
  <si>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</si>
  <si>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</si>
  <si>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</si>
  <si>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</si>
  <si>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</si>
  <si>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</si>
  <si>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</si>
  <si>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</si>
  <si>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</si>
  <si>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</si>
  <si>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</si>
  <si>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</si>
  <si>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</si>
  <si>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</si>
  <si>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</si>
  <si>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</si>
  <si>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</si>
  <si>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</si>
  <si>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</si>
  <si>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</si>
  <si>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</si>
  <si>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</si>
  <si>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</si>
  <si>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</si>
  <si>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</si>
  <si>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</si>
  <si>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</si>
  <si>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</si>
  <si>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</si>
  <si>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</si>
  <si>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</si>
  <si>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</si>
  <si>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</si>
  <si>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</si>
  <si>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</si>
  <si>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</si>
  <si>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</si>
  <si>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</si>
  <si>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</si>
  <si>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</si>
  <si>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</si>
  <si>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</si>
  <si>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</si>
  <si>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</si>
  <si>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</si>
  <si>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</si>
  <si>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</si>
  <si>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</si>
  <si>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</si>
  <si>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</si>
  <si>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</si>
  <si>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</si>
  <si>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</si>
  <si>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</si>
  <si>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</si>
  <si>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</si>
  <si>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</si>
  <si>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</si>
  <si>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</si>
  <si>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</si>
  <si>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</si>
  <si>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</si>
  <si>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</si>
  <si>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</si>
  <si>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</si>
  <si>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</si>
  <si>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</si>
  <si>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</si>
  <si>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</si>
  <si>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</si>
  <si>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</si>
  <si>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</si>
  <si>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</si>
  <si>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</si>
  <si>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</si>
  <si>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</si>
  <si>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</si>
  <si>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</si>
  <si>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</si>
  <si>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</si>
  <si>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</si>
  <si>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</si>
  <si>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</si>
  <si>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</si>
  <si>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</si>
  <si>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</si>
  <si>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</si>
  <si>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</si>
  <si>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</si>
  <si>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</si>
  <si>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</si>
  <si>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</si>
  <si>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</si>
  <si>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</si>
  <si>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</si>
  <si>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</si>
  <si>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</si>
  <si>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</si>
  <si>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</si>
  <si>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</si>
  <si>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</si>
  <si>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</si>
  <si>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</si>
  <si>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</si>
  <si>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</si>
  <si>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</si>
  <si>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</si>
  <si>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</si>
  <si>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</si>
  <si>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</si>
  <si>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</si>
  <si>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</si>
  <si>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</si>
  <si>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</si>
  <si>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</si>
  <si>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</si>
  <si>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</si>
  <si>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</si>
  <si>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</si>
  <si>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</si>
  <si>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</si>
  <si>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</si>
  <si>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</si>
  <si>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</si>
  <si>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</si>
  <si>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</si>
  <si>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</si>
  <si>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</si>
  <si>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</si>
  <si>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</si>
  <si>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</si>
  <si>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</si>
  <si>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</si>
  <si>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</si>
  <si>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</si>
  <si>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</si>
  <si>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</si>
  <si>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</si>
  <si>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</si>
  <si>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</si>
  <si>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</si>
  <si>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</si>
  <si>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</si>
  <si>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</si>
  <si>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</si>
  <si>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</si>
  <si>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</si>
  <si>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</si>
  <si>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</si>
  <si>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</si>
  <si>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</si>
  <si>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</si>
  <si>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</si>
  <si>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</si>
  <si>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</si>
  <si>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</si>
  <si>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</si>
  <si>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</si>
  <si>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</si>
  <si>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</si>
  <si>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</si>
  <si>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</si>
  <si>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</si>
  <si>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</si>
  <si>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</si>
  <si>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</si>
  <si>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</si>
  <si>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</si>
  <si>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</si>
  <si>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</si>
  <si>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</si>
  <si>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</si>
  <si>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</si>
  <si>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</si>
  <si>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</si>
  <si>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</si>
  <si>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</si>
  <si>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</si>
  <si>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</si>
  <si>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</si>
  <si>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</si>
  <si>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</si>
  <si>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</si>
  <si>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</si>
  <si>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</si>
  <si>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</si>
  <si>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</si>
  <si>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</si>
  <si>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</si>
  <si>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</si>
  <si>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</si>
  <si>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</si>
  <si>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</si>
  <si>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</si>
  <si>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</si>
  <si>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</si>
  <si>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</si>
  <si>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</si>
  <si>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</si>
  <si>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</si>
  <si>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</si>
  <si>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</si>
  <si>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</si>
  <si>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</si>
  <si>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</si>
  <si>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</si>
  <si>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</si>
  <si>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</si>
  <si>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</si>
  <si>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</si>
  <si>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</si>
  <si>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</si>
  <si>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</si>
  <si>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</si>
  <si>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</si>
  <si>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</si>
  <si>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</si>
  <si>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</si>
  <si>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</si>
  <si>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</si>
  <si>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</si>
  <si>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</si>
  <si>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</si>
  <si>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</si>
  <si>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</si>
  <si>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</si>
  <si>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</si>
  <si>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</si>
  <si>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</si>
  <si>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</si>
  <si>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</si>
  <si>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</si>
  <si>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</si>
  <si>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</si>
  <si>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</si>
  <si>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</si>
  <si>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</si>
  <si>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</si>
  <si>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</si>
  <si>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</si>
  <si>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</si>
  <si>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</si>
  <si>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</si>
  <si>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</si>
  <si>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</si>
  <si>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</si>
  <si>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</si>
  <si>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</si>
  <si>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</si>
  <si>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</si>
  <si>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</si>
  <si>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</si>
  <si>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</si>
  <si>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</si>
  <si>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</si>
  <si>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</si>
  <si>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</si>
  <si>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</si>
  <si>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</si>
  <si>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</si>
  <si>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</si>
  <si>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</si>
  <si>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</si>
  <si>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</si>
  <si>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</si>
  <si>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</si>
  <si>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</si>
  <si>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</si>
  <si>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</si>
  <si>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</si>
  <si>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</si>
  <si>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</si>
  <si>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</si>
  <si>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</si>
  <si>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</si>
  <si>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</si>
  <si>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</si>
  <si>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</si>
  <si>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</si>
  <si>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</si>
  <si>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</si>
  <si>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</si>
  <si>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</si>
  <si>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</si>
  <si>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</si>
  <si>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</si>
  <si>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</si>
  <si>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</si>
  <si>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</si>
  <si>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</si>
  <si>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</si>
  <si>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</si>
  <si>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</si>
  <si>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</si>
  <si>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</si>
  <si>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</si>
  <si>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</si>
  <si>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</si>
  <si>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</si>
  <si>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</si>
  <si>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</si>
  <si>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</si>
  <si>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</si>
  <si>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</si>
  <si>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</si>
  <si>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</si>
  <si>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</si>
  <si>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</si>
  <si>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</si>
  <si>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</si>
  <si>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</si>
  <si>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</si>
  <si>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</si>
  <si>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</si>
  <si>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</si>
  <si>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</si>
  <si>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</si>
  <si>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</si>
  <si>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</si>
  <si>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</si>
  <si>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</si>
  <si>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</si>
  <si>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</si>
  <si>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</si>
  <si>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</si>
  <si>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</si>
  <si>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</si>
  <si>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</si>
  <si>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</si>
  <si>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</si>
  <si>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</si>
  <si>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</si>
  <si>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</si>
  <si>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</si>
  <si>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</si>
  <si>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</si>
  <si>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</si>
  <si>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</si>
  <si>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</si>
  <si>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</si>
  <si>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</si>
  <si>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</si>
  <si>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</si>
  <si>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</si>
  <si>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</si>
  <si>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</si>
  <si>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</si>
  <si>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</si>
  <si>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</si>
  <si>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</si>
  <si>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</si>
  <si>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</si>
  <si>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</si>
  <si>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</si>
  <si>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</si>
  <si>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</si>
  <si>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</si>
  <si>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</si>
  <si>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</si>
  <si>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</si>
  <si>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</si>
  <si>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</si>
  <si>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</si>
  <si>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</si>
  <si>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</si>
  <si>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</si>
  <si>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</si>
  <si>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</si>
  <si>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</si>
  <si>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</si>
  <si>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</si>
  <si>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</si>
  <si>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</si>
  <si>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</si>
  <si>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</si>
  <si>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</si>
  <si>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</si>
  <si>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</si>
  <si>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</si>
  <si>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</si>
  <si>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</si>
  <si>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</si>
  <si>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</si>
  <si>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</si>
  <si>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</si>
  <si>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</si>
  <si>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</si>
  <si>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</si>
  <si>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</si>
  <si>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</si>
  <si>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</si>
  <si>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</si>
  <si>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</si>
  <si>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</si>
  <si>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</si>
  <si>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</si>
  <si>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</si>
  <si>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</si>
  <si>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</si>
  <si>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</si>
  <si>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</si>
  <si>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</si>
  <si>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</si>
  <si>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</si>
  <si>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</si>
  <si>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</si>
  <si>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</si>
  <si>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</si>
  <si>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</si>
  <si>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</si>
  <si>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</si>
  <si>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</si>
  <si>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</si>
  <si>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</si>
  <si>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</si>
  <si>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</si>
  <si>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</si>
  <si>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</si>
  <si>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</si>
  <si>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</si>
  <si>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</si>
  <si>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</si>
  <si>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</si>
  <si>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</si>
  <si>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</si>
  <si>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</si>
  <si>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</si>
  <si>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</si>
  <si>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</si>
  <si>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</si>
  <si>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</si>
  <si>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</si>
  <si>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</si>
  <si>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</si>
  <si>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</si>
  <si>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</si>
  <si>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</si>
  <si>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</si>
  <si>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</si>
  <si>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</si>
  <si>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</si>
  <si>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</si>
  <si>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</si>
  <si>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</si>
  <si>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</si>
  <si>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</si>
  <si>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</si>
  <si>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</si>
  <si>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</si>
  <si>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</si>
  <si>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</si>
  <si>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</si>
  <si>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</si>
  <si>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</si>
  <si>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</si>
  <si>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</si>
  <si>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</si>
  <si>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</si>
  <si>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</si>
  <si>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</si>
  <si>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</si>
  <si>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</si>
  <si>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</si>
  <si>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</si>
  <si>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</si>
  <si>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</si>
  <si>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</si>
  <si>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</si>
  <si>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</si>
  <si>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</si>
  <si>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</si>
  <si>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</si>
  <si>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</si>
  <si>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</si>
  <si>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</si>
  <si>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</si>
  <si>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</si>
  <si>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</si>
  <si>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</si>
  <si>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</si>
  <si>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</si>
  <si>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</si>
  <si>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</si>
  <si>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</si>
  <si>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</si>
  <si>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</si>
  <si>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</si>
  <si>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</si>
  <si>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</si>
  <si>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</si>
  <si>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</si>
  <si>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</si>
  <si>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</si>
  <si>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</si>
  <si>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</si>
  <si>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</si>
  <si>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</si>
  <si>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</si>
  <si>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</si>
  <si>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</si>
  <si>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</si>
  <si>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</si>
  <si>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</si>
  <si>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</si>
  <si>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</si>
  <si>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</si>
  <si>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</si>
  <si>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</si>
  <si>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</si>
  <si>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</si>
  <si>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</si>
  <si>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</si>
  <si>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</si>
  <si>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</si>
  <si>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</si>
  <si>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</si>
  <si>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</si>
  <si>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</si>
  <si>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</si>
  <si>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</si>
  <si>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</si>
  <si>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</si>
  <si>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</si>
  <si>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</si>
  <si>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</si>
  <si>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</si>
  <si>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</si>
  <si>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</si>
  <si>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</si>
  <si>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</si>
  <si>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</si>
  <si>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</si>
  <si>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</si>
  <si>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</si>
  <si>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</si>
  <si>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</si>
  <si>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</si>
  <si>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</si>
  <si>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</si>
  <si>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</si>
  <si>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</si>
  <si>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</si>
  <si>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</si>
  <si>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</si>
  <si>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</si>
  <si>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</si>
  <si>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</si>
  <si>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</si>
  <si>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</si>
  <si>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</si>
  <si>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</si>
  <si>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</si>
  <si>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</si>
  <si>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</si>
  <si>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</si>
  <si>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</si>
  <si>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</si>
  <si>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</si>
  <si>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</si>
  <si>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</si>
  <si>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</si>
  <si>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</si>
  <si>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</si>
  <si>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</si>
  <si>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</si>
  <si>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</si>
  <si>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</si>
  <si>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</si>
  <si>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</si>
  <si>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</si>
  <si>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</si>
  <si>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</si>
  <si>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</si>
  <si>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</si>
  <si>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</si>
  <si>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</si>
  <si>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</si>
  <si>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</si>
  <si>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</si>
  <si>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</si>
  <si>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</si>
  <si>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</si>
  <si>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</si>
  <si>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</si>
  <si>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</si>
  <si>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</si>
  <si>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</si>
  <si>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</si>
  <si>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</si>
  <si>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</si>
  <si>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</si>
  <si>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</si>
  <si>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</si>
  <si>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</si>
  <si>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</si>
  <si>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</si>
  <si>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</si>
  <si>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</si>
  <si>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</si>
  <si>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</si>
  <si>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</si>
  <si>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</si>
  <si>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</si>
  <si>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</si>
  <si>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</si>
  <si>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</si>
  <si>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</si>
  <si>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</si>
  <si>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</si>
  <si>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</si>
  <si>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</si>
  <si>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</si>
  <si>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</si>
  <si>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</si>
  <si>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</si>
  <si>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</si>
  <si>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</si>
  <si>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</si>
  <si>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</si>
  <si>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</si>
  <si>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</si>
  <si>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</si>
  <si>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</si>
  <si>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</si>
  <si>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</si>
  <si>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</si>
  <si>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</si>
  <si>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</si>
  <si>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</si>
  <si>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</si>
  <si>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</si>
  <si>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</si>
  <si>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</si>
  <si>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</si>
  <si>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</si>
  <si>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</si>
  <si>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</si>
  <si>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</si>
  <si>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</si>
  <si>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</si>
  <si>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</si>
  <si>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</si>
  <si>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</si>
  <si>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</si>
  <si>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</si>
  <si>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</si>
  <si>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</si>
  <si>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</si>
  <si>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</si>
  <si>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</si>
  <si>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</si>
  <si>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</si>
  <si>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</si>
  <si>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</si>
  <si>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</si>
  <si>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</si>
  <si>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</si>
  <si>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</si>
  <si>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</si>
  <si>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</si>
  <si>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</si>
  <si>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</si>
  <si>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</si>
  <si>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</si>
  <si>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</si>
  <si>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</si>
  <si>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</si>
  <si>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</si>
  <si>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</si>
  <si>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</si>
  <si>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</si>
  <si>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</si>
  <si>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</si>
  <si>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</si>
  <si>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</si>
  <si>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</si>
  <si>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</si>
  <si>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</si>
  <si>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</si>
  <si>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</si>
  <si>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</si>
  <si>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</si>
  <si>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</si>
  <si>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</si>
  <si>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</si>
  <si>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</si>
  <si>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</si>
  <si>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</si>
  <si>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</si>
  <si>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</si>
  <si>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</si>
  <si>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</si>
  <si>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</si>
  <si>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</si>
  <si>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</si>
  <si>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</si>
  <si>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</si>
  <si>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</si>
  <si>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</si>
  <si>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</si>
  <si>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</si>
  <si>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</si>
  <si>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</si>
  <si>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</si>
  <si>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</si>
  <si>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</si>
  <si>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</si>
  <si>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</si>
  <si>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</si>
  <si>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</si>
  <si>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</si>
  <si>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</si>
  <si>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</si>
  <si>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</si>
  <si>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</si>
  <si>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</si>
  <si>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</si>
  <si>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</si>
  <si>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</si>
  <si>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</si>
  <si>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</si>
  <si>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</si>
  <si>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</si>
  <si>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</si>
  <si>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</si>
  <si>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</si>
  <si>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</si>
  <si>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</si>
  <si>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</si>
  <si>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</si>
  <si>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</si>
  <si>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</si>
  <si>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</si>
  <si>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</si>
  <si>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</si>
  <si>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</si>
  <si>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</si>
  <si>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</si>
  <si>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</si>
  <si>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</si>
  <si>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</si>
  <si>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</si>
  <si>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</si>
  <si>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</si>
  <si>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</si>
  <si>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</si>
  <si>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</si>
  <si>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</si>
  <si>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</si>
  <si>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</si>
  <si>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</si>
  <si>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</si>
  <si>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</si>
  <si>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</si>
  <si>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</si>
  <si>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</si>
  <si>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</si>
  <si>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</si>
  <si>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</si>
  <si>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</si>
  <si>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</si>
  <si>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</si>
  <si>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</si>
  <si>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</si>
  <si>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</si>
  <si>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</si>
  <si>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</si>
  <si>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</si>
  <si>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</si>
  <si>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</si>
  <si>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</si>
  <si>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</si>
  <si>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</si>
  <si>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</si>
  <si>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</si>
  <si>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</si>
  <si>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</si>
  <si>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</si>
  <si>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</si>
  <si>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</si>
  <si>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</si>
  <si>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</si>
  <si>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</si>
  <si>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</si>
  <si>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</si>
  <si>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</si>
  <si>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</si>
  <si>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</si>
  <si>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</si>
  <si>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</si>
  <si>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</si>
  <si>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</si>
  <si>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</si>
  <si>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</si>
  <si>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</si>
  <si>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</si>
  <si>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</si>
  <si>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</si>
  <si>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</si>
  <si>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</si>
  <si>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</si>
  <si>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</si>
  <si>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</si>
  <si>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</si>
  <si>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</si>
  <si>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</si>
  <si>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</si>
  <si>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</si>
  <si>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</si>
  <si>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</si>
  <si>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</si>
  <si>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</si>
  <si>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</si>
  <si>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</si>
  <si>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</si>
  <si>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</si>
  <si>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</si>
  <si>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</si>
  <si>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</si>
  <si>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</si>
  <si>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</si>
  <si>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</si>
  <si>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</si>
  <si>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</si>
  <si>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</si>
  <si>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</si>
  <si>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</si>
  <si>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</si>
  <si>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</si>
  <si>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</si>
  <si>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</si>
  <si>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</si>
  <si>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</si>
  <si>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</si>
  <si>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</si>
  <si>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</si>
  <si>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</si>
  <si>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</si>
  <si>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</si>
  <si>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</si>
  <si>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</si>
  <si>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</si>
  <si>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</si>
  <si>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</si>
  <si>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</si>
  <si>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</si>
  <si>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</si>
  <si>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</si>
  <si>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</si>
  <si>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</si>
  <si>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</si>
  <si>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</si>
  <si>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</si>
  <si>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</si>
  <si>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</si>
  <si>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</si>
  <si>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</si>
  <si>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</si>
  <si>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</si>
  <si>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</si>
  <si>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</si>
  <si>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</si>
  <si>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</si>
  <si>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</si>
  <si>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</si>
  <si>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</si>
  <si>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</si>
  <si>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</si>
  <si>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</si>
  <si>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</si>
  <si>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</si>
  <si>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</si>
  <si>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</si>
  <si>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</si>
  <si>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</si>
  <si>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</si>
  <si>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</si>
  <si>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</si>
  <si>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</si>
  <si>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</si>
  <si>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</si>
  <si>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</si>
  <si>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</si>
  <si>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</si>
  <si>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</si>
  <si>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</si>
  <si>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</si>
  <si>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</si>
  <si>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</si>
  <si>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</si>
  <si>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</si>
  <si>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</si>
  <si>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</si>
  <si>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</si>
  <si>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</si>
  <si>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</si>
  <si>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</si>
  <si>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</si>
  <si>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</si>
  <si>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</si>
  <si>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</si>
  <si>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</si>
  <si>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</si>
  <si>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</si>
  <si>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</si>
  <si>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</si>
  <si>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</si>
  <si>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</si>
  <si>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</si>
  <si>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</si>
  <si>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</si>
  <si>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</si>
  <si>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</si>
  <si>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</si>
  <si>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</si>
  <si>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</si>
  <si>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</si>
  <si>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</si>
  <si>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</si>
  <si>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</si>
  <si>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</si>
  <si>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</si>
  <si>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</si>
  <si>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</si>
  <si>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</si>
  <si>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</si>
  <si>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</si>
  <si>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</si>
  <si>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</si>
  <si>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</si>
  <si>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</si>
  <si>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</si>
  <si>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</si>
  <si>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</si>
  <si>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</si>
  <si>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</si>
  <si>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</si>
  <si>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</si>
  <si>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</si>
  <si>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</si>
  <si>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</si>
  <si>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</si>
  <si>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</si>
  <si>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</si>
  <si>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</si>
  <si>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</si>
  <si>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</si>
  <si>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</si>
  <si>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</si>
  <si>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</si>
  <si>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</si>
  <si>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</si>
  <si>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</si>
  <si>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</si>
  <si>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</si>
  <si>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</si>
  <si>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</si>
  <si>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</si>
  <si>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</si>
  <si>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</si>
  <si>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</si>
  <si>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</si>
  <si>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</si>
  <si>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</si>
  <si>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</si>
  <si>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</si>
  <si>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</si>
  <si>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</si>
  <si>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</si>
  <si>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</si>
  <si>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</si>
  <si>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</si>
  <si>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</si>
  <si>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</si>
  <si>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</si>
  <si>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</si>
  <si>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</si>
  <si>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</si>
  <si>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</si>
  <si>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</si>
  <si>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</si>
  <si>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</si>
  <si>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</si>
  <si>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</si>
  <si>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</si>
  <si>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</si>
  <si>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</si>
  <si>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</si>
  <si>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</si>
  <si>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</si>
  <si>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</si>
  <si>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</si>
  <si>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</si>
  <si>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</si>
  <si>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</si>
  <si>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</si>
  <si>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</si>
  <si>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</si>
  <si>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</si>
  <si>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</si>
  <si>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</si>
  <si>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</si>
  <si>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</si>
  <si>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</si>
  <si>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</si>
  <si>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</si>
  <si>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</si>
  <si>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</si>
  <si>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</si>
  <si>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</si>
  <si>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</si>
  <si>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</si>
  <si>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</si>
  <si>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</si>
  <si>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</si>
  <si>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</si>
  <si>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</si>
  <si>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</si>
  <si>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</si>
  <si>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</si>
  <si>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</si>
  <si>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</si>
  <si>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</si>
  <si>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</si>
  <si>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</si>
  <si>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</si>
  <si>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</si>
  <si>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</si>
  <si>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</si>
  <si>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</si>
  <si>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</si>
  <si>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</si>
  <si>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</si>
  <si>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</si>
  <si>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</si>
  <si>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</si>
  <si>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</si>
  <si>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</si>
  <si>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</si>
  <si>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</si>
  <si>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</si>
  <si>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</si>
  <si>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</si>
  <si>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</si>
  <si>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</si>
  <si>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</si>
  <si>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</si>
  <si>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</si>
  <si>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</si>
  <si>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</si>
  <si>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</si>
  <si>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</si>
  <si>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</si>
  <si>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</si>
  <si>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</si>
  <si>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</si>
  <si>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</si>
  <si>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</si>
  <si>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</si>
  <si>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</si>
  <si>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</si>
  <si>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</si>
  <si>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</si>
  <si>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</si>
  <si>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</si>
  <si>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</si>
  <si>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</si>
  <si>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</si>
  <si>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</si>
  <si>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</si>
  <si>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</si>
  <si>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</si>
  <si>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</si>
  <si>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</si>
  <si>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</si>
  <si>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</si>
  <si>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</si>
  <si>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</si>
  <si>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</si>
  <si>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</si>
  <si>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</si>
  <si>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</si>
  <si>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</si>
  <si>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</si>
  <si>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</si>
  <si>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</si>
  <si>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</si>
  <si>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</si>
  <si>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</si>
  <si>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</si>
  <si>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</si>
  <si>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</si>
  <si>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</si>
  <si>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</si>
  <si>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</si>
  <si>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</si>
  <si>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</si>
  <si>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</si>
  <si>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</si>
  <si>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</si>
  <si>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</si>
  <si>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</si>
  <si>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</si>
  <si>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</si>
  <si>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</si>
  <si>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</si>
  <si>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</si>
  <si>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</si>
  <si>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</si>
  <si>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</si>
  <si>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</si>
  <si>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</si>
  <si>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</si>
  <si>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</si>
  <si>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</si>
  <si>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</si>
  <si>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</si>
  <si>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</si>
  <si>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</si>
  <si>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</si>
  <si>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</si>
  <si>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</si>
  <si>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</si>
  <si>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</si>
  <si>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</si>
  <si>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</si>
  <si>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</si>
  <si>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</si>
  <si>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</si>
  <si>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</si>
  <si>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</si>
  <si>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</si>
  <si>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</si>
  <si>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</si>
  <si>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</si>
  <si>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</si>
  <si>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</si>
  <si>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</si>
  <si>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</si>
  <si>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</si>
  <si>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</si>
  <si>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</si>
  <si>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</si>
  <si>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</si>
  <si>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</si>
  <si>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</si>
  <si>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</si>
  <si>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</si>
  <si>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</si>
  <si>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</si>
  <si>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</si>
  <si>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</si>
  <si>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</si>
  <si>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</si>
  <si>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</si>
  <si>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</si>
  <si>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</si>
  <si>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</si>
  <si>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</si>
  <si>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</si>
  <si>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</si>
  <si>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</si>
  <si>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</si>
  <si>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</si>
  <si>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</si>
  <si>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</si>
  <si>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</si>
  <si>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</si>
  <si>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</si>
  <si>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</si>
  <si>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</si>
  <si>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</si>
  <si>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</si>
  <si>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</si>
  <si>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</si>
  <si>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</si>
  <si>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</si>
  <si>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</si>
  <si>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</si>
  <si>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</si>
  <si>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</si>
  <si>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</si>
  <si>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</si>
  <si>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</si>
  <si>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</si>
  <si>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</si>
  <si>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</si>
  <si>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</si>
  <si>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</si>
  <si>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</si>
  <si>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</si>
  <si>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</si>
  <si>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</si>
  <si>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</si>
  <si>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</si>
  <si>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</si>
  <si>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</si>
  <si>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</si>
  <si>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</si>
  <si>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</si>
  <si>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</si>
  <si>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</si>
  <si>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</si>
  <si>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</si>
  <si>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</si>
  <si>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</si>
  <si>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</si>
  <si>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</si>
  <si>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</si>
  <si>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</si>
  <si>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</si>
  <si>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</si>
  <si>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</si>
  <si>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</si>
  <si>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</si>
  <si>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</si>
  <si>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</si>
  <si>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</si>
  <si>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</si>
  <si>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</si>
  <si>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</si>
  <si>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</si>
  <si>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</si>
  <si>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</si>
  <si>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</si>
  <si>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</si>
  <si>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</si>
  <si>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</si>
  <si>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</si>
  <si>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</si>
  <si>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</si>
  <si>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</si>
  <si>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</si>
  <si>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</si>
  <si>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</si>
  <si>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</si>
  <si>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</si>
  <si>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</si>
  <si>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</si>
  <si>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</si>
  <si>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</si>
  <si>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</si>
  <si>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</si>
  <si>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</si>
  <si>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</si>
  <si>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</si>
  <si>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</si>
  <si>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</si>
  <si>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</si>
  <si>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</si>
  <si>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</si>
  <si>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</si>
  <si>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</si>
  <si>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</si>
  <si>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</si>
  <si>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</si>
  <si>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</si>
  <si>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</si>
  <si>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</si>
  <si>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</si>
  <si>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</si>
  <si>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</si>
  <si>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</si>
  <si>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</si>
  <si>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</si>
  <si>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</si>
  <si>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</si>
  <si>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</si>
  <si>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</si>
  <si>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</si>
  <si>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</si>
  <si>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</si>
  <si>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</si>
  <si>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</si>
  <si>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</si>
  <si>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</si>
  <si>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</si>
  <si>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</si>
  <si>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</si>
  <si>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</si>
  <si>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</si>
  <si>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</si>
  <si>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</si>
  <si>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</si>
  <si>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</si>
  <si>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</si>
  <si>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</si>
  <si>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</si>
  <si>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</si>
  <si>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</si>
  <si>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</si>
  <si>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</si>
  <si>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</si>
  <si>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</si>
  <si>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</si>
  <si>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</si>
  <si>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</si>
  <si>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</si>
  <si>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</si>
  <si>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</si>
  <si>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</si>
  <si>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</si>
  <si>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</si>
  <si>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</si>
  <si>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</si>
  <si>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</si>
  <si>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</si>
  <si>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</si>
  <si>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</si>
  <si>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</si>
  <si>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</si>
  <si>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</si>
  <si>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</si>
  <si>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</si>
  <si>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</si>
  <si>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</si>
  <si>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</si>
  <si>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</si>
  <si>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</si>
  <si>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</si>
  <si>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</si>
  <si>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</si>
  <si>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</si>
  <si>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</si>
  <si>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</si>
  <si>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</si>
  <si>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</si>
  <si>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</si>
  <si>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</si>
  <si>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</si>
  <si>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</si>
  <si>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</si>
  <si>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</si>
  <si>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</si>
  <si>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</si>
  <si>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</si>
  <si>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</si>
  <si>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</si>
  <si>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</si>
  <si>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</si>
  <si>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</si>
  <si>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</si>
  <si>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</si>
  <si>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</si>
  <si>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</si>
  <si>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</si>
  <si>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</si>
  <si>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</si>
  <si>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</si>
  <si>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</si>
  <si>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</si>
  <si>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</si>
  <si>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</si>
  <si>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</si>
  <si>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</si>
  <si>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</si>
  <si>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</si>
  <si>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</si>
  <si>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</si>
  <si>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</si>
  <si>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</si>
  <si>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</si>
  <si>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</si>
  <si>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</si>
  <si>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</si>
  <si>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</si>
  <si>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</si>
  <si>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</si>
  <si>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</si>
  <si>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</si>
  <si>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</si>
  <si>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</si>
  <si>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</si>
  <si>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</si>
  <si>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</si>
  <si>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</si>
  <si>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</si>
  <si>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</si>
  <si>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</si>
  <si>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</si>
  <si>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</si>
  <si>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</si>
  <si>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</si>
  <si>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</si>
  <si>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</si>
  <si>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</si>
  <si>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</si>
  <si>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</si>
  <si>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</si>
  <si>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</si>
  <si>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</si>
  <si>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</si>
  <si>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</si>
  <si>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</si>
  <si>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</si>
  <si>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</si>
  <si>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</si>
  <si>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</si>
  <si>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</si>
  <si>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</si>
  <si>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</si>
  <si>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</si>
  <si>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</si>
  <si>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</si>
  <si>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</si>
  <si>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</si>
  <si>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</si>
  <si>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</si>
  <si>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</si>
  <si>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</si>
  <si>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</si>
  <si>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</si>
  <si>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</si>
  <si>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</si>
  <si>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</si>
  <si>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</si>
  <si>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</si>
  <si>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</si>
  <si>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</si>
  <si>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</si>
  <si>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</si>
  <si>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</si>
  <si>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</si>
  <si>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</si>
  <si>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</si>
  <si>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</si>
  <si>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</si>
  <si>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</si>
  <si>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</si>
  <si>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</si>
  <si>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</si>
  <si>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</si>
  <si>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</si>
  <si>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</si>
  <si>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</si>
  <si>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</si>
  <si>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</si>
  <si>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</si>
  <si>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</si>
  <si>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</si>
  <si>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</si>
  <si>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</si>
  <si>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</si>
  <si>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</si>
  <si>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</si>
  <si>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</si>
  <si>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</si>
  <si>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</si>
  <si>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</si>
  <si>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</si>
  <si>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</si>
  <si>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</si>
  <si>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</si>
  <si>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</si>
  <si>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</si>
  <si>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</si>
  <si>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</si>
  <si>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</si>
  <si>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</si>
  <si>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</si>
  <si>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</si>
  <si>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</si>
  <si>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</si>
  <si>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</si>
  <si>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</si>
  <si>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</si>
  <si>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</si>
  <si>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</si>
  <si>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</si>
  <si>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</si>
  <si>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</si>
  <si>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</si>
  <si>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</si>
  <si>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</si>
  <si>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</si>
  <si>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</si>
  <si>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</si>
  <si>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</si>
  <si>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</si>
  <si>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</si>
  <si>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</si>
  <si>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</si>
  <si>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</si>
  <si>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</si>
  <si>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</si>
  <si>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</si>
  <si>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</si>
  <si>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</si>
  <si>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</si>
  <si>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</si>
  <si>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</si>
  <si>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</si>
  <si>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</si>
  <si>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</si>
  <si>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</si>
  <si>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</si>
  <si>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</si>
  <si>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</si>
  <si>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</si>
  <si>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</si>
  <si>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</si>
  <si>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</si>
  <si>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</si>
  <si>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</si>
  <si>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</si>
  <si>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</si>
  <si>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</si>
  <si>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</si>
  <si>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</si>
  <si>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</si>
  <si>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</si>
  <si>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</si>
  <si>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</si>
  <si>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</si>
  <si>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</si>
  <si>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</si>
  <si>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</si>
  <si>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</si>
  <si>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</si>
  <si>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</si>
  <si>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</si>
  <si>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</si>
  <si>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</si>
  <si>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</si>
  <si>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</si>
  <si>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</si>
  <si>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</si>
  <si>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</si>
  <si>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</si>
  <si>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</si>
  <si>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</si>
  <si>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</si>
  <si>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</si>
  <si>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</si>
  <si>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</si>
  <si>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</si>
  <si>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</si>
  <si>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</si>
  <si>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</si>
  <si>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</si>
  <si>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</si>
  <si>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</si>
  <si>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</si>
  <si>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</si>
  <si>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</si>
  <si>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</si>
  <si>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</si>
  <si>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</si>
  <si>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</si>
  <si>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</si>
  <si>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</si>
  <si>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</si>
  <si>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</si>
  <si>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</si>
  <si>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</si>
  <si>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</si>
  <si>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</si>
  <si>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</si>
  <si>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</si>
  <si>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</si>
  <si>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</si>
  <si>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</si>
  <si>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</si>
  <si>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</si>
  <si>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</si>
  <si>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</si>
  <si>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</si>
  <si>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</si>
  <si>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</si>
  <si>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</si>
  <si>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</si>
  <si>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</si>
  <si>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</si>
  <si>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</si>
  <si>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</si>
  <si>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</si>
  <si>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</si>
  <si>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</si>
  <si>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</si>
  <si>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</si>
  <si>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</si>
  <si>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</si>
  <si>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</si>
  <si>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</si>
  <si>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</si>
  <si>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</si>
  <si>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</si>
  <si>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</si>
  <si>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</si>
  <si>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</si>
  <si>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</si>
  <si>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</si>
  <si>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</si>
  <si>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</si>
  <si>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</si>
  <si>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</si>
  <si>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</si>
  <si>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</si>
  <si>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</si>
  <si>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</si>
  <si>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</si>
  <si>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</si>
  <si>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</si>
  <si>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</si>
  <si>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</si>
  <si>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</si>
  <si>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</si>
  <si>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</si>
  <si>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</si>
  <si>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</si>
  <si>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</si>
  <si>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</si>
  <si>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</si>
  <si>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</si>
  <si>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</si>
  <si>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</si>
  <si>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</si>
  <si>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</si>
  <si>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</si>
  <si>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</si>
  <si>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</si>
  <si>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</si>
  <si>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</si>
  <si>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</si>
  <si>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</si>
  <si>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</si>
  <si>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</si>
  <si>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</si>
  <si>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</si>
  <si>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</si>
  <si>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</si>
  <si>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</si>
  <si>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</si>
  <si>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</si>
  <si>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</si>
  <si>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</si>
  <si>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</si>
  <si>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</si>
  <si>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</si>
  <si>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</si>
  <si>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</si>
  <si>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</si>
  <si>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</si>
  <si>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</si>
  <si>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</si>
  <si>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</si>
  <si>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</si>
  <si>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</si>
  <si>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</si>
  <si>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</si>
  <si>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</si>
  <si>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</si>
  <si>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</si>
  <si>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</si>
  <si>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</si>
  <si>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</si>
  <si>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</si>
  <si>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</si>
  <si>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</si>
  <si>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</si>
  <si>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</si>
  <si>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</si>
  <si>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</si>
  <si>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</si>
  <si>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</si>
  <si>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</si>
  <si>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</si>
  <si>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</si>
  <si>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</si>
  <si>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</si>
  <si>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</si>
  <si>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</si>
  <si>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</si>
  <si>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</si>
  <si>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</si>
  <si>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</si>
  <si>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</si>
  <si>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</si>
  <si>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</si>
  <si>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</si>
  <si>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</si>
  <si>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</si>
  <si>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</si>
  <si>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</si>
  <si>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</si>
  <si>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</si>
  <si>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</si>
  <si>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</si>
  <si>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</si>
  <si>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</si>
  <si>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</si>
  <si>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</si>
  <si>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</si>
  <si>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</si>
  <si>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</si>
  <si>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</si>
  <si>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</si>
  <si>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</si>
  <si>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</si>
  <si>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</si>
  <si>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</si>
  <si>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</si>
  <si>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</si>
  <si>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</si>
  <si>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</si>
  <si>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</si>
  <si>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</si>
  <si>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</si>
  <si>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</si>
  <si>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</si>
  <si>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</si>
  <si>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</si>
  <si>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</si>
  <si>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</si>
  <si>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</si>
  <si>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</si>
  <si>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</si>
  <si>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</si>
  <si>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</si>
  <si>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</si>
  <si>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</si>
  <si>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</si>
  <si>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</si>
  <si>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</si>
  <si>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</si>
  <si>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</si>
  <si>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</si>
  <si>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</si>
  <si>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</si>
  <si>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</si>
  <si>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</si>
  <si>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</si>
  <si>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</si>
  <si>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</si>
  <si>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</si>
  <si>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</si>
  <si>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</si>
  <si>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</si>
  <si>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</si>
  <si>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</si>
  <si>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</si>
  <si>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</si>
  <si>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</si>
  <si>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</si>
  <si>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</si>
  <si>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</si>
  <si>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</si>
  <si>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base (Scenario 1; 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</si>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</sst>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3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-6.5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1.015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1.1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87.3</v>
      </c>
      <c r="P32" s="13" t="n">
        <f aca="false">IF(Time!P30&gt;0,P31+Inputs!$F$37,0)</f>
        <v>87.3</v>
      </c>
      <c r="Q32" s="13" t="n">
        <f aca="false">IF(Time!Q30&gt;0,Q31+Inputs!$F$37,0)</f>
        <v>87</v>
      </c>
      <c r="R32" s="13" t="n">
        <f aca="false">IF(Time!R30&gt;0,R31+Inputs!$F$37,0)</f>
        <v>86.4</v>
      </c>
      <c r="S32" s="13" t="n">
        <f aca="false">IF(Time!S30&gt;0,S31+Inputs!$F$37,0)</f>
        <v>86.7</v>
      </c>
      <c r="T32" s="13" t="n">
        <f aca="false">IF(Time!T30&gt;0,T31+Inputs!$F$37,0)</f>
        <v>87.3</v>
      </c>
      <c r="U32" s="13" t="n">
        <f aca="false">IF(Time!U30&gt;0,U31+Inputs!$F$37,0)</f>
        <v>86.2333333333333</v>
      </c>
      <c r="V32" s="13" t="n">
        <f aca="false">IF(Time!V30&gt;0,V31+Inputs!$F$37,0)</f>
        <v>84.1</v>
      </c>
      <c r="W32" s="13" t="n">
        <f aca="false">IF(Time!W30&gt;0,W31+Inputs!$F$37,0)</f>
        <v>85.1666666666667</v>
      </c>
      <c r="X32" s="13" t="n">
        <f aca="false">IF(Time!X30&gt;0,X31+Inputs!$F$37,0)</f>
        <v>87.3</v>
      </c>
      <c r="Y32" s="13" t="n">
        <f aca="false">IF(Time!Y30&gt;0,Y31+Inputs!$F$37,0)</f>
        <v>87</v>
      </c>
      <c r="Z32" s="13" t="n">
        <f aca="false">IF(Time!Z30&gt;0,Z31+Inputs!$F$37,0)</f>
        <v>86.4</v>
      </c>
      <c r="AA32" s="13" t="n">
        <f aca="false">IF(Time!AA30&gt;0,AA31+Inputs!$F$37,0)</f>
        <v>86.7</v>
      </c>
      <c r="AB32" s="13" t="n">
        <f aca="false">IF(Time!AB30&gt;0,AB31+Inputs!$F$37,0)</f>
        <v>87.3</v>
      </c>
      <c r="AC32" s="13" t="n">
        <f aca="false">IF(Time!AC30&gt;0,AC31+Inputs!$F$37,0)</f>
        <v>85.6</v>
      </c>
      <c r="AD32" s="13" t="n">
        <f aca="false">IF(Time!AD30&gt;0,AD31+Inputs!$F$37,0)</f>
        <v>82.2</v>
      </c>
      <c r="AE32" s="13" t="n">
        <f aca="false">IF(Time!AE30&gt;0,AE31+Inputs!$F$37,0)</f>
        <v>83.9</v>
      </c>
      <c r="AF32" s="13" t="n">
        <f aca="false">IF(Time!AF30&gt;0,AF31+Inputs!$F$37,0)</f>
        <v>87.3</v>
      </c>
      <c r="AG32" s="13" t="n">
        <f aca="false">IF(Time!AG30&gt;0,AG31+Inputs!$F$37,0)</f>
        <v>87</v>
      </c>
      <c r="AH32" s="13" t="n">
        <f aca="false">IF(Time!AH30&gt;0,AH31+Inputs!$F$37,0)</f>
        <v>86.4</v>
      </c>
      <c r="AI32" s="13" t="n">
        <f aca="false">IF(Time!AI30&gt;0,AI31+Inputs!$F$37,0)</f>
        <v>86.7</v>
      </c>
      <c r="AJ32" s="13" t="n">
        <f aca="false">IF(Time!AJ30&gt;0,AJ31+Inputs!$F$37,0)</f>
        <v>87.3</v>
      </c>
      <c r="AK32" s="13" t="n">
        <f aca="false">IF(Time!AK30&gt;0,AK31+Inputs!$F$37,0)</f>
        <v>86.2333333333333</v>
      </c>
      <c r="AL32" s="13" t="n">
        <f aca="false">IF(Time!AL30&gt;0,AL31+Inputs!$F$37,0)</f>
        <v>84.1</v>
      </c>
      <c r="AM32" s="13" t="n">
        <f aca="false">IF(Time!AM30&gt;0,AM31+Inputs!$F$37,0)</f>
        <v>85.1666666666667</v>
      </c>
      <c r="AN32" s="13" t="n">
        <f aca="false">IF(Time!AN30&gt;0,AN31+Inputs!$F$37,0)</f>
        <v>87.3</v>
      </c>
      <c r="AO32" s="13" t="n">
        <f aca="false">IF(Time!AO30&gt;0,AO31+Inputs!$F$37,0)</f>
        <v>87</v>
      </c>
      <c r="AP32" s="13" t="n">
        <f aca="false">IF(Time!AP30&gt;0,AP31+Inputs!$F$37,0)</f>
        <v>86.4</v>
      </c>
      <c r="AQ32" s="13" t="n">
        <f aca="false">IF(Time!AQ30&gt;0,AQ31+Inputs!$F$37,0)</f>
        <v>86.7</v>
      </c>
      <c r="AR32" s="13" t="n">
        <f aca="false">IF(Time!AR30&gt;0,AR31+Inputs!$F$37,0)</f>
        <v>87.3</v>
      </c>
      <c r="AS32" s="13" t="n">
        <f aca="false">IF(Time!AS30&gt;0,AS31+Inputs!$F$37,0)</f>
        <v>85.6</v>
      </c>
      <c r="AT32" s="13" t="n">
        <f aca="false">IF(Time!AT30&gt;0,AT31+Inputs!$F$37,0)</f>
        <v>82.2</v>
      </c>
      <c r="AU32" s="13" t="n">
        <f aca="false">IF(Time!AU30&gt;0,AU31+Inputs!$F$37,0)</f>
        <v>83.9</v>
      </c>
      <c r="AV32" s="13" t="n">
        <f aca="false">IF(Time!AV30&gt;0,AV31+Inputs!$F$37,0)</f>
        <v>87.3</v>
      </c>
      <c r="AW32" s="13" t="n">
        <f aca="false">IF(Time!AW30&gt;0,AW31+Inputs!$F$37,0)</f>
        <v>87</v>
      </c>
      <c r="AX32" s="13" t="n">
        <f aca="false">IF(Time!AX30&gt;0,AX31+Inputs!$F$37,0)</f>
        <v>86.4</v>
      </c>
      <c r="AY32" s="13" t="n">
        <f aca="false">IF(Time!AY30&gt;0,AY31+Inputs!$F$37,0)</f>
        <v>86.7</v>
      </c>
      <c r="AZ32" s="13" t="n">
        <f aca="false">IF(Time!AZ30&gt;0,AZ31+Inputs!$F$37,0)</f>
        <v>87.3</v>
      </c>
      <c r="BA32" s="13" t="n">
        <f aca="false">IF(Time!BA30&gt;0,BA31+Inputs!$F$37,0)</f>
        <v>86.2333333333333</v>
      </c>
      <c r="BB32" s="13" t="n">
        <f aca="false">IF(Time!BB30&gt;0,BB31+Inputs!$F$37,0)</f>
        <v>84.1</v>
      </c>
      <c r="BC32" s="13" t="n">
        <f aca="false">IF(Time!BC30&gt;0,BC31+Inputs!$F$37,0)</f>
        <v>85.1666666666667</v>
      </c>
      <c r="BD32" s="13" t="n">
        <f aca="false">IF(Time!BD30&gt;0,BD31+Inputs!$F$37,0)</f>
        <v>87.3</v>
      </c>
      <c r="BE32" s="13" t="n">
        <f aca="false">IF(Time!BE30&gt;0,BE31+Inputs!$F$37,0)</f>
        <v>87</v>
      </c>
      <c r="BF32" s="13" t="n">
        <f aca="false">IF(Time!BF30&gt;0,BF31+Inputs!$F$37,0)</f>
        <v>86.4</v>
      </c>
      <c r="BG32" s="13" t="n">
        <f aca="false">IF(Time!BG30&gt;0,BG31+Inputs!$F$37,0)</f>
        <v>86.7</v>
      </c>
      <c r="BH32" s="13" t="n">
        <f aca="false">IF(Time!BH30&gt;0,BH31+Inputs!$F$37,0)</f>
        <v>87.3</v>
      </c>
      <c r="BI32" s="13" t="n">
        <f aca="false">IF(Time!BI30&gt;0,BI31+Inputs!$F$37,0)</f>
        <v>85.6</v>
      </c>
      <c r="BJ32" s="13" t="n">
        <f aca="false">IF(Time!BJ30&gt;0,BJ31+Inputs!$F$37,0)</f>
        <v>82.2</v>
      </c>
      <c r="BK32" s="13" t="n">
        <f aca="false">IF(Time!BK30&gt;0,BK31+Inputs!$F$37,0)</f>
        <v>83.9</v>
      </c>
      <c r="BL32" s="13" t="n">
        <f aca="false">IF(Time!BL30&gt;0,BL31+Inputs!$F$37,0)</f>
        <v>87.3</v>
      </c>
      <c r="BM32" s="13" t="n">
        <f aca="false">IF(Time!BM30&gt;0,BM31+Inputs!$F$37,0)</f>
        <v>87.3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567913.383061561</v>
      </c>
      <c r="P38" s="15" t="n">
        <f aca="false">$F$34*Inputs!$F$215*Time!P30*P32/100*P37/100*P36</f>
        <v>1702888.17261302</v>
      </c>
      <c r="Q38" s="15" t="n">
        <f aca="false">$F$34*Inputs!$F$215*Time!Q30*Q32/100*Q37/100*Q36</f>
        <v>1695762.74999691</v>
      </c>
      <c r="R38" s="15" t="n">
        <f aca="false">$F$34*Inputs!$F$215*Time!R30*R32/100*R37/100*R36</f>
        <v>1682803.04451764</v>
      </c>
      <c r="S38" s="15" t="n">
        <f aca="false">$F$34*Inputs!$F$215*Time!S30*S32/100*S37/100*S36</f>
        <v>1687376.92905056</v>
      </c>
      <c r="T38" s="15" t="n">
        <f aca="false">$F$34*Inputs!$F$215*Time!T30*T32/100*T37/100*T36</f>
        <v>1697776.31318304</v>
      </c>
      <c r="U38" s="15" t="n">
        <f aca="false">$F$34*Inputs!$F$215*Time!U30*U32/100*U37/100*U36</f>
        <v>1675769.8461696</v>
      </c>
      <c r="V38" s="15" t="n">
        <f aca="false">$F$34*Inputs!$F$215*Time!V30*V32/100*V37/100*V36</f>
        <v>1633081.72107288</v>
      </c>
      <c r="W38" s="15" t="n">
        <f aca="false">$F$34*Inputs!$F$215*Time!W30*W32/100*W37/100*W36</f>
        <v>1652547.87306222</v>
      </c>
      <c r="X38" s="15" t="n">
        <f aca="false">$F$34*Inputs!$F$215*Time!X30*X32/100*X37/100*X36</f>
        <v>1692664.45375305</v>
      </c>
      <c r="Y38" s="15" t="n">
        <f aca="false">$F$34*Inputs!$F$215*Time!Y30*Y32/100*Y37/100*Y36</f>
        <v>1685574.16419145</v>
      </c>
      <c r="Z38" s="15" t="n">
        <f aca="false">$F$34*Inputs!$F$215*Time!Z30*Z32/100*Z37/100*Z36</f>
        <v>1672684.72482118</v>
      </c>
      <c r="AA38" s="15" t="n">
        <f aca="false">$F$34*Inputs!$F$215*Time!AA30*AA32/100*AA37/100*AA36</f>
        <v>1677223.4762996</v>
      </c>
      <c r="AB38" s="15" t="n">
        <f aca="false">$F$34*Inputs!$F$215*Time!AB30*AB32/100*AB37/100*AB36</f>
        <v>1687552.59432307</v>
      </c>
      <c r="AC38" s="15" t="n">
        <f aca="false">$F$34*Inputs!$F$215*Time!AC30*AC32/100*AC37/100*AC36</f>
        <v>1653437.66646338</v>
      </c>
      <c r="AD38" s="15" t="n">
        <f aca="false">$F$34*Inputs!$F$215*Time!AD30*AD32/100*AD37/100*AD36</f>
        <v>1586560.43334232</v>
      </c>
      <c r="AE38" s="15" t="n">
        <f aca="false">$F$34*Inputs!$F$215*Time!AE30*AE32/100*AE37/100*AE36</f>
        <v>1618144.31740062</v>
      </c>
      <c r="AF38" s="15" t="n">
        <f aca="false">$F$34*Inputs!$F$215*Time!AF30*AF32/100*AF37/100*AF36</f>
        <v>1682440.73489309</v>
      </c>
      <c r="AG38" s="15" t="n">
        <f aca="false">$F$34*Inputs!$F$215*Time!AG30*AG32/100*AG37/100*AG36</f>
        <v>1675385.57838599</v>
      </c>
      <c r="AH38" s="15" t="n">
        <f aca="false">$F$34*Inputs!$F$215*Time!AH30*AH32/100*AH37/100*AH36</f>
        <v>1662566.40512472</v>
      </c>
      <c r="AI38" s="15" t="n">
        <f aca="false">$F$34*Inputs!$F$215*Time!AI30*AI32/100*AI37/100*AI36</f>
        <v>1667070.02354864</v>
      </c>
      <c r="AJ38" s="15" t="n">
        <f aca="false">$F$34*Inputs!$F$215*Time!AJ30*AJ32/100*AJ37/100*AJ36</f>
        <v>1677328.87546311</v>
      </c>
      <c r="AK38" s="15" t="n">
        <f aca="false">$F$34*Inputs!$F$215*Time!AK30*AK32/100*AK37/100*AK36</f>
        <v>1655572.2435039</v>
      </c>
      <c r="AL38" s="15" t="n">
        <f aca="false">$F$34*Inputs!$F$215*Time!AL30*AL32/100*AL37/100*AL36</f>
        <v>1613383.78851565</v>
      </c>
      <c r="AM38" s="15" t="n">
        <f aca="false">$F$34*Inputs!$F$215*Time!AM30*AM32/100*AM37/100*AM36</f>
        <v>1632600.10545076</v>
      </c>
      <c r="AN38" s="15" t="n">
        <f aca="false">$F$34*Inputs!$F$215*Time!AN30*AN32/100*AN37/100*AN36</f>
        <v>1672217.01603312</v>
      </c>
      <c r="AO38" s="15" t="n">
        <f aca="false">$F$34*Inputs!$F$215*Time!AO30*AO32/100*AO37/100*AO36</f>
        <v>1665196.99258052</v>
      </c>
      <c r="AP38" s="15" t="n">
        <f aca="false">$F$34*Inputs!$F$215*Time!AP30*AP32/100*AP37/100*AP36</f>
        <v>1652448.08542825</v>
      </c>
      <c r="AQ38" s="15" t="n">
        <f aca="false">$F$34*Inputs!$F$215*Time!AQ30*AQ32/100*AQ37/100*AQ36</f>
        <v>1656916.57079768</v>
      </c>
      <c r="AR38" s="15" t="n">
        <f aca="false">$F$34*Inputs!$F$215*Time!AR30*AR32/100*AR37/100*AR36</f>
        <v>1667105.15660314</v>
      </c>
      <c r="AS38" s="15" t="n">
        <f aca="false">$F$34*Inputs!$F$215*Time!AS30*AS32/100*AS37/100*AS36</f>
        <v>1633388.40336114</v>
      </c>
      <c r="AT38" s="15" t="n">
        <f aca="false">$F$34*Inputs!$F$215*Time!AT30*AT32/100*AT37/100*AT36</f>
        <v>1567307.51947544</v>
      </c>
      <c r="AU38" s="15" t="n">
        <f aca="false">$F$34*Inputs!$F$215*Time!AU30*AU32/100*AU37/100*AU36</f>
        <v>1598493.22891606</v>
      </c>
      <c r="AV38" s="15" t="n">
        <f aca="false">$F$34*Inputs!$F$215*Time!AV30*AV32/100*AV37/100*AV36</f>
        <v>1661993.29717316</v>
      </c>
      <c r="AW38" s="15" t="n">
        <f aca="false">$F$34*Inputs!$F$215*Time!AW30*AW32/100*AW37/100*AW36</f>
        <v>1655008.40677506</v>
      </c>
      <c r="AX38" s="15" t="n">
        <f aca="false">$F$34*Inputs!$F$215*Time!AX30*AX32/100*AX37/100*AX36</f>
        <v>1642329.76573179</v>
      </c>
      <c r="AY38" s="15" t="n">
        <f aca="false">$F$34*Inputs!$F$215*Time!AY30*AY32/100*AY37/100*AY36</f>
        <v>1646763.11804671</v>
      </c>
      <c r="AZ38" s="15" t="n">
        <f aca="false">$F$34*Inputs!$F$215*Time!AZ30*AZ32/100*AZ37/100*AZ36</f>
        <v>1656881.43774317</v>
      </c>
      <c r="BA38" s="15" t="n">
        <f aca="false">$F$34*Inputs!$F$215*Time!BA30*BA32/100*BA37/100*BA36</f>
        <v>1635374.6408382</v>
      </c>
      <c r="BB38" s="15" t="n">
        <f aca="false">$F$34*Inputs!$F$215*Time!BB30*BB32/100*BB37/100*BB36</f>
        <v>1593685.85595842</v>
      </c>
      <c r="BC38" s="15" t="n">
        <f aca="false">$F$34*Inputs!$F$215*Time!BC30*BC32/100*BC37/100*BC36</f>
        <v>1612652.33783929</v>
      </c>
      <c r="BD38" s="15" t="n">
        <f aca="false">$F$34*Inputs!$F$215*Time!BD30*BD32/100*BD37/100*BD36</f>
        <v>1651769.57831319</v>
      </c>
      <c r="BE38" s="15" t="n">
        <f aca="false">$F$34*Inputs!$F$215*Time!BE30*BE32/100*BE37/100*BE36</f>
        <v>1644819.82096959</v>
      </c>
      <c r="BF38" s="15" t="n">
        <f aca="false">$F$34*Inputs!$F$215*Time!BF30*BF32/100*BF37/100*BF36</f>
        <v>1632211.44603533</v>
      </c>
      <c r="BG38" s="15" t="n">
        <f aca="false">$F$34*Inputs!$F$215*Time!BG30*BG32/100*BG37/100*BG36</f>
        <v>1636609.66529575</v>
      </c>
      <c r="BH38" s="15" t="n">
        <f aca="false">$F$34*Inputs!$F$215*Time!BH30*BH32/100*BH37/100*BH36</f>
        <v>1646657.71888321</v>
      </c>
      <c r="BI38" s="15" t="n">
        <f aca="false">$F$34*Inputs!$F$215*Time!BI30*BI32/100*BI37/100*BI36</f>
        <v>1613339.14025889</v>
      </c>
      <c r="BJ38" s="15" t="n">
        <f aca="false">$F$34*Inputs!$F$215*Time!BJ30*BJ32/100*BJ37/100*BJ36</f>
        <v>1548054.60560856</v>
      </c>
      <c r="BK38" s="15" t="n">
        <f aca="false">$F$34*Inputs!$F$215*Time!BK30*BK32/100*BK37/100*BK36</f>
        <v>1578842.1404315</v>
      </c>
      <c r="BL38" s="15" t="n">
        <f aca="false">$F$34*Inputs!$F$215*Time!BL30*BL32/100*BL37/100*BL36</f>
        <v>1641545.85945323</v>
      </c>
      <c r="BM38" s="15" t="n">
        <f aca="false">$F$34*Inputs!$F$215*Time!BM30*BM32/100*BM37/100*BM36</f>
        <v>1093653.92582576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6553.08666936</v>
      </c>
      <c r="K39" s="13" t="n">
        <f aca="false">$F$35*(1+IF(Inputs!$F$312=1,INDEX(Inputs!$AK$313:$AK$1312,Inputs!$F$311),Inputs!$F$127)/100*K33)*(1+Inputs!$F$128/100)*(1+Inputs!$F$122/100)*Inputs!$F$39</f>
        <v>6553.08666936</v>
      </c>
      <c r="L39" s="13" t="n">
        <f aca="false">$F$35*(1+IF(Inputs!$F$312=1,INDEX(Inputs!$AK$313:$AK$1312,Inputs!$F$311),Inputs!$F$127)/100*L33)*(1+Inputs!$F$128/100)*(1+Inputs!$F$122/100)*Inputs!$F$39</f>
        <v>6553.08666936</v>
      </c>
      <c r="M39" s="13" t="n">
        <f aca="false">$F$35*(1+IF(Inputs!$F$312=1,INDEX(Inputs!$AK$313:$AK$1312,Inputs!$F$311),Inputs!$F$127)/100*M33)*(1+Inputs!$F$128/100)*(1+Inputs!$F$122/100)*Inputs!$F$39</f>
        <v>6553.08666936</v>
      </c>
      <c r="N39" s="13" t="n">
        <f aca="false">$F$35*(1+IF(Inputs!$F$312=1,INDEX(Inputs!$AK$313:$AK$1312,Inputs!$F$311),Inputs!$F$127)/100*N33)*(1+Inputs!$F$128/100)*(1+Inputs!$F$122/100)*Inputs!$F$39</f>
        <v>6553.08666936</v>
      </c>
      <c r="O39" s="13" t="n">
        <f aca="false">$F$35*(1+IF(Inputs!$F$312=1,INDEX(Inputs!$AK$313:$AK$1312,Inputs!$F$311),Inputs!$F$127)/100*O33)*(1+Inputs!$F$128/100)*(1+Inputs!$F$122/100)*Inputs!$F$39</f>
        <v>6553.74197802694</v>
      </c>
      <c r="P39" s="13" t="n">
        <f aca="false">$F$35*(1+IF(Inputs!$F$312=1,INDEX(Inputs!$AK$313:$AK$1312,Inputs!$F$311),Inputs!$F$127)/100*P33)*(1+Inputs!$F$128/100)*(1+Inputs!$F$122/100)*Inputs!$F$39</f>
        <v>6556.36321269468</v>
      </c>
      <c r="Q39" s="13" t="n">
        <f aca="false">$F$35*(1+IF(Inputs!$F$312=1,INDEX(Inputs!$AK$313:$AK$1312,Inputs!$F$311),Inputs!$F$127)/100*Q33)*(1+Inputs!$F$128/100)*(1+Inputs!$F$122/100)*Inputs!$F$39</f>
        <v>6560.2950646963</v>
      </c>
      <c r="R39" s="13" t="n">
        <f aca="false">$F$35*(1+IF(Inputs!$F$312=1,INDEX(Inputs!$AK$313:$AK$1312,Inputs!$F$311),Inputs!$F$127)/100*R33)*(1+Inputs!$F$128/100)*(1+Inputs!$F$122/100)*Inputs!$F$39</f>
        <v>6564.22691669791</v>
      </c>
      <c r="S39" s="13" t="n">
        <f aca="false">$F$35*(1+IF(Inputs!$F$312=1,INDEX(Inputs!$AK$313:$AK$1312,Inputs!$F$311),Inputs!$F$127)/100*S33)*(1+Inputs!$F$128/100)*(1+Inputs!$F$122/100)*Inputs!$F$39</f>
        <v>6568.15876869953</v>
      </c>
      <c r="T39" s="13" t="n">
        <f aca="false">$F$35*(1+IF(Inputs!$F$312=1,INDEX(Inputs!$AK$313:$AK$1312,Inputs!$F$311),Inputs!$F$127)/100*T33)*(1+Inputs!$F$128/100)*(1+Inputs!$F$122/100)*Inputs!$F$39</f>
        <v>6572.09062070114</v>
      </c>
      <c r="U39" s="13" t="n">
        <f aca="false">$F$35*(1+IF(Inputs!$F$312=1,INDEX(Inputs!$AK$313:$AK$1312,Inputs!$F$311),Inputs!$F$127)/100*U33)*(1+Inputs!$F$128/100)*(1+Inputs!$F$122/100)*Inputs!$F$39</f>
        <v>6576.02247270276</v>
      </c>
      <c r="V39" s="13" t="n">
        <f aca="false">$F$35*(1+IF(Inputs!$F$312=1,INDEX(Inputs!$AK$313:$AK$1312,Inputs!$F$311),Inputs!$F$127)/100*V33)*(1+Inputs!$F$128/100)*(1+Inputs!$F$122/100)*Inputs!$F$39</f>
        <v>6579.95432470438</v>
      </c>
      <c r="W39" s="13" t="n">
        <f aca="false">$F$35*(1+IF(Inputs!$F$312=1,INDEX(Inputs!$AK$313:$AK$1312,Inputs!$F$311),Inputs!$F$127)/100*W33)*(1+Inputs!$F$128/100)*(1+Inputs!$F$122/100)*Inputs!$F$39</f>
        <v>6583.88617670599</v>
      </c>
      <c r="X39" s="13" t="n">
        <f aca="false">$F$35*(1+IF(Inputs!$F$312=1,INDEX(Inputs!$AK$313:$AK$1312,Inputs!$F$311),Inputs!$F$127)/100*X33)*(1+Inputs!$F$128/100)*(1+Inputs!$F$122/100)*Inputs!$F$39</f>
        <v>6587.81802870761</v>
      </c>
      <c r="Y39" s="13" t="n">
        <f aca="false">$F$35*(1+IF(Inputs!$F$312=1,INDEX(Inputs!$AK$313:$AK$1312,Inputs!$F$311),Inputs!$F$127)/100*Y33)*(1+Inputs!$F$128/100)*(1+Inputs!$F$122/100)*Inputs!$F$39</f>
        <v>6591.74988070922</v>
      </c>
      <c r="Z39" s="13" t="n">
        <f aca="false">$F$35*(1+IF(Inputs!$F$312=1,INDEX(Inputs!$AK$313:$AK$1312,Inputs!$F$311),Inputs!$F$127)/100*Z33)*(1+Inputs!$F$128/100)*(1+Inputs!$F$122/100)*Inputs!$F$39</f>
        <v>6595.68173271084</v>
      </c>
      <c r="AA39" s="13" t="n">
        <f aca="false">$F$35*(1+IF(Inputs!$F$312=1,INDEX(Inputs!$AK$313:$AK$1312,Inputs!$F$311),Inputs!$F$127)/100*AA33)*(1+Inputs!$F$128/100)*(1+Inputs!$F$122/100)*Inputs!$F$39</f>
        <v>6599.61358471246</v>
      </c>
      <c r="AB39" s="13" t="n">
        <f aca="false">$F$35*(1+IF(Inputs!$F$312=1,INDEX(Inputs!$AK$313:$AK$1312,Inputs!$F$311),Inputs!$F$127)/100*AB33)*(1+Inputs!$F$128/100)*(1+Inputs!$F$122/100)*Inputs!$F$39</f>
        <v>6603.54543671407</v>
      </c>
      <c r="AC39" s="13" t="n">
        <f aca="false">$F$35*(1+IF(Inputs!$F$312=1,INDEX(Inputs!$AK$313:$AK$1312,Inputs!$F$311),Inputs!$F$127)/100*AC33)*(1+Inputs!$F$128/100)*(1+Inputs!$F$122/100)*Inputs!$F$39</f>
        <v>6607.47728871569</v>
      </c>
      <c r="AD39" s="13" t="n">
        <f aca="false">$F$35*(1+IF(Inputs!$F$312=1,INDEX(Inputs!$AK$313:$AK$1312,Inputs!$F$311),Inputs!$F$127)/100*AD33)*(1+Inputs!$F$128/100)*(1+Inputs!$F$122/100)*Inputs!$F$39</f>
        <v>6611.4091407173</v>
      </c>
      <c r="AE39" s="13" t="n">
        <f aca="false">$F$35*(1+IF(Inputs!$F$312=1,INDEX(Inputs!$AK$313:$AK$1312,Inputs!$F$311),Inputs!$F$127)/100*AE33)*(1+Inputs!$F$128/100)*(1+Inputs!$F$122/100)*Inputs!$F$39</f>
        <v>6615.34099271892</v>
      </c>
      <c r="AF39" s="13" t="n">
        <f aca="false">$F$35*(1+IF(Inputs!$F$312=1,INDEX(Inputs!$AK$313:$AK$1312,Inputs!$F$311),Inputs!$F$127)/100*AF33)*(1+Inputs!$F$128/100)*(1+Inputs!$F$122/100)*Inputs!$F$39</f>
        <v>6619.27284472054</v>
      </c>
      <c r="AG39" s="13" t="n">
        <f aca="false">$F$35*(1+IF(Inputs!$F$312=1,INDEX(Inputs!$AK$313:$AK$1312,Inputs!$F$311),Inputs!$F$127)/100*AG33)*(1+Inputs!$F$128/100)*(1+Inputs!$F$122/100)*Inputs!$F$39</f>
        <v>6623.20469672215</v>
      </c>
      <c r="AH39" s="13" t="n">
        <f aca="false">$F$35*(1+IF(Inputs!$F$312=1,INDEX(Inputs!$AK$313:$AK$1312,Inputs!$F$311),Inputs!$F$127)/100*AH33)*(1+Inputs!$F$128/100)*(1+Inputs!$F$122/100)*Inputs!$F$39</f>
        <v>6627.13654872377</v>
      </c>
      <c r="AI39" s="13" t="n">
        <f aca="false">$F$35*(1+IF(Inputs!$F$312=1,INDEX(Inputs!$AK$313:$AK$1312,Inputs!$F$311),Inputs!$F$127)/100*AI33)*(1+Inputs!$F$128/100)*(1+Inputs!$F$122/100)*Inputs!$F$39</f>
        <v>6631.06840072538</v>
      </c>
      <c r="AJ39" s="13" t="n">
        <f aca="false">$F$35*(1+IF(Inputs!$F$312=1,INDEX(Inputs!$AK$313:$AK$1312,Inputs!$F$311),Inputs!$F$127)/100*AJ33)*(1+Inputs!$F$128/100)*(1+Inputs!$F$122/100)*Inputs!$F$39</f>
        <v>6635.000252727</v>
      </c>
      <c r="AK39" s="13" t="n">
        <f aca="false">$F$35*(1+IF(Inputs!$F$312=1,INDEX(Inputs!$AK$313:$AK$1312,Inputs!$F$311),Inputs!$F$127)/100*AK33)*(1+Inputs!$F$128/100)*(1+Inputs!$F$122/100)*Inputs!$F$39</f>
        <v>6638.93210472861</v>
      </c>
      <c r="AL39" s="13" t="n">
        <f aca="false">$F$35*(1+IF(Inputs!$F$312=1,INDEX(Inputs!$AK$313:$AK$1312,Inputs!$F$311),Inputs!$F$127)/100*AL33)*(1+Inputs!$F$128/100)*(1+Inputs!$F$122/100)*Inputs!$F$39</f>
        <v>6642.86395673023</v>
      </c>
      <c r="AM39" s="13" t="n">
        <f aca="false">$F$35*(1+IF(Inputs!$F$312=1,INDEX(Inputs!$AK$313:$AK$1312,Inputs!$F$311),Inputs!$F$127)/100*AM33)*(1+Inputs!$F$128/100)*(1+Inputs!$F$122/100)*Inputs!$F$39</f>
        <v>6646.79580873185</v>
      </c>
      <c r="AN39" s="13" t="n">
        <f aca="false">$F$35*(1+IF(Inputs!$F$312=1,INDEX(Inputs!$AK$313:$AK$1312,Inputs!$F$311),Inputs!$F$127)/100*AN33)*(1+Inputs!$F$128/100)*(1+Inputs!$F$122/100)*Inputs!$F$39</f>
        <v>6650.72766073346</v>
      </c>
      <c r="AO39" s="13" t="n">
        <f aca="false">$F$35*(1+IF(Inputs!$F$312=1,INDEX(Inputs!$AK$313:$AK$1312,Inputs!$F$311),Inputs!$F$127)/100*AO33)*(1+Inputs!$F$128/100)*(1+Inputs!$F$122/100)*Inputs!$F$39</f>
        <v>6654.65951273508</v>
      </c>
      <c r="AP39" s="13" t="n">
        <f aca="false">$F$35*(1+IF(Inputs!$F$312=1,INDEX(Inputs!$AK$313:$AK$1312,Inputs!$F$311),Inputs!$F$127)/100*AP33)*(1+Inputs!$F$128/100)*(1+Inputs!$F$122/100)*Inputs!$F$39</f>
        <v>6658.59136473669</v>
      </c>
      <c r="AQ39" s="13" t="n">
        <f aca="false">$F$35*(1+IF(Inputs!$F$312=1,INDEX(Inputs!$AK$313:$AK$1312,Inputs!$F$311),Inputs!$F$127)/100*AQ33)*(1+Inputs!$F$128/100)*(1+Inputs!$F$122/100)*Inputs!$F$39</f>
        <v>6662.52321673831</v>
      </c>
      <c r="AR39" s="13" t="n">
        <f aca="false">$F$35*(1+IF(Inputs!$F$312=1,INDEX(Inputs!$AK$313:$AK$1312,Inputs!$F$311),Inputs!$F$127)/100*AR33)*(1+Inputs!$F$128/100)*(1+Inputs!$F$122/100)*Inputs!$F$39</f>
        <v>6666.45506873993</v>
      </c>
      <c r="AS39" s="13" t="n">
        <f aca="false">$F$35*(1+IF(Inputs!$F$312=1,INDEX(Inputs!$AK$313:$AK$1312,Inputs!$F$311),Inputs!$F$127)/100*AS33)*(1+Inputs!$F$128/100)*(1+Inputs!$F$122/100)*Inputs!$F$39</f>
        <v>6670.38692074154</v>
      </c>
      <c r="AT39" s="13" t="n">
        <f aca="false">$F$35*(1+IF(Inputs!$F$312=1,INDEX(Inputs!$AK$313:$AK$1312,Inputs!$F$311),Inputs!$F$127)/100*AT33)*(1+Inputs!$F$128/100)*(1+Inputs!$F$122/100)*Inputs!$F$39</f>
        <v>6674.31877274316</v>
      </c>
      <c r="AU39" s="13" t="n">
        <f aca="false">$F$35*(1+IF(Inputs!$F$312=1,INDEX(Inputs!$AK$313:$AK$1312,Inputs!$F$311),Inputs!$F$127)/100*AU33)*(1+Inputs!$F$128/100)*(1+Inputs!$F$122/100)*Inputs!$F$39</f>
        <v>6678.25062474477</v>
      </c>
      <c r="AV39" s="13" t="n">
        <f aca="false">$F$35*(1+IF(Inputs!$F$312=1,INDEX(Inputs!$AK$313:$AK$1312,Inputs!$F$311),Inputs!$F$127)/100*AV33)*(1+Inputs!$F$128/100)*(1+Inputs!$F$122/100)*Inputs!$F$39</f>
        <v>6682.18247674639</v>
      </c>
      <c r="AW39" s="13" t="n">
        <f aca="false">$F$35*(1+IF(Inputs!$F$312=1,INDEX(Inputs!$AK$313:$AK$1312,Inputs!$F$311),Inputs!$F$127)/100*AW33)*(1+Inputs!$F$128/100)*(1+Inputs!$F$122/100)*Inputs!$F$39</f>
        <v>6686.11432874801</v>
      </c>
      <c r="AX39" s="13" t="n">
        <f aca="false">$F$35*(1+IF(Inputs!$F$312=1,INDEX(Inputs!$AK$313:$AK$1312,Inputs!$F$311),Inputs!$F$127)/100*AX33)*(1+Inputs!$F$128/100)*(1+Inputs!$F$122/100)*Inputs!$F$39</f>
        <v>6690.04618074962</v>
      </c>
      <c r="AY39" s="13" t="n">
        <f aca="false">$F$35*(1+IF(Inputs!$F$312=1,INDEX(Inputs!$AK$313:$AK$1312,Inputs!$F$311),Inputs!$F$127)/100*AY33)*(1+Inputs!$F$128/100)*(1+Inputs!$F$122/100)*Inputs!$F$39</f>
        <v>6693.97803275124</v>
      </c>
      <c r="AZ39" s="13" t="n">
        <f aca="false">$F$35*(1+IF(Inputs!$F$312=1,INDEX(Inputs!$AK$313:$AK$1312,Inputs!$F$311),Inputs!$F$127)/100*AZ33)*(1+Inputs!$F$128/100)*(1+Inputs!$F$122/100)*Inputs!$F$39</f>
        <v>6697.90988475286</v>
      </c>
      <c r="BA39" s="13" t="n">
        <f aca="false">$F$35*(1+IF(Inputs!$F$312=1,INDEX(Inputs!$AK$313:$AK$1312,Inputs!$F$311),Inputs!$F$127)/100*BA33)*(1+Inputs!$F$128/100)*(1+Inputs!$F$122/100)*Inputs!$F$39</f>
        <v>6701.84173675447</v>
      </c>
      <c r="BB39" s="13" t="n">
        <f aca="false">$F$35*(1+IF(Inputs!$F$312=1,INDEX(Inputs!$AK$313:$AK$1312,Inputs!$F$311),Inputs!$F$127)/100*BB33)*(1+Inputs!$F$128/100)*(1+Inputs!$F$122/100)*Inputs!$F$39</f>
        <v>6705.77358875609</v>
      </c>
      <c r="BC39" s="13" t="n">
        <f aca="false">$F$35*(1+IF(Inputs!$F$312=1,INDEX(Inputs!$AK$313:$AK$1312,Inputs!$F$311),Inputs!$F$127)/100*BC33)*(1+Inputs!$F$128/100)*(1+Inputs!$F$122/100)*Inputs!$F$39</f>
        <v>6709.7054407577</v>
      </c>
      <c r="BD39" s="13" t="n">
        <f aca="false">$F$35*(1+IF(Inputs!$F$312=1,INDEX(Inputs!$AK$313:$AK$1312,Inputs!$F$311),Inputs!$F$127)/100*BD33)*(1+Inputs!$F$128/100)*(1+Inputs!$F$122/100)*Inputs!$F$39</f>
        <v>6713.63729275932</v>
      </c>
      <c r="BE39" s="13" t="n">
        <f aca="false">$F$35*(1+IF(Inputs!$F$312=1,INDEX(Inputs!$AK$313:$AK$1312,Inputs!$F$311),Inputs!$F$127)/100*BE33)*(1+Inputs!$F$128/100)*(1+Inputs!$F$122/100)*Inputs!$F$39</f>
        <v>6717.56914476093</v>
      </c>
      <c r="BF39" s="13" t="n">
        <f aca="false">$F$35*(1+IF(Inputs!$F$312=1,INDEX(Inputs!$AK$313:$AK$1312,Inputs!$F$311),Inputs!$F$127)/100*BF33)*(1+Inputs!$F$128/100)*(1+Inputs!$F$122/100)*Inputs!$F$39</f>
        <v>6721.50099676255</v>
      </c>
      <c r="BG39" s="13" t="n">
        <f aca="false">$F$35*(1+IF(Inputs!$F$312=1,INDEX(Inputs!$AK$313:$AK$1312,Inputs!$F$311),Inputs!$F$127)/100*BG33)*(1+Inputs!$F$128/100)*(1+Inputs!$F$122/100)*Inputs!$F$39</f>
        <v>6725.43284876417</v>
      </c>
      <c r="BH39" s="13" t="n">
        <f aca="false">$F$35*(1+IF(Inputs!$F$312=1,INDEX(Inputs!$AK$313:$AK$1312,Inputs!$F$311),Inputs!$F$127)/100*BH33)*(1+Inputs!$F$128/100)*(1+Inputs!$F$122/100)*Inputs!$F$39</f>
        <v>6729.36470076578</v>
      </c>
      <c r="BI39" s="13" t="n">
        <f aca="false">$F$35*(1+IF(Inputs!$F$312=1,INDEX(Inputs!$AK$313:$AK$1312,Inputs!$F$311),Inputs!$F$127)/100*BI33)*(1+Inputs!$F$128/100)*(1+Inputs!$F$122/100)*Inputs!$F$39</f>
        <v>6733.2965527674</v>
      </c>
      <c r="BJ39" s="13" t="n">
        <f aca="false">$F$35*(1+IF(Inputs!$F$312=1,INDEX(Inputs!$AK$313:$AK$1312,Inputs!$F$311),Inputs!$F$127)/100*BJ33)*(1+Inputs!$F$128/100)*(1+Inputs!$F$122/100)*Inputs!$F$39</f>
        <v>6737.22840476902</v>
      </c>
      <c r="BK39" s="13" t="n">
        <f aca="false">$F$35*(1+IF(Inputs!$F$312=1,INDEX(Inputs!$AK$313:$AK$1312,Inputs!$F$311),Inputs!$F$127)/100*BK33)*(1+Inputs!$F$128/100)*(1+Inputs!$F$122/100)*Inputs!$F$39</f>
        <v>6741.16025677063</v>
      </c>
      <c r="BL39" s="13" t="n">
        <f aca="false">$F$35*(1+IF(Inputs!$F$312=1,INDEX(Inputs!$AK$313:$AK$1312,Inputs!$F$311),Inputs!$F$127)/100*BL33)*(1+Inputs!$F$128/100)*(1+Inputs!$F$122/100)*Inputs!$F$39</f>
        <v>6745.09210877225</v>
      </c>
      <c r="BM39" s="13" t="n">
        <f aca="false">$F$35*(1+IF(Inputs!$F$312=1,INDEX(Inputs!$AK$313:$AK$1312,Inputs!$F$311),Inputs!$F$127)/100*BM33)*(1+Inputs!$F$128/100)*(1+Inputs!$F$122/100)*Inputs!$F$39</f>
        <v>6748.36865210693</v>
      </c>
      <c r="BN39" s="13" t="n">
        <f aca="false">$F$35*(1+IF(Inputs!$F$312=1,INDEX(Inputs!$AK$313:$AK$1312,Inputs!$F$311),Inputs!$F$127)/100*BN33)*(1+Inputs!$F$128/100)*(1+Inputs!$F$122/100)*Inputs!$F$39</f>
        <v>6553.08666936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3908730.17027235</v>
      </c>
      <c r="P42" s="15" t="n">
        <f aca="false">P38*P39*(1000*Inputs!$F$123/Inputs!$F$124)</f>
        <v>11725014.3444899</v>
      </c>
      <c r="Q42" s="15" t="n">
        <f aca="false">Q38*Q39*(1000*Inputs!$F$123/Inputs!$F$124)</f>
        <v>11682955.2475587</v>
      </c>
      <c r="R42" s="15" t="n">
        <f aca="false">R38*R39*(1000*Inputs!$F$123/Inputs!$F$124)</f>
        <v>11600617.9318243</v>
      </c>
      <c r="S42" s="15" t="n">
        <f aca="false">S38*S39*(1000*Inputs!$F$123/Inputs!$F$124)</f>
        <v>11639116.0341161</v>
      </c>
      <c r="T42" s="15" t="n">
        <f aca="false">T38*T39*(1000*Inputs!$F$123/Inputs!$F$124)</f>
        <v>11717858.8440633</v>
      </c>
      <c r="U42" s="15" t="n">
        <f aca="false">U38*U39*(1000*Inputs!$F$123/Inputs!$F$124)</f>
        <v>11572892.2309126</v>
      </c>
      <c r="V42" s="15" t="n">
        <f aca="false">V38*V39*(1000*Inputs!$F$123/Inputs!$F$124)</f>
        <v>11284830.6360529</v>
      </c>
      <c r="W42" s="15" t="n">
        <f aca="false">W38*W39*(1000*Inputs!$F$123/Inputs!$F$124)</f>
        <v>11426168.1885716</v>
      </c>
      <c r="X42" s="15" t="n">
        <f aca="false">X38*X39*(1000*Inputs!$F$123/Inputs!$F$124)</f>
        <v>11710534.4822696</v>
      </c>
      <c r="Y42" s="15" t="n">
        <f aca="false">Y38*Y39*(1000*Inputs!$F$123/Inputs!$F$124)</f>
        <v>11668441.0037713</v>
      </c>
      <c r="Z42" s="15" t="n">
        <f aca="false">Z38*Z39*(1000*Inputs!$F$123/Inputs!$F$124)</f>
        <v>11586120.226006</v>
      </c>
      <c r="AA42" s="15" t="n">
        <f aca="false">AA38*AA39*(1000*Inputs!$F$123/Inputs!$F$124)</f>
        <v>11624484.1386375</v>
      </c>
      <c r="AB42" s="15" t="n">
        <f aca="false">AB38*AB39*(1000*Inputs!$F$123/Inputs!$F$124)</f>
        <v>11703041.259109</v>
      </c>
      <c r="AC42" s="15" t="n">
        <f aca="false">AC38*AC39*(1000*Inputs!$F$123/Inputs!$F$124)</f>
        <v>11473284.2873231</v>
      </c>
      <c r="AD42" s="15" t="n">
        <f aca="false">AD38*AD39*(1000*Inputs!$F$123/Inputs!$F$124)</f>
        <v>11015771.0753175</v>
      </c>
      <c r="AE42" s="15" t="n">
        <f aca="false">AE38*AE39*(1000*Inputs!$F$123/Inputs!$F$124)</f>
        <v>11241745.1680473</v>
      </c>
      <c r="AF42" s="15" t="n">
        <f aca="false">AF38*AF39*(1000*Inputs!$F$123/Inputs!$F$124)</f>
        <v>11695379.1745813</v>
      </c>
      <c r="AG42" s="15" t="n">
        <f aca="false">AG38*AG39*(1000*Inputs!$F$123/Inputs!$F$124)</f>
        <v>11653253.6356345</v>
      </c>
      <c r="AH42" s="15" t="n">
        <f aca="false">AH38*AH39*(1000*Inputs!$F$123/Inputs!$F$124)</f>
        <v>11570954.0380749</v>
      </c>
      <c r="AI42" s="15" t="n">
        <f aca="false">AI38*AI39*(1000*Inputs!$F$123/Inputs!$F$124)</f>
        <v>11609181.4399278</v>
      </c>
      <c r="AJ42" s="15" t="n">
        <f aca="false">AJ38*AJ39*(1000*Inputs!$F$123/Inputs!$F$124)</f>
        <v>11687548.2286867</v>
      </c>
      <c r="AK42" s="15" t="n">
        <f aca="false">AK38*AK39*(1000*Inputs!$F$123/Inputs!$F$124)</f>
        <v>11542785.1647286</v>
      </c>
      <c r="AL42" s="15" t="n">
        <f aca="false">AL38*AL39*(1000*Inputs!$F$123/Inputs!$F$124)</f>
        <v>11255305.7192705</v>
      </c>
      <c r="AM42" s="15" t="n">
        <f aca="false">AM38*AM39*(1000*Inputs!$F$123/Inputs!$F$124)</f>
        <v>11396104.0630789</v>
      </c>
      <c r="AN42" s="15" t="n">
        <f aca="false">AN38*AN39*(1000*Inputs!$F$123/Inputs!$F$124)</f>
        <v>11679548.421425</v>
      </c>
      <c r="AO42" s="15" t="n">
        <f aca="false">AO38*AO39*(1000*Inputs!$F$123/Inputs!$F$124)</f>
        <v>11637393.1431481</v>
      </c>
      <c r="AP42" s="15" t="n">
        <f aca="false">AP38*AP39*(1000*Inputs!$F$123/Inputs!$F$124)</f>
        <v>11555119.3680312</v>
      </c>
      <c r="AQ42" s="15" t="n">
        <f aca="false">AQ38*AQ39*(1000*Inputs!$F$123/Inputs!$F$124)</f>
        <v>11593207.937987</v>
      </c>
      <c r="AR42" s="15" t="n">
        <f aca="false">AR38*AR39*(1000*Inputs!$F$123/Inputs!$F$124)</f>
        <v>11671379.7527963</v>
      </c>
      <c r="AS42" s="15" t="n">
        <f aca="false">AS38*AS39*(1000*Inputs!$F$123/Inputs!$F$124)</f>
        <v>11442073.754982</v>
      </c>
      <c r="AT42" s="15" t="n">
        <f aca="false">AT38*AT39*(1000*Inputs!$F$123/Inputs!$F$124)</f>
        <v>10985641.2170399</v>
      </c>
      <c r="AU42" s="15" t="n">
        <f aca="false">AU38*AU39*(1000*Inputs!$F$123/Inputs!$F$124)</f>
        <v>11210829.9013153</v>
      </c>
      <c r="AV42" s="15" t="n">
        <f aca="false">AV38*AV39*(1000*Inputs!$F$123/Inputs!$F$124)</f>
        <v>11663042.2228007</v>
      </c>
      <c r="AW42" s="15" t="n">
        <f aca="false">AW38*AW39*(1000*Inputs!$F$123/Inputs!$F$124)</f>
        <v>11620859.5263121</v>
      </c>
      <c r="AX42" s="15" t="n">
        <f aca="false">AX38*AX39*(1000*Inputs!$F$123/Inputs!$F$124)</f>
        <v>11538616.2158749</v>
      </c>
      <c r="AY42" s="15" t="n">
        <f aca="false">AY38*AY39*(1000*Inputs!$F$123/Inputs!$F$124)</f>
        <v>11576563.6328151</v>
      </c>
      <c r="AZ42" s="15" t="n">
        <f aca="false">AZ38*AZ39*(1000*Inputs!$F$123/Inputs!$F$124)</f>
        <v>11654535.831438</v>
      </c>
      <c r="BA42" s="15" t="n">
        <f aca="false">BA38*BA39*(1000*Inputs!$F$123/Inputs!$F$124)</f>
        <v>11510009.328135</v>
      </c>
      <c r="BB42" s="15" t="n">
        <f aca="false">BB38*BB39*(1000*Inputs!$F$123/Inputs!$F$124)</f>
        <v>11223178.0550032</v>
      </c>
      <c r="BC42" s="15" t="n">
        <f aca="false">BC38*BC39*(1000*Inputs!$F$123/Inputs!$F$124)</f>
        <v>11363404.1786389</v>
      </c>
      <c r="BD42" s="15" t="n">
        <f aca="false">BD38*BD39*(1000*Inputs!$F$123/Inputs!$F$124)</f>
        <v>11645860.5787084</v>
      </c>
      <c r="BE42" s="15" t="n">
        <f aca="false">BE38*BE39*(1000*Inputs!$F$123/Inputs!$F$124)</f>
        <v>11603652.7851266</v>
      </c>
      <c r="BF42" s="15" t="n">
        <f aca="false">BF38*BF39*(1000*Inputs!$F$123/Inputs!$F$124)</f>
        <v>11521444.5816059</v>
      </c>
      <c r="BG42" s="15" t="n">
        <f aca="false">BG38*BG39*(1000*Inputs!$F$123/Inputs!$F$124)</f>
        <v>11559248.5244121</v>
      </c>
      <c r="BH42" s="15" t="n">
        <f aca="false">BH38*BH39*(1000*Inputs!$F$123/Inputs!$F$124)</f>
        <v>11637016.4646117</v>
      </c>
      <c r="BI42" s="15" t="n">
        <f aca="false">BI38*BI39*(1000*Inputs!$F$123/Inputs!$F$124)</f>
        <v>11408214.0527871</v>
      </c>
      <c r="BJ42" s="15" t="n">
        <f aca="false">BJ38*BJ39*(1000*Inputs!$F$123/Inputs!$F$124)</f>
        <v>10952967.4129447</v>
      </c>
      <c r="BK42" s="15" t="n">
        <f aca="false">BK38*BK39*(1000*Inputs!$F$123/Inputs!$F$124)</f>
        <v>11177318.0767475</v>
      </c>
      <c r="BL42" s="15" t="n">
        <f aca="false">BL38*BL39*(1000*Inputs!$F$123/Inputs!$F$124)</f>
        <v>11628003.489148</v>
      </c>
      <c r="BM42" s="15" t="n">
        <f aca="false">BM38*BM39*(1000*Inputs!$F$123/Inputs!$F$124)</f>
        <v>7750736.35444968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0.97</v>
      </c>
      <c r="P47" s="13" t="n">
        <f aca="false">MIN(1,P32/Inputs!$F$133)</f>
        <v>0.97</v>
      </c>
      <c r="Q47" s="13" t="n">
        <f aca="false">MIN(1,Q32/Inputs!$F$133)</f>
        <v>0.966666666666667</v>
      </c>
      <c r="R47" s="13" t="n">
        <f aca="false">MIN(1,R32/Inputs!$F$133)</f>
        <v>0.96</v>
      </c>
      <c r="S47" s="13" t="n">
        <f aca="false">MIN(1,S32/Inputs!$F$133)</f>
        <v>0.963333333333333</v>
      </c>
      <c r="T47" s="13" t="n">
        <f aca="false">MIN(1,T32/Inputs!$F$133)</f>
        <v>0.97</v>
      </c>
      <c r="U47" s="13" t="n">
        <f aca="false">MIN(1,U32/Inputs!$F$133)</f>
        <v>0.958148148148148</v>
      </c>
      <c r="V47" s="13" t="n">
        <f aca="false">MIN(1,V32/Inputs!$F$133)</f>
        <v>0.934444444444444</v>
      </c>
      <c r="W47" s="13" t="n">
        <f aca="false">MIN(1,W32/Inputs!$F$133)</f>
        <v>0.946296296296296</v>
      </c>
      <c r="X47" s="13" t="n">
        <f aca="false">MIN(1,X32/Inputs!$F$133)</f>
        <v>0.97</v>
      </c>
      <c r="Y47" s="13" t="n">
        <f aca="false">MIN(1,Y32/Inputs!$F$133)</f>
        <v>0.966666666666667</v>
      </c>
      <c r="Z47" s="13" t="n">
        <f aca="false">MIN(1,Z32/Inputs!$F$133)</f>
        <v>0.96</v>
      </c>
      <c r="AA47" s="13" t="n">
        <f aca="false">MIN(1,AA32/Inputs!$F$133)</f>
        <v>0.963333333333333</v>
      </c>
      <c r="AB47" s="13" t="n">
        <f aca="false">MIN(1,AB32/Inputs!$F$133)</f>
        <v>0.97</v>
      </c>
      <c r="AC47" s="13" t="n">
        <f aca="false">MIN(1,AC32/Inputs!$F$133)</f>
        <v>0.951111111111111</v>
      </c>
      <c r="AD47" s="13" t="n">
        <f aca="false">MIN(1,AD32/Inputs!$F$133)</f>
        <v>0.913333333333333</v>
      </c>
      <c r="AE47" s="13" t="n">
        <f aca="false">MIN(1,AE32/Inputs!$F$133)</f>
        <v>0.932222222222222</v>
      </c>
      <c r="AF47" s="13" t="n">
        <f aca="false">MIN(1,AF32/Inputs!$F$133)</f>
        <v>0.97</v>
      </c>
      <c r="AG47" s="13" t="n">
        <f aca="false">MIN(1,AG32/Inputs!$F$133)</f>
        <v>0.966666666666667</v>
      </c>
      <c r="AH47" s="13" t="n">
        <f aca="false">MIN(1,AH32/Inputs!$F$133)</f>
        <v>0.96</v>
      </c>
      <c r="AI47" s="13" t="n">
        <f aca="false">MIN(1,AI32/Inputs!$F$133)</f>
        <v>0.963333333333333</v>
      </c>
      <c r="AJ47" s="13" t="n">
        <f aca="false">MIN(1,AJ32/Inputs!$F$133)</f>
        <v>0.97</v>
      </c>
      <c r="AK47" s="13" t="n">
        <f aca="false">MIN(1,AK32/Inputs!$F$133)</f>
        <v>0.958148148148148</v>
      </c>
      <c r="AL47" s="13" t="n">
        <f aca="false">MIN(1,AL32/Inputs!$F$133)</f>
        <v>0.934444444444444</v>
      </c>
      <c r="AM47" s="13" t="n">
        <f aca="false">MIN(1,AM32/Inputs!$F$133)</f>
        <v>0.946296296296296</v>
      </c>
      <c r="AN47" s="13" t="n">
        <f aca="false">MIN(1,AN32/Inputs!$F$133)</f>
        <v>0.97</v>
      </c>
      <c r="AO47" s="13" t="n">
        <f aca="false">MIN(1,AO32/Inputs!$F$133)</f>
        <v>0.966666666666667</v>
      </c>
      <c r="AP47" s="13" t="n">
        <f aca="false">MIN(1,AP32/Inputs!$F$133)</f>
        <v>0.96</v>
      </c>
      <c r="AQ47" s="13" t="n">
        <f aca="false">MIN(1,AQ32/Inputs!$F$133)</f>
        <v>0.963333333333333</v>
      </c>
      <c r="AR47" s="13" t="n">
        <f aca="false">MIN(1,AR32/Inputs!$F$133)</f>
        <v>0.97</v>
      </c>
      <c r="AS47" s="13" t="n">
        <f aca="false">MIN(1,AS32/Inputs!$F$133)</f>
        <v>0.951111111111111</v>
      </c>
      <c r="AT47" s="13" t="n">
        <f aca="false">MIN(1,AT32/Inputs!$F$133)</f>
        <v>0.913333333333333</v>
      </c>
      <c r="AU47" s="13" t="n">
        <f aca="false">MIN(1,AU32/Inputs!$F$133)</f>
        <v>0.932222222222222</v>
      </c>
      <c r="AV47" s="13" t="n">
        <f aca="false">MIN(1,AV32/Inputs!$F$133)</f>
        <v>0.97</v>
      </c>
      <c r="AW47" s="13" t="n">
        <f aca="false">MIN(1,AW32/Inputs!$F$133)</f>
        <v>0.966666666666667</v>
      </c>
      <c r="AX47" s="13" t="n">
        <f aca="false">MIN(1,AX32/Inputs!$F$133)</f>
        <v>0.96</v>
      </c>
      <c r="AY47" s="13" t="n">
        <f aca="false">MIN(1,AY32/Inputs!$F$133)</f>
        <v>0.963333333333333</v>
      </c>
      <c r="AZ47" s="13" t="n">
        <f aca="false">MIN(1,AZ32/Inputs!$F$133)</f>
        <v>0.97</v>
      </c>
      <c r="BA47" s="13" t="n">
        <f aca="false">MIN(1,BA32/Inputs!$F$133)</f>
        <v>0.958148148148148</v>
      </c>
      <c r="BB47" s="13" t="n">
        <f aca="false">MIN(1,BB32/Inputs!$F$133)</f>
        <v>0.934444444444444</v>
      </c>
      <c r="BC47" s="13" t="n">
        <f aca="false">MIN(1,BC32/Inputs!$F$133)</f>
        <v>0.946296296296296</v>
      </c>
      <c r="BD47" s="13" t="n">
        <f aca="false">MIN(1,BD32/Inputs!$F$133)</f>
        <v>0.97</v>
      </c>
      <c r="BE47" s="13" t="n">
        <f aca="false">MIN(1,BE32/Inputs!$F$133)</f>
        <v>0.966666666666667</v>
      </c>
      <c r="BF47" s="13" t="n">
        <f aca="false">MIN(1,BF32/Inputs!$F$133)</f>
        <v>0.96</v>
      </c>
      <c r="BG47" s="13" t="n">
        <f aca="false">MIN(1,BG32/Inputs!$F$133)</f>
        <v>0.963333333333333</v>
      </c>
      <c r="BH47" s="13" t="n">
        <f aca="false">MIN(1,BH32/Inputs!$F$133)</f>
        <v>0.97</v>
      </c>
      <c r="BI47" s="13" t="n">
        <f aca="false">MIN(1,BI32/Inputs!$F$133)</f>
        <v>0.951111111111111</v>
      </c>
      <c r="BJ47" s="13" t="n">
        <f aca="false">MIN(1,BJ32/Inputs!$F$133)</f>
        <v>0.913333333333333</v>
      </c>
      <c r="BK47" s="13" t="n">
        <f aca="false">MIN(1,BK32/Inputs!$F$133)</f>
        <v>0.932222222222222</v>
      </c>
      <c r="BL47" s="13" t="n">
        <f aca="false">MIN(1,BL32/Inputs!$F$133)</f>
        <v>0.97</v>
      </c>
      <c r="BM47" s="13" t="n">
        <f aca="false">MIN(1,BM32/Inputs!$F$133)</f>
        <v>0.97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3192.31470727148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19.4763630025018</v>
      </c>
      <c r="P48" s="13" t="n">
        <f aca="false">$F$34*1000*Time!P30*(P45+P46)*P47/1000000</f>
        <v>58.6379209598847</v>
      </c>
      <c r="Q48" s="13" t="n">
        <f aca="false">$F$34*1000*Time!Q30*(Q45+Q46)*Q47/1000000</f>
        <v>58.6468071968583</v>
      </c>
      <c r="R48" s="13" t="n">
        <f aca="false">$F$34*1000*Time!R30*(R45+R46)*R47/1000000</f>
        <v>58.4535724422276</v>
      </c>
      <c r="S48" s="13" t="n">
        <f aca="false">$F$34*1000*Time!S30*(S45+S46)*S47/1000000</f>
        <v>58.8708145127407</v>
      </c>
      <c r="T48" s="13" t="n">
        <f aca="false">$F$34*1000*Time!T30*(T45+T46)*T47/1000000</f>
        <v>59.4963466267465</v>
      </c>
      <c r="U48" s="13" t="n">
        <f aca="false">$F$34*1000*Time!U30*(U45+U46)*U47/1000000</f>
        <v>58.9872098917923</v>
      </c>
      <c r="V48" s="13" t="n">
        <f aca="false">$F$34*1000*Time!V30*(V45+V46)*V47/1000000</f>
        <v>57.7426697041026</v>
      </c>
      <c r="W48" s="13" t="n">
        <f aca="false">$F$34*1000*Time!W30*(W45+W46)*W47/1000000</f>
        <v>58.6948901222802</v>
      </c>
      <c r="X48" s="13" t="n">
        <f aca="false">$F$34*1000*Time!X30*(X45+X46)*X47/1000000</f>
        <v>60.392958500973</v>
      </c>
      <c r="Y48" s="13" t="n">
        <f aca="false">$F$34*1000*Time!Y30*(Y45+Y46)*Y47/1000000</f>
        <v>60.4149480857406</v>
      </c>
      <c r="Z48" s="13" t="n">
        <f aca="false">$F$34*1000*Time!Z30*(Z45+Z46)*Z47/1000000</f>
        <v>60.2287295889416</v>
      </c>
      <c r="AA48" s="13" t="n">
        <f aca="false">$F$34*1000*Time!AA30*(AA45+AA46)*AA47/1000000</f>
        <v>60.6716233288044</v>
      </c>
      <c r="AB48" s="13" t="n">
        <f aca="false">$F$34*1000*Time!AB30*(AB45+AB46)*AB47/1000000</f>
        <v>61.3294552578126</v>
      </c>
      <c r="AC48" s="13" t="n">
        <f aca="false">$F$34*1000*Time!AC30*(AC45+AC46)*AC47/1000000</f>
        <v>60.3710597093257</v>
      </c>
      <c r="AD48" s="13" t="n">
        <f aca="false">$F$34*1000*Time!AD30*(AD45+AD46)*AD47/1000000</f>
        <v>58.2021307682567</v>
      </c>
      <c r="AE48" s="13" t="n">
        <f aca="false">$F$34*1000*Time!AE30*(AE45+AE46)*AE47/1000000</f>
        <v>59.6421041559032</v>
      </c>
      <c r="AF48" s="13" t="n">
        <f aca="false">$F$34*1000*Time!AF30*(AF45+AF46)*AF47/1000000</f>
        <v>62.3076111363834</v>
      </c>
      <c r="AG48" s="13" t="n">
        <f aca="false">$F$34*1000*Time!AG30*(AG45+AG46)*AG47/1000000</f>
        <v>62.3438957768401</v>
      </c>
      <c r="AH48" s="13" t="n">
        <f aca="false">$F$34*1000*Time!AH30*(AH45+AH46)*AH47/1000000</f>
        <v>62.1653316442549</v>
      </c>
      <c r="AI48" s="13" t="n">
        <f aca="false">$F$34*1000*Time!AI30*(AI45+AI46)*AI47/1000000</f>
        <v>62.636209991383</v>
      </c>
      <c r="AJ48" s="13" t="n">
        <f aca="false">$F$34*1000*Time!AJ30*(AJ45+AJ46)*AJ47/1000000</f>
        <v>63.3292793010566</v>
      </c>
      <c r="AK48" s="13" t="n">
        <f aca="false">$F$34*1000*Time!AK30*(AK45+AK46)*AK47/1000000</f>
        <v>62.8147307766516</v>
      </c>
      <c r="AL48" s="13" t="n">
        <f aca="false">$F$34*1000*Time!AL30*(AL45+AL46)*AL47/1000000</f>
        <v>61.5163390047153</v>
      </c>
      <c r="AM48" s="13" t="n">
        <f aca="false">$F$34*1000*Time!AM30*(AM45+AM46)*AM47/1000000</f>
        <v>62.5582302110911</v>
      </c>
      <c r="AN48" s="13" t="n">
        <f aca="false">$F$34*1000*Time!AN30*(AN45+AN46)*AN47/1000000</f>
        <v>64.3963953523671</v>
      </c>
      <c r="AO48" s="13" t="n">
        <f aca="false">$F$34*1000*Time!AO30*(AO45+AO46)*AO47/1000000</f>
        <v>64.448275138459</v>
      </c>
      <c r="AP48" s="13" t="n">
        <f aca="false">$F$34*1000*Time!AP30*(AP45+AP46)*AP47/1000000</f>
        <v>64.2780615102197</v>
      </c>
      <c r="AQ48" s="13" t="n">
        <f aca="false">$F$34*1000*Time!AQ30*(AQ45+AQ46)*AQ47/1000000</f>
        <v>64.779469575828</v>
      </c>
      <c r="AR48" s="13" t="n">
        <f aca="false">$F$34*1000*Time!AR30*(AR45+AR46)*AR47/1000000</f>
        <v>65.5109809941041</v>
      </c>
      <c r="AS48" s="13" t="n">
        <f aca="false">$F$34*1000*Time!AS30*(AS45+AS46)*AS47/1000000</f>
        <v>64.5160139745807</v>
      </c>
      <c r="AT48" s="13" t="n">
        <f aca="false">$F$34*1000*Time!AT30*(AT45+AT46)*AT47/1000000</f>
        <v>62.2259943039345</v>
      </c>
      <c r="AU48" s="13" t="n">
        <f aca="false">$F$34*1000*Time!AU30*(AU45+AU46)*AU47/1000000</f>
        <v>63.7941184016707</v>
      </c>
      <c r="AV48" s="13" t="n">
        <f aca="false">$F$34*1000*Time!AV30*(AV45+AV46)*AV47/1000000</f>
        <v>66.6751478635281</v>
      </c>
      <c r="AW48" s="13" t="n">
        <f aca="false">$F$34*1000*Time!AW30*(AW45+AW46)*AW47/1000000</f>
        <v>66.7440411242558</v>
      </c>
      <c r="AX48" s="13" t="n">
        <f aca="false">$F$34*1000*Time!AX30*(AX45+AX46)*AX47/1000000</f>
        <v>66.5829374522303</v>
      </c>
      <c r="AY48" s="13" t="n">
        <f aca="false">$F$34*1000*Time!AY30*(AY45+AY46)*AY47/1000000</f>
        <v>67.117651817321</v>
      </c>
      <c r="AZ48" s="13" t="n">
        <f aca="false">$F$34*1000*Time!AZ30*(AZ45+AZ46)*AZ47/1000000</f>
        <v>67.8911015319716</v>
      </c>
      <c r="BA48" s="13" t="n">
        <f aca="false">$F$34*1000*Time!BA30*(BA45+BA46)*BA47/1000000</f>
        <v>67.3701120852956</v>
      </c>
      <c r="BB48" s="13" t="n">
        <f aca="false">$F$34*1000*Time!BB30*(BB45+BB46)*BB47/1000000</f>
        <v>66.0076280437942</v>
      </c>
      <c r="BC48" s="13" t="n">
        <f aca="false">$F$34*1000*Time!BC30*(BC45+BC46)*BC47/1000000</f>
        <v>67.1562422818078</v>
      </c>
      <c r="BD48" s="13" t="n">
        <f aca="false">$F$34*1000*Time!BD30*(BD45+BD46)*BD47/1000000</f>
        <v>69.1611456834021</v>
      </c>
      <c r="BE48" s="13" t="n">
        <f aca="false">$F$34*1000*Time!BE30*(BE45+BE46)*BE47/1000000</f>
        <v>69.2485997402873</v>
      </c>
      <c r="BF48" s="13" t="n">
        <f aca="false">$F$34*1000*Time!BF30*(BF45+BF46)*BF47/1000000</f>
        <v>69.0974345460806</v>
      </c>
      <c r="BG48" s="13" t="n">
        <f aca="false">$F$34*1000*Time!BG30*(BG45+BG46)*BG47/1000000</f>
        <v>69.6684843128858</v>
      </c>
      <c r="BH48" s="13" t="n">
        <f aca="false">$F$34*1000*Time!BH30*(BH45+BH46)*BH47/1000000</f>
        <v>70.4876864788649</v>
      </c>
      <c r="BI48" s="13" t="n">
        <f aca="false">$F$34*1000*Time!BI30*(BI45+BI46)*BI47/1000000</f>
        <v>69.4491933753302</v>
      </c>
      <c r="BJ48" s="13" t="n">
        <f aca="false">$F$34*1000*Time!BJ30*(BJ45+BJ46)*BJ47/1000000</f>
        <v>67.0150557592149</v>
      </c>
      <c r="BK48" s="13" t="n">
        <f aca="false">$F$34*1000*Time!BK30*(BK45+BK46)*BK47/1000000</f>
        <v>68.7357003439697</v>
      </c>
      <c r="BL48" s="13" t="n">
        <f aca="false">$F$34*1000*Time!BL30*(BL45+BL46)*BL47/1000000</f>
        <v>71.873237115073</v>
      </c>
      <c r="BM48" s="13" t="n">
        <f aca="false">$F$34*1000*Time!BM30*(BM45+BM46)*BM47/1000000</f>
        <v>48.1527667677313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451.697192439494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2.34204281433618</v>
      </c>
      <c r="P50" s="13" t="n">
        <f aca="false">P38*P49/1000000</f>
        <v>7.09944344599335</v>
      </c>
      <c r="Q50" s="13" t="n">
        <f aca="false">Q38*Q49/1000000</f>
        <v>7.14708116009503</v>
      </c>
      <c r="R50" s="13" t="n">
        <f aca="false">R38*R49/1000000</f>
        <v>7.1700528975778</v>
      </c>
      <c r="S50" s="13" t="n">
        <f aca="false">S38*S49/1000000</f>
        <v>7.26819591745947</v>
      </c>
      <c r="T50" s="13" t="n">
        <f aca="false">T38*T49/1000000</f>
        <v>7.39299541068171</v>
      </c>
      <c r="U50" s="13" t="n">
        <f aca="false">U38*U49/1000000</f>
        <v>7.37700003978082</v>
      </c>
      <c r="V50" s="13" t="n">
        <f aca="false">V38*V49/1000000</f>
        <v>7.26772992300032</v>
      </c>
      <c r="W50" s="13" t="n">
        <f aca="false">W38*W49/1000000</f>
        <v>7.43481830739172</v>
      </c>
      <c r="X50" s="13" t="n">
        <f aca="false">X38*X49/1000000</f>
        <v>7.69861554147054</v>
      </c>
      <c r="Y50" s="13" t="n">
        <f aca="false">Y38*Y49/1000000</f>
        <v>7.7502385810227</v>
      </c>
      <c r="Z50" s="13" t="n">
        <f aca="false">Z38*Z49/1000000</f>
        <v>7.77511362923407</v>
      </c>
      <c r="AA50" s="13" t="n">
        <f aca="false">AA38*AA49/1000000</f>
        <v>7.88150280380993</v>
      </c>
      <c r="AB50" s="13" t="n">
        <f aca="false">AB38*AB49/1000000</f>
        <v>8.01679663062624</v>
      </c>
      <c r="AC50" s="13" t="n">
        <f aca="false">AC38*AC49/1000000</f>
        <v>7.94066408659576</v>
      </c>
      <c r="AD50" s="13" t="n">
        <f aca="false">AD38*AD49/1000000</f>
        <v>7.70284333147942</v>
      </c>
      <c r="AE50" s="13" t="n">
        <f aca="false">AE38*AE49/1000000</f>
        <v>7.942132821069</v>
      </c>
      <c r="AF50" s="13" t="n">
        <f aca="false">AF38*AF49/1000000</f>
        <v>8.34805143235364</v>
      </c>
      <c r="AG50" s="13" t="n">
        <f aca="false">AG38*AG49/1000000</f>
        <v>8.40399067573353</v>
      </c>
      <c r="AH50" s="13" t="n">
        <f aca="false">AH38*AH49/1000000</f>
        <v>8.43092522810252</v>
      </c>
      <c r="AI50" s="13" t="n">
        <f aca="false">AI38*AI49/1000000</f>
        <v>8.54624870773493</v>
      </c>
      <c r="AJ50" s="13" t="n">
        <f aca="false">AJ38*AJ49/1000000</f>
        <v>8.69291346361943</v>
      </c>
      <c r="AK50" s="13" t="n">
        <f aca="false">AK38*AK49/1000000</f>
        <v>8.6740259554613</v>
      </c>
      <c r="AL50" s="13" t="n">
        <f aca="false">AL38*AL49/1000000</f>
        <v>8.54546534749983</v>
      </c>
      <c r="AM50" s="13" t="n">
        <f aca="false">AM38*AM49/1000000</f>
        <v>8.74184892355327</v>
      </c>
      <c r="AN50" s="13" t="n">
        <f aca="false">AN38*AN49/1000000</f>
        <v>9.05193783672209</v>
      </c>
      <c r="AO50" s="13" t="n">
        <f aca="false">AO38*AO49/1000000</f>
        <v>9.11255138306064</v>
      </c>
      <c r="AP50" s="13" t="n">
        <f aca="false">AP38*AP49/1000000</f>
        <v>9.14171430070757</v>
      </c>
      <c r="AQ50" s="13" t="n">
        <f aca="false">AQ38*AQ49/1000000</f>
        <v>9.26671719931462</v>
      </c>
      <c r="AR50" s="13" t="n">
        <f aca="false">AR38*AR49/1000000</f>
        <v>9.425702124848</v>
      </c>
      <c r="AS50" s="13" t="n">
        <f aca="false">AS38*AS49/1000000</f>
        <v>9.33610294462408</v>
      </c>
      <c r="AT50" s="13" t="n">
        <f aca="false">AT38*AT49/1000000</f>
        <v>9.05640485891043</v>
      </c>
      <c r="AU50" s="13" t="n">
        <f aca="false">AU38*AU49/1000000</f>
        <v>9.33765579060774</v>
      </c>
      <c r="AV50" s="13" t="n">
        <f aca="false">AV38*AV49/1000000</f>
        <v>9.81480726190092</v>
      </c>
      <c r="AW50" s="13" t="n">
        <f aca="false">AW38*AW49/1000000</f>
        <v>9.88048264556247</v>
      </c>
      <c r="AX50" s="13" t="n">
        <f aca="false">AX38*AX49/1000000</f>
        <v>9.91205646954494</v>
      </c>
      <c r="AY50" s="13" t="n">
        <f aca="false">AY38*AY49/1000000</f>
        <v>10.0475455339942</v>
      </c>
      <c r="AZ50" s="13" t="n">
        <f aca="false">AZ38*AZ49/1000000</f>
        <v>10.2198784779413</v>
      </c>
      <c r="BA50" s="13" t="n">
        <f aca="false">BA38*BA49/1000000</f>
        <v>10.197577302191</v>
      </c>
      <c r="BB50" s="13" t="n">
        <f aca="false">BB38*BB49/1000000</f>
        <v>10.0463409558983</v>
      </c>
      <c r="BC50" s="13" t="n">
        <f aca="false">BC38*BC49/1000000</f>
        <v>10.2771191923018</v>
      </c>
      <c r="BD50" s="13" t="n">
        <f aca="false">BD38*BD49/1000000</f>
        <v>10.6415662716229</v>
      </c>
      <c r="BE50" s="13" t="n">
        <f aca="false">BE38*BE49/1000000</f>
        <v>10.7127228543329</v>
      </c>
      <c r="BF50" s="13" t="n">
        <f aca="false">BF38*BF49/1000000</f>
        <v>10.7469048972343</v>
      </c>
      <c r="BG50" s="13" t="n">
        <f aca="false">BG38*BG49/1000000</f>
        <v>10.8937535549056</v>
      </c>
      <c r="BH50" s="13" t="n">
        <f aca="false">BH38*BH49/1000000</f>
        <v>11.0805474210675</v>
      </c>
      <c r="BI50" s="13" t="n">
        <f aca="false">BI38*BI49/1000000</f>
        <v>10.9751129992843</v>
      </c>
      <c r="BJ50" s="13" t="n">
        <f aca="false">BJ38*BJ49/1000000</f>
        <v>10.6462106247738</v>
      </c>
      <c r="BK50" s="13" t="n">
        <f aca="false">BK38*BK49/1000000</f>
        <v>10.9767288334737</v>
      </c>
      <c r="BL50" s="13" t="n">
        <f aca="false">BL38*BL49/1000000</f>
        <v>11.5375260346726</v>
      </c>
      <c r="BM50" s="13" t="n">
        <f aca="false">BM38*BM49/1000000</f>
        <v>7.77078759431409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4543.66874244896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23.9927201468989</v>
      </c>
      <c r="P51" s="13" t="n">
        <f aca="false">P38*P40*(1000*Inputs!$F$123/Inputs!$F$124)*P41/1000000</f>
        <v>71.9661455853391</v>
      </c>
      <c r="Q51" s="13" t="n">
        <f aca="false">Q38*Q40*(1000*Inputs!$F$123/Inputs!$F$124)*Q41/1000000</f>
        <v>73.1348507398765</v>
      </c>
      <c r="R51" s="13" t="n">
        <f aca="false">R38*R40*(1000*Inputs!$F$123/Inputs!$F$124)*R41/1000000</f>
        <v>72.6121793300627</v>
      </c>
      <c r="S51" s="13" t="n">
        <f aca="false">S38*S40*(1000*Inputs!$F$123/Inputs!$F$124)*S41/1000000</f>
        <v>74.3028114913277</v>
      </c>
      <c r="T51" s="13" t="n">
        <f aca="false">T38*T40*(1000*Inputs!$F$123/Inputs!$F$124)*T41/1000000</f>
        <v>74.798052109507</v>
      </c>
      <c r="U51" s="13" t="n">
        <f aca="false">U38*U40*(1000*Inputs!$F$123/Inputs!$F$124)*U41/1000000</f>
        <v>75.3426568497544</v>
      </c>
      <c r="V51" s="13" t="n">
        <f aca="false">V38*V40*(1000*Inputs!$F$123/Inputs!$F$124)*V41/1000000</f>
        <v>73.4600025445572</v>
      </c>
      <c r="W51" s="13" t="n">
        <f aca="false">W38*W40*(1000*Inputs!$F$123/Inputs!$F$124)*W41/1000000</f>
        <v>75.8601324204433</v>
      </c>
      <c r="X51" s="13" t="n">
        <f aca="false">X38*X40*(1000*Inputs!$F$123/Inputs!$F$124)*X41/1000000</f>
        <v>77.7403814399738</v>
      </c>
      <c r="Y51" s="13" t="n">
        <f aca="false">Y38*Y40*(1000*Inputs!$F$123/Inputs!$F$124)*Y41/1000000</f>
        <v>79.0023426321572</v>
      </c>
      <c r="Z51" s="13" t="n">
        <f aca="false">Z38*Z40*(1000*Inputs!$F$123/Inputs!$F$124)*Z41/1000000</f>
        <v>78.4372258966454</v>
      </c>
      <c r="AA51" s="13" t="n">
        <f aca="false">AA38*AA40*(1000*Inputs!$F$123/Inputs!$F$124)*AA41/1000000</f>
        <v>80.262958290682</v>
      </c>
      <c r="AB51" s="13" t="n">
        <f aca="false">AB38*AB40*(1000*Inputs!$F$123/Inputs!$F$124)*AB41/1000000</f>
        <v>80.7973958418784</v>
      </c>
      <c r="AC51" s="13" t="n">
        <f aca="false">AC38*AC40*(1000*Inputs!$F$123/Inputs!$F$124)*AC41/1000000</f>
        <v>80.7874228718365</v>
      </c>
      <c r="AD51" s="13" t="n">
        <f aca="false">AD38*AD40*(1000*Inputs!$F$123/Inputs!$F$124)*AD41/1000000</f>
        <v>77.5582763605385</v>
      </c>
      <c r="AE51" s="13" t="n">
        <f aca="false">AE38*AE40*(1000*Inputs!$F$123/Inputs!$F$124)*AE41/1000000</f>
        <v>80.724329932862</v>
      </c>
      <c r="AF51" s="13" t="n">
        <f aca="false">AF38*AF40*(1000*Inputs!$F$123/Inputs!$F$124)*AF41/1000000</f>
        <v>83.9735202176636</v>
      </c>
      <c r="AG51" s="13" t="n">
        <f aca="false">AG38*AG40*(1000*Inputs!$F$123/Inputs!$F$124)*AG41/1000000</f>
        <v>85.3361038435514</v>
      </c>
      <c r="AH51" s="13" t="n">
        <f aca="false">AH38*AH40*(1000*Inputs!$F$123/Inputs!$F$124)*AH41/1000000</f>
        <v>84.7251240257981</v>
      </c>
      <c r="AI51" s="13" t="n">
        <f aca="false">AI38*AI40*(1000*Inputs!$F$123/Inputs!$F$124)*AI41/1000000</f>
        <v>86.6966457067935</v>
      </c>
      <c r="AJ51" s="13" t="n">
        <f aca="false">AJ38*AJ40*(1000*Inputs!$F$123/Inputs!$F$124)*AJ41/1000000</f>
        <v>87.2733482298205</v>
      </c>
      <c r="AK51" s="13" t="n">
        <f aca="false">AK38*AK40*(1000*Inputs!$F$123/Inputs!$F$124)*AK41/1000000</f>
        <v>87.9076313575619</v>
      </c>
      <c r="AL51" s="13" t="n">
        <f aca="false">AL38*AL40*(1000*Inputs!$F$123/Inputs!$F$124)*AL41/1000000</f>
        <v>85.7098785394725</v>
      </c>
      <c r="AM51" s="13" t="n">
        <f aca="false">AM38*AM40*(1000*Inputs!$F$123/Inputs!$F$124)*AM41/1000000</f>
        <v>88.5090798763615</v>
      </c>
      <c r="AN51" s="13" t="n">
        <f aca="false">AN38*AN40*(1000*Inputs!$F$123/Inputs!$F$124)*AN41/1000000</f>
        <v>90.7016486504086</v>
      </c>
      <c r="AO51" s="13" t="n">
        <f aca="false">AO38*AO40*(1000*Inputs!$F$123/Inputs!$F$124)*AO41/1000000</f>
        <v>92.1727963771171</v>
      </c>
      <c r="AP51" s="13" t="n">
        <f aca="false">AP38*AP40*(1000*Inputs!$F$123/Inputs!$F$124)*AP41/1000000</f>
        <v>91.5122630123984</v>
      </c>
      <c r="AQ51" s="13" t="n">
        <f aca="false">AQ38*AQ40*(1000*Inputs!$F$123/Inputs!$F$124)*AQ41/1000000</f>
        <v>93.641099333468</v>
      </c>
      <c r="AR51" s="13" t="n">
        <f aca="false">AR38*AR40*(1000*Inputs!$F$123/Inputs!$F$124)*AR41/1000000</f>
        <v>94.2633719455835</v>
      </c>
      <c r="AS51" s="13" t="n">
        <f aca="false">AS38*AS40*(1000*Inputs!$F$123/Inputs!$F$124)*AS41/1000000</f>
        <v>94.2504916484603</v>
      </c>
      <c r="AT51" s="13" t="n">
        <f aca="false">AT38*AT40*(1000*Inputs!$F$123/Inputs!$F$124)*AT41/1000000</f>
        <v>90.4820177334227</v>
      </c>
      <c r="AU51" s="13" t="n">
        <f aca="false">AU38*AU40*(1000*Inputs!$F$123/Inputs!$F$124)*AU41/1000000</f>
        <v>94.1743930748232</v>
      </c>
      <c r="AV51" s="13" t="n">
        <f aca="false">AV38*AV40*(1000*Inputs!$F$123/Inputs!$F$124)*AV41/1000000</f>
        <v>97.9636571036508</v>
      </c>
      <c r="AW51" s="13" t="n">
        <f aca="false">AW38*AW40*(1000*Inputs!$F$123/Inputs!$F$124)*AW41/1000000</f>
        <v>99.5519302021799</v>
      </c>
      <c r="AX51" s="13" t="n">
        <f aca="false">AX38*AX40*(1000*Inputs!$F$123/Inputs!$F$124)*AX41/1000000</f>
        <v>98.8378585744444</v>
      </c>
      <c r="AY51" s="13" t="n">
        <f aca="false">AY38*AY40*(1000*Inputs!$F$123/Inputs!$F$124)*AY41/1000000</f>
        <v>101.136435776991</v>
      </c>
      <c r="AZ51" s="13" t="n">
        <f aca="false">AZ38*AZ40*(1000*Inputs!$F$123/Inputs!$F$124)*AZ41/1000000</f>
        <v>101.807838715468</v>
      </c>
      <c r="BA51" s="13" t="n">
        <f aca="false">BA38*BA40*(1000*Inputs!$F$123/Inputs!$F$124)*BA41/1000000</f>
        <v>102.546391890128</v>
      </c>
      <c r="BB51" s="13" t="n">
        <f aca="false">BB38*BB40*(1000*Inputs!$F$123/Inputs!$F$124)*BB41/1000000</f>
        <v>99.9813293981215</v>
      </c>
      <c r="BC51" s="13" t="n">
        <f aca="false">BC38*BC40*(1000*Inputs!$F$123/Inputs!$F$124)*BC41/1000000</f>
        <v>103.24524759027</v>
      </c>
      <c r="BD51" s="13" t="n">
        <f aca="false">BD38*BD40*(1000*Inputs!$F$123/Inputs!$F$124)*BD41/1000000</f>
        <v>105.801454316328</v>
      </c>
      <c r="BE51" s="13" t="n">
        <f aca="false">BE38*BE40*(1000*Inputs!$F$123/Inputs!$F$124)*BE41/1000000</f>
        <v>107.516081356883</v>
      </c>
      <c r="BF51" s="13" t="n">
        <f aca="false">BF38*BF40*(1000*Inputs!$F$123/Inputs!$F$124)*BF41/1000000</f>
        <v>106.744169272874</v>
      </c>
      <c r="BG51" s="13" t="n">
        <f aca="false">BG38*BG40*(1000*Inputs!$F$123/Inputs!$F$124)*BG41/1000000</f>
        <v>109.225883987838</v>
      </c>
      <c r="BH51" s="13" t="n">
        <f aca="false">BH38*BH40*(1000*Inputs!$F$123/Inputs!$F$124)*BH41/1000000</f>
        <v>109.950251998771</v>
      </c>
      <c r="BI51" s="13" t="n">
        <f aca="false">BI38*BI40*(1000*Inputs!$F$123/Inputs!$F$124)*BI41/1000000</f>
        <v>109.933757170662</v>
      </c>
      <c r="BJ51" s="13" t="n">
        <f aca="false">BJ38*BJ40*(1000*Inputs!$F$123/Inputs!$F$124)*BJ41/1000000</f>
        <v>105.536796479193</v>
      </c>
      <c r="BK51" s="13" t="n">
        <f aca="false">BK38*BK40*(1000*Inputs!$F$123/Inputs!$F$124)*BK41/1000000</f>
        <v>109.842052532037</v>
      </c>
      <c r="BL51" s="13" t="n">
        <f aca="false">BL38*BL40*(1000*Inputs!$F$123/Inputs!$F$124)*BL41/1000000</f>
        <v>114.260198306123</v>
      </c>
      <c r="BM51" s="13" t="n">
        <f aca="false">BM38*BM40*(1000*Inputs!$F$123/Inputs!$F$124)*BM41/1000000</f>
        <v>77.6781097199541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138.189950389416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0.776582176425133</v>
      </c>
      <c r="P53" s="13" t="n">
        <f aca="false">P42*Inputs!$F$148*(1+Inputs!$F$149/100)^(Time!P26-Inputs!$F$256)/1000000</f>
        <v>2.32951284985361</v>
      </c>
      <c r="Q53" s="13" t="n">
        <f aca="false">Q42*Inputs!$F$148*(1+Inputs!$F$149/100)^(Time!Q26-Inputs!$F$256)/1000000</f>
        <v>2.35597394403495</v>
      </c>
      <c r="R53" s="13" t="n">
        <f aca="false">R42*Inputs!$F$148*(1+Inputs!$F$149/100)^(Time!R26-Inputs!$F$256)/1000000</f>
        <v>2.33936987713737</v>
      </c>
      <c r="S53" s="13" t="n">
        <f aca="false">S42*Inputs!$F$148*(1+Inputs!$F$149/100)^(Time!S26-Inputs!$F$256)/1000000</f>
        <v>2.38234036935241</v>
      </c>
      <c r="T53" s="13" t="n">
        <f aca="false">T42*Inputs!$F$148*(1+Inputs!$F$149/100)^(Time!T26-Inputs!$F$256)/1000000</f>
        <v>2.39845775957204</v>
      </c>
      <c r="U53" s="13" t="n">
        <f aca="false">U42*Inputs!$F$148*(1+Inputs!$F$149/100)^(Time!U26-Inputs!$F$256)/1000000</f>
        <v>2.40431720030284</v>
      </c>
      <c r="V53" s="13" t="n">
        <f aca="false">V42*Inputs!$F$148*(1+Inputs!$F$149/100)^(Time!V26-Inputs!$F$256)/1000000</f>
        <v>2.34447118830786</v>
      </c>
      <c r="W53" s="13" t="n">
        <f aca="false">W42*Inputs!$F$148*(1+Inputs!$F$149/100)^(Time!W26-Inputs!$F$256)/1000000</f>
        <v>2.4094421812288</v>
      </c>
      <c r="X53" s="13" t="n">
        <f aca="false">X42*Inputs!$F$148*(1+Inputs!$F$149/100)^(Time!X26-Inputs!$F$256)/1000000</f>
        <v>2.46940665327649</v>
      </c>
      <c r="Y53" s="13" t="n">
        <f aca="false">Y42*Inputs!$F$148*(1+Inputs!$F$149/100)^(Time!Y26-Inputs!$F$256)/1000000</f>
        <v>2.49743833469589</v>
      </c>
      <c r="Z53" s="13" t="n">
        <f aca="false">Z42*Inputs!$F$148*(1+Inputs!$F$149/100)^(Time!Z26-Inputs!$F$256)/1000000</f>
        <v>2.47981892297955</v>
      </c>
      <c r="AA53" s="13" t="n">
        <f aca="false">AA42*Inputs!$F$148*(1+Inputs!$F$149/100)^(Time!AA26-Inputs!$F$256)/1000000</f>
        <v>2.52535054031701</v>
      </c>
      <c r="AB53" s="13" t="n">
        <f aca="false">AB42*Inputs!$F$148*(1+Inputs!$F$149/100)^(Time!AB26-Inputs!$F$256)/1000000</f>
        <v>2.54241661088516</v>
      </c>
      <c r="AC53" s="13" t="n">
        <f aca="false">AC42*Inputs!$F$148*(1+Inputs!$F$149/100)^(Time!AC26-Inputs!$F$256)/1000000</f>
        <v>2.52989081438603</v>
      </c>
      <c r="AD53" s="13" t="n">
        <f aca="false">AD42*Inputs!$F$148*(1+Inputs!$F$149/100)^(Time!AD26-Inputs!$F$256)/1000000</f>
        <v>2.42900788988706</v>
      </c>
      <c r="AE53" s="13" t="n">
        <f aca="false">AE42*Inputs!$F$148*(1+Inputs!$F$149/100)^(Time!AE26-Inputs!$F$256)/1000000</f>
        <v>2.51601833729348</v>
      </c>
      <c r="AF53" s="13" t="n">
        <f aca="false">AF42*Inputs!$F$148*(1+Inputs!$F$149/100)^(Time!AF26-Inputs!$F$256)/1000000</f>
        <v>2.61754629952692</v>
      </c>
      <c r="AG53" s="13" t="n">
        <f aca="false">AG42*Inputs!$F$148*(1+Inputs!$F$149/100)^(Time!AG26-Inputs!$F$256)/1000000</f>
        <v>2.64723994264881</v>
      </c>
      <c r="AH53" s="13" t="n">
        <f aca="false">AH42*Inputs!$F$148*(1+Inputs!$F$149/100)^(Time!AH26-Inputs!$F$256)/1000000</f>
        <v>2.62854415272303</v>
      </c>
      <c r="AI53" s="13" t="n">
        <f aca="false">AI42*Inputs!$F$148*(1+Inputs!$F$149/100)^(Time!AI26-Inputs!$F$256)/1000000</f>
        <v>2.67678659683393</v>
      </c>
      <c r="AJ53" s="13" t="n">
        <f aca="false">AJ42*Inputs!$F$148*(1+Inputs!$F$149/100)^(Time!AJ26-Inputs!$F$256)/1000000</f>
        <v>2.6948560163595</v>
      </c>
      <c r="AK53" s="13" t="n">
        <f aca="false">AK42*Inputs!$F$148*(1+Inputs!$F$149/100)^(Time!AK26-Inputs!$F$256)/1000000</f>
        <v>2.70139943721651</v>
      </c>
      <c r="AL53" s="13" t="n">
        <f aca="false">AL42*Inputs!$F$148*(1+Inputs!$F$149/100)^(Time!AL26-Inputs!$F$256)/1000000</f>
        <v>2.63411959088055</v>
      </c>
      <c r="AM53" s="13" t="n">
        <f aca="false">AM42*Inputs!$F$148*(1+Inputs!$F$149/100)^(Time!AM26-Inputs!$F$256)/1000000</f>
        <v>2.70707719957236</v>
      </c>
      <c r="AN53" s="13" t="n">
        <f aca="false">AN42*Inputs!$F$148*(1+Inputs!$F$149/100)^(Time!AN26-Inputs!$F$256)/1000000</f>
        <v>2.77440773249651</v>
      </c>
      <c r="AO53" s="13" t="n">
        <f aca="false">AO42*Inputs!$F$148*(1+Inputs!$F$149/100)^(Time!AO26-Inputs!$F$256)/1000000</f>
        <v>2.80585990509471</v>
      </c>
      <c r="AP53" s="13" t="n">
        <f aca="false">AP42*Inputs!$F$148*(1+Inputs!$F$149/100)^(Time!AP26-Inputs!$F$256)/1000000</f>
        <v>2.78602310109561</v>
      </c>
      <c r="AQ53" s="13" t="n">
        <f aca="false">AQ42*Inputs!$F$148*(1+Inputs!$F$149/100)^(Time!AQ26-Inputs!$F$256)/1000000</f>
        <v>2.83713462958263</v>
      </c>
      <c r="AR53" s="13" t="n">
        <f aca="false">AR42*Inputs!$F$148*(1+Inputs!$F$149/100)^(Time!AR26-Inputs!$F$256)/1000000</f>
        <v>2.85626513806995</v>
      </c>
      <c r="AS53" s="13" t="n">
        <f aca="false">AS42*Inputs!$F$148*(1+Inputs!$F$149/100)^(Time!AS26-Inputs!$F$256)/1000000</f>
        <v>2.84215071583428</v>
      </c>
      <c r="AT53" s="13" t="n">
        <f aca="false">AT42*Inputs!$F$148*(1+Inputs!$F$149/100)^(Time!AT26-Inputs!$F$256)/1000000</f>
        <v>2.72877528300443</v>
      </c>
      <c r="AU53" s="13" t="n">
        <f aca="false">AU42*Inputs!$F$148*(1+Inputs!$F$149/100)^(Time!AU26-Inputs!$F$256)/1000000</f>
        <v>2.82648162781462</v>
      </c>
      <c r="AV53" s="13" t="n">
        <f aca="false">AV42*Inputs!$F$148*(1+Inputs!$F$149/100)^(Time!AV26-Inputs!$F$256)/1000000</f>
        <v>2.94049368845607</v>
      </c>
      <c r="AW53" s="13" t="n">
        <f aca="false">AW42*Inputs!$F$148*(1+Inputs!$F$149/100)^(Time!AW26-Inputs!$F$256)/1000000</f>
        <v>2.97380643835138</v>
      </c>
      <c r="AX53" s="13" t="n">
        <f aca="false">AX42*Inputs!$F$148*(1+Inputs!$F$149/100)^(Time!AX26-Inputs!$F$256)/1000000</f>
        <v>2.95276017361203</v>
      </c>
      <c r="AY53" s="13" t="n">
        <f aca="false">AY42*Inputs!$F$148*(1+Inputs!$F$149/100)^(Time!AY26-Inputs!$F$256)/1000000</f>
        <v>3.00690807578483</v>
      </c>
      <c r="AZ53" s="13" t="n">
        <f aca="false">AZ42*Inputs!$F$148*(1+Inputs!$F$149/100)^(Time!AZ26-Inputs!$F$256)/1000000</f>
        <v>3.02716065169269</v>
      </c>
      <c r="BA53" s="13" t="n">
        <f aca="false">BA42*Inputs!$F$148*(1+Inputs!$F$149/100)^(Time!BA26-Inputs!$F$256)/1000000</f>
        <v>3.03446551285465</v>
      </c>
      <c r="BB53" s="13" t="n">
        <f aca="false">BB42*Inputs!$F$148*(1+Inputs!$F$149/100)^(Time!BB26-Inputs!$F$256)/1000000</f>
        <v>2.95884614700415</v>
      </c>
      <c r="BC53" s="13" t="n">
        <f aca="false">BC42*Inputs!$F$148*(1+Inputs!$F$149/100)^(Time!BC26-Inputs!$F$256)/1000000</f>
        <v>3.04075218032074</v>
      </c>
      <c r="BD53" s="13" t="n">
        <f aca="false">BD42*Inputs!$F$148*(1+Inputs!$F$149/100)^(Time!BD26-Inputs!$F$256)/1000000</f>
        <v>3.11633515711667</v>
      </c>
      <c r="BE53" s="13" t="n">
        <f aca="false">BE42*Inputs!$F$148*(1+Inputs!$F$149/100)^(Time!BE26-Inputs!$F$256)/1000000</f>
        <v>3.15161631414743</v>
      </c>
      <c r="BF53" s="13" t="n">
        <f aca="false">BF42*Inputs!$F$148*(1+Inputs!$F$149/100)^(Time!BF26-Inputs!$F$256)/1000000</f>
        <v>3.12928811110909</v>
      </c>
      <c r="BG53" s="13" t="n">
        <f aca="false">BG42*Inputs!$F$148*(1+Inputs!$F$149/100)^(Time!BG26-Inputs!$F$256)/1000000</f>
        <v>3.18664920926026</v>
      </c>
      <c r="BH53" s="13" t="n">
        <f aca="false">BH42*Inputs!$F$148*(1+Inputs!$F$149/100)^(Time!BH26-Inputs!$F$256)/1000000</f>
        <v>3.20808824525117</v>
      </c>
      <c r="BI53" s="13" t="n">
        <f aca="false">BI42*Inputs!$F$148*(1+Inputs!$F$149/100)^(Time!BI26-Inputs!$F$256)/1000000</f>
        <v>3.19218726518539</v>
      </c>
      <c r="BJ53" s="13" t="n">
        <f aca="false">BJ42*Inputs!$F$148*(1+Inputs!$F$149/100)^(Time!BJ26-Inputs!$F$256)/1000000</f>
        <v>3.06480251245381</v>
      </c>
      <c r="BK53" s="13" t="n">
        <f aca="false">BK42*Inputs!$F$148*(1+Inputs!$F$149/100)^(Time!BK26-Inputs!$F$256)/1000000</f>
        <v>3.17449283843208</v>
      </c>
      <c r="BL53" s="13" t="n">
        <f aca="false">BL42*Inputs!$F$148*(1+Inputs!$F$149/100)^(Time!BL26-Inputs!$F$256)/1000000</f>
        <v>3.30249291897265</v>
      </c>
      <c r="BM53" s="13" t="n">
        <f aca="false">BM42*Inputs!$F$148*(1+Inputs!$F$149/100)^(Time!BM26-Inputs!$F$256)/1000000</f>
        <v>2.23432193072109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3644.01189971097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21.818405816838</v>
      </c>
      <c r="P55" s="13" t="n">
        <f aca="false">P48+P50</f>
        <v>65.7373644058781</v>
      </c>
      <c r="Q55" s="13" t="n">
        <f aca="false">Q48+Q50</f>
        <v>65.7938883569533</v>
      </c>
      <c r="R55" s="13" t="n">
        <f aca="false">R48+R50</f>
        <v>65.6236253398054</v>
      </c>
      <c r="S55" s="13" t="n">
        <f aca="false">S48+S50</f>
        <v>66.1390104302001</v>
      </c>
      <c r="T55" s="13" t="n">
        <f aca="false">T48+T50</f>
        <v>66.8893420374282</v>
      </c>
      <c r="U55" s="13" t="n">
        <f aca="false">U48+U50</f>
        <v>66.3642099315731</v>
      </c>
      <c r="V55" s="13" t="n">
        <f aca="false">V48+V50</f>
        <v>65.0103996271029</v>
      </c>
      <c r="W55" s="13" t="n">
        <f aca="false">W48+W50</f>
        <v>66.129708429672</v>
      </c>
      <c r="X55" s="13" t="n">
        <f aca="false">X48+X50</f>
        <v>68.0915740424435</v>
      </c>
      <c r="Y55" s="13" t="n">
        <f aca="false">Y48+Y50</f>
        <v>68.1651866667633</v>
      </c>
      <c r="Z55" s="13" t="n">
        <f aca="false">Z48+Z50</f>
        <v>68.0038432181757</v>
      </c>
      <c r="AA55" s="13" t="n">
        <f aca="false">AA48+AA50</f>
        <v>68.5531261326143</v>
      </c>
      <c r="AB55" s="13" t="n">
        <f aca="false">AB48+AB50</f>
        <v>69.3462518884388</v>
      </c>
      <c r="AC55" s="13" t="n">
        <f aca="false">AC48+AC50</f>
        <v>68.3117237959215</v>
      </c>
      <c r="AD55" s="13" t="n">
        <f aca="false">AD48+AD50</f>
        <v>65.9049740997362</v>
      </c>
      <c r="AE55" s="13" t="n">
        <f aca="false">AE48+AE50</f>
        <v>67.5842369769722</v>
      </c>
      <c r="AF55" s="13" t="n">
        <f aca="false">AF48+AF50</f>
        <v>70.6556625687371</v>
      </c>
      <c r="AG55" s="13" t="n">
        <f aca="false">AG48+AG50</f>
        <v>70.7478864525737</v>
      </c>
      <c r="AH55" s="13" t="n">
        <f aca="false">AH48+AH50</f>
        <v>70.5962568723574</v>
      </c>
      <c r="AI55" s="13" t="n">
        <f aca="false">AI48+AI50</f>
        <v>71.1824586991179</v>
      </c>
      <c r="AJ55" s="13" t="n">
        <f aca="false">AJ48+AJ50</f>
        <v>72.022192764676</v>
      </c>
      <c r="AK55" s="13" t="n">
        <f aca="false">AK48+AK50</f>
        <v>71.4887567321129</v>
      </c>
      <c r="AL55" s="13" t="n">
        <f aca="false">AL48+AL50</f>
        <v>70.0618043522151</v>
      </c>
      <c r="AM55" s="13" t="n">
        <f aca="false">AM48+AM50</f>
        <v>71.3000791346443</v>
      </c>
      <c r="AN55" s="13" t="n">
        <f aca="false">AN48+AN50</f>
        <v>73.4483331890892</v>
      </c>
      <c r="AO55" s="13" t="n">
        <f aca="false">AO48+AO50</f>
        <v>73.5608265215197</v>
      </c>
      <c r="AP55" s="13" t="n">
        <f aca="false">AP48+AP50</f>
        <v>73.4197758109273</v>
      </c>
      <c r="AQ55" s="13" t="n">
        <f aca="false">AQ48+AQ50</f>
        <v>74.0461867751426</v>
      </c>
      <c r="AR55" s="13" t="n">
        <f aca="false">AR48+AR50</f>
        <v>74.9366831189521</v>
      </c>
      <c r="AS55" s="13" t="n">
        <f aca="false">AS48+AS50</f>
        <v>73.8521169192048</v>
      </c>
      <c r="AT55" s="13" t="n">
        <f aca="false">AT48+AT50</f>
        <v>71.282399162845</v>
      </c>
      <c r="AU55" s="13" t="n">
        <f aca="false">AU48+AU50</f>
        <v>73.1317741922785</v>
      </c>
      <c r="AV55" s="13" t="n">
        <f aca="false">AV48+AV50</f>
        <v>76.489955125429</v>
      </c>
      <c r="AW55" s="13" t="n">
        <f aca="false">AW48+AW50</f>
        <v>76.6245237698183</v>
      </c>
      <c r="AX55" s="13" t="n">
        <f aca="false">AX48+AX50</f>
        <v>76.4949939217753</v>
      </c>
      <c r="AY55" s="13" t="n">
        <f aca="false">AY48+AY50</f>
        <v>77.1651973513151</v>
      </c>
      <c r="AZ55" s="13" t="n">
        <f aca="false">AZ48+AZ50</f>
        <v>78.1109800099129</v>
      </c>
      <c r="BA55" s="13" t="n">
        <f aca="false">BA48+BA50</f>
        <v>77.5676893874865</v>
      </c>
      <c r="BB55" s="13" t="n">
        <f aca="false">BB48+BB50</f>
        <v>76.0539689996925</v>
      </c>
      <c r="BC55" s="13" t="n">
        <f aca="false">BC48+BC50</f>
        <v>77.4333614741096</v>
      </c>
      <c r="BD55" s="13" t="n">
        <f aca="false">BD48+BD50</f>
        <v>79.802711955025</v>
      </c>
      <c r="BE55" s="13" t="n">
        <f aca="false">BE48+BE50</f>
        <v>79.9613225946201</v>
      </c>
      <c r="BF55" s="13" t="n">
        <f aca="false">BF48+BF50</f>
        <v>79.8443394433149</v>
      </c>
      <c r="BG55" s="13" t="n">
        <f aca="false">BG48+BG50</f>
        <v>80.5622378677914</v>
      </c>
      <c r="BH55" s="13" t="n">
        <f aca="false">BH48+BH50</f>
        <v>81.5682338999323</v>
      </c>
      <c r="BI55" s="13" t="n">
        <f aca="false">BI48+BI50</f>
        <v>80.4243063746145</v>
      </c>
      <c r="BJ55" s="13" t="n">
        <f aca="false">BJ48+BJ50</f>
        <v>77.6612663839887</v>
      </c>
      <c r="BK55" s="13" t="n">
        <f aca="false">BK48+BK50</f>
        <v>79.7124291774434</v>
      </c>
      <c r="BL55" s="13" t="n">
        <f aca="false">BL48+BL50</f>
        <v>83.4107631497456</v>
      </c>
      <c r="BM55" s="13" t="n">
        <f aca="false">BM48+BM50</f>
        <v>55.9235543620454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9016.21732450544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50.4040473079133</v>
      </c>
      <c r="P56" s="13" t="n">
        <f aca="false">P55+P51+P52+P53+P54</f>
        <v>151.544603281501</v>
      </c>
      <c r="Q56" s="13" t="n">
        <f aca="false">Q55+Q51+Q52+Q53+Q54</f>
        <v>152.7784630442</v>
      </c>
      <c r="R56" s="13" t="n">
        <f aca="false">R55+R51+R52+R53+R54</f>
        <v>152.259428694042</v>
      </c>
      <c r="S56" s="13" t="n">
        <f aca="false">S55+S51+S52+S53+S54</f>
        <v>154.490318544265</v>
      </c>
      <c r="T56" s="13" t="n">
        <f aca="false">T55+T51+T52+T53+T54</f>
        <v>155.945369865749</v>
      </c>
      <c r="U56" s="13" t="n">
        <f aca="false">U55+U51+U52+U53+U54</f>
        <v>156.017753289298</v>
      </c>
      <c r="V56" s="13" t="n">
        <f aca="false">V55+V51+V52+V53+V54</f>
        <v>152.852284088599</v>
      </c>
      <c r="W56" s="13" t="n">
        <f aca="false">W55+W51+W52+W53+W54</f>
        <v>156.418048857487</v>
      </c>
      <c r="X56" s="13" t="n">
        <f aca="false">X55+X51+X52+X53+X54</f>
        <v>160.519334025254</v>
      </c>
      <c r="Y56" s="13" t="n">
        <f aca="false">Y55+Y51+Y52+Y53+Y54</f>
        <v>161.864014947152</v>
      </c>
      <c r="Z56" s="13" t="n">
        <f aca="false">Z55+Z51+Z52+Z53+Z54</f>
        <v>161.322129505704</v>
      </c>
      <c r="AA56" s="13" t="n">
        <f aca="false">AA55+AA51+AA52+AA53+AA54</f>
        <v>163.723467986852</v>
      </c>
      <c r="AB56" s="13" t="n">
        <f aca="false">AB55+AB51+AB52+AB53+AB54</f>
        <v>165.273324431124</v>
      </c>
      <c r="AC56" s="13" t="n">
        <f aca="false">AC55+AC51+AC52+AC53+AC54</f>
        <v>164.266236158292</v>
      </c>
      <c r="AD56" s="13" t="n">
        <f aca="false">AD55+AD51+AD52+AD53+AD54</f>
        <v>158.668327341433</v>
      </c>
      <c r="AE56" s="13" t="n">
        <f aca="false">AE55+AE51+AE52+AE53+AE54</f>
        <v>163.580865218494</v>
      </c>
      <c r="AF56" s="13" t="n">
        <f aca="false">AF55+AF51+AF52+AF53+AF54</f>
        <v>170.214439112068</v>
      </c>
      <c r="AG56" s="13" t="n">
        <f aca="false">AG55+AG51+AG52+AG53+AG54</f>
        <v>171.67885440971</v>
      </c>
      <c r="AH56" s="13" t="n">
        <f aca="false">AH55+AH51+AH52+AH53+AH54</f>
        <v>171.112150727411</v>
      </c>
      <c r="AI56" s="13" t="n">
        <f aca="false">AI55+AI51+AI52+AI53+AI54</f>
        <v>173.697729536246</v>
      </c>
      <c r="AJ56" s="13" t="n">
        <f aca="false">AJ55+AJ51+AJ52+AJ53+AJ54</f>
        <v>175.350056072536</v>
      </c>
      <c r="AK56" s="13" t="n">
        <f aca="false">AK55+AK51+AK52+AK53+AK54</f>
        <v>175.510449583762</v>
      </c>
      <c r="AL56" s="13" t="n">
        <f aca="false">AL55+AL51+AL52+AL53+AL54</f>
        <v>171.965856430173</v>
      </c>
      <c r="AM56" s="13" t="n">
        <f aca="false">AM55+AM51+AM52+AM53+AM54</f>
        <v>176.055286813754</v>
      </c>
      <c r="AN56" s="13" t="n">
        <f aca="false">AN55+AN51+AN52+AN53+AN54</f>
        <v>180.687844328814</v>
      </c>
      <c r="AO56" s="13" t="n">
        <f aca="false">AO55+AO51+AO52+AO53+AO54</f>
        <v>182.281619165955</v>
      </c>
      <c r="AP56" s="13" t="n">
        <f aca="false">AP55+AP51+AP52+AP53+AP54</f>
        <v>181.687968502593</v>
      </c>
      <c r="AQ56" s="13" t="n">
        <f aca="false">AQ55+AQ51+AQ52+AQ53+AQ54</f>
        <v>184.47268914585</v>
      </c>
      <c r="AR56" s="13" t="n">
        <f aca="false">AR55+AR51+AR52+AR53+AR54</f>
        <v>186.23577537945</v>
      </c>
      <c r="AS56" s="13" t="n">
        <f aca="false">AS55+AS51+AS52+AS53+AS54</f>
        <v>185.180469907513</v>
      </c>
      <c r="AT56" s="13" t="n">
        <f aca="false">AT55+AT51+AT52+AT53+AT54</f>
        <v>178.885339183769</v>
      </c>
      <c r="AU56" s="13" t="n">
        <f aca="false">AU55+AU51+AU52+AU53+AU54</f>
        <v>184.502503715194</v>
      </c>
      <c r="AV56" s="13" t="n">
        <f aca="false">AV55+AV51+AV52+AV53+AV54</f>
        <v>192.0021351271</v>
      </c>
      <c r="AW56" s="13" t="n">
        <f aca="false">AW55+AW51+AW52+AW53+AW54</f>
        <v>193.735663052932</v>
      </c>
      <c r="AX56" s="13" t="n">
        <f aca="false">AX55+AX51+AX52+AX53+AX54</f>
        <v>193.112762317539</v>
      </c>
      <c r="AY56" s="13" t="n">
        <f aca="false">AY55+AY51+AY52+AY53+AY54</f>
        <v>196.112724886312</v>
      </c>
      <c r="AZ56" s="13" t="n">
        <f aca="false">AZ55+AZ51+AZ52+AZ53+AZ54</f>
        <v>197.995536269497</v>
      </c>
      <c r="BA56" s="13" t="n">
        <f aca="false">BA55+BA51+BA52+BA53+BA54</f>
        <v>198.257811164042</v>
      </c>
      <c r="BB56" s="13" t="n">
        <f aca="false">BB55+BB51+BB52+BB53+BB54</f>
        <v>194.269444790628</v>
      </c>
      <c r="BC56" s="13" t="n">
        <f aca="false">BC55+BC51+BC52+BC53+BC54</f>
        <v>198.971001378716</v>
      </c>
      <c r="BD56" s="13" t="n">
        <f aca="false">BD55+BD51+BD52+BD53+BD54</f>
        <v>204.224931177966</v>
      </c>
      <c r="BE56" s="13" t="n">
        <f aca="false">BE55+BE51+BE52+BE53+BE54</f>
        <v>206.109435001677</v>
      </c>
      <c r="BF56" s="13" t="n">
        <f aca="false">BF55+BF51+BF52+BF53+BF54</f>
        <v>205.454793023037</v>
      </c>
      <c r="BG56" s="13" t="n">
        <f aca="false">BG55+BG51+BG52+BG53+BG54</f>
        <v>208.687392021957</v>
      </c>
      <c r="BH56" s="13" t="n">
        <f aca="false">BH55+BH51+BH52+BH53+BH54</f>
        <v>210.69962528263</v>
      </c>
      <c r="BI56" s="13" t="n">
        <f aca="false">BI55+BI51+BI52+BI53+BI54</f>
        <v>209.586673293328</v>
      </c>
      <c r="BJ56" s="13" t="n">
        <f aca="false">BJ55+BJ51+BJ52+BJ53+BJ54</f>
        <v>202.475512281391</v>
      </c>
      <c r="BK56" s="13" t="n">
        <f aca="false">BK55+BK51+BK52+BK53+BK54</f>
        <v>208.916509473406</v>
      </c>
      <c r="BL56" s="13" t="n">
        <f aca="false">BL55+BL51+BL52+BL53+BL54</f>
        <v>217.429290984183</v>
      </c>
      <c r="BM56" s="13" t="n">
        <f aca="false">BM55+BM51+BM52+BM53+BM54</f>
        <v>146.729034376948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307.295598966072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1.53884550107693</v>
      </c>
      <c r="P60" s="13" t="n">
        <f aca="false">Inputs!$F$151*(Inputs!$F$152*P21+(1-Inputs!$F$152)*P27*Inputs!$F$153/P11)*Time!P30/12*Inputs!$F$40</f>
        <v>4.66704213500875</v>
      </c>
      <c r="Q60" s="13" t="n">
        <f aca="false">Inputs!$F$151*(Inputs!$F$152*Q21+(1-Inputs!$F$152)*Q27*Inputs!$F$153/Q11)*Time!Q30/12*Inputs!$F$40</f>
        <v>4.71810030630188</v>
      </c>
      <c r="R60" s="13" t="n">
        <f aca="false">Inputs!$F$151*(Inputs!$F$152*R21+(1-Inputs!$F$152)*R27*Inputs!$F$153/R11)*Time!R30/12*Inputs!$F$40</f>
        <v>4.76971706197895</v>
      </c>
      <c r="S60" s="13" t="n">
        <f aca="false">Inputs!$F$151*(Inputs!$F$152*S21+(1-Inputs!$F$152)*S27*Inputs!$F$153/S11)*Time!S30/12*Inputs!$F$40</f>
        <v>4.82189851304052</v>
      </c>
      <c r="T60" s="13" t="n">
        <f aca="false">Inputs!$F$151*(Inputs!$F$152*T21+(1-Inputs!$F$152)*T27*Inputs!$F$153/T11)*Time!T30/12*Inputs!$F$40</f>
        <v>4.87465083734248</v>
      </c>
      <c r="U60" s="13" t="n">
        <f aca="false">Inputs!$F$151*(Inputs!$F$152*U21+(1-Inputs!$F$152)*U27*Inputs!$F$153/U11)*Time!U30/12*Inputs!$F$40</f>
        <v>4.92798028032741</v>
      </c>
      <c r="V60" s="13" t="n">
        <f aca="false">Inputs!$F$151*(Inputs!$F$152*V21+(1-Inputs!$F$152)*V27*Inputs!$F$153/V11)*Time!V30/12*Inputs!$F$40</f>
        <v>4.98189315576401</v>
      </c>
      <c r="W60" s="13" t="n">
        <f aca="false">Inputs!$F$151*(Inputs!$F$152*W21+(1-Inputs!$F$152)*W27*Inputs!$F$153/W11)*Time!W30/12*Inputs!$F$40</f>
        <v>5.03639584649461</v>
      </c>
      <c r="X60" s="13" t="n">
        <f aca="false">Inputs!$F$151*(Inputs!$F$152*X21+(1-Inputs!$F$152)*X27*Inputs!$F$153/X11)*Time!X30/12*Inputs!$F$40</f>
        <v>5.09149480519082</v>
      </c>
      <c r="Y60" s="13" t="n">
        <f aca="false">Inputs!$F$151*(Inputs!$F$152*Y21+(1-Inputs!$F$152)*Y27*Inputs!$F$153/Y11)*Time!Y30/12*Inputs!$F$40</f>
        <v>5.14719655511749</v>
      </c>
      <c r="Z60" s="13" t="n">
        <f aca="false">Inputs!$F$151*(Inputs!$F$152*Z21+(1-Inputs!$F$152)*Z27*Inputs!$F$153/Z11)*Time!Z30/12*Inputs!$F$40</f>
        <v>5.20350769090502</v>
      </c>
      <c r="AA60" s="13" t="n">
        <f aca="false">Inputs!$F$151*(Inputs!$F$152*AA21+(1-Inputs!$F$152)*AA27*Inputs!$F$153/AA11)*Time!AA30/12*Inputs!$F$40</f>
        <v>5.26043487933008</v>
      </c>
      <c r="AB60" s="13" t="n">
        <f aca="false">Inputs!$F$151*(Inputs!$F$152*AB21+(1-Inputs!$F$152)*AB27*Inputs!$F$153/AB11)*Time!AB30/12*Inputs!$F$40</f>
        <v>5.31798486010493</v>
      </c>
      <c r="AC60" s="13" t="n">
        <f aca="false">Inputs!$F$151*(Inputs!$F$152*AC21+(1-Inputs!$F$152)*AC27*Inputs!$F$153/AC11)*Time!AC30/12*Inputs!$F$40</f>
        <v>5.37616444667534</v>
      </c>
      <c r="AD60" s="13" t="n">
        <f aca="false">Inputs!$F$151*(Inputs!$F$152*AD21+(1-Inputs!$F$152)*AD27*Inputs!$F$153/AD11)*Time!AD30/12*Inputs!$F$40</f>
        <v>5.43498052702724</v>
      </c>
      <c r="AE60" s="13" t="n">
        <f aca="false">Inputs!$F$151*(Inputs!$F$152*AE21+(1-Inputs!$F$152)*AE27*Inputs!$F$153/AE11)*Time!AE30/12*Inputs!$F$40</f>
        <v>5.4944400645022</v>
      </c>
      <c r="AF60" s="13" t="n">
        <f aca="false">Inputs!$F$151*(Inputs!$F$152*AF21+(1-Inputs!$F$152)*AF27*Inputs!$F$153/AF11)*Time!AF30/12*Inputs!$F$40</f>
        <v>5.55455009862183</v>
      </c>
      <c r="AG60" s="13" t="n">
        <f aca="false">Inputs!$F$151*(Inputs!$F$152*AG21+(1-Inputs!$F$152)*AG27*Inputs!$F$153/AG11)*Time!AG30/12*Inputs!$F$40</f>
        <v>5.61531774592124</v>
      </c>
      <c r="AH60" s="13" t="n">
        <f aca="false">Inputs!$F$151*(Inputs!$F$152*AH21+(1-Inputs!$F$152)*AH27*Inputs!$F$153/AH11)*Time!AH30/12*Inputs!$F$40</f>
        <v>5.67675020079151</v>
      </c>
      <c r="AI60" s="13" t="n">
        <f aca="false">Inputs!$F$151*(Inputs!$F$152*AI21+(1-Inputs!$F$152)*AI27*Inputs!$F$153/AI11)*Time!AI30/12*Inputs!$F$40</f>
        <v>5.73885473633151</v>
      </c>
      <c r="AJ60" s="13" t="n">
        <f aca="false">Inputs!$F$151*(Inputs!$F$152*AJ21+(1-Inputs!$F$152)*AJ27*Inputs!$F$153/AJ11)*Time!AJ30/12*Inputs!$F$40</f>
        <v>5.80163870520893</v>
      </c>
      <c r="AK60" s="13" t="n">
        <f aca="false">Inputs!$F$151*(Inputs!$F$152*AK21+(1-Inputs!$F$152)*AK27*Inputs!$F$153/AK11)*Time!AK30/12*Inputs!$F$40</f>
        <v>5.8651095405308</v>
      </c>
      <c r="AL60" s="13" t="n">
        <f aca="false">Inputs!$F$151*(Inputs!$F$152*AL21+(1-Inputs!$F$152)*AL27*Inputs!$F$153/AL11)*Time!AL30/12*Inputs!$F$40</f>
        <v>5.92927475672352</v>
      </c>
      <c r="AM60" s="13" t="n">
        <f aca="false">Inputs!$F$151*(Inputs!$F$152*AM21+(1-Inputs!$F$152)*AM27*Inputs!$F$153/AM11)*Time!AM30/12*Inputs!$F$40</f>
        <v>5.99414195042248</v>
      </c>
      <c r="AN60" s="13" t="n">
        <f aca="false">Inputs!$F$151*(Inputs!$F$152*AN21+(1-Inputs!$F$152)*AN27*Inputs!$F$153/AN11)*Time!AN30/12*Inputs!$F$40</f>
        <v>6.05971880137144</v>
      </c>
      <c r="AO60" s="13" t="n">
        <f aca="false">Inputs!$F$151*(Inputs!$F$152*AO21+(1-Inputs!$F$152)*AO27*Inputs!$F$153/AO11)*Time!AO30/12*Inputs!$F$40</f>
        <v>6.12601307333177</v>
      </c>
      <c r="AP60" s="13" t="n">
        <f aca="false">Inputs!$F$151*(Inputs!$F$152*AP21+(1-Inputs!$F$152)*AP27*Inputs!$F$153/AP11)*Time!AP30/12*Inputs!$F$40</f>
        <v>6.19303261500161</v>
      </c>
      <c r="AQ60" s="13" t="n">
        <f aca="false">Inputs!$F$151*(Inputs!$F$152*AQ21+(1-Inputs!$F$152)*AQ27*Inputs!$F$153/AQ11)*Time!AQ30/12*Inputs!$F$40</f>
        <v>6.26078536094507</v>
      </c>
      <c r="AR60" s="13" t="n">
        <f aca="false">Inputs!$F$151*(Inputs!$F$152*AR21+(1-Inputs!$F$152)*AR27*Inputs!$F$153/AR11)*Time!AR30/12*Inputs!$F$40</f>
        <v>6.32927933253165</v>
      </c>
      <c r="AS60" s="13" t="n">
        <f aca="false">Inputs!$F$151*(Inputs!$F$152*AS21+(1-Inputs!$F$152)*AS27*Inputs!$F$153/AS11)*Time!AS30/12*Inputs!$F$40</f>
        <v>6.39852263888586</v>
      </c>
      <c r="AT60" s="13" t="n">
        <f aca="false">Inputs!$F$151*(Inputs!$F$152*AT21+(1-Inputs!$F$152)*AT27*Inputs!$F$153/AT11)*Time!AT30/12*Inputs!$F$40</f>
        <v>6.46852347784734</v>
      </c>
      <c r="AU60" s="13" t="n">
        <f aca="false">Inputs!$F$151*(Inputs!$F$152*AU21+(1-Inputs!$F$152)*AU27*Inputs!$F$153/AU11)*Time!AU30/12*Inputs!$F$40</f>
        <v>6.53929013694135</v>
      </c>
      <c r="AV60" s="13" t="n">
        <f aca="false">Inputs!$F$151*(Inputs!$F$152*AV21+(1-Inputs!$F$152)*AV27*Inputs!$F$153/AV11)*Time!AV30/12*Inputs!$F$40</f>
        <v>6.61083099435998</v>
      </c>
      <c r="AW60" s="13" t="n">
        <f aca="false">Inputs!$F$151*(Inputs!$F$152*AW21+(1-Inputs!$F$152)*AW27*Inputs!$F$153/AW11)*Time!AW30/12*Inputs!$F$40</f>
        <v>6.68315451995406</v>
      </c>
      <c r="AX60" s="13" t="n">
        <f aca="false">Inputs!$F$151*(Inputs!$F$152*AX21+(1-Inputs!$F$152)*AX27*Inputs!$F$153/AX11)*Time!AX30/12*Inputs!$F$40</f>
        <v>6.7562692762359</v>
      </c>
      <c r="AY60" s="13" t="n">
        <f aca="false">Inputs!$F$151*(Inputs!$F$152*AY21+(1-Inputs!$F$152)*AY27*Inputs!$F$153/AY11)*Time!AY30/12*Inputs!$F$40</f>
        <v>6.83018391939305</v>
      </c>
      <c r="AZ60" s="13" t="n">
        <f aca="false">Inputs!$F$151*(Inputs!$F$152*AZ21+(1-Inputs!$F$152)*AZ27*Inputs!$F$153/AZ11)*Time!AZ30/12*Inputs!$F$40</f>
        <v>6.90490720031309</v>
      </c>
      <c r="BA60" s="13" t="n">
        <f aca="false">Inputs!$F$151*(Inputs!$F$152*BA21+(1-Inputs!$F$152)*BA27*Inputs!$F$153/BA11)*Time!BA30/12*Inputs!$F$40</f>
        <v>6.98044796561969</v>
      </c>
      <c r="BB60" s="13" t="n">
        <f aca="false">Inputs!$F$151*(Inputs!$F$152*BB21+(1-Inputs!$F$152)*BB27*Inputs!$F$153/BB11)*Time!BB30/12*Inputs!$F$40</f>
        <v>7.05681515871998</v>
      </c>
      <c r="BC60" s="13" t="n">
        <f aca="false">Inputs!$F$151*(Inputs!$F$152*BC21+(1-Inputs!$F$152)*BC27*Inputs!$F$153/BC11)*Time!BC30/12*Inputs!$F$40</f>
        <v>7.13401782086333</v>
      </c>
      <c r="BD60" s="13" t="n">
        <f aca="false">Inputs!$F$151*(Inputs!$F$152*BD21+(1-Inputs!$F$152)*BD27*Inputs!$F$153/BD11)*Time!BD30/12*Inputs!$F$40</f>
        <v>7.21206509221181</v>
      </c>
      <c r="BE60" s="13" t="n">
        <f aca="false">Inputs!$F$151*(Inputs!$F$152*BE21+(1-Inputs!$F$152)*BE27*Inputs!$F$153/BE11)*Time!BE30/12*Inputs!$F$40</f>
        <v>7.29096621292232</v>
      </c>
      <c r="BF60" s="13" t="n">
        <f aca="false">Inputs!$F$151*(Inputs!$F$152*BF21+(1-Inputs!$F$152)*BF27*Inputs!$F$153/BF11)*Time!BF30/12*Inputs!$F$40</f>
        <v>7.37073052424047</v>
      </c>
      <c r="BG60" s="13" t="n">
        <f aca="false">Inputs!$F$151*(Inputs!$F$152*BG21+(1-Inputs!$F$152)*BG27*Inputs!$F$153/BG11)*Time!BG30/12*Inputs!$F$40</f>
        <v>7.45136746960661</v>
      </c>
      <c r="BH60" s="13" t="n">
        <f aca="false">Inputs!$F$151*(Inputs!$F$152*BH21+(1-Inputs!$F$152)*BH27*Inputs!$F$153/BH11)*Time!BH30/12*Inputs!$F$40</f>
        <v>7.53288659577376</v>
      </c>
      <c r="BI60" s="13" t="n">
        <f aca="false">Inputs!$F$151*(Inputs!$F$152*BI21+(1-Inputs!$F$152)*BI27*Inputs!$F$153/BI11)*Time!BI30/12*Inputs!$F$40</f>
        <v>7.61529755393795</v>
      </c>
      <c r="BJ60" s="13" t="n">
        <f aca="false">Inputs!$F$151*(Inputs!$F$152*BJ21+(1-Inputs!$F$152)*BJ27*Inputs!$F$153/BJ11)*Time!BJ30/12*Inputs!$F$40</f>
        <v>7.69861010088078</v>
      </c>
      <c r="BK60" s="13" t="n">
        <f aca="false">Inputs!$F$151*(Inputs!$F$152*BK21+(1-Inputs!$F$152)*BK27*Inputs!$F$153/BK11)*Time!BK30/12*Inputs!$F$40</f>
        <v>7.78283410012458</v>
      </c>
      <c r="BL60" s="13" t="n">
        <f aca="false">Inputs!$F$151*(Inputs!$F$152*BL21+(1-Inputs!$F$152)*BL27*Inputs!$F$153/BL11)*Time!BL30/12*Inputs!$F$40</f>
        <v>7.86797952310016</v>
      </c>
      <c r="BM60" s="13" t="n">
        <f aca="false">Inputs!$F$151*(Inputs!$F$152*BM21+(1-Inputs!$F$152)*BM27*Inputs!$F$153/BM11)*Time!BM30/12*Inputs!$F$40</f>
        <v>5.30270430021822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-21.2007529204956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-0.106167102167807</v>
      </c>
      <c r="P61" s="13" t="n">
        <f aca="false">IF(Time!P30&gt;0,Inputs!$F$154*MAX(-1,MIN(1,(P32-Inputs!$F$216)/Inputs!$F$217))*P21*Time!P30/12,0)</f>
        <v>-0.321985760638203</v>
      </c>
      <c r="Q61" s="13" t="n">
        <f aca="false">IF(Time!Q30&gt;0,Inputs!$F$154*MAX(-1,MIN(1,(Q32-Inputs!$F$216)/Inputs!$F$217))*Q21*Time!Q30/12,0)</f>
        <v>-0.325508335246496</v>
      </c>
      <c r="R61" s="13" t="n">
        <f aca="false">IF(Time!R30&gt;0,Inputs!$F$154*MAX(-1,MIN(1,(R32-Inputs!$F$216)/Inputs!$F$217))*R21*Time!R30/12,0)</f>
        <v>-0.329069447372244</v>
      </c>
      <c r="S61" s="13" t="n">
        <f aca="false">IF(Time!S30&gt;0,Inputs!$F$154*MAX(-1,MIN(1,(S32-Inputs!$F$216)/Inputs!$F$217))*S21*Time!S30/12,0)</f>
        <v>-0.332669518621919</v>
      </c>
      <c r="T61" s="13" t="n">
        <f aca="false">IF(Time!T30&gt;0,Inputs!$F$154*MAX(-1,MIN(1,(T32-Inputs!$F$216)/Inputs!$F$217))*T21*Time!T30/12,0)</f>
        <v>-0.336308975214433</v>
      </c>
      <c r="U61" s="13" t="n">
        <f aca="false">IF(Time!U30&gt;0,Inputs!$F$154*MAX(-1,MIN(1,(U32-Inputs!$F$216)/Inputs!$F$217))*U21*Time!U30/12,0)</f>
        <v>-0.339988248031601</v>
      </c>
      <c r="V61" s="13" t="n">
        <f aca="false">IF(Time!V30&gt;0,Inputs!$F$154*MAX(-1,MIN(1,(V32-Inputs!$F$216)/Inputs!$F$217))*V21*Time!V30/12,0)</f>
        <v>-0.34370777266915</v>
      </c>
      <c r="W61" s="13" t="n">
        <f aca="false">IF(Time!W30&gt;0,Inputs!$F$154*MAX(-1,MIN(1,(W32-Inputs!$F$216)/Inputs!$F$217))*W21*Time!W30/12,0)</f>
        <v>-0.347467989488296</v>
      </c>
      <c r="X61" s="13" t="n">
        <f aca="false">IF(Time!X30&gt;0,Inputs!$F$154*MAX(-1,MIN(1,(X32-Inputs!$F$216)/Inputs!$F$217))*X21*Time!X30/12,0)</f>
        <v>-0.351269343667872</v>
      </c>
      <c r="Y61" s="13" t="n">
        <f aca="false">IF(Time!Y30&gt;0,Inputs!$F$154*MAX(-1,MIN(1,(Y32-Inputs!$F$216)/Inputs!$F$217))*Y21*Time!Y30/12,0)</f>
        <v>-0.355112285257038</v>
      </c>
      <c r="Z61" s="13" t="n">
        <f aca="false">IF(Time!Z30&gt;0,Inputs!$F$154*MAX(-1,MIN(1,(Z32-Inputs!$F$216)/Inputs!$F$217))*Z21*Time!Z30/12,0)</f>
        <v>-0.358997269228565</v>
      </c>
      <c r="AA61" s="13" t="n">
        <f aca="false">IF(Time!AA30&gt;0,Inputs!$F$154*MAX(-1,MIN(1,(AA32-Inputs!$F$216)/Inputs!$F$217))*AA21*Time!AA30/12,0)</f>
        <v>-0.362924755532693</v>
      </c>
      <c r="AB61" s="13" t="n">
        <f aca="false">IF(Time!AB30&gt;0,Inputs!$F$154*MAX(-1,MIN(1,(AB32-Inputs!$F$216)/Inputs!$F$217))*AB21*Time!AB30/12,0)</f>
        <v>-0.366895209151593</v>
      </c>
      <c r="AC61" s="13" t="n">
        <f aca="false">IF(Time!AC30&gt;0,Inputs!$F$154*MAX(-1,MIN(1,(AC32-Inputs!$F$216)/Inputs!$F$217))*AC21*Time!AC30/12,0)</f>
        <v>-0.370909100154412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-0.379069100357809</v>
      </c>
      <c r="AF61" s="13" t="n">
        <f aca="false">IF(Time!AF30&gt;0,Inputs!$F$154*MAX(-1,MIN(1,(AF32-Inputs!$F$216)/Inputs!$F$217))*AF21*Time!AF30/12,0)</f>
        <v>-0.383216175635492</v>
      </c>
      <c r="AG61" s="13" t="n">
        <f aca="false">IF(Time!AG30&gt;0,Inputs!$F$154*MAX(-1,MIN(1,(AG32-Inputs!$F$216)/Inputs!$F$217))*AG21*Time!AG30/12,0)</f>
        <v>-0.387408620565681</v>
      </c>
      <c r="AH61" s="13" t="n">
        <f aca="false">IF(Time!AH30&gt;0,Inputs!$F$154*MAX(-1,MIN(1,(AH32-Inputs!$F$216)/Inputs!$F$217))*AH21*Time!AH30/12,0)</f>
        <v>-0.391646931499473</v>
      </c>
      <c r="AI61" s="13" t="n">
        <f aca="false">IF(Time!AI30&gt;0,Inputs!$F$154*MAX(-1,MIN(1,(AI32-Inputs!$F$216)/Inputs!$F$217))*AI21*Time!AI30/12,0)</f>
        <v>-0.395931610218126</v>
      </c>
      <c r="AJ61" s="13" t="n">
        <f aca="false">IF(Time!AJ30&gt;0,Inputs!$F$154*MAX(-1,MIN(1,(AJ32-Inputs!$F$216)/Inputs!$F$217))*AJ21*Time!AJ30/12,0)</f>
        <v>-0.400263163992461</v>
      </c>
      <c r="AK61" s="13" t="n">
        <f aca="false">IF(Time!AK30&gt;0,Inputs!$F$154*MAX(-1,MIN(1,(AK32-Inputs!$F$216)/Inputs!$F$217))*AK21*Time!AK30/12,0)</f>
        <v>-0.404642105642924</v>
      </c>
      <c r="AL61" s="13" t="n">
        <f aca="false">IF(Time!AL30&gt;0,Inputs!$F$154*MAX(-1,MIN(1,(AL32-Inputs!$F$216)/Inputs!$F$217))*AL21*Time!AL30/12,0)</f>
        <v>-0.409068953600295</v>
      </c>
      <c r="AM61" s="13" t="n">
        <f aca="false">IF(Time!AM30&gt;0,Inputs!$F$154*MAX(-1,MIN(1,(AM32-Inputs!$F$216)/Inputs!$F$217))*AM21*Time!AM30/12,0)</f>
        <v>-0.413544231967069</v>
      </c>
      <c r="AN61" s="13" t="n">
        <f aca="false">IF(Time!AN30&gt;0,Inputs!$F$154*MAX(-1,MIN(1,(AN32-Inputs!$F$216)/Inputs!$F$217))*AN21*Time!AN30/12,0)</f>
        <v>-0.418068470579502</v>
      </c>
      <c r="AO61" s="13" t="n">
        <f aca="false">IF(Time!AO30&gt;0,Inputs!$F$154*MAX(-1,MIN(1,(AO32-Inputs!$F$216)/Inputs!$F$217))*AO21*Time!AO30/12,0)</f>
        <v>-0.422642205070344</v>
      </c>
      <c r="AP61" s="13" t="n">
        <f aca="false">IF(Time!AP30&gt;0,Inputs!$F$154*MAX(-1,MIN(1,(AP32-Inputs!$F$216)/Inputs!$F$217))*AP21*Time!AP30/12,0)</f>
        <v>-0.427265976932251</v>
      </c>
      <c r="AQ61" s="13" t="n">
        <f aca="false">IF(Time!AQ30&gt;0,Inputs!$F$154*MAX(-1,MIN(1,(AQ32-Inputs!$F$216)/Inputs!$F$217))*AQ21*Time!AQ30/12,0)</f>
        <v>-0.431940333581892</v>
      </c>
      <c r="AR61" s="13" t="n">
        <f aca="false">IF(Time!AR30&gt;0,Inputs!$F$154*MAX(-1,MIN(1,(AR32-Inputs!$F$216)/Inputs!$F$217))*AR21*Time!AR30/12,0)</f>
        <v>-0.43666582842476</v>
      </c>
      <c r="AS61" s="13" t="n">
        <f aca="false">IF(Time!AS30&gt;0,Inputs!$F$154*MAX(-1,MIN(1,(AS32-Inputs!$F$216)/Inputs!$F$217))*AS21*Time!AS30/12,0)</f>
        <v>-0.441443020920693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-0.451154767380948</v>
      </c>
      <c r="AV61" s="13" t="n">
        <f aca="false">IF(Time!AV30&gt;0,Inputs!$F$154*MAX(-1,MIN(1,(AV32-Inputs!$F$216)/Inputs!$F$217))*AV21*Time!AV30/12,0)</f>
        <v>-0.456090471136407</v>
      </c>
      <c r="AW61" s="13" t="n">
        <f aca="false">IF(Time!AW30&gt;0,Inputs!$F$154*MAX(-1,MIN(1,(AW32-Inputs!$F$216)/Inputs!$F$217))*AW21*Time!AW30/12,0)</f>
        <v>-0.461080172263329</v>
      </c>
      <c r="AX61" s="13" t="n">
        <f aca="false">IF(Time!AX30&gt;0,Inputs!$F$154*MAX(-1,MIN(1,(AX32-Inputs!$F$216)/Inputs!$F$217))*AX21*Time!AX30/12,0)</f>
        <v>-0.466124461501408</v>
      </c>
      <c r="AY61" s="13" t="n">
        <f aca="false">IF(Time!AY30&gt;0,Inputs!$F$154*MAX(-1,MIN(1,(AY32-Inputs!$F$216)/Inputs!$F$217))*AY21*Time!AY30/12,0)</f>
        <v>-0.471223936053122</v>
      </c>
      <c r="AZ61" s="13" t="n">
        <f aca="false">IF(Time!AZ30&gt;0,Inputs!$F$154*MAX(-1,MIN(1,(AZ32-Inputs!$F$216)/Inputs!$F$217))*AZ21*Time!AZ30/12,0)</f>
        <v>-0.476379199654439</v>
      </c>
      <c r="BA61" s="13" t="n">
        <f aca="false">IF(Time!BA30&gt;0,Inputs!$F$154*MAX(-1,MIN(1,(BA32-Inputs!$F$216)/Inputs!$F$217))*BA21*Time!BA30/12,0)</f>
        <v>-0.481590862646291</v>
      </c>
      <c r="BB61" s="13" t="n">
        <f aca="false">IF(Time!BB30&gt;0,Inputs!$F$154*MAX(-1,MIN(1,(BB32-Inputs!$F$216)/Inputs!$F$217))*BB21*Time!BB30/12,0)</f>
        <v>-0.486859542046837</v>
      </c>
      <c r="BC61" s="13" t="n">
        <f aca="false">IF(Time!BC30&gt;0,Inputs!$F$154*MAX(-1,MIN(1,(BC32-Inputs!$F$216)/Inputs!$F$217))*BC21*Time!BC30/12,0)</f>
        <v>-0.492185861624509</v>
      </c>
      <c r="BD61" s="13" t="n">
        <f aca="false">IF(Time!BD30&gt;0,Inputs!$F$154*MAX(-1,MIN(1,(BD32-Inputs!$F$216)/Inputs!$F$217))*BD21*Time!BD30/12,0)</f>
        <v>-0.497570451971867</v>
      </c>
      <c r="BE61" s="13" t="n">
        <f aca="false">IF(Time!BE30&gt;0,Inputs!$F$154*MAX(-1,MIN(1,(BE32-Inputs!$F$216)/Inputs!$F$217))*BE21*Time!BE30/12,0)</f>
        <v>-0.503013950580248</v>
      </c>
      <c r="BF61" s="13" t="n">
        <f aca="false">IF(Time!BF30&gt;0,Inputs!$F$154*MAX(-1,MIN(1,(BF32-Inputs!$F$216)/Inputs!$F$217))*BF21*Time!BF30/12,0)</f>
        <v>-0.508517001915248</v>
      </c>
      <c r="BG61" s="13" t="n">
        <f aca="false">IF(Time!BG30&gt;0,Inputs!$F$154*MAX(-1,MIN(1,(BG32-Inputs!$F$216)/Inputs!$F$217))*BG21*Time!BG30/12,0)</f>
        <v>-0.514080257493014</v>
      </c>
      <c r="BH61" s="13" t="n">
        <f aca="false">IF(Time!BH30&gt;0,Inputs!$F$154*MAX(-1,MIN(1,(BH32-Inputs!$F$216)/Inputs!$F$217))*BH21*Time!BH30/12,0)</f>
        <v>-0.519704375957383</v>
      </c>
      <c r="BI61" s="13" t="n">
        <f aca="false">IF(Time!BI30&gt;0,Inputs!$F$154*MAX(-1,MIN(1,(BI32-Inputs!$F$216)/Inputs!$F$217))*BI21*Time!BI30/12,0)</f>
        <v>-0.52539002315786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-0.536948603667333</v>
      </c>
      <c r="BL61" s="13" t="n">
        <f aca="false">IF(Time!BL30&gt;0,Inputs!$F$154*MAX(-1,MIN(1,(BL32-Inputs!$F$216)/Inputs!$F$217))*BL21*Time!BL30/12,0)</f>
        <v>-0.542822905417471</v>
      </c>
      <c r="BM61" s="13" t="n">
        <f aca="false">IF(Time!BM30&gt;0,Inputs!$F$154*MAX(-1,MIN(1,(BM32-Inputs!$F$216)/Inputs!$F$217))*BM21*Time!BM30/12,0)</f>
        <v>-0.365840981965343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102.611644135199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0.513848774492185</v>
      </c>
      <c r="P62" s="13" t="n">
        <f aca="false">Inputs!$F$155*P21*Time!P30/12*Inputs!$F$40</f>
        <v>1.5584110814889</v>
      </c>
      <c r="Q62" s="13" t="n">
        <f aca="false">Inputs!$F$155*Q21*Time!Q30/12*Inputs!$F$40</f>
        <v>1.57546034259304</v>
      </c>
      <c r="R62" s="13" t="n">
        <f aca="false">Inputs!$F$155*R21*Time!R30/12*Inputs!$F$40</f>
        <v>1.59269612528166</v>
      </c>
      <c r="S62" s="13" t="n">
        <f aca="false">Inputs!$F$155*S21*Time!S30/12*Inputs!$F$40</f>
        <v>1.61012047013009</v>
      </c>
      <c r="T62" s="13" t="n">
        <f aca="false">Inputs!$F$155*T21*Time!T30/12*Inputs!$F$40</f>
        <v>1.62773544003786</v>
      </c>
      <c r="U62" s="13" t="n">
        <f aca="false">Inputs!$F$155*U21*Time!U30/12*Inputs!$F$40</f>
        <v>1.64554312047295</v>
      </c>
      <c r="V62" s="13" t="n">
        <f aca="false">Inputs!$F$155*V21*Time!V30/12*Inputs!$F$40</f>
        <v>1.66354561971869</v>
      </c>
      <c r="W62" s="13" t="n">
        <f aca="false">Inputs!$F$155*W21*Time!W30/12*Inputs!$F$40</f>
        <v>1.68174506912335</v>
      </c>
      <c r="X62" s="13" t="n">
        <f aca="false">Inputs!$F$155*X21*Time!X30/12*Inputs!$F$40</f>
        <v>1.7001436233525</v>
      </c>
      <c r="Y62" s="13" t="n">
        <f aca="false">Inputs!$F$155*Y21*Time!Y30/12*Inputs!$F$40</f>
        <v>1.71874346064407</v>
      </c>
      <c r="Z62" s="13" t="n">
        <f aca="false">Inputs!$F$155*Z21*Time!Z30/12*Inputs!$F$40</f>
        <v>1.73754678306625</v>
      </c>
      <c r="AA62" s="13" t="n">
        <f aca="false">Inputs!$F$155*AA21*Time!AA30/12*Inputs!$F$40</f>
        <v>1.75655581677823</v>
      </c>
      <c r="AB62" s="13" t="n">
        <f aca="false">Inputs!$F$155*AB21*Time!AB30/12*Inputs!$F$40</f>
        <v>1.77577281229371</v>
      </c>
      <c r="AC62" s="13" t="n">
        <f aca="false">Inputs!$F$155*AC21*Time!AC30/12*Inputs!$F$40</f>
        <v>1.79520004474736</v>
      </c>
      <c r="AD62" s="13" t="n">
        <f aca="false">Inputs!$F$155*AD21*Time!AD30/12*Inputs!$F$40</f>
        <v>1.81483981416417</v>
      </c>
      <c r="AE62" s="13" t="n">
        <f aca="false">Inputs!$F$155*AE21*Time!AE30/12*Inputs!$F$40</f>
        <v>1.8346944457318</v>
      </c>
      <c r="AF62" s="13" t="n">
        <f aca="false">Inputs!$F$155*AF21*Time!AF30/12*Inputs!$F$40</f>
        <v>1.85476629007578</v>
      </c>
      <c r="AG62" s="13" t="n">
        <f aca="false">Inputs!$F$155*AG21*Time!AG30/12*Inputs!$F$40</f>
        <v>1.8750577235379</v>
      </c>
      <c r="AH62" s="13" t="n">
        <f aca="false">Inputs!$F$155*AH21*Time!AH30/12*Inputs!$F$40</f>
        <v>1.89557114845745</v>
      </c>
      <c r="AI62" s="13" t="n">
        <f aca="false">Inputs!$F$155*AI21*Time!AI30/12*Inputs!$F$40</f>
        <v>1.91630899345573</v>
      </c>
      <c r="AJ62" s="13" t="n">
        <f aca="false">Inputs!$F$155*AJ21*Time!AJ30/12*Inputs!$F$40</f>
        <v>1.93727371372351</v>
      </c>
      <c r="AK62" s="13" t="n">
        <f aca="false">Inputs!$F$155*AK21*Time!AK30/12*Inputs!$F$40</f>
        <v>1.95846779131175</v>
      </c>
      <c r="AL62" s="13" t="n">
        <f aca="false">Inputs!$F$155*AL21*Time!AL30/12*Inputs!$F$40</f>
        <v>1.97989373542543</v>
      </c>
      <c r="AM62" s="13" t="n">
        <f aca="false">Inputs!$F$155*AM21*Time!AM30/12*Inputs!$F$40</f>
        <v>2.00155408272061</v>
      </c>
      <c r="AN62" s="13" t="n">
        <f aca="false">Inputs!$F$155*AN21*Time!AN30/12*Inputs!$F$40</f>
        <v>2.02345139760479</v>
      </c>
      <c r="AO62" s="13" t="n">
        <f aca="false">Inputs!$F$155*AO21*Time!AO30/12*Inputs!$F$40</f>
        <v>2.04558827254047</v>
      </c>
      <c r="AP62" s="13" t="n">
        <f aca="false">Inputs!$F$155*AP21*Time!AP30/12*Inputs!$F$40</f>
        <v>2.0679673283521</v>
      </c>
      <c r="AQ62" s="13" t="n">
        <f aca="false">Inputs!$F$155*AQ21*Time!AQ30/12*Inputs!$F$40</f>
        <v>2.09059121453636</v>
      </c>
      <c r="AR62" s="13" t="n">
        <f aca="false">Inputs!$F$155*AR21*Time!AR30/12*Inputs!$F$40</f>
        <v>2.11346260957584</v>
      </c>
      <c r="AS62" s="13" t="n">
        <f aca="false">Inputs!$F$155*AS21*Time!AS30/12*Inputs!$F$40</f>
        <v>2.13658422125616</v>
      </c>
      <c r="AT62" s="13" t="n">
        <f aca="false">Inputs!$F$155*AT21*Time!AT30/12*Inputs!$F$40</f>
        <v>2.15995878698651</v>
      </c>
      <c r="AU62" s="13" t="n">
        <f aca="false">Inputs!$F$155*AU21*Time!AU30/12*Inputs!$F$40</f>
        <v>2.18358907412379</v>
      </c>
      <c r="AV62" s="13" t="n">
        <f aca="false">Inputs!$F$155*AV21*Time!AV30/12*Inputs!$F$40</f>
        <v>2.20747788030021</v>
      </c>
      <c r="AW62" s="13" t="n">
        <f aca="false">Inputs!$F$155*AW21*Time!AW30/12*Inputs!$F$40</f>
        <v>2.23162803375451</v>
      </c>
      <c r="AX62" s="13" t="n">
        <f aca="false">Inputs!$F$155*AX21*Time!AX30/12*Inputs!$F$40</f>
        <v>2.25604239366682</v>
      </c>
      <c r="AY62" s="13" t="n">
        <f aca="false">Inputs!$F$155*AY21*Time!AY30/12*Inputs!$F$40</f>
        <v>2.28072385049711</v>
      </c>
      <c r="AZ62" s="13" t="n">
        <f aca="false">Inputs!$F$155*AZ21*Time!AZ30/12*Inputs!$F$40</f>
        <v>2.30567532632749</v>
      </c>
      <c r="BA62" s="13" t="n">
        <f aca="false">Inputs!$F$155*BA21*Time!BA30/12*Inputs!$F$40</f>
        <v>2.33089977520805</v>
      </c>
      <c r="BB62" s="13" t="n">
        <f aca="false">Inputs!$F$155*BB21*Time!BB30/12*Inputs!$F$40</f>
        <v>2.35640018350669</v>
      </c>
      <c r="BC62" s="13" t="n">
        <f aca="false">Inputs!$F$155*BC21*Time!BC30/12*Inputs!$F$40</f>
        <v>2.38217957026263</v>
      </c>
      <c r="BD62" s="13" t="n">
        <f aca="false">Inputs!$F$155*BD21*Time!BD30/12*Inputs!$F$40</f>
        <v>2.40824098754384</v>
      </c>
      <c r="BE62" s="13" t="n">
        <f aca="false">Inputs!$F$155*BE21*Time!BE30/12*Inputs!$F$40</f>
        <v>2.4345875208084</v>
      </c>
      <c r="BF62" s="13" t="n">
        <f aca="false">Inputs!$F$155*BF21*Time!BF30/12*Inputs!$F$40</f>
        <v>2.4612222892698</v>
      </c>
      <c r="BG62" s="13" t="n">
        <f aca="false">Inputs!$F$155*BG21*Time!BG30/12*Inputs!$F$40</f>
        <v>2.48814844626619</v>
      </c>
      <c r="BH62" s="13" t="n">
        <f aca="false">Inputs!$F$155*BH21*Time!BH30/12*Inputs!$F$40</f>
        <v>2.51536917963374</v>
      </c>
      <c r="BI62" s="13" t="n">
        <f aca="false">Inputs!$F$155*BI21*Time!BI30/12*Inputs!$F$40</f>
        <v>2.54288771208404</v>
      </c>
      <c r="BJ62" s="13" t="n">
        <f aca="false">Inputs!$F$155*BJ21*Time!BJ30/12*Inputs!$F$40</f>
        <v>2.57070730158568</v>
      </c>
      <c r="BK62" s="13" t="n">
        <f aca="false">Inputs!$F$155*BK21*Time!BK30/12*Inputs!$F$40</f>
        <v>2.59883124174989</v>
      </c>
      <c r="BL62" s="13" t="n">
        <f aca="false">Inputs!$F$155*BL21*Time!BL30/12*Inputs!$F$40</f>
        <v>2.62726286222056</v>
      </c>
      <c r="BM62" s="13" t="n">
        <f aca="false">Inputs!$F$155*BM21*Time!BM30/12*Inputs!$F$40</f>
        <v>1.77067035271226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2626.84683724236</v>
      </c>
      <c r="P63" s="15" t="n">
        <f aca="false">IF(P31&gt;0,Inputs!$F$258*(Inputs!$F$129*P32/P31*P37/Inputs!$F$131+Inputs!$F$130*Inputs!$F$132)*Time!P30/12,0)</f>
        <v>7880.54051172708</v>
      </c>
      <c r="Q63" s="15" t="n">
        <f aca="false">IF(Q31&gt;0,Inputs!$F$258*(Inputs!$F$129*Q32/Q31*Q37/Inputs!$F$131+Inputs!$F$130*Inputs!$F$132)*Time!Q30/12,0)</f>
        <v>7878.7486631016</v>
      </c>
      <c r="R63" s="15" t="n">
        <f aca="false">IF(R31&gt;0,Inputs!$F$258*(Inputs!$F$129*R32/R31*R37/Inputs!$F$131+Inputs!$F$130*Inputs!$F$132)*Time!R30/12,0)</f>
        <v>7875.13024757804</v>
      </c>
      <c r="S63" s="15" t="n">
        <f aca="false">IF(S31&gt;0,Inputs!$F$258*(Inputs!$F$129*S32/S31*S37/Inputs!$F$131+Inputs!$F$130*Inputs!$F$132)*Time!S30/12,0)</f>
        <v>7876.94527896996</v>
      </c>
      <c r="T63" s="15" t="n">
        <f aca="false">IF(T31&gt;0,Inputs!$F$258*(Inputs!$F$129*T32/T31*T37/Inputs!$F$131+Inputs!$F$130*Inputs!$F$132)*Time!T30/12,0)</f>
        <v>7880.54051172708</v>
      </c>
      <c r="U63" s="15" t="n">
        <f aca="false">IF(U31&gt;0,Inputs!$F$258*(Inputs!$F$129*U32/U31*U37/Inputs!$F$131+Inputs!$F$130*Inputs!$F$132)*Time!U30/12,0)</f>
        <v>7874.11682242991</v>
      </c>
      <c r="V63" s="15" t="n">
        <f aca="false">IF(V31&gt;0,Inputs!$F$258*(Inputs!$F$129*V32/V31*V37/Inputs!$F$131+Inputs!$F$130*Inputs!$F$132)*Time!V30/12,0)</f>
        <v>7860.81567328918</v>
      </c>
      <c r="W63" s="15" t="n">
        <f aca="false">IF(W31&gt;0,Inputs!$F$258*(Inputs!$F$129*W32/W31*W37/Inputs!$F$131+Inputs!$F$130*Inputs!$F$132)*Time!W30/12,0)</f>
        <v>7867.54363636364</v>
      </c>
      <c r="X63" s="15" t="n">
        <f aca="false">IF(X31&gt;0,Inputs!$F$258*(Inputs!$F$129*X32/X31*X37/Inputs!$F$131+Inputs!$F$130*Inputs!$F$132)*Time!X30/12,0)</f>
        <v>7880.54051172708</v>
      </c>
      <c r="Y63" s="15" t="n">
        <f aca="false">IF(Y31&gt;0,Inputs!$F$258*(Inputs!$F$129*Y32/Y31*Y37/Inputs!$F$131+Inputs!$F$130*Inputs!$F$132)*Time!Y30/12,0)</f>
        <v>7878.7486631016</v>
      </c>
      <c r="Z63" s="15" t="n">
        <f aca="false">IF(Z31&gt;0,Inputs!$F$258*(Inputs!$F$129*Z32/Z31*Z37/Inputs!$F$131+Inputs!$F$130*Inputs!$F$132)*Time!Z30/12,0)</f>
        <v>7875.13024757804</v>
      </c>
      <c r="AA63" s="15" t="n">
        <f aca="false">IF(AA31&gt;0,Inputs!$F$258*(Inputs!$F$129*AA32/AA31*AA37/Inputs!$F$131+Inputs!$F$130*Inputs!$F$132)*Time!AA30/12,0)</f>
        <v>7876.94527896996</v>
      </c>
      <c r="AB63" s="15" t="n">
        <f aca="false">IF(AB31&gt;0,Inputs!$F$258*(Inputs!$F$129*AB32/AB31*AB37/Inputs!$F$131+Inputs!$F$130*Inputs!$F$132)*Time!AB30/12,0)</f>
        <v>7880.54051172708</v>
      </c>
      <c r="AC63" s="15" t="n">
        <f aca="false">IF(AC31&gt;0,Inputs!$F$258*(Inputs!$F$129*AC32/AC31*AC37/Inputs!$F$131+Inputs!$F$130*Inputs!$F$132)*Time!AC30/12,0)</f>
        <v>7870.23235613464</v>
      </c>
      <c r="AD63" s="15" t="n">
        <f aca="false">IF(AD31&gt;0,Inputs!$F$258*(Inputs!$F$129*AD32/AD31*AD37/Inputs!$F$131+Inputs!$F$130*Inputs!$F$132)*Time!AD30/12,0)</f>
        <v>7848.43066516347</v>
      </c>
      <c r="AE63" s="15" t="n">
        <f aca="false">IF(AE31&gt;0,Inputs!$F$258*(Inputs!$F$129*AE32/AE31*AE37/Inputs!$F$131+Inputs!$F$130*Inputs!$F$132)*Time!AE30/12,0)</f>
        <v>7859.53650442478</v>
      </c>
      <c r="AF63" s="15" t="n">
        <f aca="false">IF(AF31&gt;0,Inputs!$F$258*(Inputs!$F$129*AF32/AF31*AF37/Inputs!$F$131+Inputs!$F$130*Inputs!$F$132)*Time!AF30/12,0)</f>
        <v>7880.54051172708</v>
      </c>
      <c r="AG63" s="15" t="n">
        <f aca="false">IF(AG31&gt;0,Inputs!$F$258*(Inputs!$F$129*AG32/AG31*AG37/Inputs!$F$131+Inputs!$F$130*Inputs!$F$132)*Time!AG30/12,0)</f>
        <v>7878.7486631016</v>
      </c>
      <c r="AH63" s="15" t="n">
        <f aca="false">IF(AH31&gt;0,Inputs!$F$258*(Inputs!$F$129*AH32/AH31*AH37/Inputs!$F$131+Inputs!$F$130*Inputs!$F$132)*Time!AH30/12,0)</f>
        <v>7875.13024757804</v>
      </c>
      <c r="AI63" s="15" t="n">
        <f aca="false">IF(AI31&gt;0,Inputs!$F$258*(Inputs!$F$129*AI32/AI31*AI37/Inputs!$F$131+Inputs!$F$130*Inputs!$F$132)*Time!AI30/12,0)</f>
        <v>7876.94527896996</v>
      </c>
      <c r="AJ63" s="15" t="n">
        <f aca="false">IF(AJ31&gt;0,Inputs!$F$258*(Inputs!$F$129*AJ32/AJ31*AJ37/Inputs!$F$131+Inputs!$F$130*Inputs!$F$132)*Time!AJ30/12,0)</f>
        <v>7880.54051172708</v>
      </c>
      <c r="AK63" s="15" t="n">
        <f aca="false">IF(AK31&gt;0,Inputs!$F$258*(Inputs!$F$129*AK32/AK31*AK37/Inputs!$F$131+Inputs!$F$130*Inputs!$F$132)*Time!AK30/12,0)</f>
        <v>7874.11682242991</v>
      </c>
      <c r="AL63" s="15" t="n">
        <f aca="false">IF(AL31&gt;0,Inputs!$F$258*(Inputs!$F$129*AL32/AL31*AL37/Inputs!$F$131+Inputs!$F$130*Inputs!$F$132)*Time!AL30/12,0)</f>
        <v>7860.81567328918</v>
      </c>
      <c r="AM63" s="15" t="n">
        <f aca="false">IF(AM31&gt;0,Inputs!$F$258*(Inputs!$F$129*AM32/AM31*AM37/Inputs!$F$131+Inputs!$F$130*Inputs!$F$132)*Time!AM30/12,0)</f>
        <v>7867.54363636364</v>
      </c>
      <c r="AN63" s="15" t="n">
        <f aca="false">IF(AN31&gt;0,Inputs!$F$258*(Inputs!$F$129*AN32/AN31*AN37/Inputs!$F$131+Inputs!$F$130*Inputs!$F$132)*Time!AN30/12,0)</f>
        <v>7880.54051172708</v>
      </c>
      <c r="AO63" s="15" t="n">
        <f aca="false">IF(AO31&gt;0,Inputs!$F$258*(Inputs!$F$129*AO32/AO31*AO37/Inputs!$F$131+Inputs!$F$130*Inputs!$F$132)*Time!AO30/12,0)</f>
        <v>7878.7486631016</v>
      </c>
      <c r="AP63" s="15" t="n">
        <f aca="false">IF(AP31&gt;0,Inputs!$F$258*(Inputs!$F$129*AP32/AP31*AP37/Inputs!$F$131+Inputs!$F$130*Inputs!$F$132)*Time!AP30/12,0)</f>
        <v>7875.13024757804</v>
      </c>
      <c r="AQ63" s="15" t="n">
        <f aca="false">IF(AQ31&gt;0,Inputs!$F$258*(Inputs!$F$129*AQ32/AQ31*AQ37/Inputs!$F$131+Inputs!$F$130*Inputs!$F$132)*Time!AQ30/12,0)</f>
        <v>7876.94527896996</v>
      </c>
      <c r="AR63" s="15" t="n">
        <f aca="false">IF(AR31&gt;0,Inputs!$F$258*(Inputs!$F$129*AR32/AR31*AR37/Inputs!$F$131+Inputs!$F$130*Inputs!$F$132)*Time!AR30/12,0)</f>
        <v>7880.54051172708</v>
      </c>
      <c r="AS63" s="15" t="n">
        <f aca="false">IF(AS31&gt;0,Inputs!$F$258*(Inputs!$F$129*AS32/AS31*AS37/Inputs!$F$131+Inputs!$F$130*Inputs!$F$132)*Time!AS30/12,0)</f>
        <v>7870.23235613464</v>
      </c>
      <c r="AT63" s="15" t="n">
        <f aca="false">IF(AT31&gt;0,Inputs!$F$258*(Inputs!$F$129*AT32/AT31*AT37/Inputs!$F$131+Inputs!$F$130*Inputs!$F$132)*Time!AT30/12,0)</f>
        <v>7848.43066516347</v>
      </c>
      <c r="AU63" s="15" t="n">
        <f aca="false">IF(AU31&gt;0,Inputs!$F$258*(Inputs!$F$129*AU32/AU31*AU37/Inputs!$F$131+Inputs!$F$130*Inputs!$F$132)*Time!AU30/12,0)</f>
        <v>7859.53650442478</v>
      </c>
      <c r="AV63" s="15" t="n">
        <f aca="false">IF(AV31&gt;0,Inputs!$F$258*(Inputs!$F$129*AV32/AV31*AV37/Inputs!$F$131+Inputs!$F$130*Inputs!$F$132)*Time!AV30/12,0)</f>
        <v>7880.54051172708</v>
      </c>
      <c r="AW63" s="15" t="n">
        <f aca="false">IF(AW31&gt;0,Inputs!$F$258*(Inputs!$F$129*AW32/AW31*AW37/Inputs!$F$131+Inputs!$F$130*Inputs!$F$132)*Time!AW30/12,0)</f>
        <v>7878.7486631016</v>
      </c>
      <c r="AX63" s="15" t="n">
        <f aca="false">IF(AX31&gt;0,Inputs!$F$258*(Inputs!$F$129*AX32/AX31*AX37/Inputs!$F$131+Inputs!$F$130*Inputs!$F$132)*Time!AX30/12,0)</f>
        <v>7875.13024757804</v>
      </c>
      <c r="AY63" s="15" t="n">
        <f aca="false">IF(AY31&gt;0,Inputs!$F$258*(Inputs!$F$129*AY32/AY31*AY37/Inputs!$F$131+Inputs!$F$130*Inputs!$F$132)*Time!AY30/12,0)</f>
        <v>7876.94527896996</v>
      </c>
      <c r="AZ63" s="15" t="n">
        <f aca="false">IF(AZ31&gt;0,Inputs!$F$258*(Inputs!$F$129*AZ32/AZ31*AZ37/Inputs!$F$131+Inputs!$F$130*Inputs!$F$132)*Time!AZ30/12,0)</f>
        <v>7880.54051172708</v>
      </c>
      <c r="BA63" s="15" t="n">
        <f aca="false">IF(BA31&gt;0,Inputs!$F$258*(Inputs!$F$129*BA32/BA31*BA37/Inputs!$F$131+Inputs!$F$130*Inputs!$F$132)*Time!BA30/12,0)</f>
        <v>7874.11682242991</v>
      </c>
      <c r="BB63" s="15" t="n">
        <f aca="false">IF(BB31&gt;0,Inputs!$F$258*(Inputs!$F$129*BB32/BB31*BB37/Inputs!$F$131+Inputs!$F$130*Inputs!$F$132)*Time!BB30/12,0)</f>
        <v>7860.81567328918</v>
      </c>
      <c r="BC63" s="15" t="n">
        <f aca="false">IF(BC31&gt;0,Inputs!$F$258*(Inputs!$F$129*BC32/BC31*BC37/Inputs!$F$131+Inputs!$F$130*Inputs!$F$132)*Time!BC30/12,0)</f>
        <v>7867.54363636364</v>
      </c>
      <c r="BD63" s="15" t="n">
        <f aca="false">IF(BD31&gt;0,Inputs!$F$258*(Inputs!$F$129*BD32/BD31*BD37/Inputs!$F$131+Inputs!$F$130*Inputs!$F$132)*Time!BD30/12,0)</f>
        <v>7880.54051172708</v>
      </c>
      <c r="BE63" s="15" t="n">
        <f aca="false">IF(BE31&gt;0,Inputs!$F$258*(Inputs!$F$129*BE32/BE31*BE37/Inputs!$F$131+Inputs!$F$130*Inputs!$F$132)*Time!BE30/12,0)</f>
        <v>7878.7486631016</v>
      </c>
      <c r="BF63" s="15" t="n">
        <f aca="false">IF(BF31&gt;0,Inputs!$F$258*(Inputs!$F$129*BF32/BF31*BF37/Inputs!$F$131+Inputs!$F$130*Inputs!$F$132)*Time!BF30/12,0)</f>
        <v>7875.13024757804</v>
      </c>
      <c r="BG63" s="15" t="n">
        <f aca="false">IF(BG31&gt;0,Inputs!$F$258*(Inputs!$F$129*BG32/BG31*BG37/Inputs!$F$131+Inputs!$F$130*Inputs!$F$132)*Time!BG30/12,0)</f>
        <v>7876.94527896996</v>
      </c>
      <c r="BH63" s="15" t="n">
        <f aca="false">IF(BH31&gt;0,Inputs!$F$258*(Inputs!$F$129*BH32/BH31*BH37/Inputs!$F$131+Inputs!$F$130*Inputs!$F$132)*Time!BH30/12,0)</f>
        <v>7880.54051172708</v>
      </c>
      <c r="BI63" s="15" t="n">
        <f aca="false">IF(BI31&gt;0,Inputs!$F$258*(Inputs!$F$129*BI32/BI31*BI37/Inputs!$F$131+Inputs!$F$130*Inputs!$F$132)*Time!BI30/12,0)</f>
        <v>7870.23235613464</v>
      </c>
      <c r="BJ63" s="15" t="n">
        <f aca="false">IF(BJ31&gt;0,Inputs!$F$258*(Inputs!$F$129*BJ32/BJ31*BJ37/Inputs!$F$131+Inputs!$F$130*Inputs!$F$132)*Time!BJ30/12,0)</f>
        <v>7848.43066516347</v>
      </c>
      <c r="BK63" s="15" t="n">
        <f aca="false">IF(BK31&gt;0,Inputs!$F$258*(Inputs!$F$129*BK32/BK31*BK37/Inputs!$F$131+Inputs!$F$130*Inputs!$F$132)*Time!BK30/12,0)</f>
        <v>7859.53650442478</v>
      </c>
      <c r="BL63" s="15" t="n">
        <f aca="false">IF(BL31&gt;0,Inputs!$F$258*(Inputs!$F$129*BL32/BL31*BL37/Inputs!$F$131+Inputs!$F$130*Inputs!$F$132)*Time!BL30/12,0)</f>
        <v>7880.54051172708</v>
      </c>
      <c r="BM63" s="15" t="n">
        <f aca="false">IF(BM31&gt;0,Inputs!$F$258*(Inputs!$F$129*BM32/BM31*BM37/Inputs!$F$131+Inputs!$F$130*Inputs!$F$132)*Time!BM30/12,0)</f>
        <v>5253.69367448472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270.397442158287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1.35537972242663</v>
      </c>
      <c r="P64" s="13" t="n">
        <f aca="false">P63*Inputs!$F$156*P21/1000000</f>
        <v>4.11062336607196</v>
      </c>
      <c r="Q64" s="13" t="n">
        <f aca="false">Q63*Inputs!$F$156*Q21/1000000</f>
        <v>4.15464934506585</v>
      </c>
      <c r="R64" s="13" t="n">
        <f aca="false">R63*Inputs!$F$156*R21/1000000</f>
        <v>4.19817290885901</v>
      </c>
      <c r="S64" s="13" t="n">
        <f aca="false">S63*Inputs!$F$156*S21/1000000</f>
        <v>4.24507974254913</v>
      </c>
      <c r="T64" s="13" t="n">
        <f aca="false">T63*Inputs!$F$156*T21/1000000</f>
        <v>4.29348033588831</v>
      </c>
      <c r="U64" s="13" t="n">
        <f aca="false">U63*Inputs!$F$156*U21/1000000</f>
        <v>4.33691363687164</v>
      </c>
      <c r="V64" s="13" t="n">
        <f aca="false">V63*Inputs!$F$156*V21/1000000</f>
        <v>4.37695398321494</v>
      </c>
      <c r="W64" s="13" t="n">
        <f aca="false">W63*Inputs!$F$156*W21/1000000</f>
        <v>4.42862570265271</v>
      </c>
      <c r="X64" s="13" t="n">
        <f aca="false">X63*Inputs!$F$156*X21/1000000</f>
        <v>4.48447151514996</v>
      </c>
      <c r="Y64" s="13" t="n">
        <f aca="false">Y63*Inputs!$F$156*Y21/1000000</f>
        <v>4.53250151720615</v>
      </c>
      <c r="Z64" s="13" t="n">
        <f aca="false">Z63*Inputs!$F$156*Z21/1000000</f>
        <v>4.57998341099366</v>
      </c>
      <c r="AA64" s="13" t="n">
        <f aca="false">AA63*Inputs!$F$156*AA21/1000000</f>
        <v>4.63115627233761</v>
      </c>
      <c r="AB64" s="13" t="n">
        <f aca="false">AB63*Inputs!$F$156*AB21/1000000</f>
        <v>4.68395874602989</v>
      </c>
      <c r="AC64" s="13" t="n">
        <f aca="false">AC63*Inputs!$F$156*AC21/1000000</f>
        <v>4.72900809797646</v>
      </c>
      <c r="AD64" s="13" t="n">
        <f aca="false">AD63*Inputs!$F$156*AD21/1000000</f>
        <v>4.76750082825413</v>
      </c>
      <c r="AE64" s="13" t="n">
        <f aca="false">AE63*Inputs!$F$156*AE21/1000000</f>
        <v>4.82647803977789</v>
      </c>
      <c r="AF64" s="13" t="n">
        <f aca="false">AF63*Inputs!$F$156*AF21/1000000</f>
        <v>4.89231996688828</v>
      </c>
      <c r="AG64" s="13" t="n">
        <f aca="false">AG63*Inputs!$F$156*AG21/1000000</f>
        <v>4.94471814519655</v>
      </c>
      <c r="AH64" s="13" t="n">
        <f aca="false">AH63*Inputs!$F$156*AH21/1000000</f>
        <v>4.99651836652865</v>
      </c>
      <c r="AI64" s="13" t="n">
        <f aca="false">AI63*Inputs!$F$156*AI21/1000000</f>
        <v>5.05234523720228</v>
      </c>
      <c r="AJ64" s="13" t="n">
        <f aca="false">AJ63*Inputs!$F$156*AJ21/1000000</f>
        <v>5.10994992829534</v>
      </c>
      <c r="AK64" s="13" t="n">
        <f aca="false">AK63*Inputs!$F$156*AK21/1000000</f>
        <v>5.16164272199239</v>
      </c>
      <c r="AL64" s="13" t="n">
        <f aca="false">AL63*Inputs!$F$156*AL21/1000000</f>
        <v>5.20929733990588</v>
      </c>
      <c r="AM64" s="13" t="n">
        <f aca="false">AM63*Inputs!$F$156*AM21/1000000</f>
        <v>5.27079521071919</v>
      </c>
      <c r="AN64" s="13" t="n">
        <f aca="false">AN63*Inputs!$F$156*AN21/1000000</f>
        <v>5.33726094090563</v>
      </c>
      <c r="AO64" s="13" t="n">
        <f aca="false">AO63*Inputs!$F$156*AO21/1000000</f>
        <v>5.39442456723263</v>
      </c>
      <c r="AP64" s="13" t="n">
        <f aca="false">AP63*Inputs!$F$156*AP21/1000000</f>
        <v>5.45093585429425</v>
      </c>
      <c r="AQ64" s="13" t="n">
        <f aca="false">AQ63*Inputs!$F$156*AQ21/1000000</f>
        <v>5.51184000167544</v>
      </c>
      <c r="AR64" s="13" t="n">
        <f aca="false">AR63*Inputs!$F$156*AR21/1000000</f>
        <v>5.57468365660087</v>
      </c>
      <c r="AS64" s="13" t="n">
        <f aca="false">AS63*Inputs!$F$156*AS21/1000000</f>
        <v>5.62829981755657</v>
      </c>
      <c r="AT64" s="13" t="n">
        <f aca="false">AT63*Inputs!$F$156*AT21/1000000</f>
        <v>5.6741125170298</v>
      </c>
      <c r="AU64" s="13" t="n">
        <f aca="false">AU63*Inputs!$F$156*AU21/1000000</f>
        <v>5.74430512866885</v>
      </c>
      <c r="AV64" s="13" t="n">
        <f aca="false">AV63*Inputs!$F$156*AV21/1000000</f>
        <v>5.8226678843811</v>
      </c>
      <c r="AW64" s="13" t="n">
        <f aca="false">AW63*Inputs!$F$156*AW21/1000000</f>
        <v>5.88503036109983</v>
      </c>
      <c r="AX64" s="13" t="n">
        <f aca="false">AX63*Inputs!$F$156*AX21/1000000</f>
        <v>5.94668117036734</v>
      </c>
      <c r="AY64" s="13" t="n">
        <f aca="false">AY63*Inputs!$F$156*AY21/1000000</f>
        <v>6.01312435665868</v>
      </c>
      <c r="AZ64" s="13" t="n">
        <f aca="false">AZ63*Inputs!$F$156*AZ21/1000000</f>
        <v>6.08168344254991</v>
      </c>
      <c r="BA64" s="13" t="n">
        <f aca="false">BA63*Inputs!$F$156*BA21/1000000</f>
        <v>6.14320639520854</v>
      </c>
      <c r="BB64" s="13" t="n">
        <f aca="false">BB63*Inputs!$F$156*BB21/1000000</f>
        <v>6.19992325247571</v>
      </c>
      <c r="BC64" s="13" t="n">
        <f aca="false">BC63*Inputs!$F$156*BC21/1000000</f>
        <v>6.27311586452194</v>
      </c>
      <c r="BD64" s="13" t="n">
        <f aca="false">BD63*Inputs!$F$156*BD21/1000000</f>
        <v>6.35222104880829</v>
      </c>
      <c r="BE64" s="13" t="n">
        <f aca="false">BE63*Inputs!$F$156*BE21/1000000</f>
        <v>6.42025519486205</v>
      </c>
      <c r="BF64" s="13" t="n">
        <f aca="false">BF63*Inputs!$F$156*BF21/1000000</f>
        <v>6.48751294956856</v>
      </c>
      <c r="BG64" s="13" t="n">
        <f aca="false">BG63*Inputs!$F$156*BG21/1000000</f>
        <v>6.55999893277943</v>
      </c>
      <c r="BH64" s="13" t="n">
        <f aca="false">BH63*Inputs!$F$156*BH21/1000000</f>
        <v>6.63479324994348</v>
      </c>
      <c r="BI64" s="13" t="n">
        <f aca="false">BI63*Inputs!$F$156*BI21/1000000</f>
        <v>6.69860532695265</v>
      </c>
      <c r="BJ64" s="13" t="n">
        <f aca="false">BJ63*Inputs!$F$156*BJ21/1000000</f>
        <v>6.75312999740041</v>
      </c>
      <c r="BK64" s="13" t="n">
        <f aca="false">BK63*Inputs!$F$156*BK21/1000000</f>
        <v>6.83667078546777</v>
      </c>
      <c r="BL64" s="13" t="n">
        <f aca="false">BL63*Inputs!$F$156*BL21/1000000</f>
        <v>6.92993539287396</v>
      </c>
      <c r="BM64" s="13" t="n">
        <f aca="false">BM63*Inputs!$F$156*BM21/1000000</f>
        <v>4.6704999803492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169.853365481371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0.850575433534413</v>
      </c>
      <c r="P65" s="13" t="n">
        <f aca="false">Inputs!$F$157*P21*Time!P30/12*(1+Inputs!$F$158*Inputs!$F$46*Time!P41)*Inputs!$F$40</f>
        <v>2.5796425856464</v>
      </c>
      <c r="Q65" s="13" t="n">
        <f aca="false">Inputs!$F$157*Q21*Time!Q30/12*(1+Inputs!$F$158*Inputs!$F$46*Time!Q41)*Inputs!$F$40</f>
        <v>2.60786427921651</v>
      </c>
      <c r="R65" s="13" t="n">
        <f aca="false">Inputs!$F$157*R21*Time!R30/12*(1+Inputs!$F$158*Inputs!$F$46*Time!R41)*Inputs!$F$40</f>
        <v>2.63639472253063</v>
      </c>
      <c r="S65" s="13" t="n">
        <f aca="false">Inputs!$F$157*S21*Time!S30/12*(1+Inputs!$F$158*Inputs!$F$46*Time!S41)*Inputs!$F$40</f>
        <v>2.66523729335927</v>
      </c>
      <c r="T65" s="13" t="n">
        <f aca="false">Inputs!$F$157*T21*Time!T30/12*(1+Inputs!$F$158*Inputs!$F$46*Time!T41)*Inputs!$F$40</f>
        <v>2.6943954064263</v>
      </c>
      <c r="U65" s="13" t="n">
        <f aca="false">Inputs!$F$157*U21*Time!U30/12*(1+Inputs!$F$158*Inputs!$F$46*Time!U41)*Inputs!$F$40</f>
        <v>2.72387251381317</v>
      </c>
      <c r="V65" s="13" t="n">
        <f aca="false">Inputs!$F$157*V21*Time!V30/12*(1+Inputs!$F$158*Inputs!$F$46*Time!V41)*Inputs!$F$40</f>
        <v>2.75367210536768</v>
      </c>
      <c r="W65" s="13" t="n">
        <f aca="false">Inputs!$F$157*W21*Time!W30/12*(1+Inputs!$F$158*Inputs!$F$46*Time!W41)*Inputs!$F$40</f>
        <v>2.78379770911706</v>
      </c>
      <c r="X65" s="13" t="n">
        <f aca="false">Inputs!$F$157*X21*Time!X30/12*(1+Inputs!$F$158*Inputs!$F$46*Time!X41)*Inputs!$F$40</f>
        <v>2.81425289168576</v>
      </c>
      <c r="Y65" s="13" t="n">
        <f aca="false">Inputs!$F$157*Y21*Time!Y30/12*(1+Inputs!$F$158*Inputs!$F$46*Time!Y41)*Inputs!$F$40</f>
        <v>2.84504125871764</v>
      </c>
      <c r="Z65" s="13" t="n">
        <f aca="false">Inputs!$F$157*Z21*Time!Z30/12*(1+Inputs!$F$158*Inputs!$F$46*Time!Z41)*Inputs!$F$40</f>
        <v>2.87616645530285</v>
      </c>
      <c r="AA65" s="13" t="n">
        <f aca="false">Inputs!$F$157*AA21*Time!AA30/12*(1+Inputs!$F$158*Inputs!$F$46*Time!AA41)*Inputs!$F$40</f>
        <v>2.90763216640943</v>
      </c>
      <c r="AB65" s="13" t="n">
        <f aca="false">Inputs!$F$157*AB21*Time!AB30/12*(1+Inputs!$F$158*Inputs!$F$46*Time!AB41)*Inputs!$F$40</f>
        <v>2.93944211731951</v>
      </c>
      <c r="AC65" s="13" t="n">
        <f aca="false">Inputs!$F$157*AC21*Time!AC30/12*(1+Inputs!$F$158*Inputs!$F$46*Time!AC41)*Inputs!$F$40</f>
        <v>2.97160007407043</v>
      </c>
      <c r="AD65" s="13" t="n">
        <f aca="false">Inputs!$F$157*AD21*Time!AD30/12*(1+Inputs!$F$158*Inputs!$F$46*Time!AD41)*Inputs!$F$40</f>
        <v>3.00410984390054</v>
      </c>
      <c r="AE65" s="13" t="n">
        <f aca="false">Inputs!$F$157*AE21*Time!AE30/12*(1+Inputs!$F$158*Inputs!$F$46*Time!AE41)*Inputs!$F$40</f>
        <v>3.03697527569998</v>
      </c>
      <c r="AF65" s="13" t="n">
        <f aca="false">Inputs!$F$157*AF21*Time!AF30/12*(1+Inputs!$F$158*Inputs!$F$46*Time!AF41)*Inputs!$F$40</f>
        <v>3.07020026046635</v>
      </c>
      <c r="AG65" s="13" t="n">
        <f aca="false">Inputs!$F$157*AG21*Time!AG30/12*(1+Inputs!$F$158*Inputs!$F$46*Time!AG41)*Inputs!$F$40</f>
        <v>3.10378873176538</v>
      </c>
      <c r="AH65" s="13" t="n">
        <f aca="false">Inputs!$F$157*AH21*Time!AH30/12*(1+Inputs!$F$158*Inputs!$F$46*Time!AH41)*Inputs!$F$40</f>
        <v>3.13774466619661</v>
      </c>
      <c r="AI65" s="13" t="n">
        <f aca="false">Inputs!$F$157*AI21*Time!AI30/12*(1+Inputs!$F$158*Inputs!$F$46*Time!AI41)*Inputs!$F$40</f>
        <v>3.17207208386422</v>
      </c>
      <c r="AJ65" s="13" t="n">
        <f aca="false">Inputs!$F$157*AJ21*Time!AJ30/12*(1+Inputs!$F$158*Inputs!$F$46*Time!AJ41)*Inputs!$F$40</f>
        <v>3.20677504885294</v>
      </c>
      <c r="AK65" s="13" t="n">
        <f aca="false">Inputs!$F$157*AK21*Time!AK30/12*(1+Inputs!$F$158*Inputs!$F$46*Time!AK41)*Inputs!$F$40</f>
        <v>3.24185766970923</v>
      </c>
      <c r="AL65" s="13" t="n">
        <f aca="false">Inputs!$F$157*AL21*Time!AL30/12*(1+Inputs!$F$158*Inputs!$F$46*Time!AL41)*Inputs!$F$40</f>
        <v>3.2773240999277</v>
      </c>
      <c r="AM65" s="13" t="n">
        <f aca="false">Inputs!$F$157*AM21*Time!AM30/12*(1+Inputs!$F$158*Inputs!$F$46*Time!AM41)*Inputs!$F$40</f>
        <v>3.31317853844283</v>
      </c>
      <c r="AN65" s="13" t="n">
        <f aca="false">Inputs!$F$157*AN21*Time!AN30/12*(1+Inputs!$F$158*Inputs!$F$46*Time!AN41)*Inputs!$F$40</f>
        <v>3.34942523012611</v>
      </c>
      <c r="AO65" s="13" t="n">
        <f aca="false">Inputs!$F$157*AO21*Time!AO30/12*(1+Inputs!$F$158*Inputs!$F$46*Time!AO41)*Inputs!$F$40</f>
        <v>3.38606846628857</v>
      </c>
      <c r="AP65" s="13" t="n">
        <f aca="false">Inputs!$F$157*AP21*Time!AP30/12*(1+Inputs!$F$158*Inputs!$F$46*Time!AP41)*Inputs!$F$40</f>
        <v>3.42311258518888</v>
      </c>
      <c r="AQ65" s="13" t="n">
        <f aca="false">Inputs!$F$157*AQ21*Time!AQ30/12*(1+Inputs!$F$158*Inputs!$F$46*Time!AQ41)*Inputs!$F$40</f>
        <v>3.46056197254692</v>
      </c>
      <c r="AR65" s="13" t="n">
        <f aca="false">Inputs!$F$157*AR21*Time!AR30/12*(1+Inputs!$F$158*Inputs!$F$46*Time!AR41)*Inputs!$F$40</f>
        <v>3.49842106206304</v>
      </c>
      <c r="AS65" s="13" t="n">
        <f aca="false">Inputs!$F$157*AS21*Time!AS30/12*(1+Inputs!$F$158*Inputs!$F$46*Time!AS41)*Inputs!$F$40</f>
        <v>3.53669433594295</v>
      </c>
      <c r="AT65" s="13" t="n">
        <f aca="false">Inputs!$F$157*AT21*Time!AT30/12*(1+Inputs!$F$158*Inputs!$F$46*Time!AT41)*Inputs!$F$40</f>
        <v>3.57538632542843</v>
      </c>
      <c r="AU65" s="13" t="n">
        <f aca="false">Inputs!$F$157*AU21*Time!AU30/12*(1+Inputs!$F$158*Inputs!$F$46*Time!AU41)*Inputs!$F$40</f>
        <v>3.6145016113337</v>
      </c>
      <c r="AV65" s="13" t="n">
        <f aca="false">Inputs!$F$157*AV21*Time!AV30/12*(1+Inputs!$F$158*Inputs!$F$46*Time!AV41)*Inputs!$F$40</f>
        <v>3.65404482458785</v>
      </c>
      <c r="AW65" s="13" t="n">
        <f aca="false">Inputs!$F$157*AW21*Time!AW30/12*(1+Inputs!$F$158*Inputs!$F$46*Time!AW41)*Inputs!$F$40</f>
        <v>3.69402064678304</v>
      </c>
      <c r="AX65" s="13" t="n">
        <f aca="false">Inputs!$F$157*AX21*Time!AX30/12*(1+Inputs!$F$158*Inputs!$F$46*Time!AX41)*Inputs!$F$40</f>
        <v>3.73443381072878</v>
      </c>
      <c r="AY65" s="13" t="n">
        <f aca="false">Inputs!$F$157*AY21*Time!AY30/12*(1+Inputs!$F$158*Inputs!$F$46*Time!AY41)*Inputs!$F$40</f>
        <v>3.77528910101227</v>
      </c>
      <c r="AZ65" s="13" t="n">
        <f aca="false">Inputs!$F$157*AZ21*Time!AZ30/12*(1+Inputs!$F$158*Inputs!$F$46*Time!AZ41)*Inputs!$F$40</f>
        <v>3.81659135456481</v>
      </c>
      <c r="BA65" s="13" t="n">
        <f aca="false">Inputs!$F$157*BA21*Time!BA30/12*(1+Inputs!$F$158*Inputs!$F$46*Time!BA41)*Inputs!$F$40</f>
        <v>3.85834546123453</v>
      </c>
      <c r="BB65" s="13" t="n">
        <f aca="false">Inputs!$F$157*BB21*Time!BB30/12*(1+Inputs!$F$158*Inputs!$F$46*Time!BB41)*Inputs!$F$40</f>
        <v>3.90055636436524</v>
      </c>
      <c r="BC65" s="13" t="n">
        <f aca="false">Inputs!$F$157*BC21*Time!BC30/12*(1+Inputs!$F$158*Inputs!$F$46*Time!BC41)*Inputs!$F$40</f>
        <v>3.94322906138169</v>
      </c>
      <c r="BD65" s="13" t="n">
        <f aca="false">Inputs!$F$157*BD21*Time!BD30/12*(1+Inputs!$F$158*Inputs!$F$46*Time!BD41)*Inputs!$F$40</f>
        <v>3.98636860438127</v>
      </c>
      <c r="BE65" s="13" t="n">
        <f aca="false">Inputs!$F$157*BE21*Time!BE30/12*(1+Inputs!$F$158*Inputs!$F$46*Time!BE41)*Inputs!$F$40</f>
        <v>4.02998010073209</v>
      </c>
      <c r="BF65" s="13" t="n">
        <f aca="false">Inputs!$F$157*BF21*Time!BF30/12*(1+Inputs!$F$158*Inputs!$F$46*Time!BF41)*Inputs!$F$40</f>
        <v>4.07406871367766</v>
      </c>
      <c r="BG65" s="13" t="n">
        <f aca="false">Inputs!$F$157*BG21*Time!BG30/12*(1+Inputs!$F$158*Inputs!$F$46*Time!BG41)*Inputs!$F$40</f>
        <v>4.11863966294819</v>
      </c>
      <c r="BH65" s="13" t="n">
        <f aca="false">Inputs!$F$157*BH21*Time!BH30/12*(1+Inputs!$F$158*Inputs!$F$46*Time!BH41)*Inputs!$F$40</f>
        <v>4.16369822537857</v>
      </c>
      <c r="BI65" s="13" t="n">
        <f aca="false">Inputs!$F$157*BI21*Time!BI30/12*(1+Inputs!$F$158*Inputs!$F$46*Time!BI41)*Inputs!$F$40</f>
        <v>4.20924973553306</v>
      </c>
      <c r="BJ65" s="13" t="n">
        <f aca="false">Inputs!$F$157*BJ21*Time!BJ30/12*(1+Inputs!$F$158*Inputs!$F$46*Time!BJ41)*Inputs!$F$40</f>
        <v>4.2552995863369</v>
      </c>
      <c r="BK65" s="13" t="n">
        <f aca="false">Inputs!$F$157*BK21*Time!BK30/12*(1+Inputs!$F$158*Inputs!$F$46*Time!BK41)*Inputs!$F$40</f>
        <v>4.30185322971478</v>
      </c>
      <c r="BL65" s="13" t="n">
        <f aca="false">Inputs!$F$157*BL21*Time!BL30/12*(1+Inputs!$F$158*Inputs!$F$46*Time!BL41)*Inputs!$F$40</f>
        <v>4.34891617723631</v>
      </c>
      <c r="BM65" s="13" t="n">
        <f aca="false">Inputs!$F$157*BM21*Time!BM30/12*(1+Inputs!$F$158*Inputs!$F$46*Time!BM41)*Inputs!$F$40</f>
        <v>2.93099600051234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123.291031601221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0.617405032616886</v>
      </c>
      <c r="P66" s="13" t="n">
        <f aca="false">Inputs!$F$159*(Inputs!$F$218*P21+(1-Inputs!$F$218)*P27*Inputs!$F$153/P11)*Time!P30/12*Inputs!$F$40</f>
        <v>1.8724786208706</v>
      </c>
      <c r="Q66" s="13" t="n">
        <f aca="false">Inputs!$F$159*(Inputs!$F$218*Q21+(1-Inputs!$F$218)*Q27*Inputs!$F$153/Q11)*Time!Q30/12*Inputs!$F$40</f>
        <v>1.89296383000337</v>
      </c>
      <c r="R66" s="13" t="n">
        <f aca="false">Inputs!$F$159*(Inputs!$F$218*R21+(1-Inputs!$F$218)*R27*Inputs!$F$153/R11)*Time!R30/12*Inputs!$F$40</f>
        <v>1.91367315052975</v>
      </c>
      <c r="S66" s="13" t="n">
        <f aca="false">Inputs!$F$159*(Inputs!$F$218*S21+(1-Inputs!$F$218)*S27*Inputs!$F$153/S11)*Time!S30/12*Inputs!$F$40</f>
        <v>1.93460903426345</v>
      </c>
      <c r="T66" s="13" t="n">
        <f aca="false">Inputs!$F$159*(Inputs!$F$218*T21+(1-Inputs!$F$218)*T27*Inputs!$F$153/T11)*Time!T30/12*Inputs!$F$40</f>
        <v>1.9557739598414</v>
      </c>
      <c r="U66" s="13" t="n">
        <f aca="false">Inputs!$F$159*(Inputs!$F$218*U21+(1-Inputs!$F$218)*U27*Inputs!$F$153/U11)*Time!U30/12*Inputs!$F$40</f>
        <v>1.97717043301724</v>
      </c>
      <c r="V66" s="13" t="n">
        <f aca="false">Inputs!$F$159*(Inputs!$F$218*V21+(1-Inputs!$F$218)*V27*Inputs!$F$153/V11)*Time!V30/12*Inputs!$F$40</f>
        <v>1.99880098695791</v>
      </c>
      <c r="W66" s="13" t="n">
        <f aca="false">Inputs!$F$159*(Inputs!$F$218*W21+(1-Inputs!$F$218)*W27*Inputs!$F$153/W11)*Time!W30/12*Inputs!$F$40</f>
        <v>2.02066818254362</v>
      </c>
      <c r="X66" s="13" t="n">
        <f aca="false">Inputs!$F$159*(Inputs!$F$218*X21+(1-Inputs!$F$218)*X27*Inputs!$F$153/X11)*Time!X30/12*Inputs!$F$40</f>
        <v>2.04277460867099</v>
      </c>
      <c r="Y66" s="13" t="n">
        <f aca="false">Inputs!$F$159*(Inputs!$F$218*Y21+(1-Inputs!$F$218)*Y27*Inputs!$F$153/Y11)*Time!Y30/12*Inputs!$F$40</f>
        <v>2.06512288255958</v>
      </c>
      <c r="Z66" s="13" t="n">
        <f aca="false">Inputs!$F$159*(Inputs!$F$218*Z21+(1-Inputs!$F$218)*Z27*Inputs!$F$153/Z11)*Time!Z30/12*Inputs!$F$40</f>
        <v>2.08771565006175</v>
      </c>
      <c r="AA66" s="13" t="n">
        <f aca="false">Inputs!$F$159*(Inputs!$F$218*AA21+(1-Inputs!$F$218)*AA27*Inputs!$F$153/AA11)*Time!AA30/12*Inputs!$F$40</f>
        <v>2.11055558597589</v>
      </c>
      <c r="AB66" s="13" t="n">
        <f aca="false">Inputs!$F$159*(Inputs!$F$218*AB21+(1-Inputs!$F$218)*AB27*Inputs!$F$153/AB11)*Time!AB30/12*Inputs!$F$40</f>
        <v>2.13364539436311</v>
      </c>
      <c r="AC66" s="13" t="n">
        <f aca="false">Inputs!$F$159*(Inputs!$F$218*AC21+(1-Inputs!$F$218)*AC27*Inputs!$F$153/AC11)*Time!AC30/12*Inputs!$F$40</f>
        <v>2.15698780886736</v>
      </c>
      <c r="AD66" s="13" t="n">
        <f aca="false">Inputs!$F$159*(Inputs!$F$218*AD21+(1-Inputs!$F$218)*AD27*Inputs!$F$153/AD11)*Time!AD30/12*Inputs!$F$40</f>
        <v>2.1805855930391</v>
      </c>
      <c r="AE66" s="13" t="n">
        <f aca="false">Inputs!$F$159*(Inputs!$F$218*AE21+(1-Inputs!$F$218)*AE27*Inputs!$F$153/AE11)*Time!AE30/12*Inputs!$F$40</f>
        <v>2.20444154066244</v>
      </c>
      <c r="AF66" s="13" t="n">
        <f aca="false">Inputs!$F$159*(Inputs!$F$218*AF21+(1-Inputs!$F$218)*AF27*Inputs!$F$153/AF11)*Time!AF30/12*Inputs!$F$40</f>
        <v>2.22855847608596</v>
      </c>
      <c r="AG66" s="13" t="n">
        <f aca="false">Inputs!$F$159*(Inputs!$F$218*AG21+(1-Inputs!$F$218)*AG27*Inputs!$F$153/AG11)*Time!AG30/12*Inputs!$F$40</f>
        <v>2.25293925455702</v>
      </c>
      <c r="AH66" s="13" t="n">
        <f aca="false">Inputs!$F$159*(Inputs!$F$218*AH21+(1-Inputs!$F$218)*AH27*Inputs!$F$153/AH11)*Time!AH30/12*Inputs!$F$40</f>
        <v>2.27758676255985</v>
      </c>
      <c r="AI66" s="13" t="n">
        <f aca="false">Inputs!$F$159*(Inputs!$F$218*AI21+(1-Inputs!$F$218)*AI27*Inputs!$F$153/AI11)*Time!AI30/12*Inputs!$F$40</f>
        <v>2.30250391815727</v>
      </c>
      <c r="AJ66" s="13" t="n">
        <f aca="false">Inputs!$F$159*(Inputs!$F$218*AJ21+(1-Inputs!$F$218)*AJ27*Inputs!$F$153/AJ11)*Time!AJ30/12*Inputs!$F$40</f>
        <v>2.32769367133616</v>
      </c>
      <c r="AK66" s="13" t="n">
        <f aca="false">Inputs!$F$159*(Inputs!$F$218*AK21+(1-Inputs!$F$218)*AK27*Inputs!$F$153/AK11)*Time!AK30/12*Inputs!$F$40</f>
        <v>2.35315900435673</v>
      </c>
      <c r="AL66" s="13" t="n">
        <f aca="false">Inputs!$F$159*(Inputs!$F$218*AL21+(1-Inputs!$F$218)*AL27*Inputs!$F$153/AL11)*Time!AL30/12*Inputs!$F$40</f>
        <v>2.37890293210556</v>
      </c>
      <c r="AM66" s="13" t="n">
        <f aca="false">Inputs!$F$159*(Inputs!$F$218*AM21+(1-Inputs!$F$218)*AM27*Inputs!$F$153/AM11)*Time!AM30/12*Inputs!$F$40</f>
        <v>2.40492850245258</v>
      </c>
      <c r="AN66" s="13" t="n">
        <f aca="false">Inputs!$F$159*(Inputs!$F$218*AN21+(1-Inputs!$F$218)*AN27*Inputs!$F$153/AN11)*Time!AN30/12*Inputs!$F$40</f>
        <v>2.43123879661188</v>
      </c>
      <c r="AO66" s="13" t="n">
        <f aca="false">Inputs!$F$159*(Inputs!$F$218*AO21+(1-Inputs!$F$218)*AO27*Inputs!$F$153/AO11)*Time!AO30/12*Inputs!$F$40</f>
        <v>2.45783692950653</v>
      </c>
      <c r="AP66" s="13" t="n">
        <f aca="false">Inputs!$F$159*(Inputs!$F$218*AP21+(1-Inputs!$F$218)*AP27*Inputs!$F$153/AP11)*Time!AP30/12*Inputs!$F$40</f>
        <v>2.48472605013734</v>
      </c>
      <c r="AQ66" s="13" t="n">
        <f aca="false">Inputs!$F$159*(Inputs!$F$218*AQ21+(1-Inputs!$F$218)*AQ27*Inputs!$F$153/AQ11)*Time!AQ30/12*Inputs!$F$40</f>
        <v>2.51190934195568</v>
      </c>
      <c r="AR66" s="13" t="n">
        <f aca="false">Inputs!$F$159*(Inputs!$F$218*AR21+(1-Inputs!$F$218)*AR27*Inputs!$F$153/AR11)*Time!AR30/12*Inputs!$F$40</f>
        <v>2.53939002324036</v>
      </c>
      <c r="AS66" s="13" t="n">
        <f aca="false">Inputs!$F$159*(Inputs!$F$218*AS21+(1-Inputs!$F$218)*AS27*Inputs!$F$153/AS11)*Time!AS30/12*Inputs!$F$40</f>
        <v>2.5671713474787</v>
      </c>
      <c r="AT66" s="13" t="n">
        <f aca="false">Inputs!$F$159*(Inputs!$F$218*AT21+(1-Inputs!$F$218)*AT27*Inputs!$F$153/AT11)*Time!AT30/12*Inputs!$F$40</f>
        <v>2.59525660375165</v>
      </c>
      <c r="AU66" s="13" t="n">
        <f aca="false">Inputs!$F$159*(Inputs!$F$218*AU21+(1-Inputs!$F$218)*AU27*Inputs!$F$153/AU11)*Time!AU30/12*Inputs!$F$40</f>
        <v>2.62364911712323</v>
      </c>
      <c r="AV66" s="13" t="n">
        <f aca="false">Inputs!$F$159*(Inputs!$F$218*AV21+(1-Inputs!$F$218)*AV27*Inputs!$F$153/AV11)*Time!AV30/12*Inputs!$F$40</f>
        <v>2.65235224903419</v>
      </c>
      <c r="AW66" s="13" t="n">
        <f aca="false">Inputs!$F$159*(Inputs!$F$218*AW21+(1-Inputs!$F$218)*AW27*Inputs!$F$153/AW11)*Time!AW30/12*Inputs!$F$40</f>
        <v>2.68136939769994</v>
      </c>
      <c r="AX66" s="13" t="n">
        <f aca="false">Inputs!$F$159*(Inputs!$F$218*AX21+(1-Inputs!$F$218)*AX27*Inputs!$F$153/AX11)*Time!AX30/12*Inputs!$F$40</f>
        <v>2.71070399851294</v>
      </c>
      <c r="AY66" s="13" t="n">
        <f aca="false">Inputs!$F$159*(Inputs!$F$218*AY21+(1-Inputs!$F$218)*AY27*Inputs!$F$153/AY11)*Time!AY30/12*Inputs!$F$40</f>
        <v>2.74035952444934</v>
      </c>
      <c r="AZ66" s="13" t="n">
        <f aca="false">Inputs!$F$159*(Inputs!$F$218*AZ21+(1-Inputs!$F$218)*AZ27*Inputs!$F$153/AZ11)*Time!AZ30/12*Inputs!$F$40</f>
        <v>2.77033948648022</v>
      </c>
      <c r="BA66" s="13" t="n">
        <f aca="false">Inputs!$F$159*(Inputs!$F$218*BA21+(1-Inputs!$F$218)*BA27*Inputs!$F$153/BA11)*Time!BA30/12*Inputs!$F$40</f>
        <v>2.80064743398723</v>
      </c>
      <c r="BB66" s="13" t="n">
        <f aca="false">Inputs!$F$159*(Inputs!$F$218*BB21+(1-Inputs!$F$218)*BB27*Inputs!$F$153/BB11)*Time!BB30/12*Inputs!$F$40</f>
        <v>2.83128695518279</v>
      </c>
      <c r="BC66" s="13" t="n">
        <f aca="false">Inputs!$F$159*(Inputs!$F$218*BC21+(1-Inputs!$F$218)*BC27*Inputs!$F$153/BC11)*Time!BC30/12*Inputs!$F$40</f>
        <v>2.86226167753495</v>
      </c>
      <c r="BD66" s="13" t="n">
        <f aca="false">Inputs!$F$159*(Inputs!$F$218*BD21+(1-Inputs!$F$218)*BD27*Inputs!$F$153/BD11)*Time!BD30/12*Inputs!$F$40</f>
        <v>2.89357526819681</v>
      </c>
      <c r="BE66" s="13" t="n">
        <f aca="false">Inputs!$F$159*(Inputs!$F$218*BE21+(1-Inputs!$F$218)*BE27*Inputs!$F$153/BE11)*Time!BE30/12*Inputs!$F$40</f>
        <v>2.92523143444072</v>
      </c>
      <c r="BF66" s="13" t="n">
        <f aca="false">Inputs!$F$159*(Inputs!$F$218*BF21+(1-Inputs!$F$218)*BF27*Inputs!$F$153/BF11)*Time!BF30/12*Inputs!$F$40</f>
        <v>2.95723392409714</v>
      </c>
      <c r="BG66" s="13" t="n">
        <f aca="false">Inputs!$F$159*(Inputs!$F$218*BG21+(1-Inputs!$F$218)*BG27*Inputs!$F$153/BG11)*Time!BG30/12*Inputs!$F$40</f>
        <v>2.98958652599841</v>
      </c>
      <c r="BH66" s="13" t="n">
        <f aca="false">Inputs!$F$159*(Inputs!$F$218*BH21+(1-Inputs!$F$218)*BH27*Inputs!$F$153/BH11)*Time!BH30/12*Inputs!$F$40</f>
        <v>3.02229307042728</v>
      </c>
      <c r="BI66" s="13" t="n">
        <f aca="false">Inputs!$F$159*(Inputs!$F$218*BI21+(1-Inputs!$F$218)*BI27*Inputs!$F$153/BI11)*Time!BI30/12*Inputs!$F$40</f>
        <v>3.05535742957037</v>
      </c>
      <c r="BJ66" s="13" t="n">
        <f aca="false">Inputs!$F$159*(Inputs!$F$218*BJ21+(1-Inputs!$F$218)*BJ27*Inputs!$F$153/BJ11)*Time!BJ30/12*Inputs!$F$40</f>
        <v>3.08878351797668</v>
      </c>
      <c r="BK66" s="13" t="n">
        <f aca="false">Inputs!$F$159*(Inputs!$F$218*BK21+(1-Inputs!$F$218)*BK27*Inputs!$F$153/BK11)*Time!BK30/12*Inputs!$F$40</f>
        <v>3.12257529302092</v>
      </c>
      <c r="BL66" s="13" t="n">
        <f aca="false">Inputs!$F$159*(Inputs!$F$218*BL21+(1-Inputs!$F$218)*BL27*Inputs!$F$153/BL11)*Time!BL30/12*Inputs!$F$40</f>
        <v>3.15673675537216</v>
      </c>
      <c r="BM66" s="13" t="n">
        <f aca="false">Inputs!$F$159*(Inputs!$F$218*BM21+(1-Inputs!$F$218)*BM27*Inputs!$F$153/BM11)*Time!BM30/12*Inputs!$F$40</f>
        <v>2.12751463297826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27.5383929605207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0.137904129628829</v>
      </c>
      <c r="P67" s="13" t="n">
        <f aca="false">Inputs!$F$160*P27/P11*Time!P30/12*Inputs!$F$40</f>
        <v>0.418238467161933</v>
      </c>
      <c r="Q67" s="13" t="n">
        <f aca="false">Inputs!$F$160*Q27/Q11*Time!Q30/12*Inputs!$F$40</f>
        <v>0.422814061441989</v>
      </c>
      <c r="R67" s="13" t="n">
        <f aca="false">Inputs!$F$160*R27/R11*Time!R30/12*Inputs!$F$40</f>
        <v>0.427439713439496</v>
      </c>
      <c r="S67" s="13" t="n">
        <f aca="false">Inputs!$F$160*S27/S11*Time!S30/12*Inputs!$F$40</f>
        <v>0.432115970793713</v>
      </c>
      <c r="T67" s="13" t="n">
        <f aca="false">Inputs!$F$160*T27/T11*Time!T30/12*Inputs!$F$40</f>
        <v>0.436843387135164</v>
      </c>
      <c r="U67" s="13" t="n">
        <f aca="false">Inputs!$F$160*U27/U11*Time!U30/12*Inputs!$F$40</f>
        <v>0.441622522151175</v>
      </c>
      <c r="V67" s="13" t="n">
        <f aca="false">Inputs!$F$160*V27/V11*Time!V30/12*Inputs!$F$40</f>
        <v>0.446453941652138</v>
      </c>
      <c r="W67" s="13" t="n">
        <f aca="false">Inputs!$F$160*W27/W11*Time!W30/12*Inputs!$F$40</f>
        <v>0.451338217638501</v>
      </c>
      <c r="X67" s="13" t="n">
        <f aca="false">Inputs!$F$160*X27/X11*Time!X30/12*Inputs!$F$40</f>
        <v>0.456275928368485</v>
      </c>
      <c r="Y67" s="13" t="n">
        <f aca="false">Inputs!$F$160*Y27/Y11*Time!Y30/12*Inputs!$F$40</f>
        <v>0.461267658426548</v>
      </c>
      <c r="Z67" s="13" t="n">
        <f aca="false">Inputs!$F$160*Z27/Z11*Time!Z30/12*Inputs!$F$40</f>
        <v>0.466313998792592</v>
      </c>
      <c r="AA67" s="13" t="n">
        <f aca="false">Inputs!$F$160*AA27/AA11*Time!AA30/12*Inputs!$F$40</f>
        <v>0.471415546911932</v>
      </c>
      <c r="AB67" s="13" t="n">
        <f aca="false">Inputs!$F$160*AB27/AB11*Time!AB30/12*Inputs!$F$40</f>
        <v>0.476572906766029</v>
      </c>
      <c r="AC67" s="13" t="n">
        <f aca="false">Inputs!$F$160*AC27/AC11*Time!AC30/12*Inputs!$F$40</f>
        <v>0.481786688943994</v>
      </c>
      <c r="AD67" s="13" t="n">
        <f aca="false">Inputs!$F$160*AD27/AD11*Time!AD30/12*Inputs!$F$40</f>
        <v>0.487057510714881</v>
      </c>
      <c r="AE67" s="13" t="n">
        <f aca="false">Inputs!$F$160*AE27/AE11*Time!AE30/12*Inputs!$F$40</f>
        <v>0.492385996100762</v>
      </c>
      <c r="AF67" s="13" t="n">
        <f aca="false">Inputs!$F$160*AF27/AF11*Time!AF30/12*Inputs!$F$40</f>
        <v>0.497772775950609</v>
      </c>
      <c r="AG67" s="13" t="n">
        <f aca="false">Inputs!$F$160*AG27/AG11*Time!AG30/12*Inputs!$F$40</f>
        <v>0.503218488014979</v>
      </c>
      <c r="AH67" s="13" t="n">
        <f aca="false">Inputs!$F$160*AH27/AH11*Time!AH30/12*Inputs!$F$40</f>
        <v>0.508723777021522</v>
      </c>
      <c r="AI67" s="13" t="n">
        <f aca="false">Inputs!$F$160*AI27/AI11*Time!AI30/12*Inputs!$F$40</f>
        <v>0.514289294751309</v>
      </c>
      <c r="AJ67" s="13" t="n">
        <f aca="false">Inputs!$F$160*AJ27/AJ11*Time!AJ30/12*Inputs!$F$40</f>
        <v>0.519915700115996</v>
      </c>
      <c r="AK67" s="13" t="n">
        <f aca="false">Inputs!$F$160*AK27/AK11*Time!AK30/12*Inputs!$F$40</f>
        <v>0.525603659235837</v>
      </c>
      <c r="AL67" s="13" t="n">
        <f aca="false">Inputs!$F$160*AL27/AL11*Time!AL30/12*Inputs!$F$40</f>
        <v>0.531353845518548</v>
      </c>
      <c r="AM67" s="13" t="n">
        <f aca="false">Inputs!$F$160*AM27/AM11*Time!AM30/12*Inputs!$F$40</f>
        <v>0.537166939739026</v>
      </c>
      <c r="AN67" s="13" t="n">
        <f aca="false">Inputs!$F$160*AN27/AN11*Time!AN30/12*Inputs!$F$40</f>
        <v>0.543043630119956</v>
      </c>
      <c r="AO67" s="13" t="n">
        <f aca="false">Inputs!$F$160*AO27/AO11*Time!AO30/12*Inputs!$F$40</f>
        <v>0.548984612413284</v>
      </c>
      <c r="AP67" s="13" t="n">
        <f aca="false">Inputs!$F$160*AP27/AP11*Time!AP30/12*Inputs!$F$40</f>
        <v>0.554990589982595</v>
      </c>
      <c r="AQ67" s="13" t="n">
        <f aca="false">Inputs!$F$160*AQ27/AQ11*Time!AQ30/12*Inputs!$F$40</f>
        <v>0.561062273886377</v>
      </c>
      <c r="AR67" s="13" t="n">
        <f aca="false">Inputs!$F$160*AR27/AR11*Time!AR30/12*Inputs!$F$40</f>
        <v>0.567200382962212</v>
      </c>
      <c r="AS67" s="13" t="n">
        <f aca="false">Inputs!$F$160*AS27/AS11*Time!AS30/12*Inputs!$F$40</f>
        <v>0.573405643911877</v>
      </c>
      <c r="AT67" s="13" t="n">
        <f aca="false">Inputs!$F$160*AT27/AT11*Time!AT30/12*Inputs!$F$40</f>
        <v>0.57967879138738</v>
      </c>
      <c r="AU67" s="13" t="n">
        <f aca="false">Inputs!$F$160*AU27/AU11*Time!AU30/12*Inputs!$F$40</f>
        <v>0.586020568077938</v>
      </c>
      <c r="AV67" s="13" t="n">
        <f aca="false">Inputs!$F$160*AV27/AV11*Time!AV30/12*Inputs!$F$40</f>
        <v>0.592431724797903</v>
      </c>
      <c r="AW67" s="13" t="n">
        <f aca="false">Inputs!$F$160*AW27/AW11*Time!AW30/12*Inputs!$F$40</f>
        <v>0.598913020575653</v>
      </c>
      <c r="AX67" s="13" t="n">
        <f aca="false">Inputs!$F$160*AX27/AX11*Time!AX30/12*Inputs!$F$40</f>
        <v>0.605465222743457</v>
      </c>
      <c r="AY67" s="13" t="n">
        <f aca="false">Inputs!$F$160*AY27/AY11*Time!AY30/12*Inputs!$F$40</f>
        <v>0.612089107028317</v>
      </c>
      <c r="AZ67" s="13" t="n">
        <f aca="false">Inputs!$F$160*AZ27/AZ11*Time!AZ30/12*Inputs!$F$40</f>
        <v>0.618785457643813</v>
      </c>
      <c r="BA67" s="13" t="n">
        <f aca="false">Inputs!$F$160*BA27/BA11*Time!BA30/12*Inputs!$F$40</f>
        <v>0.62555506738294</v>
      </c>
      <c r="BB67" s="13" t="n">
        <f aca="false">Inputs!$F$160*BB27/BB11*Time!BB30/12*Inputs!$F$40</f>
        <v>0.632398737711976</v>
      </c>
      <c r="BC67" s="13" t="n">
        <f aca="false">Inputs!$F$160*BC27/BC11*Time!BC30/12*Inputs!$F$40</f>
        <v>0.639317278865365</v>
      </c>
      <c r="BD67" s="13" t="n">
        <f aca="false">Inputs!$F$160*BD27/BD11*Time!BD30/12*Inputs!$F$40</f>
        <v>0.64631150994164</v>
      </c>
      <c r="BE67" s="13" t="n">
        <f aca="false">Inputs!$F$160*BE27/BE11*Time!BE30/12*Inputs!$F$40</f>
        <v>0.653382259000403</v>
      </c>
      <c r="BF67" s="13" t="n">
        <f aca="false">Inputs!$F$160*BF27/BF11*Time!BF30/12*Inputs!$F$40</f>
        <v>0.660530363160356</v>
      </c>
      <c r="BG67" s="13" t="n">
        <f aca="false">Inputs!$F$160*BG27/BG11*Time!BG30/12*Inputs!$F$40</f>
        <v>0.667756668698412</v>
      </c>
      <c r="BH67" s="13" t="n">
        <f aca="false">Inputs!$F$160*BH27/BH11*Time!BH30/12*Inputs!$F$40</f>
        <v>0.675062031149884</v>
      </c>
      <c r="BI67" s="13" t="n">
        <f aca="false">Inputs!$F$160*BI27/BI11*Time!BI30/12*Inputs!$F$40</f>
        <v>0.682447315409777</v>
      </c>
      <c r="BJ67" s="13" t="n">
        <f aca="false">Inputs!$F$160*BJ27/BJ11*Time!BJ30/12*Inputs!$F$40</f>
        <v>0.689913395835181</v>
      </c>
      <c r="BK67" s="13" t="n">
        <f aca="false">Inputs!$F$160*BK27/BK11*Time!BK30/12*Inputs!$F$40</f>
        <v>0.697461156348792</v>
      </c>
      <c r="BL67" s="13" t="n">
        <f aca="false">Inputs!$F$160*BL27/BL11*Time!BL30/12*Inputs!$F$40</f>
        <v>0.705091490543555</v>
      </c>
      <c r="BM67" s="13" t="n">
        <f aca="false">Inputs!$F$160*BM27/BM11*Time!BM30/12*Inputs!$F$40</f>
        <v>0.475203534525644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20.0420654484103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0.120001231992609</v>
      </c>
      <c r="P68" s="13" t="n">
        <f aca="false">Inputs!$F$161/100*P55</f>
        <v>0.361555504232329</v>
      </c>
      <c r="Q68" s="13" t="n">
        <f aca="false">Inputs!$F$161/100*Q55</f>
        <v>0.361866385963243</v>
      </c>
      <c r="R68" s="13" t="n">
        <f aca="false">Inputs!$F$161/100*R55</f>
        <v>0.36092993936893</v>
      </c>
      <c r="S68" s="13" t="n">
        <f aca="false">Inputs!$F$161/100*S55</f>
        <v>0.363764557366101</v>
      </c>
      <c r="T68" s="13" t="n">
        <f aca="false">Inputs!$F$161/100*T55</f>
        <v>0.367891381205855</v>
      </c>
      <c r="U68" s="13" t="n">
        <f aca="false">Inputs!$F$161/100*U55</f>
        <v>0.365003154623652</v>
      </c>
      <c r="V68" s="13" t="n">
        <f aca="false">Inputs!$F$161/100*V55</f>
        <v>0.357557197949066</v>
      </c>
      <c r="W68" s="13" t="n">
        <f aca="false">Inputs!$F$161/100*W55</f>
        <v>0.363713396363196</v>
      </c>
      <c r="X68" s="13" t="n">
        <f aca="false">Inputs!$F$161/100*X55</f>
        <v>0.37450365723344</v>
      </c>
      <c r="Y68" s="13" t="n">
        <f aca="false">Inputs!$F$161/100*Y55</f>
        <v>0.374908526667198</v>
      </c>
      <c r="Z68" s="13" t="n">
        <f aca="false">Inputs!$F$161/100*Z55</f>
        <v>0.374021137699966</v>
      </c>
      <c r="AA68" s="13" t="n">
        <f aca="false">Inputs!$F$161/100*AA55</f>
        <v>0.377042193729379</v>
      </c>
      <c r="AB68" s="13" t="n">
        <f aca="false">Inputs!$F$161/100*AB55</f>
        <v>0.381404385386414</v>
      </c>
      <c r="AC68" s="13" t="n">
        <f aca="false">Inputs!$F$161/100*AC55</f>
        <v>0.375714480877568</v>
      </c>
      <c r="AD68" s="13" t="n">
        <f aca="false">Inputs!$F$161/100*AD55</f>
        <v>0.362477357548549</v>
      </c>
      <c r="AE68" s="13" t="n">
        <f aca="false">Inputs!$F$161/100*AE55</f>
        <v>0.371713303373347</v>
      </c>
      <c r="AF68" s="13" t="n">
        <f aca="false">Inputs!$F$161/100*AF55</f>
        <v>0.388606144128054</v>
      </c>
      <c r="AG68" s="13" t="n">
        <f aca="false">Inputs!$F$161/100*AG55</f>
        <v>0.389113375489155</v>
      </c>
      <c r="AH68" s="13" t="n">
        <f aca="false">Inputs!$F$161/100*AH55</f>
        <v>0.388279412797966</v>
      </c>
      <c r="AI68" s="13" t="n">
        <f aca="false">Inputs!$F$161/100*AI55</f>
        <v>0.391503522845149</v>
      </c>
      <c r="AJ68" s="13" t="n">
        <f aca="false">Inputs!$F$161/100*AJ55</f>
        <v>0.396122060205718</v>
      </c>
      <c r="AK68" s="13" t="n">
        <f aca="false">Inputs!$F$161/100*AK55</f>
        <v>0.393188162026621</v>
      </c>
      <c r="AL68" s="13" t="n">
        <f aca="false">Inputs!$F$161/100*AL55</f>
        <v>0.385339923937183</v>
      </c>
      <c r="AM68" s="13" t="n">
        <f aca="false">Inputs!$F$161/100*AM55</f>
        <v>0.392150435240544</v>
      </c>
      <c r="AN68" s="13" t="n">
        <f aca="false">Inputs!$F$161/100*AN55</f>
        <v>0.403965832539991</v>
      </c>
      <c r="AO68" s="13" t="n">
        <f aca="false">Inputs!$F$161/100*AO55</f>
        <v>0.404584545868358</v>
      </c>
      <c r="AP68" s="13" t="n">
        <f aca="false">Inputs!$F$161/100*AP55</f>
        <v>0.4038087669601</v>
      </c>
      <c r="AQ68" s="13" t="n">
        <f aca="false">Inputs!$F$161/100*AQ55</f>
        <v>0.407254027263284</v>
      </c>
      <c r="AR68" s="13" t="n">
        <f aca="false">Inputs!$F$161/100*AR55</f>
        <v>0.412151757154237</v>
      </c>
      <c r="AS68" s="13" t="n">
        <f aca="false">Inputs!$F$161/100*AS55</f>
        <v>0.406186643055626</v>
      </c>
      <c r="AT68" s="13" t="n">
        <f aca="false">Inputs!$F$161/100*AT55</f>
        <v>0.392053195395647</v>
      </c>
      <c r="AU68" s="13" t="n">
        <f aca="false">Inputs!$F$161/100*AU55</f>
        <v>0.402224758057532</v>
      </c>
      <c r="AV68" s="13" t="n">
        <f aca="false">Inputs!$F$161/100*AV55</f>
        <v>0.42069475318986</v>
      </c>
      <c r="AW68" s="13" t="n">
        <f aca="false">Inputs!$F$161/100*AW55</f>
        <v>0.421434880734001</v>
      </c>
      <c r="AX68" s="13" t="n">
        <f aca="false">Inputs!$F$161/100*AX55</f>
        <v>0.420722466569764</v>
      </c>
      <c r="AY68" s="13" t="n">
        <f aca="false">Inputs!$F$161/100*AY55</f>
        <v>0.424408585432233</v>
      </c>
      <c r="AZ68" s="13" t="n">
        <f aca="false">Inputs!$F$161/100*AZ55</f>
        <v>0.429610390054521</v>
      </c>
      <c r="BA68" s="13" t="n">
        <f aca="false">Inputs!$F$161/100*BA55</f>
        <v>0.426622291631176</v>
      </c>
      <c r="BB68" s="13" t="n">
        <f aca="false">Inputs!$F$161/100*BB55</f>
        <v>0.418296829498309</v>
      </c>
      <c r="BC68" s="13" t="n">
        <f aca="false">Inputs!$F$161/100*BC55</f>
        <v>0.425883488107603</v>
      </c>
      <c r="BD68" s="13" t="n">
        <f aca="false">Inputs!$F$161/100*BD55</f>
        <v>0.438914915752637</v>
      </c>
      <c r="BE68" s="13" t="n">
        <f aca="false">Inputs!$F$161/100*BE55</f>
        <v>0.439787274270411</v>
      </c>
      <c r="BF68" s="13" t="n">
        <f aca="false">Inputs!$F$161/100*BF55</f>
        <v>0.439143866938232</v>
      </c>
      <c r="BG68" s="13" t="n">
        <f aca="false">Inputs!$F$161/100*BG55</f>
        <v>0.443092308272853</v>
      </c>
      <c r="BH68" s="13" t="n">
        <f aca="false">Inputs!$F$161/100*BH55</f>
        <v>0.448625286449628</v>
      </c>
      <c r="BI68" s="13" t="n">
        <f aca="false">Inputs!$F$161/100*BI55</f>
        <v>0.44233368506038</v>
      </c>
      <c r="BJ68" s="13" t="n">
        <f aca="false">Inputs!$F$161/100*BJ55</f>
        <v>0.427136965111938</v>
      </c>
      <c r="BK68" s="13" t="n">
        <f aca="false">Inputs!$F$161/100*BK55</f>
        <v>0.438418360475939</v>
      </c>
      <c r="BL68" s="13" t="n">
        <f aca="false">Inputs!$F$161/100*BL55</f>
        <v>0.458759197323601</v>
      </c>
      <c r="BM68" s="13" t="n">
        <f aca="false">Inputs!$F$161/100*BM55</f>
        <v>0.30757954899125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125.399469349463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0.65019426958431</v>
      </c>
      <c r="P69" s="13" t="n">
        <f aca="false">Inputs!$F$162*(Inputs!$F$219*P21+(1-Inputs!$F$219)*P27*Inputs!$F$153/P11)*P38/1000000</f>
        <v>1.97093640541798</v>
      </c>
      <c r="Q69" s="13" t="n">
        <f aca="false">Inputs!$F$162*(Inputs!$F$219*Q21+(1-Inputs!$F$219)*Q27*Inputs!$F$153/Q11)*Q38/1000000</f>
        <v>1.98416151323215</v>
      </c>
      <c r="R69" s="13" t="n">
        <f aca="false">Inputs!$F$162*(Inputs!$F$219*R21+(1-Inputs!$F$219)*R27*Inputs!$F$153/R11)*R38/1000000</f>
        <v>1.99053889112733</v>
      </c>
      <c r="S69" s="13" t="n">
        <f aca="false">Inputs!$F$162*(Inputs!$F$219*S21+(1-Inputs!$F$219)*S27*Inputs!$F$153/S11)*S38/1000000</f>
        <v>2.01778520308036</v>
      </c>
      <c r="T69" s="13" t="n">
        <f aca="false">Inputs!$F$162*(Inputs!$F$219*T21+(1-Inputs!$F$219)*T27*Inputs!$F$153/T11)*T38/1000000</f>
        <v>2.05243184354458</v>
      </c>
      <c r="U69" s="13" t="n">
        <f aca="false">Inputs!$F$162*(Inputs!$F$219*U21+(1-Inputs!$F$219)*U27*Inputs!$F$153/U11)*U38/1000000</f>
        <v>2.04799123364797</v>
      </c>
      <c r="V69" s="13" t="n">
        <f aca="false">Inputs!$F$162*(Inputs!$F$219*V21+(1-Inputs!$F$219)*V27*Inputs!$F$153/V11)*V38/1000000</f>
        <v>2.01765583442615</v>
      </c>
      <c r="W69" s="13" t="n">
        <f aca="false">Inputs!$F$162*(Inputs!$F$219*W21+(1-Inputs!$F$219)*W27*Inputs!$F$153/W11)*W38/1000000</f>
        <v>2.06404265083291</v>
      </c>
      <c r="X69" s="13" t="n">
        <f aca="false">Inputs!$F$162*(Inputs!$F$219*X21+(1-Inputs!$F$219)*X27*Inputs!$F$153/X11)*X38/1000000</f>
        <v>2.13727762710248</v>
      </c>
      <c r="Y69" s="13" t="n">
        <f aca="false">Inputs!$F$162*(Inputs!$F$219*Y21+(1-Inputs!$F$219)*Y27*Inputs!$F$153/Y11)*Y38/1000000</f>
        <v>2.1516091347461</v>
      </c>
      <c r="Z69" s="13" t="n">
        <f aca="false">Inputs!$F$162*(Inputs!$F$219*Z21+(1-Inputs!$F$219)*Z27*Inputs!$F$153/Z11)*Z38/1000000</f>
        <v>2.15851490679419</v>
      </c>
      <c r="AA69" s="13" t="n">
        <f aca="false">Inputs!$F$162*(Inputs!$F$219*AA21+(1-Inputs!$F$219)*AA27*Inputs!$F$153/AA11)*AA38/1000000</f>
        <v>2.18805050333905</v>
      </c>
      <c r="AB69" s="13" t="n">
        <f aca="false">Inputs!$F$162*(Inputs!$F$219*AB21+(1-Inputs!$F$219)*AB27*Inputs!$F$153/AB11)*AB38/1000000</f>
        <v>2.22561056431131</v>
      </c>
      <c r="AC69" s="13" t="n">
        <f aca="false">Inputs!$F$162*(Inputs!$F$219*AC21+(1-Inputs!$F$219)*AC27*Inputs!$F$153/AC11)*AC38/1000000</f>
        <v>2.20447476630006</v>
      </c>
      <c r="AD69" s="13" t="n">
        <f aca="false">Inputs!$F$162*(Inputs!$F$219*AD21+(1-Inputs!$F$219)*AD27*Inputs!$F$153/AD11)*AD38/1000000</f>
        <v>2.13845133956408</v>
      </c>
      <c r="AE69" s="13" t="n">
        <f aca="false">Inputs!$F$162*(Inputs!$F$219*AE21+(1-Inputs!$F$219)*AE27*Inputs!$F$153/AE11)*AE38/1000000</f>
        <v>2.20488251407145</v>
      </c>
      <c r="AF69" s="13" t="n">
        <f aca="false">Inputs!$F$162*(Inputs!$F$219*AF21+(1-Inputs!$F$219)*AF27*Inputs!$F$153/AF11)*AF38/1000000</f>
        <v>2.31757300519285</v>
      </c>
      <c r="AG69" s="13" t="n">
        <f aca="false">Inputs!$F$162*(Inputs!$F$219*AG21+(1-Inputs!$F$219)*AG27*Inputs!$F$153/AG11)*AG38/1000000</f>
        <v>2.33310277060442</v>
      </c>
      <c r="AH69" s="13" t="n">
        <f aca="false">Inputs!$F$162*(Inputs!$F$219*AH21+(1-Inputs!$F$219)*AH27*Inputs!$F$153/AH11)*AH38/1000000</f>
        <v>2.34058029898133</v>
      </c>
      <c r="AI69" s="13" t="n">
        <f aca="false">Inputs!$F$162*(Inputs!$F$219*AI21+(1-Inputs!$F$219)*AI27*Inputs!$F$153/AI11)*AI38/1000000</f>
        <v>2.37259622334724</v>
      </c>
      <c r="AJ69" s="13" t="n">
        <f aca="false">Inputs!$F$162*(Inputs!$F$219*AJ21+(1-Inputs!$F$219)*AJ27*Inputs!$F$153/AJ11)*AJ38/1000000</f>
        <v>2.41331306389446</v>
      </c>
      <c r="AK69" s="13" t="n">
        <f aca="false">Inputs!$F$162*(Inputs!$F$219*AK21+(1-Inputs!$F$219)*AK27*Inputs!$F$153/AK11)*AK38/1000000</f>
        <v>2.40806954336786</v>
      </c>
      <c r="AL69" s="13" t="n">
        <f aca="false">Inputs!$F$162*(Inputs!$F$219*AL21+(1-Inputs!$F$219)*AL27*Inputs!$F$153/AL11)*AL38/1000000</f>
        <v>2.3723787481018</v>
      </c>
      <c r="AM69" s="13" t="n">
        <f aca="false">Inputs!$F$162*(Inputs!$F$219*AM21+(1-Inputs!$F$219)*AM27*Inputs!$F$153/AM11)*AM38/1000000</f>
        <v>2.42689844988044</v>
      </c>
      <c r="AN69" s="13" t="n">
        <f aca="false">Inputs!$F$162*(Inputs!$F$219*AN21+(1-Inputs!$F$219)*AN27*Inputs!$F$153/AN11)*AN38/1000000</f>
        <v>2.51298484982576</v>
      </c>
      <c r="AO69" s="13" t="n">
        <f aca="false">Inputs!$F$162*(Inputs!$F$219*AO21+(1-Inputs!$F$219)*AO27*Inputs!$F$153/AO11)*AO38/1000000</f>
        <v>2.52981228792692</v>
      </c>
      <c r="AP69" s="13" t="n">
        <f aca="false">Inputs!$F$162*(Inputs!$F$219*AP21+(1-Inputs!$F$219)*AP27*Inputs!$F$153/AP11)*AP38/1000000</f>
        <v>2.53790845159324</v>
      </c>
      <c r="AQ69" s="13" t="n">
        <f aca="false">Inputs!$F$162*(Inputs!$F$219*AQ21+(1-Inputs!$F$219)*AQ27*Inputs!$F$153/AQ11)*AQ38/1000000</f>
        <v>2.57261156114282</v>
      </c>
      <c r="AR69" s="13" t="n">
        <f aca="false">Inputs!$F$162*(Inputs!$F$219*AR21+(1-Inputs!$F$219)*AR27*Inputs!$F$153/AR11)*AR38/1000000</f>
        <v>2.61674870795301</v>
      </c>
      <c r="AS69" s="13" t="n">
        <f aca="false">Inputs!$F$162*(Inputs!$F$219*AS21+(1-Inputs!$F$219)*AS27*Inputs!$F$153/AS11)*AS38/1000000</f>
        <v>2.59187432342663</v>
      </c>
      <c r="AT69" s="13" t="n">
        <f aca="false">Inputs!$F$162*(Inputs!$F$219*AT21+(1-Inputs!$F$219)*AT27*Inputs!$F$153/AT11)*AT38/1000000</f>
        <v>2.51422497755151</v>
      </c>
      <c r="AU69" s="13" t="n">
        <f aca="false">Inputs!$F$162*(Inputs!$F$219*AU21+(1-Inputs!$F$219)*AU27*Inputs!$F$153/AU11)*AU38/1000000</f>
        <v>2.59230542210422</v>
      </c>
      <c r="AV69" s="13" t="n">
        <f aca="false">Inputs!$F$162*(Inputs!$F$219*AV21+(1-Inputs!$F$219)*AV27*Inputs!$F$153/AV11)*AV38/1000000</f>
        <v>2.72477146860836</v>
      </c>
      <c r="AW69" s="13" t="n">
        <f aca="false">Inputs!$F$162*(Inputs!$F$219*AW21+(1-Inputs!$F$219)*AW27*Inputs!$F$153/AW11)*AW38/1000000</f>
        <v>2.7430041660843</v>
      </c>
      <c r="AX69" s="13" t="n">
        <f aca="false">Inputs!$F$162*(Inputs!$F$219*AX21+(1-Inputs!$F$219)*AX27*Inputs!$F$153/AX11)*AX38/1000000</f>
        <v>2.75176964180345</v>
      </c>
      <c r="AY69" s="13" t="n">
        <f aca="false">Inputs!$F$162*(Inputs!$F$219*AY21+(1-Inputs!$F$219)*AY27*Inputs!$F$153/AY11)*AY38/1000000</f>
        <v>2.78938390434254</v>
      </c>
      <c r="AZ69" s="13" t="n">
        <f aca="false">Inputs!$F$162*(Inputs!$F$219*AZ21+(1-Inputs!$F$219)*AZ27*Inputs!$F$153/AZ11)*AZ38/1000000</f>
        <v>2.83722670718504</v>
      </c>
      <c r="BA69" s="13" t="n">
        <f aca="false">Inputs!$F$162*(Inputs!$F$219*BA21+(1-Inputs!$F$219)*BA27*Inputs!$F$153/BA11)*BA38/1000000</f>
        <v>2.83103548959112</v>
      </c>
      <c r="BB69" s="13" t="n">
        <f aca="false">Inputs!$F$162*(Inputs!$F$219*BB21+(1-Inputs!$F$219)*BB27*Inputs!$F$153/BB11)*BB38/1000000</f>
        <v>2.78904949125221</v>
      </c>
      <c r="BC69" s="13" t="n">
        <f aca="false">Inputs!$F$162*(Inputs!$F$219*BC21+(1-Inputs!$F$219)*BC27*Inputs!$F$153/BC11)*BC38/1000000</f>
        <v>2.85311778493833</v>
      </c>
      <c r="BD69" s="13" t="n">
        <f aca="false">Inputs!$F$162*(Inputs!$F$219*BD21+(1-Inputs!$F$219)*BD27*Inputs!$F$153/BD11)*BD38/1000000</f>
        <v>2.95429501410374</v>
      </c>
      <c r="BE69" s="13" t="n">
        <f aca="false">Inputs!$F$162*(Inputs!$F$219*BE21+(1-Inputs!$F$219)*BE27*Inputs!$F$153/BE11)*BE38/1000000</f>
        <v>2.97404939350194</v>
      </c>
      <c r="BF69" s="13" t="n">
        <f aca="false">Inputs!$F$162*(Inputs!$F$219*BF21+(1-Inputs!$F$219)*BF27*Inputs!$F$153/BF11)*BF38/1000000</f>
        <v>2.98353895888527</v>
      </c>
      <c r="BG69" s="13" t="n">
        <f aca="false">Inputs!$F$162*(Inputs!$F$219*BG21+(1-Inputs!$F$219)*BG27*Inputs!$F$153/BG11)*BG38/1000000</f>
        <v>3.02430685395941</v>
      </c>
      <c r="BH69" s="13" t="n">
        <f aca="false">Inputs!$F$162*(Inputs!$F$219*BH21+(1-Inputs!$F$219)*BH27*Inputs!$F$153/BH11)*BH38/1000000</f>
        <v>3.07616427544997</v>
      </c>
      <c r="BI69" s="13" t="n">
        <f aca="false">Inputs!$F$162*(Inputs!$F$219*BI21+(1-Inputs!$F$219)*BI27*Inputs!$F$153/BI11)*BI38/1000000</f>
        <v>3.0468937358848</v>
      </c>
      <c r="BJ69" s="13" t="n">
        <f aca="false">Inputs!$F$162*(Inputs!$F$219*BJ21+(1-Inputs!$F$219)*BJ27*Inputs!$F$153/BJ11)*BJ38/1000000</f>
        <v>2.95558437217447</v>
      </c>
      <c r="BK69" s="13" t="n">
        <f aca="false">Inputs!$F$162*(Inputs!$F$219*BK21+(1-Inputs!$F$219)*BK27*Inputs!$F$153/BK11)*BK38/1000000</f>
        <v>3.04734232124974</v>
      </c>
      <c r="BL69" s="13" t="n">
        <f aca="false">Inputs!$F$162*(Inputs!$F$219*BL21+(1-Inputs!$F$219)*BL27*Inputs!$F$153/BL11)*BL38/1000000</f>
        <v>3.20302996469778</v>
      </c>
      <c r="BM69" s="13" t="n">
        <f aca="false">Inputs!$F$162*(Inputs!$F$219*BM21+(1-Inputs!$F$219)*BM27*Inputs!$F$153/BM11)*BM38/1000000</f>
        <v>2.15731391973376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1139.38450718005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5.77236199318499</v>
      </c>
      <c r="P72" s="13" t="n">
        <f aca="false">P60+P61+P62+P64+P65+P66+P67+P68+P69+P70+P71</f>
        <v>17.5000674052607</v>
      </c>
      <c r="Q72" s="13" t="n">
        <f aca="false">Q60+Q61+Q62+Q64+Q65+Q66+Q67+Q68+Q69+Q70+Q71</f>
        <v>17.6754967285715</v>
      </c>
      <c r="R72" s="13" t="n">
        <f aca="false">R60+R61+R62+R64+R65+R66+R67+R68+R69+R70+R71</f>
        <v>17.8436180657435</v>
      </c>
      <c r="S72" s="13" t="n">
        <f aca="false">S60+S61+S62+S64+S65+S66+S67+S68+S69+S70+S71</f>
        <v>18.0410662659607</v>
      </c>
      <c r="T72" s="13" t="n">
        <f aca="false">T60+T61+T62+T64+T65+T66+T67+T68+T69+T70+T71</f>
        <v>18.2500186162075</v>
      </c>
      <c r="U72" s="13" t="n">
        <f aca="false">U60+U61+U62+U64+U65+U66+U67+U68+U69+U70+U71</f>
        <v>18.4092336468936</v>
      </c>
      <c r="V72" s="13" t="n">
        <f aca="false">V60+V61+V62+V64+V65+V66+V67+V68+V69+V70+V71</f>
        <v>18.5359500523814</v>
      </c>
      <c r="W72" s="13" t="n">
        <f aca="false">W60+W61+W62+W64+W65+W66+W67+W68+W69+W70+W71</f>
        <v>18.7659837852777</v>
      </c>
      <c r="X72" s="13" t="n">
        <f aca="false">X60+X61+X62+X64+X65+X66+X67+X68+X69+X70+X71</f>
        <v>19.0330503130866</v>
      </c>
      <c r="Y72" s="13" t="n">
        <f aca="false">Y60+Y61+Y62+Y64+Y65+Y66+Y67+Y68+Y69+Y70+Y71</f>
        <v>19.2244037088277</v>
      </c>
      <c r="Z72" s="13" t="n">
        <f aca="false">Z60+Z61+Z62+Z64+Z65+Z66+Z67+Z68+Z69+Z70+Z71</f>
        <v>19.4078977643877</v>
      </c>
      <c r="AA72" s="13" t="n">
        <f aca="false">AA60+AA61+AA62+AA64+AA65+AA66+AA67+AA68+AA69+AA70+AA71</f>
        <v>19.6230432092789</v>
      </c>
      <c r="AB72" s="13" t="n">
        <f aca="false">AB60+AB61+AB62+AB64+AB65+AB66+AB67+AB68+AB69+AB70+AB71</f>
        <v>19.8506215774233</v>
      </c>
      <c r="AC72" s="13" t="n">
        <f aca="false">AC60+AC61+AC62+AC64+AC65+AC66+AC67+AC68+AC69+AC70+AC71</f>
        <v>20.0031523083042</v>
      </c>
      <c r="AD72" s="13" t="n">
        <f aca="false">AD60+AD61+AD62+AD64+AD65+AD66+AD67+AD68+AD69+AD70+AD71</f>
        <v>20.0981609104598</v>
      </c>
      <c r="AE72" s="13" t="n">
        <f aca="false">AE60+AE61+AE62+AE64+AE65+AE66+AE67+AE68+AE69+AE70+AE71</f>
        <v>20.3700670795621</v>
      </c>
      <c r="AF72" s="13" t="n">
        <f aca="false">AF60+AF61+AF62+AF64+AF65+AF66+AF67+AF68+AF69+AF70+AF71</f>
        <v>20.7042558417742</v>
      </c>
      <c r="AG72" s="13" t="n">
        <f aca="false">AG60+AG61+AG62+AG64+AG65+AG66+AG67+AG68+AG69+AG70+AG71</f>
        <v>20.912972614521</v>
      </c>
      <c r="AH72" s="13" t="n">
        <f aca="false">AH60+AH61+AH62+AH64+AH65+AH66+AH67+AH68+AH69+AH70+AH71</f>
        <v>21.1132327018354</v>
      </c>
      <c r="AI72" s="13" t="n">
        <f aca="false">AI60+AI61+AI62+AI64+AI65+AI66+AI67+AI68+AI69+AI70+AI71</f>
        <v>21.3476673997366</v>
      </c>
      <c r="AJ72" s="13" t="n">
        <f aca="false">AJ60+AJ61+AJ62+AJ64+AJ65+AJ66+AJ67+AJ68+AJ69+AJ70+AJ71</f>
        <v>21.5955437276406</v>
      </c>
      <c r="AK72" s="13" t="n">
        <f aca="false">AK60+AK61+AK62+AK64+AK65+AK66+AK67+AK68+AK69+AK70+AK71</f>
        <v>21.7855809868883</v>
      </c>
      <c r="AL72" s="13" t="n">
        <f aca="false">AL60+AL61+AL62+AL64+AL65+AL66+AL67+AL68+AL69+AL70+AL71</f>
        <v>21.9378214280453</v>
      </c>
      <c r="AM72" s="13" t="n">
        <f aca="false">AM60+AM61+AM62+AM64+AM65+AM66+AM67+AM68+AM69+AM70+AM71</f>
        <v>22.2103948776506</v>
      </c>
      <c r="AN72" s="13" t="n">
        <f aca="false">AN60+AN61+AN62+AN64+AN65+AN66+AN67+AN68+AN69+AN70+AN71</f>
        <v>22.5261460085261</v>
      </c>
      <c r="AO72" s="13" t="n">
        <f aca="false">AO60+AO61+AO62+AO64+AO65+AO66+AO67+AO68+AO69+AO70+AO71</f>
        <v>22.7537955500382</v>
      </c>
      <c r="AP72" s="13" t="n">
        <f aca="false">AP60+AP61+AP62+AP64+AP65+AP66+AP67+AP68+AP69+AP70+AP71</f>
        <v>22.9723412645779</v>
      </c>
      <c r="AQ72" s="13" t="n">
        <f aca="false">AQ60+AQ61+AQ62+AQ64+AQ65+AQ66+AQ67+AQ68+AQ69+AQ70+AQ71</f>
        <v>23.2278004203701</v>
      </c>
      <c r="AR72" s="13" t="n">
        <f aca="false">AR60+AR61+AR62+AR64+AR65+AR66+AR67+AR68+AR69+AR70+AR71</f>
        <v>23.4977967036565</v>
      </c>
      <c r="AS72" s="13" t="n">
        <f aca="false">AS60+AS61+AS62+AS64+AS65+AS66+AS67+AS68+AS69+AS70+AS71</f>
        <v>23.6804209505937</v>
      </c>
      <c r="AT72" s="13" t="n">
        <f aca="false">AT60+AT61+AT62+AT64+AT65+AT66+AT67+AT68+AT69+AT70+AT71</f>
        <v>23.7960471987282</v>
      </c>
      <c r="AU72" s="13" t="n">
        <f aca="false">AU60+AU61+AU62+AU64+AU65+AU66+AU67+AU68+AU69+AU70+AU71</f>
        <v>24.1178560490497</v>
      </c>
      <c r="AV72" s="13" t="n">
        <f aca="false">AV60+AV61+AV62+AV64+AV65+AV66+AV67+AV68+AV69+AV70+AV71</f>
        <v>24.5123063081231</v>
      </c>
      <c r="AW72" s="13" t="n">
        <f aca="false">AW60+AW61+AW62+AW64+AW65+AW66+AW67+AW68+AW69+AW70+AW71</f>
        <v>24.760599854422</v>
      </c>
      <c r="AX72" s="13" t="n">
        <f aca="false">AX60+AX61+AX62+AX64+AX65+AX66+AX67+AX68+AX69+AX70+AX71</f>
        <v>24.999088519127</v>
      </c>
      <c r="AY72" s="13" t="n">
        <f aca="false">AY60+AY61+AY62+AY64+AY65+AY66+AY67+AY68+AY69+AY70+AY71</f>
        <v>25.2774634127604</v>
      </c>
      <c r="AZ72" s="13" t="n">
        <f aca="false">AZ60+AZ61+AZ62+AZ64+AZ65+AZ66+AZ67+AZ68+AZ69+AZ70+AZ71</f>
        <v>25.5715651654645</v>
      </c>
      <c r="BA72" s="13" t="n">
        <f aca="false">BA60+BA61+BA62+BA64+BA65+BA66+BA67+BA68+BA69+BA70+BA71</f>
        <v>25.798294017217</v>
      </c>
      <c r="BB72" s="13" t="n">
        <f aca="false">BB60+BB61+BB62+BB64+BB65+BB66+BB67+BB68+BB69+BB70+BB71</f>
        <v>25.9809924306661</v>
      </c>
      <c r="BC72" s="13" t="n">
        <f aca="false">BC60+BC61+BC62+BC64+BC65+BC66+BC67+BC68+BC69+BC70+BC71</f>
        <v>26.3040616848513</v>
      </c>
      <c r="BD72" s="13" t="n">
        <f aca="false">BD60+BD61+BD62+BD64+BD65+BD66+BD67+BD68+BD69+BD70+BD71</f>
        <v>26.6775469889682</v>
      </c>
      <c r="BE72" s="13" t="n">
        <f aca="false">BE60+BE61+BE62+BE64+BE65+BE66+BE67+BE68+BE69+BE70+BE71</f>
        <v>26.9483504399581</v>
      </c>
      <c r="BF72" s="13" t="n">
        <f aca="false">BF60+BF61+BF62+BF64+BF65+BF66+BF67+BF68+BF69+BF70+BF71</f>
        <v>27.2085895879222</v>
      </c>
      <c r="BG72" s="13" t="n">
        <f aca="false">BG60+BG61+BG62+BG64+BG65+BG66+BG67+BG68+BG69+BG70+BG71</f>
        <v>27.5119416110365</v>
      </c>
      <c r="BH72" s="13" t="n">
        <f aca="false">BH60+BH61+BH62+BH64+BH65+BH66+BH67+BH68+BH69+BH70+BH71</f>
        <v>27.8323125382489</v>
      </c>
      <c r="BI72" s="13" t="n">
        <f aca="false">BI60+BI61+BI62+BI64+BI65+BI66+BI67+BI68+BI69+BI70+BI71</f>
        <v>28.0508074712752</v>
      </c>
      <c r="BJ72" s="13" t="n">
        <f aca="false">BJ60+BJ61+BJ62+BJ64+BJ65+BJ66+BJ67+BJ68+BJ69+BJ70+BJ71</f>
        <v>28.1911523650736</v>
      </c>
      <c r="BK72" s="13" t="n">
        <f aca="false">BK60+BK61+BK62+BK64+BK65+BK66+BK67+BK68+BK69+BK70+BK71</f>
        <v>28.5721628844851</v>
      </c>
      <c r="BL72" s="13" t="n">
        <f aca="false">BL60+BL61+BL62+BL64+BL65+BL66+BL67+BL68+BL69+BL70+BL71</f>
        <v>29.0380134579506</v>
      </c>
      <c r="BM72" s="13" t="n">
        <f aca="false">BM60+BM61+BM62+BM64+BM65+BM66+BM67+BM68+BM69+BM70+BM71</f>
        <v>19.5653912880556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4615.34067912194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24.3071377574915</v>
      </c>
      <c r="P73" s="13" t="n">
        <f aca="false">P42*P41/1000000</f>
        <v>72.9140990717767</v>
      </c>
      <c r="Q73" s="13" t="n">
        <f aca="false">Q42*Q41/1000000</f>
        <v>74.1055979950577</v>
      </c>
      <c r="R73" s="13" t="n">
        <f aca="false">R42*R41/1000000</f>
        <v>73.5833280821369</v>
      </c>
      <c r="S73" s="13" t="n">
        <f aca="false">S42*S41/1000000</f>
        <v>75.3040740357814</v>
      </c>
      <c r="T73" s="13" t="n">
        <f aca="false">T42*T41/1000000</f>
        <v>75.8135332054184</v>
      </c>
      <c r="U73" s="13" t="n">
        <f aca="false">U42*U41/1000000</f>
        <v>76.3731239921061</v>
      </c>
      <c r="V73" s="13" t="n">
        <f aca="false">V42*V41/1000000</f>
        <v>74.4721157166797</v>
      </c>
      <c r="W73" s="13" t="n">
        <f aca="false">W42*W41/1000000</f>
        <v>76.912943217363</v>
      </c>
      <c r="X73" s="13" t="n">
        <f aca="false">X42*X41/1000000</f>
        <v>78.8270974849335</v>
      </c>
      <c r="Y73" s="13" t="n">
        <f aca="false">Y42*Y41/1000000</f>
        <v>80.1146288115175</v>
      </c>
      <c r="Z73" s="13" t="n">
        <f aca="false">Z42*Z41/1000000</f>
        <v>79.549420610009</v>
      </c>
      <c r="AA73" s="13" t="n">
        <f aca="false">AA42*AA41/1000000</f>
        <v>81.4090808037802</v>
      </c>
      <c r="AB73" s="13" t="n">
        <f aca="false">AB42*AB41/1000000</f>
        <v>81.9592353647828</v>
      </c>
      <c r="AC73" s="13" t="n">
        <f aca="false">AC42*AC41/1000000</f>
        <v>81.9571954180259</v>
      </c>
      <c r="AD73" s="13" t="n">
        <f aca="false">AD42*AD41/1000000</f>
        <v>78.6890379503248</v>
      </c>
      <c r="AE73" s="13" t="n">
        <f aca="false">AE42*AE41/1000000</f>
        <v>81.9093051435328</v>
      </c>
      <c r="AF73" s="13" t="n">
        <f aca="false">AF42*AF41/1000000</f>
        <v>85.2145611966845</v>
      </c>
      <c r="AG73" s="13" t="n">
        <f aca="false">AG42*AG41/1000000</f>
        <v>86.6057797576286</v>
      </c>
      <c r="AH73" s="13" t="n">
        <f aca="false">AH42*AH41/1000000</f>
        <v>85.9941376323264</v>
      </c>
      <c r="AI73" s="13" t="n">
        <f aca="false">AI42*AI41/1000000</f>
        <v>88.0038045371143</v>
      </c>
      <c r="AJ73" s="13" t="n">
        <f aca="false">AJ42*AJ41/1000000</f>
        <v>88.5978667107327</v>
      </c>
      <c r="AK73" s="13" t="n">
        <f aca="false">AK42*AK41/1000000</f>
        <v>89.2504949639359</v>
      </c>
      <c r="AL73" s="13" t="n">
        <f aca="false">AL42*AL41/1000000</f>
        <v>87.0276620485752</v>
      </c>
      <c r="AM73" s="13" t="n">
        <f aca="false">AM42*AM41/1000000</f>
        <v>89.8786620430448</v>
      </c>
      <c r="AN73" s="13" t="n">
        <f aca="false">AN42*AN41/1000000</f>
        <v>92.1141277382322</v>
      </c>
      <c r="AO73" s="13" t="n">
        <f aca="false">AO42*AO41/1000000</f>
        <v>93.6172911353985</v>
      </c>
      <c r="AP73" s="13" t="n">
        <f aca="false">AP42*AP41/1000000</f>
        <v>92.9554377578268</v>
      </c>
      <c r="AQ73" s="13" t="n">
        <f aca="false">AQ42*AQ41/1000000</f>
        <v>95.1270790254279</v>
      </c>
      <c r="AR73" s="13" t="n">
        <f aca="false">AR42*AR41/1000000</f>
        <v>95.7685111850772</v>
      </c>
      <c r="AS73" s="13" t="n">
        <f aca="false">AS42*AS41/1000000</f>
        <v>95.764699583558</v>
      </c>
      <c r="AT73" s="13" t="n">
        <f aca="false">AT42*AT41/1000000</f>
        <v>91.9445769543751</v>
      </c>
      <c r="AU73" s="13" t="n">
        <f aca="false">AU42*AU41/1000000</f>
        <v>95.7058848057729</v>
      </c>
      <c r="AV73" s="13" t="n">
        <f aca="false">AV42*AV41/1000000</f>
        <v>99.5663822648194</v>
      </c>
      <c r="AW73" s="13" t="n">
        <f aca="false">AW42*AW41/1000000</f>
        <v>101.190397679621</v>
      </c>
      <c r="AX73" s="13" t="n">
        <f aca="false">AX42*AX41/1000000</f>
        <v>100.474251574353</v>
      </c>
      <c r="AY73" s="13" t="n">
        <f aca="false">AY42*AY41/1000000</f>
        <v>102.820778154828</v>
      </c>
      <c r="AZ73" s="13" t="n">
        <f aca="false">AZ42*AZ41/1000000</f>
        <v>103.513312000893</v>
      </c>
      <c r="BA73" s="13" t="n">
        <f aca="false">BA42*BA41/1000000</f>
        <v>104.274248929982</v>
      </c>
      <c r="BB73" s="13" t="n">
        <f aca="false">BB42*BB41/1000000</f>
        <v>101.675717971163</v>
      </c>
      <c r="BC73" s="13" t="n">
        <f aca="false">BC42*BC41/1000000</f>
        <v>105.00501001171</v>
      </c>
      <c r="BD73" s="13" t="n">
        <f aca="false">BD42*BD41/1000000</f>
        <v>107.615085007803</v>
      </c>
      <c r="BE73" s="13" t="n">
        <f aca="false">BE42*BE41/1000000</f>
        <v>109.369559585707</v>
      </c>
      <c r="BF73" s="13" t="n">
        <f aca="false">BF42*BF41/1000000</f>
        <v>108.594710908321</v>
      </c>
      <c r="BG73" s="13" t="n">
        <f aca="false">BG42*BG41/1000000</f>
        <v>111.130050385057</v>
      </c>
      <c r="BH73" s="13" t="n">
        <f aca="false">BH42*BH41/1000000</f>
        <v>111.877707561427</v>
      </c>
      <c r="BI73" s="13" t="n">
        <f aca="false">BI42*BI41/1000000</f>
        <v>111.871572603401</v>
      </c>
      <c r="BJ73" s="13" t="n">
        <f aca="false">BJ42*BJ41/1000000</f>
        <v>107.407319278041</v>
      </c>
      <c r="BK73" s="13" t="n">
        <f aca="false">BK42*BK41/1000000</f>
        <v>111.799500592055</v>
      </c>
      <c r="BL73" s="13" t="n">
        <f aca="false">BL42*BL41/1000000</f>
        <v>116.30741596894</v>
      </c>
      <c r="BM73" s="13" t="n">
        <f aca="false">BM42*BM41/1000000</f>
        <v>79.0761269073873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5443.87736146745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28.9000591016678</v>
      </c>
      <c r="P74" s="13" t="n">
        <f aca="false">P73+P52+P53+P54</f>
        <v>86.7551923620603</v>
      </c>
      <c r="Q74" s="13" t="n">
        <f aca="false">Q73+Q52+Q53+Q54</f>
        <v>87.9553219424275</v>
      </c>
      <c r="R74" s="13" t="n">
        <f aca="false">R73+R52+R53+R54</f>
        <v>87.6069521063107</v>
      </c>
      <c r="S74" s="13" t="n">
        <f aca="false">S73+S52+S53+S54</f>
        <v>89.3525706585186</v>
      </c>
      <c r="T74" s="13" t="n">
        <f aca="false">T73+T52+T53+T54</f>
        <v>90.0715089242325</v>
      </c>
      <c r="U74" s="13" t="n">
        <f aca="false">U73+U52+U53+U54</f>
        <v>90.6840105000762</v>
      </c>
      <c r="V74" s="13" t="n">
        <f aca="false">V73+V52+V53+V54</f>
        <v>88.8539976336182</v>
      </c>
      <c r="W74" s="13" t="n">
        <f aca="false">W73+W52+W53+W54</f>
        <v>91.3411512247352</v>
      </c>
      <c r="X74" s="13" t="n">
        <f aca="false">X73+X52+X53+X54</f>
        <v>93.51447602777</v>
      </c>
      <c r="Y74" s="13" t="n">
        <f aca="false">Y73+Y52+Y53+Y54</f>
        <v>94.8111144597489</v>
      </c>
      <c r="Z74" s="13" t="n">
        <f aca="false">Z73+Z52+Z53+Z54</f>
        <v>94.430481000892</v>
      </c>
      <c r="AA74" s="13" t="n">
        <f aca="false">AA73+AA52+AA53+AA54</f>
        <v>96.3164643673357</v>
      </c>
      <c r="AB74" s="13" t="n">
        <f aca="false">AB73+AB52+AB53+AB54</f>
        <v>97.08891206559</v>
      </c>
      <c r="AC74" s="13" t="n">
        <f aca="false">AC73+AC52+AC53+AC54</f>
        <v>97.1242849085602</v>
      </c>
      <c r="AD74" s="13" t="n">
        <f aca="false">AD73+AD52+AD53+AD54</f>
        <v>93.8941148314827</v>
      </c>
      <c r="AE74" s="13" t="n">
        <f aca="false">AE73+AE52+AE53+AE54</f>
        <v>97.1816034521921</v>
      </c>
      <c r="AF74" s="13" t="n">
        <f aca="false">AF73+AF52+AF53+AF54</f>
        <v>100.799817522351</v>
      </c>
      <c r="AG74" s="13" t="n">
        <f aca="false">AG73+AG52+AG53+AG54</f>
        <v>102.200643871214</v>
      </c>
      <c r="AH74" s="13" t="n">
        <f aca="false">AH73+AH52+AH53+AH54</f>
        <v>101.784907461581</v>
      </c>
      <c r="AI74" s="13" t="n">
        <f aca="false">AI73+AI52+AI53+AI54</f>
        <v>103.822429667449</v>
      </c>
      <c r="AJ74" s="13" t="n">
        <f aca="false">AJ73+AJ52+AJ53+AJ54</f>
        <v>104.652381788772</v>
      </c>
      <c r="AK74" s="13" t="n">
        <f aca="false">AK73+AK52+AK53+AK54</f>
        <v>105.364556458023</v>
      </c>
      <c r="AL74" s="13" t="n">
        <f aca="false">AL73+AL52+AL53+AL54</f>
        <v>103.221835587061</v>
      </c>
      <c r="AM74" s="13" t="n">
        <f aca="false">AM73+AM52+AM53+AM54</f>
        <v>106.124789845793</v>
      </c>
      <c r="AN74" s="13" t="n">
        <f aca="false">AN73+AN52+AN53+AN54</f>
        <v>108.651990227548</v>
      </c>
      <c r="AO74" s="13" t="n">
        <f aca="false">AO73+AO52+AO53+AO54</f>
        <v>110.165287402716</v>
      </c>
      <c r="AP74" s="13" t="n">
        <f aca="false">AP73+AP52+AP53+AP54</f>
        <v>109.711367437094</v>
      </c>
      <c r="AQ74" s="13" t="n">
        <f aca="false">AQ73+AQ52+AQ53+AQ54</f>
        <v>111.912482062667</v>
      </c>
      <c r="AR74" s="13" t="n">
        <f aca="false">AR73+AR52+AR53+AR54</f>
        <v>112.804231499991</v>
      </c>
      <c r="AS74" s="13" t="n">
        <f aca="false">AS73+AS52+AS53+AS54</f>
        <v>112.842560923405</v>
      </c>
      <c r="AT74" s="13" t="n">
        <f aca="false">AT73+AT52+AT53+AT54</f>
        <v>109.065499241876</v>
      </c>
      <c r="AU74" s="13" t="n">
        <f aca="false">AU73+AU52+AU53+AU54</f>
        <v>112.902221253865</v>
      </c>
      <c r="AV74" s="13" t="n">
        <f aca="false">AV73+AV52+AV53+AV54</f>
        <v>117.11490516284</v>
      </c>
      <c r="AW74" s="13" t="n">
        <f aca="false">AW73+AW52+AW53+AW54</f>
        <v>118.749606760554</v>
      </c>
      <c r="AX74" s="13" t="n">
        <f aca="false">AX73+AX52+AX53+AX54</f>
        <v>118.254161395673</v>
      </c>
      <c r="AY74" s="13" t="n">
        <f aca="false">AY73+AY52+AY53+AY54</f>
        <v>120.631869912834</v>
      </c>
      <c r="AZ74" s="13" t="n">
        <f aca="false">AZ73+AZ52+AZ53+AZ54</f>
        <v>121.590029545009</v>
      </c>
      <c r="BA74" s="13" t="n">
        <f aca="false">BA73+BA52+BA53+BA54</f>
        <v>122.417978816409</v>
      </c>
      <c r="BB74" s="13" t="n">
        <f aca="false">BB73+BB52+BB53+BB54</f>
        <v>119.909864363976</v>
      </c>
      <c r="BC74" s="13" t="n">
        <f aca="false">BC73+BC52+BC53+BC54</f>
        <v>123.297402326047</v>
      </c>
      <c r="BD74" s="13" t="n">
        <f aca="false">BD73+BD52+BD53+BD54</f>
        <v>126.235849914417</v>
      </c>
      <c r="BE74" s="13" t="n">
        <f aca="false">BE73+BE52+BE53+BE54</f>
        <v>128.00159063588</v>
      </c>
      <c r="BF74" s="13" t="n">
        <f aca="false">BF73+BF52+BF53+BF54</f>
        <v>127.46099521517</v>
      </c>
      <c r="BG74" s="13" t="n">
        <f aca="false">BG73+BG52+BG53+BG54</f>
        <v>130.029320551383</v>
      </c>
      <c r="BH74" s="13" t="n">
        <f aca="false">BH73+BH52+BH53+BH54</f>
        <v>131.058846945353</v>
      </c>
      <c r="BI74" s="13" t="n">
        <f aca="false">BI73+BI52+BI53+BI54</f>
        <v>131.100182351454</v>
      </c>
      <c r="BJ74" s="13" t="n">
        <f aca="false">BJ73+BJ52+BJ53+BJ54</f>
        <v>126.68476869625</v>
      </c>
      <c r="BK74" s="13" t="n">
        <f aca="false">BK73+BK52+BK53+BK54</f>
        <v>131.161528355981</v>
      </c>
      <c r="BL74" s="13" t="n">
        <f aca="false">BL73+BL52+BL53+BL54</f>
        <v>136.065745497254</v>
      </c>
      <c r="BM74" s="13" t="n">
        <f aca="false">BM73+BM52+BM53+BM54</f>
        <v>92.2034972023357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6654.14052115733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34.6724210948528</v>
      </c>
      <c r="P83" s="13" t="n">
        <f aca="false">P72+P74+P75+P76+P79+P82</f>
        <v>104.353905500509</v>
      </c>
      <c r="Q83" s="13" t="n">
        <f aca="false">Q72+Q74+Q75+Q76+Q79+Q82</f>
        <v>105.643570100128</v>
      </c>
      <c r="R83" s="13" t="n">
        <f aca="false">R72+R74+R75+R76+R79+R82</f>
        <v>105.450570172054</v>
      </c>
      <c r="S83" s="13" t="n">
        <f aca="false">S72+S74+S75+S76+S79+S82</f>
        <v>107.393636924479</v>
      </c>
      <c r="T83" s="13" t="n">
        <f aca="false">T72+T74+T75+T76+T79+T82</f>
        <v>108.32152754044</v>
      </c>
      <c r="U83" s="13" t="n">
        <f aca="false">U72+U74+U75+U76+U79+U82</f>
        <v>109.09324414697</v>
      </c>
      <c r="V83" s="13" t="n">
        <f aca="false">V72+V74+V75+V76+V79+V82</f>
        <v>109.887557500729</v>
      </c>
      <c r="W83" s="13" t="n">
        <f aca="false">W72+W74+W75+W76+W79+W82</f>
        <v>110.107135010013</v>
      </c>
      <c r="X83" s="13" t="n">
        <f aca="false">X72+X74+X75+X76+X79+X82</f>
        <v>112.547526340857</v>
      </c>
      <c r="Y83" s="13" t="n">
        <f aca="false">Y72+Y74+Y75+Y76+Y79+Y82</f>
        <v>114.035518168577</v>
      </c>
      <c r="Z83" s="13" t="n">
        <f aca="false">Z72+Z74+Z75+Z76+Z79+Z82</f>
        <v>113.83837876528</v>
      </c>
      <c r="AA83" s="13" t="n">
        <f aca="false">AA72+AA74+AA75+AA76+AA79+AA82</f>
        <v>115.939507576615</v>
      </c>
      <c r="AB83" s="13" t="n">
        <f aca="false">AB72+AB74+AB75+AB76+AB79+AB82</f>
        <v>116.939533643013</v>
      </c>
      <c r="AC83" s="13" t="n">
        <f aca="false">AC72+AC74+AC75+AC76+AC79+AC82</f>
        <v>117.127437216864</v>
      </c>
      <c r="AD83" s="13" t="n">
        <f aca="false">AD72+AD74+AD75+AD76+AD79+AD82</f>
        <v>125.828731003743</v>
      </c>
      <c r="AE83" s="13" t="n">
        <f aca="false">AE72+AE74+AE75+AE76+AE79+AE82</f>
        <v>117.551670531754</v>
      </c>
      <c r="AF83" s="13" t="n">
        <f aca="false">AF72+AF74+AF75+AF76+AF79+AF82</f>
        <v>121.504073364126</v>
      </c>
      <c r="AG83" s="13" t="n">
        <f aca="false">AG72+AG74+AG75+AG76+AG79+AG82</f>
        <v>123.113616485735</v>
      </c>
      <c r="AH83" s="13" t="n">
        <f aca="false">AH72+AH74+AH75+AH76+AH79+AH82</f>
        <v>122.898140163417</v>
      </c>
      <c r="AI83" s="13" t="n">
        <f aca="false">AI72+AI74+AI75+AI76+AI79+AI82</f>
        <v>125.170097067185</v>
      </c>
      <c r="AJ83" s="13" t="n">
        <f aca="false">AJ72+AJ74+AJ75+AJ76+AJ79+AJ82</f>
        <v>126.247925516413</v>
      </c>
      <c r="AK83" s="13" t="n">
        <f aca="false">AK72+AK74+AK75+AK76+AK79+AK82</f>
        <v>127.150137444911</v>
      </c>
      <c r="AL83" s="13" t="n">
        <f aca="false">AL72+AL74+AL75+AL76+AL79+AL82</f>
        <v>128.132224744602</v>
      </c>
      <c r="AM83" s="13" t="n">
        <f aca="false">AM72+AM74+AM75+AM76+AM79+AM82</f>
        <v>128.335184723443</v>
      </c>
      <c r="AN83" s="13" t="n">
        <f aca="false">AN72+AN74+AN75+AN76+AN79+AN82</f>
        <v>131.178136236074</v>
      </c>
      <c r="AO83" s="13" t="n">
        <f aca="false">AO72+AO74+AO75+AO76+AO79+AO82</f>
        <v>132.919082952754</v>
      </c>
      <c r="AP83" s="13" t="n">
        <f aca="false">AP72+AP74+AP75+AP76+AP79+AP82</f>
        <v>132.683708701672</v>
      </c>
      <c r="AQ83" s="13" t="n">
        <f aca="false">AQ72+AQ74+AQ75+AQ76+AQ79+AQ82</f>
        <v>135.140282483037</v>
      </c>
      <c r="AR83" s="13" t="n">
        <f aca="false">AR72+AR74+AR75+AR76+AR79+AR82</f>
        <v>136.302028203648</v>
      </c>
      <c r="AS83" s="13" t="n">
        <f aca="false">AS72+AS74+AS75+AS76+AS79+AS82</f>
        <v>136.522981873999</v>
      </c>
      <c r="AT83" s="13" t="n">
        <f aca="false">AT72+AT74+AT75+AT76+AT79+AT82</f>
        <v>146.948880953526</v>
      </c>
      <c r="AU83" s="13" t="n">
        <f aca="false">AU72+AU74+AU75+AU76+AU79+AU82</f>
        <v>137.020077302915</v>
      </c>
      <c r="AV83" s="13" t="n">
        <f aca="false">AV72+AV74+AV75+AV76+AV79+AV82</f>
        <v>141.627211470963</v>
      </c>
      <c r="AW83" s="13" t="n">
        <f aca="false">AW72+AW74+AW75+AW76+AW79+AW82</f>
        <v>143.510206614976</v>
      </c>
      <c r="AX83" s="13" t="n">
        <f aca="false">AX72+AX74+AX75+AX76+AX79+AX82</f>
        <v>143.2532499148</v>
      </c>
      <c r="AY83" s="13" t="n">
        <f aca="false">AY72+AY74+AY75+AY76+AY79+AY82</f>
        <v>145.909333325594</v>
      </c>
      <c r="AZ83" s="13" t="n">
        <f aca="false">AZ72+AZ74+AZ75+AZ76+AZ79+AZ82</f>
        <v>147.161594710474</v>
      </c>
      <c r="BA83" s="13" t="n">
        <f aca="false">BA72+BA74+BA75+BA76+BA79+BA82</f>
        <v>148.216272833626</v>
      </c>
      <c r="BB83" s="13" t="n">
        <f aca="false">BB72+BB74+BB75+BB76+BB79+BB82</f>
        <v>149.428702800183</v>
      </c>
      <c r="BC83" s="13" t="n">
        <f aca="false">BC72+BC74+BC75+BC76+BC79+BC82</f>
        <v>149.601464010898</v>
      </c>
      <c r="BD83" s="13" t="n">
        <f aca="false">BD72+BD74+BD75+BD76+BD79+BD82</f>
        <v>152.913396903385</v>
      </c>
      <c r="BE83" s="13" t="n">
        <f aca="false">BE72+BE74+BE75+BE76+BE79+BE82</f>
        <v>154.949941075838</v>
      </c>
      <c r="BF83" s="13" t="n">
        <f aca="false">BF72+BF74+BF75+BF76+BF79+BF82</f>
        <v>154.669584803092</v>
      </c>
      <c r="BG83" s="13" t="n">
        <f aca="false">BG72+BG74+BG75+BG76+BG79+BG82</f>
        <v>157.54126216242</v>
      </c>
      <c r="BH83" s="13" t="n">
        <f aca="false">BH72+BH74+BH75+BH76+BH79+BH82</f>
        <v>158.891159483602</v>
      </c>
      <c r="BI83" s="13" t="n">
        <f aca="false">BI72+BI74+BI75+BI76+BI79+BI82</f>
        <v>159.150989822729</v>
      </c>
      <c r="BJ83" s="13" t="n">
        <f aca="false">BJ72+BJ74+BJ75+BJ76+BJ79+BJ82</f>
        <v>171.642173228002</v>
      </c>
      <c r="BK83" s="13" t="n">
        <f aca="false">BK72+BK74+BK75+BK76+BK79+BK82</f>
        <v>159.733691240466</v>
      </c>
      <c r="BL83" s="13" t="n">
        <f aca="false">BL72+BL74+BL75+BL76+BL79+BL82</f>
        <v>165.103758955205</v>
      </c>
      <c r="BM83" s="13" t="n">
        <f aca="false">BM72+BM74+BM75+BM76+BM79+BM82</f>
        <v>130.838078346745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2362.07680334811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15.7316262130605</v>
      </c>
      <c r="P84" s="13" t="n">
        <f aca="false">P56-P83+P58</f>
        <v>47.1906977809922</v>
      </c>
      <c r="Q84" s="13" t="n">
        <f aca="false">Q56-Q83+Q58</f>
        <v>47.134892944072</v>
      </c>
      <c r="R84" s="13" t="n">
        <f aca="false">R56-R83+R58</f>
        <v>46.8088585219877</v>
      </c>
      <c r="S84" s="13" t="n">
        <f aca="false">S56-S83+S58</f>
        <v>47.0966816197857</v>
      </c>
      <c r="T84" s="13" t="n">
        <f aca="false">T56-T83+T58</f>
        <v>47.6238423253093</v>
      </c>
      <c r="U84" s="13" t="n">
        <f aca="false">U56-U83+U58</f>
        <v>46.9245091423278</v>
      </c>
      <c r="V84" s="13" t="n">
        <f aca="false">V56-V83+V58</f>
        <v>42.9647265878698</v>
      </c>
      <c r="W84" s="13" t="n">
        <f aca="false">W56-W83+W58</f>
        <v>46.3109138474746</v>
      </c>
      <c r="X84" s="13" t="n">
        <f aca="false">X56-X83+X58</f>
        <v>47.9718076843973</v>
      </c>
      <c r="Y84" s="13" t="n">
        <f aca="false">Y56-Y83+Y58</f>
        <v>47.8284967785752</v>
      </c>
      <c r="Z84" s="13" t="n">
        <f aca="false">Z56-Z83+Z58</f>
        <v>47.4837507404244</v>
      </c>
      <c r="AA84" s="13" t="n">
        <f aca="false">AA56-AA83+AA58</f>
        <v>47.7839604102373</v>
      </c>
      <c r="AB84" s="13" t="n">
        <f aca="false">AB56-AB83+AB58</f>
        <v>48.3337907881111</v>
      </c>
      <c r="AC84" s="13" t="n">
        <f aca="false">AC56-AC83+AC58</f>
        <v>47.138798941428</v>
      </c>
      <c r="AD84" s="13" t="n">
        <f aca="false">AD56-AD83+AD58</f>
        <v>32.8395963376893</v>
      </c>
      <c r="AE84" s="13" t="n">
        <f aca="false">AE56-AE83+AE58</f>
        <v>46.0291946867393</v>
      </c>
      <c r="AF84" s="13" t="n">
        <f aca="false">AF56-AF83+AF58</f>
        <v>48.710365747942</v>
      </c>
      <c r="AG84" s="13" t="n">
        <f aca="false">AG56-AG83+AG58</f>
        <v>48.5652379239755</v>
      </c>
      <c r="AH84" s="13" t="n">
        <f aca="false">AH56-AH83+AH58</f>
        <v>48.2140105639937</v>
      </c>
      <c r="AI84" s="13" t="n">
        <f aca="false">AI56-AI83+AI58</f>
        <v>48.5276324690605</v>
      </c>
      <c r="AJ84" s="13" t="n">
        <f aca="false">AJ56-AJ83+AJ58</f>
        <v>49.1021305561232</v>
      </c>
      <c r="AK84" s="13" t="n">
        <f aca="false">AK56-AK83+AK58</f>
        <v>48.3603121388507</v>
      </c>
      <c r="AL84" s="13" t="n">
        <f aca="false">AL56-AL83+AL58</f>
        <v>43.8336316855716</v>
      </c>
      <c r="AM84" s="13" t="n">
        <f aca="false">AM56-AM83+AM58</f>
        <v>47.7201020903104</v>
      </c>
      <c r="AN84" s="13" t="n">
        <f aca="false">AN56-AN83+AN58</f>
        <v>49.5097080927396</v>
      </c>
      <c r="AO84" s="13" t="n">
        <f aca="false">AO56-AO83+AO58</f>
        <v>49.3625362132001</v>
      </c>
      <c r="AP84" s="13" t="n">
        <f aca="false">AP56-AP83+AP58</f>
        <v>49.004259800921</v>
      </c>
      <c r="AQ84" s="13" t="n">
        <f aca="false">AQ56-AQ83+AQ58</f>
        <v>49.3324066628126</v>
      </c>
      <c r="AR84" s="13" t="n">
        <f aca="false">AR56-AR83+AR58</f>
        <v>49.9337471758019</v>
      </c>
      <c r="AS84" s="13" t="n">
        <f aca="false">AS56-AS83+AS58</f>
        <v>48.6574880335134</v>
      </c>
      <c r="AT84" s="13" t="n">
        <f aca="false">AT56-AT83+AT58</f>
        <v>31.9364582302428</v>
      </c>
      <c r="AU84" s="13" t="n">
        <f aca="false">AU56-AU83+AU58</f>
        <v>47.4824264122791</v>
      </c>
      <c r="AV84" s="13" t="n">
        <f aca="false">AV56-AV83+AV58</f>
        <v>50.3749236561374</v>
      </c>
      <c r="AW84" s="13" t="n">
        <f aca="false">AW56-AW83+AW58</f>
        <v>50.2254564379554</v>
      </c>
      <c r="AX84" s="13" t="n">
        <f aca="false">AX56-AX83+AX58</f>
        <v>49.8595124027395</v>
      </c>
      <c r="AY84" s="13" t="n">
        <f aca="false">AY56-AY83+AY58</f>
        <v>50.2033915607177</v>
      </c>
      <c r="AZ84" s="13" t="n">
        <f aca="false">AZ56-AZ83+AZ58</f>
        <v>50.8339415590235</v>
      </c>
      <c r="BA84" s="13" t="n">
        <f aca="false">BA56-BA83+BA58</f>
        <v>50.041538330416</v>
      </c>
      <c r="BB84" s="13" t="n">
        <f aca="false">BB56-BB83+BB58</f>
        <v>44.8407419904449</v>
      </c>
      <c r="BC84" s="13" t="n">
        <f aca="false">BC56-BC83+BC58</f>
        <v>49.3695373678182</v>
      </c>
      <c r="BD84" s="13" t="n">
        <f aca="false">BD56-BD83+BD58</f>
        <v>51.3115342745816</v>
      </c>
      <c r="BE84" s="13" t="n">
        <f aca="false">BE56-BE83+BE58</f>
        <v>51.1594939258385</v>
      </c>
      <c r="BF84" s="13" t="n">
        <f aca="false">BF56-BF83+BF58</f>
        <v>50.785208219945</v>
      </c>
      <c r="BG84" s="13" t="n">
        <f aca="false">BG56-BG83+BG58</f>
        <v>51.1461298595366</v>
      </c>
      <c r="BH84" s="13" t="n">
        <f aca="false">BH56-BH83+BH58</f>
        <v>51.8084657990281</v>
      </c>
      <c r="BI84" s="13" t="n">
        <f aca="false">BI56-BI83+BI58</f>
        <v>50.4356834705996</v>
      </c>
      <c r="BJ84" s="13" t="n">
        <f aca="false">BJ56-BJ83+BJ58</f>
        <v>30.8333390533898</v>
      </c>
      <c r="BK84" s="13" t="n">
        <f aca="false">BK56-BK83+BK58</f>
        <v>49.1828182329402</v>
      </c>
      <c r="BL84" s="13" t="n">
        <f aca="false">BL56-BL83+BL58</f>
        <v>52.3255320289786</v>
      </c>
      <c r="BM84" s="13" t="n">
        <f aca="false">BM56-BM83+BM58</f>
        <v>15.8909560302025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37.1833135878049</v>
      </c>
      <c r="P88" s="13" t="n">
        <f aca="false">(1-P86)*(P56/MAX(Time!P31,1)*Inputs!$F$168+P55/MAX(Time!P31,1)*P87)</f>
        <v>37.0625388460192</v>
      </c>
      <c r="Q88" s="13" t="n">
        <f aca="false">(1-Q86)*(Q56/MAX(Time!Q31,1)*Inputs!$F$168+Q55/MAX(Time!Q31,1)*Q87)</f>
        <v>37.9835957844695</v>
      </c>
      <c r="R88" s="13" t="n">
        <f aca="false">(1-R86)*(R56/MAX(Time!R31,1)*Inputs!$F$168+R55/MAX(Time!R31,1)*R87)</f>
        <v>37.2373602784342</v>
      </c>
      <c r="S88" s="13" t="n">
        <f aca="false">(1-S86)*(S56/MAX(Time!S31,1)*Inputs!$F$168+S55/MAX(Time!S31,1)*S87)</f>
        <v>38.4091952181874</v>
      </c>
      <c r="T88" s="13" t="n">
        <f aca="false">(1-T86)*(T56/MAX(Time!T31,1)*Inputs!$F$168+T55/MAX(Time!T31,1)*T87)</f>
        <v>38.1388132823843</v>
      </c>
      <c r="U88" s="13" t="n">
        <f aca="false">(1-U86)*(U56/MAX(Time!U31,1)*Inputs!$F$168+U55/MAX(Time!U31,1)*U87)</f>
        <v>38.5758181209802</v>
      </c>
      <c r="V88" s="13" t="n">
        <f aca="false">(1-V86)*(V56/MAX(Time!V31,1)*Inputs!$F$168+V55/MAX(Time!V31,1)*V87)</f>
        <v>37.3823520868855</v>
      </c>
      <c r="W88" s="13" t="n">
        <f aca="false">(1-W86)*(W56/MAX(Time!W31,1)*Inputs!$F$168+W55/MAX(Time!W31,1)*W87)</f>
        <v>38.8884651855632</v>
      </c>
      <c r="X88" s="13" t="n">
        <f aca="false">(1-X86)*(X56/MAX(Time!X31,1)*Inputs!$F$168+X55/MAX(Time!X31,1)*X87)</f>
        <v>39.2574458213936</v>
      </c>
      <c r="Y88" s="13" t="n">
        <f aca="false">(1-Y86)*(Y56/MAX(Time!Y31,1)*Inputs!$F$168+Y55/MAX(Time!Y31,1)*Y87)</f>
        <v>40.2424346553692</v>
      </c>
      <c r="Z88" s="13" t="n">
        <f aca="false">(1-Z86)*(Z56/MAX(Time!Z31,1)*Inputs!$F$168+Z55/MAX(Time!Z31,1)*Z87)</f>
        <v>39.4537816725907</v>
      </c>
      <c r="AA88" s="13" t="n">
        <f aca="false">(1-AA86)*(AA56/MAX(Time!AA31,1)*Inputs!$F$168+AA55/MAX(Time!AA31,1)*AA87)</f>
        <v>40.7047296099908</v>
      </c>
      <c r="AB88" s="13" t="n">
        <f aca="false">(1-AB86)*(AB56/MAX(Time!AB31,1)*Inputs!$F$168+AB55/MAX(Time!AB31,1)*AB87)</f>
        <v>40.4201065184815</v>
      </c>
      <c r="AC88" s="13" t="n">
        <f aca="false">(1-AC86)*(AC56/MAX(Time!AC31,1)*Inputs!$F$168+AC55/MAX(Time!AC31,1)*AC87)</f>
        <v>40.6152781710064</v>
      </c>
      <c r="AD88" s="13" t="n">
        <f aca="false">(1-AD86)*(AD56/MAX(Time!AD31,1)*Inputs!$F$168+AD55/MAX(Time!AD31,1)*AD87)</f>
        <v>38.8047539693721</v>
      </c>
      <c r="AE88" s="13" t="n">
        <f aca="false">(1-AE86)*(AE56/MAX(Time!AE31,1)*Inputs!$F$168+AE55/MAX(Time!AE31,1)*AE87)</f>
        <v>40.6692758830509</v>
      </c>
      <c r="AF88" s="13" t="n">
        <f aca="false">(1-AF86)*(AF56/MAX(Time!AF31,1)*Inputs!$F$168+AF55/MAX(Time!AF31,1)*AF87)</f>
        <v>41.6285313045817</v>
      </c>
      <c r="AG88" s="13" t="n">
        <f aca="false">(1-AG86)*(AG56/MAX(Time!AG31,1)*Inputs!$F$168+AG55/MAX(Time!AG31,1)*AG87)</f>
        <v>42.6825881129114</v>
      </c>
      <c r="AH88" s="13" t="n">
        <f aca="false">(1-AH86)*(AH56/MAX(Time!AH31,1)*Inputs!$F$168+AH55/MAX(Time!AH31,1)*AH87)</f>
        <v>41.8480803409428</v>
      </c>
      <c r="AI88" s="13" t="n">
        <f aca="false">(1-AI86)*(AI56/MAX(Time!AI31,1)*Inputs!$F$168+AI55/MAX(Time!AI31,1)*AI87)</f>
        <v>43.1845183929893</v>
      </c>
      <c r="AJ88" s="13" t="n">
        <f aca="false">(1-AJ86)*(AJ56/MAX(Time!AJ31,1)*Inputs!$F$168+AJ55/MAX(Time!AJ31,1)*AJ87)</f>
        <v>42.8845245829572</v>
      </c>
      <c r="AK88" s="13" t="n">
        <f aca="false">(1-AK86)*(AK56/MAX(Time!AK31,1)*Inputs!$F$168+AK55/MAX(Time!AK31,1)*AK87)</f>
        <v>43.3954408311499</v>
      </c>
      <c r="AL88" s="13" t="n">
        <f aca="false">(1-AL86)*(AL56/MAX(Time!AL31,1)*Inputs!$F$168+AL55/MAX(Time!AL31,1)*AL87)</f>
        <v>42.0568670617272</v>
      </c>
      <c r="AM88" s="13" t="n">
        <f aca="false">(1-AM86)*(AM56/MAX(Time!AM31,1)*Inputs!$F$168+AM55/MAX(Time!AM31,1)*AM87)</f>
        <v>43.770651417784</v>
      </c>
      <c r="AN88" s="13" t="n">
        <f aca="false">(1-AN86)*(AN56/MAX(Time!AN31,1)*Inputs!$F$168+AN55/MAX(Time!AN31,1)*AN87)</f>
        <v>44.1899619282425</v>
      </c>
      <c r="AO88" s="13" t="n">
        <f aca="false">(1-AO86)*(AO56/MAX(Time!AO31,1)*Inputs!$F$168+AO55/MAX(Time!AO31,1)*AO87)</f>
        <v>45.3186345992705</v>
      </c>
      <c r="AP88" s="13" t="n">
        <f aca="false">(1-AP86)*(AP56/MAX(Time!AP31,1)*Inputs!$F$168+AP55/MAX(Time!AP31,1)*AP87)</f>
        <v>44.4345575142211</v>
      </c>
      <c r="AQ88" s="13" t="n">
        <f aca="false">(1-AQ86)*(AQ56/MAX(Time!AQ31,1)*Inputs!$F$168+AQ55/MAX(Time!AQ31,1)*AQ87)</f>
        <v>45.863375754493</v>
      </c>
      <c r="AR88" s="13" t="n">
        <f aca="false">(1-AR86)*(AR56/MAX(Time!AR31,1)*Inputs!$F$168+AR55/MAX(Time!AR31,1)*AR87)</f>
        <v>45.5467928917132</v>
      </c>
      <c r="AS88" s="13" t="n">
        <f aca="false">(1-AS86)*(AS56/MAX(Time!AS31,1)*Inputs!$F$168+AS55/MAX(Time!AS31,1)*AS87)</f>
        <v>45.7863799221872</v>
      </c>
      <c r="AT88" s="13" t="n">
        <f aca="false">(1-AT86)*(AT56/MAX(Time!AT31,1)*Inputs!$F$168+AT55/MAX(Time!AT31,1)*AT87)</f>
        <v>43.7491318655957</v>
      </c>
      <c r="AU88" s="13" t="n">
        <f aca="false">(1-AU86)*(AU56/MAX(Time!AU31,1)*Inputs!$F$168+AU55/MAX(Time!AU31,1)*AU87)</f>
        <v>45.8707882164847</v>
      </c>
      <c r="AV88" s="13" t="n">
        <f aca="false">(1-AV86)*(AV56/MAX(Time!AV31,1)*Inputs!$F$168+AV55/MAX(Time!AV31,1)*AV87)</f>
        <v>46.9570439169539</v>
      </c>
      <c r="AW88" s="13" t="n">
        <f aca="false">(1-AW86)*(AW56/MAX(Time!AW31,1)*Inputs!$F$168+AW55/MAX(Time!AW31,1)*AW87)</f>
        <v>48.1663250684084</v>
      </c>
      <c r="AX88" s="13" t="n">
        <f aca="false">(1-AX86)*(AX56/MAX(Time!AX31,1)*Inputs!$F$168+AX55/MAX(Time!AX31,1)*AX87)</f>
        <v>47.2286646972243</v>
      </c>
      <c r="AY88" s="13" t="n">
        <f aca="false">(1-AY86)*(AY56/MAX(Time!AY31,1)*Inputs!$F$168+AY55/MAX(Time!AY31,1)*AY87)</f>
        <v>48.757307292177</v>
      </c>
      <c r="AZ88" s="13" t="n">
        <f aca="false">(1-AZ86)*(AZ56/MAX(Time!AZ31,1)*Inputs!$F$168+AZ55/MAX(Time!AZ31,1)*AZ87)</f>
        <v>48.4228213702575</v>
      </c>
      <c r="BA88" s="13" t="n">
        <f aca="false">(1-BA86)*(BA56/MAX(Time!BA31,1)*Inputs!$F$168+BA55/MAX(Time!BA31,1)*BA87)</f>
        <v>49.0197884746258</v>
      </c>
      <c r="BB88" s="13" t="n">
        <f aca="false">(1-BB86)*(BB56/MAX(Time!BB31,1)*Inputs!$F$168+BB55/MAX(Time!BB31,1)*BB87)</f>
        <v>47.5115489977079</v>
      </c>
      <c r="BC88" s="13" t="n">
        <f aca="false">(1-BC86)*(BC56/MAX(Time!BC31,1)*Inputs!$F$168+BC55/MAX(Time!BC31,1)*BC87)</f>
        <v>49.4679285195703</v>
      </c>
      <c r="BD88" s="13" t="n">
        <f aca="false">(1-BD86)*(BD56/MAX(Time!BD31,1)*Inputs!$F$168+BD55/MAX(Time!BD31,1)*BD87)</f>
        <v>49.9463146902635</v>
      </c>
      <c r="BE88" s="13" t="n">
        <f aca="false">(1-BE86)*(BE56/MAX(Time!BE31,1)*Inputs!$F$168+BE55/MAX(Time!BE31,1)*BE87)</f>
        <v>51.2426772103617</v>
      </c>
      <c r="BF88" s="13" t="n">
        <f aca="false">(1-BF86)*(BF56/MAX(Time!BF31,1)*Inputs!$F$168+BF55/MAX(Time!BF31,1)*BF87)</f>
        <v>50.2470961197645</v>
      </c>
      <c r="BG88" s="13" t="n">
        <f aca="false">(1-BG86)*(BG56/MAX(Time!BG31,1)*Inputs!$F$168+BG55/MAX(Time!BG31,1)*BG87)</f>
        <v>51.8836057513152</v>
      </c>
      <c r="BH88" s="13" t="n">
        <f aca="false">(1-BH86)*(BH56/MAX(Time!BH31,1)*Inputs!$F$168+BH55/MAX(Time!BH31,1)*BH87)</f>
        <v>51.5297996615128</v>
      </c>
      <c r="BI88" s="13" t="n">
        <f aca="false">(1-BI86)*(BI56/MAX(Time!BI31,1)*Inputs!$F$168+BI55/MAX(Time!BI31,1)*BI87)</f>
        <v>51.8208807593394</v>
      </c>
      <c r="BJ88" s="13" t="n">
        <f aca="false">(1-BJ86)*(BJ56/MAX(Time!BJ31,1)*Inputs!$F$168+BJ55/MAX(Time!BJ31,1)*BJ87)</f>
        <v>49.5184676775142</v>
      </c>
      <c r="BK88" s="13" t="n">
        <f aca="false">(1-BK86)*(BK56/MAX(Time!BK31,1)*Inputs!$F$168+BK55/MAX(Time!BK31,1)*BK87)</f>
        <v>51.9405686536093</v>
      </c>
      <c r="BL88" s="13" t="n">
        <f aca="false">(1-BL86)*(BL56/MAX(Time!BL31,1)*Inputs!$F$168+BL55/MAX(Time!BL31,1)*BL87)</f>
        <v>53.175641816784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17.9314950670019</v>
      </c>
      <c r="P90" s="13" t="n">
        <f aca="false">(1-P86)*(P73+P54)/MAX(Time!P31,1)*Inputs!$F$169</f>
        <v>17.8322524903802</v>
      </c>
      <c r="Q90" s="13" t="n">
        <f aca="false">(1-Q86)*(Q73+Q54)/MAX(Time!Q31,1)*Inputs!$F$169</f>
        <v>18.4240437004287</v>
      </c>
      <c r="R90" s="13" t="n">
        <f aca="false">(1-R86)*(R73+R54)/MAX(Time!R31,1)*Inputs!$F$169</f>
        <v>17.9959226287835</v>
      </c>
      <c r="S90" s="13" t="n">
        <f aca="false">(1-S86)*(S73+S54)/MAX(Time!S31,1)*Inputs!$F$169</f>
        <v>18.7220073569622</v>
      </c>
      <c r="T90" s="13" t="n">
        <f aca="false">(1-T86)*(T73+T54)/MAX(Time!T31,1)*Inputs!$F$169</f>
        <v>18.541353229586</v>
      </c>
      <c r="U90" s="13" t="n">
        <f aca="false">(1-U86)*(U73+U54)/MAX(Time!U31,1)*Inputs!$F$169</f>
        <v>18.8834647233229</v>
      </c>
      <c r="V90" s="13" t="n">
        <f aca="false">(1-V86)*(V73+V54)/MAX(Time!V31,1)*Inputs!$F$169</f>
        <v>18.2132891698402</v>
      </c>
      <c r="W90" s="13" t="n">
        <f aca="false">(1-W86)*(W73+W54)/MAX(Time!W31,1)*Inputs!$F$169</f>
        <v>19.1220024573555</v>
      </c>
      <c r="X90" s="13" t="n">
        <f aca="false">(1-X86)*(X73+X54)/MAX(Time!X31,1)*Inputs!$F$169</f>
        <v>19.2783662327283</v>
      </c>
      <c r="Y90" s="13" t="n">
        <f aca="false">(1-Y86)*(Y73+Y54)/MAX(Time!Y31,1)*Inputs!$F$169</f>
        <v>19.9180016382226</v>
      </c>
      <c r="Z90" s="13" t="n">
        <f aca="false">(1-Z86)*(Z73+Z54)/MAX(Time!Z31,1)*Inputs!$F$169</f>
        <v>19.4550213448392</v>
      </c>
      <c r="AA90" s="13" t="n">
        <f aca="false">(1-AA86)*(AA73+AA54)/MAX(Time!AA31,1)*Inputs!$F$169</f>
        <v>20.2398267191719</v>
      </c>
      <c r="AB90" s="13" t="n">
        <f aca="false">(1-AB86)*(AB73+AB54)/MAX(Time!AB31,1)*Inputs!$F$169</f>
        <v>20.0443782142132</v>
      </c>
      <c r="AC90" s="13" t="n">
        <f aca="false">(1-AC86)*(AC73+AC54)/MAX(Time!AC31,1)*Inputs!$F$169</f>
        <v>20.2641417242372</v>
      </c>
      <c r="AD90" s="13" t="n">
        <f aca="false">(1-AD86)*(AD73+AD54)/MAX(Time!AD31,1)*Inputs!$F$169</f>
        <v>19.2446016726338</v>
      </c>
      <c r="AE90" s="13" t="n">
        <f aca="false">(1-AE86)*(AE73+AE54)/MAX(Time!AE31,1)*Inputs!$F$169</f>
        <v>20.3641918865137</v>
      </c>
      <c r="AF90" s="13" t="n">
        <f aca="false">(1-AF86)*(AF73+AF54)/MAX(Time!AF31,1)*Inputs!$F$169</f>
        <v>20.8405176839718</v>
      </c>
      <c r="AG90" s="13" t="n">
        <f aca="false">(1-AG86)*(AG73+AG54)/MAX(Time!AG31,1)*Inputs!$F$169</f>
        <v>21.531823696648</v>
      </c>
      <c r="AH90" s="13" t="n">
        <f aca="false">(1-AH86)*(AH73+AH54)/MAX(Time!AH31,1)*Inputs!$F$169</f>
        <v>21.0311749644277</v>
      </c>
      <c r="AI90" s="13" t="n">
        <f aca="false">(1-AI86)*(AI73+AI54)/MAX(Time!AI31,1)*Inputs!$F$169</f>
        <v>21.8793989180671</v>
      </c>
      <c r="AJ90" s="13" t="n">
        <f aca="false">(1-AJ86)*(AJ73+AJ54)/MAX(Time!AJ31,1)*Inputs!$F$169</f>
        <v>21.6679565325162</v>
      </c>
      <c r="AK90" s="13" t="n">
        <f aca="false">(1-AK86)*(AK73+AK54)/MAX(Time!AK31,1)*Inputs!$F$169</f>
        <v>22.0674300735006</v>
      </c>
      <c r="AL90" s="13" t="n">
        <f aca="false">(1-AL86)*(AL73+AL54)/MAX(Time!AL31,1)*Inputs!$F$169</f>
        <v>21.2839390879668</v>
      </c>
      <c r="AM90" s="13" t="n">
        <f aca="false">(1-AM86)*(AM73+AM54)/MAX(Time!AM31,1)*Inputs!$F$169</f>
        <v>22.3455237123592</v>
      </c>
      <c r="AN90" s="13" t="n">
        <f aca="false">(1-AN86)*(AN73+AN54)/MAX(Time!AN31,1)*Inputs!$F$169</f>
        <v>22.5279116751111</v>
      </c>
      <c r="AO90" s="13" t="n">
        <f aca="false">(1-AO86)*(AO73+AO54)/MAX(Time!AO31,1)*Inputs!$F$169</f>
        <v>23.2750171331101</v>
      </c>
      <c r="AP90" s="13" t="n">
        <f aca="false">(1-AP86)*(AP73+AP54)/MAX(Time!AP31,1)*Inputs!$F$169</f>
        <v>22.7336668429468</v>
      </c>
      <c r="AQ90" s="13" t="n">
        <f aca="false">(1-AQ86)*(AQ73+AQ54)/MAX(Time!AQ31,1)*Inputs!$F$169</f>
        <v>23.6503787632279</v>
      </c>
      <c r="AR90" s="13" t="n">
        <f aca="false">(1-AR86)*(AR73+AR54)/MAX(Time!AR31,1)*Inputs!$F$169</f>
        <v>23.42164675722</v>
      </c>
      <c r="AS90" s="13" t="n">
        <f aca="false">(1-AS86)*(AS73+AS54)/MAX(Time!AS31,1)*Inputs!$F$169</f>
        <v>23.6780850618687</v>
      </c>
      <c r="AT90" s="13" t="n">
        <f aca="false">(1-AT86)*(AT73+AT54)/MAX(Time!AT31,1)*Inputs!$F$169</f>
        <v>22.4864454507983</v>
      </c>
      <c r="AU90" s="13" t="n">
        <f aca="false">(1-AU86)*(AU73+AU54)/MAX(Time!AU31,1)*Inputs!$F$169</f>
        <v>23.7942807528165</v>
      </c>
      <c r="AV90" s="13" t="n">
        <f aca="false">(1-AV86)*(AV73+AV54)/MAX(Time!AV31,1)*Inputs!$F$169</f>
        <v>24.3504739234613</v>
      </c>
      <c r="AW90" s="13" t="n">
        <f aca="false">(1-AW86)*(AW73+AW54)/MAX(Time!AW31,1)*Inputs!$F$169</f>
        <v>25.1578336772538</v>
      </c>
      <c r="AX90" s="13" t="n">
        <f aca="false">(1-AX86)*(AX73+AX54)/MAX(Time!AX31,1)*Inputs!$F$169</f>
        <v>24.5725071785103</v>
      </c>
      <c r="AY90" s="13" t="n">
        <f aca="false">(1-AY86)*(AY73+AY54)/MAX(Time!AY31,1)*Inputs!$F$169</f>
        <v>25.563176889322</v>
      </c>
      <c r="AZ90" s="13" t="n">
        <f aca="false">(1-AZ86)*(AZ73+AZ54)/MAX(Time!AZ31,1)*Inputs!$F$169</f>
        <v>25.3157556523924</v>
      </c>
      <c r="BA90" s="13" t="n">
        <f aca="false">(1-BA86)*(BA73+BA54)/MAX(Time!BA31,1)*Inputs!$F$169</f>
        <v>25.7820945156549</v>
      </c>
      <c r="BB90" s="13" t="n">
        <f aca="false">(1-BB86)*(BB73+BB54)/MAX(Time!BB31,1)*Inputs!$F$169</f>
        <v>24.8663440690343</v>
      </c>
      <c r="BC90" s="13" t="n">
        <f aca="false">(1-BC86)*(BC73+BC54)/MAX(Time!BC31,1)*Inputs!$F$169</f>
        <v>26.1062179587124</v>
      </c>
      <c r="BD90" s="13" t="n">
        <f aca="false">(1-BD86)*(BD73+BD54)/MAX(Time!BD31,1)*Inputs!$F$169</f>
        <v>26.3189066595171</v>
      </c>
      <c r="BE90" s="13" t="n">
        <f aca="false">(1-BE86)*(BE73+BE54)/MAX(Time!BE31,1)*Inputs!$F$169</f>
        <v>27.1913269688221</v>
      </c>
      <c r="BF90" s="13" t="n">
        <f aca="false">(1-BF86)*(BF73+BF54)/MAX(Time!BF31,1)*Inputs!$F$169</f>
        <v>26.5584890808395</v>
      </c>
      <c r="BG90" s="13" t="n">
        <f aca="false">(1-BG86)*(BG73+BG54)/MAX(Time!BG31,1)*Inputs!$F$169</f>
        <v>27.6290180515334</v>
      </c>
      <c r="BH90" s="13" t="n">
        <f aca="false">(1-BH86)*(BH73+BH54)/MAX(Time!BH31,1)*Inputs!$F$169</f>
        <v>27.3613958710011</v>
      </c>
      <c r="BI90" s="13" t="n">
        <f aca="false">(1-BI86)*(BI73+BI54)/MAX(Time!BI31,1)*Inputs!$F$169</f>
        <v>27.6605536656762</v>
      </c>
      <c r="BJ90" s="13" t="n">
        <f aca="false">(1-BJ86)*(BJ73+BJ54)/MAX(Time!BJ31,1)*Inputs!$F$169</f>
        <v>26.2680943886513</v>
      </c>
      <c r="BK90" s="13" t="n">
        <f aca="false">(1-BK86)*(BK73+BK54)/MAX(Time!BK31,1)*Inputs!$F$169</f>
        <v>27.795455948301</v>
      </c>
      <c r="BL90" s="13" t="n">
        <f aca="false">(1-BL86)*(BL73+BL54)/MAX(Time!BL31,1)*Inputs!$F$169</f>
        <v>28.4447484706646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2.25881377582445</v>
      </c>
      <c r="P91" s="13" t="n">
        <f aca="false">(1-P86)*(P52+P53)/MAX(Time!P31,1)*Inputs!$F$170</f>
        <v>2.25669999298102</v>
      </c>
      <c r="Q91" s="13" t="n">
        <f aca="false">(1-Q86)*(Q52+Q53)/MAX(Time!Q31,1)*Inputs!$F$170</f>
        <v>2.29553435591763</v>
      </c>
      <c r="R91" s="13" t="n">
        <f aca="false">(1-R86)*(R52+R53)/MAX(Time!R31,1)*Inputs!$F$170</f>
        <v>2.28646043872399</v>
      </c>
      <c r="S91" s="13" t="n">
        <f aca="false">(1-S86)*(S52+S53)/MAX(Time!S31,1)*Inputs!$F$170</f>
        <v>2.32848010321611</v>
      </c>
      <c r="T91" s="13" t="n">
        <f aca="false">(1-T86)*(T52+T53)/MAX(Time!T31,1)*Inputs!$F$170</f>
        <v>2.32466995415446</v>
      </c>
      <c r="U91" s="13" t="n">
        <f aca="false">(1-U86)*(U52+U53)/MAX(Time!U31,1)*Inputs!$F$170</f>
        <v>2.35893733647859</v>
      </c>
      <c r="V91" s="13" t="n">
        <f aca="false">(1-V86)*(V52+V53)/MAX(Time!V31,1)*Inputs!$F$170</f>
        <v>2.34487205167475</v>
      </c>
      <c r="W91" s="13" t="n">
        <f aca="false">(1-W86)*(W52+W53)/MAX(Time!W31,1)*Inputs!$F$170</f>
        <v>2.39141569182964</v>
      </c>
      <c r="X91" s="13" t="n">
        <f aca="false">(1-X86)*(X52+X53)/MAX(Time!X31,1)*Inputs!$F$170</f>
        <v>2.39468128415814</v>
      </c>
      <c r="Y91" s="13" t="n">
        <f aca="false">(1-Y86)*(Y52+Y53)/MAX(Time!Y31,1)*Inputs!$F$170</f>
        <v>2.43588159915437</v>
      </c>
      <c r="Z91" s="13" t="n">
        <f aca="false">(1-Z86)*(Z52+Z53)/MAX(Time!Z31,1)*Inputs!$F$170</f>
        <v>2.42625984633962</v>
      </c>
      <c r="AA91" s="13" t="n">
        <f aca="false">(1-AA86)*(AA52+AA53)/MAX(Time!AA31,1)*Inputs!$F$170</f>
        <v>2.47083705473296</v>
      </c>
      <c r="AB91" s="13" t="n">
        <f aca="false">(1-AB86)*(AB52+AB53)/MAX(Time!AB31,1)*Inputs!$F$170</f>
        <v>2.46679511426204</v>
      </c>
      <c r="AC91" s="13" t="n">
        <f aca="false">(1-AC86)*(AC52+AC53)/MAX(Time!AC31,1)*Inputs!$F$170</f>
        <v>2.50006969624193</v>
      </c>
      <c r="AD91" s="13" t="n">
        <f aca="false">(1-AD86)*(AD52+AD53)/MAX(Time!AD31,1)*Inputs!$F$170</f>
        <v>2.47908862192792</v>
      </c>
      <c r="AE91" s="13" t="n">
        <f aca="false">(1-AE86)*(AE52+AE53)/MAX(Time!AE31,1)*Inputs!$F$170</f>
        <v>2.53132016165625</v>
      </c>
      <c r="AF91" s="13" t="n">
        <f aca="false">(1-AF86)*(AF52+AF53)/MAX(Time!AF31,1)*Inputs!$F$170</f>
        <v>2.54107440092394</v>
      </c>
      <c r="AG91" s="13" t="n">
        <f aca="false">(1-AG86)*(AG52+AG53)/MAX(Time!AG31,1)*Inputs!$F$170</f>
        <v>2.58478410722407</v>
      </c>
      <c r="AH91" s="13" t="n">
        <f aca="false">(1-AH86)*(AH52+AH53)/MAX(Time!AH31,1)*Inputs!$F$170</f>
        <v>2.57458203737854</v>
      </c>
      <c r="AI91" s="13" t="n">
        <f aca="false">(1-AI86)*(AI52+AI53)/MAX(Time!AI31,1)*Inputs!$F$170</f>
        <v>2.62187156856371</v>
      </c>
      <c r="AJ91" s="13" t="n">
        <f aca="false">(1-AJ86)*(AJ52+AJ53)/MAX(Time!AJ31,1)*Inputs!$F$170</f>
        <v>2.61758398011514</v>
      </c>
      <c r="AK91" s="13" t="n">
        <f aca="false">(1-AK86)*(AK52+AK53)/MAX(Time!AK31,1)*Inputs!$F$170</f>
        <v>2.65616398254179</v>
      </c>
      <c r="AL91" s="13" t="n">
        <f aca="false">(1-AL86)*(AL52+AL53)/MAX(Time!AL31,1)*Inputs!$F$170</f>
        <v>2.64035438127485</v>
      </c>
      <c r="AM91" s="13" t="n">
        <f aca="false">(1-AM86)*(AM52+AM53)/MAX(Time!AM31,1)*Inputs!$F$170</f>
        <v>2.69272836509633</v>
      </c>
      <c r="AN91" s="13" t="n">
        <f aca="false">(1-AN86)*(AN52+AN53)/MAX(Time!AN31,1)*Inputs!$F$170</f>
        <v>2.69639062325801</v>
      </c>
      <c r="AO91" s="13" t="n">
        <f aca="false">(1-AO86)*(AO52+AO53)/MAX(Time!AO31,1)*Inputs!$F$170</f>
        <v>2.74276181226262</v>
      </c>
      <c r="AP91" s="13" t="n">
        <f aca="false">(1-AP86)*(AP52+AP53)/MAX(Time!AP31,1)*Inputs!$F$170</f>
        <v>2.73194505640226</v>
      </c>
      <c r="AQ91" s="13" t="n">
        <f aca="false">(1-AQ86)*(AQ52+AQ53)/MAX(Time!AQ31,1)*Inputs!$F$170</f>
        <v>2.78211100064736</v>
      </c>
      <c r="AR91" s="13" t="n">
        <f aca="false">(1-AR86)*(AR52+AR53)/MAX(Time!AR31,1)*Inputs!$F$170</f>
        <v>2.77756309482295</v>
      </c>
      <c r="AS91" s="13" t="n">
        <f aca="false">(1-AS86)*(AS52+AS53)/MAX(Time!AS31,1)*Inputs!$F$170</f>
        <v>2.81503208898584</v>
      </c>
      <c r="AT91" s="13" t="n">
        <f aca="false">(1-AT86)*(AT52+AT53)/MAX(Time!AT31,1)*Inputs!$F$170</f>
        <v>2.79145472078824</v>
      </c>
      <c r="AU91" s="13" t="n">
        <f aca="false">(1-AU86)*(AU52+AU53)/MAX(Time!AU31,1)*Inputs!$F$170</f>
        <v>2.85022151073356</v>
      </c>
      <c r="AV91" s="13" t="n">
        <f aca="false">(1-AV86)*(AV52+AV53)/MAX(Time!AV31,1)*Inputs!$F$170</f>
        <v>2.86117221163375</v>
      </c>
      <c r="AW91" s="13" t="n">
        <f aca="false">(1-AW86)*(AW52+AW53)/MAX(Time!AW31,1)*Inputs!$F$170</f>
        <v>2.91036614601106</v>
      </c>
      <c r="AX91" s="13" t="n">
        <f aca="false">(1-AX86)*(AX52+AX53)/MAX(Time!AX31,1)*Inputs!$F$170</f>
        <v>2.89889834043257</v>
      </c>
      <c r="AY91" s="13" t="n">
        <f aca="false">(1-AY86)*(AY52+AY53)/MAX(Time!AY31,1)*Inputs!$F$170</f>
        <v>2.95211465602303</v>
      </c>
      <c r="AZ91" s="13" t="n">
        <f aca="false">(1-AZ86)*(AZ52+AZ53)/MAX(Time!AZ31,1)*Inputs!$F$170</f>
        <v>2.94729090393196</v>
      </c>
      <c r="BA91" s="13" t="n">
        <f aca="false">(1-BA86)*(BA52+BA53)/MAX(Time!BA31,1)*Inputs!$F$170</f>
        <v>2.99072470655394</v>
      </c>
      <c r="BB91" s="13" t="n">
        <f aca="false">(1-BB86)*(BB52+BB53)/MAX(Time!BB31,1)*Inputs!$F$170</f>
        <v>2.97295865100225</v>
      </c>
      <c r="BC91" s="13" t="n">
        <f aca="false">(1-BC86)*(BC52+BC53)/MAX(Time!BC31,1)*Inputs!$F$170</f>
        <v>3.03188822889557</v>
      </c>
      <c r="BD91" s="13" t="n">
        <f aca="false">(1-BD86)*(BD52+BD53)/MAX(Time!BD31,1)*Inputs!$F$170</f>
        <v>3.0359942782522</v>
      </c>
      <c r="BE91" s="13" t="n">
        <f aca="false">(1-BE86)*(BE52+BE53)/MAX(Time!BE31,1)*Inputs!$F$170</f>
        <v>3.08818194201772</v>
      </c>
      <c r="BF91" s="13" t="n">
        <f aca="false">(1-BF86)*(BF52+BF53)/MAX(Time!BF31,1)*Inputs!$F$170</f>
        <v>3.07602461524701</v>
      </c>
      <c r="BG91" s="13" t="n">
        <f aca="false">(1-BG86)*(BG52+BG53)/MAX(Time!BG31,1)*Inputs!$F$170</f>
        <v>3.13247571817571</v>
      </c>
      <c r="BH91" s="13" t="n">
        <f aca="false">(1-BH86)*(BH52+BH53)/MAX(Time!BH31,1)*Inputs!$F$170</f>
        <v>3.12735968216193</v>
      </c>
      <c r="BI91" s="13" t="n">
        <f aca="false">(1-BI86)*(BI52+BI53)/MAX(Time!BI31,1)*Inputs!$F$170</f>
        <v>3.16955105737125</v>
      </c>
      <c r="BJ91" s="13" t="n">
        <f aca="false">(1-BJ86)*(BJ52+BJ53)/MAX(Time!BJ31,1)*Inputs!$F$170</f>
        <v>3.14306240514282</v>
      </c>
      <c r="BK91" s="13" t="n">
        <f aca="false">(1-BK86)*(BK52+BK53)/MAX(Time!BK31,1)*Inputs!$F$170</f>
        <v>3.20917587247391</v>
      </c>
      <c r="BL91" s="13" t="n">
        <f aca="false">(1-BL86)*(BL52+BL53)/MAX(Time!BL31,1)*Inputs!$F$170</f>
        <v>3.22146677092084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1.62388863729243</v>
      </c>
      <c r="P92" s="13" t="n">
        <f aca="false">(1-P86)*(P60+P61+P62+P64)/MAX(Time!P31,1)*Inputs!$F$171</f>
        <v>1.63273219922795</v>
      </c>
      <c r="Q92" s="13" t="n">
        <f aca="false">(1-Q86)*(Q60+Q61+Q62+Q64)/MAX(Time!Q31,1)*Inputs!$F$171</f>
        <v>1.67779585503551</v>
      </c>
      <c r="R92" s="13" t="n">
        <f aca="false">(1-R86)*(R60+R61+R62+R64)/MAX(Time!R31,1)*Inputs!$F$171</f>
        <v>1.66818206229577</v>
      </c>
      <c r="S92" s="13" t="n">
        <f aca="false">(1-S86)*(S60+S61+S62+S64)/MAX(Time!S31,1)*Inputs!$F$171</f>
        <v>1.71454627741953</v>
      </c>
      <c r="T92" s="13" t="n">
        <f aca="false">(1-T86)*(T60+T61+T62+T64)/MAX(Time!T31,1)*Inputs!$F$171</f>
        <v>1.7053626583784</v>
      </c>
      <c r="U92" s="13" t="n">
        <f aca="false">(1-U86)*(U60+U61+U62+U64)/MAX(Time!U31,1)*Inputs!$F$171</f>
        <v>1.74238166862204</v>
      </c>
      <c r="V92" s="13" t="n">
        <f aca="false">(1-V86)*(V60+V61+V62+V64)/MAX(Time!V31,1)*Inputs!$F$171</f>
        <v>1.74108994337421</v>
      </c>
      <c r="W92" s="13" t="n">
        <f aca="false">(1-W86)*(W60+W61+W62+W64)/MAX(Time!W31,1)*Inputs!$F$171</f>
        <v>1.7899389992457</v>
      </c>
      <c r="X92" s="13" t="n">
        <f aca="false">(1-X86)*(X60+X61+X62+X64)/MAX(Time!X31,1)*Inputs!$F$171</f>
        <v>1.78122401087371</v>
      </c>
      <c r="Y92" s="13" t="n">
        <f aca="false">(1-Y86)*(Y60+Y61+Y62+Y64)/MAX(Time!Y31,1)*Inputs!$F$171</f>
        <v>1.83038606315646</v>
      </c>
      <c r="Z92" s="13" t="n">
        <f aca="false">(1-Z86)*(Z60+Z61+Z62+Z64)/MAX(Time!Z31,1)*Inputs!$F$171</f>
        <v>1.81989792647876</v>
      </c>
      <c r="AA92" s="13" t="n">
        <f aca="false">(1-AA86)*(AA60+AA61+AA62+AA64)/MAX(Time!AA31,1)*Inputs!$F$171</f>
        <v>1.87047881981987</v>
      </c>
      <c r="AB92" s="13" t="n">
        <f aca="false">(1-AB86)*(AB60+AB61+AB62+AB64)/MAX(Time!AB31,1)*Inputs!$F$171</f>
        <v>1.86045997977341</v>
      </c>
      <c r="AC92" s="13" t="n">
        <f aca="false">(1-AC86)*(AC60+AC61+AC62+AC64)/MAX(Time!AC31,1)*Inputs!$F$171</f>
        <v>1.90046101471067</v>
      </c>
      <c r="AD92" s="13" t="n">
        <f aca="false">(1-AD86)*(AD60+AD61+AD62+AD64)/MAX(Time!AD31,1)*Inputs!$F$171</f>
        <v>1.89820993462379</v>
      </c>
      <c r="AE92" s="13" t="n">
        <f aca="false">(1-AE86)*(AE60+AE61+AE62+AE64)/MAX(Time!AE31,1)*Inputs!$F$171</f>
        <v>1.95191327894819</v>
      </c>
      <c r="AF92" s="13" t="n">
        <f aca="false">(1-AF86)*(AF60+AF61+AF62+AF64)/MAX(Time!AF31,1)*Inputs!$F$171</f>
        <v>1.94322068151365</v>
      </c>
      <c r="AG92" s="13" t="n">
        <f aca="false">(1-AG86)*(AG60+AG61+AG62+AG64)/MAX(Time!AG31,1)*Inputs!$F$171</f>
        <v>1.99685386642376</v>
      </c>
      <c r="AH92" s="13" t="n">
        <f aca="false">(1-AH86)*(AH60+AH61+AH62+AH64)/MAX(Time!AH31,1)*Inputs!$F$171</f>
        <v>1.98541186700187</v>
      </c>
      <c r="AI92" s="13" t="n">
        <f aca="false">(1-AI86)*(AI60+AI61+AI62+AI64)/MAX(Time!AI31,1)*Inputs!$F$171</f>
        <v>2.04059293206156</v>
      </c>
      <c r="AJ92" s="13" t="n">
        <f aca="false">(1-AJ86)*(AJ60+AJ61+AJ62+AJ64)/MAX(Time!AJ31,1)*Inputs!$F$171</f>
        <v>2.02966291031011</v>
      </c>
      <c r="AK92" s="13" t="n">
        <f aca="false">(1-AK86)*(AK60+AK61+AK62+AK64)/MAX(Time!AK31,1)*Inputs!$F$171</f>
        <v>2.07372163981187</v>
      </c>
      <c r="AL92" s="13" t="n">
        <f aca="false">(1-AL86)*(AL60+AL61+AL62+AL64)/MAX(Time!AL31,1)*Inputs!$F$171</f>
        <v>2.07218427366107</v>
      </c>
      <c r="AM92" s="13" t="n">
        <f aca="false">(1-AM86)*(AM60+AM61+AM62+AM64)/MAX(Time!AM31,1)*Inputs!$F$171</f>
        <v>2.1303227091539</v>
      </c>
      <c r="AN92" s="13" t="n">
        <f aca="false">(1-AN86)*(AN60+AN61+AN62+AN64)/MAX(Time!AN31,1)*Inputs!$F$171</f>
        <v>2.11995043521234</v>
      </c>
      <c r="AO92" s="13" t="n">
        <f aca="false">(1-AO86)*(AO60+AO61+AO62+AO64)/MAX(Time!AO31,1)*Inputs!$F$171</f>
        <v>2.17846138807202</v>
      </c>
      <c r="AP92" s="13" t="n">
        <f aca="false">(1-AP86)*(AP60+AP61+AP62+AP64)/MAX(Time!AP31,1)*Inputs!$F$171</f>
        <v>2.16597877511669</v>
      </c>
      <c r="AQ92" s="13" t="n">
        <f aca="false">(1-AQ86)*(AQ60+AQ61+AQ62+AQ64)/MAX(Time!AQ31,1)*Inputs!$F$171</f>
        <v>2.22617838291298</v>
      </c>
      <c r="AR92" s="13" t="n">
        <f aca="false">(1-AR86)*(AR60+AR61+AR62+AR64)/MAX(Time!AR31,1)*Inputs!$F$171</f>
        <v>2.21425431037233</v>
      </c>
      <c r="AS92" s="13" t="n">
        <f aca="false">(1-AS86)*(AS60+AS61+AS62+AS64)/MAX(Time!AS31,1)*Inputs!$F$171</f>
        <v>2.26186214122713</v>
      </c>
      <c r="AT92" s="13" t="n">
        <f aca="false">(1-AT86)*(AT60+AT61+AT62+AT64)/MAX(Time!AT31,1)*Inputs!$F$171</f>
        <v>2.25918298454569</v>
      </c>
      <c r="AU92" s="13" t="n">
        <f aca="false">(1-AU86)*(AU60+AU61+AU62+AU64)/MAX(Time!AU31,1)*Inputs!$F$171</f>
        <v>2.32309882414691</v>
      </c>
      <c r="AV92" s="13" t="n">
        <f aca="false">(1-AV86)*(AV60+AV61+AV62+AV64)/MAX(Time!AV31,1)*Inputs!$F$171</f>
        <v>2.31275319911493</v>
      </c>
      <c r="AW92" s="13" t="n">
        <f aca="false">(1-AW86)*(AW60+AW61+AW62+AW64)/MAX(Time!AW31,1)*Inputs!$F$171</f>
        <v>2.37658553743841</v>
      </c>
      <c r="AX92" s="13" t="n">
        <f aca="false">(1-AX86)*(AX60+AX61+AX62+AX64)/MAX(Time!AX31,1)*Inputs!$F$171</f>
        <v>2.36296767045141</v>
      </c>
      <c r="AY92" s="13" t="n">
        <f aca="false">(1-AY86)*(AY60+AY61+AY62+AY64)/MAX(Time!AY31,1)*Inputs!$F$171</f>
        <v>2.42864224151863</v>
      </c>
      <c r="AZ92" s="13" t="n">
        <f aca="false">(1-AZ86)*(AZ60+AZ61+AZ62+AZ64)/MAX(Time!AZ31,1)*Inputs!$F$171</f>
        <v>2.41563371242435</v>
      </c>
      <c r="BA92" s="13" t="n">
        <f aca="false">(1-BA86)*(BA60+BA61+BA62+BA64)/MAX(Time!BA31,1)*Inputs!$F$171</f>
        <v>2.46807086924011</v>
      </c>
      <c r="BB92" s="13" t="n">
        <f aca="false">(1-BB86)*(BB60+BB61+BB62+BB64)/MAX(Time!BB31,1)*Inputs!$F$171</f>
        <v>2.46624114988949</v>
      </c>
      <c r="BC92" s="13" t="n">
        <f aca="false">(1-BC86)*(BC60+BC61+BC62+BC64)/MAX(Time!BC31,1)*Inputs!$F$171</f>
        <v>2.53543547967238</v>
      </c>
      <c r="BD92" s="13" t="n">
        <f aca="false">(1-BD86)*(BD60+BD61+BD62+BD64)/MAX(Time!BD31,1)*Inputs!$F$171</f>
        <v>2.52309076248784</v>
      </c>
      <c r="BE92" s="13" t="n">
        <f aca="false">(1-BE86)*(BE60+BE61+BE62+BE64)/MAX(Time!BE31,1)*Inputs!$F$171</f>
        <v>2.59272844939434</v>
      </c>
      <c r="BF92" s="13" t="n">
        <f aca="false">(1-BF86)*(BF60+BF61+BF62+BF64)/MAX(Time!BF31,1)*Inputs!$F$171</f>
        <v>2.5778720806245</v>
      </c>
      <c r="BG92" s="13" t="n">
        <f aca="false">(1-BG86)*(BG60+BG61+BG62+BG64)/MAX(Time!BG31,1)*Inputs!$F$171</f>
        <v>2.649519545496</v>
      </c>
      <c r="BH92" s="13" t="n">
        <f aca="false">(1-BH86)*(BH60+BH61+BH62+BH64)/MAX(Time!BH31,1)*Inputs!$F$171</f>
        <v>2.63532793196635</v>
      </c>
      <c r="BI92" s="13" t="n">
        <f aca="false">(1-BI86)*(BI60+BI61+BI62+BI64)/MAX(Time!BI31,1)*Inputs!$F$171</f>
        <v>2.69198910491486</v>
      </c>
      <c r="BJ92" s="13" t="n">
        <f aca="false">(1-BJ86)*(BJ60+BJ61+BJ62+BJ64)/MAX(Time!BJ31,1)*Inputs!$F$171</f>
        <v>2.68880046646279</v>
      </c>
      <c r="BK92" s="13" t="n">
        <f aca="false">(1-BK86)*(BK60+BK61+BK62+BK64)/MAX(Time!BK31,1)*Inputs!$F$171</f>
        <v>2.76487086027761</v>
      </c>
      <c r="BL92" s="13" t="n">
        <f aca="false">(1-BL86)*(BL60+BL61+BL62+BL64)/MAX(Time!BL31,1)*Inputs!$F$171</f>
        <v>2.75255785969194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1.21497791673297</v>
      </c>
      <c r="P93" s="13" t="n">
        <f aca="false">(1-P86)*(P65+P66+P67+P68+P69+P70+P71)/MAX(Time!P31,1)*Inputs!$F$172</f>
        <v>1.22053966032542</v>
      </c>
      <c r="Q93" s="13" t="n">
        <f aca="false">(1-Q86)*(Q65+Q66+Q67+Q68+Q69+Q70+Q71)/MAX(Time!Q31,1)*Inputs!$F$172</f>
        <v>1.25184448671667</v>
      </c>
      <c r="R93" s="13" t="n">
        <f aca="false">(1-R86)*(R65+R66+R67+R68+R69+R70+R71)/MAX(Time!R31,1)*Inputs!$F$172</f>
        <v>1.24110349190154</v>
      </c>
      <c r="S93" s="13" t="n">
        <f aca="false">(1-S86)*(S65+S66+S67+S68+S69+S70+S71)/MAX(Time!S31,1)*Inputs!$F$172</f>
        <v>1.27568570036401</v>
      </c>
      <c r="T93" s="13" t="n">
        <f aca="false">(1-T86)*(T65+T66+T67+T68+T69+T70+T71)/MAX(Time!T31,1)*Inputs!$F$172</f>
        <v>1.27018385513369</v>
      </c>
      <c r="U93" s="13" t="n">
        <f aca="false">(1-U86)*(U65+U66+U67+U68+U69+U70+U71)/MAX(Time!U31,1)*Inputs!$F$172</f>
        <v>1.29210739405273</v>
      </c>
      <c r="V93" s="13" t="n">
        <f aca="false">(1-V86)*(V65+V66+V67+V68+V69+V70+V71)/MAX(Time!V31,1)*Inputs!$F$172</f>
        <v>1.28107582603581</v>
      </c>
      <c r="W93" s="13" t="n">
        <f aca="false">(1-W86)*(W65+W66+W67+W68+W69+W70+W71)/MAX(Time!W31,1)*Inputs!$F$172</f>
        <v>1.32044505356276</v>
      </c>
      <c r="X93" s="13" t="n">
        <f aca="false">(1-X86)*(X65+X66+X67+X68+X69+X70+X71)/MAX(Time!X31,1)*Inputs!$F$172</f>
        <v>1.32199071408606</v>
      </c>
      <c r="Y93" s="13" t="n">
        <f aca="false">(1-Y86)*(Y65+Y66+Y67+Y68+Y69+Y70+Y71)/MAX(Time!Y31,1)*Inputs!$F$172</f>
        <v>1.35597919245034</v>
      </c>
      <c r="Z93" s="13" t="n">
        <f aca="false">(1-Z86)*(Z65+Z66+Z67+Z68+Z69+Z70+Z71)/MAX(Time!Z31,1)*Inputs!$F$172</f>
        <v>1.34443323075837</v>
      </c>
      <c r="AA93" s="13" t="n">
        <f aca="false">(1-AA86)*(AA65+AA66+AA67+AA68+AA69+AA70+AA71)/MAX(Time!AA31,1)*Inputs!$F$172</f>
        <v>1.38195928116558</v>
      </c>
      <c r="AB93" s="13" t="n">
        <f aca="false">(1-AB86)*(AB65+AB66+AB67+AB68+AB69+AB70+AB71)/MAX(Time!AB31,1)*Inputs!$F$172</f>
        <v>1.37605440784995</v>
      </c>
      <c r="AC93" s="13" t="n">
        <f aca="false">(1-AC86)*(AC65+AC66+AC67+AC68+AC69+AC70+AC71)/MAX(Time!AC31,1)*Inputs!$F$172</f>
        <v>1.39676189325155</v>
      </c>
      <c r="AD93" s="13" t="n">
        <f aca="false">(1-AD86)*(AD65+AD66+AD67+AD68+AD69+AD70+AD71)/MAX(Time!AD31,1)*Inputs!$F$172</f>
        <v>1.37866412686421</v>
      </c>
      <c r="AE93" s="13" t="n">
        <f aca="false">(1-AE86)*(AE65+AE66+AE67+AE68+AE69+AE70+AE71)/MAX(Time!AE31,1)*Inputs!$F$172</f>
        <v>1.42434093313392</v>
      </c>
      <c r="AF93" s="13" t="n">
        <f aca="false">(1-AF86)*(AF65+AF66+AF67+AF68+AF69+AF70+AF71)/MAX(Time!AF31,1)*Inputs!$F$172</f>
        <v>1.43247320573215</v>
      </c>
      <c r="AG93" s="13" t="n">
        <f aca="false">(1-AG86)*(AG65+AG66+AG67+AG68+AG69+AG70+AG71)/MAX(Time!AG31,1)*Inputs!$F$172</f>
        <v>1.46938468846922</v>
      </c>
      <c r="AH93" s="13" t="n">
        <f aca="false">(1-AH86)*(AH65+AH66+AH67+AH68+AH69+AH70+AH71)/MAX(Time!AH31,1)*Inputs!$F$172</f>
        <v>1.45696303003651</v>
      </c>
      <c r="AI93" s="13" t="n">
        <f aca="false">(1-AI86)*(AI65+AI66+AI67+AI68+AI69+AI70+AI71)/MAX(Time!AI31,1)*Inputs!$F$172</f>
        <v>1.49769448225942</v>
      </c>
      <c r="AJ93" s="13" t="n">
        <f aca="false">(1-AJ86)*(AJ65+AJ66+AJ67+AJ68+AJ69+AJ70+AJ71)/MAX(Time!AJ31,1)*Inputs!$F$172</f>
        <v>1.49134965397912</v>
      </c>
      <c r="AK93" s="13" t="n">
        <f aca="false">(1-AK86)*(AK65+AK66+AK67+AK68+AK69+AK70+AK71)/MAX(Time!AK31,1)*Inputs!$F$172</f>
        <v>1.51730819319169</v>
      </c>
      <c r="AL93" s="13" t="n">
        <f aca="false">(1-AL86)*(AL65+AL66+AL67+AL68+AL69+AL70+AL71)/MAX(Time!AL31,1)*Inputs!$F$172</f>
        <v>1.50463443743328</v>
      </c>
      <c r="AM93" s="13" t="n">
        <f aca="false">(1-AM86)*(AM65+AM66+AM67+AM68+AM69+AM70+AM71)/MAX(Time!AM31,1)*Inputs!$F$172</f>
        <v>1.55095820979372</v>
      </c>
      <c r="AN93" s="13" t="n">
        <f aca="false">(1-AN86)*(AN65+AN66+AN67+AN68+AN69+AN70+AN71)/MAX(Time!AN31,1)*Inputs!$F$172</f>
        <v>1.55279076182995</v>
      </c>
      <c r="AO93" s="13" t="n">
        <f aca="false">(1-AO86)*(AO65+AO66+AO67+AO68+AO69+AO70+AO71)/MAX(Time!AO31,1)*Inputs!$F$172</f>
        <v>1.59288594066359</v>
      </c>
      <c r="AP93" s="13" t="n">
        <f aca="false">(1-AP86)*(AP65+AP66+AP67+AP68+AP69+AP70+AP71)/MAX(Time!AP31,1)*Inputs!$F$172</f>
        <v>1.57951164845579</v>
      </c>
      <c r="AQ93" s="13" t="n">
        <f aca="false">(1-AQ86)*(AQ65+AQ66+AQ67+AQ68+AQ69+AQ70+AQ71)/MAX(Time!AQ31,1)*Inputs!$F$172</f>
        <v>1.62373328897156</v>
      </c>
      <c r="AR93" s="13" t="n">
        <f aca="false">(1-AR86)*(AR65+AR66+AR67+AR68+AR69+AR70+AR71)/MAX(Time!AR31,1)*Inputs!$F$172</f>
        <v>1.61690819565862</v>
      </c>
      <c r="AS93" s="13" t="n">
        <f aca="false">(1-AS86)*(AS65+AS66+AS67+AS68+AS69+AS70+AS71)/MAX(Time!AS31,1)*Inputs!$F$172</f>
        <v>1.64150394953007</v>
      </c>
      <c r="AT93" s="13" t="n">
        <f aca="false">(1-AT86)*(AT65+AT66+AT67+AT68+AT69+AT70+AT71)/MAX(Time!AT31,1)*Inputs!$F$172</f>
        <v>1.62060731959477</v>
      </c>
      <c r="AU93" s="13" t="n">
        <f aca="false">(1-AU86)*(AU65+AU66+AU67+AU68+AU69+AU70+AU71)/MAX(Time!AU31,1)*Inputs!$F$172</f>
        <v>1.67433588011546</v>
      </c>
      <c r="AV93" s="13" t="n">
        <f aca="false">(1-AV86)*(AV65+AV66+AV67+AV68+AV69+AV70+AV71)/MAX(Time!AV31,1)*Inputs!$F$172</f>
        <v>1.68381848155731</v>
      </c>
      <c r="AW93" s="13" t="n">
        <f aca="false">(1-AW86)*(AW65+AW66+AW67+AW68+AW69+AW70+AW71)/MAX(Time!AW31,1)*Inputs!$F$172</f>
        <v>1.72738128926137</v>
      </c>
      <c r="AX93" s="13" t="n">
        <f aca="false">(1-AX86)*(AX65+AX66+AX67+AX68+AX69+AX70+AX71)/MAX(Time!AX31,1)*Inputs!$F$172</f>
        <v>1.71297067505843</v>
      </c>
      <c r="AY93" s="13" t="n">
        <f aca="false">(1-AY86)*(AY65+AY66+AY67+AY68+AY69+AY70+AY71)/MAX(Time!AY31,1)*Inputs!$F$172</f>
        <v>1.76099257827592</v>
      </c>
      <c r="AZ93" s="13" t="n">
        <f aca="false">(1-AZ86)*(AZ65+AZ66+AZ67+AZ68+AZ69+AZ70+AZ71)/MAX(Time!AZ31,1)*Inputs!$F$172</f>
        <v>1.75364321672746</v>
      </c>
      <c r="BA93" s="13" t="n">
        <f aca="false">(1-BA86)*(BA65+BA66+BA67+BA68+BA69+BA70+BA71)/MAX(Time!BA31,1)*Inputs!$F$172</f>
        <v>1.7843951775539</v>
      </c>
      <c r="BB93" s="13" t="n">
        <f aca="false">(1-BB86)*(BB65+BB66+BB67+BB68+BB69+BB70+BB71)/MAX(Time!BB31,1)*Inputs!$F$172</f>
        <v>1.76979022467563</v>
      </c>
      <c r="BC93" s="13" t="n">
        <f aca="false">(1-BC86)*(BC65+BC66+BC67+BC68+BC69+BC70+BC71)/MAX(Time!BC31,1)*Inputs!$F$172</f>
        <v>1.82435374986098</v>
      </c>
      <c r="BD93" s="13" t="n">
        <f aca="false">(1-BD86)*(BD65+BD66+BD67+BD68+BD69+BD70+BD71)/MAX(Time!BD31,1)*Inputs!$F$172</f>
        <v>1.82650929006132</v>
      </c>
      <c r="BE93" s="13" t="n">
        <f aca="false">(1-BE86)*(BE65+BE66+BE67+BE68+BE69+BE70+BE71)/MAX(Time!BE31,1)*Inputs!$F$172</f>
        <v>1.87384897159319</v>
      </c>
      <c r="BF93" s="13" t="n">
        <f aca="false">(1-BF86)*(BF65+BF66+BF67+BF68+BF69+BF70+BF71)/MAX(Time!BF31,1)*Inputs!$F$172</f>
        <v>1.85831100436283</v>
      </c>
      <c r="BG93" s="13" t="n">
        <f aca="false">(1-BG86)*(BG65+BG66+BG67+BG68+BG69+BG70+BG71)/MAX(Time!BG31,1)*Inputs!$F$172</f>
        <v>1.91047077677524</v>
      </c>
      <c r="BH93" s="13" t="n">
        <f aca="false">(1-BH86)*(BH65+BH66+BH67+BH68+BH69+BH70+BH71)/MAX(Time!BH31,1)*Inputs!$F$172</f>
        <v>1.90254911231337</v>
      </c>
      <c r="BI93" s="13" t="n">
        <f aca="false">(1-BI86)*(BI65+BI66+BI67+BI68+BI69+BI70+BI71)/MAX(Time!BI31,1)*Inputs!$F$172</f>
        <v>1.93177036837226</v>
      </c>
      <c r="BJ93" s="13" t="n">
        <f aca="false">(1-BJ86)*(BJ65+BJ66+BJ67+BJ68+BJ69+BJ70+BJ71)/MAX(Time!BJ31,1)*Inputs!$F$172</f>
        <v>1.90758307132095</v>
      </c>
      <c r="BK93" s="13" t="n">
        <f aca="false">(1-BK86)*(BK65+BK66+BK67+BK68+BK69+BK70+BK71)/MAX(Time!BK31,1)*Inputs!$F$172</f>
        <v>1.97084674488566</v>
      </c>
      <c r="BL93" s="13" t="n">
        <f aca="false">(1-BL86)*(BL65+BL66+BL67+BL68+BL69+BL70+BL71)/MAX(Time!BL31,1)*Inputs!$F$172</f>
        <v>1.98190085627827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14.1541381909532</v>
      </c>
      <c r="P95" s="13" t="n">
        <f aca="false">P88+P89-P90-P91-P92-P93-P94</f>
        <v>14.1203145031047</v>
      </c>
      <c r="Q95" s="13" t="n">
        <f aca="false">Q88+Q89-Q90-Q91-Q92-Q93-Q94</f>
        <v>14.334377386371</v>
      </c>
      <c r="R95" s="13" t="n">
        <f aca="false">R88+R89-R90-R91-R92-R93-R94</f>
        <v>14.0456916567294</v>
      </c>
      <c r="S95" s="13" t="n">
        <f aca="false">S88+S89-S90-S91-S92-S93-S94</f>
        <v>14.3684757802256</v>
      </c>
      <c r="T95" s="13" t="n">
        <f aca="false">T88+T89-T90-T91-T92-T93-T94</f>
        <v>14.2972435851317</v>
      </c>
      <c r="U95" s="13" t="n">
        <f aca="false">U88+U89-U90-U91-U92-U93-U94</f>
        <v>14.2989269985039</v>
      </c>
      <c r="V95" s="13" t="n">
        <f aca="false">V88+V89-V90-V91-V92-V93-V94</f>
        <v>13.8020250959606</v>
      </c>
      <c r="W95" s="13" t="n">
        <f aca="false">W88+W89-W90-W91-W92-W93-W94</f>
        <v>14.2646629835696</v>
      </c>
      <c r="X95" s="13" t="n">
        <f aca="false">X88+X89-X90-X91-X92-X93-X94</f>
        <v>14.4811835795474</v>
      </c>
      <c r="Y95" s="13" t="n">
        <f aca="false">Y88+Y89-Y90-Y91-Y92-Y93-Y94</f>
        <v>14.7021861623855</v>
      </c>
      <c r="Z95" s="13" t="n">
        <f aca="false">Z88+Z89-Z90-Z91-Z92-Z93-Z94</f>
        <v>14.4081693241748</v>
      </c>
      <c r="AA95" s="13" t="n">
        <f aca="false">AA88+AA89-AA90-AA91-AA92-AA93-AA94</f>
        <v>14.7416277351005</v>
      </c>
      <c r="AB95" s="13" t="n">
        <f aca="false">AB88+AB89-AB90-AB91-AB92-AB93-AB94</f>
        <v>14.6724188023829</v>
      </c>
      <c r="AC95" s="13" t="n">
        <f aca="false">AC88+AC89-AC90-AC91-AC92-AC93-AC94</f>
        <v>14.553843842565</v>
      </c>
      <c r="AD95" s="13" t="n">
        <f aca="false">AD88+AD89-AD90-AD91-AD92-AD93-AD94</f>
        <v>13.8041896133224</v>
      </c>
      <c r="AE95" s="13" t="n">
        <f aca="false">AE88+AE89-AE90-AE91-AE92-AE93-AE94</f>
        <v>14.3975096227988</v>
      </c>
      <c r="AF95" s="13" t="n">
        <f aca="false">AF88+AF89-AF90-AF91-AF92-AF93-AF94</f>
        <v>14.8712453324402</v>
      </c>
      <c r="AG95" s="13" t="n">
        <f aca="false">AG88+AG89-AG90-AG91-AG92-AG93-AG94</f>
        <v>15.0997417541463</v>
      </c>
      <c r="AH95" s="13" t="n">
        <f aca="false">AH88+AH89-AH90-AH91-AH92-AH93-AH94</f>
        <v>14.7999484420982</v>
      </c>
      <c r="AI95" s="13" t="n">
        <f aca="false">AI88+AI89-AI90-AI91-AI92-AI93-AI94</f>
        <v>15.1449604920375</v>
      </c>
      <c r="AJ95" s="13" t="n">
        <f aca="false">AJ88+AJ89-AJ90-AJ91-AJ92-AJ93-AJ94</f>
        <v>15.0779715060367</v>
      </c>
      <c r="AK95" s="13" t="n">
        <f aca="false">AK88+AK89-AK90-AK91-AK92-AK93-AK94</f>
        <v>15.0808169421039</v>
      </c>
      <c r="AL95" s="13" t="n">
        <f aca="false">AL88+AL89-AL90-AL91-AL92-AL93-AL94</f>
        <v>14.5557548813912</v>
      </c>
      <c r="AM95" s="13" t="n">
        <f aca="false">AM88+AM89-AM90-AM91-AM92-AM93-AM94</f>
        <v>15.0511184213809</v>
      </c>
      <c r="AN95" s="13" t="n">
        <f aca="false">AN88+AN89-AN90-AN91-AN92-AN93-AN94</f>
        <v>15.292918432831</v>
      </c>
      <c r="AO95" s="13" t="n">
        <f aca="false">AO88+AO89-AO90-AO91-AO92-AO93-AO94</f>
        <v>15.5295083251621</v>
      </c>
      <c r="AP95" s="13" t="n">
        <f aca="false">AP88+AP89-AP90-AP91-AP92-AP93-AP94</f>
        <v>15.2234551912996</v>
      </c>
      <c r="AQ95" s="13" t="n">
        <f aca="false">AQ88+AQ89-AQ90-AQ91-AQ92-AQ93-AQ94</f>
        <v>15.5809743187332</v>
      </c>
      <c r="AR95" s="13" t="n">
        <f aca="false">AR88+AR89-AR90-AR91-AR92-AR93-AR94</f>
        <v>15.5164205336394</v>
      </c>
      <c r="AS95" s="13" t="n">
        <f aca="false">AS88+AS89-AS90-AS91-AS92-AS93-AS94</f>
        <v>15.3898966805754</v>
      </c>
      <c r="AT95" s="13" t="n">
        <f aca="false">AT88+AT89-AT90-AT91-AT92-AT93-AT94</f>
        <v>14.5914413898687</v>
      </c>
      <c r="AU95" s="13" t="n">
        <f aca="false">AU88+AU89-AU90-AU91-AU92-AU93-AU94</f>
        <v>15.2288512486723</v>
      </c>
      <c r="AV95" s="13" t="n">
        <f aca="false">AV88+AV89-AV90-AV91-AV92-AV93-AV94</f>
        <v>15.7488261011866</v>
      </c>
      <c r="AW95" s="13" t="n">
        <f aca="false">AW88+AW89-AW90-AW91-AW92-AW93-AW94</f>
        <v>15.9941584184438</v>
      </c>
      <c r="AX95" s="13" t="n">
        <f aca="false">AX88+AX89-AX90-AX91-AX92-AX93-AX94</f>
        <v>15.6813208327716</v>
      </c>
      <c r="AY95" s="13" t="n">
        <f aca="false">AY88+AY89-AY90-AY91-AY92-AY93-AY94</f>
        <v>16.0523809270375</v>
      </c>
      <c r="AZ95" s="13" t="n">
        <f aca="false">AZ88+AZ89-AZ90-AZ91-AZ92-AZ93-AZ94</f>
        <v>15.9904978847813</v>
      </c>
      <c r="BA95" s="13" t="n">
        <f aca="false">BA88+BA89-BA90-BA91-BA92-BA93-BA94</f>
        <v>15.994503205623</v>
      </c>
      <c r="BB95" s="13" t="n">
        <f aca="false">BB88+BB89-BB90-BB91-BB92-BB93-BB94</f>
        <v>15.4362149031062</v>
      </c>
      <c r="BC95" s="13" t="n">
        <f aca="false">BC88+BC89-BC90-BC91-BC92-BC93-BC94</f>
        <v>15.9700331024289</v>
      </c>
      <c r="BD95" s="13" t="n">
        <f aca="false">BD88+BD89-BD90-BD91-BD92-BD93-BD94</f>
        <v>16.2418136999451</v>
      </c>
      <c r="BE95" s="13" t="n">
        <f aca="false">BE88+BE89-BE90-BE91-BE92-BE93-BE94</f>
        <v>16.4965908785343</v>
      </c>
      <c r="BF95" s="13" t="n">
        <f aca="false">BF88+BF89-BF90-BF91-BF92-BF93-BF94</f>
        <v>16.1763993386907</v>
      </c>
      <c r="BG95" s="13" t="n">
        <f aca="false">BG88+BG89-BG90-BG91-BG92-BG93-BG94</f>
        <v>16.5621216593348</v>
      </c>
      <c r="BH95" s="13" t="n">
        <f aca="false">BH88+BH89-BH90-BH91-BH92-BH93-BH94</f>
        <v>16.5031670640701</v>
      </c>
      <c r="BI95" s="13" t="n">
        <f aca="false">BI88+BI89-BI90-BI91-BI92-BI93-BI94</f>
        <v>16.3670165630049</v>
      </c>
      <c r="BJ95" s="13" t="n">
        <f aca="false">BJ88+BJ89-BJ90-BJ91-BJ92-BJ93-BJ94</f>
        <v>15.5109273459364</v>
      </c>
      <c r="BK95" s="13" t="n">
        <f aca="false">BK88+BK89-BK90-BK91-BK92-BK93-BK94</f>
        <v>16.2002192276711</v>
      </c>
      <c r="BL95" s="13" t="n">
        <f aca="false">BL88+BL89-BL90-BL91-BL92-BL93-BL94</f>
        <v>16.7749678592283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14.1541381909532</v>
      </c>
      <c r="P96" s="13" t="n">
        <f aca="false">P95-O95</f>
        <v>-0.0338236878485176</v>
      </c>
      <c r="Q96" s="13" t="n">
        <f aca="false">Q95-P95</f>
        <v>0.214062883266307</v>
      </c>
      <c r="R96" s="13" t="n">
        <f aca="false">R95-Q95</f>
        <v>-0.288685729641593</v>
      </c>
      <c r="S96" s="13" t="n">
        <f aca="false">S95-R95</f>
        <v>0.322784123496181</v>
      </c>
      <c r="T96" s="13" t="n">
        <f aca="false">T95-S95</f>
        <v>-0.0712321950938204</v>
      </c>
      <c r="U96" s="13" t="n">
        <f aca="false">U95-T95</f>
        <v>0.0016834133721364</v>
      </c>
      <c r="V96" s="13" t="n">
        <f aca="false">V95-U95</f>
        <v>-0.496901902543275</v>
      </c>
      <c r="W96" s="13" t="n">
        <f aca="false">W95-V95</f>
        <v>0.462637887609034</v>
      </c>
      <c r="X96" s="13" t="n">
        <f aca="false">X95-W95</f>
        <v>0.216520595977798</v>
      </c>
      <c r="Y96" s="13" t="n">
        <f aca="false">Y95-X95</f>
        <v>0.221002582838038</v>
      </c>
      <c r="Z96" s="13" t="n">
        <f aca="false">Z95-Y95</f>
        <v>-0.294016838210696</v>
      </c>
      <c r="AA96" s="13" t="n">
        <f aca="false">AA95-Z95</f>
        <v>0.33345841092574</v>
      </c>
      <c r="AB96" s="13" t="n">
        <f aca="false">AB95-AA95</f>
        <v>-0.0692089327175829</v>
      </c>
      <c r="AC96" s="13" t="n">
        <f aca="false">AC95-AB95</f>
        <v>-0.118574959817897</v>
      </c>
      <c r="AD96" s="13" t="n">
        <f aca="false">AD95-AC95</f>
        <v>-0.749654229242644</v>
      </c>
      <c r="AE96" s="13" t="n">
        <f aca="false">AE95-AD95</f>
        <v>0.593320009476454</v>
      </c>
      <c r="AF96" s="13" t="n">
        <f aca="false">AF95-AE95</f>
        <v>0.473735709641392</v>
      </c>
      <c r="AG96" s="13" t="n">
        <f aca="false">AG95-AF95</f>
        <v>0.228496421706115</v>
      </c>
      <c r="AH96" s="13" t="n">
        <f aca="false">AH95-AG95</f>
        <v>-0.299793312048122</v>
      </c>
      <c r="AI96" s="13" t="n">
        <f aca="false">AI95-AH95</f>
        <v>0.345012049939264</v>
      </c>
      <c r="AJ96" s="13" t="n">
        <f aca="false">AJ95-AI95</f>
        <v>-0.066988986000819</v>
      </c>
      <c r="AK96" s="13" t="n">
        <f aca="false">AK95-AJ95</f>
        <v>0.00284543606721321</v>
      </c>
      <c r="AL96" s="13" t="n">
        <f aca="false">AL95-AK95</f>
        <v>-0.525062060712669</v>
      </c>
      <c r="AM96" s="13" t="n">
        <f aca="false">AM95-AL95</f>
        <v>0.495363539989686</v>
      </c>
      <c r="AN96" s="13" t="n">
        <f aca="false">AN95-AM95</f>
        <v>0.241800011450124</v>
      </c>
      <c r="AO96" s="13" t="n">
        <f aca="false">AO95-AN95</f>
        <v>0.236589892331104</v>
      </c>
      <c r="AP96" s="13" t="n">
        <f aca="false">AP95-AO95</f>
        <v>-0.306053133862553</v>
      </c>
      <c r="AQ96" s="13" t="n">
        <f aca="false">AQ95-AP95</f>
        <v>0.357519127433589</v>
      </c>
      <c r="AR96" s="13" t="n">
        <f aca="false">AR95-AQ95</f>
        <v>-0.0645537850937945</v>
      </c>
      <c r="AS96" s="13" t="n">
        <f aca="false">AS95-AR95</f>
        <v>-0.126523853063997</v>
      </c>
      <c r="AT96" s="13" t="n">
        <f aca="false">AT95-AS95</f>
        <v>-0.798455290706672</v>
      </c>
      <c r="AU96" s="13" t="n">
        <f aca="false">AU95-AT95</f>
        <v>0.637409858803631</v>
      </c>
      <c r="AV96" s="13" t="n">
        <f aca="false">AV95-AU95</f>
        <v>0.51997485251427</v>
      </c>
      <c r="AW96" s="13" t="n">
        <f aca="false">AW95-AV95</f>
        <v>0.245332317257175</v>
      </c>
      <c r="AX96" s="13" t="n">
        <f aca="false">AX95-AW95</f>
        <v>-0.312837585672156</v>
      </c>
      <c r="AY96" s="13" t="n">
        <f aca="false">AY95-AX95</f>
        <v>0.371060094265857</v>
      </c>
      <c r="AZ96" s="13" t="n">
        <f aca="false">AZ95-AY95</f>
        <v>-0.0618830422561505</v>
      </c>
      <c r="BA96" s="13" t="n">
        <f aca="false">BA95-AZ95</f>
        <v>0.00400532084167971</v>
      </c>
      <c r="BB96" s="13" t="n">
        <f aca="false">BB95-BA95</f>
        <v>-0.558288302516836</v>
      </c>
      <c r="BC96" s="13" t="n">
        <f aca="false">BC95-BB95</f>
        <v>0.533818199322765</v>
      </c>
      <c r="BD96" s="13" t="n">
        <f aca="false">BD95-BC95</f>
        <v>0.271780597516143</v>
      </c>
      <c r="BE96" s="13" t="n">
        <f aca="false">BE95-BD95</f>
        <v>0.254777178589215</v>
      </c>
      <c r="BF96" s="13" t="n">
        <f aca="false">BF95-BE95</f>
        <v>-0.320191539843631</v>
      </c>
      <c r="BG96" s="13" t="n">
        <f aca="false">BG95-BF95</f>
        <v>0.385722320644135</v>
      </c>
      <c r="BH96" s="13" t="n">
        <f aca="false">BH95-BG95</f>
        <v>-0.0589545952647157</v>
      </c>
      <c r="BI96" s="13" t="n">
        <f aca="false">BI95-BH95</f>
        <v>-0.136150501065181</v>
      </c>
      <c r="BJ96" s="13" t="n">
        <f aca="false">BJ95-BI95</f>
        <v>-0.856089217068547</v>
      </c>
      <c r="BK96" s="13" t="n">
        <f aca="false">BK95-BJ95</f>
        <v>0.689291881734757</v>
      </c>
      <c r="BL96" s="13" t="n">
        <f aca="false">BL95-BK95</f>
        <v>0.574748631557227</v>
      </c>
      <c r="BM96" s="13" t="n">
        <f aca="false">BM95-BL95</f>
        <v>-16.7749678592283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-71.6719366729732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-0.314417610592518</v>
      </c>
      <c r="P98" s="13" t="n">
        <f aca="false">P51-P73</f>
        <v>-0.947953486437541</v>
      </c>
      <c r="Q98" s="13" t="n">
        <f aca="false">Q51-Q73</f>
        <v>-0.970747255181195</v>
      </c>
      <c r="R98" s="13" t="n">
        <f aca="false">R51-R73</f>
        <v>-0.971148752074271</v>
      </c>
      <c r="S98" s="13" t="n">
        <f aca="false">S51-S73</f>
        <v>-1.00126254445371</v>
      </c>
      <c r="T98" s="13" t="n">
        <f aca="false">T51-T73</f>
        <v>-1.01548109591145</v>
      </c>
      <c r="U98" s="13" t="n">
        <f aca="false">U51-U73</f>
        <v>-1.03046714235172</v>
      </c>
      <c r="V98" s="13" t="n">
        <f aca="false">V51-V73</f>
        <v>-1.01211317212257</v>
      </c>
      <c r="W98" s="13" t="n">
        <f aca="false">W51-W73</f>
        <v>-1.05281079691973</v>
      </c>
      <c r="X98" s="13" t="n">
        <f aca="false">X51-X73</f>
        <v>-1.08671604495964</v>
      </c>
      <c r="Y98" s="13" t="n">
        <f aca="false">Y51-Y73</f>
        <v>-1.11228617936034</v>
      </c>
      <c r="Z98" s="13" t="n">
        <f aca="false">Z51-Z73</f>
        <v>-1.11219471336359</v>
      </c>
      <c r="AA98" s="13" t="n">
        <f aca="false">AA51-AA73</f>
        <v>-1.14612251309818</v>
      </c>
      <c r="AB98" s="13" t="n">
        <f aca="false">AB51-AB73</f>
        <v>-1.16183952290444</v>
      </c>
      <c r="AC98" s="13" t="n">
        <f aca="false">AC51-AC73</f>
        <v>-1.16977254618936</v>
      </c>
      <c r="AD98" s="13" t="n">
        <f aca="false">AD51-AD73</f>
        <v>-1.1307615897863</v>
      </c>
      <c r="AE98" s="13" t="n">
        <f aca="false">AE51-AE73</f>
        <v>-1.1849752106708</v>
      </c>
      <c r="AF98" s="13" t="n">
        <f aca="false">AF51-AF73</f>
        <v>-1.24104097902085</v>
      </c>
      <c r="AG98" s="13" t="n">
        <f aca="false">AG51-AG73</f>
        <v>-1.26967591407724</v>
      </c>
      <c r="AH98" s="13" t="n">
        <f aca="false">AH51-AH73</f>
        <v>-1.26901360652828</v>
      </c>
      <c r="AI98" s="13" t="n">
        <f aca="false">AI51-AI73</f>
        <v>-1.30715883032083</v>
      </c>
      <c r="AJ98" s="13" t="n">
        <f aca="false">AJ51-AJ73</f>
        <v>-1.32451848091219</v>
      </c>
      <c r="AK98" s="13" t="n">
        <f aca="false">AK51-AK73</f>
        <v>-1.34286360637395</v>
      </c>
      <c r="AL98" s="13" t="n">
        <f aca="false">AL51-AL73</f>
        <v>-1.3177835091027</v>
      </c>
      <c r="AM98" s="13" t="n">
        <f aca="false">AM51-AM73</f>
        <v>-1.3695821666833</v>
      </c>
      <c r="AN98" s="13" t="n">
        <f aca="false">AN51-AN73</f>
        <v>-1.41247908782357</v>
      </c>
      <c r="AO98" s="13" t="n">
        <f aca="false">AO51-AO73</f>
        <v>-1.44449475828135</v>
      </c>
      <c r="AP98" s="13" t="n">
        <f aca="false">AP51-AP73</f>
        <v>-1.44317474542841</v>
      </c>
      <c r="AQ98" s="13" t="n">
        <f aca="false">AQ51-AQ73</f>
        <v>-1.48597969195991</v>
      </c>
      <c r="AR98" s="13" t="n">
        <f aca="false">AR51-AR73</f>
        <v>-1.5051392394937</v>
      </c>
      <c r="AS98" s="13" t="n">
        <f aca="false">AS51-AS73</f>
        <v>-1.5142079350977</v>
      </c>
      <c r="AT98" s="13" t="n">
        <f aca="false">AT51-AT73</f>
        <v>-1.46255922095237</v>
      </c>
      <c r="AU98" s="13" t="n">
        <f aca="false">AU51-AU73</f>
        <v>-1.53149173094968</v>
      </c>
      <c r="AV98" s="13" t="n">
        <f aca="false">AV51-AV73</f>
        <v>-1.60272516116859</v>
      </c>
      <c r="AW98" s="13" t="n">
        <f aca="false">AW51-AW73</f>
        <v>-1.63846747744091</v>
      </c>
      <c r="AX98" s="13" t="n">
        <f aca="false">AX51-AX73</f>
        <v>-1.63639299990874</v>
      </c>
      <c r="AY98" s="13" t="n">
        <f aca="false">AY51-AY73</f>
        <v>-1.68434237783704</v>
      </c>
      <c r="AZ98" s="13" t="n">
        <f aca="false">AZ51-AZ73</f>
        <v>-1.70547328542486</v>
      </c>
      <c r="BA98" s="13" t="n">
        <f aca="false">BA51-BA73</f>
        <v>-1.7278570398535</v>
      </c>
      <c r="BB98" s="13" t="n">
        <f aca="false">BB51-BB73</f>
        <v>-1.69438857304115</v>
      </c>
      <c r="BC98" s="13" t="n">
        <f aca="false">BC51-BC73</f>
        <v>-1.75976242144004</v>
      </c>
      <c r="BD98" s="13" t="n">
        <f aca="false">BD51-BD73</f>
        <v>-1.81363069147524</v>
      </c>
      <c r="BE98" s="13" t="n">
        <f aca="false">BE51-BE73</f>
        <v>-1.85347822882356</v>
      </c>
      <c r="BF98" s="13" t="n">
        <f aca="false">BF51-BF73</f>
        <v>-1.85054163544773</v>
      </c>
      <c r="BG98" s="13" t="n">
        <f aca="false">BG51-BG73</f>
        <v>-1.90416639721828</v>
      </c>
      <c r="BH98" s="13" t="n">
        <f aca="false">BH51-BH73</f>
        <v>-1.92745556265528</v>
      </c>
      <c r="BI98" s="13" t="n">
        <f aca="false">BI51-BI73</f>
        <v>-1.93781543273978</v>
      </c>
      <c r="BJ98" s="13" t="n">
        <f aca="false">BJ51-BJ73</f>
        <v>-1.87052279884739</v>
      </c>
      <c r="BK98" s="13" t="n">
        <f aca="false">BK51-BK73</f>
        <v>-1.95744806001817</v>
      </c>
      <c r="BL98" s="13" t="n">
        <f aca="false">BL51-BL73</f>
        <v>-2.04721766281634</v>
      </c>
      <c r="BM98" s="13" t="n">
        <f aca="false">BM51-BM73</f>
        <v>-1.3980171874332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314.339273987499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9.58414366107747</v>
      </c>
      <c r="R13" s="13" t="n">
        <f aca="false">IF(Time!R20&gt;=Time!$F$12,Waterfall!R33*Inputs!$F$104/100*Time!R31/Inputs!$F$248,0)</f>
        <v>9.77672929556594</v>
      </c>
      <c r="S13" s="13" t="n">
        <f aca="false">IF(Time!S20&gt;=Time!$F$12,Waterfall!S33*Inputs!$F$104/100*Time!S31/Inputs!$F$248,0)</f>
        <v>9.63752508299727</v>
      </c>
      <c r="T13" s="13" t="n">
        <f aca="false">IF(Time!T20&gt;=Time!$F$12,Waterfall!T33*Inputs!$F$104/100*Time!T31/Inputs!$F$248,0)</f>
        <v>9.84664352524356</v>
      </c>
      <c r="U13" s="13" t="n">
        <f aca="false">IF(Time!U20&gt;=Time!$F$12,Waterfall!U33*Inputs!$F$104/100*Time!U31/Inputs!$F$248,0)</f>
        <v>9.74617694134076</v>
      </c>
      <c r="V13" s="13" t="n">
        <f aca="false">IF(Time!V20&gt;=Time!$F$12,Waterfall!V33*Inputs!$F$104/100*Time!V31/Inputs!$F$248,0)</f>
        <v>9.92643229323348</v>
      </c>
      <c r="W13" s="13" t="n">
        <f aca="false">IF(Time!W20&gt;=Time!$F$12,Waterfall!W33*Inputs!$F$104/100*Time!W31/Inputs!$F$248,0)</f>
        <v>9.8583562232828</v>
      </c>
      <c r="X13" s="13" t="n">
        <f aca="false">IF(Time!X20&gt;=Time!$F$12,Waterfall!X33*Inputs!$F$104/100*Time!X31/Inputs!$F$248,0)</f>
        <v>10.0666217376839</v>
      </c>
      <c r="Y13" s="13" t="n">
        <f aca="false">IF(Time!Y20&gt;=Time!$F$12,Waterfall!Y33*Inputs!$F$104/100*Time!Y31/Inputs!$F$248,0)</f>
        <v>9.94274573006323</v>
      </c>
      <c r="Z13" s="13" t="n">
        <f aca="false">IF(Time!Z20&gt;=Time!$F$12,Waterfall!Z33*Inputs!$F$104/100*Time!Z31/Inputs!$F$248,0)</f>
        <v>10.1694632856153</v>
      </c>
      <c r="AA13" s="13" t="n">
        <f aca="false">IF(Time!AA20&gt;=Time!$F$12,Waterfall!AA33*Inputs!$F$104/100*Time!AA31/Inputs!$F$248,0)</f>
        <v>10.063897962034</v>
      </c>
      <c r="AB13" s="13" t="n">
        <f aca="false">IF(Time!AB20&gt;=Time!$F$12,Waterfall!AB33*Inputs!$F$104/100*Time!AB31/Inputs!$F$248,0)</f>
        <v>10.5179867181359</v>
      </c>
      <c r="AC13" s="13" t="n">
        <f aca="false">IF(Time!AC20&gt;=Time!$F$12,Waterfall!AC33*Inputs!$F$104/100*Time!AC31/Inputs!$F$248,0)</f>
        <v>10.6632698798687</v>
      </c>
      <c r="AD13" s="13" t="n">
        <f aca="false">IF(Time!AD20&gt;=Time!$F$12,Waterfall!AD33*Inputs!$F$104/100*Time!AD31/Inputs!$F$248,0)</f>
        <v>11.0942330974101</v>
      </c>
      <c r="AE13" s="13" t="n">
        <f aca="false">IF(Time!AE20&gt;=Time!$F$12,Waterfall!AE33*Inputs!$F$104/100*Time!AE31/Inputs!$F$248,0)</f>
        <v>11.2303024014718</v>
      </c>
      <c r="AF13" s="13" t="n">
        <f aca="false">IF(Time!AF20&gt;=Time!$F$12,Waterfall!AF33*Inputs!$F$104/100*Time!AF31/Inputs!$F$248,0)</f>
        <v>11.7332175644676</v>
      </c>
      <c r="AG13" s="13" t="n">
        <f aca="false">IF(Time!AG20&gt;=Time!$F$12,Waterfall!AG33*Inputs!$F$104/100*Time!AG31/Inputs!$F$248,0)</f>
        <v>11.8003576147981</v>
      </c>
      <c r="AH13" s="13" t="n">
        <f aca="false">IF(Time!AH20&gt;=Time!$F$12,Waterfall!AH33*Inputs!$F$104/100*Time!AH31/Inputs!$F$248,0)</f>
        <v>12.2411926166882</v>
      </c>
      <c r="AI13" s="13" t="n">
        <f aca="false">IF(Time!AI20&gt;=Time!$F$12,Waterfall!AI33*Inputs!$F$104/100*Time!AI31/Inputs!$F$248,0)</f>
        <v>12.2638554565209</v>
      </c>
      <c r="AJ13" s="13" t="n">
        <f aca="false">IF(Time!AJ20&gt;=Time!$F$12,Waterfall!AJ33*Inputs!$F$104/100*Time!AJ31/Inputs!$F$248,0)</f>
        <v>12.6722911005437</v>
      </c>
      <c r="AK13" s="13" t="n">
        <f aca="false">IF(Time!AK20&gt;=Time!$F$12,Waterfall!AK33*Inputs!$F$104/100*Time!AK31/Inputs!$F$248,0)</f>
        <v>12.6841441123673</v>
      </c>
      <c r="AL13" s="13" t="n">
        <f aca="false">IF(Time!AL20&gt;=Time!$F$12,Waterfall!AL33*Inputs!$F$104/100*Time!AL31/Inputs!$F$248,0)</f>
        <v>12.9379011075206</v>
      </c>
      <c r="AM13" s="13" t="n">
        <f aca="false">IF(Time!AM20&gt;=Time!$F$12,Waterfall!AM33*Inputs!$F$104/100*Time!AM31/Inputs!$F$248,0)</f>
        <v>12.4313214328468</v>
      </c>
      <c r="AN13" s="13" t="n">
        <f aca="false">IF(Time!AN20&gt;=Time!$F$12,Waterfall!AN33*Inputs!$F$104/100*Time!AN31/Inputs!$F$248,0)</f>
        <v>11.7969555897726</v>
      </c>
      <c r="AO13" s="13" t="n">
        <f aca="false">IF(Time!AO20&gt;=Time!$F$12,Waterfall!AO33*Inputs!$F$104/100*Time!AO31/Inputs!$F$248,0)</f>
        <v>10.8579309880257</v>
      </c>
      <c r="AP13" s="13" t="n">
        <f aca="false">IF(Time!AP20&gt;=Time!$F$12,Waterfall!AP33*Inputs!$F$104/100*Time!AP31/Inputs!$F$248,0)</f>
        <v>9.33528137839092</v>
      </c>
      <c r="AQ13" s="13" t="n">
        <f aca="false">IF(Time!AQ20&gt;=Time!$F$12,Waterfall!AQ33*Inputs!$F$104/100*Time!AQ31/Inputs!$F$248,0)</f>
        <v>7.42777036247782</v>
      </c>
      <c r="AR13" s="13" t="n">
        <f aca="false">IF(Time!AR20&gt;=Time!$F$12,Waterfall!AR33*Inputs!$F$104/100*Time!AR31/Inputs!$F$248,0)</f>
        <v>5.69134594762541</v>
      </c>
      <c r="AS13" s="13" t="n">
        <f aca="false">IF(Time!AS20&gt;=Time!$F$12,Waterfall!AS33*Inputs!$F$104/100*Time!AS31/Inputs!$F$248,0)</f>
        <v>3.65963698856134</v>
      </c>
      <c r="AT13" s="13" t="n">
        <f aca="false">IF(Time!AT20&gt;=Time!$F$12,Waterfall!AT33*Inputs!$F$104/100*Time!AT31/Inputs!$F$248,0)</f>
        <v>1.66895333585191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0.660024031532499</v>
      </c>
      <c r="P14" s="3" t="n">
        <f aca="false">IF(Waterfall!P33&gt;0,MIN(1,Inputs!$F$183*(Waterfall!$F$32+MAX(0,Waterfall!O43))/Waterfall!P33),1)</f>
        <v>0.77601948470937</v>
      </c>
      <c r="Q14" s="3" t="n">
        <f aca="false">IF(Waterfall!Q33&gt;0,MIN(1,Inputs!$F$183*(Waterfall!$F$32+MAX(0,Waterfall!P43))/Waterfall!Q33),1)</f>
        <v>0.83908505841447</v>
      </c>
      <c r="R14" s="3" t="n">
        <f aca="false">IF(Waterfall!R33&gt;0,MIN(1,Inputs!$F$183*(Waterfall!$F$32+MAX(0,Waterfall!Q43))/Waterfall!R33),1)</f>
        <v>0.907100134499417</v>
      </c>
      <c r="S14" s="3" t="n">
        <f aca="false">IF(Waterfall!S33&gt;0,MIN(1,Inputs!$F$183*(Waterfall!$F$32+MAX(0,Waterfall!R43))/Waterfall!S33),1)</f>
        <v>0.973158226920892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308.344148364016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7.61344740017454</v>
      </c>
      <c r="Q15" s="13" t="n">
        <f aca="false">Q13*Q14</f>
        <v>8.04191174370786</v>
      </c>
      <c r="R15" s="13" t="n">
        <f aca="false">R13*R14</f>
        <v>8.86847245897226</v>
      </c>
      <c r="S15" s="13" t="n">
        <f aca="false">S13*S14</f>
        <v>9.37883682167524</v>
      </c>
      <c r="T15" s="13" t="n">
        <f aca="false">T13*T14</f>
        <v>9.84664352524356</v>
      </c>
      <c r="U15" s="13" t="n">
        <f aca="false">U13*U14</f>
        <v>9.74617694134076</v>
      </c>
      <c r="V15" s="13" t="n">
        <f aca="false">V13*V14</f>
        <v>9.92643229323348</v>
      </c>
      <c r="W15" s="13" t="n">
        <f aca="false">W13*W14</f>
        <v>9.8583562232828</v>
      </c>
      <c r="X15" s="13" t="n">
        <f aca="false">X13*X14</f>
        <v>10.0666217376839</v>
      </c>
      <c r="Y15" s="13" t="n">
        <f aca="false">Y13*Y14</f>
        <v>9.94274573006323</v>
      </c>
      <c r="Z15" s="13" t="n">
        <f aca="false">Z13*Z14</f>
        <v>10.1694632856153</v>
      </c>
      <c r="AA15" s="13" t="n">
        <f aca="false">AA13*AA14</f>
        <v>10.063897962034</v>
      </c>
      <c r="AB15" s="13" t="n">
        <f aca="false">AB13*AB14</f>
        <v>10.5179867181359</v>
      </c>
      <c r="AC15" s="13" t="n">
        <f aca="false">AC13*AC14</f>
        <v>10.6632698798687</v>
      </c>
      <c r="AD15" s="13" t="n">
        <f aca="false">AD13*AD14</f>
        <v>11.0942330974101</v>
      </c>
      <c r="AE15" s="13" t="n">
        <f aca="false">AE13*AE14</f>
        <v>11.2303024014718</v>
      </c>
      <c r="AF15" s="13" t="n">
        <f aca="false">AF13*AF14</f>
        <v>11.7332175644676</v>
      </c>
      <c r="AG15" s="13" t="n">
        <f aca="false">AG13*AG14</f>
        <v>11.8003576147981</v>
      </c>
      <c r="AH15" s="13" t="n">
        <f aca="false">AH13*AH14</f>
        <v>12.2411926166882</v>
      </c>
      <c r="AI15" s="13" t="n">
        <f aca="false">AI13*AI14</f>
        <v>12.2638554565209</v>
      </c>
      <c r="AJ15" s="13" t="n">
        <f aca="false">AJ13*AJ14</f>
        <v>12.6722911005437</v>
      </c>
      <c r="AK15" s="13" t="n">
        <f aca="false">AK13*AK14</f>
        <v>12.6841441123673</v>
      </c>
      <c r="AL15" s="13" t="n">
        <f aca="false">AL13*AL14</f>
        <v>12.9379011075206</v>
      </c>
      <c r="AM15" s="13" t="n">
        <f aca="false">AM13*AM14</f>
        <v>12.4313214328468</v>
      </c>
      <c r="AN15" s="13" t="n">
        <f aca="false">AN13*AN14</f>
        <v>11.7969555897726</v>
      </c>
      <c r="AO15" s="13" t="n">
        <f aca="false">AO13*AO14</f>
        <v>10.8579309880257</v>
      </c>
      <c r="AP15" s="13" t="n">
        <f aca="false">AP13*AP14</f>
        <v>9.33528137839092</v>
      </c>
      <c r="AQ15" s="13" t="n">
        <f aca="false">AQ13*AQ14</f>
        <v>7.42777036247782</v>
      </c>
      <c r="AR15" s="13" t="n">
        <f aca="false">AR13*AR14</f>
        <v>5.69134594762541</v>
      </c>
      <c r="AS15" s="13" t="n">
        <f aca="false">AS13*AS14</f>
        <v>3.65963698856134</v>
      </c>
      <c r="AT15" s="13" t="n">
        <f aca="false">AT13*AT14</f>
        <v>1.66895333585191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319.853065368393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14.2298994390683</v>
      </c>
      <c r="AC16" s="13" t="n">
        <f aca="false">Debt!AC112+Debt!AC110+Debt!AC104-Debt!AC103</f>
        <v>13.0988550905938</v>
      </c>
      <c r="AD16" s="13" t="n">
        <f aca="false">Debt!AD112+Debt!AD110+Debt!AD104-Debt!AD103</f>
        <v>12.1904474514969</v>
      </c>
      <c r="AE16" s="13" t="n">
        <f aca="false">Debt!AE112+Debt!AE110+Debt!AE104-Debt!AE103</f>
        <v>10.9991867103857</v>
      </c>
      <c r="AF16" s="13" t="n">
        <f aca="false">Debt!AF112+Debt!AF110+Debt!AF104-Debt!AF103</f>
        <v>10.0092238577653</v>
      </c>
      <c r="AG16" s="13" t="n">
        <f aca="false">Debt!AG112+Debt!AG110+Debt!AG104-Debt!AG103</f>
        <v>8.95422706292133</v>
      </c>
      <c r="AH16" s="13" t="n">
        <f aca="false">Debt!AH112+Debt!AH110+Debt!AH104-Debt!AH103</f>
        <v>7.80039175313076</v>
      </c>
      <c r="AI16" s="13" t="n">
        <f aca="false">Debt!AI112+Debt!AI110+Debt!AI104-Debt!AI103</f>
        <v>6.44132456430518</v>
      </c>
      <c r="AJ16" s="13" t="n">
        <f aca="false">Debt!AJ112+Debt!AJ110+Debt!AJ104-Debt!AJ103</f>
        <v>5.21079840653317</v>
      </c>
      <c r="AK16" s="13" t="n">
        <f aca="false">Debt!AK112+Debt!AK110+Debt!AK104-Debt!AK103</f>
        <v>3.84179800202054</v>
      </c>
      <c r="AL16" s="13" t="n">
        <f aca="false">Debt!AL112+Debt!AL110+Debt!AL104-Debt!AL103</f>
        <v>2.54698950280577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932.548356142714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0.445737325134756</v>
      </c>
      <c r="Z18" s="13" t="n">
        <f aca="false">(Operations!Z84-Z16-Z15)*Z17-Z12</f>
        <v>1.29757574826218</v>
      </c>
      <c r="AA18" s="13" t="n">
        <f aca="false">(Operations!AA84-AA16-AA15)*AA17-AA12</f>
        <v>2.61136603669934</v>
      </c>
      <c r="AB18" s="13" t="n">
        <f aca="false">(Operations!AB84-AB16-AB15)*AB17-AB12</f>
        <v>3.50542737457219</v>
      </c>
      <c r="AC18" s="13" t="n">
        <f aca="false">(Operations!AC84-AC16-AC15)*AC17-AC12</f>
        <v>3.2961967146307</v>
      </c>
      <c r="AD18" s="13" t="n">
        <f aca="false">(Operations!AD84-AD16-AD15)*AD17-AD12</f>
        <v>-10.5255614675525</v>
      </c>
      <c r="AE18" s="13" t="n">
        <f aca="false">(Operations!AE84-AE16-AE15)*AE17-AE12</f>
        <v>3.71922831854711</v>
      </c>
      <c r="AF18" s="13" t="n">
        <f aca="false">(Operations!AF84-AF16-AF15)*AF17-AF12</f>
        <v>6.88744706937435</v>
      </c>
      <c r="AG18" s="13" t="n">
        <f aca="false">(Operations!AG84-AG16-AG15)*AG17-AG12</f>
        <v>7.73017598992135</v>
      </c>
      <c r="AH18" s="13" t="n">
        <f aca="false">(Operations!AH84-AH16-AH15)*AH17-AH12</f>
        <v>8.09194893783997</v>
      </c>
      <c r="AI18" s="13" t="n">
        <f aca="false">(Operations!AI84-AI16-AI15)*AI17-AI12</f>
        <v>9.74197519189963</v>
      </c>
      <c r="AJ18" s="13" t="n">
        <f aca="false">(Operations!AJ84-AJ16-AJ15)*AJ17-AJ12</f>
        <v>11.1385637927116</v>
      </c>
      <c r="AK18" s="13" t="n">
        <f aca="false">(Operations!AK84-AK16-AK15)*AK17-AK12</f>
        <v>11.7538927681281</v>
      </c>
      <c r="AL18" s="13" t="n">
        <f aca="false">(Operations!AL84-AL16-AL15)*AL17-AL12</f>
        <v>8.26826381891048</v>
      </c>
      <c r="AM18" s="13" t="n">
        <f aca="false">(Operations!AM84-AM16-AM15)*AM17-AM12</f>
        <v>13.6271143517275</v>
      </c>
      <c r="AN18" s="13" t="n">
        <f aca="false">(Operations!AN84-AN16-AN15)*AN17-AN12</f>
        <v>16.6401817775221</v>
      </c>
      <c r="AO18" s="13" t="n">
        <f aca="false">(Operations!AO84-AO16-AO15)*AO17-AO12</f>
        <v>17.9268745848091</v>
      </c>
      <c r="AP18" s="13" t="n">
        <f aca="false">(Operations!AP84-AP16-AP15)*AP17-AP12</f>
        <v>19.5885011661954</v>
      </c>
      <c r="AQ18" s="13" t="n">
        <f aca="false">(Operations!AQ84-AQ16-AQ15)*AQ17-AQ12</f>
        <v>21.824159044</v>
      </c>
      <c r="AR18" s="13" t="n">
        <f aca="false">(Operations!AR84-AR16-AR15)*AR17-AR12</f>
        <v>24.1619239718418</v>
      </c>
      <c r="AS18" s="13" t="n">
        <f aca="false">(Operations!AS84-AS16-AS15)*AS17-AS12</f>
        <v>24.9173737886173</v>
      </c>
      <c r="AT18" s="13" t="n">
        <f aca="false">(Operations!AT84-AT16-AT15)*AT17-AT12</f>
        <v>10.1870276380562</v>
      </c>
      <c r="AU18" s="13" t="n">
        <f aca="false">(Operations!AU84-AU16-AU15)*AU17-AU12</f>
        <v>27.4019491559444</v>
      </c>
      <c r="AV18" s="13" t="n">
        <f aca="false">(Operations!AV84-AV16-AV15)*AV17-AV12</f>
        <v>30.2944463998027</v>
      </c>
      <c r="AW18" s="13" t="n">
        <f aca="false">(Operations!AW84-AW16-AW15)*AW17-AW12</f>
        <v>30.1449791816207</v>
      </c>
      <c r="AX18" s="13" t="n">
        <f aca="false">(Operations!AX84-AX16-AX15)*AX17-AX12</f>
        <v>29.7790351464048</v>
      </c>
      <c r="AY18" s="13" t="n">
        <f aca="false">(Operations!AY84-AY16-AY15)*AY17-AY12</f>
        <v>30.1229143043829</v>
      </c>
      <c r="AZ18" s="13" t="n">
        <f aca="false">(Operations!AZ84-AZ16-AZ15)*AZ17-AZ12</f>
        <v>30.7534643026888</v>
      </c>
      <c r="BA18" s="13" t="n">
        <f aca="false">(Operations!BA84-BA16-BA15)*BA17-BA12</f>
        <v>29.9610610740813</v>
      </c>
      <c r="BB18" s="13" t="n">
        <f aca="false">(Operations!BB84-BB16-BB15)*BB17-BB12</f>
        <v>24.7602647341102</v>
      </c>
      <c r="BC18" s="13" t="n">
        <f aca="false">(Operations!BC84-BC16-BC15)*BC17-BC12</f>
        <v>35.7036570128126</v>
      </c>
      <c r="BD18" s="13" t="n">
        <f aca="false">(Operations!BD84-BD16-BD15)*BD17-BD12</f>
        <v>50.4748477222343</v>
      </c>
      <c r="BE18" s="13" t="n">
        <f aca="false">(Operations!BE84-BE16-BE15)*BE17-BE12</f>
        <v>50.3228073734912</v>
      </c>
      <c r="BF18" s="13" t="n">
        <f aca="false">(Operations!BF84-BF16-BF15)*BF17-BF12</f>
        <v>49.9485216675977</v>
      </c>
      <c r="BG18" s="13" t="n">
        <f aca="false">(Operations!BG84-BG16-BG15)*BG17-BG12</f>
        <v>50.3094433071894</v>
      </c>
      <c r="BH18" s="13" t="n">
        <f aca="false">(Operations!BH84-BH16-BH15)*BH17-BH12</f>
        <v>50.9717792466808</v>
      </c>
      <c r="BI18" s="13" t="n">
        <f aca="false">(Operations!BI84-BI16-BI15)*BI17-BI12</f>
        <v>49.5989969182523</v>
      </c>
      <c r="BJ18" s="13" t="n">
        <f aca="false">(Operations!BJ84-BJ16-BJ15)*BJ17-BJ12</f>
        <v>29.9966525010425</v>
      </c>
      <c r="BK18" s="13" t="n">
        <f aca="false">(Operations!BK84-BK16-BK15)*BK17-BK12</f>
        <v>48.3461316805929</v>
      </c>
      <c r="BL18" s="13" t="n">
        <f aca="false">(Operations!BL84-BL16-BL15)*BL17-BL12</f>
        <v>51.4888454766314</v>
      </c>
      <c r="BM18" s="13" t="n">
        <f aca="false">(Operations!BM84-BM16-BM15)*BM17-BM12</f>
        <v>15.3331649953043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10.5255614675525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3.71922831854711</v>
      </c>
      <c r="AF19" s="13" t="n">
        <f aca="false">MIN(AE22,MAX(0,AF18))</f>
        <v>6.80633314900537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0.445737325134756</v>
      </c>
      <c r="Z20" s="13" t="n">
        <f aca="false">MIN(Y21,MAX(0,Z18-Z19))</f>
        <v>1.29757574826218</v>
      </c>
      <c r="AA20" s="13" t="n">
        <f aca="false">MIN(Z21,MAX(0,AA18-AA19))</f>
        <v>2.61136603669934</v>
      </c>
      <c r="AB20" s="13" t="n">
        <f aca="false">MIN(AA21,MAX(0,AB18-AB19))</f>
        <v>3.50542737457219</v>
      </c>
      <c r="AC20" s="13" t="n">
        <f aca="false">MIN(AB21,MAX(0,AC18-AC19))</f>
        <v>3.2961967146307</v>
      </c>
      <c r="AD20" s="13" t="n">
        <f aca="false">MIN(AC21,MAX(0,AD18-AD19))</f>
        <v>0</v>
      </c>
      <c r="AE20" s="13" t="n">
        <f aca="false">MIN(AD21,MAX(0,AE18-AE19))</f>
        <v>0</v>
      </c>
      <c r="AF20" s="13" t="n">
        <f aca="false">MIN(AE21,MAX(0,AF18-AF19))</f>
        <v>0.0811139203689848</v>
      </c>
      <c r="AG20" s="13" t="n">
        <f aca="false">MIN(AF21,MAX(0,AG18-AG19))</f>
        <v>7.73017598992135</v>
      </c>
      <c r="AH20" s="13" t="n">
        <f aca="false">MIN(AG21,MAX(0,AH18-AH19))</f>
        <v>8.09194893783997</v>
      </c>
      <c r="AI20" s="13" t="n">
        <f aca="false">MIN(AH21,MAX(0,AI18-AI19))</f>
        <v>9.74197519189963</v>
      </c>
      <c r="AJ20" s="13" t="n">
        <f aca="false">MIN(AI21,MAX(0,AJ18-AJ19))</f>
        <v>11.1385637927116</v>
      </c>
      <c r="AK20" s="13" t="n">
        <f aca="false">MIN(AJ21,MAX(0,AK18-AK19))</f>
        <v>11.7538927681281</v>
      </c>
      <c r="AL20" s="13" t="n">
        <f aca="false">MIN(AK21,MAX(0,AL18-AL19))</f>
        <v>8.26826381891048</v>
      </c>
      <c r="AM20" s="13" t="n">
        <f aca="false">MIN(AL21,MAX(0,AM18-AM19))</f>
        <v>13.6271143517275</v>
      </c>
      <c r="AN20" s="13" t="n">
        <f aca="false">MIN(AM21,MAX(0,AN18-AN19))</f>
        <v>16.6401817775221</v>
      </c>
      <c r="AO20" s="13" t="n">
        <f aca="false">MIN(AN21,MAX(0,AO18-AO19))</f>
        <v>17.9268745848091</v>
      </c>
      <c r="AP20" s="13" t="n">
        <f aca="false">MIN(AO21,MAX(0,AP18-AP19))</f>
        <v>19.5885011661954</v>
      </c>
      <c r="AQ20" s="13" t="n">
        <f aca="false">MIN(AP21,MAX(0,AQ18-AQ19))</f>
        <v>21.824159044</v>
      </c>
      <c r="AR20" s="13" t="n">
        <f aca="false">MIN(AQ21,MAX(0,AR18-AR19))</f>
        <v>24.1619239718418</v>
      </c>
      <c r="AS20" s="13" t="n">
        <f aca="false">MIN(AR21,MAX(0,AS18-AS19))</f>
        <v>24.9173737886173</v>
      </c>
      <c r="AT20" s="13" t="n">
        <f aca="false">MIN(AS21,MAX(0,AT18-AT19))</f>
        <v>10.1870276380562</v>
      </c>
      <c r="AU20" s="13" t="n">
        <f aca="false">MIN(AT21,MAX(0,AU18-AU19))</f>
        <v>9.0699751919172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225.459631808631</v>
      </c>
      <c r="Z21" s="13" t="n">
        <f aca="false">Y21+Z11-Z20</f>
        <v>224.162056060369</v>
      </c>
      <c r="AA21" s="13" t="n">
        <f aca="false">Z21+AA11-AA20</f>
        <v>221.55069002367</v>
      </c>
      <c r="AB21" s="13" t="n">
        <f aca="false">AA21+AB11-AB20</f>
        <v>218.045262649097</v>
      </c>
      <c r="AC21" s="13" t="n">
        <f aca="false">AB21+AC11-AC20</f>
        <v>214.749065934467</v>
      </c>
      <c r="AD21" s="13" t="n">
        <f aca="false">AC21+AD11-AD20</f>
        <v>214.749065934467</v>
      </c>
      <c r="AE21" s="13" t="n">
        <f aca="false">AD21+AE11-AE20</f>
        <v>214.749065934467</v>
      </c>
      <c r="AF21" s="13" t="n">
        <f aca="false">AE21+AF11-AF20</f>
        <v>214.667952014098</v>
      </c>
      <c r="AG21" s="13" t="n">
        <f aca="false">AF21+AG11-AG20</f>
        <v>206.937776024176</v>
      </c>
      <c r="AH21" s="13" t="n">
        <f aca="false">AG21+AH11-AH20</f>
        <v>198.845827086336</v>
      </c>
      <c r="AI21" s="13" t="n">
        <f aca="false">AH21+AI11-AI20</f>
        <v>189.103851894437</v>
      </c>
      <c r="AJ21" s="13" t="n">
        <f aca="false">AI21+AJ11-AJ20</f>
        <v>177.965288101725</v>
      </c>
      <c r="AK21" s="13" t="n">
        <f aca="false">AJ21+AK11-AK20</f>
        <v>166.211395333597</v>
      </c>
      <c r="AL21" s="13" t="n">
        <f aca="false">AK21+AL11-AL20</f>
        <v>157.943131514687</v>
      </c>
      <c r="AM21" s="13" t="n">
        <f aca="false">AL21+AM11-AM20</f>
        <v>144.316017162959</v>
      </c>
      <c r="AN21" s="13" t="n">
        <f aca="false">AM21+AN11-AN20</f>
        <v>127.675835385437</v>
      </c>
      <c r="AO21" s="13" t="n">
        <f aca="false">AN21+AO11-AO20</f>
        <v>109.748960800628</v>
      </c>
      <c r="AP21" s="13" t="n">
        <f aca="false">AO21+AP11-AP20</f>
        <v>90.1604596344325</v>
      </c>
      <c r="AQ21" s="13" t="n">
        <f aca="false">AP21+AQ11-AQ20</f>
        <v>68.3363005904325</v>
      </c>
      <c r="AR21" s="13" t="n">
        <f aca="false">AQ21+AR11-AR20</f>
        <v>44.1743766185907</v>
      </c>
      <c r="AS21" s="13" t="n">
        <f aca="false">AR21+AS11-AS20</f>
        <v>19.2570028299734</v>
      </c>
      <c r="AT21" s="13" t="n">
        <f aca="false">AS21+AT11-AT20</f>
        <v>9.0699751919172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10.5255614675525</v>
      </c>
      <c r="AE22" s="13" t="n">
        <f aca="false">AD22-AE19+MAX(0,-AE18)</f>
        <v>6.80633314900537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706.642987008948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0</v>
      </c>
      <c r="AQ23" s="13" t="n">
        <f aca="false">MAX(0,AQ18-AQ19-AQ20)</f>
        <v>0</v>
      </c>
      <c r="AR23" s="13" t="n">
        <f aca="false">MAX(0,AR18-AR19-AR20)</f>
        <v>0</v>
      </c>
      <c r="AS23" s="13" t="n">
        <f aca="false">MAX(0,AS18-AS19-AS20)</f>
        <v>0</v>
      </c>
      <c r="AT23" s="13" t="n">
        <f aca="false">MAX(0,AT18-AT19-AT20)</f>
        <v>0</v>
      </c>
      <c r="AU23" s="13" t="n">
        <f aca="false">MAX(0,AU18-AU19-AU20)</f>
        <v>18.3319739640272</v>
      </c>
      <c r="AV23" s="13" t="n">
        <f aca="false">MAX(0,AV18-AV19-AV20)</f>
        <v>30.2944463998027</v>
      </c>
      <c r="AW23" s="13" t="n">
        <f aca="false">MAX(0,AW18-AW19-AW20)</f>
        <v>30.1449791816207</v>
      </c>
      <c r="AX23" s="13" t="n">
        <f aca="false">MAX(0,AX18-AX19-AX20)</f>
        <v>29.7790351464048</v>
      </c>
      <c r="AY23" s="13" t="n">
        <f aca="false">MAX(0,AY18-AY19-AY20)</f>
        <v>30.1229143043829</v>
      </c>
      <c r="AZ23" s="13" t="n">
        <f aca="false">MAX(0,AZ18-AZ19-AZ20)</f>
        <v>30.7534643026888</v>
      </c>
      <c r="BA23" s="13" t="n">
        <f aca="false">MAX(0,BA18-BA19-BA20)</f>
        <v>29.9610610740813</v>
      </c>
      <c r="BB23" s="13" t="n">
        <f aca="false">MAX(0,BB18-BB19-BB20)</f>
        <v>24.7602647341102</v>
      </c>
      <c r="BC23" s="13" t="n">
        <f aca="false">MAX(0,BC18-BC19-BC20)</f>
        <v>35.7036570128126</v>
      </c>
      <c r="BD23" s="13" t="n">
        <f aca="false">MAX(0,BD18-BD19-BD20)</f>
        <v>50.4748477222343</v>
      </c>
      <c r="BE23" s="13" t="n">
        <f aca="false">MAX(0,BE18-BE19-BE20)</f>
        <v>50.3228073734912</v>
      </c>
      <c r="BF23" s="13" t="n">
        <f aca="false">MAX(0,BF18-BF19-BF20)</f>
        <v>49.9485216675977</v>
      </c>
      <c r="BG23" s="13" t="n">
        <f aca="false">MAX(0,BG18-BG19-BG20)</f>
        <v>50.3094433071894</v>
      </c>
      <c r="BH23" s="13" t="n">
        <f aca="false">MAX(0,BH18-BH19-BH20)</f>
        <v>50.9717792466808</v>
      </c>
      <c r="BI23" s="13" t="n">
        <f aca="false">MAX(0,BI18-BI19-BI20)</f>
        <v>49.5989969182523</v>
      </c>
      <c r="BJ23" s="13" t="n">
        <f aca="false">MAX(0,BJ18-BJ19-BJ20)</f>
        <v>29.9966525010425</v>
      </c>
      <c r="BK23" s="13" t="n">
        <f aca="false">MAX(0,BK18-BK19-BK20)</f>
        <v>48.3461316805929</v>
      </c>
      <c r="BL23" s="13" t="n">
        <f aca="false">MAX(0,BL18-BL19-BL20)</f>
        <v>51.4888454766314</v>
      </c>
      <c r="BM23" s="13" t="n">
        <f aca="false">MAX(0,BM18-BM19-BM20)</f>
        <v>15.3331649953043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211.992896102684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0</v>
      </c>
      <c r="AQ25" s="13" t="n">
        <f aca="false">AQ23*AQ24</f>
        <v>0</v>
      </c>
      <c r="AR25" s="13" t="n">
        <f aca="false">AR23*AR24</f>
        <v>0</v>
      </c>
      <c r="AS25" s="13" t="n">
        <f aca="false">AS23*AS24</f>
        <v>0</v>
      </c>
      <c r="AT25" s="13" t="n">
        <f aca="false">AT23*AT24</f>
        <v>0</v>
      </c>
      <c r="AU25" s="13" t="n">
        <f aca="false">AU23*AU24</f>
        <v>5.49959218920816</v>
      </c>
      <c r="AV25" s="13" t="n">
        <f aca="false">AV23*AV24</f>
        <v>9.0883339199408</v>
      </c>
      <c r="AW25" s="13" t="n">
        <f aca="false">AW23*AW24</f>
        <v>9.04349375448619</v>
      </c>
      <c r="AX25" s="13" t="n">
        <f aca="false">AX23*AX24</f>
        <v>8.93371054392143</v>
      </c>
      <c r="AY25" s="13" t="n">
        <f aca="false">AY23*AY24</f>
        <v>9.03687429131488</v>
      </c>
      <c r="AZ25" s="13" t="n">
        <f aca="false">AZ23*AZ24</f>
        <v>9.22603929080664</v>
      </c>
      <c r="BA25" s="13" t="n">
        <f aca="false">BA23*BA24</f>
        <v>8.98831832222439</v>
      </c>
      <c r="BB25" s="13" t="n">
        <f aca="false">BB23*BB24</f>
        <v>7.42807942023305</v>
      </c>
      <c r="BC25" s="13" t="n">
        <f aca="false">BC23*BC24</f>
        <v>10.7110971038438</v>
      </c>
      <c r="BD25" s="13" t="n">
        <f aca="false">BD23*BD24</f>
        <v>15.1424543166703</v>
      </c>
      <c r="BE25" s="13" t="n">
        <f aca="false">BE23*BE24</f>
        <v>15.0968422120474</v>
      </c>
      <c r="BF25" s="13" t="n">
        <f aca="false">BF23*BF24</f>
        <v>14.9845565002793</v>
      </c>
      <c r="BG25" s="13" t="n">
        <f aca="false">BG23*BG24</f>
        <v>15.0928329921568</v>
      </c>
      <c r="BH25" s="13" t="n">
        <f aca="false">BH23*BH24</f>
        <v>15.2915337740042</v>
      </c>
      <c r="BI25" s="13" t="n">
        <f aca="false">BI23*BI24</f>
        <v>14.8796990754757</v>
      </c>
      <c r="BJ25" s="13" t="n">
        <f aca="false">BJ23*BJ24</f>
        <v>8.99899575031275</v>
      </c>
      <c r="BK25" s="13" t="n">
        <f aca="false">BK23*BK24</f>
        <v>14.5038395041779</v>
      </c>
      <c r="BL25" s="13" t="n">
        <f aca="false">BL23*BL24</f>
        <v>15.4466536429894</v>
      </c>
      <c r="BM25" s="13" t="n">
        <f aca="false">BM23*BM24</f>
        <v>4.59994949859128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14.9048545675762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0.113608644444605</v>
      </c>
      <c r="Z26" s="13" t="n">
        <f aca="false">IF(Time!Z30&gt;0,Inputs!$F$176/100*Operations!Z55*(Z8+Z9)/Time!Z30,0)</f>
        <v>0.340019216090878</v>
      </c>
      <c r="AA26" s="13" t="n">
        <f aca="false">IF(Time!AA30&gt;0,Inputs!$F$176/100*Operations!AA55*(AA8+AA9)/Time!AA30,0)</f>
        <v>0.342765630663072</v>
      </c>
      <c r="AB26" s="13" t="n">
        <f aca="false">IF(Time!AB30&gt;0,Inputs!$F$176/100*Operations!AB55*(AB8+AB9)/Time!AB30,0)</f>
        <v>0.346731259442194</v>
      </c>
      <c r="AC26" s="13" t="n">
        <f aca="false">IF(Time!AC30&gt;0,Inputs!$F$176/100*Operations!AC55*(AC8+AC9)/Time!AC30,0)</f>
        <v>0.341558618979607</v>
      </c>
      <c r="AD26" s="13" t="n">
        <f aca="false">IF(Time!AD30&gt;0,Inputs!$F$176/100*Operations!AD55*(AD8+AD9)/Time!AD30,0)</f>
        <v>0.329524870498681</v>
      </c>
      <c r="AE26" s="13" t="n">
        <f aca="false">IF(Time!AE30&gt;0,Inputs!$F$176/100*Operations!AE55*(AE8+AE9)/Time!AE30,0)</f>
        <v>0.337921184884861</v>
      </c>
      <c r="AF26" s="13" t="n">
        <f aca="false">IF(Time!AF30&gt;0,Inputs!$F$176/100*Operations!AF55*(AF8+AF9)/Time!AF30,0)</f>
        <v>0.353278312843685</v>
      </c>
      <c r="AG26" s="13" t="n">
        <f aca="false">IF(Time!AG30&gt;0,Inputs!$F$176/100*Operations!AG55*(AG8+AG9)/Time!AG30,0)</f>
        <v>0.353739432262868</v>
      </c>
      <c r="AH26" s="13" t="n">
        <f aca="false">IF(Time!AH30&gt;0,Inputs!$F$176/100*Operations!AH55*(AH8+AH9)/Time!AH30,0)</f>
        <v>0.352981284361787</v>
      </c>
      <c r="AI26" s="13" t="n">
        <f aca="false">IF(Time!AI30&gt;0,Inputs!$F$176/100*Operations!AI55*(AI8+AI9)/Time!AI30,0)</f>
        <v>0.35591229349559</v>
      </c>
      <c r="AJ26" s="13" t="n">
        <f aca="false">IF(Time!AJ30&gt;0,Inputs!$F$176/100*Operations!AJ55*(AJ8+AJ9)/Time!AJ30,0)</f>
        <v>0.36011096382338</v>
      </c>
      <c r="AK26" s="13" t="n">
        <f aca="false">IF(Time!AK30&gt;0,Inputs!$F$176/100*Operations!AK55*(AK8+AK9)/Time!AK30,0)</f>
        <v>0.357443783660565</v>
      </c>
      <c r="AL26" s="13" t="n">
        <f aca="false">IF(Time!AL30&gt;0,Inputs!$F$176/100*Operations!AL55*(AL8+AL9)/Time!AL30,0)</f>
        <v>0.350309021761076</v>
      </c>
      <c r="AM26" s="13" t="n">
        <f aca="false">IF(Time!AM30&gt;0,Inputs!$F$176/100*Operations!AM55*(AM8+AM9)/Time!AM30,0)</f>
        <v>0.356500395673222</v>
      </c>
      <c r="AN26" s="13" t="n">
        <f aca="false">IF(Time!AN30&gt;0,Inputs!$F$176/100*Operations!AN55*(AN8+AN9)/Time!AN30,0)</f>
        <v>0.367241665945446</v>
      </c>
      <c r="AO26" s="13" t="n">
        <f aca="false">IF(Time!AO30&gt;0,Inputs!$F$176/100*Operations!AO55*(AO8+AO9)/Time!AO30,0)</f>
        <v>0.367804132607598</v>
      </c>
      <c r="AP26" s="13" t="n">
        <f aca="false">IF(Time!AP30&gt;0,Inputs!$F$176/100*Operations!AP55*(AP8+AP9)/Time!AP30,0)</f>
        <v>0.367098879054636</v>
      </c>
      <c r="AQ26" s="13" t="n">
        <f aca="false">IF(Time!AQ30&gt;0,Inputs!$F$176/100*Operations!AQ55*(AQ8+AQ9)/Time!AQ30,0)</f>
        <v>0.370230933875713</v>
      </c>
      <c r="AR26" s="13" t="n">
        <f aca="false">IF(Time!AR30&gt;0,Inputs!$F$176/100*Operations!AR55*(AR8+AR9)/Time!AR30,0)</f>
        <v>0.374683415594761</v>
      </c>
      <c r="AS26" s="13" t="n">
        <f aca="false">IF(Time!AS30&gt;0,Inputs!$F$176/100*Operations!AS55*(AS8+AS9)/Time!AS30,0)</f>
        <v>0.369260584596024</v>
      </c>
      <c r="AT26" s="13" t="n">
        <f aca="false">IF(Time!AT30&gt;0,Inputs!$F$176/100*Operations!AT55*(AT8+AT9)/Time!AT30,0)</f>
        <v>0.356411995814225</v>
      </c>
      <c r="AU26" s="13" t="n">
        <f aca="false">IF(Time!AU30&gt;0,Inputs!$F$176/100*Operations!AU55*(AU8+AU9)/Time!AU30,0)</f>
        <v>0.365658870961392</v>
      </c>
      <c r="AV26" s="13" t="n">
        <f aca="false">IF(Time!AV30&gt;0,Inputs!$F$176/100*Operations!AV55*(AV8+AV9)/Time!AV30,0)</f>
        <v>0.382449775627145</v>
      </c>
      <c r="AW26" s="13" t="n">
        <f aca="false">IF(Time!AW30&gt;0,Inputs!$F$176/100*Operations!AW55*(AW8+AW9)/Time!AW30,0)</f>
        <v>0.383122618849092</v>
      </c>
      <c r="AX26" s="13" t="n">
        <f aca="false">IF(Time!AX30&gt;0,Inputs!$F$176/100*Operations!AX55*(AX8+AX9)/Time!AX30,0)</f>
        <v>0.382474969608876</v>
      </c>
      <c r="AY26" s="13" t="n">
        <f aca="false">IF(Time!AY30&gt;0,Inputs!$F$176/100*Operations!AY55*(AY8+AY9)/Time!AY30,0)</f>
        <v>0.385825986756576</v>
      </c>
      <c r="AZ26" s="13" t="n">
        <f aca="false">IF(Time!AZ30&gt;0,Inputs!$F$176/100*Operations!AZ55*(AZ8+AZ9)/Time!AZ30,0)</f>
        <v>0.390554900049564</v>
      </c>
      <c r="BA26" s="13" t="n">
        <f aca="false">IF(Time!BA30&gt;0,Inputs!$F$176/100*Operations!BA55*(BA8+BA9)/Time!BA30,0)</f>
        <v>0.387838446937433</v>
      </c>
      <c r="BB26" s="13" t="n">
        <f aca="false">IF(Time!BB30&gt;0,Inputs!$F$176/100*Operations!BB55*(BB8+BB9)/Time!BB30,0)</f>
        <v>0.380269844998462</v>
      </c>
      <c r="BC26" s="13" t="n">
        <f aca="false">IF(Time!BC30&gt;0,Inputs!$F$176/100*Operations!BC55*(BC8+BC9)/Time!BC30,0)</f>
        <v>0.387166807370548</v>
      </c>
      <c r="BD26" s="13" t="n">
        <f aca="false">IF(Time!BD30&gt;0,Inputs!$F$176/100*Operations!BD55*(BD8+BD9)/Time!BD30,0)</f>
        <v>0.399013559775125</v>
      </c>
      <c r="BE26" s="13" t="n">
        <f aca="false">IF(Time!BE30&gt;0,Inputs!$F$176/100*Operations!BE55*(BE8+BE9)/Time!BE30,0)</f>
        <v>0.399806612973101</v>
      </c>
      <c r="BF26" s="13" t="n">
        <f aca="false">IF(Time!BF30&gt;0,Inputs!$F$176/100*Operations!BF55*(BF8+BF9)/Time!BF30,0)</f>
        <v>0.399221697216575</v>
      </c>
      <c r="BG26" s="13" t="n">
        <f aca="false">IF(Time!BG30&gt;0,Inputs!$F$176/100*Operations!BG55*(BG8+BG9)/Time!BG30,0)</f>
        <v>0.402811189338957</v>
      </c>
      <c r="BH26" s="13" t="n">
        <f aca="false">IF(Time!BH30&gt;0,Inputs!$F$176/100*Operations!BH55*(BH8+BH9)/Time!BH30,0)</f>
        <v>0.407841169499662</v>
      </c>
      <c r="BI26" s="13" t="n">
        <f aca="false">IF(Time!BI30&gt;0,Inputs!$F$176/100*Operations!BI55*(BI8+BI9)/Time!BI30,0)</f>
        <v>0.402121531873073</v>
      </c>
      <c r="BJ26" s="13" t="n">
        <f aca="false">IF(Time!BJ30&gt;0,Inputs!$F$176/100*Operations!BJ55*(BJ8+BJ9)/Time!BJ30,0)</f>
        <v>0.388306331919944</v>
      </c>
      <c r="BK26" s="13" t="n">
        <f aca="false">IF(Time!BK30&gt;0,Inputs!$F$176/100*Operations!BK55*(BK8+BK9)/Time!BK30,0)</f>
        <v>0.398562145887217</v>
      </c>
      <c r="BL26" s="13" t="n">
        <f aca="false">IF(Time!BL30&gt;0,Inputs!$F$176/100*Operations!BL55*(BL8+BL9)/Time!BL30,0)</f>
        <v>0.417053815748728</v>
      </c>
      <c r="BM26" s="13" t="n">
        <f aca="false">IF(Time!BM30&gt;0,Inputs!$F$176/100*Operations!BM55*(BM8+BM9)/Time!BM30,0)</f>
        <v>0.279617771810227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219.558032623059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0.113608644444605</v>
      </c>
      <c r="Z27" s="13" t="n">
        <f aca="false">MAX(Z25,Z26)</f>
        <v>0.340019216090878</v>
      </c>
      <c r="AA27" s="13" t="n">
        <f aca="false">MAX(AA25,AA26)</f>
        <v>0.342765630663072</v>
      </c>
      <c r="AB27" s="13" t="n">
        <f aca="false">MAX(AB25,AB26)</f>
        <v>0.346731259442194</v>
      </c>
      <c r="AC27" s="13" t="n">
        <f aca="false">MAX(AC25,AC26)</f>
        <v>0.341558618979607</v>
      </c>
      <c r="AD27" s="13" t="n">
        <f aca="false">MAX(AD25,AD26)</f>
        <v>0.329524870498681</v>
      </c>
      <c r="AE27" s="13" t="n">
        <f aca="false">MAX(AE25,AE26)</f>
        <v>0.337921184884861</v>
      </c>
      <c r="AF27" s="13" t="n">
        <f aca="false">MAX(AF25,AF26)</f>
        <v>0.353278312843685</v>
      </c>
      <c r="AG27" s="13" t="n">
        <f aca="false">MAX(AG25,AG26)</f>
        <v>0.353739432262868</v>
      </c>
      <c r="AH27" s="13" t="n">
        <f aca="false">MAX(AH25,AH26)</f>
        <v>0.352981284361787</v>
      </c>
      <c r="AI27" s="13" t="n">
        <f aca="false">MAX(AI25,AI26)</f>
        <v>0.35591229349559</v>
      </c>
      <c r="AJ27" s="13" t="n">
        <f aca="false">MAX(AJ25,AJ26)</f>
        <v>0.36011096382338</v>
      </c>
      <c r="AK27" s="13" t="n">
        <f aca="false">MAX(AK25,AK26)</f>
        <v>0.357443783660565</v>
      </c>
      <c r="AL27" s="13" t="n">
        <f aca="false">MAX(AL25,AL26)</f>
        <v>0.350309021761076</v>
      </c>
      <c r="AM27" s="13" t="n">
        <f aca="false">MAX(AM25,AM26)</f>
        <v>0.356500395673222</v>
      </c>
      <c r="AN27" s="13" t="n">
        <f aca="false">MAX(AN25,AN26)</f>
        <v>0.367241665945446</v>
      </c>
      <c r="AO27" s="13" t="n">
        <f aca="false">MAX(AO25,AO26)</f>
        <v>0.367804132607598</v>
      </c>
      <c r="AP27" s="13" t="n">
        <f aca="false">MAX(AP25,AP26)</f>
        <v>0.367098879054636</v>
      </c>
      <c r="AQ27" s="13" t="n">
        <f aca="false">MAX(AQ25,AQ26)</f>
        <v>0.370230933875713</v>
      </c>
      <c r="AR27" s="13" t="n">
        <f aca="false">MAX(AR25,AR26)</f>
        <v>0.374683415594761</v>
      </c>
      <c r="AS27" s="13" t="n">
        <f aca="false">MAX(AS25,AS26)</f>
        <v>0.369260584596024</v>
      </c>
      <c r="AT27" s="13" t="n">
        <f aca="false">MAX(AT25,AT26)</f>
        <v>0.356411995814225</v>
      </c>
      <c r="AU27" s="13" t="n">
        <f aca="false">MAX(AU25,AU26)</f>
        <v>5.49959218920816</v>
      </c>
      <c r="AV27" s="13" t="n">
        <f aca="false">MAX(AV25,AV26)</f>
        <v>9.0883339199408</v>
      </c>
      <c r="AW27" s="13" t="n">
        <f aca="false">MAX(AW25,AW26)</f>
        <v>9.04349375448619</v>
      </c>
      <c r="AX27" s="13" t="n">
        <f aca="false">MAX(AX25,AX26)</f>
        <v>8.93371054392143</v>
      </c>
      <c r="AY27" s="13" t="n">
        <f aca="false">MAX(AY25,AY26)</f>
        <v>9.03687429131488</v>
      </c>
      <c r="AZ27" s="13" t="n">
        <f aca="false">MAX(AZ25,AZ26)</f>
        <v>9.22603929080664</v>
      </c>
      <c r="BA27" s="13" t="n">
        <f aca="false">MAX(BA25,BA26)</f>
        <v>8.98831832222439</v>
      </c>
      <c r="BB27" s="13" t="n">
        <f aca="false">MAX(BB25,BB26)</f>
        <v>7.42807942023305</v>
      </c>
      <c r="BC27" s="13" t="n">
        <f aca="false">MAX(BC25,BC26)</f>
        <v>10.7110971038438</v>
      </c>
      <c r="BD27" s="13" t="n">
        <f aca="false">MAX(BD25,BD26)</f>
        <v>15.1424543166703</v>
      </c>
      <c r="BE27" s="13" t="n">
        <f aca="false">MAX(BE25,BE26)</f>
        <v>15.0968422120474</v>
      </c>
      <c r="BF27" s="13" t="n">
        <f aca="false">MAX(BF25,BF26)</f>
        <v>14.9845565002793</v>
      </c>
      <c r="BG27" s="13" t="n">
        <f aca="false">MAX(BG25,BG26)</f>
        <v>15.0928329921568</v>
      </c>
      <c r="BH27" s="13" t="n">
        <f aca="false">MAX(BH25,BH26)</f>
        <v>15.2915337740042</v>
      </c>
      <c r="BI27" s="13" t="n">
        <f aca="false">MAX(BI25,BI26)</f>
        <v>14.8796990754757</v>
      </c>
      <c r="BJ27" s="13" t="n">
        <f aca="false">MAX(BJ25,BJ26)</f>
        <v>8.99899575031275</v>
      </c>
      <c r="BK27" s="13" t="n">
        <f aca="false">MAX(BK25,BK26)</f>
        <v>14.5038395041779</v>
      </c>
      <c r="BL27" s="13" t="n">
        <f aca="false">MAX(BL25,BL26)</f>
        <v>15.4466536429894</v>
      </c>
      <c r="BM27" s="13" t="n">
        <f aca="false">MAX(BM25,BM26)</f>
        <v>4.59994949859128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5.99512562348367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2.19744981334823</v>
      </c>
      <c r="Q28" s="13" t="n">
        <f aca="false">Q13-Q15</f>
        <v>1.54223191736961</v>
      </c>
      <c r="R28" s="13" t="n">
        <f aca="false">R13-R15</f>
        <v>0.908256836593681</v>
      </c>
      <c r="S28" s="13" t="n">
        <f aca="false">S13-S15</f>
        <v>0.258688261322028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150.510691411179</v>
      </c>
      <c r="AC63" s="13" t="n">
        <f aca="false">Time!AC35*AB75</f>
        <v>137.120122751116</v>
      </c>
      <c r="AD63" s="13" t="n">
        <f aca="false">Time!AD35*AC75</f>
        <v>124.685018057778</v>
      </c>
      <c r="AE63" s="13" t="n">
        <f aca="false">Time!AE35*AD75</f>
        <v>111.519745884331</v>
      </c>
      <c r="AF63" s="13" t="n">
        <f aca="false">Time!AF35*AE75</f>
        <v>98.0726162343219</v>
      </c>
      <c r="AG63" s="13" t="n">
        <f aca="false">Time!AG35*AF75</f>
        <v>83.0949845400119</v>
      </c>
      <c r="AH63" s="13" t="n">
        <f aca="false">Time!AH35*AG75</f>
        <v>68.1441998762229</v>
      </c>
      <c r="AI63" s="13" t="n">
        <f aca="false">Time!AI35*AH75</f>
        <v>52.7094060744578</v>
      </c>
      <c r="AJ63" s="13" t="n">
        <f aca="false">Time!AJ35*AI75</f>
        <v>37.6032741715011</v>
      </c>
      <c r="AK63" s="13" t="n">
        <f aca="false">Time!AK35*AJ75</f>
        <v>21.9263589248071</v>
      </c>
      <c r="AL63" s="13" t="n">
        <f aca="false">Time!AL35*AK75</f>
        <v>7.19351313597933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140.445388306827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6.59868601653554</v>
      </c>
      <c r="AC65" s="13" t="n">
        <f aca="false">AC63*AC13</f>
        <v>5.94627337253789</v>
      </c>
      <c r="AD65" s="13" t="n">
        <f aca="false">AD63*AD13</f>
        <v>5.46643748304667</v>
      </c>
      <c r="AE65" s="13" t="n">
        <f aca="false">AE63*AE13</f>
        <v>4.80952997898435</v>
      </c>
      <c r="AF65" s="13" t="n">
        <f aca="false">AF63*AF13</f>
        <v>4.29969721939906</v>
      </c>
      <c r="AG65" s="13" t="n">
        <f aca="false">AG63*AG13</f>
        <v>3.81575246599755</v>
      </c>
      <c r="AH65" s="13" t="n">
        <f aca="false">AH63*AH13</f>
        <v>3.18107220459227</v>
      </c>
      <c r="AI65" s="13" t="n">
        <f aca="false">AI63*AI13</f>
        <v>2.42043544894135</v>
      </c>
      <c r="AJ65" s="13" t="n">
        <f aca="false">AJ63*AJ13</f>
        <v>1.75537654688</v>
      </c>
      <c r="AK65" s="13" t="n">
        <f aca="false">AK63*AK13</f>
        <v>1.01242932116878</v>
      </c>
      <c r="AL65" s="13" t="n">
        <f aca="false">AL63*AL13</f>
        <v>0.335803850244013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164.943057467731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8.35305175553323</v>
      </c>
      <c r="AC66" s="13" t="n">
        <f aca="false">Time!AC35*(AC63-AC64)*AC19</f>
        <v>8.32396960141293</v>
      </c>
      <c r="AD66" s="13" t="n">
        <f aca="false">Time!AD35*(AD63-AD64)*AD19</f>
        <v>8.79904383678701</v>
      </c>
      <c r="AE66" s="13" t="n">
        <f aca="false">Time!AE35*(AE63-AE64)*AE19</f>
        <v>8.83146153103376</v>
      </c>
      <c r="AF66" s="13" t="n">
        <f aca="false">Time!AF35*(AF63-AF64)*AF19</f>
        <v>8.73039938000621</v>
      </c>
      <c r="AG66" s="13" t="n">
        <f aca="false">Time!AG35*(AG63-AG64)*AG19</f>
        <v>8.27147235149</v>
      </c>
      <c r="AH66" s="13" t="n">
        <f aca="false">Time!AH35*(AH63-AH64)*AH19</f>
        <v>7.91127133642195</v>
      </c>
      <c r="AI66" s="13" t="n">
        <f aca="false">Time!AI35*(AI63-AI64)*AI19</f>
        <v>7.12637669596324</v>
      </c>
      <c r="AJ66" s="13" t="n">
        <f aca="false">Time!AJ35*(AJ63-AJ64)*AJ19</f>
        <v>6.16265114638586</v>
      </c>
      <c r="AK66" s="13" t="n">
        <f aca="false">Time!AK35*(AK63-AK64)*AK19</f>
        <v>4.43687905531915</v>
      </c>
      <c r="AL66" s="13" t="n">
        <f aca="false">Time!AL35*(AL63-AL64)*AL19</f>
        <v>1.93502407882189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164.943057467731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8.35305175553323</v>
      </c>
      <c r="AC69" s="13" t="n">
        <f aca="false">AC66-AC67+AC68</f>
        <v>8.32396960141293</v>
      </c>
      <c r="AD69" s="13" t="n">
        <f aca="false">AD66-AD67+AD68</f>
        <v>8.79904383678701</v>
      </c>
      <c r="AE69" s="13" t="n">
        <f aca="false">AE66-AE67+AE68</f>
        <v>8.83146153103376</v>
      </c>
      <c r="AF69" s="13" t="n">
        <f aca="false">AF66-AF67+AF68</f>
        <v>8.73039938000621</v>
      </c>
      <c r="AG69" s="13" t="n">
        <f aca="false">AG66-AG67+AG68</f>
        <v>8.27147235149</v>
      </c>
      <c r="AH69" s="13" t="n">
        <f aca="false">AH66-AH67+AH68</f>
        <v>7.91127133642195</v>
      </c>
      <c r="AI69" s="13" t="n">
        <f aca="false">AI66-AI67+AI68</f>
        <v>7.12637669596324</v>
      </c>
      <c r="AJ69" s="13" t="n">
        <f aca="false">AJ66-AJ67+AJ68</f>
        <v>6.16265114638586</v>
      </c>
      <c r="AK69" s="13" t="n">
        <f aca="false">AK66-AK67+AK68</f>
        <v>4.43687905531915</v>
      </c>
      <c r="AL69" s="13" t="n">
        <f aca="false">AL66-AL67+AL68</f>
        <v>1.93502407882189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142.157639655646</v>
      </c>
      <c r="AC73" s="13" t="n">
        <f aca="false">AC63-AC69-AC70-AC71</f>
        <v>128.796153149703</v>
      </c>
      <c r="AD73" s="13" t="n">
        <f aca="false">AD63-AD69-AD70-AD71</f>
        <v>115.885974220991</v>
      </c>
      <c r="AE73" s="13" t="n">
        <f aca="false">AE63-AE69-AE70-AE71</f>
        <v>102.688284353297</v>
      </c>
      <c r="AF73" s="13" t="n">
        <f aca="false">AF63-AF69-AF70-AF71</f>
        <v>89.3422168543157</v>
      </c>
      <c r="AG73" s="13" t="n">
        <f aca="false">AG63-AG69-AG70-AG71</f>
        <v>74.8235121885219</v>
      </c>
      <c r="AH73" s="13" t="n">
        <f aca="false">AH63-AH69-AH70-AH71</f>
        <v>60.2329285398009</v>
      </c>
      <c r="AI73" s="13" t="n">
        <f aca="false">AI63-AI69-AI70-AI71</f>
        <v>45.5830293784946</v>
      </c>
      <c r="AJ73" s="13" t="n">
        <f aca="false">AJ63-AJ69-AJ70-AJ71</f>
        <v>31.4406230251153</v>
      </c>
      <c r="AK73" s="13" t="n">
        <f aca="false">AK63-AK69-AK70-AK71</f>
        <v>17.4894798694879</v>
      </c>
      <c r="AL73" s="13" t="n">
        <f aca="false">AL63-AL69-AL70-AL71</f>
        <v>5.25848905715745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75.6942132385233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4.06512259651941</v>
      </c>
      <c r="AB74" s="13" t="n">
        <f aca="false">Waterfall!AB28*AB73/(AB31+AB45+AB59+AB73+AB87+Inputs!$F$253)+Waterfall!AB29</f>
        <v>5.03751690453018</v>
      </c>
      <c r="AC74" s="13" t="n">
        <f aca="false">Waterfall!AC28*AC73/(AC31+AC45+AC59+AC73+AC87+Inputs!$F$253)+Waterfall!AC29</f>
        <v>4.11113509192494</v>
      </c>
      <c r="AD74" s="13" t="n">
        <f aca="false">Waterfall!AD28*AD73/(AD31+AD45+AD59+AD73+AD87+Inputs!$F$253)+Waterfall!AD29</f>
        <v>4.36622833666002</v>
      </c>
      <c r="AE74" s="13" t="n">
        <f aca="false">Waterfall!AE28*AE73/(AE31+AE45+AE59+AE73+AE87+Inputs!$F$253)+Waterfall!AE29</f>
        <v>4.61566811897511</v>
      </c>
      <c r="AF74" s="13" t="n">
        <f aca="false">Waterfall!AF28*AF73/(AF31+AF45+AF59+AF73+AF87+Inputs!$F$253)+Waterfall!AF29</f>
        <v>6.24723231430377</v>
      </c>
      <c r="AG74" s="13" t="n">
        <f aca="false">Waterfall!AG28*AG73/(AG31+AG45+AG59+AG73+AG87+Inputs!$F$253)+Waterfall!AG29</f>
        <v>6.67931231229901</v>
      </c>
      <c r="AH74" s="13" t="n">
        <f aca="false">Waterfall!AH28*AH73/(AH31+AH45+AH59+AH73+AH87+Inputs!$F$253)+Waterfall!AH29</f>
        <v>7.52352246534315</v>
      </c>
      <c r="AI74" s="13" t="n">
        <f aca="false">Waterfall!AI28*AI73/(AI31+AI45+AI59+AI73+AI87+Inputs!$F$253)+Waterfall!AI29</f>
        <v>7.97975520699342</v>
      </c>
      <c r="AJ74" s="13" t="n">
        <f aca="false">Waterfall!AJ28*AJ73/(AJ31+AJ45+AJ59+AJ73+AJ87+Inputs!$F$253)+Waterfall!AJ29</f>
        <v>9.51426410030822</v>
      </c>
      <c r="AK74" s="13" t="n">
        <f aca="false">Waterfall!AK28*AK73/(AK31+AK45+AK59+AK73+AK87+Inputs!$F$253)+Waterfall!AK29</f>
        <v>10.2959667335086</v>
      </c>
      <c r="AL74" s="13" t="n">
        <f aca="false">Waterfall!AL28*AL73/(AL31+AL45+AL59+AL73+AL87+Inputs!$F$253)+Waterfall!AL29</f>
        <v>5.25848905715745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150.510691411179</v>
      </c>
      <c r="AB75" s="13" t="n">
        <f aca="false">IF(Time!AB34=1,INDEX(Funding!$J$64:$BJ$64,1,Time!$F$14),Time!AB35*(AB73-AB74))</f>
        <v>137.120122751116</v>
      </c>
      <c r="AC75" s="13" t="n">
        <f aca="false">IF(Time!AC34=1,INDEX(Funding!$J$64:$BJ$64,1,Time!$F$14),Time!AC35*(AC73-AC74))</f>
        <v>124.685018057778</v>
      </c>
      <c r="AD75" s="13" t="n">
        <f aca="false">IF(Time!AD34=1,INDEX(Funding!$J$64:$BJ$64,1,Time!$F$14),Time!AD35*(AD73-AD74))</f>
        <v>111.519745884331</v>
      </c>
      <c r="AE75" s="13" t="n">
        <f aca="false">IF(Time!AE34=1,INDEX(Funding!$J$64:$BJ$64,1,Time!$F$14),Time!AE35*(AE73-AE74))</f>
        <v>98.0726162343219</v>
      </c>
      <c r="AF75" s="13" t="n">
        <f aca="false">IF(Time!AF34=1,INDEX(Funding!$J$64:$BJ$64,1,Time!$F$14),Time!AF35*(AF73-AF74))</f>
        <v>83.0949845400119</v>
      </c>
      <c r="AG75" s="13" t="n">
        <f aca="false">IF(Time!AG34=1,INDEX(Funding!$J$64:$BJ$64,1,Time!$F$14),Time!AG35*(AG73-AG74))</f>
        <v>68.1441998762229</v>
      </c>
      <c r="AH75" s="13" t="n">
        <f aca="false">IF(Time!AH34=1,INDEX(Funding!$J$64:$BJ$64,1,Time!$F$14),Time!AH35*(AH73-AH74))</f>
        <v>52.7094060744578</v>
      </c>
      <c r="AI75" s="13" t="n">
        <f aca="false">IF(Time!AI34=1,INDEX(Funding!$J$64:$BJ$64,1,Time!$F$14),Time!AI35*(AI73-AI74))</f>
        <v>37.6032741715011</v>
      </c>
      <c r="AJ75" s="13" t="n">
        <f aca="false">IF(Time!AJ34=1,INDEX(Funding!$J$64:$BJ$64,1,Time!$F$14),Time!AJ35*(AJ73-AJ74))</f>
        <v>21.9263589248071</v>
      </c>
      <c r="AK75" s="13" t="n">
        <f aca="false">IF(Time!AK34=1,INDEX(Funding!$J$64:$BJ$64,1,Time!$F$14),Time!AK35*(AK73-AK74))</f>
        <v>7.19351313597933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17.2798357937116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0.78529468691356</v>
      </c>
      <c r="AC108" s="13" t="n">
        <f aca="false">(Inputs!$F$95/100*Inputs!$F$96/100)*AC63*Time!AC25/Inputs!$F$248</f>
        <v>0.707652534866511</v>
      </c>
      <c r="AD108" s="13" t="n">
        <f aca="false">(Inputs!$F$95/100*Inputs!$F$96/100)*AD63*Time!AD25/Inputs!$F$248</f>
        <v>0.650548351751321</v>
      </c>
      <c r="AE108" s="13" t="n">
        <f aca="false">(Inputs!$F$95/100*Inputs!$F$96/100)*AE63*Time!AE25/Inputs!$F$248</f>
        <v>0.572371276581948</v>
      </c>
      <c r="AF108" s="13" t="n">
        <f aca="false">(Inputs!$F$95/100*Inputs!$F$96/100)*AF63*Time!AF25/Inputs!$F$248</f>
        <v>0.511697233853815</v>
      </c>
      <c r="AG108" s="13" t="n">
        <f aca="false">(Inputs!$F$95/100*Inputs!$F$96/100)*AG63*Time!AG25/Inputs!$F$248</f>
        <v>0.426482162432963</v>
      </c>
      <c r="AH108" s="13" t="n">
        <f aca="false">(Inputs!$F$95/100*Inputs!$F$96/100)*AH63*Time!AH25/Inputs!$F$248</f>
        <v>0.355544696559668</v>
      </c>
      <c r="AI108" s="13" t="n">
        <f aca="false">(Inputs!$F$95/100*Inputs!$F$96/100)*AI63*Time!AI25/Inputs!$F$248</f>
        <v>0.270529221560508</v>
      </c>
      <c r="AJ108" s="13" t="n">
        <f aca="false">(Inputs!$F$95/100*Inputs!$F$96/100)*AJ63*Time!AJ25/Inputs!$F$248</f>
        <v>0.196196370773169</v>
      </c>
      <c r="AK108" s="13" t="n">
        <f aca="false">(Inputs!$F$95/100*Inputs!$F$96/100)*AK63*Time!AK25/Inputs!$F$248</f>
        <v>0.113158033716874</v>
      </c>
      <c r="AL108" s="13" t="n">
        <f aca="false">(Inputs!$F$95/100*Inputs!$F$96/100)*AL63*Time!AL25/Inputs!$F$248</f>
        <v>0.0375324011401618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310.907433177667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13.8389086704012</v>
      </c>
      <c r="AC111" s="13" t="n">
        <f aca="false">AC23+AC37+AC51+AC65+AC79+AC92</f>
        <v>12.7103472154153</v>
      </c>
      <c r="AD111" s="13" t="n">
        <f aca="false">AD23+AD37+AD51+AD65+AD79+AD92</f>
        <v>11.8897118575751</v>
      </c>
      <c r="AE111" s="13" t="n">
        <f aca="false">AE23+AE37+AE51+AE65+AE79+AE92</f>
        <v>10.6821760662772</v>
      </c>
      <c r="AF111" s="13" t="n">
        <f aca="false">AF23+AF37+AF51+AF65+AF79+AF92</f>
        <v>9.79690565245772</v>
      </c>
      <c r="AG111" s="13" t="n">
        <f aca="false">AG23+AG37+AG51+AG65+AG79+AG92</f>
        <v>8.74195109989904</v>
      </c>
      <c r="AH111" s="13" t="n">
        <f aca="false">AH23+AH37+AH51+AH65+AH79+AH92</f>
        <v>7.69042740824963</v>
      </c>
      <c r="AI111" s="13" t="n">
        <f aca="false">AI23+AI37+AI51+AI65+AI79+AI92</f>
        <v>6.34128592617461</v>
      </c>
      <c r="AJ111" s="13" t="n">
        <f aca="false">AJ23+AJ37+AJ51+AJ65+AJ79+AJ92</f>
        <v>5.20232342573615</v>
      </c>
      <c r="AK111" s="13" t="n">
        <f aca="false">AK23+AK37+AK51+AK65+AK79+AK92</f>
        <v>3.86314324956267</v>
      </c>
      <c r="AL111" s="13" t="n">
        <f aca="false">AL23+AL37+AL51+AL65+AL79+AL92</f>
        <v>2.63465286092657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319.853065368393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14.2298994390683</v>
      </c>
      <c r="AC112" s="13" t="n">
        <f aca="false">AC111+AC107+AC108+AC109</f>
        <v>13.0988550905938</v>
      </c>
      <c r="AD112" s="13" t="n">
        <f aca="false">AD111+AD107+AD108+AD109</f>
        <v>12.1904474514969</v>
      </c>
      <c r="AE112" s="13" t="n">
        <f aca="false">AE111+AE107+AE108+AE109</f>
        <v>10.9991867103857</v>
      </c>
      <c r="AF112" s="13" t="n">
        <f aca="false">AF111+AF107+AF108+AF109</f>
        <v>10.0092238577653</v>
      </c>
      <c r="AG112" s="13" t="n">
        <f aca="false">AG111+AG107+AG108+AG109</f>
        <v>8.95422706292133</v>
      </c>
      <c r="AH112" s="13" t="n">
        <f aca="false">AH111+AH107+AH108+AH109</f>
        <v>7.80039175313076</v>
      </c>
      <c r="AI112" s="13" t="n">
        <f aca="false">AI111+AI107+AI108+AI109</f>
        <v>6.44132456430518</v>
      </c>
      <c r="AJ112" s="13" t="n">
        <f aca="false">AJ111+AJ107+AJ108+AJ109</f>
        <v>5.21079840653317</v>
      </c>
      <c r="AK112" s="13" t="n">
        <f aca="false">AK111+AK107+AK108+AK109</f>
        <v>3.84179800202054</v>
      </c>
      <c r="AL112" s="13" t="n">
        <f aca="false">AL111+AL107+AL108+AL109</f>
        <v>2.54698950280577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557.561762304268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22.3498098441988</v>
      </c>
      <c r="AC113" s="13" t="n">
        <f aca="false">AC27+AC41+AC55+AC69+AC83+AC93</f>
        <v>22.7844186781032</v>
      </c>
      <c r="AD113" s="13" t="n">
        <f aca="false">AD27+AD41+AD55+AD69+AD83+AD93</f>
        <v>24.5887989881333</v>
      </c>
      <c r="AE113" s="13" t="n">
        <f aca="false">AE27+AE41+AE55+AE69+AE83+AE93</f>
        <v>25.299868875077</v>
      </c>
      <c r="AF113" s="13" t="n">
        <f aca="false">AF27+AF41+AF55+AF69+AF83+AF93</f>
        <v>25.77654788253</v>
      </c>
      <c r="AG113" s="13" t="n">
        <f aca="false">AG27+AG41+AG55+AG69+AG83+AG93</f>
        <v>25.6357568091137</v>
      </c>
      <c r="AH113" s="13" t="n">
        <f aca="false">AH27+AH41+AH55+AH69+AH83+AH93</f>
        <v>26.1472696215603</v>
      </c>
      <c r="AI113" s="13" t="n">
        <f aca="false">AI27+AI41+AI55+AI69+AI83+AI93</f>
        <v>25.8978298710287</v>
      </c>
      <c r="AJ113" s="13" t="n">
        <f aca="false">AJ27+AJ41+AJ55+AJ69+AJ83+AJ93</f>
        <v>25.8403462184588</v>
      </c>
      <c r="AK113" s="13" t="n">
        <f aca="false">AK27+AK41+AK55+AK69+AK83+AK93</f>
        <v>24.7515062722752</v>
      </c>
      <c r="AL113" s="13" t="n">
        <f aca="false">AL27+AL41+AL55+AL69+AL83+AL93</f>
        <v>23.4754106627967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877.414827672662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36.5797092832671</v>
      </c>
      <c r="AC114" s="13" t="n">
        <f aca="false">AC112+AC113</f>
        <v>35.883273768697</v>
      </c>
      <c r="AD114" s="13" t="n">
        <f aca="false">AD112+AD113</f>
        <v>36.7792464396302</v>
      </c>
      <c r="AE114" s="13" t="n">
        <f aca="false">AE112+AE113</f>
        <v>36.2990555854627</v>
      </c>
      <c r="AF114" s="13" t="n">
        <f aca="false">AF112+AF113</f>
        <v>35.7857717402953</v>
      </c>
      <c r="AG114" s="13" t="n">
        <f aca="false">AG112+AG113</f>
        <v>34.5899838720351</v>
      </c>
      <c r="AH114" s="13" t="n">
        <f aca="false">AH112+AH113</f>
        <v>33.947661374691</v>
      </c>
      <c r="AI114" s="13" t="n">
        <f aca="false">AI112+AI113</f>
        <v>32.3391544353339</v>
      </c>
      <c r="AJ114" s="13" t="n">
        <f aca="false">AJ112+AJ113</f>
        <v>31.051144624992</v>
      </c>
      <c r="AK114" s="13" t="n">
        <f aca="false">AK112+AK113</f>
        <v>28.5933042742957</v>
      </c>
      <c r="AL114" s="13" t="n">
        <f aca="false">AL112+AL113</f>
        <v>26.0224001656024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402.713335318488</v>
      </c>
      <c r="AC115" s="13" t="n">
        <f aca="false">AC21+AC35+AC49+AC63+AC77+AC91</f>
        <v>375.326008569759</v>
      </c>
      <c r="AD115" s="13" t="n">
        <f aca="false">AD21+AD35+AD49+AD63+AD77+AD91</f>
        <v>348.430454799731</v>
      </c>
      <c r="AE115" s="13" t="n">
        <f aca="false">AE21+AE35+AE49+AE63+AE77+AE91</f>
        <v>319.475427474937</v>
      </c>
      <c r="AF115" s="13" t="n">
        <f aca="false">AF21+AF35+AF49+AF63+AF77+AF91</f>
        <v>289.559890480885</v>
      </c>
      <c r="AG115" s="13" t="n">
        <f aca="false">AG21+AG35+AG49+AG63+AG77+AG91</f>
        <v>257.536110284052</v>
      </c>
      <c r="AH115" s="13" t="n">
        <f aca="false">AH21+AH35+AH49+AH63+AH77+AH91</f>
        <v>225.221041162639</v>
      </c>
      <c r="AI115" s="13" t="n">
        <f aca="false">AI21+AI35+AI49+AI63+AI77+AI91</f>
        <v>191.550249075735</v>
      </c>
      <c r="AJ115" s="13" t="n">
        <f aca="false">AJ21+AJ35+AJ49+AJ63+AJ77+AJ91</f>
        <v>157.672663997713</v>
      </c>
      <c r="AK115" s="13" t="n">
        <f aca="false">AK21+AK35+AK49+AK63+AK77+AK91</f>
        <v>122.318053678946</v>
      </c>
      <c r="AL115" s="13" t="n">
        <f aca="false">AL21+AL35+AL49+AL63+AL77+AL91</f>
        <v>87.2705806731624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402.713335318488</v>
      </c>
      <c r="AB116" s="13" t="n">
        <f aca="false">AB33+AB47+AB61+AB75+AB89+AB95</f>
        <v>375.326008569759</v>
      </c>
      <c r="AC116" s="13" t="n">
        <f aca="false">AC33+AC47+AC61+AC75+AC89+AC95</f>
        <v>348.430454799731</v>
      </c>
      <c r="AD116" s="13" t="n">
        <f aca="false">AD33+AD47+AD61+AD75+AD89+AD95</f>
        <v>319.475427474937</v>
      </c>
      <c r="AE116" s="13" t="n">
        <f aca="false">AE33+AE47+AE61+AE75+AE89+AE95</f>
        <v>289.559890480885</v>
      </c>
      <c r="AF116" s="13" t="n">
        <f aca="false">AF33+AF47+AF61+AF75+AF89+AF95</f>
        <v>257.536110284052</v>
      </c>
      <c r="AG116" s="13" t="n">
        <f aca="false">AG33+AG47+AG61+AG75+AG89+AG95</f>
        <v>225.221041162639</v>
      </c>
      <c r="AH116" s="13" t="n">
        <f aca="false">AH33+AH47+AH61+AH75+AH89+AH95</f>
        <v>191.550249075735</v>
      </c>
      <c r="AI116" s="13" t="n">
        <f aca="false">AI33+AI47+AI61+AI75+AI89+AI95</f>
        <v>157.672663997713</v>
      </c>
      <c r="AJ116" s="13" t="n">
        <f aca="false">AJ33+AJ47+AJ61+AJ75+AJ89+AJ95</f>
        <v>122.318053678946</v>
      </c>
      <c r="AK116" s="13" t="n">
        <f aca="false">AK33+AK47+AK61+AK75+AK89+AK95</f>
        <v>87.2705806731624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142.157639655646</v>
      </c>
      <c r="AC118" s="13" t="n">
        <f aca="false">IF(Time!AC34=1,AC75,AC73)</f>
        <v>128.796153149703</v>
      </c>
      <c r="AD118" s="13" t="n">
        <f aca="false">IF(Time!AD34=1,AD75,AD73)</f>
        <v>115.885974220991</v>
      </c>
      <c r="AE118" s="13" t="n">
        <f aca="false">IF(Time!AE34=1,AE75,AE73)</f>
        <v>102.688284353297</v>
      </c>
      <c r="AF118" s="13" t="n">
        <f aca="false">IF(Time!AF34=1,AF75,AF73)</f>
        <v>89.3422168543157</v>
      </c>
      <c r="AG118" s="13" t="n">
        <f aca="false">IF(Time!AG34=1,AG75,AG73)</f>
        <v>74.8235121885219</v>
      </c>
      <c r="AH118" s="13" t="n">
        <f aca="false">IF(Time!AH34=1,AH75,AH73)</f>
        <v>60.2329285398009</v>
      </c>
      <c r="AI118" s="13" t="n">
        <f aca="false">IF(Time!AI34=1,AI75,AI73)</f>
        <v>45.5830293784946</v>
      </c>
      <c r="AJ118" s="13" t="n">
        <f aca="false">IF(Time!AJ34=1,AJ75,AJ73)</f>
        <v>31.4406230251153</v>
      </c>
      <c r="AK118" s="13" t="n">
        <f aca="false">IF(Time!AK34=1,AK75,AK73)</f>
        <v>17.4894798694879</v>
      </c>
      <c r="AL118" s="13" t="n">
        <f aca="false">IF(Time!AL34=1,AL75,AL73)</f>
        <v>5.25848905715745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14.7945029350034</v>
      </c>
      <c r="AC122" s="13" t="n">
        <f aca="false">IF(AND(Time!AC20&gt;=Time!$F$12,Time!AD20&gt;0),(IF(Time!AC34=1,AC75,AC73)-AC72)*AD19+IF(Time!AD46&gt;0,Time!AD45*AC72/Time!AD46,0)+IF(Time!AC34=1,AC75,AC73)*AD13,0)</f>
        <v>14.7358451355568</v>
      </c>
      <c r="AD122" s="13" t="n">
        <f aca="false">IF(AND(Time!AD20&gt;=Time!$F$12,Time!AE20&gt;0),(IF(Time!AD34=1,AD75,AD73)-AD72)*AE19+IF(Time!AE46&gt;0,Time!AE45*AD72/Time!AE46,0)+IF(Time!AD34=1,AD75,AD73)*AE13,0)</f>
        <v>14.1750644959174</v>
      </c>
      <c r="AE122" s="13" t="n">
        <f aca="false">IF(AND(Time!AE20&gt;=Time!$F$12,Time!AF20&gt;0),(IF(Time!AE34=1,AE75,AE73)-AE72)*AF19+IF(Time!AF46&gt;0,Time!AF45*AE72/Time!AF46,0)+IF(Time!AE34=1,AE75,AE73)*AF13,0)</f>
        <v>13.643342210365</v>
      </c>
      <c r="AF122" s="13" t="n">
        <f aca="false">IF(AND(Time!AF20&gt;=Time!$F$12,Time!AG20&gt;0),(IF(Time!AF34=1,AF75,AF73)-AF72)*AG19+IF(Time!AG46&gt;0,Time!AG45*AF72/Time!AG46,0)+IF(Time!AF34=1,AF75,AF73)*AG13,0)</f>
        <v>12.9959643989204</v>
      </c>
      <c r="AG122" s="13" t="n">
        <f aca="false">IF(AND(Time!AG20&gt;=Time!$F$12,Time!AH20&gt;0),(IF(Time!AG34=1,AG75,AG73)-AG72)*AH19+IF(Time!AH46&gt;0,Time!AH45*AG72/Time!AH46,0)+IF(Time!AG34=1,AG75,AG73)*AH13,0)</f>
        <v>12.1795854034225</v>
      </c>
      <c r="AH122" s="13" t="n">
        <f aca="false">IF(AND(Time!AH20&gt;=Time!$F$12,Time!AI20&gt;0),(IF(Time!AH34=1,AH75,AH73)-AH72)*AI19+IF(Time!AI46&gt;0,Time!AI45*AH72/Time!AI46,0)+IF(Time!AH34=1,AH75,AH73)*AI13,0)</f>
        <v>10.9094845973913</v>
      </c>
      <c r="AI122" s="13" t="n">
        <f aca="false">IF(AND(Time!AI20&gt;=Time!$F$12,Time!AJ20&gt;0),(IF(Time!AI34=1,AI75,AI73)-AI72)*AJ19+IF(Time!AJ46&gt;0,Time!AJ45*AI72/Time!AJ46,0)+IF(Time!AI34=1,AI75,AI73)*AJ13,0)</f>
        <v>9.59830485281018</v>
      </c>
      <c r="AJ122" s="13" t="n">
        <f aca="false">IF(AND(Time!AJ20&gt;=Time!$F$12,Time!AK20&gt;0),(IF(Time!AJ34=1,AJ75,AJ73)-AJ72)*AK19+IF(Time!AK46&gt;0,Time!AK45*AJ72/Time!AK46,0)+IF(Time!AJ34=1,AJ75,AJ73)*AK13,0)</f>
        <v>7.81386690787592</v>
      </c>
      <c r="AK122" s="13" t="n">
        <f aca="false">IF(AND(Time!AK20&gt;=Time!$F$12,Time!AL20&gt;0),(IF(Time!AK34=1,AK75,AK73)-AK72)*AL19+IF(Time!AL46&gt;0,Time!AL45*AK72/Time!AL46,0)+IF(Time!AK34=1,AK75,AK73)*AL13,0)</f>
        <v>5.52102965570828</v>
      </c>
      <c r="AL122" s="13" t="n">
        <f aca="false">IF(AND(Time!AL20&gt;=Time!$F$12,Time!AM20&gt;0),(IF(Time!AL34=1,AL75,AL73)-AL72)*AM19+IF(Time!AM46&gt;0,Time!AM45*AL72/Time!AM46,0)+IF(Time!AL34=1,AL75,AL73)*AM13,0)</f>
        <v>2.21671525514116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36.4335314574018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37.2710602434878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36.8555380887716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36.4230997577367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35.5307871593748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35.0697527778323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33.7404411092191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32.7730564306081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31.0069642283844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29.3263214512785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25.8129961234199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785.713564156245</v>
      </c>
      <c r="Q128" s="13" t="n">
        <f aca="false">IF(Time!Q53=1,(Waterfall!Q7+R128)/(1+Q127),0)</f>
        <v>765.899333771189</v>
      </c>
      <c r="R128" s="13" t="n">
        <f aca="false">IF(Time!R53=1,(Waterfall!R7+S128)/(1+R127),0)</f>
        <v>745.444892333753</v>
      </c>
      <c r="S128" s="13" t="n">
        <f aca="false">IF(Time!S53=1,(Waterfall!S7+T128)/(1+S127),0)</f>
        <v>724.392623822401</v>
      </c>
      <c r="T128" s="13" t="n">
        <f aca="false">IF(Time!T53=1,(Waterfall!T7+U128)/(1+T127),0)</f>
        <v>702.682191584399</v>
      </c>
      <c r="U128" s="13" t="n">
        <f aca="false">IF(Time!U53=1,(Waterfall!U7+V128)/(1+U127),0)</f>
        <v>679.570875421716</v>
      </c>
      <c r="V128" s="13" t="n">
        <f aca="false">IF(Time!V53=1,(Waterfall!V7+W128)/(1+V127),0)</f>
        <v>656.269959418746</v>
      </c>
      <c r="W128" s="13" t="n">
        <f aca="false">IF(Time!W53=1,(Waterfall!W7+X128)/(1+W127),0)</f>
        <v>632.881945925863</v>
      </c>
      <c r="X128" s="13" t="n">
        <f aca="false">IF(Time!X53=1,(Waterfall!X7+Y128)/(1+X127),0)</f>
        <v>608.567249213002</v>
      </c>
      <c r="Y128" s="13" t="n">
        <f aca="false">IF(Time!Y53=1,(Waterfall!Y7+Z128)/(1+Y127),0)</f>
        <v>583.71528056648</v>
      </c>
      <c r="Z128" s="13" t="n">
        <f aca="false">IF(Time!Z53=1,(Waterfall!Z7+AA128)/(1+Z127),0)</f>
        <v>558.674405733389</v>
      </c>
      <c r="AA128" s="13" t="n">
        <f aca="false">IF(Time!AA53=1,(Waterfall!AA7+AB128)/(1+AA127),0)</f>
        <v>533.026817785217</v>
      </c>
      <c r="AB128" s="13" t="n">
        <f aca="false">IF(Time!AB53=1,(Waterfall!AB7+AC128)/(1+AB127),0)</f>
        <v>506.593633790989</v>
      </c>
      <c r="AC128" s="13" t="n">
        <f aca="false">IF(Time!AC53=1,(Waterfall!AC7+AD128)/(1+AC127),0)</f>
        <v>478.480105475529</v>
      </c>
      <c r="AD128" s="13" t="n">
        <f aca="false">IF(Time!AD53=1,(Waterfall!AD7+AE128)/(1+AD127),0)</f>
        <v>450.386602723792</v>
      </c>
      <c r="AE128" s="13" t="n">
        <f aca="false">IF(Time!AE53=1,(Waterfall!AE7+AF128)/(1+AE127),0)</f>
        <v>421.266631554232</v>
      </c>
      <c r="AF128" s="13" t="n">
        <f aca="false">IF(Time!AF53=1,(Waterfall!AF7+AG128)/(1+AF127),0)</f>
        <v>390.949263519297</v>
      </c>
      <c r="AG128" s="13" t="n">
        <f aca="false">IF(Time!AG53=1,(Waterfall!AG7+AH128)/(1+AG127),0)</f>
        <v>357.429175543469</v>
      </c>
      <c r="AH128" s="13" t="n">
        <f aca="false">IF(Time!AH53=1,(Waterfall!AH7+AI128)/(1+AH127),0)</f>
        <v>322.861764590533</v>
      </c>
      <c r="AI128" s="13" t="n">
        <f aca="false">IF(Time!AI53=1,(Waterfall!AI7+AJ128)/(1+AI127),0)</f>
        <v>286.997363270773</v>
      </c>
      <c r="AJ128" s="13" t="n">
        <f aca="false">IF(Time!AJ53=1,(Waterfall!AJ7+AK128)/(1+AJ127),0)</f>
        <v>250.040313896776</v>
      </c>
      <c r="AK128" s="13" t="n">
        <f aca="false">IF(Time!AK53=1,(Waterfall!AK7+AL128)/(1+AK127),0)</f>
        <v>210.866013290087</v>
      </c>
      <c r="AL128" s="13" t="n">
        <f aca="false">IF(Time!AL53=1,(Waterfall!AL7+AM128)/(1+AL127),0)</f>
        <v>171.012071772727</v>
      </c>
      <c r="AM128" s="13" t="n">
        <f aca="false">IF(Time!AM53=1,(Waterfall!AM7+AN128)/(1+AM127),0)</f>
        <v>130.281820198933</v>
      </c>
      <c r="AN128" s="13" t="n">
        <f aca="false">IF(Time!AN53=1,(Waterfall!AN7+AO128)/(1+AN127),0)</f>
        <v>88.1229412382388</v>
      </c>
      <c r="AO128" s="13" t="n">
        <f aca="false">IF(Time!AO53=1,(Waterfall!AO7+AP128)/(1+AO127),0)</f>
        <v>44.7911654473721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1.24075191471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582.010047523145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37.725715037342</v>
      </c>
      <c r="Q132" s="13" t="n">
        <f aca="false">IF(Time!Q53=1,(Waterfall!Q7)/$F$129,0)</f>
        <v>37.4809510321976</v>
      </c>
      <c r="R132" s="13" t="n">
        <f aca="false">IF(Time!R53=1,(Waterfall!R7)/$F$129,0)</f>
        <v>37.6233761122869</v>
      </c>
      <c r="S132" s="13" t="n">
        <f aca="false">IF(Time!S53=1,(Waterfall!S7)/$F$129,0)</f>
        <v>37.362528837741</v>
      </c>
      <c r="T132" s="13" t="n">
        <f aca="false">IF(Time!T53=1,(Waterfall!T7)/$F$129,0)</f>
        <v>38.1049633350747</v>
      </c>
      <c r="U132" s="13" t="n">
        <f aca="false">IF(Time!U53=1,(Waterfall!U7)/$F$129,0)</f>
        <v>37.4825594666689</v>
      </c>
      <c r="V132" s="13" t="n">
        <f aca="false">IF(Time!V53=1,(Waterfall!V7)/$F$129,0)</f>
        <v>37.0414405654045</v>
      </c>
      <c r="W132" s="13" t="n">
        <f aca="false">IF(Time!W53=1,(Waterfall!W7)/$F$129,0)</f>
        <v>36.9520090328305</v>
      </c>
      <c r="X132" s="13" t="n">
        <f aca="false">IF(Time!X53=1,(Waterfall!X7)/$F$129,0)</f>
        <v>36.8990319515137</v>
      </c>
      <c r="Y132" s="13" t="n">
        <f aca="false">IF(Time!Y53=1,(Waterfall!Y7)/$F$129,0)</f>
        <v>36.6883520129798</v>
      </c>
      <c r="Z132" s="13" t="n">
        <f aca="false">IF(Time!Z53=1,(Waterfall!Z7)/$F$129,0)</f>
        <v>36.6431075220523</v>
      </c>
      <c r="AA132" s="13" t="n">
        <f aca="false">IF(Time!AA53=1,(Waterfall!AA7)/$F$129,0)</f>
        <v>36.3771301014389</v>
      </c>
      <c r="AB132" s="13" t="n">
        <f aca="false">IF(Time!AB53=1,(Waterfall!AB7)/$F$129,0)</f>
        <v>37.1416117689604</v>
      </c>
      <c r="AC132" s="13" t="n">
        <f aca="false">IF(Time!AC53=1,(Waterfall!AC7)/$F$129,0)</f>
        <v>36.2224488278443</v>
      </c>
      <c r="AD132" s="13" t="n">
        <f aca="false">IF(Time!AD53=1,(Waterfall!AD7)/$F$129,0)</f>
        <v>36.3458483711261</v>
      </c>
      <c r="AE132" s="13" t="n">
        <f aca="false">IF(Time!AE53=1,(Waterfall!AE7)/$F$129,0)</f>
        <v>36.3472769678689</v>
      </c>
      <c r="AF132" s="13" t="n">
        <f aca="false">IF(Time!AF53=1,(Waterfall!AF7)/$F$129,0)</f>
        <v>38.1929080332042</v>
      </c>
      <c r="AG132" s="13" t="n">
        <f aca="false">IF(Time!AG53=1,(Waterfall!AG7)/$F$129,0)</f>
        <v>38.273222512971</v>
      </c>
      <c r="AH132" s="13" t="n">
        <f aca="false">IF(Time!AH53=1,(Waterfall!AH7)/$F$129,0)</f>
        <v>38.4165392546704</v>
      </c>
      <c r="AI132" s="13" t="n">
        <f aca="false">IF(Time!AI53=1,(Waterfall!AI7)/$F$129,0)</f>
        <v>38.1472553937364</v>
      </c>
      <c r="AJ132" s="13" t="n">
        <f aca="false">IF(Time!AJ53=1,(Waterfall!AJ7)/$F$129,0)</f>
        <v>38.9389531062518</v>
      </c>
      <c r="AK132" s="13" t="n">
        <f aca="false">IF(Time!AK53=1,(Waterfall!AK7)/$F$129,0)</f>
        <v>38.2869406857295</v>
      </c>
      <c r="AL132" s="13" t="n">
        <f aca="false">IF(Time!AL53=1,(Waterfall!AL7)/$F$129,0)</f>
        <v>37.8649042544492</v>
      </c>
      <c r="AM132" s="13" t="n">
        <f aca="false">IF(Time!AM53=1,(Waterfall!AM7)/$F$129,0)</f>
        <v>37.7740607118885</v>
      </c>
      <c r="AN132" s="13" t="n">
        <f aca="false">IF(Time!AN53=1,(Waterfall!AN7)/$F$129,0)</f>
        <v>37.5198109935924</v>
      </c>
      <c r="AO132" s="13" t="n">
        <f aca="false">IF(Time!AO53=1,(Waterfall!AO7)/$F$129,0)</f>
        <v>37.4049417555177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617.286441141784</v>
      </c>
      <c r="R133" s="13" t="n">
        <f aca="false">IF(Time!R53=1,IF(Time!R20=Time!$F$13,Funding!$F$25,Q133-Q134),0)</f>
        <v>600.800920390267</v>
      </c>
      <c r="S133" s="13" t="n">
        <f aca="false">IF(Time!S53=1,IF(Time!S20=Time!$F$13,Funding!$F$25,R133-R134),0)</f>
        <v>583.833573202031</v>
      </c>
      <c r="T133" s="13" t="n">
        <f aca="false">IF(Time!T53=1,IF(Time!T20=Time!$F$13,Funding!$F$25,S133-S134),0)</f>
        <v>566.335770474017</v>
      </c>
      <c r="U133" s="13" t="n">
        <f aca="false">IF(Time!U53=1,IF(Time!U20=Time!$F$13,Funding!$F$25,T133-T134),0)</f>
        <v>547.708907288329</v>
      </c>
      <c r="V133" s="13" t="n">
        <f aca="false">IF(Time!V53=1,IF(Time!V20=Time!$F$13,Funding!$F$25,U133-U134),0)</f>
        <v>528.929233667261</v>
      </c>
      <c r="W133" s="13" t="n">
        <f aca="false">IF(Time!W53=1,IF(Time!W20=Time!$F$13,Funding!$F$25,V133-V134),0)</f>
        <v>510.079362701436</v>
      </c>
      <c r="X133" s="13" t="n">
        <f aca="false">IF(Time!X53=1,IF(Time!X20=Time!$F$13,Funding!$F$25,W133-W134),0)</f>
        <v>490.482619448741</v>
      </c>
      <c r="Y133" s="13" t="n">
        <f aca="false">IF(Time!Y53=1,IF(Time!Y20=Time!$F$13,Funding!$F$25,X133-X134),0)</f>
        <v>470.452854955224</v>
      </c>
      <c r="Z133" s="13" t="n">
        <f aca="false">IF(Time!Z53=1,IF(Time!Z20=Time!$F$13,Funding!$F$25,Y133-Y134),0)</f>
        <v>450.270839085482</v>
      </c>
      <c r="AA133" s="13" t="n">
        <f aca="false">IF(Time!AA53=1,IF(Time!AA20=Time!$F$13,Funding!$F$25,Z133-Z134),0)</f>
        <v>429.599834959595</v>
      </c>
      <c r="AB133" s="13" t="n">
        <f aca="false">IF(Time!AB53=1,IF(Time!AB20=Time!$F$13,Funding!$F$25,AA133-AA134),0)</f>
        <v>408.295669573393</v>
      </c>
      <c r="AC133" s="13" t="n">
        <f aca="false">IF(Time!AC53=1,IF(Time!AC20=Time!$F$13,Funding!$F$25,AB133-AB134),0)</f>
        <v>385.637209020439</v>
      </c>
      <c r="AD133" s="13" t="n">
        <f aca="false">IF(Time!AD53=1,IF(Time!AD20=Time!$F$13,Funding!$F$25,AC133-AC134),0)</f>
        <v>362.994888328712</v>
      </c>
      <c r="AE133" s="13" t="n">
        <f aca="false">IF(Time!AE53=1,IF(Time!AE20=Time!$F$13,Funding!$F$25,AD133-AD134),0)</f>
        <v>339.525272183597</v>
      </c>
      <c r="AF133" s="13" t="n">
        <f aca="false">IF(Time!AF53=1,IF(Time!AF20=Time!$F$13,Funding!$F$25,AE133-AE134),0)</f>
        <v>315.090598599377</v>
      </c>
      <c r="AG133" s="13" t="n">
        <f aca="false">IF(Time!AG53=1,IF(Time!AG20=Time!$F$13,Funding!$F$25,AF133-AF134),0)</f>
        <v>288.074651593031</v>
      </c>
      <c r="AH133" s="13" t="n">
        <f aca="false">IF(Time!AH53=1,IF(Time!AH20=Time!$F$13,Funding!$F$25,AG133-AG134),0)</f>
        <v>260.214601132407</v>
      </c>
      <c r="AI133" s="13" t="n">
        <f aca="false">IF(Time!AI53=1,IF(Time!AI20=Time!$F$13,Funding!$F$25,AH133-AH134),0)</f>
        <v>231.309224566341</v>
      </c>
      <c r="AJ133" s="13" t="n">
        <f aca="false">IF(Time!AJ53=1,IF(Time!AJ20=Time!$F$13,Funding!$F$25,AI133-AI134),0)</f>
        <v>201.523214215807</v>
      </c>
      <c r="AK133" s="13" t="n">
        <f aca="false">IF(Time!AK53=1,IF(Time!AK20=Time!$F$13,Funding!$F$25,AJ133-AJ134),0)</f>
        <v>169.950181652045</v>
      </c>
      <c r="AL133" s="13" t="n">
        <f aca="false">IF(Time!AL53=1,IF(Time!AL20=Time!$F$13,Funding!$F$25,AK133-AK134),0)</f>
        <v>137.829383735182</v>
      </c>
      <c r="AM133" s="13" t="n">
        <f aca="false">IF(Time!AM53=1,IF(Time!AM20=Time!$F$13,Funding!$F$25,AL133-AL134),0)</f>
        <v>105.002312431961</v>
      </c>
      <c r="AN133" s="13" t="n">
        <f aca="false">IF(Time!AN53=1,IF(Time!AN20=Time!$F$13,Funding!$F$25,AM133-AM134),0)</f>
        <v>71.0238204700537</v>
      </c>
      <c r="AO133" s="13" t="n">
        <f aca="false">IF(Time!AO53=1,IF(Time!AO20=Time!$F$13,Funding!$F$25,AN133-AN134),0)</f>
        <v>36.1000171882391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15.9695344009906</v>
      </c>
      <c r="Q134" s="13" t="n">
        <f aca="false">Q132-Q133*Q127</f>
        <v>16.4855207515168</v>
      </c>
      <c r="R134" s="13" t="n">
        <f aca="false">R132-R133*R127</f>
        <v>16.9673471882354</v>
      </c>
      <c r="S134" s="13" t="n">
        <f aca="false">S132-S133*S127</f>
        <v>17.4978027280148</v>
      </c>
      <c r="T134" s="13" t="n">
        <f aca="false">T132-T133*T127</f>
        <v>18.6268631856872</v>
      </c>
      <c r="U134" s="13" t="n">
        <f aca="false">U132-U133*U127</f>
        <v>18.779673621069</v>
      </c>
      <c r="V134" s="13" t="n">
        <f aca="false">V132-V133*V127</f>
        <v>18.8498709658247</v>
      </c>
      <c r="W134" s="13" t="n">
        <f aca="false">W132-W133*W127</f>
        <v>19.5967432526945</v>
      </c>
      <c r="X134" s="13" t="n">
        <f aca="false">X132-X133*X127</f>
        <v>20.0297644935176</v>
      </c>
      <c r="Y134" s="13" t="n">
        <f aca="false">Y132-Y133*Y127</f>
        <v>20.1820158697422</v>
      </c>
      <c r="Z134" s="13" t="n">
        <f aca="false">Z132-Z133*Z127</f>
        <v>20.6710041258866</v>
      </c>
      <c r="AA134" s="13" t="n">
        <f aca="false">AA132-AA133*AA127</f>
        <v>21.3041653862021</v>
      </c>
      <c r="AB134" s="13" t="n">
        <f aca="false">AB132-AB133*AB127</f>
        <v>22.6584605529544</v>
      </c>
      <c r="AC134" s="13" t="n">
        <f aca="false">AC132-AC133*AC127</f>
        <v>22.6423206917267</v>
      </c>
      <c r="AD134" s="13" t="n">
        <f aca="false">AD132-AD133*AD127</f>
        <v>23.4696161451144</v>
      </c>
      <c r="AE134" s="13" t="n">
        <f aca="false">AE132-AE133*AE127</f>
        <v>24.4346735842204</v>
      </c>
      <c r="AF134" s="13" t="n">
        <f aca="false">AF132-AF133*AF127</f>
        <v>27.0159470063464</v>
      </c>
      <c r="AG134" s="13" t="n">
        <f aca="false">AG132-AG133*AG127</f>
        <v>27.8600504606238</v>
      </c>
      <c r="AH134" s="13" t="n">
        <f aca="false">AH132-AH133*AH127</f>
        <v>28.9053765660658</v>
      </c>
      <c r="AI134" s="13" t="n">
        <f aca="false">AI132-AI133*AI127</f>
        <v>29.7860103505345</v>
      </c>
      <c r="AJ134" s="13" t="n">
        <f aca="false">AJ132-AJ133*AJ127</f>
        <v>31.5730325637618</v>
      </c>
      <c r="AK134" s="13" t="n">
        <f aca="false">AK132-AK133*AK127</f>
        <v>32.1207979168625</v>
      </c>
      <c r="AL134" s="13" t="n">
        <f aca="false">AL132-AL133*AL127</f>
        <v>32.8270713032215</v>
      </c>
      <c r="AM134" s="13" t="n">
        <f aca="false">AM132-AM133*AM127</f>
        <v>33.978491961907</v>
      </c>
      <c r="AN134" s="13" t="n">
        <f aca="false">AN132-AN133*AN127</f>
        <v>34.9238032818146</v>
      </c>
      <c r="AO134" s="13" t="n">
        <f aca="false">AO132-AO133*AO127</f>
        <v>36.1000171882396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7.28020989979517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0.0468957367404463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0.087121366205263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36.4335314574018</v>
      </c>
      <c r="AD9" s="13" t="n">
        <f aca="false">IF(Time!AD34=1,SUM(Funding!$J$44:$BJ$44),AC13)</f>
        <v>37.2710602434878</v>
      </c>
      <c r="AE9" s="13" t="n">
        <f aca="false">IF(Time!AE34=1,SUM(Funding!$J$44:$BJ$44),AD13)</f>
        <v>36.8555380887716</v>
      </c>
      <c r="AF9" s="13" t="n">
        <f aca="false">IF(Time!AF34=1,SUM(Funding!$J$44:$BJ$44),AE13)</f>
        <v>36.4230997577367</v>
      </c>
      <c r="AG9" s="13" t="n">
        <f aca="false">IF(Time!AG34=1,SUM(Funding!$J$44:$BJ$44),AF13)</f>
        <v>35.5307871593748</v>
      </c>
      <c r="AH9" s="13" t="n">
        <f aca="false">IF(Time!AH34=1,SUM(Funding!$J$44:$BJ$44),AG13)</f>
        <v>35.0697527778323</v>
      </c>
      <c r="AI9" s="13" t="n">
        <f aca="false">IF(Time!AI34=1,SUM(Funding!$J$44:$BJ$44),AH13)</f>
        <v>33.7404411092191</v>
      </c>
      <c r="AJ9" s="13" t="n">
        <f aca="false">IF(Time!AJ34=1,SUM(Funding!$J$44:$BJ$44),AI13)</f>
        <v>32.7730564306081</v>
      </c>
      <c r="AK9" s="13" t="n">
        <f aca="false">IF(Time!AK34=1,SUM(Funding!$J$44:$BJ$44),AJ13)</f>
        <v>31.0069642283844</v>
      </c>
      <c r="AL9" s="13" t="n">
        <f aca="false">IF(Time!AL34=1,SUM(Funding!$J$44:$BJ$44),AK13)</f>
        <v>29.3263214512785</v>
      </c>
      <c r="AM9" s="13" t="n">
        <f aca="false">IF(Time!AM34=1,SUM(Funding!$J$44:$BJ$44),AL13)</f>
        <v>25.8129961234199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3.17186252920642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0.837528786085947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40.4177579663018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0.57121717457435</v>
      </c>
      <c r="AC12" s="13" t="n">
        <f aca="false">MAX(0,AC9-AC10-Debt!AC125)</f>
        <v>0</v>
      </c>
      <c r="AD12" s="13" t="n">
        <f aca="false">MAX(0,AD9-AD10-Debt!AD125)</f>
        <v>0.415522154716186</v>
      </c>
      <c r="AE12" s="13" t="n">
        <f aca="false">MAX(0,AE9-AE10-Debt!AE125)</f>
        <v>0.432438331034923</v>
      </c>
      <c r="AF12" s="13" t="n">
        <f aca="false">MAX(0,AF9-AF10-Debt!AF125)</f>
        <v>0.892312598361862</v>
      </c>
      <c r="AG12" s="13" t="n">
        <f aca="false">MAX(0,AG9-AG10-Debt!AG125)</f>
        <v>0.461034381542511</v>
      </c>
      <c r="AH12" s="13" t="n">
        <f aca="false">MAX(0,AH9-AH10-Debt!AH125)</f>
        <v>1.3293116686132</v>
      </c>
      <c r="AI12" s="13" t="n">
        <f aca="false">MAX(0,AI9-AI10-Debt!AI125)</f>
        <v>0.967384678611005</v>
      </c>
      <c r="AJ12" s="13" t="n">
        <f aca="false">MAX(0,AJ9-AJ10-Debt!AJ125)</f>
        <v>1.76609220222366</v>
      </c>
      <c r="AK12" s="13" t="n">
        <f aca="false">MAX(0,AK9-AK10-Debt!AK125)</f>
        <v>1.68064277710593</v>
      </c>
      <c r="AL12" s="13" t="n">
        <f aca="false">MAX(0,AL9-AL10-Debt!AL125)</f>
        <v>3.51332532785864</v>
      </c>
      <c r="AM12" s="13" t="n">
        <f aca="false">MAX(0,AM9-AM10-Debt!AM125)</f>
        <v>6.68097886855566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36.4335314574018</v>
      </c>
      <c r="AC13" s="13" t="n">
        <f aca="false">(1-Time!AC37)*(AC9-AC10+AC11-AC12)</f>
        <v>37.2710602434878</v>
      </c>
      <c r="AD13" s="13" t="n">
        <f aca="false">(1-Time!AD37)*(AD9-AD10+AD11-AD12)</f>
        <v>36.8555380887716</v>
      </c>
      <c r="AE13" s="13" t="n">
        <f aca="false">(1-Time!AE37)*(AE9-AE10+AE11-AE12)</f>
        <v>36.4230997577367</v>
      </c>
      <c r="AF13" s="13" t="n">
        <f aca="false">(1-Time!AF37)*(AF9-AF10+AF11-AF12)</f>
        <v>35.5307871593748</v>
      </c>
      <c r="AG13" s="13" t="n">
        <f aca="false">(1-Time!AG37)*(AG9-AG10+AG11-AG12)</f>
        <v>35.0697527778323</v>
      </c>
      <c r="AH13" s="13" t="n">
        <f aca="false">(1-Time!AH37)*(AH9-AH10+AH11-AH12)</f>
        <v>33.7404411092191</v>
      </c>
      <c r="AI13" s="13" t="n">
        <f aca="false">(1-Time!AI37)*(AI9-AI10+AI11-AI12)</f>
        <v>32.7730564306081</v>
      </c>
      <c r="AJ13" s="13" t="n">
        <f aca="false">(1-Time!AJ37)*(AJ9-AJ10+AJ11-AJ12)</f>
        <v>31.0069642283844</v>
      </c>
      <c r="AK13" s="13" t="n">
        <f aca="false">(1-Time!AK37)*(AK9-AK10+AK11-AK12)</f>
        <v>29.3263214512785</v>
      </c>
      <c r="AL13" s="13" t="n">
        <f aca="false">(1-Time!AL37)*(AL9-AL10+AL11-AL12)</f>
        <v>25.8129961234199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2147.86877072505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1.57748802210733</v>
      </c>
      <c r="P7" s="13" t="n">
        <f aca="false">Operations!P84-Tax!P27-Operations!P96-Reserves!P7+Operations!P79+Operations!P97</f>
        <v>46.8082531663859</v>
      </c>
      <c r="Q7" s="13" t="n">
        <f aca="false">Operations!Q84-Tax!Q27-Operations!Q96-Reserves!Q7+Operations!Q79+Operations!Q97</f>
        <v>46.5045617583509</v>
      </c>
      <c r="R7" s="13" t="n">
        <f aca="false">Operations!R84-Tax!R27-Operations!R96-Reserves!R7+Operations!R79+Operations!R97</f>
        <v>46.6812759491744</v>
      </c>
      <c r="S7" s="13" t="n">
        <f aca="false">Operations!S84-Tax!S27-Operations!S96-Reserves!S7+Operations!S79+Operations!S97</f>
        <v>46.3576291938347</v>
      </c>
      <c r="T7" s="13" t="n">
        <f aca="false">Operations!T84-Tax!T27-Operations!T96-Reserves!T7+Operations!T79+Operations!T97</f>
        <v>47.2788062179482</v>
      </c>
      <c r="U7" s="13" t="n">
        <f aca="false">Operations!U84-Tax!U27-Operations!U96-Reserves!U7+Operations!U79+Operations!U97</f>
        <v>46.5065574265008</v>
      </c>
      <c r="V7" s="13" t="n">
        <f aca="false">Operations!V84-Tax!V27-Operations!V96-Reserves!V7+Operations!V79+Operations!V97</f>
        <v>45.9592383051422</v>
      </c>
      <c r="W7" s="13" t="n">
        <f aca="false">Operations!W84-Tax!W27-Operations!W96-Reserves!W7+Operations!W79+Operations!W97</f>
        <v>45.8482759598656</v>
      </c>
      <c r="X7" s="13" t="n">
        <f aca="false">Operations!X84-Tax!X27-Operations!X96-Reserves!X7+Operations!X79+Operations!X97</f>
        <v>45.7825445447861</v>
      </c>
      <c r="Y7" s="13" t="n">
        <f aca="false">Operations!Y84-Tax!Y27-Operations!Y96-Reserves!Y7+Operations!Y79+Operations!Y97</f>
        <v>45.5211430076591</v>
      </c>
      <c r="Z7" s="13" t="n">
        <f aca="false">Operations!Z84-Tax!Z27-Operations!Z96-Reserves!Z7+Operations!Z79+Operations!Z97</f>
        <v>45.4650058189108</v>
      </c>
      <c r="AA7" s="13" t="n">
        <f aca="false">Operations!AA84-Tax!AA27-Operations!AA96-Reserves!AA7+Operations!AA79+Operations!AA97</f>
        <v>45.134993825015</v>
      </c>
      <c r="AB7" s="13" t="n">
        <f aca="false">Operations!AB84-Tax!AB27-Operations!AB96-Reserves!AB7+Operations!AB79+Operations!AB97</f>
        <v>46.0835259177531</v>
      </c>
      <c r="AC7" s="13" t="n">
        <f aca="false">Operations!AC84-Tax!AC27-Operations!AC96-Reserves!AC7+Operations!AC79+Operations!AC97</f>
        <v>44.9430727386328</v>
      </c>
      <c r="AD7" s="13" t="n">
        <f aca="false">Operations!AD84-Tax!AD27-Operations!AD96-Reserves!AD7+Operations!AD79+Operations!AD97</f>
        <v>45.096180958234</v>
      </c>
      <c r="AE7" s="13" t="n">
        <f aca="false">Operations!AE84-Tax!AE27-Operations!AE96-Reserves!AE7+Operations!AE79+Operations!AE97</f>
        <v>45.097953492378</v>
      </c>
      <c r="AF7" s="13" t="n">
        <f aca="false">Operations!AF84-Tax!AF27-Operations!AF96-Reserves!AF7+Operations!AF79+Operations!AF97</f>
        <v>47.387923770541</v>
      </c>
      <c r="AG7" s="13" t="n">
        <f aca="false">Operations!AG84-Tax!AG27-Operations!AG96-Reserves!AG7+Operations!AG79+Operations!AG97</f>
        <v>47.4875741150906</v>
      </c>
      <c r="AH7" s="13" t="n">
        <f aca="false">Operations!AH84-Tax!AH27-Operations!AH96-Reserves!AH7+Operations!AH79+Operations!AH97</f>
        <v>47.6653946367641</v>
      </c>
      <c r="AI7" s="13" t="n">
        <f aca="false">Operations!AI84-Tax!AI27-Operations!AI96-Reserves!AI7+Operations!AI79+Operations!AI97</f>
        <v>47.3312801707097</v>
      </c>
      <c r="AJ7" s="13" t="n">
        <f aca="false">Operations!AJ84-Tax!AJ27-Operations!AJ96-Reserves!AJ7+Operations!AJ79+Operations!AJ97</f>
        <v>48.3135806233848</v>
      </c>
      <c r="AK7" s="13" t="n">
        <f aca="false">Operations!AK84-Tax!AK27-Operations!AK96-Reserves!AK7+Operations!AK79+Operations!AK97</f>
        <v>47.504594964207</v>
      </c>
      <c r="AL7" s="13" t="n">
        <f aca="false">Operations!AL84-Tax!AL27-Operations!AL96-Reserves!AL7+Operations!AL79+Operations!AL97</f>
        <v>46.9809524540187</v>
      </c>
      <c r="AM7" s="13" t="n">
        <f aca="false">Operations!AM84-Tax!AM27-Operations!AM96-Reserves!AM7+Operations!AM79+Operations!AM97</f>
        <v>46.8682381546474</v>
      </c>
      <c r="AN7" s="13" t="n">
        <f aca="false">Operations!AN84-Tax!AN27-Operations!AN96-Reserves!AN7+Operations!AN79+Operations!AN97</f>
        <v>46.5527773298571</v>
      </c>
      <c r="AO7" s="13" t="n">
        <f aca="false">Operations!AO84-Tax!AO27-Operations!AO96-Reserves!AO7+Operations!AO79+Operations!AO97</f>
        <v>46.4102531027745</v>
      </c>
      <c r="AP7" s="13" t="n">
        <f aca="false">Operations!AP84-Tax!AP27-Operations!AP96-Reserves!AP7+Operations!AP79+Operations!AP97</f>
        <v>46.595324970242</v>
      </c>
      <c r="AQ7" s="13" t="n">
        <f aca="false">Operations!AQ84-Tax!AQ27-Operations!AQ96-Reserves!AQ7+Operations!AQ79+Operations!AQ97</f>
        <v>46.2567675160163</v>
      </c>
      <c r="AR7" s="13" t="n">
        <f aca="false">Operations!AR84-Tax!AR27-Operations!AR96-Reserves!AR7+Operations!AR79+Operations!AR97</f>
        <v>47.275728459814</v>
      </c>
      <c r="AS7" s="13" t="n">
        <f aca="false">Operations!AS84-Tax!AS27-Operations!AS96-Reserves!AS7+Operations!AS79+Operations!AS97</f>
        <v>46.0668622164945</v>
      </c>
      <c r="AT7" s="13" t="n">
        <f aca="false">Operations!AT84-Tax!AT27-Operations!AT96-Reserves!AT7+Operations!AT79+Operations!AT97</f>
        <v>46.4658360380569</v>
      </c>
      <c r="AU7" s="13" t="n">
        <f aca="false">Operations!AU84-Tax!AU27-Operations!AU96-Reserves!AU7+Operations!AU79+Operations!AU97</f>
        <v>41.3454243642673</v>
      </c>
      <c r="AV7" s="13" t="n">
        <f aca="false">Operations!AV84-Tax!AV27-Operations!AV96-Reserves!AV7+Operations!AV79+Operations!AV97</f>
        <v>40.1769738827589</v>
      </c>
      <c r="AW7" s="13" t="n">
        <f aca="false">Operations!AW84-Tax!AW27-Operations!AW96-Reserves!AW7+Operations!AW79+Operations!AW97</f>
        <v>40.3469893652886</v>
      </c>
      <c r="AX7" s="13" t="n">
        <f aca="false">Operations!AX84-Tax!AX27-Operations!AX96-Reserves!AX7+Operations!AX79+Operations!AX97</f>
        <v>40.6489984435668</v>
      </c>
      <c r="AY7" s="13" t="n">
        <f aca="false">Operations!AY84-Tax!AY27-Operations!AY96-Reserves!AY7+Operations!AY79+Operations!AY97</f>
        <v>40.2058161742135</v>
      </c>
      <c r="AZ7" s="13" t="n">
        <f aca="false">Operations!AZ84-Tax!AZ27-Operations!AZ96-Reserves!AZ7+Operations!AZ79+Operations!AZ97</f>
        <v>41.0801443095497</v>
      </c>
      <c r="BA7" s="13" t="n">
        <f aca="false">Operations!BA84-Tax!BA27-Operations!BA96-Reserves!BA7+Operations!BA79+Operations!BA97</f>
        <v>40.4595736864266</v>
      </c>
      <c r="BB7" s="13" t="n">
        <f aca="false">Operations!BB84-Tax!BB27-Operations!BB96-Reserves!BB7+Operations!BB79+Operations!BB97</f>
        <v>41.508796878269</v>
      </c>
      <c r="BC7" s="13" t="n">
        <f aca="false">Operations!BC84-Tax!BC27-Operations!BC96-Reserves!BC7+Operations!BC79+Operations!BC97</f>
        <v>38.1246220646516</v>
      </c>
      <c r="BD7" s="13" t="n">
        <f aca="false">Operations!BD84-Tax!BD27-Operations!BD96-Reserves!BD7+Operations!BD79+Operations!BD97</f>
        <v>33.1029239992822</v>
      </c>
      <c r="BE7" s="13" t="n">
        <f aca="false">Operations!BE84-Tax!BE27-Operations!BE96-Reserves!BE7+Operations!BE79+Operations!BE97</f>
        <v>33.0134991740889</v>
      </c>
      <c r="BF7" s="13" t="n">
        <f aca="false">Operations!BF84-Tax!BF27-Operations!BF96-Reserves!BF7+Operations!BF79+Operations!BF97</f>
        <v>33.3264678983963</v>
      </c>
      <c r="BG7" s="13" t="n">
        <f aca="false">Operations!BG84-Tax!BG27-Operations!BG96-Reserves!BG7+Operations!BG79+Operations!BG97</f>
        <v>32.8731991856227</v>
      </c>
      <c r="BH7" s="13" t="n">
        <f aca="false">Operations!BH84-Tax!BH27-Operations!BH96-Reserves!BH7+Operations!BH79+Operations!BH97</f>
        <v>33.7815112591756</v>
      </c>
      <c r="BI7" s="13" t="n">
        <f aca="false">Operations!BI84-Tax!BI27-Operations!BI96-Reserves!BI7+Operations!BI79+Operations!BI97</f>
        <v>32.8977595350761</v>
      </c>
      <c r="BJ7" s="13" t="n">
        <f aca="false">Operations!BJ84-Tax!BJ27-Operations!BJ96-Reserves!BJ7+Operations!BJ79+Operations!BJ97</f>
        <v>39.4566846868235</v>
      </c>
      <c r="BK7" s="13" t="n">
        <f aca="false">Operations!BK84-Tax!BK27-Operations!BK96-Reserves!BK7+Operations!BK79+Operations!BK97</f>
        <v>33.9896868470275</v>
      </c>
      <c r="BL7" s="13" t="n">
        <f aca="false">Operations!BL84-Tax!BL27-Operations!BL96-Reserves!BL7+Operations!BL79+Operations!BL97</f>
        <v>36.304129754432</v>
      </c>
      <c r="BM7" s="13" t="n">
        <f aca="false">Operations!BM84-Tax!BM27-Operations!BM96-Reserves!BM7+Operations!BM79+Operations!BM97</f>
        <v>33.4159743908395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1.57748802210621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1.57748802210733</v>
      </c>
      <c r="P9" s="13" t="n">
        <f aca="false">P7+P8</f>
        <v>48.3857411884921</v>
      </c>
      <c r="Q9" s="13" t="n">
        <f aca="false">Q7+Q8</f>
        <v>46.5045617583509</v>
      </c>
      <c r="R9" s="13" t="n">
        <f aca="false">R7+R8</f>
        <v>46.6812759491744</v>
      </c>
      <c r="S9" s="13" t="n">
        <f aca="false">S7+S8</f>
        <v>46.3576291938347</v>
      </c>
      <c r="T9" s="13" t="n">
        <f aca="false">T7+T8</f>
        <v>47.2788062179482</v>
      </c>
      <c r="U9" s="13" t="n">
        <f aca="false">U7+U8</f>
        <v>46.5065574265008</v>
      </c>
      <c r="V9" s="13" t="n">
        <f aca="false">V7+V8</f>
        <v>45.9592383051422</v>
      </c>
      <c r="W9" s="13" t="n">
        <f aca="false">W7+W8</f>
        <v>45.8482759598656</v>
      </c>
      <c r="X9" s="13" t="n">
        <f aca="false">X7+X8</f>
        <v>45.7825445447861</v>
      </c>
      <c r="Y9" s="13" t="n">
        <f aca="false">Y7+Y8</f>
        <v>45.5211430076591</v>
      </c>
      <c r="Z9" s="13" t="n">
        <f aca="false">Z7+Z8</f>
        <v>45.4650058189108</v>
      </c>
      <c r="AA9" s="13" t="n">
        <f aca="false">AA7+AA8</f>
        <v>45.134993825015</v>
      </c>
      <c r="AB9" s="13" t="n">
        <f aca="false">AB7+AB8</f>
        <v>46.0835259177531</v>
      </c>
      <c r="AC9" s="13" t="n">
        <f aca="false">AC7+AC8</f>
        <v>44.9430727386328</v>
      </c>
      <c r="AD9" s="13" t="n">
        <f aca="false">AD7+AD8</f>
        <v>45.096180958234</v>
      </c>
      <c r="AE9" s="13" t="n">
        <f aca="false">AE7+AE8</f>
        <v>45.097953492378</v>
      </c>
      <c r="AF9" s="13" t="n">
        <f aca="false">AF7+AF8</f>
        <v>47.387923770541</v>
      </c>
      <c r="AG9" s="13" t="n">
        <f aca="false">AG7+AG8</f>
        <v>47.4875741150906</v>
      </c>
      <c r="AH9" s="13" t="n">
        <f aca="false">AH7+AH8</f>
        <v>47.6653946367641</v>
      </c>
      <c r="AI9" s="13" t="n">
        <f aca="false">AI7+AI8</f>
        <v>47.3312801707097</v>
      </c>
      <c r="AJ9" s="13" t="n">
        <f aca="false">AJ7+AJ8</f>
        <v>48.3135806233848</v>
      </c>
      <c r="AK9" s="13" t="n">
        <f aca="false">AK7+AK8</f>
        <v>47.504594964207</v>
      </c>
      <c r="AL9" s="13" t="n">
        <f aca="false">AL7+AL8</f>
        <v>46.9809524540187</v>
      </c>
      <c r="AM9" s="13" t="n">
        <f aca="false">AM7+AM8</f>
        <v>46.8682381546474</v>
      </c>
      <c r="AN9" s="13" t="n">
        <f aca="false">AN7+AN8</f>
        <v>46.5527773298571</v>
      </c>
      <c r="AO9" s="13" t="n">
        <f aca="false">AO7+AO8</f>
        <v>46.4102531027745</v>
      </c>
      <c r="AP9" s="13" t="n">
        <f aca="false">AP7+AP8</f>
        <v>46.595324970242</v>
      </c>
      <c r="AQ9" s="13" t="n">
        <f aca="false">AQ7+AQ8</f>
        <v>46.2567675160163</v>
      </c>
      <c r="AR9" s="13" t="n">
        <f aca="false">AR7+AR8</f>
        <v>47.275728459814</v>
      </c>
      <c r="AS9" s="13" t="n">
        <f aca="false">AS7+AS8</f>
        <v>46.0668622164945</v>
      </c>
      <c r="AT9" s="13" t="n">
        <f aca="false">AT7+AT8</f>
        <v>46.4658360380569</v>
      </c>
      <c r="AU9" s="13" t="n">
        <f aca="false">AU7+AU8</f>
        <v>41.3454243642673</v>
      </c>
      <c r="AV9" s="13" t="n">
        <f aca="false">AV7+AV8</f>
        <v>40.1769738827589</v>
      </c>
      <c r="AW9" s="13" t="n">
        <f aca="false">AW7+AW8</f>
        <v>40.3469893652886</v>
      </c>
      <c r="AX9" s="13" t="n">
        <f aca="false">AX7+AX8</f>
        <v>40.6489984435668</v>
      </c>
      <c r="AY9" s="13" t="n">
        <f aca="false">AY7+AY8</f>
        <v>40.2058161742135</v>
      </c>
      <c r="AZ9" s="13" t="n">
        <f aca="false">AZ7+AZ8</f>
        <v>41.0801443095497</v>
      </c>
      <c r="BA9" s="13" t="n">
        <f aca="false">BA7+BA8</f>
        <v>40.4595736864266</v>
      </c>
      <c r="BB9" s="13" t="n">
        <f aca="false">BB7+BB8</f>
        <v>41.508796878269</v>
      </c>
      <c r="BC9" s="13" t="n">
        <f aca="false">BC7+BC8</f>
        <v>38.1246220646516</v>
      </c>
      <c r="BD9" s="13" t="n">
        <f aca="false">BD7+BD8</f>
        <v>33.1029239992822</v>
      </c>
      <c r="BE9" s="13" t="n">
        <f aca="false">BE7+BE8</f>
        <v>33.0134991740889</v>
      </c>
      <c r="BF9" s="13" t="n">
        <f aca="false">BF7+BF8</f>
        <v>33.3264678983963</v>
      </c>
      <c r="BG9" s="13" t="n">
        <f aca="false">BG7+BG8</f>
        <v>32.8731991856227</v>
      </c>
      <c r="BH9" s="13" t="n">
        <f aca="false">BH7+BH8</f>
        <v>33.7815112591756</v>
      </c>
      <c r="BI9" s="13" t="n">
        <f aca="false">BI7+BI8</f>
        <v>32.8977595350761</v>
      </c>
      <c r="BJ9" s="13" t="n">
        <f aca="false">BJ7+BJ8</f>
        <v>39.4566846868235</v>
      </c>
      <c r="BK9" s="13" t="n">
        <f aca="false">BK7+BK8</f>
        <v>33.9896868470275</v>
      </c>
      <c r="BL9" s="13" t="n">
        <f aca="false">BL7+BL8</f>
        <v>36.304129754432</v>
      </c>
      <c r="BM9" s="13" t="n">
        <f aca="false">BM7+BM8</f>
        <v>33.4159743908395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877.414827672662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36.5797092832671</v>
      </c>
      <c r="AC10" s="13" t="n">
        <f aca="false">Debt!AC114+Debt!AC110</f>
        <v>35.883273768697</v>
      </c>
      <c r="AD10" s="13" t="n">
        <f aca="false">Debt!AD114+Debt!AD110</f>
        <v>36.7792464396302</v>
      </c>
      <c r="AE10" s="13" t="n">
        <f aca="false">Debt!AE114+Debt!AE110</f>
        <v>36.2990555854627</v>
      </c>
      <c r="AF10" s="13" t="n">
        <f aca="false">Debt!AF114+Debt!AF110</f>
        <v>35.7857717402953</v>
      </c>
      <c r="AG10" s="13" t="n">
        <f aca="false">Debt!AG114+Debt!AG110</f>
        <v>34.5899838720351</v>
      </c>
      <c r="AH10" s="13" t="n">
        <f aca="false">Debt!AH114+Debt!AH110</f>
        <v>33.947661374691</v>
      </c>
      <c r="AI10" s="13" t="n">
        <f aca="false">Debt!AI114+Debt!AI110</f>
        <v>32.3391544353339</v>
      </c>
      <c r="AJ10" s="13" t="n">
        <f aca="false">Debt!AJ114+Debt!AJ110</f>
        <v>31.051144624992</v>
      </c>
      <c r="AK10" s="13" t="n">
        <f aca="false">Debt!AK114+Debt!AK110</f>
        <v>28.5933042742957</v>
      </c>
      <c r="AL10" s="13" t="n">
        <f aca="false">Debt!AL114+Debt!AL110</f>
        <v>26.0224001656024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1.57748802210733</v>
      </c>
      <c r="P13" s="13" t="n">
        <f aca="false">MAX(0,P9-P10)</f>
        <v>11.1398457513956</v>
      </c>
      <c r="Q13" s="13" t="n">
        <f aca="false">MAX(0,Q9-Q10)</f>
        <v>9.3475453032051</v>
      </c>
      <c r="R13" s="13" t="n">
        <f aca="false">MAX(0,R9-R10)</f>
        <v>9.05649086149643</v>
      </c>
      <c r="S13" s="13" t="n">
        <f aca="false">MAX(0,S9-S10)</f>
        <v>9.02431670127773</v>
      </c>
      <c r="T13" s="13" t="n">
        <f aca="false">MAX(0,T9-T10)</f>
        <v>9.52758843620046</v>
      </c>
      <c r="U13" s="13" t="n">
        <f aca="false">MAX(0,U9-U10)</f>
        <v>8.93586467164806</v>
      </c>
      <c r="V13" s="13" t="n">
        <f aca="false">MAX(0,V9-V10)</f>
        <v>7.67131806998386</v>
      </c>
      <c r="W13" s="13" t="n">
        <f aca="false">MAX(0,W9-W10)</f>
        <v>7.82504853399578</v>
      </c>
      <c r="X13" s="13" t="n">
        <f aca="false">MAX(0,X9-X10)</f>
        <v>8.85574947019669</v>
      </c>
      <c r="Y13" s="13" t="n">
        <f aca="false">MAX(0,Y9-Y10)</f>
        <v>8.95075096311393</v>
      </c>
      <c r="Z13" s="13" t="n">
        <f aca="false">MAX(0,Z9-Z10)</f>
        <v>8.59364271039664</v>
      </c>
      <c r="AA13" s="13" t="n">
        <f aca="false">MAX(0,AA9-AA10)</f>
        <v>8.56070647016054</v>
      </c>
      <c r="AB13" s="13" t="n">
        <f aca="false">MAX(0,AB9-AB10)</f>
        <v>9.503816634486</v>
      </c>
      <c r="AC13" s="13" t="n">
        <f aca="false">MAX(0,AC9-AC10)</f>
        <v>9.05979896993582</v>
      </c>
      <c r="AD13" s="13" t="n">
        <f aca="false">MAX(0,AD9-AD10)</f>
        <v>8.31693451860385</v>
      </c>
      <c r="AE13" s="13" t="n">
        <f aca="false">MAX(0,AE9-AE10)</f>
        <v>8.79889790691529</v>
      </c>
      <c r="AF13" s="13" t="n">
        <f aca="false">MAX(0,AF9-AF10)</f>
        <v>11.6021520302457</v>
      </c>
      <c r="AG13" s="13" t="n">
        <f aca="false">MAX(0,AG9-AG10)</f>
        <v>12.8975902430555</v>
      </c>
      <c r="AH13" s="13" t="n">
        <f aca="false">MAX(0,AH9-AH10)</f>
        <v>13.7177332620731</v>
      </c>
      <c r="AI13" s="13" t="n">
        <f aca="false">MAX(0,AI9-AI10)</f>
        <v>14.9921257353758</v>
      </c>
      <c r="AJ13" s="13" t="n">
        <f aca="false">MAX(0,AJ9-AJ10)</f>
        <v>17.2624359983928</v>
      </c>
      <c r="AK13" s="13" t="n">
        <f aca="false">MAX(0,AK9-AK10)</f>
        <v>18.9112906899112</v>
      </c>
      <c r="AL13" s="13" t="n">
        <f aca="false">MAX(0,AL9-AL10)</f>
        <v>20.9585522884162</v>
      </c>
      <c r="AM13" s="13" t="n">
        <f aca="false">MAX(0,AM9-AM10)</f>
        <v>23.2989463013694</v>
      </c>
      <c r="AN13" s="13" t="n">
        <f aca="false">MAX(0,AN9-AN10)</f>
        <v>27.4207600749929</v>
      </c>
      <c r="AO13" s="13" t="n">
        <f aca="false">MAX(0,AO9-AO10)</f>
        <v>27.5043453551664</v>
      </c>
      <c r="AP13" s="13" t="n">
        <f aca="false">MAX(0,AP9-AP10)</f>
        <v>46.595324970242</v>
      </c>
      <c r="AQ13" s="13" t="n">
        <f aca="false">MAX(0,AQ9-AQ10)</f>
        <v>46.2567675160163</v>
      </c>
      <c r="AR13" s="13" t="n">
        <f aca="false">MAX(0,AR9-AR10)</f>
        <v>47.275728459814</v>
      </c>
      <c r="AS13" s="13" t="n">
        <f aca="false">MAX(0,AS9-AS10)</f>
        <v>46.0668622164945</v>
      </c>
      <c r="AT13" s="13" t="n">
        <f aca="false">MAX(0,AT9-AT10)</f>
        <v>46.4658360380569</v>
      </c>
      <c r="AU13" s="13" t="n">
        <f aca="false">MAX(0,AU9-AU10)</f>
        <v>41.3454243642673</v>
      </c>
      <c r="AV13" s="13" t="n">
        <f aca="false">MAX(0,AV9-AV10)</f>
        <v>40.1769738827589</v>
      </c>
      <c r="AW13" s="13" t="n">
        <f aca="false">MAX(0,AW9-AW10)</f>
        <v>40.3469893652886</v>
      </c>
      <c r="AX13" s="13" t="n">
        <f aca="false">MAX(0,AX9-AX10)</f>
        <v>40.6489984435668</v>
      </c>
      <c r="AY13" s="13" t="n">
        <f aca="false">MAX(0,AY9-AY10)</f>
        <v>40.2058161742135</v>
      </c>
      <c r="AZ13" s="13" t="n">
        <f aca="false">MAX(0,AZ9-AZ10)</f>
        <v>41.0801443095497</v>
      </c>
      <c r="BA13" s="13" t="n">
        <f aca="false">MAX(0,BA9-BA10)</f>
        <v>40.4595736864266</v>
      </c>
      <c r="BB13" s="13" t="n">
        <f aca="false">MAX(0,BB9-BB10)</f>
        <v>41.508796878269</v>
      </c>
      <c r="BC13" s="13" t="n">
        <f aca="false">MAX(0,BC9-BC10)</f>
        <v>38.1246220646516</v>
      </c>
      <c r="BD13" s="13" t="n">
        <f aca="false">MAX(0,BD9-BD10)</f>
        <v>33.1029239992822</v>
      </c>
      <c r="BE13" s="13" t="n">
        <f aca="false">MAX(0,BE9-BE10)</f>
        <v>33.0134991740889</v>
      </c>
      <c r="BF13" s="13" t="n">
        <f aca="false">MAX(0,BF9-BF10)</f>
        <v>33.3264678983963</v>
      </c>
      <c r="BG13" s="13" t="n">
        <f aca="false">MAX(0,BG9-BG10)</f>
        <v>32.8731991856227</v>
      </c>
      <c r="BH13" s="13" t="n">
        <f aca="false">MAX(0,BH9-BH10)</f>
        <v>33.7815112591756</v>
      </c>
      <c r="BI13" s="13" t="n">
        <f aca="false">MAX(0,BI9-BI10)</f>
        <v>32.8977595350761</v>
      </c>
      <c r="BJ13" s="13" t="n">
        <f aca="false">MAX(0,BJ9-BJ10)</f>
        <v>39.4566846868235</v>
      </c>
      <c r="BK13" s="13" t="n">
        <f aca="false">MAX(0,BK9-BK10)</f>
        <v>33.9896868470275</v>
      </c>
      <c r="BL13" s="13" t="n">
        <f aca="false">MAX(0,BL9-BL10)</f>
        <v>36.304129754432</v>
      </c>
      <c r="BM13" s="13" t="n">
        <f aca="false">MAX(0,BM9-BM10)</f>
        <v>33.4159743908395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1.57748802210621</v>
      </c>
      <c r="P14" s="13" t="n">
        <f aca="false">P13-Reserves!P11+Reserves!P12</f>
        <v>11.2287247333463</v>
      </c>
      <c r="Q14" s="13" t="n">
        <f aca="false">Q13-Reserves!Q11+Reserves!Q12</f>
        <v>8.87977667067288</v>
      </c>
      <c r="R14" s="13" t="n">
        <f aca="false">R13-Reserves!R11+Reserves!R12</f>
        <v>9.34796345661746</v>
      </c>
      <c r="S14" s="13" t="n">
        <f aca="false">S13-Reserves!S11+Reserves!S12</f>
        <v>8.6064114120869</v>
      </c>
      <c r="T14" s="13" t="n">
        <f aca="false">T13-Reserves!T11+Reserves!T12</f>
        <v>9.70811346309553</v>
      </c>
      <c r="U14" s="13" t="n">
        <f aca="false">U13-Reserves!U11+Reserves!U12</f>
        <v>8.21863719134242</v>
      </c>
      <c r="V14" s="13" t="n">
        <f aca="false">V13-Reserves!V11+Reserves!V12</f>
        <v>7.93601087927242</v>
      </c>
      <c r="W14" s="13" t="n">
        <f aca="false">W13-Reserves!W11+Reserves!W12</f>
        <v>8.92148088527618</v>
      </c>
      <c r="X14" s="13" t="n">
        <f aca="false">X13-Reserves!X11+Reserves!X12</f>
        <v>9.21215250024091</v>
      </c>
      <c r="Y14" s="13" t="n">
        <f aca="false">Y13-Reserves!Y11+Reserves!Y12</f>
        <v>8.64977989914497</v>
      </c>
      <c r="Z14" s="13" t="n">
        <f aca="false">Z13-Reserves!Z11+Reserves!Z12</f>
        <v>8.89071846405631</v>
      </c>
      <c r="AA14" s="13" t="n">
        <f aca="false">AA13-Reserves!AA11+Reserves!AA12</f>
        <v>8.13024519303881</v>
      </c>
      <c r="AB14" s="13" t="n">
        <f aca="false">AB13-Reserves!AB11+Reserves!AB12</f>
        <v>10.0750338090604</v>
      </c>
      <c r="AC14" s="13" t="n">
        <f aca="false">AC13-Reserves!AC11+Reserves!AC12</f>
        <v>8.22227018384987</v>
      </c>
      <c r="AD14" s="13" t="n">
        <f aca="false">AD13-Reserves!AD11+Reserves!AD12</f>
        <v>8.73245667332004</v>
      </c>
      <c r="AE14" s="13" t="n">
        <f aca="false">AE13-Reserves!AE11+Reserves!AE12</f>
        <v>9.23133623795021</v>
      </c>
      <c r="AF14" s="13" t="n">
        <f aca="false">AF13-Reserves!AF11+Reserves!AF12</f>
        <v>12.4944646286075</v>
      </c>
      <c r="AG14" s="13" t="n">
        <f aca="false">AG13-Reserves!AG11+Reserves!AG12</f>
        <v>13.358624624598</v>
      </c>
      <c r="AH14" s="13" t="n">
        <f aca="false">AH13-Reserves!AH11+Reserves!AH12</f>
        <v>15.0470449306863</v>
      </c>
      <c r="AI14" s="13" t="n">
        <f aca="false">AI13-Reserves!AI11+Reserves!AI12</f>
        <v>15.9595104139868</v>
      </c>
      <c r="AJ14" s="13" t="n">
        <f aca="false">AJ13-Reserves!AJ11+Reserves!AJ12</f>
        <v>19.0285282006164</v>
      </c>
      <c r="AK14" s="13" t="n">
        <f aca="false">AK13-Reserves!AK11+Reserves!AK12</f>
        <v>20.5919334670172</v>
      </c>
      <c r="AL14" s="13" t="n">
        <f aca="false">AL13-Reserves!AL11+Reserves!AL12</f>
        <v>24.4718776162749</v>
      </c>
      <c r="AM14" s="13" t="n">
        <f aca="false">AM13-Reserves!AM11+Reserves!AM12</f>
        <v>29.979925169925</v>
      </c>
      <c r="AN14" s="13" t="n">
        <f aca="false">AN13-Reserves!AN11+Reserves!AN12</f>
        <v>27.6468695822489</v>
      </c>
      <c r="AO14" s="13" t="n">
        <f aca="false">AO13-Reserves!AO11+Reserves!AO12</f>
        <v>46.4102531027745</v>
      </c>
      <c r="AP14" s="13" t="n">
        <f aca="false">AP13-Reserves!AP11+Reserves!AP12</f>
        <v>46.595324970242</v>
      </c>
      <c r="AQ14" s="13" t="n">
        <f aca="false">AQ13-Reserves!AQ11+Reserves!AQ12</f>
        <v>46.2567675160163</v>
      </c>
      <c r="AR14" s="13" t="n">
        <f aca="false">AR13-Reserves!AR11+Reserves!AR12</f>
        <v>47.275728459814</v>
      </c>
      <c r="AS14" s="13" t="n">
        <f aca="false">AS13-Reserves!AS11+Reserves!AS12</f>
        <v>46.0668622164945</v>
      </c>
      <c r="AT14" s="13" t="n">
        <f aca="false">AT13-Reserves!AT11+Reserves!AT12</f>
        <v>46.4658360380569</v>
      </c>
      <c r="AU14" s="13" t="n">
        <f aca="false">AU13-Reserves!AU11+Reserves!AU12</f>
        <v>41.3454243642673</v>
      </c>
      <c r="AV14" s="13" t="n">
        <f aca="false">AV13-Reserves!AV11+Reserves!AV12</f>
        <v>40.1769738827589</v>
      </c>
      <c r="AW14" s="13" t="n">
        <f aca="false">AW13-Reserves!AW11+Reserves!AW12</f>
        <v>40.3469893652886</v>
      </c>
      <c r="AX14" s="13" t="n">
        <f aca="false">AX13-Reserves!AX11+Reserves!AX12</f>
        <v>40.6489984435668</v>
      </c>
      <c r="AY14" s="13" t="n">
        <f aca="false">AY13-Reserves!AY11+Reserves!AY12</f>
        <v>40.2058161742135</v>
      </c>
      <c r="AZ14" s="13" t="n">
        <f aca="false">AZ13-Reserves!AZ11+Reserves!AZ12</f>
        <v>41.0801443095497</v>
      </c>
      <c r="BA14" s="13" t="n">
        <f aca="false">BA13-Reserves!BA11+Reserves!BA12</f>
        <v>40.4595736864266</v>
      </c>
      <c r="BB14" s="13" t="n">
        <f aca="false">BB13-Reserves!BB11+Reserves!BB12</f>
        <v>41.508796878269</v>
      </c>
      <c r="BC14" s="13" t="n">
        <f aca="false">BC13-Reserves!BC11+Reserves!BC12</f>
        <v>38.1246220646516</v>
      </c>
      <c r="BD14" s="13" t="n">
        <f aca="false">BD13-Reserves!BD11+Reserves!BD12</f>
        <v>33.1029239992822</v>
      </c>
      <c r="BE14" s="13" t="n">
        <f aca="false">BE13-Reserves!BE11+Reserves!BE12</f>
        <v>33.0134991740889</v>
      </c>
      <c r="BF14" s="13" t="n">
        <f aca="false">BF13-Reserves!BF11+Reserves!BF12</f>
        <v>33.3264678983963</v>
      </c>
      <c r="BG14" s="13" t="n">
        <f aca="false">BG13-Reserves!BG11+Reserves!BG12</f>
        <v>32.8731991856227</v>
      </c>
      <c r="BH14" s="13" t="n">
        <f aca="false">BH13-Reserves!BH11+Reserves!BH12</f>
        <v>33.7815112591756</v>
      </c>
      <c r="BI14" s="13" t="n">
        <f aca="false">BI13-Reserves!BI11+Reserves!BI12</f>
        <v>32.8977595350761</v>
      </c>
      <c r="BJ14" s="13" t="n">
        <f aca="false">BJ13-Reserves!BJ11+Reserves!BJ12</f>
        <v>39.4566846868235</v>
      </c>
      <c r="BK14" s="13" t="n">
        <f aca="false">BK13-Reserves!BK11+Reserves!BK12</f>
        <v>33.9896868470275</v>
      </c>
      <c r="BL14" s="13" t="n">
        <f aca="false">BL13-Reserves!BL11+Reserves!BL12</f>
        <v>36.304129754432</v>
      </c>
      <c r="BM14" s="13" t="n">
        <f aca="false">BM13-Reserves!BM11+Reserves!BM12</f>
        <v>33.4159743908395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1.57748802210621</v>
      </c>
      <c r="P15" s="13" t="n">
        <f aca="false">P14-Reserves!P14+Reserves!P15</f>
        <v>11.2287247333463</v>
      </c>
      <c r="Q15" s="13" t="n">
        <f aca="false">Q14-Reserves!Q14+Reserves!Q15</f>
        <v>8.87977667067288</v>
      </c>
      <c r="R15" s="13" t="n">
        <f aca="false">R14-Reserves!R14+Reserves!R15</f>
        <v>9.34796345661746</v>
      </c>
      <c r="S15" s="13" t="n">
        <f aca="false">S14-Reserves!S14+Reserves!S15</f>
        <v>8.6064114120869</v>
      </c>
      <c r="T15" s="13" t="n">
        <f aca="false">T14-Reserves!T14+Reserves!T15</f>
        <v>9.70811346309553</v>
      </c>
      <c r="U15" s="13" t="n">
        <f aca="false">U14-Reserves!U14+Reserves!U15</f>
        <v>8.21863719134242</v>
      </c>
      <c r="V15" s="13" t="n">
        <f aca="false">V14-Reserves!V14+Reserves!V15</f>
        <v>7.93601087927242</v>
      </c>
      <c r="W15" s="13" t="n">
        <f aca="false">W14-Reserves!W14+Reserves!W15</f>
        <v>8.92148088527618</v>
      </c>
      <c r="X15" s="13" t="n">
        <f aca="false">X14-Reserves!X14+Reserves!X15</f>
        <v>9.21215250024091</v>
      </c>
      <c r="Y15" s="13" t="n">
        <f aca="false">Y14-Reserves!Y14+Reserves!Y15</f>
        <v>8.64977989914497</v>
      </c>
      <c r="Z15" s="13" t="n">
        <f aca="false">Z14-Reserves!Z14+Reserves!Z15</f>
        <v>8.89071846405631</v>
      </c>
      <c r="AA15" s="13" t="n">
        <f aca="false">AA14-Reserves!AA14+Reserves!AA15</f>
        <v>8.13024519303881</v>
      </c>
      <c r="AB15" s="13" t="n">
        <f aca="false">AB14-Reserves!AB14+Reserves!AB15</f>
        <v>10.0750338090604</v>
      </c>
      <c r="AC15" s="13" t="n">
        <f aca="false">AC14-Reserves!AC14+Reserves!AC15</f>
        <v>8.22227018384987</v>
      </c>
      <c r="AD15" s="13" t="n">
        <f aca="false">AD14-Reserves!AD14+Reserves!AD15</f>
        <v>8.73245667332004</v>
      </c>
      <c r="AE15" s="13" t="n">
        <f aca="false">AE14-Reserves!AE14+Reserves!AE15</f>
        <v>9.23133623795021</v>
      </c>
      <c r="AF15" s="13" t="n">
        <f aca="false">AF14-Reserves!AF14+Reserves!AF15</f>
        <v>12.4944646286075</v>
      </c>
      <c r="AG15" s="13" t="n">
        <f aca="false">AG14-Reserves!AG14+Reserves!AG15</f>
        <v>13.358624624598</v>
      </c>
      <c r="AH15" s="13" t="n">
        <f aca="false">AH14-Reserves!AH14+Reserves!AH15</f>
        <v>15.0470449306863</v>
      </c>
      <c r="AI15" s="13" t="n">
        <f aca="false">AI14-Reserves!AI14+Reserves!AI15</f>
        <v>15.9595104139868</v>
      </c>
      <c r="AJ15" s="13" t="n">
        <f aca="false">AJ14-Reserves!AJ14+Reserves!AJ15</f>
        <v>19.0285282006164</v>
      </c>
      <c r="AK15" s="13" t="n">
        <f aca="false">AK14-Reserves!AK14+Reserves!AK15</f>
        <v>20.5919334670172</v>
      </c>
      <c r="AL15" s="13" t="n">
        <f aca="false">AL14-Reserves!AL14+Reserves!AL15</f>
        <v>24.4718776162749</v>
      </c>
      <c r="AM15" s="13" t="n">
        <f aca="false">AM14-Reserves!AM14+Reserves!AM15</f>
        <v>29.979925169925</v>
      </c>
      <c r="AN15" s="13" t="n">
        <f aca="false">AN14-Reserves!AN14+Reserves!AN15</f>
        <v>27.6468695822489</v>
      </c>
      <c r="AO15" s="13" t="n">
        <f aca="false">AO14-Reserves!AO14+Reserves!AO15</f>
        <v>46.4102531027745</v>
      </c>
      <c r="AP15" s="13" t="n">
        <f aca="false">AP14-Reserves!AP14+Reserves!AP15</f>
        <v>46.595324970242</v>
      </c>
      <c r="AQ15" s="13" t="n">
        <f aca="false">AQ14-Reserves!AQ14+Reserves!AQ15</f>
        <v>46.2567675160163</v>
      </c>
      <c r="AR15" s="13" t="n">
        <f aca="false">AR14-Reserves!AR14+Reserves!AR15</f>
        <v>47.275728459814</v>
      </c>
      <c r="AS15" s="13" t="n">
        <f aca="false">AS14-Reserves!AS14+Reserves!AS15</f>
        <v>46.0668622164945</v>
      </c>
      <c r="AT15" s="13" t="n">
        <f aca="false">AT14-Reserves!AT14+Reserves!AT15</f>
        <v>46.4658360380569</v>
      </c>
      <c r="AU15" s="13" t="n">
        <f aca="false">AU14-Reserves!AU14+Reserves!AU15</f>
        <v>41.3454243642673</v>
      </c>
      <c r="AV15" s="13" t="n">
        <f aca="false">AV14-Reserves!AV14+Reserves!AV15</f>
        <v>40.1769738827589</v>
      </c>
      <c r="AW15" s="13" t="n">
        <f aca="false">AW14-Reserves!AW14+Reserves!AW15</f>
        <v>40.3469893652886</v>
      </c>
      <c r="AX15" s="13" t="n">
        <f aca="false">AX14-Reserves!AX14+Reserves!AX15</f>
        <v>40.6489984435668</v>
      </c>
      <c r="AY15" s="13" t="n">
        <f aca="false">AY14-Reserves!AY14+Reserves!AY15</f>
        <v>40.2058161742135</v>
      </c>
      <c r="AZ15" s="13" t="n">
        <f aca="false">AZ14-Reserves!AZ14+Reserves!AZ15</f>
        <v>41.0801443095497</v>
      </c>
      <c r="BA15" s="13" t="n">
        <f aca="false">BA14-Reserves!BA14+Reserves!BA15</f>
        <v>39.9646052998179</v>
      </c>
      <c r="BB15" s="13" t="n">
        <f aca="false">BB14-Reserves!BB14+Reserves!BB15</f>
        <v>40.0076466236246</v>
      </c>
      <c r="BC15" s="13" t="n">
        <f aca="false">BC14-Reserves!BC14+Reserves!BC15</f>
        <v>36.6070489913094</v>
      </c>
      <c r="BD15" s="13" t="n">
        <f aca="false">BD14-Reserves!BD14+Reserves!BD15</f>
        <v>31.5687484390356</v>
      </c>
      <c r="BE15" s="13" t="n">
        <f aca="false">BE14-Reserves!BE14+Reserves!BE15</f>
        <v>31.4625394931332</v>
      </c>
      <c r="BF15" s="13" t="n">
        <f aca="false">BF14-Reserves!BF14+Reserves!BF15</f>
        <v>31.7585404758243</v>
      </c>
      <c r="BG15" s="13" t="n">
        <f aca="false">BG14-Reserves!BG14+Reserves!BG15</f>
        <v>31.2881183916859</v>
      </c>
      <c r="BH15" s="13" t="n">
        <f aca="false">BH14-Reserves!BH14+Reserves!BH15</f>
        <v>32.179089433307</v>
      </c>
      <c r="BI15" s="13" t="n">
        <f aca="false">BI14-Reserves!BI14+Reserves!BI15</f>
        <v>31.2778069636727</v>
      </c>
      <c r="BJ15" s="13" t="n">
        <f aca="false">BJ14-Reserves!BJ14+Reserves!BJ15</f>
        <v>37.8190095807858</v>
      </c>
      <c r="BK15" s="13" t="n">
        <f aca="false">BK14-Reserves!BK14+Reserves!BK15</f>
        <v>32.3340953190533</v>
      </c>
      <c r="BL15" s="13" t="n">
        <f aca="false">BL14-Reserves!BL14+Reserves!BL15</f>
        <v>34.6304257960615</v>
      </c>
      <c r="BM15" s="13" t="n">
        <f aca="false">BM14-Reserves!BM14+Reserves!BM15</f>
        <v>51.3571545528005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1.25673587967402</v>
      </c>
      <c r="Q17" s="3" t="n">
        <f aca="false">IF(Debt!Q114&gt;Inputs!$F$253,Q7/Debt!Q114,0)</f>
        <v>1.25156878013844</v>
      </c>
      <c r="R17" s="3" t="n">
        <f aca="false">IF(Debt!R114&gt;Inputs!$F$253,R7/Debt!R114,0)</f>
        <v>1.24070545095186</v>
      </c>
      <c r="S17" s="3" t="n">
        <f aca="false">IF(Debt!S114&gt;Inputs!$F$253,S7/Debt!S114,0)</f>
        <v>1.24172290372243</v>
      </c>
      <c r="T17" s="3" t="n">
        <f aca="false">IF(Debt!T114&gt;Inputs!$F$253,T7/Debt!T114,0)</f>
        <v>1.25237830713919</v>
      </c>
      <c r="U17" s="3" t="n">
        <f aca="false">IF(Debt!U114&gt;Inputs!$F$253,U7/Debt!U114,0)</f>
        <v>1.23784136028458</v>
      </c>
      <c r="V17" s="3" t="n">
        <f aca="false">IF(Debt!V114&gt;Inputs!$F$253,V7/Debt!V114,0)</f>
        <v>1.20035870381227</v>
      </c>
      <c r="W17" s="3" t="n">
        <f aca="false">IF(Debt!W114&gt;Inputs!$F$253,W7/Debt!W114,0)</f>
        <v>1.20579653711015</v>
      </c>
      <c r="X17" s="3" t="n">
        <f aca="false">IF(Debt!X114&gt;Inputs!$F$253,X7/Debt!X114,0)</f>
        <v>1.23981906505313</v>
      </c>
      <c r="Y17" s="3" t="n">
        <f aca="false">IF(Debt!Y114&gt;Inputs!$F$253,Y7/Debt!Y114,0)</f>
        <v>1.24475403359667</v>
      </c>
      <c r="Z17" s="3" t="n">
        <f aca="false">IF(Debt!Z114&gt;Inputs!$F$253,Z7/Debt!Z114,0)</f>
        <v>1.23307092512705</v>
      </c>
      <c r="AA17" s="3" t="n">
        <f aca="false">IF(Debt!AA114&gt;Inputs!$F$253,AA7/Debt!AA114,0)</f>
        <v>1.23406352083096</v>
      </c>
      <c r="AB17" s="3" t="n">
        <f aca="false">IF(Debt!AB114&gt;Inputs!$F$253,AB7/Debt!AB114,0)</f>
        <v>1.25981115817215</v>
      </c>
      <c r="AC17" s="3" t="n">
        <f aca="false">IF(Debt!AC114&gt;Inputs!$F$253,AC7/Debt!AC114,0)</f>
        <v>1.25247972156429</v>
      </c>
      <c r="AD17" s="3" t="n">
        <f aca="false">IF(Debt!AD114&gt;Inputs!$F$253,AD7/Debt!AD114,0)</f>
        <v>1.22613118330892</v>
      </c>
      <c r="AE17" s="3" t="n">
        <f aca="false">IF(Debt!AE114&gt;Inputs!$F$253,AE7/Debt!AE114,0)</f>
        <v>1.24240018824179</v>
      </c>
      <c r="AF17" s="3" t="n">
        <f aca="false">IF(Debt!AF114&gt;Inputs!$F$253,AF7/Debt!AF114,0)</f>
        <v>1.32421131265367</v>
      </c>
      <c r="AG17" s="3" t="n">
        <f aca="false">IF(Debt!AG114&gt;Inputs!$F$253,AG7/Debt!AG114,0)</f>
        <v>1.37287066368027</v>
      </c>
      <c r="AH17" s="3" t="n">
        <f aca="false">IF(Debt!AH114&gt;Inputs!$F$253,AH7/Debt!AH114,0)</f>
        <v>1.4040847795277</v>
      </c>
      <c r="AI17" s="3" t="n">
        <f aca="false">IF(Debt!AI114&gt;Inputs!$F$253,AI7/Debt!AI114,0)</f>
        <v>1.46359052972008</v>
      </c>
      <c r="AJ17" s="3" t="n">
        <f aca="false">IF(Debt!AJ114&gt;Inputs!$F$253,AJ7/Debt!AJ114,0)</f>
        <v>1.55593557683213</v>
      </c>
      <c r="AK17" s="3" t="n">
        <f aca="false">IF(Debt!AK114&gt;Inputs!$F$253,AK7/Debt!AK114,0)</f>
        <v>1.66138878209021</v>
      </c>
      <c r="AL17" s="3" t="n">
        <f aca="false">IF(Debt!AL114&gt;Inputs!$F$253,AL7/Debt!AL114,0)</f>
        <v>1.80540427305088</v>
      </c>
      <c r="AM17" s="3" t="n">
        <f aca="false">IF(Debt!AM114&gt;Inputs!$F$253,AM7/Debt!AM114,0)</f>
        <v>1.9885297550053</v>
      </c>
      <c r="AN17" s="3" t="n">
        <f aca="false">IF(Debt!AN114&gt;Inputs!$F$253,AN7/Debt!AN114,0)</f>
        <v>2.43323935524997</v>
      </c>
      <c r="AO17" s="3" t="n">
        <f aca="false">IF(Debt!AO114&gt;Inputs!$F$253,AO7/Debt!AO114,0)</f>
        <v>2.45480162721338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1.25673587967402</v>
      </c>
      <c r="Q18" s="3" t="n">
        <f aca="false">IF(Debt!Q114&gt;Inputs!$F$253,IF(Debt!P114&gt;Inputs!$F$253,(Q7+P7)/(Debt!Q114+Debt!P114),Q17),0)</f>
        <v>1.25415541611976</v>
      </c>
      <c r="R18" s="3" t="n">
        <f aca="false">IF(Debt!R114&gt;Inputs!$F$253,IF(Debt!Q114&gt;Inputs!$F$253,(R7+Q7)/(Debt!R114+Debt!Q114),R17),0)</f>
        <v>1.24610313986836</v>
      </c>
      <c r="S18" s="3" t="n">
        <f aca="false">IF(Debt!S114&gt;Inputs!$F$253,IF(Debt!R114&gt;Inputs!$F$253,(S7+R7)/(Debt!S114+Debt!R114),S17),0)</f>
        <v>1.24121219916795</v>
      </c>
      <c r="T18" s="3" t="n">
        <f aca="false">IF(Debt!T114&gt;Inputs!$F$253,IF(Debt!S114&gt;Inputs!$F$253,(T7+S7)/(Debt!T114+Debt!S114),T17),0)</f>
        <v>1.24708025833954</v>
      </c>
      <c r="U18" s="3" t="n">
        <f aca="false">IF(Debt!U114&gt;Inputs!$F$253,IF(Debt!T114&gt;Inputs!$F$253,(U7+T7)/(Debt!U114+Debt!T114),U17),0)</f>
        <v>1.24512725415902</v>
      </c>
      <c r="V18" s="3" t="n">
        <f aca="false">IF(Debt!V114&gt;Inputs!$F$253,IF(Debt!U114&gt;Inputs!$F$253,(V7+U7)/(Debt!V114+Debt!U114),V17),0)</f>
        <v>1.21892283667009</v>
      </c>
      <c r="W18" s="3" t="n">
        <f aca="false">IF(Debt!W114&gt;Inputs!$F$253,IF(Debt!V114&gt;Inputs!$F$253,(W7+V7)/(Debt!W114+Debt!V114),W17),0)</f>
        <v>1.20306818962826</v>
      </c>
      <c r="X18" s="3" t="n">
        <f aca="false">IF(Debt!X114&gt;Inputs!$F$253,IF(Debt!W114&gt;Inputs!$F$253,(X7+W7)/(Debt!X114+Debt!W114),X17),0)</f>
        <v>1.22255894591746</v>
      </c>
      <c r="Y18" s="3" t="n">
        <f aca="false">IF(Debt!Y114&gt;Inputs!$F$253,IF(Debt!X114&gt;Inputs!$F$253,(Y7+X7)/(Debt!Y114+Debt!X114),Y17),0)</f>
        <v>1.24227458398438</v>
      </c>
      <c r="Z18" s="3" t="n">
        <f aca="false">IF(Debt!Z114&gt;Inputs!$F$253,IF(Debt!Y114&gt;Inputs!$F$253,(Z7+Y7)/(Debt!Z114+Debt!Y114),Z17),0)</f>
        <v>1.2388885401356</v>
      </c>
      <c r="AA18" s="3" t="n">
        <f aca="false">IF(Debt!AA114&gt;Inputs!$F$253,IF(Debt!Z114&gt;Inputs!$F$253,(AA7+Z7)/(Debt!AA114+Debt!Z114),AA17),0)</f>
        <v>1.23356521553462</v>
      </c>
      <c r="AB18" s="3" t="n">
        <f aca="false">IF(Debt!AB114&gt;Inputs!$F$253,IF(Debt!AA114&gt;Inputs!$F$253,(AB7+AA7)/(Debt!AB114+Debt!AA114),AB17),0)</f>
        <v>1.24693829366573</v>
      </c>
      <c r="AC18" s="3" t="n">
        <f aca="false">IF(Debt!AC114&gt;Inputs!$F$253,IF(Debt!AB114&gt;Inputs!$F$253,(AC7+AB7)/(Debt!AC114+Debt!AB114),AC17),0)</f>
        <v>1.25618067077241</v>
      </c>
      <c r="AD18" s="3" t="n">
        <f aca="false">IF(Debt!AD114&gt;Inputs!$F$253,IF(Debt!AC114&gt;Inputs!$F$253,(AD7+AC7)/(Debt!AD114+Debt!AC114),AD17),0)</f>
        <v>1.23914300575757</v>
      </c>
      <c r="AE18" s="3" t="n">
        <f aca="false">IF(Debt!AE114&gt;Inputs!$F$253,IF(Debt!AD114&gt;Inputs!$F$253,(AE7+AD7)/(Debt!AE114+Debt!AD114),AE17),0)</f>
        <v>1.23421223470192</v>
      </c>
      <c r="AF18" s="3" t="n">
        <f aca="false">IF(Debt!AF114&gt;Inputs!$F$253,IF(Debt!AE114&gt;Inputs!$F$253,(AF7+AE7)/(Debt!AF114+Debt!AE114),AF17),0)</f>
        <v>1.28301448021741</v>
      </c>
      <c r="AG18" s="3" t="n">
        <f aca="false">IF(Debt!AG114&gt;Inputs!$F$253,IF(Debt!AF114&gt;Inputs!$F$253,(AG7+AF7)/(Debt!AG114+Debt!AF114),AG17),0)</f>
        <v>1.34812759110197</v>
      </c>
      <c r="AH18" s="3" t="n">
        <f aca="false">IF(Debt!AH114&gt;Inputs!$F$253,IF(Debt!AG114&gt;Inputs!$F$253,(AH7+AG7)/(Debt!AH114+Debt!AG114),AH17),0)</f>
        <v>1.38833145506119</v>
      </c>
      <c r="AI18" s="3" t="n">
        <f aca="false">IF(Debt!AI114&gt;Inputs!$F$253,IF(Debt!AH114&gt;Inputs!$F$253,(AI7+AH7)/(Debt!AI114+Debt!AH114),AI17),0)</f>
        <v>1.43311567536643</v>
      </c>
      <c r="AJ18" s="3" t="n">
        <f aca="false">IF(Debt!AJ114&gt;Inputs!$F$253,IF(Debt!AI114&gt;Inputs!$F$253,(AJ7+AI7)/(Debt!AJ114+Debt!AI114),AJ17),0)</f>
        <v>1.50882488664509</v>
      </c>
      <c r="AK18" s="3" t="n">
        <f aca="false">IF(Debt!AK114&gt;Inputs!$F$253,IF(Debt!AJ114&gt;Inputs!$F$253,(AK7+AJ7)/(Debt!AK114+Debt!AJ114),AK17),0)</f>
        <v>1.60648941109985</v>
      </c>
      <c r="AL18" s="3" t="n">
        <f aca="false">IF(Debt!AL114&gt;Inputs!$F$253,IF(Debt!AK114&gt;Inputs!$F$253,(AL7+AK7)/(Debt!AL114+Debt!AK114),AL17),0)</f>
        <v>1.73000693458421</v>
      </c>
      <c r="AM18" s="3" t="n">
        <f aca="false">IF(Debt!AM114&gt;Inputs!$F$253,IF(Debt!AL114&gt;Inputs!$F$253,(AM7+AL7)/(Debt!AM114+Debt!AL114),AM17),0)</f>
        <v>1.89243776100513</v>
      </c>
      <c r="AN18" s="3" t="n">
        <f aca="false">IF(Debt!AN114&gt;Inputs!$F$253,IF(Debt!AM114&gt;Inputs!$F$253,(AN7+AM7)/(Debt!AN114+Debt!AM114),AN17),0)</f>
        <v>2.18777872237858</v>
      </c>
      <c r="AO18" s="3" t="n">
        <f aca="false">IF(Debt!AO114&gt;Inputs!$F$253,IF(Debt!AN114&gt;Inputs!$F$253,(AO7+AN7)/(Debt!AO114+Debt!AN114),AO17),0)</f>
        <v>2.44395640473525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75.6942132385233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4.06512259651941</v>
      </c>
      <c r="AB29" s="13" t="n">
        <f aca="false">IF(AND(AB24=1,Time!AB52=1,Inputs!$F$52=1),MIN(Inputs!$F$111*AB15,Debt!AB73),0)</f>
        <v>5.03751690453018</v>
      </c>
      <c r="AC29" s="13" t="n">
        <f aca="false">IF(AND(AC24=1,Time!AC52=1,Inputs!$F$52=1),MIN(Inputs!$F$111*AC15,Debt!AC73),0)</f>
        <v>4.11113509192494</v>
      </c>
      <c r="AD29" s="13" t="n">
        <f aca="false">IF(AND(AD24=1,Time!AD52=1,Inputs!$F$52=1),MIN(Inputs!$F$111*AD15,Debt!AD73),0)</f>
        <v>4.36622833666002</v>
      </c>
      <c r="AE29" s="13" t="n">
        <f aca="false">IF(AND(AE24=1,Time!AE52=1,Inputs!$F$52=1),MIN(Inputs!$F$111*AE15,Debt!AE73),0)</f>
        <v>4.61566811897511</v>
      </c>
      <c r="AF29" s="13" t="n">
        <f aca="false">IF(AND(AF24=1,Time!AF52=1,Inputs!$F$52=1),MIN(Inputs!$F$111*AF15,Debt!AF73),0)</f>
        <v>6.24723231430377</v>
      </c>
      <c r="AG29" s="13" t="n">
        <f aca="false">IF(AND(AG24=1,Time!AG52=1,Inputs!$F$52=1),MIN(Inputs!$F$111*AG15,Debt!AG73),0)</f>
        <v>6.67931231229901</v>
      </c>
      <c r="AH29" s="13" t="n">
        <f aca="false">IF(AND(AH24=1,Time!AH52=1,Inputs!$F$52=1),MIN(Inputs!$F$111*AH15,Debt!AH73),0)</f>
        <v>7.52352246534315</v>
      </c>
      <c r="AI29" s="13" t="n">
        <f aca="false">IF(AND(AI24=1,Time!AI52=1,Inputs!$F$52=1),MIN(Inputs!$F$111*AI15,Debt!AI73),0)</f>
        <v>7.97975520699342</v>
      </c>
      <c r="AJ29" s="13" t="n">
        <f aca="false">IF(AND(AJ24=1,Time!AJ52=1,Inputs!$F$52=1),MIN(Inputs!$F$111*AJ15,Debt!AJ73),0)</f>
        <v>9.51426410030822</v>
      </c>
      <c r="AK29" s="13" t="n">
        <f aca="false">IF(AND(AK24=1,Time!AK52=1,Inputs!$F$52=1),MIN(Inputs!$F$111*AK15,Debt!AK73),0)</f>
        <v>10.2959667335086</v>
      </c>
      <c r="AL29" s="13" t="n">
        <f aca="false">IF(AND(AL24=1,Time!AL52=1,Inputs!$F$52=1),MIN(Inputs!$F$111*AL15,Debt!AL73),0)</f>
        <v>5.25848905715745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1.57748802210621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1232.00562525096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11.2287247333463</v>
      </c>
      <c r="Q31" s="13" t="n">
        <f aca="false">IF(Q24=1,Q15-Q29,0)</f>
        <v>8.87977667067288</v>
      </c>
      <c r="R31" s="13" t="n">
        <f aca="false">IF(R24=1,R15-R29,0)</f>
        <v>9.34796345661746</v>
      </c>
      <c r="S31" s="13" t="n">
        <f aca="false">IF(S24=1,S15-S29,0)</f>
        <v>8.6064114120869</v>
      </c>
      <c r="T31" s="13" t="n">
        <f aca="false">IF(T24=1,T15-T29,0)</f>
        <v>9.70811346309553</v>
      </c>
      <c r="U31" s="13" t="n">
        <f aca="false">IF(U24=1,U15-U29,0)</f>
        <v>8.21863719134242</v>
      </c>
      <c r="V31" s="13" t="n">
        <f aca="false">IF(V24=1,V15-V29,0)</f>
        <v>7.93601087927242</v>
      </c>
      <c r="W31" s="13" t="n">
        <f aca="false">IF(W24=1,W15-W29,0)</f>
        <v>8.92148088527618</v>
      </c>
      <c r="X31" s="13" t="n">
        <f aca="false">IF(X24=1,X15-X29,0)</f>
        <v>9.21215250024091</v>
      </c>
      <c r="Y31" s="13" t="n">
        <f aca="false">IF(Y24=1,Y15-Y29,0)</f>
        <v>8.64977989914497</v>
      </c>
      <c r="Z31" s="13" t="n">
        <f aca="false">IF(Z24=1,Z15-Z29,0)</f>
        <v>8.89071846405631</v>
      </c>
      <c r="AA31" s="13" t="n">
        <f aca="false">IF(AA24=1,AA15-AA29,0)</f>
        <v>4.06512259651941</v>
      </c>
      <c r="AB31" s="13" t="n">
        <f aca="false">IF(AB24=1,AB15-AB29,0)</f>
        <v>5.03751690453018</v>
      </c>
      <c r="AC31" s="13" t="n">
        <f aca="false">IF(AC24=1,AC15-AC29,0)</f>
        <v>4.11113509192494</v>
      </c>
      <c r="AD31" s="13" t="n">
        <f aca="false">IF(AD24=1,AD15-AD29,0)</f>
        <v>4.36622833666002</v>
      </c>
      <c r="AE31" s="13" t="n">
        <f aca="false">IF(AE24=1,AE15-AE29,0)</f>
        <v>4.61566811897511</v>
      </c>
      <c r="AF31" s="13" t="n">
        <f aca="false">IF(AF24=1,AF15-AF29,0)</f>
        <v>6.24723231430377</v>
      </c>
      <c r="AG31" s="13" t="n">
        <f aca="false">IF(AG24=1,AG15-AG29,0)</f>
        <v>6.67931231229901</v>
      </c>
      <c r="AH31" s="13" t="n">
        <f aca="false">IF(AH24=1,AH15-AH29,0)</f>
        <v>7.52352246534315</v>
      </c>
      <c r="AI31" s="13" t="n">
        <f aca="false">IF(AI24=1,AI15-AI29,0)</f>
        <v>7.97975520699342</v>
      </c>
      <c r="AJ31" s="13" t="n">
        <f aca="false">IF(AJ24=1,AJ15-AJ29,0)</f>
        <v>9.51426410030822</v>
      </c>
      <c r="AK31" s="13" t="n">
        <f aca="false">IF(AK24=1,AK15-AK29,0)</f>
        <v>10.2959667335086</v>
      </c>
      <c r="AL31" s="13" t="n">
        <f aca="false">IF(AL24=1,AL15-AL29,0)</f>
        <v>19.2133885591174</v>
      </c>
      <c r="AM31" s="13" t="n">
        <f aca="false">IF(AM24=1,AM15-AM29,0)</f>
        <v>29.979925169925</v>
      </c>
      <c r="AN31" s="13" t="n">
        <f aca="false">IF(AN24=1,AN15-AN29,0)</f>
        <v>27.6468695822489</v>
      </c>
      <c r="AO31" s="13" t="n">
        <f aca="false">IF(AO24=1,AO15-AO29,0)</f>
        <v>46.4102531027745</v>
      </c>
      <c r="AP31" s="13" t="n">
        <f aca="false">IF(AP24=1,AP15-AP29,0)</f>
        <v>46.595324970242</v>
      </c>
      <c r="AQ31" s="13" t="n">
        <f aca="false">IF(AQ24=1,AQ15-AQ29,0)</f>
        <v>46.2567675160163</v>
      </c>
      <c r="AR31" s="13" t="n">
        <f aca="false">IF(AR24=1,AR15-AR29,0)</f>
        <v>47.275728459814</v>
      </c>
      <c r="AS31" s="13" t="n">
        <f aca="false">IF(AS24=1,AS15-AS29,0)</f>
        <v>46.0668622164945</v>
      </c>
      <c r="AT31" s="13" t="n">
        <f aca="false">IF(AT24=1,AT15-AT29,0)</f>
        <v>46.4658360380569</v>
      </c>
      <c r="AU31" s="13" t="n">
        <f aca="false">IF(AU24=1,AU15-AU29,0)</f>
        <v>41.3454243642673</v>
      </c>
      <c r="AV31" s="13" t="n">
        <f aca="false">IF(AV24=1,AV15-AV29,0)</f>
        <v>40.1769738827589</v>
      </c>
      <c r="AW31" s="13" t="n">
        <f aca="false">IF(AW24=1,AW15-AW29,0)</f>
        <v>40.3469893652886</v>
      </c>
      <c r="AX31" s="13" t="n">
        <f aca="false">IF(AX24=1,AX15-AX29,0)</f>
        <v>40.6489984435668</v>
      </c>
      <c r="AY31" s="13" t="n">
        <f aca="false">IF(AY24=1,AY15-AY29,0)</f>
        <v>40.2058161742135</v>
      </c>
      <c r="AZ31" s="13" t="n">
        <f aca="false">IF(AZ24=1,AZ15-AZ29,0)</f>
        <v>41.0801443095497</v>
      </c>
      <c r="BA31" s="13" t="n">
        <f aca="false">IF(BA24=1,BA15-BA29,0)</f>
        <v>39.9646052998179</v>
      </c>
      <c r="BB31" s="13" t="n">
        <f aca="false">IF(BB24=1,BB15-BB29,0)</f>
        <v>40.0076466236246</v>
      </c>
      <c r="BC31" s="13" t="n">
        <f aca="false">IF(BC24=1,BC15-BC29,0)</f>
        <v>36.6070489913094</v>
      </c>
      <c r="BD31" s="13" t="n">
        <f aca="false">IF(BD24=1,BD15-BD29,0)</f>
        <v>31.5687484390356</v>
      </c>
      <c r="BE31" s="13" t="n">
        <f aca="false">IF(BE24=1,BE15-BE29,0)</f>
        <v>31.4625394931332</v>
      </c>
      <c r="BF31" s="13" t="n">
        <f aca="false">IF(BF24=1,BF15-BF29,0)</f>
        <v>31.7585404758243</v>
      </c>
      <c r="BG31" s="13" t="n">
        <f aca="false">IF(BG24=1,BG15-BG29,0)</f>
        <v>31.2881183916859</v>
      </c>
      <c r="BH31" s="13" t="n">
        <f aca="false">IF(BH24=1,BH15-BH29,0)</f>
        <v>32.179089433307</v>
      </c>
      <c r="BI31" s="13" t="n">
        <f aca="false">IF(BI24=1,BI15-BI29,0)</f>
        <v>31.2778069636727</v>
      </c>
      <c r="BJ31" s="13" t="n">
        <f aca="false">IF(BJ24=1,BJ15-BJ29,0)</f>
        <v>37.8190095807858</v>
      </c>
      <c r="BK31" s="13" t="n">
        <f aca="false">IF(BK24=1,BK15-BK29,0)</f>
        <v>32.3340953190533</v>
      </c>
      <c r="BL31" s="13" t="n">
        <f aca="false">IF(BL24=1,BL15-BL29,0)</f>
        <v>34.6304257960615</v>
      </c>
      <c r="BM31" s="13" t="n">
        <f aca="false">IF(BM24=1,BM15-BM29,0)</f>
        <v>51.3571545528005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203.443584547443</v>
      </c>
      <c r="R33" s="13" t="n">
        <f aca="false">IF(Time!R20&lt;Time!$F$12,0,IF(Time!R34=1,INDEX(Funding!$J$72:$BJ$72,1,Time!$F$14),Q36))</f>
        <v>204.147951537847</v>
      </c>
      <c r="S33" s="13" t="n">
        <f aca="false">IF(Time!S20&lt;Time!$F$12,0,IF(Time!S34=1,INDEX(Funding!$J$72:$BJ$72,1,Time!$F$14),R36))</f>
        <v>204.576717376796</v>
      </c>
      <c r="T33" s="13" t="n">
        <f aca="false">IF(Time!T20&lt;Time!$F$12,0,IF(Time!T34=1,INDEX(Funding!$J$72:$BJ$72,1,Time!$F$14),S36))</f>
        <v>205.607831047706</v>
      </c>
      <c r="U33" s="13" t="n">
        <f aca="false">IF(Time!U20&lt;Time!$F$12,0,IF(Time!U34=1,INDEX(Funding!$J$72:$BJ$72,1,Time!$F$14),T36))</f>
        <v>205.746361109854</v>
      </c>
      <c r="V33" s="13" t="n">
        <f aca="false">IF(Time!V20&lt;Time!$F$12,0,IF(Time!V34=1,INDEX(Funding!$J$72:$BJ$72,1,Time!$F$14),U36))</f>
        <v>207.273900859852</v>
      </c>
      <c r="W33" s="13" t="n">
        <f aca="false">IF(Time!W20&lt;Time!$F$12,0,IF(Time!W34=1,INDEX(Funding!$J$72:$BJ$72,1,Time!$F$14),V36))</f>
        <v>209.264322273814</v>
      </c>
      <c r="X33" s="13" t="n">
        <f aca="false">IF(Time!X20&lt;Time!$F$12,0,IF(Time!X34=1,INDEX(Funding!$J$72:$BJ$72,1,Time!$F$14),W36))</f>
        <v>210.20119761182</v>
      </c>
      <c r="Y33" s="13" t="n">
        <f aca="false">IF(Time!Y20&lt;Time!$F$12,0,IF(Time!Y34=1,INDEX(Funding!$J$72:$BJ$72,1,Time!$F$14),X36))</f>
        <v>211.055666849263</v>
      </c>
      <c r="Z33" s="13" t="n">
        <f aca="false">IF(Time!Z20&lt;Time!$F$12,0,IF(Time!Z34=1,INDEX(Funding!$J$72:$BJ$72,1,Time!$F$14),Y36))</f>
        <v>212.348632680181</v>
      </c>
      <c r="AA33" s="13" t="n">
        <f aca="false">IF(Time!AA20&lt;Time!$F$12,0,IF(Time!AA34=1,INDEX(Funding!$J$72:$BJ$72,1,Time!$F$14),Z36))</f>
        <v>213.62737750174</v>
      </c>
      <c r="AB33" s="13" t="n">
        <f aca="false">IF(Time!AB20&lt;Time!$F$12,0,IF(Time!AB34=1,INDEX(Funding!$J$72:$BJ$72,1,Time!$F$14),AA36))</f>
        <v>219.626152867255</v>
      </c>
      <c r="AC33" s="13" t="n">
        <f aca="false">IF(Time!AC20&lt;Time!$F$12,0,IF(Time!AC34=1,INDEX(Funding!$J$72:$BJ$72,1,Time!$F$14),AB36))</f>
        <v>225.106622680861</v>
      </c>
      <c r="AD33" s="13" t="n">
        <f aca="false">IF(Time!AD20&lt;Time!$F$12,0,IF(Time!AD34=1,INDEX(Funding!$J$72:$BJ$72,1,Time!$F$14),AC36))</f>
        <v>231.658757468804</v>
      </c>
      <c r="AE33" s="13" t="n">
        <f aca="false">IF(Time!AE20&lt;Time!$F$12,0,IF(Time!AE34=1,INDEX(Funding!$J$72:$BJ$72,1,Time!$F$14),AD36))</f>
        <v>238.386762229555</v>
      </c>
      <c r="AF33" s="13" t="n">
        <f aca="false">IF(Time!AF20&lt;Time!$F$12,0,IF(Time!AF34=1,INDEX(Funding!$J$72:$BJ$72,1,Time!$F$14),AE36))</f>
        <v>245.001396512051</v>
      </c>
      <c r="AG33" s="13" t="n">
        <f aca="false">IF(Time!AG20&lt;Time!$F$12,0,IF(Time!AG34=1,INDEX(Funding!$J$72:$BJ$72,1,Time!$F$14),AF36))</f>
        <v>250.487381762215</v>
      </c>
      <c r="AH33" s="13" t="n">
        <f aca="false">IF(Time!AH20&lt;Time!$F$12,0,IF(Time!AH34=1,INDEX(Funding!$J$72:$BJ$72,1,Time!$F$14),AG36))</f>
        <v>255.608427064714</v>
      </c>
      <c r="AI33" s="13" t="n">
        <f aca="false">IF(Time!AI20&lt;Time!$F$12,0,IF(Time!AI34=1,INDEX(Funding!$J$72:$BJ$72,1,Time!$F$14),AH36))</f>
        <v>260.326097216059</v>
      </c>
      <c r="AJ33" s="13" t="n">
        <f aca="false">IF(Time!AJ20&lt;Time!$F$12,0,IF(Time!AJ34=1,INDEX(Funding!$J$72:$BJ$72,1,Time!$F$14),AI36))</f>
        <v>264.610197465587</v>
      </c>
      <c r="AK33" s="13" t="n">
        <f aca="false">IF(Time!AK20&lt;Time!$F$12,0,IF(Time!AK34=1,INDEX(Funding!$J$72:$BJ$72,1,Time!$F$14),AJ36))</f>
        <v>267.768224465822</v>
      </c>
      <c r="AL33" s="13" t="n">
        <f aca="false">IF(Time!AL20&lt;Time!$F$12,0,IF(Time!AL34=1,INDEX(Funding!$J$72:$BJ$72,1,Time!$F$14),AK36))</f>
        <v>270.156401844681</v>
      </c>
      <c r="AM33" s="13" t="n">
        <f aca="false">IF(Time!AM20&lt;Time!$F$12,0,IF(Time!AM34=1,INDEX(Funding!$J$72:$BJ$72,1,Time!$F$14),AL36))</f>
        <v>263.880914393084</v>
      </c>
      <c r="AN33" s="13" t="n">
        <f aca="false">IF(Time!AN20&lt;Time!$F$12,0,IF(Time!AN34=1,INDEX(Funding!$J$72:$BJ$72,1,Time!$F$14),AM36))</f>
        <v>246.332310656006</v>
      </c>
      <c r="AO33" s="13" t="n">
        <f aca="false">IF(Time!AO20&lt;Time!$F$12,0,IF(Time!AO34=1,INDEX(Funding!$J$72:$BJ$72,1,Time!$F$14),AN36))</f>
        <v>230.482396663529</v>
      </c>
      <c r="AP33" s="13" t="n">
        <f aca="false">IF(Time!AP20&lt;Time!$F$12,0,IF(Time!AP34=1,INDEX(Funding!$J$72:$BJ$72,1,Time!$F$14),AO36))</f>
        <v>194.930074548781</v>
      </c>
      <c r="AQ33" s="13" t="n">
        <f aca="false">IF(Time!AQ20&lt;Time!$F$12,0,IF(Time!AQ34=1,INDEX(Funding!$J$72:$BJ$72,1,Time!$F$14),AP36))</f>
        <v>157.67003095693</v>
      </c>
      <c r="AR33" s="13" t="n">
        <f aca="false">IF(Time!AR20&lt;Time!$F$12,0,IF(Time!AR34=1,INDEX(Funding!$J$72:$BJ$72,1,Time!$F$14),AQ36))</f>
        <v>118.841033803391</v>
      </c>
      <c r="AS33" s="13" t="n">
        <f aca="false">IF(Time!AS20&lt;Time!$F$12,0,IF(Time!AS34=1,INDEX(Funding!$J$72:$BJ$72,1,Time!$F$14),AR36))</f>
        <v>77.2566512912025</v>
      </c>
      <c r="AT33" s="13" t="n">
        <f aca="false">IF(Time!AT20&lt;Time!$F$12,0,IF(Time!AT34=1,INDEX(Funding!$J$72:$BJ$72,1,Time!$F$14),AS36))</f>
        <v>34.8494260632693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244.424763347768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8.87977667067288</v>
      </c>
      <c r="R34" s="13" t="n">
        <f aca="false">R24*MIN(R31,Tax!R13)</f>
        <v>9.34796345661746</v>
      </c>
      <c r="S34" s="13" t="n">
        <f aca="false">S24*MIN(S31,Tax!S13)</f>
        <v>8.6064114120869</v>
      </c>
      <c r="T34" s="13" t="n">
        <f aca="false">T24*MIN(T31,Tax!T13)</f>
        <v>9.70811346309553</v>
      </c>
      <c r="U34" s="13" t="n">
        <f aca="false">U24*MIN(U31,Tax!U13)</f>
        <v>8.21863719134242</v>
      </c>
      <c r="V34" s="13" t="n">
        <f aca="false">V24*MIN(V31,Tax!V13)</f>
        <v>7.93601087927242</v>
      </c>
      <c r="W34" s="13" t="n">
        <f aca="false">W24*MIN(W31,Tax!W13)</f>
        <v>8.92148088527618</v>
      </c>
      <c r="X34" s="13" t="n">
        <f aca="false">X24*MIN(X31,Tax!X13)</f>
        <v>9.21215250024091</v>
      </c>
      <c r="Y34" s="13" t="n">
        <f aca="false">Y24*MIN(Y31,Tax!Y13)</f>
        <v>8.64977989914497</v>
      </c>
      <c r="Z34" s="13" t="n">
        <f aca="false">Z24*MIN(Z31,Tax!Z13)</f>
        <v>8.89071846405631</v>
      </c>
      <c r="AA34" s="13" t="n">
        <f aca="false">AA24*MIN(AA31,Tax!AA13)</f>
        <v>4.06512259651941</v>
      </c>
      <c r="AB34" s="13" t="n">
        <f aca="false">AB24*MIN(AB31,Tax!AB13)</f>
        <v>5.03751690453018</v>
      </c>
      <c r="AC34" s="13" t="n">
        <f aca="false">AC24*MIN(AC31,Tax!AC13)</f>
        <v>4.11113509192494</v>
      </c>
      <c r="AD34" s="13" t="n">
        <f aca="false">AD24*MIN(AD31,Tax!AD13)</f>
        <v>4.36622833666002</v>
      </c>
      <c r="AE34" s="13" t="n">
        <f aca="false">AE24*MIN(AE31,Tax!AE13)</f>
        <v>4.61566811897511</v>
      </c>
      <c r="AF34" s="13" t="n">
        <f aca="false">AF24*MIN(AF31,Tax!AF13)</f>
        <v>6.24723231430377</v>
      </c>
      <c r="AG34" s="13" t="n">
        <f aca="false">AG24*MIN(AG31,Tax!AG13)</f>
        <v>6.67931231229901</v>
      </c>
      <c r="AH34" s="13" t="n">
        <f aca="false">AH24*MIN(AH31,Tax!AH13)</f>
        <v>7.52352246534315</v>
      </c>
      <c r="AI34" s="13" t="n">
        <f aca="false">AI24*MIN(AI31,Tax!AI13)</f>
        <v>7.97975520699342</v>
      </c>
      <c r="AJ34" s="13" t="n">
        <f aca="false">AJ24*MIN(AJ31,Tax!AJ13)</f>
        <v>9.51426410030822</v>
      </c>
      <c r="AK34" s="13" t="n">
        <f aca="false">AK24*MIN(AK31,Tax!AK13)</f>
        <v>10.2959667335086</v>
      </c>
      <c r="AL34" s="13" t="n">
        <f aca="false">AL24*MIN(AL31,Tax!AL13)</f>
        <v>12.9379011075206</v>
      </c>
      <c r="AM34" s="13" t="n">
        <f aca="false">AM24*MIN(AM31,Tax!AM13)</f>
        <v>12.4313214328468</v>
      </c>
      <c r="AN34" s="13" t="n">
        <f aca="false">AN24*MIN(AN31,Tax!AN13)</f>
        <v>11.7969555897726</v>
      </c>
      <c r="AO34" s="13" t="n">
        <f aca="false">AO24*MIN(AO31,Tax!AO13)</f>
        <v>10.8579309880257</v>
      </c>
      <c r="AP34" s="13" t="n">
        <f aca="false">AP24*MIN(AP31,Tax!AP13)</f>
        <v>9.33528137839092</v>
      </c>
      <c r="AQ34" s="13" t="n">
        <f aca="false">AQ24*MIN(AQ31,Tax!AQ13)</f>
        <v>7.42777036247782</v>
      </c>
      <c r="AR34" s="13" t="n">
        <f aca="false">AR24*MIN(AR31,Tax!AR13)</f>
        <v>5.69134594762541</v>
      </c>
      <c r="AS34" s="13" t="n">
        <f aca="false">AS24*MIN(AS31,Tax!AS13)</f>
        <v>3.65963698856134</v>
      </c>
      <c r="AT34" s="13" t="n">
        <f aca="false">AT24*MIN(AT31,Tax!AT13)</f>
        <v>1.66895333585191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271.574229364504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1.41782751982355</v>
      </c>
      <c r="Q35" s="13" t="n">
        <f aca="false">Q24*MIN(Q31-Q34,Q33+Tax!Q13-Q34)</f>
        <v>0</v>
      </c>
      <c r="R35" s="13" t="n">
        <f aca="false">R24*MIN(R31-R34,R33+Tax!R13-R34)</f>
        <v>0</v>
      </c>
      <c r="S35" s="13" t="n">
        <f aca="false">S24*MIN(S31-S34,S33+Tax!S13-S34)</f>
        <v>0</v>
      </c>
      <c r="T35" s="13" t="n">
        <f aca="false">T24*MIN(T31-T34,T33+Tax!T13-T34)</f>
        <v>0</v>
      </c>
      <c r="U35" s="13" t="n">
        <f aca="false">U24*MIN(U31-U34,U33+Tax!U13-U34)</f>
        <v>0</v>
      </c>
      <c r="V35" s="13" t="n">
        <f aca="false">V24*MIN(V31-V34,V33+Tax!V13-V34)</f>
        <v>0</v>
      </c>
      <c r="W35" s="13" t="n">
        <f aca="false">W24*MIN(W31-W34,W33+Tax!W13-W34)</f>
        <v>0</v>
      </c>
      <c r="X35" s="13" t="n">
        <f aca="false">X24*MIN(X31-X34,X33+Tax!X13-X34)</f>
        <v>0</v>
      </c>
      <c r="Y35" s="13" t="n">
        <f aca="false">Y24*MIN(Y31-Y34,Y33+Tax!Y13-Y34)</f>
        <v>0</v>
      </c>
      <c r="Z35" s="13" t="n">
        <f aca="false">Z24*MIN(Z31-Z34,Z33+Tax!Z13-Z34)</f>
        <v>0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</v>
      </c>
      <c r="AG35" s="13" t="n">
        <f aca="false">AG24*MIN(AG31-AG34,AG33+Tax!AG13-AG34)</f>
        <v>0</v>
      </c>
      <c r="AH35" s="13" t="n">
        <f aca="false">AH24*MIN(AH31-AH34,AH33+Tax!AH13-AH34)</f>
        <v>0</v>
      </c>
      <c r="AI35" s="13" t="n">
        <f aca="false">AI24*MIN(AI31-AI34,AI33+Tax!AI13-AI34)</f>
        <v>0</v>
      </c>
      <c r="AJ35" s="13" t="n">
        <f aca="false">AJ24*MIN(AJ31-AJ34,AJ33+Tax!AJ13-AJ34)</f>
        <v>0</v>
      </c>
      <c r="AK35" s="13" t="n">
        <f aca="false">AK24*MIN(AK31-AK34,AK33+Tax!AK13-AK34)</f>
        <v>0</v>
      </c>
      <c r="AL35" s="13" t="n">
        <f aca="false">AL24*MIN(AL31-AL34,AL33+Tax!AL13-AL34)</f>
        <v>6.27548745159681</v>
      </c>
      <c r="AM35" s="13" t="n">
        <f aca="false">AM24*MIN(AM31-AM34,AM33+Tax!AM13-AM34)</f>
        <v>17.5486037370782</v>
      </c>
      <c r="AN35" s="13" t="n">
        <f aca="false">AN24*MIN(AN31-AN34,AN33+Tax!AN13-AN34)</f>
        <v>15.8499139924764</v>
      </c>
      <c r="AO35" s="13" t="n">
        <f aca="false">AO24*MIN(AO31-AO34,AO33+Tax!AO13-AO34)</f>
        <v>35.5523221147488</v>
      </c>
      <c r="AP35" s="13" t="n">
        <f aca="false">AP24*MIN(AP31-AP34,AP33+Tax!AP13-AP34)</f>
        <v>37.2600435918511</v>
      </c>
      <c r="AQ35" s="13" t="n">
        <f aca="false">AQ24*MIN(AQ31-AQ34,AQ33+Tax!AQ13-AQ34)</f>
        <v>38.8289971535385</v>
      </c>
      <c r="AR35" s="13" t="n">
        <f aca="false">AR24*MIN(AR31-AR34,AR33+Tax!AR13-AR34)</f>
        <v>41.5843825121886</v>
      </c>
      <c r="AS35" s="13" t="n">
        <f aca="false">AS24*MIN(AS31-AS34,AS33+Tax!AS13-AS34)</f>
        <v>42.4072252279331</v>
      </c>
      <c r="AT35" s="13" t="n">
        <f aca="false">AT24*MIN(AT31-AT34,AT33+Tax!AT13-AT34)</f>
        <v>34.8494260632693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203.443584547443</v>
      </c>
      <c r="Q36" s="13" t="n">
        <f aca="false">Q33+Tax!Q13-Q34-Q35</f>
        <v>204.147951537847</v>
      </c>
      <c r="R36" s="13" t="n">
        <f aca="false">R33+Tax!R13-R34-R35</f>
        <v>204.576717376796</v>
      </c>
      <c r="S36" s="13" t="n">
        <f aca="false">S33+Tax!S13-S34-S35</f>
        <v>205.607831047706</v>
      </c>
      <c r="T36" s="13" t="n">
        <f aca="false">T33+Tax!T13-T34-T35</f>
        <v>205.746361109854</v>
      </c>
      <c r="U36" s="13" t="n">
        <f aca="false">U33+Tax!U13-U34-U35</f>
        <v>207.273900859852</v>
      </c>
      <c r="V36" s="13" t="n">
        <f aca="false">V33+Tax!V13-V34-V35</f>
        <v>209.264322273814</v>
      </c>
      <c r="W36" s="13" t="n">
        <f aca="false">W33+Tax!W13-W34-W35</f>
        <v>210.20119761182</v>
      </c>
      <c r="X36" s="13" t="n">
        <f aca="false">X33+Tax!X13-X34-X35</f>
        <v>211.055666849263</v>
      </c>
      <c r="Y36" s="13" t="n">
        <f aca="false">Y33+Tax!Y13-Y34-Y35</f>
        <v>212.348632680181</v>
      </c>
      <c r="Z36" s="13" t="n">
        <f aca="false">Z33+Tax!Z13-Z34-Z35</f>
        <v>213.62737750174</v>
      </c>
      <c r="AA36" s="13" t="n">
        <f aca="false">AA33+Tax!AA13-AA34-AA35</f>
        <v>219.626152867255</v>
      </c>
      <c r="AB36" s="13" t="n">
        <f aca="false">AB33+Tax!AB13-AB34-AB35</f>
        <v>225.106622680861</v>
      </c>
      <c r="AC36" s="13" t="n">
        <f aca="false">AC33+Tax!AC13-AC34-AC35</f>
        <v>231.658757468804</v>
      </c>
      <c r="AD36" s="13" t="n">
        <f aca="false">AD33+Tax!AD13-AD34-AD35</f>
        <v>238.386762229555</v>
      </c>
      <c r="AE36" s="13" t="n">
        <f aca="false">AE33+Tax!AE13-AE34-AE35</f>
        <v>245.001396512051</v>
      </c>
      <c r="AF36" s="13" t="n">
        <f aca="false">AF33+Tax!AF13-AF34-AF35</f>
        <v>250.487381762215</v>
      </c>
      <c r="AG36" s="13" t="n">
        <f aca="false">AG33+Tax!AG13-AG34-AG35</f>
        <v>255.608427064714</v>
      </c>
      <c r="AH36" s="13" t="n">
        <f aca="false">AH33+Tax!AH13-AH34-AH35</f>
        <v>260.326097216059</v>
      </c>
      <c r="AI36" s="13" t="n">
        <f aca="false">AI33+Tax!AI13-AI34-AI35</f>
        <v>264.610197465587</v>
      </c>
      <c r="AJ36" s="13" t="n">
        <f aca="false">AJ33+Tax!AJ13-AJ34-AJ35</f>
        <v>267.768224465822</v>
      </c>
      <c r="AK36" s="13" t="n">
        <f aca="false">AK33+Tax!AK13-AK34-AK35</f>
        <v>270.156401844681</v>
      </c>
      <c r="AL36" s="13" t="n">
        <f aca="false">AL33+Tax!AL13-AL34-AL35</f>
        <v>263.880914393084</v>
      </c>
      <c r="AM36" s="13" t="n">
        <f aca="false">AM33+Tax!AM13-AM34-AM35</f>
        <v>246.332310656006</v>
      </c>
      <c r="AN36" s="13" t="n">
        <f aca="false">AN33+Tax!AN13-AN34-AN35</f>
        <v>230.482396663529</v>
      </c>
      <c r="AO36" s="13" t="n">
        <f aca="false">AO33+Tax!AO13-AO34-AO35</f>
        <v>194.930074548781</v>
      </c>
      <c r="AP36" s="13" t="n">
        <f aca="false">AP33+Tax!AP13-AP34-AP35</f>
        <v>157.67003095693</v>
      </c>
      <c r="AQ36" s="13" t="n">
        <f aca="false">AQ33+Tax!AQ13-AQ34-AQ35</f>
        <v>118.841033803391</v>
      </c>
      <c r="AR36" s="13" t="n">
        <f aca="false">AR33+Tax!AR13-AR34-AR35</f>
        <v>77.2566512912025</v>
      </c>
      <c r="AS36" s="13" t="n">
        <f aca="false">AS33+Tax!AS13-AS34-AS35</f>
        <v>34.8494260632693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8.62539562627987</v>
      </c>
      <c r="P37" s="13" t="n">
        <f aca="false">MAX(0,O43+Financials!P14)</f>
        <v>12.5354038245353</v>
      </c>
      <c r="Q37" s="13" t="n">
        <f aca="false">MAX(0,P43+Financials!Q14)</f>
        <v>17.3607912491092</v>
      </c>
      <c r="R37" s="13" t="n">
        <f aca="false">MAX(0,Q43+Financials!R14)</f>
        <v>21.9950850004215</v>
      </c>
      <c r="S37" s="13" t="n">
        <f aca="false">MAX(0,R43+Financials!S14)</f>
        <v>27.847089594091</v>
      </c>
      <c r="T37" s="13" t="n">
        <f aca="false">MAX(0,S43+Financials!T14)</f>
        <v>34.401454437309</v>
      </c>
      <c r="U37" s="13" t="n">
        <f aca="false">MAX(0,T43+Financials!U14)</f>
        <v>41.1192470601993</v>
      </c>
      <c r="V37" s="13" t="n">
        <f aca="false">MAX(0,U43+Financials!V14)</f>
        <v>44.209517558562</v>
      </c>
      <c r="W37" s="13" t="n">
        <f aca="false">MAX(0,V43+Financials!W14)</f>
        <v>51.5917676331234</v>
      </c>
      <c r="X37" s="13" t="n">
        <f aca="false">MAX(0,W43+Financials!X14)</f>
        <v>60.9494223081208</v>
      </c>
      <c r="Y37" s="13" t="n">
        <f aca="false">MAX(0,X43+Financials!Y14)</f>
        <v>68.3981222393794</v>
      </c>
      <c r="Z37" s="13" t="n">
        <f aca="false">MAX(0,Y43+Financials!Z14)</f>
        <v>71.3091283936444</v>
      </c>
      <c r="AA37" s="13" t="n">
        <f aca="false">MAX(0,Z43+Financials!AA14)</f>
        <v>75.1370413352433</v>
      </c>
      <c r="AB37" s="13" t="n">
        <f aca="false">MAX(0,AA43+Financials!AB14)</f>
        <v>79.586831584574</v>
      </c>
      <c r="AC37" s="13" t="n">
        <f aca="false">MAX(0,AB43+Financials!AC14)</f>
        <v>83.8953330124083</v>
      </c>
      <c r="AD37" s="13" t="n">
        <f aca="false">MAX(0,AC43+Financials!AD14)</f>
        <v>75.3829690209295</v>
      </c>
      <c r="AE37" s="13" t="n">
        <f aca="false">MAX(0,AD43+Financials!AE14)</f>
        <v>81.1069985011641</v>
      </c>
      <c r="AF37" s="13" t="n">
        <f aca="false">MAX(0,AE43+Financials!AF14)</f>
        <v>89.9595554281565</v>
      </c>
      <c r="AG37" s="13" t="n">
        <f aca="false">MAX(0,AF43+Financials!AG14)</f>
        <v>97.359661535411</v>
      </c>
      <c r="AH37" s="13" t="n">
        <f aca="false">MAX(0,AG43+Financials!AH14)</f>
        <v>105.01376685411</v>
      </c>
      <c r="AI37" s="13" t="n">
        <f aca="false">MAX(0,AH43+Financials!AI14)</f>
        <v>113.819959541516</v>
      </c>
      <c r="AJ37" s="13" t="n">
        <f aca="false">MAX(0,AI43+Financials!AJ14)</f>
        <v>123.599565579163</v>
      </c>
      <c r="AK37" s="13" t="n">
        <f aca="false">MAX(0,AJ43+Financials!AK14)</f>
        <v>133.812569079765</v>
      </c>
      <c r="AL37" s="13" t="n">
        <f aca="false">MAX(0,AK43+Financials!AL14)</f>
        <v>141.592767077813</v>
      </c>
      <c r="AM37" s="13" t="n">
        <f aca="false">MAX(0,AL43+Financials!AM14)</f>
        <v>153.117969074922</v>
      </c>
      <c r="AN37" s="13" t="n">
        <f aca="false">MAX(0,AM43+Financials!AN14)</f>
        <v>166.741576999814</v>
      </c>
      <c r="AO37" s="13" t="n">
        <f aca="false">MAX(0,AN43+Financials!AO14)</f>
        <v>181.265307423145</v>
      </c>
      <c r="AP37" s="13" t="n">
        <f aca="false">MAX(0,AO43+Financials!AP14)</f>
        <v>196.952881707</v>
      </c>
      <c r="AQ37" s="13" t="n">
        <f aca="false">MAX(0,AP43+Financials!AQ14)</f>
        <v>214.202284450497</v>
      </c>
      <c r="AR37" s="13" t="n">
        <f aca="false">MAX(0,AQ43+Financials!AR14)</f>
        <v>233.083670161763</v>
      </c>
      <c r="AS37" s="13" t="n">
        <f aca="false">MAX(0,AR43+Financials!AS14)</f>
        <v>252.499293575772</v>
      </c>
      <c r="AT37" s="13" t="n">
        <f aca="false">MAX(0,AS43+Financials!AT14)</f>
        <v>261.616523273169</v>
      </c>
      <c r="AU37" s="13" t="n">
        <f aca="false">MAX(0,AT43+Financials!AU14)</f>
        <v>273.193153389967</v>
      </c>
      <c r="AV37" s="13" t="n">
        <f aca="false">MAX(0,AU43+Financials!AV14)</f>
        <v>255.396563852134</v>
      </c>
      <c r="AW37" s="13" t="n">
        <f aca="false">MAX(0,AV43+Financials!AW14)</f>
        <v>238.663797743082</v>
      </c>
      <c r="AX37" s="13" t="n">
        <f aca="false">MAX(0,AW43+Financials!AX14)</f>
        <v>221.504855326849</v>
      </c>
      <c r="AY37" s="13" t="n">
        <f aca="false">MAX(0,AX43+Financials!AY14)</f>
        <v>204.284619242923</v>
      </c>
      <c r="AZ37" s="13" t="n">
        <f aca="false">MAX(0,AY43+Financials!AZ14)</f>
        <v>187.948950427164</v>
      </c>
      <c r="BA37" s="13" t="n">
        <f aca="false">MAX(0,AZ43+Financials!BA14)</f>
        <v>170.184271216043</v>
      </c>
      <c r="BB37" s="13" t="n">
        <f aca="false">MAX(0,BA43+Financials!BB14)</f>
        <v>149.894573576675</v>
      </c>
      <c r="BC37" s="13" t="n">
        <f aca="false">MAX(0,BB43+Financials!BC14)</f>
        <v>132.731991377661</v>
      </c>
      <c r="BD37" s="13" t="n">
        <f aca="false">MAX(0,BC43+Financials!BD14)</f>
        <v>120.329404645697</v>
      </c>
      <c r="BE37" s="13" t="n">
        <f aca="false">MAX(0,BD43+Financials!BE14)</f>
        <v>112.858690221886</v>
      </c>
      <c r="BF37" s="13" t="n">
        <f aca="false">MAX(0,BE43+Financials!BF14)</f>
        <v>105.232184749853</v>
      </c>
      <c r="BG37" s="13" t="n">
        <f aca="false">MAX(0,BF43+Financials!BG14)</f>
        <v>97.5623234428422</v>
      </c>
      <c r="BH37" s="13" t="n">
        <f aca="false">MAX(0,BG43+Financials!BH14)</f>
        <v>90.826519377614</v>
      </c>
      <c r="BI37" s="13" t="n">
        <f aca="false">MAX(0,BH43+Financials!BI14)</f>
        <v>82.2387966408648</v>
      </c>
      <c r="BJ37" s="13" t="n">
        <f aca="false">MAX(0,BI43+Financials!BJ14)</f>
        <v>60.8307152817031</v>
      </c>
      <c r="BK37" s="13" t="n">
        <f aca="false">MAX(0,BJ43+Financials!BK14)</f>
        <v>45.7260667311135</v>
      </c>
      <c r="BL37" s="13" t="n">
        <f aca="false">MAX(0,BK43+Financials!BL14)</f>
        <v>38.3062320994833</v>
      </c>
      <c r="BM37" s="13" t="n">
        <f aca="false">MAX(0,BL43+Financials!BM14)</f>
        <v>6.99040103598893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0</v>
      </c>
      <c r="AQ38" s="13" t="n">
        <f aca="false">AQ24*MIN(AQ31-AQ34-AQ35,AQ37)</f>
        <v>0</v>
      </c>
      <c r="AR38" s="13" t="n">
        <f aca="false">AR24*MIN(AR31-AR34-AR35,AR37)</f>
        <v>0</v>
      </c>
      <c r="AS38" s="13" t="n">
        <f aca="false">AS24*MIN(AS31-AS34-AS35,AS37)</f>
        <v>0</v>
      </c>
      <c r="AT38" s="13" t="n">
        <f aca="false">AT24*MIN(AT31-AT34-AT35,AT37)</f>
        <v>9.94745663893566</v>
      </c>
      <c r="AU38" s="13" t="n">
        <f aca="false">AU24*MIN(AU31-AU34-AU35,AU37)</f>
        <v>41.3454243642673</v>
      </c>
      <c r="AV38" s="13" t="n">
        <f aca="false">AV24*MIN(AV31-AV34-AV35,AV37)</f>
        <v>40.1769738827589</v>
      </c>
      <c r="AW38" s="13" t="n">
        <f aca="false">AW24*MIN(AW31-AW34-AW35,AW37)</f>
        <v>40.3469893652886</v>
      </c>
      <c r="AX38" s="13" t="n">
        <f aca="false">AX24*MIN(AX31-AX34-AX35,AX37)</f>
        <v>40.6489984435668</v>
      </c>
      <c r="AY38" s="13" t="n">
        <f aca="false">AY24*MIN(AY31-AY34-AY35,AY37)</f>
        <v>40.2058161742135</v>
      </c>
      <c r="AZ38" s="13" t="n">
        <f aca="false">AZ24*MIN(AZ31-AZ34-AZ35,AZ37)</f>
        <v>41.0801443095497</v>
      </c>
      <c r="BA38" s="13" t="n">
        <f aca="false">BA24*MIN(BA31-BA34-BA35,BA37)</f>
        <v>39.9646052998179</v>
      </c>
      <c r="BB38" s="13" t="n">
        <f aca="false">BB24*MIN(BB31-BB34-BB35,BB37)</f>
        <v>40.0076466236246</v>
      </c>
      <c r="BC38" s="13" t="n">
        <f aca="false">BC24*MIN(BC31-BC34-BC35,BC37)</f>
        <v>36.6070489913094</v>
      </c>
      <c r="BD38" s="13" t="n">
        <f aca="false">BD24*MIN(BD31-BD34-BD35,BD37)</f>
        <v>31.5687484390356</v>
      </c>
      <c r="BE38" s="13" t="n">
        <f aca="false">BE24*MIN(BE31-BE34-BE35,BE37)</f>
        <v>31.4625394931332</v>
      </c>
      <c r="BF38" s="13" t="n">
        <f aca="false">BF24*MIN(BF31-BF34-BF35,BF37)</f>
        <v>31.7585404758243</v>
      </c>
      <c r="BG38" s="13" t="n">
        <f aca="false">BG24*MIN(BG31-BG34-BG35,BG37)</f>
        <v>31.2881183916859</v>
      </c>
      <c r="BH38" s="13" t="n">
        <f aca="false">BH24*MIN(BH31-BH34-BH35,BH37)</f>
        <v>32.179089433307</v>
      </c>
      <c r="BI38" s="13" t="n">
        <f aca="false">BI24*MIN(BI31-BI34-BI35,BI37)</f>
        <v>31.2778069636727</v>
      </c>
      <c r="BJ38" s="13" t="n">
        <f aca="false">BJ24*MIN(BJ31-BJ34-BJ35,BJ37)</f>
        <v>37.8190095807858</v>
      </c>
      <c r="BK38" s="13" t="n">
        <f aca="false">BK24*MIN(BK31-BK34-BK35,BK37)</f>
        <v>32.3340953190533</v>
      </c>
      <c r="BL38" s="13" t="n">
        <f aca="false">BL24*MIN(BL31-BL34-BL35,BL37)</f>
        <v>34.6304257960615</v>
      </c>
      <c r="BM38" s="13" t="n">
        <f aca="false">BM24*MIN(BM31-BM34-BM35,BM37)</f>
        <v>6.99040103598893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44.3667535168116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716.006632538692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0</v>
      </c>
      <c r="AQ41" s="13" t="n">
        <f aca="false">AQ38+AQ40</f>
        <v>0</v>
      </c>
      <c r="AR41" s="13" t="n">
        <f aca="false">AR38+AR40</f>
        <v>0</v>
      </c>
      <c r="AS41" s="13" t="n">
        <f aca="false">AS38+AS40</f>
        <v>0</v>
      </c>
      <c r="AT41" s="13" t="n">
        <f aca="false">AT38+AT40</f>
        <v>9.94745663893566</v>
      </c>
      <c r="AU41" s="13" t="n">
        <f aca="false">AU38+AU40</f>
        <v>41.3454243642673</v>
      </c>
      <c r="AV41" s="13" t="n">
        <f aca="false">AV38+AV40</f>
        <v>40.1769738827589</v>
      </c>
      <c r="AW41" s="13" t="n">
        <f aca="false">AW38+AW40</f>
        <v>40.3469893652886</v>
      </c>
      <c r="AX41" s="13" t="n">
        <f aca="false">AX38+AX40</f>
        <v>40.6489984435668</v>
      </c>
      <c r="AY41" s="13" t="n">
        <f aca="false">AY38+AY40</f>
        <v>40.2058161742135</v>
      </c>
      <c r="AZ41" s="13" t="n">
        <f aca="false">AZ38+AZ40</f>
        <v>41.0801443095497</v>
      </c>
      <c r="BA41" s="13" t="n">
        <f aca="false">BA38+BA40</f>
        <v>39.9646052998179</v>
      </c>
      <c r="BB41" s="13" t="n">
        <f aca="false">BB38+BB40</f>
        <v>40.0076466236246</v>
      </c>
      <c r="BC41" s="13" t="n">
        <f aca="false">BC38+BC40</f>
        <v>36.6070489913094</v>
      </c>
      <c r="BD41" s="13" t="n">
        <f aca="false">BD38+BD40</f>
        <v>31.5687484390356</v>
      </c>
      <c r="BE41" s="13" t="n">
        <f aca="false">BE38+BE40</f>
        <v>31.4625394931332</v>
      </c>
      <c r="BF41" s="13" t="n">
        <f aca="false">BF38+BF40</f>
        <v>31.7585404758243</v>
      </c>
      <c r="BG41" s="13" t="n">
        <f aca="false">BG38+BG40</f>
        <v>31.2881183916859</v>
      </c>
      <c r="BH41" s="13" t="n">
        <f aca="false">BH38+BH40</f>
        <v>32.179089433307</v>
      </c>
      <c r="BI41" s="13" t="n">
        <f aca="false">BI38+BI40</f>
        <v>31.2778069636727</v>
      </c>
      <c r="BJ41" s="13" t="n">
        <f aca="false">BJ38+BJ40</f>
        <v>37.8190095807858</v>
      </c>
      <c r="BK41" s="13" t="n">
        <f aca="false">BK38+BK40</f>
        <v>32.3340953190533</v>
      </c>
      <c r="BL41" s="13" t="n">
        <f aca="false">BL38+BL40</f>
        <v>34.6304257960615</v>
      </c>
      <c r="BM41" s="13" t="n">
        <f aca="false">BM38+BM40</f>
        <v>51.3571545528005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8.62539562627987</v>
      </c>
      <c r="P43" s="13" t="n">
        <f aca="false">IF(Time!P20&lt;Time!$F$12,0,O43+Financials!P14-P41)</f>
        <v>12.5354038245353</v>
      </c>
      <c r="Q43" s="13" t="n">
        <f aca="false">IF(Time!Q20&lt;Time!$F$12,0,P43+Financials!Q14-Q41)</f>
        <v>17.3607912491092</v>
      </c>
      <c r="R43" s="13" t="n">
        <f aca="false">IF(Time!R20&lt;Time!$F$12,0,Q43+Financials!R14-R41)</f>
        <v>21.9950850004215</v>
      </c>
      <c r="S43" s="13" t="n">
        <f aca="false">IF(Time!S20&lt;Time!$F$12,0,R43+Financials!S14-S41)</f>
        <v>27.847089594091</v>
      </c>
      <c r="T43" s="13" t="n">
        <f aca="false">IF(Time!T20&lt;Time!$F$12,0,S43+Financials!T14-T41)</f>
        <v>34.401454437309</v>
      </c>
      <c r="U43" s="13" t="n">
        <f aca="false">IF(Time!U20&lt;Time!$F$12,0,T43+Financials!U14-U41)</f>
        <v>41.1192470601993</v>
      </c>
      <c r="V43" s="13" t="n">
        <f aca="false">IF(Time!V20&lt;Time!$F$12,0,U43+Financials!V14-V41)</f>
        <v>44.209517558562</v>
      </c>
      <c r="W43" s="13" t="n">
        <f aca="false">IF(Time!W20&lt;Time!$F$12,0,V43+Financials!W14-W41)</f>
        <v>51.5917676331234</v>
      </c>
      <c r="X43" s="13" t="n">
        <f aca="false">IF(Time!X20&lt;Time!$F$12,0,W43+Financials!X14-X41)</f>
        <v>60.9494223081208</v>
      </c>
      <c r="Y43" s="13" t="n">
        <f aca="false">IF(Time!Y20&lt;Time!$F$12,0,X43+Financials!Y14-Y41)</f>
        <v>68.3981222393794</v>
      </c>
      <c r="Z43" s="13" t="n">
        <f aca="false">IF(Time!Z20&lt;Time!$F$12,0,Y43+Financials!Z14-Z41)</f>
        <v>71.3091283936444</v>
      </c>
      <c r="AA43" s="13" t="n">
        <f aca="false">IF(Time!AA20&lt;Time!$F$12,0,Z43+Financials!AA14-AA41)</f>
        <v>75.1370413352433</v>
      </c>
      <c r="AB43" s="13" t="n">
        <f aca="false">IF(Time!AB20&lt;Time!$F$12,0,AA43+Financials!AB14-AB41)</f>
        <v>79.586831584574</v>
      </c>
      <c r="AC43" s="13" t="n">
        <f aca="false">IF(Time!AC20&lt;Time!$F$12,0,AB43+Financials!AC14-AC41)</f>
        <v>83.8953330124083</v>
      </c>
      <c r="AD43" s="13" t="n">
        <f aca="false">IF(Time!AD20&lt;Time!$F$12,0,AC43+Financials!AD14-AD41)</f>
        <v>75.3829690209295</v>
      </c>
      <c r="AE43" s="13" t="n">
        <f aca="false">IF(Time!AE20&lt;Time!$F$12,0,AD43+Financials!AE14-AE41)</f>
        <v>81.1069985011641</v>
      </c>
      <c r="AF43" s="13" t="n">
        <f aca="false">IF(Time!AF20&lt;Time!$F$12,0,AE43+Financials!AF14-AF41)</f>
        <v>89.9595554281565</v>
      </c>
      <c r="AG43" s="13" t="n">
        <f aca="false">IF(Time!AG20&lt;Time!$F$12,0,AF43+Financials!AG14-AG41)</f>
        <v>97.359661535411</v>
      </c>
      <c r="AH43" s="13" t="n">
        <f aca="false">IF(Time!AH20&lt;Time!$F$12,0,AG43+Financials!AH14-AH41)</f>
        <v>105.01376685411</v>
      </c>
      <c r="AI43" s="13" t="n">
        <f aca="false">IF(Time!AI20&lt;Time!$F$12,0,AH43+Financials!AI14-AI41)</f>
        <v>113.819959541516</v>
      </c>
      <c r="AJ43" s="13" t="n">
        <f aca="false">IF(Time!AJ20&lt;Time!$F$12,0,AI43+Financials!AJ14-AJ41)</f>
        <v>123.599565579163</v>
      </c>
      <c r="AK43" s="13" t="n">
        <f aca="false">IF(Time!AK20&lt;Time!$F$12,0,AJ43+Financials!AK14-AK41)</f>
        <v>133.812569079765</v>
      </c>
      <c r="AL43" s="13" t="n">
        <f aca="false">IF(Time!AL20&lt;Time!$F$12,0,AK43+Financials!AL14-AL41)</f>
        <v>141.592767077813</v>
      </c>
      <c r="AM43" s="13" t="n">
        <f aca="false">IF(Time!AM20&lt;Time!$F$12,0,AL43+Financials!AM14-AM41)</f>
        <v>153.117969074922</v>
      </c>
      <c r="AN43" s="13" t="n">
        <f aca="false">IF(Time!AN20&lt;Time!$F$12,0,AM43+Financials!AN14-AN41)</f>
        <v>166.741576999814</v>
      </c>
      <c r="AO43" s="13" t="n">
        <f aca="false">IF(Time!AO20&lt;Time!$F$12,0,AN43+Financials!AO14-AO41)</f>
        <v>181.265307423145</v>
      </c>
      <c r="AP43" s="13" t="n">
        <f aca="false">IF(Time!AP20&lt;Time!$F$12,0,AO43+Financials!AP14-AP41)</f>
        <v>196.952881707</v>
      </c>
      <c r="AQ43" s="13" t="n">
        <f aca="false">IF(Time!AQ20&lt;Time!$F$12,0,AP43+Financials!AQ14-AQ41)</f>
        <v>214.202284450497</v>
      </c>
      <c r="AR43" s="13" t="n">
        <f aca="false">IF(Time!AR20&lt;Time!$F$12,0,AQ43+Financials!AR14-AR41)</f>
        <v>233.083670161763</v>
      </c>
      <c r="AS43" s="13" t="n">
        <f aca="false">IF(Time!AS20&lt;Time!$F$12,0,AR43+Financials!AS14-AS41)</f>
        <v>252.499293575772</v>
      </c>
      <c r="AT43" s="13" t="n">
        <f aca="false">IF(Time!AT20&lt;Time!$F$12,0,AS43+Financials!AT14-AT41)</f>
        <v>251.669066634234</v>
      </c>
      <c r="AU43" s="13" t="n">
        <f aca="false">IF(Time!AU20&lt;Time!$F$12,0,AT43+Financials!AU14-AU41)</f>
        <v>231.8477290257</v>
      </c>
      <c r="AV43" s="13" t="n">
        <f aca="false">IF(Time!AV20&lt;Time!$F$12,0,AU43+Financials!AV14-AV41)</f>
        <v>215.219589969375</v>
      </c>
      <c r="AW43" s="13" t="n">
        <f aca="false">IF(Time!AW20&lt;Time!$F$12,0,AV43+Financials!AW14-AW41)</f>
        <v>198.316808377793</v>
      </c>
      <c r="AX43" s="13" t="n">
        <f aca="false">IF(Time!AX20&lt;Time!$F$12,0,AW43+Financials!AX14-AX41)</f>
        <v>180.855856883282</v>
      </c>
      <c r="AY43" s="13" t="n">
        <f aca="false">IF(Time!AY20&lt;Time!$F$12,0,AX43+Financials!AY14-AY41)</f>
        <v>164.078803068709</v>
      </c>
      <c r="AZ43" s="13" t="n">
        <f aca="false">IF(Time!AZ20&lt;Time!$F$12,0,AY43+Financials!AZ14-AZ41)</f>
        <v>146.868806117614</v>
      </c>
      <c r="BA43" s="13" t="n">
        <f aca="false">IF(Time!BA20&lt;Time!$F$12,0,AZ43+Financials!BA14-BA41)</f>
        <v>130.219665916226</v>
      </c>
      <c r="BB43" s="13" t="n">
        <f aca="false">IF(Time!BB20&lt;Time!$F$12,0,BA43+Financials!BB14-BB41)</f>
        <v>109.88692695305</v>
      </c>
      <c r="BC43" s="13" t="n">
        <f aca="false">IF(Time!BC20&lt;Time!$F$12,0,BB43+Financials!BC14-BC41)</f>
        <v>96.1249423863518</v>
      </c>
      <c r="BD43" s="13" t="n">
        <f aca="false">IF(Time!BD20&lt;Time!$F$12,0,BC43+Financials!BD14-BD41)</f>
        <v>88.7606562066614</v>
      </c>
      <c r="BE43" s="13" t="n">
        <f aca="false">IF(Time!BE20&lt;Time!$F$12,0,BD43+Financials!BE14-BE41)</f>
        <v>81.3961507287532</v>
      </c>
      <c r="BF43" s="13" t="n">
        <f aca="false">IF(Time!BF20&lt;Time!$F$12,0,BE43+Financials!BF14-BF41)</f>
        <v>73.4736442740285</v>
      </c>
      <c r="BG43" s="13" t="n">
        <f aca="false">IF(Time!BG20&lt;Time!$F$12,0,BF43+Financials!BG14-BG41)</f>
        <v>66.2742050511563</v>
      </c>
      <c r="BH43" s="13" t="n">
        <f aca="false">IF(Time!BH20&lt;Time!$F$12,0,BG43+Financials!BH14-BH41)</f>
        <v>58.647429944307</v>
      </c>
      <c r="BI43" s="13" t="n">
        <f aca="false">IF(Time!BI20&lt;Time!$F$12,0,BH43+Financials!BI14-BI41)</f>
        <v>50.9609896771921</v>
      </c>
      <c r="BJ43" s="13" t="n">
        <f aca="false">IF(Time!BJ20&lt;Time!$F$12,0,BI43+Financials!BJ14-BJ41)</f>
        <v>23.0117057009173</v>
      </c>
      <c r="BK43" s="13" t="n">
        <f aca="false">IF(Time!BK20&lt;Time!$F$12,0,BJ43+Financials!BK14-BK41)</f>
        <v>13.3919714120602</v>
      </c>
      <c r="BL43" s="13" t="n">
        <f aca="false">IF(Time!BL20&lt;Time!$F$12,0,BK43+Financials!BL14-BL41)</f>
        <v>3.67580630342181</v>
      </c>
      <c r="BM43" s="13" t="n">
        <f aca="false">IF(Time!BM20&lt;Time!$F$12,0,BL43+Financials!BM14-BM41)</f>
        <v>-44.3667535168116</v>
      </c>
      <c r="BN43" s="13" t="n">
        <f aca="false">IF(Time!BN20&lt;Time!$F$12,0,BM43+Financials!BN14-BN41)</f>
        <v>-44.3667535168116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1232.00562525096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11.2287247333463</v>
      </c>
      <c r="Q44" s="13" t="n">
        <f aca="false">Q34+Q35+Q41</f>
        <v>8.87977667067288</v>
      </c>
      <c r="R44" s="13" t="n">
        <f aca="false">R34+R35+R41</f>
        <v>9.34796345661746</v>
      </c>
      <c r="S44" s="13" t="n">
        <f aca="false">S34+S35+S41</f>
        <v>8.6064114120869</v>
      </c>
      <c r="T44" s="13" t="n">
        <f aca="false">T34+T35+T41</f>
        <v>9.70811346309553</v>
      </c>
      <c r="U44" s="13" t="n">
        <f aca="false">U34+U35+U41</f>
        <v>8.21863719134242</v>
      </c>
      <c r="V44" s="13" t="n">
        <f aca="false">V34+V35+V41</f>
        <v>7.93601087927242</v>
      </c>
      <c r="W44" s="13" t="n">
        <f aca="false">W34+W35+W41</f>
        <v>8.92148088527618</v>
      </c>
      <c r="X44" s="13" t="n">
        <f aca="false">X34+X35+X41</f>
        <v>9.21215250024091</v>
      </c>
      <c r="Y44" s="13" t="n">
        <f aca="false">Y34+Y35+Y41</f>
        <v>8.64977989914497</v>
      </c>
      <c r="Z44" s="13" t="n">
        <f aca="false">Z34+Z35+Z41</f>
        <v>8.89071846405631</v>
      </c>
      <c r="AA44" s="13" t="n">
        <f aca="false">AA34+AA35+AA41</f>
        <v>4.06512259651941</v>
      </c>
      <c r="AB44" s="13" t="n">
        <f aca="false">AB34+AB35+AB41</f>
        <v>5.03751690453018</v>
      </c>
      <c r="AC44" s="13" t="n">
        <f aca="false">AC34+AC35+AC41</f>
        <v>4.11113509192494</v>
      </c>
      <c r="AD44" s="13" t="n">
        <f aca="false">AD34+AD35+AD41</f>
        <v>4.36622833666002</v>
      </c>
      <c r="AE44" s="13" t="n">
        <f aca="false">AE34+AE35+AE41</f>
        <v>4.61566811897511</v>
      </c>
      <c r="AF44" s="13" t="n">
        <f aca="false">AF34+AF35+AF41</f>
        <v>6.24723231430377</v>
      </c>
      <c r="AG44" s="13" t="n">
        <f aca="false">AG34+AG35+AG41</f>
        <v>6.67931231229901</v>
      </c>
      <c r="AH44" s="13" t="n">
        <f aca="false">AH34+AH35+AH41</f>
        <v>7.52352246534315</v>
      </c>
      <c r="AI44" s="13" t="n">
        <f aca="false">AI34+AI35+AI41</f>
        <v>7.97975520699342</v>
      </c>
      <c r="AJ44" s="13" t="n">
        <f aca="false">AJ34+AJ35+AJ41</f>
        <v>9.51426410030822</v>
      </c>
      <c r="AK44" s="13" t="n">
        <f aca="false">AK34+AK35+AK41</f>
        <v>10.2959667335086</v>
      </c>
      <c r="AL44" s="13" t="n">
        <f aca="false">AL34+AL35+AL41</f>
        <v>19.2133885591174</v>
      </c>
      <c r="AM44" s="13" t="n">
        <f aca="false">AM34+AM35+AM41</f>
        <v>29.979925169925</v>
      </c>
      <c r="AN44" s="13" t="n">
        <f aca="false">AN34+AN35+AN41</f>
        <v>27.6468695822489</v>
      </c>
      <c r="AO44" s="13" t="n">
        <f aca="false">AO34+AO35+AO41</f>
        <v>46.4102531027745</v>
      </c>
      <c r="AP44" s="13" t="n">
        <f aca="false">AP34+AP35+AP41</f>
        <v>46.595324970242</v>
      </c>
      <c r="AQ44" s="13" t="n">
        <f aca="false">AQ34+AQ35+AQ41</f>
        <v>46.2567675160163</v>
      </c>
      <c r="AR44" s="13" t="n">
        <f aca="false">AR34+AR35+AR41</f>
        <v>47.275728459814</v>
      </c>
      <c r="AS44" s="13" t="n">
        <f aca="false">AS34+AS35+AS41</f>
        <v>46.0668622164945</v>
      </c>
      <c r="AT44" s="13" t="n">
        <f aca="false">AT34+AT35+AT41</f>
        <v>46.4658360380569</v>
      </c>
      <c r="AU44" s="13" t="n">
        <f aca="false">AU34+AU35+AU41</f>
        <v>41.3454243642673</v>
      </c>
      <c r="AV44" s="13" t="n">
        <f aca="false">AV34+AV35+AV41</f>
        <v>40.1769738827589</v>
      </c>
      <c r="AW44" s="13" t="n">
        <f aca="false">AW34+AW35+AW41</f>
        <v>40.3469893652886</v>
      </c>
      <c r="AX44" s="13" t="n">
        <f aca="false">AX34+AX35+AX41</f>
        <v>40.6489984435668</v>
      </c>
      <c r="AY44" s="13" t="n">
        <f aca="false">AY34+AY35+AY41</f>
        <v>40.2058161742135</v>
      </c>
      <c r="AZ44" s="13" t="n">
        <f aca="false">AZ34+AZ35+AZ41</f>
        <v>41.0801443095497</v>
      </c>
      <c r="BA44" s="13" t="n">
        <f aca="false">BA34+BA35+BA41</f>
        <v>39.9646052998179</v>
      </c>
      <c r="BB44" s="13" t="n">
        <f aca="false">BB34+BB35+BB41</f>
        <v>40.0076466236246</v>
      </c>
      <c r="BC44" s="13" t="n">
        <f aca="false">BC34+BC35+BC41</f>
        <v>36.6070489913094</v>
      </c>
      <c r="BD44" s="13" t="n">
        <f aca="false">BD34+BD35+BD41</f>
        <v>31.5687484390356</v>
      </c>
      <c r="BE44" s="13" t="n">
        <f aca="false">BE34+BE35+BE41</f>
        <v>31.4625394931332</v>
      </c>
      <c r="BF44" s="13" t="n">
        <f aca="false">BF34+BF35+BF41</f>
        <v>31.7585404758243</v>
      </c>
      <c r="BG44" s="13" t="n">
        <f aca="false">BG34+BG35+BG41</f>
        <v>31.2881183916859</v>
      </c>
      <c r="BH44" s="13" t="n">
        <f aca="false">BH34+BH35+BH41</f>
        <v>32.179089433307</v>
      </c>
      <c r="BI44" s="13" t="n">
        <f aca="false">BI34+BI35+BI41</f>
        <v>31.2778069636727</v>
      </c>
      <c r="BJ44" s="13" t="n">
        <f aca="false">BJ34+BJ35+BJ41</f>
        <v>37.8190095807858</v>
      </c>
      <c r="BK44" s="13" t="n">
        <f aca="false">BK34+BK35+BK41</f>
        <v>32.3340953190533</v>
      </c>
      <c r="BL44" s="13" t="n">
        <f aca="false">BL34+BL35+BL41</f>
        <v>34.6304257960615</v>
      </c>
      <c r="BM44" s="13" t="n">
        <f aca="false">BM34+BM35+BM41</f>
        <v>51.3571545528005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634.192339355893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30.5958937866362</v>
      </c>
      <c r="R9" s="13" t="n">
        <f aca="false">Debt!R112+Debt!R110+Debt!R104-Debt!R103+Tax!R13</f>
        <v>30.4609530378134</v>
      </c>
      <c r="S9" s="13" t="n">
        <f aca="false">Debt!S112+Debt!S110+Debt!S104-Debt!S103+Tax!S13</f>
        <v>29.5310652932544</v>
      </c>
      <c r="T9" s="13" t="n">
        <f aca="false">Debt!T112+Debt!T110+Debt!T104-Debt!T103+Tax!T13</f>
        <v>29.3558657492293</v>
      </c>
      <c r="U9" s="13" t="n">
        <f aca="false">Debt!U112+Debt!U110+Debt!U104-Debt!U103+Tax!U13</f>
        <v>28.4931047865756</v>
      </c>
      <c r="V9" s="13" t="n">
        <f aca="false">Debt!V112+Debt!V110+Debt!V104-Debt!V103+Tax!V13</f>
        <v>28.1608443566451</v>
      </c>
      <c r="W9" s="13" t="n">
        <f aca="false">Debt!W112+Debt!W110+Debt!W104-Debt!W103+Tax!W13</f>
        <v>27.2150520400513</v>
      </c>
      <c r="X9" s="13" t="n">
        <f aca="false">Debt!X112+Debt!X110+Debt!X104-Debt!X103+Tax!X13</f>
        <v>26.900541276538</v>
      </c>
      <c r="Y9" s="13" t="n">
        <f aca="false">Debt!Y112+Debt!Y110+Debt!Y104-Debt!Y103+Tax!Y13</f>
        <v>26.4108075468362</v>
      </c>
      <c r="Z9" s="13" t="n">
        <f aca="false">Debt!Z112+Debt!Z110+Debt!Z104-Debt!Z103+Tax!Z13</f>
        <v>26.1056977358275</v>
      </c>
      <c r="AA9" s="13" t="n">
        <f aca="false">Debt!AA112+Debt!AA110+Debt!AA104-Debt!AA103+Tax!AA13</f>
        <v>25.0921171172032</v>
      </c>
      <c r="AB9" s="13" t="n">
        <f aca="false">Debt!AB112+Debt!AB110+Debt!AB104-Debt!AB103+Tax!AB13</f>
        <v>24.7478861572042</v>
      </c>
      <c r="AC9" s="13" t="n">
        <f aca="false">Debt!AC112+Debt!AC110+Debt!AC104-Debt!AC103+Tax!AC13</f>
        <v>23.7621249704625</v>
      </c>
      <c r="AD9" s="13" t="n">
        <f aca="false">Debt!AD112+Debt!AD110+Debt!AD104-Debt!AD103+Tax!AD13</f>
        <v>23.2846805489071</v>
      </c>
      <c r="AE9" s="13" t="n">
        <f aca="false">Debt!AE112+Debt!AE110+Debt!AE104-Debt!AE103+Tax!AE13</f>
        <v>22.2294891118575</v>
      </c>
      <c r="AF9" s="13" t="n">
        <f aca="false">Debt!AF112+Debt!AF110+Debt!AF104-Debt!AF103+Tax!AF13</f>
        <v>21.7424414222329</v>
      </c>
      <c r="AG9" s="13" t="n">
        <f aca="false">Debt!AG112+Debt!AG110+Debt!AG104-Debt!AG103+Tax!AG13</f>
        <v>20.7545846777194</v>
      </c>
      <c r="AH9" s="13" t="n">
        <f aca="false">Debt!AH112+Debt!AH110+Debt!AH104-Debt!AH103+Tax!AH13</f>
        <v>20.041584369819</v>
      </c>
      <c r="AI9" s="13" t="n">
        <f aca="false">Debt!AI112+Debt!AI110+Debt!AI104-Debt!AI103+Tax!AI13</f>
        <v>18.7051800208261</v>
      </c>
      <c r="AJ9" s="13" t="n">
        <f aca="false">Debt!AJ112+Debt!AJ110+Debt!AJ104-Debt!AJ103+Tax!AJ13</f>
        <v>17.8830895070769</v>
      </c>
      <c r="AK9" s="13" t="n">
        <f aca="false">Debt!AK112+Debt!AK110+Debt!AK104-Debt!AK103+Tax!AK13</f>
        <v>16.5259421143878</v>
      </c>
      <c r="AL9" s="13" t="n">
        <f aca="false">Debt!AL112+Debt!AL110+Debt!AL104-Debt!AL103+Tax!AL13</f>
        <v>15.4848906103264</v>
      </c>
      <c r="AM9" s="13" t="n">
        <f aca="false">Debt!AM112+Debt!AM110+Debt!AM104-Debt!AM103+Tax!AM13</f>
        <v>14.0125104822482</v>
      </c>
      <c r="AN9" s="13" t="n">
        <f aca="false">Debt!AN112+Debt!AN110+Debt!AN104-Debt!AN103+Tax!AN13</f>
        <v>12.7890490588827</v>
      </c>
      <c r="AO9" s="13" t="n">
        <f aca="false">Debt!AO112+Debt!AO110+Debt!AO104-Debt!AO103+Tax!AO13</f>
        <v>11.3551843720563</v>
      </c>
      <c r="AP9" s="13" t="n">
        <f aca="false">Debt!AP112+Debt!AP110+Debt!AP104-Debt!AP103+Tax!AP13</f>
        <v>9.33528137839092</v>
      </c>
      <c r="AQ9" s="13" t="n">
        <f aca="false">Debt!AQ112+Debt!AQ110+Debt!AQ104-Debt!AQ103+Tax!AQ13</f>
        <v>7.42777036247782</v>
      </c>
      <c r="AR9" s="13" t="n">
        <f aca="false">Debt!AR112+Debt!AR110+Debt!AR104-Debt!AR103+Tax!AR13</f>
        <v>5.69134594762541</v>
      </c>
      <c r="AS9" s="13" t="n">
        <f aca="false">Debt!AS112+Debt!AS110+Debt!AS104-Debt!AS103+Tax!AS13</f>
        <v>3.65963698856134</v>
      </c>
      <c r="AT9" s="13" t="n">
        <f aca="false">Debt!AT112+Debt!AT110+Debt!AT104-Debt!AT103+Tax!AT13</f>
        <v>1.66895333585191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-49.7327973223575</v>
      </c>
      <c r="Z12" s="13" t="n">
        <f aca="false">IF(Time!Z20&gt;=Time!$F$12,Inputs!$F$184/100*(Z11-Z10-Tax!Z21),0)</f>
        <v>-48.3395007350621</v>
      </c>
      <c r="AA12" s="13" t="n">
        <f aca="false">IF(Time!AA20&gt;=Time!$F$12,Inputs!$F$184/100*(AA11-AA10-Tax!AA21),0)</f>
        <v>-46.5520670612356</v>
      </c>
      <c r="AB12" s="13" t="n">
        <f aca="false">IF(Time!AB20&gt;=Time!$F$12,Inputs!$F$184/100*(AB11-AB10-Tax!AB21),0)</f>
        <v>-44.4964149860472</v>
      </c>
      <c r="AC12" s="13" t="n">
        <f aca="false">IF(Time!AC20&gt;=Time!$F$12,Inputs!$F$184/100*(AC11-AC10-Tax!AC21),0)</f>
        <v>-42.5035321088412</v>
      </c>
      <c r="AD12" s="13" t="n">
        <f aca="false">IF(Time!AD20&gt;=Time!$F$12,Inputs!$F$184/100*(AD11-AD10-Tax!AD21),0)</f>
        <v>-41.4995082460245</v>
      </c>
      <c r="AE12" s="13" t="n">
        <f aca="false">IF(Time!AE20&gt;=Time!$F$12,Inputs!$F$184/100*(AE11-AE10-Tax!AE21),0)</f>
        <v>-40.4954843832077</v>
      </c>
      <c r="AF12" s="13" t="n">
        <f aca="false">IF(Time!AF20&gt;=Time!$F$12,Inputs!$F$184/100*(AF11-AF10-Tax!AF21),0)</f>
        <v>-39.4671263442803</v>
      </c>
      <c r="AG12" s="13" t="n">
        <f aca="false">IF(Time!AG20&gt;=Time!$F$12,Inputs!$F$184/100*(AG11-AG10-Tax!AG21),0)</f>
        <v>-36.1440496844872</v>
      </c>
      <c r="AH12" s="13" t="n">
        <f aca="false">IF(Time!AH20&gt;=Time!$F$12,Inputs!$F$184/100*(AH11-AH10-Tax!AH21),0)</f>
        <v>-32.7124411403184</v>
      </c>
      <c r="AI12" s="13" t="n">
        <f aca="false">IF(Time!AI20&gt;=Time!$F$12,Inputs!$F$184/100*(AI11-AI10-Tax!AI21),0)</f>
        <v>-28.7858247199318</v>
      </c>
      <c r="AJ12" s="13" t="n">
        <f aca="false">IF(Time!AJ20&gt;=Time!$F$12,Inputs!$F$184/100*(AJ11-AJ10-Tax!AJ21),0)</f>
        <v>-24.4402317193016</v>
      </c>
      <c r="AK12" s="13" t="n">
        <f aca="false">IF(Time!AK20&gt;=Time!$F$12,Inputs!$F$184/100*(AK11-AK10-Tax!AK21),0)</f>
        <v>-19.9100400260464</v>
      </c>
      <c r="AL12" s="13" t="n">
        <f aca="false">IF(Time!AL20&gt;=Time!$F$12,Inputs!$F$184/100*(AL11-AL10-Tax!AL21),0)</f>
        <v>-16.4255370175566</v>
      </c>
      <c r="AM12" s="13" t="n">
        <f aca="false">IF(Time!AM20&gt;=Time!$F$12,Inputs!$F$184/100*(AM11-AM10-Tax!AM21),0)</f>
        <v>-11.3333788492216</v>
      </c>
      <c r="AN12" s="13" t="n">
        <f aca="false">IF(Time!AN20&gt;=Time!$F$12,Inputs!$F$184/100*(AN11-AN10-Tax!AN21),0)</f>
        <v>-5.3373004531482</v>
      </c>
      <c r="AO12" s="13" t="n">
        <f aca="false">IF(Time!AO20&gt;=Time!$F$12,Inputs!$F$184/100*(AO11-AO10-Tax!AO21),0)</f>
        <v>1.04478578511123</v>
      </c>
      <c r="AP12" s="13" t="n">
        <f aca="false">IF(Time!AP20&gt;=Time!$F$12,Inputs!$F$184/100*(AP11-AP10-Tax!AP21),0)</f>
        <v>7.92535999778658</v>
      </c>
      <c r="AQ12" s="13" t="n">
        <f aca="false">IF(Time!AQ20&gt;=Time!$F$12,Inputs!$F$184/100*(AQ11-AQ10-Tax!AQ21),0)</f>
        <v>15.4766315738033</v>
      </c>
      <c r="AR12" s="13" t="n">
        <f aca="false">IF(Time!AR20&gt;=Time!$F$12,Inputs!$F$184/100*(AR11-AR10-Tax!AR21),0)</f>
        <v>23.7292326281726</v>
      </c>
      <c r="AS12" s="13" t="n">
        <f aca="false">IF(Time!AS20&gt;=Time!$F$12,Inputs!$F$184/100*(AS11-AS10-Tax!AS21),0)</f>
        <v>32.2084686275746</v>
      </c>
      <c r="AT12" s="13" t="n">
        <f aca="false">IF(Time!AT20&gt;=Time!$F$12,Inputs!$F$184/100*(AT11-AT10-Tax!AT21),0)</f>
        <v>36.2686007818081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-2.87835039090978</v>
      </c>
      <c r="Z13" s="13" t="n">
        <f aca="false">Z12-Y12</f>
        <v>1.39329658729536</v>
      </c>
      <c r="AA13" s="13" t="n">
        <f aca="false">AA12-Z12</f>
        <v>1.78743367382651</v>
      </c>
      <c r="AB13" s="13" t="n">
        <f aca="false">AB12-AA12</f>
        <v>2.05565207518845</v>
      </c>
      <c r="AC13" s="13" t="n">
        <f aca="false">AC12-AB12</f>
        <v>1.99288287720595</v>
      </c>
      <c r="AD13" s="13" t="n">
        <f aca="false">AD12-AC12</f>
        <v>1.00402386281673</v>
      </c>
      <c r="AE13" s="13" t="n">
        <f aca="false">AE12-AD12</f>
        <v>1.00402386281673</v>
      </c>
      <c r="AF13" s="13" t="n">
        <f aca="false">AF12-AE12</f>
        <v>1.02835803892742</v>
      </c>
      <c r="AG13" s="13" t="n">
        <f aca="false">AG12-AF12</f>
        <v>3.32307665979313</v>
      </c>
      <c r="AH13" s="13" t="n">
        <f aca="false">AH12-AG12</f>
        <v>3.43160854416875</v>
      </c>
      <c r="AI13" s="13" t="n">
        <f aca="false">AI12-AH12</f>
        <v>3.92661642038662</v>
      </c>
      <c r="AJ13" s="13" t="n">
        <f aca="false">AJ12-AI12</f>
        <v>4.34559300063023</v>
      </c>
      <c r="AK13" s="13" t="n">
        <f aca="false">AK12-AJ12</f>
        <v>4.53019169325517</v>
      </c>
      <c r="AL13" s="13" t="n">
        <f aca="false">AL12-AK12</f>
        <v>3.48450300848985</v>
      </c>
      <c r="AM13" s="13" t="n">
        <f aca="false">AM12-AL12</f>
        <v>5.09215816833496</v>
      </c>
      <c r="AN13" s="13" t="n">
        <f aca="false">AN12-AM12</f>
        <v>5.99607839607341</v>
      </c>
      <c r="AO13" s="13" t="n">
        <f aca="false">AO12-AN12</f>
        <v>6.38208623825943</v>
      </c>
      <c r="AP13" s="13" t="n">
        <f aca="false">AP12-AO12</f>
        <v>6.88057421267534</v>
      </c>
      <c r="AQ13" s="13" t="n">
        <f aca="false">AQ12-AP12</f>
        <v>7.55127157601675</v>
      </c>
      <c r="AR13" s="13" t="n">
        <f aca="false">AR12-AQ12</f>
        <v>8.25260105436926</v>
      </c>
      <c r="AS13" s="13" t="n">
        <f aca="false">AS12-AR12</f>
        <v>8.47923599940197</v>
      </c>
      <c r="AT13" s="13" t="n">
        <f aca="false">AT12-AS12</f>
        <v>4.06013215423354</v>
      </c>
      <c r="AU13" s="13" t="n">
        <f aca="false">AU12-AT12</f>
        <v>3.72501642039191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671.639879021881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8.62539562627987</v>
      </c>
      <c r="P14" s="13" t="n">
        <f aca="false">Operations!P84-P8-P9-Tax!P27-P13</f>
        <v>3.9100081982554</v>
      </c>
      <c r="Q14" s="13" t="n">
        <f aca="false">Operations!Q84-Q8-Q9-Tax!Q27-Q13</f>
        <v>4.8253874245739</v>
      </c>
      <c r="R14" s="13" t="n">
        <f aca="false">Operations!R84-R8-R9-Tax!R27-R13</f>
        <v>4.63429375131236</v>
      </c>
      <c r="S14" s="13" t="n">
        <f aca="false">Operations!S84-S8-S9-Tax!S27-S13</f>
        <v>5.85200459366944</v>
      </c>
      <c r="T14" s="13" t="n">
        <f aca="false">Operations!T84-T8-T9-Tax!T27-T13</f>
        <v>6.55436484321806</v>
      </c>
      <c r="U14" s="13" t="n">
        <f aca="false">Operations!U84-U8-U9-Tax!U27-U13</f>
        <v>6.71779262289025</v>
      </c>
      <c r="V14" s="13" t="n">
        <f aca="false">Operations!V84-V8-V9-Tax!V27-V13</f>
        <v>3.09027049836269</v>
      </c>
      <c r="W14" s="13" t="n">
        <f aca="false">Operations!W84-W8-W9-Tax!W27-W13</f>
        <v>7.3822500745614</v>
      </c>
      <c r="X14" s="13" t="n">
        <f aca="false">Operations!X84-X8-X9-Tax!X27-X13</f>
        <v>9.35765467499743</v>
      </c>
      <c r="Y14" s="13" t="n">
        <f aca="false">Operations!Y84-Y8-Y9-Tax!Y27-Y13</f>
        <v>7.44869993125858</v>
      </c>
      <c r="Z14" s="13" t="n">
        <f aca="false">Operations!Z84-Z8-Z9-Tax!Z27-Z13</f>
        <v>2.91100615426506</v>
      </c>
      <c r="AA14" s="13" t="n">
        <f aca="false">Operations!AA84-AA8-AA9-Tax!AA27-AA13</f>
        <v>3.82791294159888</v>
      </c>
      <c r="AB14" s="13" t="n">
        <f aca="false">Operations!AB84-AB8-AB9-Tax!AB27-AB13</f>
        <v>4.44979024933068</v>
      </c>
      <c r="AC14" s="13" t="n">
        <f aca="false">Operations!AC84-AC8-AC9-Tax!AC27-AC13</f>
        <v>4.30850142783427</v>
      </c>
      <c r="AD14" s="13" t="n">
        <f aca="false">Operations!AD84-AD8-AD9-Tax!AD27-AD13</f>
        <v>-8.51236399147877</v>
      </c>
      <c r="AE14" s="13" t="n">
        <f aca="false">Operations!AE84-AE8-AE9-Tax!AE27-AE13</f>
        <v>5.72402948023464</v>
      </c>
      <c r="AF14" s="13" t="n">
        <f aca="false">Operations!AF84-AF8-AF9-Tax!AF27-AF13</f>
        <v>8.85255692699237</v>
      </c>
      <c r="AG14" s="13" t="n">
        <f aca="false">Operations!AG84-AG8-AG9-Tax!AG27-AG13</f>
        <v>7.40010610725448</v>
      </c>
      <c r="AH14" s="13" t="n">
        <f aca="false">Operations!AH84-AH8-AH9-Tax!AH27-AH13</f>
        <v>7.65410531869855</v>
      </c>
      <c r="AI14" s="13" t="n">
        <f aca="false">Operations!AI84-AI8-AI9-Tax!AI27-AI13</f>
        <v>8.80619268740655</v>
      </c>
      <c r="AJ14" s="13" t="n">
        <f aca="false">Operations!AJ84-AJ8-AJ9-Tax!AJ27-AJ13</f>
        <v>9.77960603764714</v>
      </c>
      <c r="AK14" s="13" t="n">
        <f aca="false">Operations!AK84-AK8-AK9-Tax!AK27-AK13</f>
        <v>10.2130035006015</v>
      </c>
      <c r="AL14" s="13" t="n">
        <f aca="false">Operations!AL84-AL8-AL9-Tax!AL27-AL13</f>
        <v>7.78019799804867</v>
      </c>
      <c r="AM14" s="13" t="n">
        <f aca="false">Operations!AM84-AM8-AM9-Tax!AM27-AM13</f>
        <v>11.5252019971084</v>
      </c>
      <c r="AN14" s="13" t="n">
        <f aca="false">Operations!AN84-AN8-AN9-Tax!AN27-AN13</f>
        <v>13.6236079248924</v>
      </c>
      <c r="AO14" s="13" t="n">
        <f aca="false">Operations!AO84-AO8-AO9-Tax!AO27-AO13</f>
        <v>14.5237304233312</v>
      </c>
      <c r="AP14" s="13" t="n">
        <f aca="false">Operations!AP84-AP8-AP9-Tax!AP27-AP13</f>
        <v>15.6875742838545</v>
      </c>
      <c r="AQ14" s="13" t="n">
        <f aca="false">Operations!AQ84-AQ8-AQ9-Tax!AQ27-AQ13</f>
        <v>17.2494027434967</v>
      </c>
      <c r="AR14" s="13" t="n">
        <f aca="false">Operations!AR84-AR8-AR9-Tax!AR27-AR13</f>
        <v>18.8813857112669</v>
      </c>
      <c r="AS14" s="13" t="n">
        <f aca="false">Operations!AS84-AS8-AS9-Tax!AS27-AS13</f>
        <v>19.4156234140085</v>
      </c>
      <c r="AT14" s="13" t="n">
        <f aca="false">Operations!AT84-AT8-AT9-Tax!AT27-AT13</f>
        <v>9.11722969739752</v>
      </c>
      <c r="AU14" s="13" t="n">
        <f aca="false">Operations!AU84-AU8-AU9-Tax!AU27-AU13</f>
        <v>21.5240867557334</v>
      </c>
      <c r="AV14" s="13" t="n">
        <f aca="false">Operations!AV84-AV8-AV9-Tax!AV27-AV13</f>
        <v>23.5488348264343</v>
      </c>
      <c r="AW14" s="13" t="n">
        <f aca="false">Operations!AW84-AW8-AW9-Tax!AW27-AW13</f>
        <v>23.4442077737068</v>
      </c>
      <c r="AX14" s="13" t="n">
        <f aca="false">Operations!AX84-AX8-AX9-Tax!AX27-AX13</f>
        <v>23.1880469490558</v>
      </c>
      <c r="AY14" s="13" t="n">
        <f aca="false">Operations!AY84-AY8-AY9-Tax!AY27-AY13</f>
        <v>23.4287623596404</v>
      </c>
      <c r="AZ14" s="13" t="n">
        <f aca="false">Operations!AZ84-AZ8-AZ9-Tax!AZ27-AZ13</f>
        <v>23.8701473584545</v>
      </c>
      <c r="BA14" s="13" t="n">
        <f aca="false">Operations!BA84-BA8-BA9-Tax!BA27-BA13</f>
        <v>23.3154650984293</v>
      </c>
      <c r="BB14" s="13" t="n">
        <f aca="false">Operations!BB84-BB8-BB9-Tax!BB27-BB13</f>
        <v>19.6749076604495</v>
      </c>
      <c r="BC14" s="13" t="n">
        <f aca="false">Operations!BC84-BC8-BC9-Tax!BC27-BC13</f>
        <v>22.8450644246108</v>
      </c>
      <c r="BD14" s="13" t="n">
        <f aca="false">Operations!BD84-BD8-BD9-Tax!BD27-BD13</f>
        <v>24.2044622593452</v>
      </c>
      <c r="BE14" s="13" t="n">
        <f aca="false">Operations!BE84-BE8-BE9-Tax!BE27-BE13</f>
        <v>24.098034015225</v>
      </c>
      <c r="BF14" s="13" t="n">
        <f aca="false">Operations!BF84-BF8-BF9-Tax!BF27-BF13</f>
        <v>23.8360340210995</v>
      </c>
      <c r="BG14" s="13" t="n">
        <f aca="false">Operations!BG84-BG8-BG9-Tax!BG27-BG13</f>
        <v>24.0886791688137</v>
      </c>
      <c r="BH14" s="13" t="n">
        <f aca="false">Operations!BH84-BH8-BH9-Tax!BH27-BH13</f>
        <v>24.5523143264577</v>
      </c>
      <c r="BI14" s="13" t="n">
        <f aca="false">Operations!BI84-BI8-BI9-Tax!BI27-BI13</f>
        <v>23.5913666965578</v>
      </c>
      <c r="BJ14" s="13" t="n">
        <f aca="false">Operations!BJ84-BJ8-BJ9-Tax!BJ27-BJ13</f>
        <v>9.86972560451093</v>
      </c>
      <c r="BK14" s="13" t="n">
        <f aca="false">Operations!BK84-BK8-BK9-Tax!BK27-BK13</f>
        <v>22.7143610301962</v>
      </c>
      <c r="BL14" s="13" t="n">
        <f aca="false">Operations!BL84-BL8-BL9-Tax!BL27-BL13</f>
        <v>24.9142606874231</v>
      </c>
      <c r="BM14" s="13" t="n">
        <f aca="false">Operations!BM84-BM8-BM9-Tax!BM27-BM13</f>
        <v>3.31459473256713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38.8233834592027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46.2972441755691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49.1075155052885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36.8555380887716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36.4230997577367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36.0262151142907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36.0606086876641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35.2267249739668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34.7547682502717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33.484104002964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32.298889180774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25.8129961234199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37.1833135878049</v>
      </c>
      <c r="P18" s="13" t="n">
        <f aca="false">Operations!P88+Operations!P89</f>
        <v>37.0625388460192</v>
      </c>
      <c r="Q18" s="13" t="n">
        <f aca="false">Operations!Q88+Operations!Q89</f>
        <v>37.9835957844695</v>
      </c>
      <c r="R18" s="13" t="n">
        <f aca="false">Operations!R88+Operations!R89</f>
        <v>37.2373602784342</v>
      </c>
      <c r="S18" s="13" t="n">
        <f aca="false">Operations!S88+Operations!S89</f>
        <v>38.4091952181874</v>
      </c>
      <c r="T18" s="13" t="n">
        <f aca="false">Operations!T88+Operations!T89</f>
        <v>38.1388132823843</v>
      </c>
      <c r="U18" s="13" t="n">
        <f aca="false">Operations!U88+Operations!U89</f>
        <v>38.5758181209802</v>
      </c>
      <c r="V18" s="13" t="n">
        <f aca="false">Operations!V88+Operations!V89</f>
        <v>37.3823520868855</v>
      </c>
      <c r="W18" s="13" t="n">
        <f aca="false">Operations!W88+Operations!W89</f>
        <v>38.8884651855632</v>
      </c>
      <c r="X18" s="13" t="n">
        <f aca="false">Operations!X88+Operations!X89</f>
        <v>39.2574458213936</v>
      </c>
      <c r="Y18" s="13" t="n">
        <f aca="false">Operations!Y88+Operations!Y89</f>
        <v>40.2424346553692</v>
      </c>
      <c r="Z18" s="13" t="n">
        <f aca="false">Operations!Z88+Operations!Z89</f>
        <v>39.4537816725907</v>
      </c>
      <c r="AA18" s="13" t="n">
        <f aca="false">Operations!AA88+Operations!AA89</f>
        <v>40.7047296099908</v>
      </c>
      <c r="AB18" s="13" t="n">
        <f aca="false">Operations!AB88+Operations!AB89</f>
        <v>40.4201065184815</v>
      </c>
      <c r="AC18" s="13" t="n">
        <f aca="false">Operations!AC88+Operations!AC89</f>
        <v>40.6152781710064</v>
      </c>
      <c r="AD18" s="13" t="n">
        <f aca="false">Operations!AD88+Operations!AD89</f>
        <v>38.8047539693721</v>
      </c>
      <c r="AE18" s="13" t="n">
        <f aca="false">Operations!AE88+Operations!AE89</f>
        <v>40.6692758830509</v>
      </c>
      <c r="AF18" s="13" t="n">
        <f aca="false">Operations!AF88+Operations!AF89</f>
        <v>41.6285313045817</v>
      </c>
      <c r="AG18" s="13" t="n">
        <f aca="false">Operations!AG88+Operations!AG89</f>
        <v>42.6825881129114</v>
      </c>
      <c r="AH18" s="13" t="n">
        <f aca="false">Operations!AH88+Operations!AH89</f>
        <v>41.8480803409428</v>
      </c>
      <c r="AI18" s="13" t="n">
        <f aca="false">Operations!AI88+Operations!AI89</f>
        <v>43.1845183929893</v>
      </c>
      <c r="AJ18" s="13" t="n">
        <f aca="false">Operations!AJ88+Operations!AJ89</f>
        <v>42.8845245829572</v>
      </c>
      <c r="AK18" s="13" t="n">
        <f aca="false">Operations!AK88+Operations!AK89</f>
        <v>43.3954408311499</v>
      </c>
      <c r="AL18" s="13" t="n">
        <f aca="false">Operations!AL88+Operations!AL89</f>
        <v>42.0568670617272</v>
      </c>
      <c r="AM18" s="13" t="n">
        <f aca="false">Operations!AM88+Operations!AM89</f>
        <v>43.770651417784</v>
      </c>
      <c r="AN18" s="13" t="n">
        <f aca="false">Operations!AN88+Operations!AN89</f>
        <v>44.1899619282425</v>
      </c>
      <c r="AO18" s="13" t="n">
        <f aca="false">Operations!AO88+Operations!AO89</f>
        <v>45.3186345992705</v>
      </c>
      <c r="AP18" s="13" t="n">
        <f aca="false">Operations!AP88+Operations!AP89</f>
        <v>44.4345575142211</v>
      </c>
      <c r="AQ18" s="13" t="n">
        <f aca="false">Operations!AQ88+Operations!AQ89</f>
        <v>45.863375754493</v>
      </c>
      <c r="AR18" s="13" t="n">
        <f aca="false">Operations!AR88+Operations!AR89</f>
        <v>45.5467928917132</v>
      </c>
      <c r="AS18" s="13" t="n">
        <f aca="false">Operations!AS88+Operations!AS89</f>
        <v>45.7863799221872</v>
      </c>
      <c r="AT18" s="13" t="n">
        <f aca="false">Operations!AT88+Operations!AT89</f>
        <v>43.7491318655957</v>
      </c>
      <c r="AU18" s="13" t="n">
        <f aca="false">Operations!AU88+Operations!AU89</f>
        <v>45.8707882164847</v>
      </c>
      <c r="AV18" s="13" t="n">
        <f aca="false">Operations!AV88+Operations!AV89</f>
        <v>46.9570439169539</v>
      </c>
      <c r="AW18" s="13" t="n">
        <f aca="false">Operations!AW88+Operations!AW89</f>
        <v>48.1663250684084</v>
      </c>
      <c r="AX18" s="13" t="n">
        <f aca="false">Operations!AX88+Operations!AX89</f>
        <v>47.2286646972243</v>
      </c>
      <c r="AY18" s="13" t="n">
        <f aca="false">Operations!AY88+Operations!AY89</f>
        <v>48.757307292177</v>
      </c>
      <c r="AZ18" s="13" t="n">
        <f aca="false">Operations!AZ88+Operations!AZ89</f>
        <v>48.4228213702575</v>
      </c>
      <c r="BA18" s="13" t="n">
        <f aca="false">Operations!BA88+Operations!BA89</f>
        <v>49.0197884746258</v>
      </c>
      <c r="BB18" s="13" t="n">
        <f aca="false">Operations!BB88+Operations!BB89</f>
        <v>47.5115489977079</v>
      </c>
      <c r="BC18" s="13" t="n">
        <f aca="false">Operations!BC88+Operations!BC89</f>
        <v>49.4679285195703</v>
      </c>
      <c r="BD18" s="13" t="n">
        <f aca="false">Operations!BD88+Operations!BD89</f>
        <v>49.9463146902635</v>
      </c>
      <c r="BE18" s="13" t="n">
        <f aca="false">Operations!BE88+Operations!BE89</f>
        <v>51.2426772103617</v>
      </c>
      <c r="BF18" s="13" t="n">
        <f aca="false">Operations!BF88+Operations!BF89</f>
        <v>50.2470961197645</v>
      </c>
      <c r="BG18" s="13" t="n">
        <f aca="false">Operations!BG88+Operations!BG89</f>
        <v>51.8836057513152</v>
      </c>
      <c r="BH18" s="13" t="n">
        <f aca="false">Operations!BH88+Operations!BH89</f>
        <v>51.5297996615128</v>
      </c>
      <c r="BI18" s="13" t="n">
        <f aca="false">Operations!BI88+Operations!BI89</f>
        <v>51.8208807593394</v>
      </c>
      <c r="BJ18" s="13" t="n">
        <f aca="false">Operations!BJ88+Operations!BJ89</f>
        <v>49.5184676775142</v>
      </c>
      <c r="BK18" s="13" t="n">
        <f aca="false">Operations!BK88+Operations!BK89</f>
        <v>51.9405686536093</v>
      </c>
      <c r="BL18" s="13" t="n">
        <f aca="false">Operations!BL88+Operations!BL89</f>
        <v>53.175641816784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49.7327973223575</v>
      </c>
      <c r="Z20" s="13" t="n">
        <f aca="false">MAX(0,-Z12)</f>
        <v>48.3395007350621</v>
      </c>
      <c r="AA20" s="13" t="n">
        <f aca="false">MAX(0,-AA12)</f>
        <v>46.5520670612356</v>
      </c>
      <c r="AB20" s="13" t="n">
        <f aca="false">MAX(0,-AB12)</f>
        <v>44.4964149860472</v>
      </c>
      <c r="AC20" s="13" t="n">
        <f aca="false">MAX(0,-AC12)</f>
        <v>42.5035321088412</v>
      </c>
      <c r="AD20" s="13" t="n">
        <f aca="false">MAX(0,-AD12)</f>
        <v>41.4995082460245</v>
      </c>
      <c r="AE20" s="13" t="n">
        <f aca="false">MAX(0,-AE12)</f>
        <v>40.4954843832077</v>
      </c>
      <c r="AF20" s="13" t="n">
        <f aca="false">MAX(0,-AF12)</f>
        <v>39.4671263442803</v>
      </c>
      <c r="AG20" s="13" t="n">
        <f aca="false">MAX(0,-AG12)</f>
        <v>36.1440496844872</v>
      </c>
      <c r="AH20" s="13" t="n">
        <f aca="false">MAX(0,-AH12)</f>
        <v>32.7124411403184</v>
      </c>
      <c r="AI20" s="13" t="n">
        <f aca="false">MAX(0,-AI12)</f>
        <v>28.7858247199318</v>
      </c>
      <c r="AJ20" s="13" t="n">
        <f aca="false">MAX(0,-AJ12)</f>
        <v>24.4402317193016</v>
      </c>
      <c r="AK20" s="13" t="n">
        <f aca="false">MAX(0,-AK12)</f>
        <v>19.9100400260464</v>
      </c>
      <c r="AL20" s="13" t="n">
        <f aca="false">MAX(0,-AL12)</f>
        <v>16.4255370175566</v>
      </c>
      <c r="AM20" s="13" t="n">
        <f aca="false">MAX(0,-AM12)</f>
        <v>11.3333788492216</v>
      </c>
      <c r="AN20" s="13" t="n">
        <f aca="false">MAX(0,-AN12)</f>
        <v>5.3373004531482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914.138712150001</v>
      </c>
      <c r="P21" s="13" t="n">
        <f aca="false">P16+P17+P18+P19+P20</f>
        <v>901.054226973751</v>
      </c>
      <c r="Q21" s="13" t="n">
        <f aca="false">Q16+Q17+Q18+Q19+Q20</f>
        <v>891.145709114327</v>
      </c>
      <c r="R21" s="13" t="n">
        <f aca="false">R16+R17+R18+R19+R20</f>
        <v>878.810657582763</v>
      </c>
      <c r="S21" s="13" t="n">
        <f aca="false">S16+S17+S18+S19+S20</f>
        <v>869.1030543813</v>
      </c>
      <c r="T21" s="13" t="n">
        <f aca="false">T16+T17+T18+T19+T20</f>
        <v>857.354803988195</v>
      </c>
      <c r="U21" s="13" t="n">
        <f aca="false">U16+U17+U18+U19+U20</f>
        <v>847.21169287669</v>
      </c>
      <c r="V21" s="13" t="n">
        <f aca="false">V16+V17+V18+V19+V20</f>
        <v>831.542312485715</v>
      </c>
      <c r="W21" s="13" t="n">
        <f aca="false">W16+W17+W18+W19+W20</f>
        <v>820.23838150025</v>
      </c>
      <c r="X21" s="13" t="n">
        <f aca="false">X16+X17+X18+X19+X20</f>
        <v>810.510089916808</v>
      </c>
      <c r="Y21" s="13" t="n">
        <f aca="false">Y16+Y17+Y18+Y19+Y20</f>
        <v>799.913411702351</v>
      </c>
      <c r="Z21" s="13" t="n">
        <f aca="false">Z16+Z17+Z18+Z19+Z20</f>
        <v>782.673397875305</v>
      </c>
      <c r="AA21" s="13" t="n">
        <f aca="false">AA16+AA17+AA18+AA19+AA20</f>
        <v>767.806384912688</v>
      </c>
      <c r="AB21" s="13" t="n">
        <f aca="false">AB16+AB17+AB18+AB19+AB20</f>
        <v>750.133904068104</v>
      </c>
      <c r="AC21" s="13" t="n">
        <f aca="false">AC16+AC17+AC18+AC19+AC20</f>
        <v>734.412733126196</v>
      </c>
      <c r="AD21" s="13" t="n">
        <f aca="false">AD16+AD17+AD18+AD19+AD20</f>
        <v>702.612476598283</v>
      </c>
      <c r="AE21" s="13" t="n">
        <f aca="false">AE16+AE17+AE18+AE19+AE20</f>
        <v>686.306805271164</v>
      </c>
      <c r="AF21" s="13" t="n">
        <f aca="false">AF16+AF17+AF18+AF19+AF20</f>
        <v>669.107086963376</v>
      </c>
      <c r="AG21" s="13" t="n">
        <f aca="false">AG16+AG17+AG18+AG19+AG20</f>
        <v>650.138729638341</v>
      </c>
      <c r="AH21" s="13" t="n">
        <f aca="false">AH16+AH17+AH18+AH19+AH20</f>
        <v>628.30499856156</v>
      </c>
      <c r="AI21" s="13" t="n">
        <f aca="false">AI16+AI17+AI18+AI19+AI20</f>
        <v>608.509132422579</v>
      </c>
      <c r="AJ21" s="13" t="n">
        <f aca="false">AJ16+AJ17+AJ18+AJ19+AJ20</f>
        <v>585.859150317664</v>
      </c>
      <c r="AK21" s="13" t="n">
        <f aca="false">AK16+AK17+AK18+AK19+AK20</f>
        <v>563.920929003466</v>
      </c>
      <c r="AL21" s="13" t="n">
        <f aca="false">AL16+AL17+AL18+AL19+AL20</f>
        <v>535.878228121253</v>
      </c>
      <c r="AM21" s="13" t="n">
        <f aca="false">AM16+AM17+AM18+AM19+AM20</f>
        <v>509.085144393474</v>
      </c>
      <c r="AN21" s="13" t="n">
        <f aca="false">AN16+AN17+AN18+AN19+AN20</f>
        <v>488.896425039144</v>
      </c>
      <c r="AO21" s="13" t="n">
        <f aca="false">AO16+AO17+AO18+AO19+AO20</f>
        <v>451.396047547957</v>
      </c>
      <c r="AP21" s="13" t="n">
        <f aca="false">AP16+AP17+AP18+AP19+AP20</f>
        <v>436.126128501449</v>
      </c>
      <c r="AQ21" s="13" t="n">
        <f aca="false">AQ16+AQ17+AQ18+AQ19+AQ20</f>
        <v>423.169104780262</v>
      </c>
      <c r="AR21" s="13" t="n">
        <f aca="false">AR16+AR17+AR18+AR19+AR20</f>
        <v>408.466679956024</v>
      </c>
      <c r="AS21" s="13" t="n">
        <f aca="false">AS16+AS17+AS18+AS19+AS20</f>
        <v>394.320425025039</v>
      </c>
      <c r="AT21" s="13" t="n">
        <f aca="false">AT16+AT17+AT18+AT19+AT20</f>
        <v>361.46211140858</v>
      </c>
      <c r="AU21" s="13" t="n">
        <f aca="false">AU16+AU17+AU18+AU19+AU20</f>
        <v>346.850036712524</v>
      </c>
      <c r="AV21" s="13" t="n">
        <f aca="false">AV16+AV17+AV18+AV19+AV20</f>
        <v>331.792202366971</v>
      </c>
      <c r="AW21" s="13" t="n">
        <f aca="false">AW16+AW17+AW18+AW19+AW20</f>
        <v>316.857393472403</v>
      </c>
      <c r="AX21" s="13" t="n">
        <f aca="false">AX16+AX17+AX18+AX19+AX20</f>
        <v>299.775643055197</v>
      </c>
      <c r="AY21" s="13" t="n">
        <f aca="false">AY16+AY17+AY18+AY19+AY20</f>
        <v>285.160195604127</v>
      </c>
      <c r="AZ21" s="13" t="n">
        <f aca="false">AZ16+AZ17+AZ18+AZ19+AZ20</f>
        <v>268.681619636186</v>
      </c>
      <c r="BA21" s="13" t="n">
        <f aca="false">BA16+BA17+BA18+BA19+BA20</f>
        <v>253.62946508114</v>
      </c>
      <c r="BB21" s="13" t="n">
        <f aca="false">BB16+BB17+BB18+BB19+BB20</f>
        <v>233.350798806381</v>
      </c>
      <c r="BC21" s="13" t="n">
        <f aca="false">BC16+BC17+BC18+BC19+BC20</f>
        <v>220.09102035464</v>
      </c>
      <c r="BD21" s="13" t="n">
        <f aca="false">BD16+BD17+BD18+BD19+BD20</f>
        <v>208.164226399747</v>
      </c>
      <c r="BE21" s="13" t="n">
        <f aca="false">BE16+BE17+BE18+BE19+BE20</f>
        <v>197.072192914968</v>
      </c>
      <c r="BF21" s="13" t="n">
        <f aca="false">BF16+BF17+BF18+BF19+BF20</f>
        <v>183.705183561111</v>
      </c>
      <c r="BG21" s="13" t="n">
        <f aca="false">BG16+BG17+BG18+BG19+BG20</f>
        <v>172.987418300765</v>
      </c>
      <c r="BH21" s="13" t="n">
        <f aca="false">BH16+BH17+BH18+BH19+BH20</f>
        <v>160.296678350999</v>
      </c>
      <c r="BI21" s="13" t="n">
        <f aca="false">BI16+BI17+BI18+BI19+BI20</f>
        <v>148.268356334396</v>
      </c>
      <c r="BJ21" s="13" t="n">
        <f aca="false">BJ16+BJ17+BJ18+BJ19+BJ20</f>
        <v>114.103635144985</v>
      </c>
      <c r="BK21" s="13" t="n">
        <f aca="false">BK16+BK17+BK18+BK19+BK20</f>
        <v>101.447596602109</v>
      </c>
      <c r="BL21" s="13" t="n">
        <f aca="false">BL16+BL17+BL18+BL19+BL20</f>
        <v>87.6226426767087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402.713335318488</v>
      </c>
      <c r="AB22" s="13" t="n">
        <f aca="false">IF(Time!AB20&lt;Time!$F$12,SUMIFS(Funding!$J$73:$BJ$73,Construction!$J$12:$BJ$12,"&lt;="&amp;Time!AB20),Debt!AB116)</f>
        <v>375.326008569759</v>
      </c>
      <c r="AC22" s="13" t="n">
        <f aca="false">IF(Time!AC20&lt;Time!$F$12,SUMIFS(Funding!$J$73:$BJ$73,Construction!$J$12:$BJ$12,"&lt;="&amp;Time!AC20),Debt!AC116)</f>
        <v>348.430454799731</v>
      </c>
      <c r="AD22" s="13" t="n">
        <f aca="false">IF(Time!AD20&lt;Time!$F$12,SUMIFS(Funding!$J$73:$BJ$73,Construction!$J$12:$BJ$12,"&lt;="&amp;Time!AD20),Debt!AD116)</f>
        <v>319.475427474937</v>
      </c>
      <c r="AE22" s="13" t="n">
        <f aca="false">IF(Time!AE20&lt;Time!$F$12,SUMIFS(Funding!$J$73:$BJ$73,Construction!$J$12:$BJ$12,"&lt;="&amp;Time!AE20),Debt!AE116)</f>
        <v>289.559890480885</v>
      </c>
      <c r="AF22" s="13" t="n">
        <f aca="false">IF(Time!AF20&lt;Time!$F$12,SUMIFS(Funding!$J$73:$BJ$73,Construction!$J$12:$BJ$12,"&lt;="&amp;Time!AF20),Debt!AF116)</f>
        <v>257.536110284052</v>
      </c>
      <c r="AG22" s="13" t="n">
        <f aca="false">IF(Time!AG20&lt;Time!$F$12,SUMIFS(Funding!$J$73:$BJ$73,Construction!$J$12:$BJ$12,"&lt;="&amp;Time!AG20),Debt!AG116)</f>
        <v>225.221041162639</v>
      </c>
      <c r="AH22" s="13" t="n">
        <f aca="false">IF(Time!AH20&lt;Time!$F$12,SUMIFS(Funding!$J$73:$BJ$73,Construction!$J$12:$BJ$12,"&lt;="&amp;Time!AH20),Debt!AH116)</f>
        <v>191.550249075735</v>
      </c>
      <c r="AI22" s="13" t="n">
        <f aca="false">IF(Time!AI20&lt;Time!$F$12,SUMIFS(Funding!$J$73:$BJ$73,Construction!$J$12:$BJ$12,"&lt;="&amp;Time!AI20),Debt!AI116)</f>
        <v>157.672663997713</v>
      </c>
      <c r="AJ22" s="13" t="n">
        <f aca="false">IF(Time!AJ20&lt;Time!$F$12,SUMIFS(Funding!$J$73:$BJ$73,Construction!$J$12:$BJ$12,"&lt;="&amp;Time!AJ20),Debt!AJ116)</f>
        <v>122.318053678946</v>
      </c>
      <c r="AK22" s="13" t="n">
        <f aca="false">IF(Time!AK20&lt;Time!$F$12,SUMIFS(Funding!$J$73:$BJ$73,Construction!$J$12:$BJ$12,"&lt;="&amp;Time!AK20),Debt!AK116)</f>
        <v>87.2705806731624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203.443584547443</v>
      </c>
      <c r="Q23" s="13" t="n">
        <f aca="false">IF(Time!Q20&lt;Time!$F$12,SUMIFS(Funding!$J$70:$BJ$70,Construction!$J$12:$BJ$12,"&lt;="&amp;Time!Q20)+SUMIFS(Funding!$J$71:$BJ$71,Construction!$J$12:$BJ$12,"&lt;="&amp;Time!Q20),Waterfall!Q36)</f>
        <v>204.147951537847</v>
      </c>
      <c r="R23" s="13" t="n">
        <f aca="false">IF(Time!R20&lt;Time!$F$12,SUMIFS(Funding!$J$70:$BJ$70,Construction!$J$12:$BJ$12,"&lt;="&amp;Time!R20)+SUMIFS(Funding!$J$71:$BJ$71,Construction!$J$12:$BJ$12,"&lt;="&amp;Time!R20),Waterfall!R36)</f>
        <v>204.576717376796</v>
      </c>
      <c r="S23" s="13" t="n">
        <f aca="false">IF(Time!S20&lt;Time!$F$12,SUMIFS(Funding!$J$70:$BJ$70,Construction!$J$12:$BJ$12,"&lt;="&amp;Time!S20)+SUMIFS(Funding!$J$71:$BJ$71,Construction!$J$12:$BJ$12,"&lt;="&amp;Time!S20),Waterfall!S36)</f>
        <v>205.607831047706</v>
      </c>
      <c r="T23" s="13" t="n">
        <f aca="false">IF(Time!T20&lt;Time!$F$12,SUMIFS(Funding!$J$70:$BJ$70,Construction!$J$12:$BJ$12,"&lt;="&amp;Time!T20)+SUMIFS(Funding!$J$71:$BJ$71,Construction!$J$12:$BJ$12,"&lt;="&amp;Time!T20),Waterfall!T36)</f>
        <v>205.746361109854</v>
      </c>
      <c r="U23" s="13" t="n">
        <f aca="false">IF(Time!U20&lt;Time!$F$12,SUMIFS(Funding!$J$70:$BJ$70,Construction!$J$12:$BJ$12,"&lt;="&amp;Time!U20)+SUMIFS(Funding!$J$71:$BJ$71,Construction!$J$12:$BJ$12,"&lt;="&amp;Time!U20),Waterfall!U36)</f>
        <v>207.273900859852</v>
      </c>
      <c r="V23" s="13" t="n">
        <f aca="false">IF(Time!V20&lt;Time!$F$12,SUMIFS(Funding!$J$70:$BJ$70,Construction!$J$12:$BJ$12,"&lt;="&amp;Time!V20)+SUMIFS(Funding!$J$71:$BJ$71,Construction!$J$12:$BJ$12,"&lt;="&amp;Time!V20),Waterfall!V36)</f>
        <v>209.264322273814</v>
      </c>
      <c r="W23" s="13" t="n">
        <f aca="false">IF(Time!W20&lt;Time!$F$12,SUMIFS(Funding!$J$70:$BJ$70,Construction!$J$12:$BJ$12,"&lt;="&amp;Time!W20)+SUMIFS(Funding!$J$71:$BJ$71,Construction!$J$12:$BJ$12,"&lt;="&amp;Time!W20),Waterfall!W36)</f>
        <v>210.20119761182</v>
      </c>
      <c r="X23" s="13" t="n">
        <f aca="false">IF(Time!X20&lt;Time!$F$12,SUMIFS(Funding!$J$70:$BJ$70,Construction!$J$12:$BJ$12,"&lt;="&amp;Time!X20)+SUMIFS(Funding!$J$71:$BJ$71,Construction!$J$12:$BJ$12,"&lt;="&amp;Time!X20),Waterfall!X36)</f>
        <v>211.055666849263</v>
      </c>
      <c r="Y23" s="13" t="n">
        <f aca="false">IF(Time!Y20&lt;Time!$F$12,SUMIFS(Funding!$J$70:$BJ$70,Construction!$J$12:$BJ$12,"&lt;="&amp;Time!Y20)+SUMIFS(Funding!$J$71:$BJ$71,Construction!$J$12:$BJ$12,"&lt;="&amp;Time!Y20),Waterfall!Y36)</f>
        <v>212.348632680181</v>
      </c>
      <c r="Z23" s="13" t="n">
        <f aca="false">IF(Time!Z20&lt;Time!$F$12,SUMIFS(Funding!$J$70:$BJ$70,Construction!$J$12:$BJ$12,"&lt;="&amp;Time!Z20)+SUMIFS(Funding!$J$71:$BJ$71,Construction!$J$12:$BJ$12,"&lt;="&amp;Time!Z20),Waterfall!Z36)</f>
        <v>213.62737750174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219.626152867255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225.106622680861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231.658757468804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238.386762229555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245.001396512051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250.487381762215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255.608427064714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260.326097216059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264.610197465587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267.768224465822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270.156401844681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263.880914393084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246.332310656006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230.482396663529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194.930074548781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157.67003095693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118.841033803391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77.2566512912025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34.8494260632693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23.0291753968517</v>
      </c>
      <c r="P24" s="13" t="n">
        <f aca="false">Operations!P90+Operations!P91+Operations!P92+Operations!P93+Operations!P94</f>
        <v>22.9422243429146</v>
      </c>
      <c r="Q24" s="13" t="n">
        <f aca="false">Operations!Q90+Operations!Q91+Operations!Q92+Operations!Q93+Operations!Q94</f>
        <v>23.6492183980985</v>
      </c>
      <c r="R24" s="13" t="n">
        <f aca="false">Operations!R90+Operations!R91+Operations!R92+Operations!R93+Operations!R94</f>
        <v>23.1916686217048</v>
      </c>
      <c r="S24" s="13" t="n">
        <f aca="false">Operations!S90+Operations!S91+Operations!S92+Operations!S93+Operations!S94</f>
        <v>24.0407194379619</v>
      </c>
      <c r="T24" s="13" t="n">
        <f aca="false">Operations!T90+Operations!T91+Operations!T92+Operations!T93+Operations!T94</f>
        <v>23.8415696972526</v>
      </c>
      <c r="U24" s="13" t="n">
        <f aca="false">Operations!U90+Operations!U91+Operations!U92+Operations!U93+Operations!U94</f>
        <v>24.2768911224763</v>
      </c>
      <c r="V24" s="13" t="n">
        <f aca="false">Operations!V90+Operations!V91+Operations!V92+Operations!V93+Operations!V94</f>
        <v>23.5803269909249</v>
      </c>
      <c r="W24" s="13" t="n">
        <f aca="false">Operations!W90+Operations!W91+Operations!W92+Operations!W93+Operations!W94</f>
        <v>24.6238022019935</v>
      </c>
      <c r="X24" s="13" t="n">
        <f aca="false">Operations!X90+Operations!X91+Operations!X92+Operations!X93+Operations!X94</f>
        <v>24.7762622418462</v>
      </c>
      <c r="Y24" s="13" t="n">
        <f aca="false">Operations!Y90+Operations!Y91+Operations!Y92+Operations!Y93+Operations!Y94</f>
        <v>25.5402484929838</v>
      </c>
      <c r="Z24" s="13" t="n">
        <f aca="false">Operations!Z90+Operations!Z91+Operations!Z92+Operations!Z93+Operations!Z94</f>
        <v>25.0456123484159</v>
      </c>
      <c r="AA24" s="13" t="n">
        <f aca="false">Operations!AA90+Operations!AA91+Operations!AA92+Operations!AA93+Operations!AA94</f>
        <v>25.9631018748903</v>
      </c>
      <c r="AB24" s="13" t="n">
        <f aca="false">Operations!AB90+Operations!AB91+Operations!AB92+Operations!AB93+Operations!AB94</f>
        <v>25.7476877160986</v>
      </c>
      <c r="AC24" s="13" t="n">
        <f aca="false">Operations!AC90+Operations!AC91+Operations!AC92+Operations!AC93+Operations!AC94</f>
        <v>26.0614343284413</v>
      </c>
      <c r="AD24" s="13" t="n">
        <f aca="false">Operations!AD90+Operations!AD91+Operations!AD92+Operations!AD93+Operations!AD94</f>
        <v>25.0005643560497</v>
      </c>
      <c r="AE24" s="13" t="n">
        <f aca="false">Operations!AE90+Operations!AE91+Operations!AE92+Operations!AE93+Operations!AE94</f>
        <v>26.271766260252</v>
      </c>
      <c r="AF24" s="13" t="n">
        <f aca="false">Operations!AF90+Operations!AF91+Operations!AF92+Operations!AF93+Operations!AF94</f>
        <v>26.7572859721415</v>
      </c>
      <c r="AG24" s="13" t="n">
        <f aca="false">Operations!AG90+Operations!AG91+Operations!AG92+Operations!AG93+Operations!AG94</f>
        <v>27.582846358765</v>
      </c>
      <c r="AH24" s="13" t="n">
        <f aca="false">Operations!AH90+Operations!AH91+Operations!AH92+Operations!AH93+Operations!AH94</f>
        <v>27.0481318988446</v>
      </c>
      <c r="AI24" s="13" t="n">
        <f aca="false">Operations!AI90+Operations!AI91+Operations!AI92+Operations!AI93+Operations!AI94</f>
        <v>28.0395579009518</v>
      </c>
      <c r="AJ24" s="13" t="n">
        <f aca="false">Operations!AJ90+Operations!AJ91+Operations!AJ92+Operations!AJ93+Operations!AJ94</f>
        <v>27.8065530769205</v>
      </c>
      <c r="AK24" s="13" t="n">
        <f aca="false">Operations!AK90+Operations!AK91+Operations!AK92+Operations!AK93+Operations!AK94</f>
        <v>28.314623889046</v>
      </c>
      <c r="AL24" s="13" t="n">
        <f aca="false">Operations!AL90+Operations!AL91+Operations!AL92+Operations!AL93+Operations!AL94</f>
        <v>27.501112180336</v>
      </c>
      <c r="AM24" s="13" t="n">
        <f aca="false">Operations!AM90+Operations!AM91+Operations!AM92+Operations!AM93+Operations!AM94</f>
        <v>28.7195329964031</v>
      </c>
      <c r="AN24" s="13" t="n">
        <f aca="false">Operations!AN90+Operations!AN91+Operations!AN92+Operations!AN93+Operations!AN94</f>
        <v>28.8970434954114</v>
      </c>
      <c r="AO24" s="13" t="n">
        <f aca="false">Operations!AO90+Operations!AO91+Operations!AO92+Operations!AO93+Operations!AO94</f>
        <v>29.7891262741083</v>
      </c>
      <c r="AP24" s="13" t="n">
        <f aca="false">Operations!AP90+Operations!AP91+Operations!AP92+Operations!AP93+Operations!AP94</f>
        <v>29.2111023229215</v>
      </c>
      <c r="AQ24" s="13" t="n">
        <f aca="false">Operations!AQ90+Operations!AQ91+Operations!AQ92+Operations!AQ93+Operations!AQ94</f>
        <v>30.2824014357598</v>
      </c>
      <c r="AR24" s="13" t="n">
        <f aca="false">Operations!AR90+Operations!AR91+Operations!AR92+Operations!AR93+Operations!AR94</f>
        <v>30.0303723580739</v>
      </c>
      <c r="AS24" s="13" t="n">
        <f aca="false">Operations!AS90+Operations!AS91+Operations!AS92+Operations!AS93+Operations!AS94</f>
        <v>30.3964832416118</v>
      </c>
      <c r="AT24" s="13" t="n">
        <f aca="false">Operations!AT90+Operations!AT91+Operations!AT92+Operations!AT93+Operations!AT94</f>
        <v>29.157690475727</v>
      </c>
      <c r="AU24" s="13" t="n">
        <f aca="false">Operations!AU90+Operations!AU91+Operations!AU92+Operations!AU93+Operations!AU94</f>
        <v>30.6419369678124</v>
      </c>
      <c r="AV24" s="13" t="n">
        <f aca="false">Operations!AV90+Operations!AV91+Operations!AV92+Operations!AV93+Operations!AV94</f>
        <v>31.2082178157673</v>
      </c>
      <c r="AW24" s="13" t="n">
        <f aca="false">Operations!AW90+Operations!AW91+Operations!AW92+Operations!AW93+Operations!AW94</f>
        <v>32.1721666499646</v>
      </c>
      <c r="AX24" s="13" t="n">
        <f aca="false">Operations!AX90+Operations!AX91+Operations!AX92+Operations!AX93+Operations!AX94</f>
        <v>31.5473438644527</v>
      </c>
      <c r="AY24" s="13" t="n">
        <f aca="false">Operations!AY90+Operations!AY91+Operations!AY92+Operations!AY93+Operations!AY94</f>
        <v>32.7049263651395</v>
      </c>
      <c r="AZ24" s="13" t="n">
        <f aca="false">Operations!AZ90+Operations!AZ91+Operations!AZ92+Operations!AZ93+Operations!AZ94</f>
        <v>32.4323234854761</v>
      </c>
      <c r="BA24" s="13" t="n">
        <f aca="false">Operations!BA90+Operations!BA91+Operations!BA92+Operations!BA93+Operations!BA94</f>
        <v>33.0252852690028</v>
      </c>
      <c r="BB24" s="13" t="n">
        <f aca="false">Operations!BB90+Operations!BB91+Operations!BB92+Operations!BB93+Operations!BB94</f>
        <v>32.0753340946017</v>
      </c>
      <c r="BC24" s="13" t="n">
        <f aca="false">Operations!BC90+Operations!BC91+Operations!BC92+Operations!BC93+Operations!BC94</f>
        <v>33.4978954171414</v>
      </c>
      <c r="BD24" s="13" t="n">
        <f aca="false">Operations!BD90+Operations!BD91+Operations!BD92+Operations!BD93+Operations!BD94</f>
        <v>33.7045009903185</v>
      </c>
      <c r="BE24" s="13" t="n">
        <f aca="false">Operations!BE90+Operations!BE91+Operations!BE92+Operations!BE93+Operations!BE94</f>
        <v>34.7460863318274</v>
      </c>
      <c r="BF24" s="13" t="n">
        <f aca="false">Operations!BF90+Operations!BF91+Operations!BF92+Operations!BF93+Operations!BF94</f>
        <v>34.0706967810738</v>
      </c>
      <c r="BG24" s="13" t="n">
        <f aca="false">Operations!BG90+Operations!BG91+Operations!BG92+Operations!BG93+Operations!BG94</f>
        <v>35.3214840919804</v>
      </c>
      <c r="BH24" s="13" t="n">
        <f aca="false">Operations!BH90+Operations!BH91+Operations!BH92+Operations!BH93+Operations!BH94</f>
        <v>35.0266325974427</v>
      </c>
      <c r="BI24" s="13" t="n">
        <f aca="false">Operations!BI90+Operations!BI91+Operations!BI92+Operations!BI93+Operations!BI94</f>
        <v>35.4538641963345</v>
      </c>
      <c r="BJ24" s="13" t="n">
        <f aca="false">Operations!BJ90+Operations!BJ91+Operations!BJ92+Operations!BJ93+Operations!BJ94</f>
        <v>34.0075403315778</v>
      </c>
      <c r="BK24" s="13" t="n">
        <f aca="false">Operations!BK90+Operations!BK91+Operations!BK92+Operations!BK93+Operations!BK94</f>
        <v>35.7403494259382</v>
      </c>
      <c r="BL24" s="13" t="n">
        <f aca="false">Operations!BL90+Operations!BL91+Operations!BL92+Operations!BL93+Operations!BL94</f>
        <v>36.4006739575556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0</v>
      </c>
      <c r="AL25" s="13" t="n">
        <f aca="false">MAX(0,AL12)</f>
        <v>0</v>
      </c>
      <c r="AM25" s="13" t="n">
        <f aca="false">MAX(0,AM12)</f>
        <v>0</v>
      </c>
      <c r="AN25" s="13" t="n">
        <f aca="false">MAX(0,AN12)</f>
        <v>0</v>
      </c>
      <c r="AO25" s="13" t="n">
        <f aca="false">MAX(0,AO12)</f>
        <v>1.04478578511123</v>
      </c>
      <c r="AP25" s="13" t="n">
        <f aca="false">MAX(0,AP12)</f>
        <v>7.92535999778658</v>
      </c>
      <c r="AQ25" s="13" t="n">
        <f aca="false">MAX(0,AQ12)</f>
        <v>15.4766315738033</v>
      </c>
      <c r="AR25" s="13" t="n">
        <f aca="false">MAX(0,AR12)</f>
        <v>23.7292326281726</v>
      </c>
      <c r="AS25" s="13" t="n">
        <f aca="false">MAX(0,AS12)</f>
        <v>32.2084686275746</v>
      </c>
      <c r="AT25" s="13" t="n">
        <f aca="false">MAX(0,AT12)</f>
        <v>36.2686007818081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8.62539562627987</v>
      </c>
      <c r="P27" s="18" t="n">
        <f aca="false">Waterfall!P43</f>
        <v>12.5354038245353</v>
      </c>
      <c r="Q27" s="18" t="n">
        <f aca="false">Waterfall!Q43</f>
        <v>17.3607912491092</v>
      </c>
      <c r="R27" s="18" t="n">
        <f aca="false">Waterfall!R43</f>
        <v>21.9950850004215</v>
      </c>
      <c r="S27" s="18" t="n">
        <f aca="false">Waterfall!S43</f>
        <v>27.847089594091</v>
      </c>
      <c r="T27" s="18" t="n">
        <f aca="false">Waterfall!T43</f>
        <v>34.401454437309</v>
      </c>
      <c r="U27" s="18" t="n">
        <f aca="false">Waterfall!U43</f>
        <v>41.1192470601993</v>
      </c>
      <c r="V27" s="18" t="n">
        <f aca="false">Waterfall!V43</f>
        <v>44.209517558562</v>
      </c>
      <c r="W27" s="18" t="n">
        <f aca="false">Waterfall!W43</f>
        <v>51.5917676331234</v>
      </c>
      <c r="X27" s="18" t="n">
        <f aca="false">Waterfall!X43</f>
        <v>60.9494223081208</v>
      </c>
      <c r="Y27" s="18" t="n">
        <f aca="false">Waterfall!Y43</f>
        <v>68.3981222393794</v>
      </c>
      <c r="Z27" s="18" t="n">
        <f aca="false">Waterfall!Z43</f>
        <v>71.3091283936444</v>
      </c>
      <c r="AA27" s="18" t="n">
        <f aca="false">Waterfall!AA43</f>
        <v>75.1370413352433</v>
      </c>
      <c r="AB27" s="18" t="n">
        <f aca="false">Waterfall!AB43</f>
        <v>79.586831584574</v>
      </c>
      <c r="AC27" s="18" t="n">
        <f aca="false">Waterfall!AC43</f>
        <v>83.8953330124083</v>
      </c>
      <c r="AD27" s="18" t="n">
        <f aca="false">Waterfall!AD43</f>
        <v>75.3829690209295</v>
      </c>
      <c r="AE27" s="18" t="n">
        <f aca="false">Waterfall!AE43</f>
        <v>81.1069985011641</v>
      </c>
      <c r="AF27" s="18" t="n">
        <f aca="false">Waterfall!AF43</f>
        <v>89.9595554281565</v>
      </c>
      <c r="AG27" s="18" t="n">
        <f aca="false">Waterfall!AG43</f>
        <v>97.359661535411</v>
      </c>
      <c r="AH27" s="18" t="n">
        <f aca="false">Waterfall!AH43</f>
        <v>105.01376685411</v>
      </c>
      <c r="AI27" s="18" t="n">
        <f aca="false">Waterfall!AI43</f>
        <v>113.819959541516</v>
      </c>
      <c r="AJ27" s="18" t="n">
        <f aca="false">Waterfall!AJ43</f>
        <v>123.599565579163</v>
      </c>
      <c r="AK27" s="18" t="n">
        <f aca="false">Waterfall!AK43</f>
        <v>133.812569079765</v>
      </c>
      <c r="AL27" s="18" t="n">
        <f aca="false">Waterfall!AL43</f>
        <v>141.592767077813</v>
      </c>
      <c r="AM27" s="18" t="n">
        <f aca="false">Waterfall!AM43</f>
        <v>153.117969074922</v>
      </c>
      <c r="AN27" s="18" t="n">
        <f aca="false">Waterfall!AN43</f>
        <v>166.741576999814</v>
      </c>
      <c r="AO27" s="18" t="n">
        <f aca="false">Waterfall!AO43</f>
        <v>181.265307423145</v>
      </c>
      <c r="AP27" s="18" t="n">
        <f aca="false">Waterfall!AP43</f>
        <v>196.952881707</v>
      </c>
      <c r="AQ27" s="18" t="n">
        <f aca="false">Waterfall!AQ43</f>
        <v>214.202284450497</v>
      </c>
      <c r="AR27" s="18" t="n">
        <f aca="false">Waterfall!AR43</f>
        <v>233.083670161763</v>
      </c>
      <c r="AS27" s="18" t="n">
        <f aca="false">Waterfall!AS43</f>
        <v>252.499293575772</v>
      </c>
      <c r="AT27" s="18" t="n">
        <f aca="false">Waterfall!AT43</f>
        <v>251.669066634234</v>
      </c>
      <c r="AU27" s="18" t="n">
        <f aca="false">Waterfall!AU43</f>
        <v>231.8477290257</v>
      </c>
      <c r="AV27" s="18" t="n">
        <f aca="false">Waterfall!AV43</f>
        <v>215.219589969375</v>
      </c>
      <c r="AW27" s="18" t="n">
        <f aca="false">Waterfall!AW43</f>
        <v>198.316808377793</v>
      </c>
      <c r="AX27" s="18" t="n">
        <f aca="false">Waterfall!AX43</f>
        <v>180.855856883282</v>
      </c>
      <c r="AY27" s="18" t="n">
        <f aca="false">Waterfall!AY43</f>
        <v>164.078803068709</v>
      </c>
      <c r="AZ27" s="18" t="n">
        <f aca="false">Waterfall!AZ43</f>
        <v>146.868806117614</v>
      </c>
      <c r="BA27" s="18" t="n">
        <f aca="false">Waterfall!BA43</f>
        <v>130.219665916226</v>
      </c>
      <c r="BB27" s="18" t="n">
        <f aca="false">Waterfall!BB43</f>
        <v>109.88692695305</v>
      </c>
      <c r="BC27" s="18" t="n">
        <f aca="false">Waterfall!BC43</f>
        <v>96.1249423863518</v>
      </c>
      <c r="BD27" s="18" t="n">
        <f aca="false">Waterfall!BD43</f>
        <v>88.7606562066614</v>
      </c>
      <c r="BE27" s="18" t="n">
        <f aca="false">Waterfall!BE43</f>
        <v>81.3961507287532</v>
      </c>
      <c r="BF27" s="18" t="n">
        <f aca="false">Waterfall!BF43</f>
        <v>73.4736442740285</v>
      </c>
      <c r="BG27" s="18" t="n">
        <f aca="false">Waterfall!BG43</f>
        <v>66.2742050511563</v>
      </c>
      <c r="BH27" s="18" t="n">
        <f aca="false">Waterfall!BH43</f>
        <v>58.647429944307</v>
      </c>
      <c r="BI27" s="18" t="n">
        <f aca="false">Waterfall!BI43</f>
        <v>50.9609896771921</v>
      </c>
      <c r="BJ27" s="18" t="n">
        <f aca="false">Waterfall!BJ43</f>
        <v>23.0117057009173</v>
      </c>
      <c r="BK27" s="18" t="n">
        <f aca="false">Waterfall!BK43</f>
        <v>13.3919714120602</v>
      </c>
      <c r="BL27" s="18" t="n">
        <f aca="false">Waterfall!BL43</f>
        <v>3.67580630342181</v>
      </c>
      <c r="BM27" s="18" t="n">
        <f aca="false">Waterfall!BM43</f>
        <v>-44.3667535168116</v>
      </c>
      <c r="BN27" s="18" t="n">
        <f aca="false">Waterfall!BN43</f>
        <v>-44.3667535168116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914.138712150001</v>
      </c>
      <c r="P28" s="13" t="n">
        <f aca="false">P22+P23+P24+P25+P26+P27</f>
        <v>901.054226973751</v>
      </c>
      <c r="Q28" s="13" t="n">
        <f aca="false">Q22+Q23+Q24+Q25+Q26+Q27</f>
        <v>891.145709114327</v>
      </c>
      <c r="R28" s="13" t="n">
        <f aca="false">R22+R23+R24+R25+R26+R27</f>
        <v>878.810657582763</v>
      </c>
      <c r="S28" s="13" t="n">
        <f aca="false">S22+S23+S24+S25+S26+S27</f>
        <v>869.1030543813</v>
      </c>
      <c r="T28" s="13" t="n">
        <f aca="false">T22+T23+T24+T25+T26+T27</f>
        <v>857.354803988195</v>
      </c>
      <c r="U28" s="13" t="n">
        <f aca="false">U22+U23+U24+U25+U26+U27</f>
        <v>847.211692876689</v>
      </c>
      <c r="V28" s="13" t="n">
        <f aca="false">V22+V23+V24+V25+V26+V27</f>
        <v>831.542312485715</v>
      </c>
      <c r="W28" s="13" t="n">
        <f aca="false">W22+W23+W24+W25+W26+W27</f>
        <v>820.23838150025</v>
      </c>
      <c r="X28" s="13" t="n">
        <f aca="false">X22+X23+X24+X25+X26+X27</f>
        <v>810.510089916808</v>
      </c>
      <c r="Y28" s="13" t="n">
        <f aca="false">Y22+Y23+Y24+Y25+Y26+Y27</f>
        <v>799.91341170235</v>
      </c>
      <c r="Z28" s="13" t="n">
        <f aca="false">Z22+Z23+Z24+Z25+Z26+Z27</f>
        <v>782.673397875305</v>
      </c>
      <c r="AA28" s="13" t="n">
        <f aca="false">AA22+AA23+AA24+AA25+AA26+AA27</f>
        <v>767.806384912688</v>
      </c>
      <c r="AB28" s="13" t="n">
        <f aca="false">AB22+AB23+AB24+AB25+AB26+AB27</f>
        <v>750.133904068104</v>
      </c>
      <c r="AC28" s="13" t="n">
        <f aca="false">AC22+AC23+AC24+AC25+AC26+AC27</f>
        <v>734.412733126196</v>
      </c>
      <c r="AD28" s="13" t="n">
        <f aca="false">AD22+AD23+AD24+AD25+AD26+AD27</f>
        <v>702.612476598283</v>
      </c>
      <c r="AE28" s="13" t="n">
        <f aca="false">AE22+AE23+AE24+AE25+AE26+AE27</f>
        <v>686.306805271164</v>
      </c>
      <c r="AF28" s="13" t="n">
        <f aca="false">AF22+AF23+AF24+AF25+AF26+AF27</f>
        <v>669.107086963376</v>
      </c>
      <c r="AG28" s="13" t="n">
        <f aca="false">AG22+AG23+AG24+AG25+AG26+AG27</f>
        <v>650.13872963834</v>
      </c>
      <c r="AH28" s="13" t="n">
        <f aca="false">AH22+AH23+AH24+AH25+AH26+AH27</f>
        <v>628.30499856156</v>
      </c>
      <c r="AI28" s="13" t="n">
        <f aca="false">AI22+AI23+AI24+AI25+AI26+AI27</f>
        <v>608.509132422579</v>
      </c>
      <c r="AJ28" s="13" t="n">
        <f aca="false">AJ22+AJ23+AJ24+AJ25+AJ26+AJ27</f>
        <v>585.859150317664</v>
      </c>
      <c r="AK28" s="13" t="n">
        <f aca="false">AK22+AK23+AK24+AK25+AK26+AK27</f>
        <v>563.920929003465</v>
      </c>
      <c r="AL28" s="13" t="n">
        <f aca="false">AL22+AL23+AL24+AL25+AL26+AL27</f>
        <v>535.878228121253</v>
      </c>
      <c r="AM28" s="13" t="n">
        <f aca="false">AM22+AM23+AM24+AM25+AM26+AM27</f>
        <v>509.085144393474</v>
      </c>
      <c r="AN28" s="13" t="n">
        <f aca="false">AN22+AN23+AN24+AN25+AN26+AN27</f>
        <v>488.896425039144</v>
      </c>
      <c r="AO28" s="13" t="n">
        <f aca="false">AO22+AO23+AO24+AO25+AO26+AO27</f>
        <v>451.396047547957</v>
      </c>
      <c r="AP28" s="13" t="n">
        <f aca="false">AP22+AP23+AP24+AP25+AP26+AP27</f>
        <v>436.126128501449</v>
      </c>
      <c r="AQ28" s="13" t="n">
        <f aca="false">AQ22+AQ23+AQ24+AQ25+AQ26+AQ27</f>
        <v>423.169104780262</v>
      </c>
      <c r="AR28" s="13" t="n">
        <f aca="false">AR22+AR23+AR24+AR25+AR26+AR27</f>
        <v>408.466679956024</v>
      </c>
      <c r="AS28" s="13" t="n">
        <f aca="false">AS22+AS23+AS24+AS25+AS26+AS27</f>
        <v>394.320425025039</v>
      </c>
      <c r="AT28" s="13" t="n">
        <f aca="false">AT22+AT23+AT24+AT25+AT26+AT27</f>
        <v>361.46211140858</v>
      </c>
      <c r="AU28" s="13" t="n">
        <f aca="false">AU22+AU23+AU24+AU25+AU26+AU27</f>
        <v>346.850036712524</v>
      </c>
      <c r="AV28" s="13" t="n">
        <f aca="false">AV22+AV23+AV24+AV25+AV26+AV27</f>
        <v>331.792202366971</v>
      </c>
      <c r="AW28" s="13" t="n">
        <f aca="false">AW22+AW23+AW24+AW25+AW26+AW27</f>
        <v>316.857393472403</v>
      </c>
      <c r="AX28" s="13" t="n">
        <f aca="false">AX22+AX23+AX24+AX25+AX26+AX27</f>
        <v>299.775643055197</v>
      </c>
      <c r="AY28" s="13" t="n">
        <f aca="false">AY22+AY23+AY24+AY25+AY26+AY27</f>
        <v>285.160195604127</v>
      </c>
      <c r="AZ28" s="13" t="n">
        <f aca="false">AZ22+AZ23+AZ24+AZ25+AZ26+AZ27</f>
        <v>268.681619636185</v>
      </c>
      <c r="BA28" s="13" t="n">
        <f aca="false">BA22+BA23+BA24+BA25+BA26+BA27</f>
        <v>253.62946508114</v>
      </c>
      <c r="BB28" s="13" t="n">
        <f aca="false">BB22+BB23+BB24+BB25+BB26+BB27</f>
        <v>233.350798806381</v>
      </c>
      <c r="BC28" s="13" t="n">
        <f aca="false">BC22+BC23+BC24+BC25+BC26+BC27</f>
        <v>220.09102035464</v>
      </c>
      <c r="BD28" s="13" t="n">
        <f aca="false">BD22+BD23+BD24+BD25+BD26+BD27</f>
        <v>208.164226399747</v>
      </c>
      <c r="BE28" s="13" t="n">
        <f aca="false">BE22+BE23+BE24+BE25+BE26+BE27</f>
        <v>197.072192914968</v>
      </c>
      <c r="BF28" s="13" t="n">
        <f aca="false">BF22+BF23+BF24+BF25+BF26+BF27</f>
        <v>183.70518356111</v>
      </c>
      <c r="BG28" s="13" t="n">
        <f aca="false">BG22+BG23+BG24+BG25+BG26+BG27</f>
        <v>172.987418300765</v>
      </c>
      <c r="BH28" s="13" t="n">
        <f aca="false">BH22+BH23+BH24+BH25+BH26+BH27</f>
        <v>160.296678350999</v>
      </c>
      <c r="BI28" s="13" t="n">
        <f aca="false">BI22+BI23+BI24+BI25+BI26+BI27</f>
        <v>148.268356334396</v>
      </c>
      <c r="BJ28" s="13" t="n">
        <f aca="false">BJ22+BJ23+BJ24+BJ25+BJ26+BJ27</f>
        <v>114.103635144985</v>
      </c>
      <c r="BK28" s="13" t="n">
        <f aca="false">BK22+BK23+BK24+BK25+BK26+BK27</f>
        <v>101.447596602109</v>
      </c>
      <c r="BL28" s="13" t="n">
        <f aca="false">BL22+BL23+BL24+BL25+BL26+BL27</f>
        <v>87.6226426767085</v>
      </c>
      <c r="BM28" s="13" t="n">
        <f aca="false">BM22+BM23+BM24+BM25+BM26+BM27</f>
        <v>-1.63424829224823E-013</v>
      </c>
      <c r="BN28" s="13" t="n">
        <f aca="false">BN22+BN23+BN24+BN25+BN26+BN27</f>
        <v>-1.63424829224823E-013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1.63424829224823E-013</v>
      </c>
      <c r="BN29" s="13" t="n">
        <f aca="false">BN21-BN28</f>
        <v>1.63424829224823E-013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2362.07680334811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15.7316262130605</v>
      </c>
      <c r="P32" s="18" t="n">
        <f aca="false">Operations!P84</f>
        <v>47.1906977809922</v>
      </c>
      <c r="Q32" s="18" t="n">
        <f aca="false">Operations!Q84</f>
        <v>47.134892944072</v>
      </c>
      <c r="R32" s="18" t="n">
        <f aca="false">Operations!R84</f>
        <v>46.8088585219877</v>
      </c>
      <c r="S32" s="18" t="n">
        <f aca="false">Operations!S84</f>
        <v>47.0966816197857</v>
      </c>
      <c r="T32" s="18" t="n">
        <f aca="false">Operations!T84</f>
        <v>47.6238423253093</v>
      </c>
      <c r="U32" s="18" t="n">
        <f aca="false">Operations!U84</f>
        <v>46.9245091423278</v>
      </c>
      <c r="V32" s="18" t="n">
        <f aca="false">Operations!V84</f>
        <v>42.9647265878698</v>
      </c>
      <c r="W32" s="18" t="n">
        <f aca="false">Operations!W84</f>
        <v>46.3109138474746</v>
      </c>
      <c r="X32" s="18" t="n">
        <f aca="false">Operations!X84</f>
        <v>47.9718076843973</v>
      </c>
      <c r="Y32" s="18" t="n">
        <f aca="false">Operations!Y84</f>
        <v>47.8284967785752</v>
      </c>
      <c r="Z32" s="18" t="n">
        <f aca="false">Operations!Z84</f>
        <v>47.4837507404244</v>
      </c>
      <c r="AA32" s="18" t="n">
        <f aca="false">Operations!AA84</f>
        <v>47.7839604102373</v>
      </c>
      <c r="AB32" s="18" t="n">
        <f aca="false">Operations!AB84</f>
        <v>48.3337907881111</v>
      </c>
      <c r="AC32" s="18" t="n">
        <f aca="false">Operations!AC84</f>
        <v>47.138798941428</v>
      </c>
      <c r="AD32" s="18" t="n">
        <f aca="false">Operations!AD84</f>
        <v>32.8395963376893</v>
      </c>
      <c r="AE32" s="18" t="n">
        <f aca="false">Operations!AE84</f>
        <v>46.0291946867393</v>
      </c>
      <c r="AF32" s="18" t="n">
        <f aca="false">Operations!AF84</f>
        <v>48.710365747942</v>
      </c>
      <c r="AG32" s="18" t="n">
        <f aca="false">Operations!AG84</f>
        <v>48.5652379239755</v>
      </c>
      <c r="AH32" s="18" t="n">
        <f aca="false">Operations!AH84</f>
        <v>48.2140105639937</v>
      </c>
      <c r="AI32" s="18" t="n">
        <f aca="false">Operations!AI84</f>
        <v>48.5276324690605</v>
      </c>
      <c r="AJ32" s="18" t="n">
        <f aca="false">Operations!AJ84</f>
        <v>49.1021305561232</v>
      </c>
      <c r="AK32" s="18" t="n">
        <f aca="false">Operations!AK84</f>
        <v>48.3603121388507</v>
      </c>
      <c r="AL32" s="18" t="n">
        <f aca="false">Operations!AL84</f>
        <v>43.8336316855716</v>
      </c>
      <c r="AM32" s="18" t="n">
        <f aca="false">Operations!AM84</f>
        <v>47.7201020903104</v>
      </c>
      <c r="AN32" s="18" t="n">
        <f aca="false">Operations!AN84</f>
        <v>49.5097080927396</v>
      </c>
      <c r="AO32" s="18" t="n">
        <f aca="false">Operations!AO84</f>
        <v>49.3625362132001</v>
      </c>
      <c r="AP32" s="18" t="n">
        <f aca="false">Operations!AP84</f>
        <v>49.004259800921</v>
      </c>
      <c r="AQ32" s="18" t="n">
        <f aca="false">Operations!AQ84</f>
        <v>49.3324066628126</v>
      </c>
      <c r="AR32" s="18" t="n">
        <f aca="false">Operations!AR84</f>
        <v>49.9337471758019</v>
      </c>
      <c r="AS32" s="18" t="n">
        <f aca="false">Operations!AS84</f>
        <v>48.6574880335134</v>
      </c>
      <c r="AT32" s="18" t="n">
        <f aca="false">Operations!AT84</f>
        <v>31.9364582302428</v>
      </c>
      <c r="AU32" s="18" t="n">
        <f aca="false">Operations!AU84</f>
        <v>47.4824264122791</v>
      </c>
      <c r="AV32" s="18" t="n">
        <f aca="false">Operations!AV84</f>
        <v>50.3749236561374</v>
      </c>
      <c r="AW32" s="18" t="n">
        <f aca="false">Operations!AW84</f>
        <v>50.2254564379554</v>
      </c>
      <c r="AX32" s="18" t="n">
        <f aca="false">Operations!AX84</f>
        <v>49.8595124027395</v>
      </c>
      <c r="AY32" s="18" t="n">
        <f aca="false">Operations!AY84</f>
        <v>50.2033915607177</v>
      </c>
      <c r="AZ32" s="18" t="n">
        <f aca="false">Operations!AZ84</f>
        <v>50.8339415590235</v>
      </c>
      <c r="BA32" s="18" t="n">
        <f aca="false">Operations!BA84</f>
        <v>50.041538330416</v>
      </c>
      <c r="BB32" s="18" t="n">
        <f aca="false">Operations!BB84</f>
        <v>44.8407419904449</v>
      </c>
      <c r="BC32" s="18" t="n">
        <f aca="false">Operations!BC84</f>
        <v>49.3695373678182</v>
      </c>
      <c r="BD32" s="18" t="n">
        <f aca="false">Operations!BD84</f>
        <v>51.3115342745816</v>
      </c>
      <c r="BE32" s="18" t="n">
        <f aca="false">Operations!BE84</f>
        <v>51.1594939258385</v>
      </c>
      <c r="BF32" s="18" t="n">
        <f aca="false">Operations!BF84</f>
        <v>50.785208219945</v>
      </c>
      <c r="BG32" s="18" t="n">
        <f aca="false">Operations!BG84</f>
        <v>51.1461298595366</v>
      </c>
      <c r="BH32" s="18" t="n">
        <f aca="false">Operations!BH84</f>
        <v>51.8084657990281</v>
      </c>
      <c r="BI32" s="18" t="n">
        <f aca="false">Operations!BI84</f>
        <v>50.4356834705996</v>
      </c>
      <c r="BJ32" s="18" t="n">
        <f aca="false">Operations!BJ84</f>
        <v>30.8333390533898</v>
      </c>
      <c r="BK32" s="18" t="n">
        <f aca="false">Operations!BK84</f>
        <v>49.1828182329402</v>
      </c>
      <c r="BL32" s="18" t="n">
        <f aca="false">Operations!BL84</f>
        <v>52.3255320289786</v>
      </c>
      <c r="BM32" s="18" t="n">
        <f aca="false">Operations!BM84</f>
        <v>15.8909560302025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-219.558032623059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-0.113608644444605</v>
      </c>
      <c r="Z33" s="13" t="n">
        <f aca="false">-Tax!Z27</f>
        <v>-0.340019216090878</v>
      </c>
      <c r="AA33" s="13" t="n">
        <f aca="false">-Tax!AA27</f>
        <v>-0.342765630663072</v>
      </c>
      <c r="AB33" s="13" t="n">
        <f aca="false">-Tax!AB27</f>
        <v>-0.346731259442194</v>
      </c>
      <c r="AC33" s="13" t="n">
        <f aca="false">-Tax!AC27</f>
        <v>-0.341558618979607</v>
      </c>
      <c r="AD33" s="13" t="n">
        <f aca="false">-Tax!AD27</f>
        <v>-0.329524870498681</v>
      </c>
      <c r="AE33" s="13" t="n">
        <f aca="false">-Tax!AE27</f>
        <v>-0.337921184884861</v>
      </c>
      <c r="AF33" s="13" t="n">
        <f aca="false">-Tax!AF27</f>
        <v>-0.353278312843685</v>
      </c>
      <c r="AG33" s="13" t="n">
        <f aca="false">-Tax!AG27</f>
        <v>-0.353739432262868</v>
      </c>
      <c r="AH33" s="13" t="n">
        <f aca="false">-Tax!AH27</f>
        <v>-0.352981284361787</v>
      </c>
      <c r="AI33" s="13" t="n">
        <f aca="false">-Tax!AI27</f>
        <v>-0.35591229349559</v>
      </c>
      <c r="AJ33" s="13" t="n">
        <f aca="false">-Tax!AJ27</f>
        <v>-0.36011096382338</v>
      </c>
      <c r="AK33" s="13" t="n">
        <f aca="false">-Tax!AK27</f>
        <v>-0.357443783660565</v>
      </c>
      <c r="AL33" s="13" t="n">
        <f aca="false">-Tax!AL27</f>
        <v>-0.350309021761076</v>
      </c>
      <c r="AM33" s="13" t="n">
        <f aca="false">-Tax!AM27</f>
        <v>-0.356500395673222</v>
      </c>
      <c r="AN33" s="13" t="n">
        <f aca="false">-Tax!AN27</f>
        <v>-0.367241665945446</v>
      </c>
      <c r="AO33" s="13" t="n">
        <f aca="false">-Tax!AO27</f>
        <v>-0.367804132607598</v>
      </c>
      <c r="AP33" s="13" t="n">
        <f aca="false">-Tax!AP27</f>
        <v>-0.367098879054636</v>
      </c>
      <c r="AQ33" s="13" t="n">
        <f aca="false">-Tax!AQ27</f>
        <v>-0.370230933875713</v>
      </c>
      <c r="AR33" s="13" t="n">
        <f aca="false">-Tax!AR27</f>
        <v>-0.374683415594761</v>
      </c>
      <c r="AS33" s="13" t="n">
        <f aca="false">-Tax!AS27</f>
        <v>-0.369260584596024</v>
      </c>
      <c r="AT33" s="13" t="n">
        <f aca="false">-Tax!AT27</f>
        <v>-0.356411995814225</v>
      </c>
      <c r="AU33" s="13" t="n">
        <f aca="false">-Tax!AU27</f>
        <v>-5.49959218920816</v>
      </c>
      <c r="AV33" s="13" t="n">
        <f aca="false">-Tax!AV27</f>
        <v>-9.0883339199408</v>
      </c>
      <c r="AW33" s="13" t="n">
        <f aca="false">-Tax!AW27</f>
        <v>-9.04349375448619</v>
      </c>
      <c r="AX33" s="13" t="n">
        <f aca="false">-Tax!AX27</f>
        <v>-8.93371054392143</v>
      </c>
      <c r="AY33" s="13" t="n">
        <f aca="false">-Tax!AY27</f>
        <v>-9.03687429131488</v>
      </c>
      <c r="AZ33" s="13" t="n">
        <f aca="false">-Tax!AZ27</f>
        <v>-9.22603929080664</v>
      </c>
      <c r="BA33" s="13" t="n">
        <f aca="false">-Tax!BA27</f>
        <v>-8.98831832222439</v>
      </c>
      <c r="BB33" s="13" t="n">
        <f aca="false">-Tax!BB27</f>
        <v>-7.42807942023305</v>
      </c>
      <c r="BC33" s="13" t="n">
        <f aca="false">-Tax!BC27</f>
        <v>-10.7110971038438</v>
      </c>
      <c r="BD33" s="13" t="n">
        <f aca="false">-Tax!BD27</f>
        <v>-15.1424543166703</v>
      </c>
      <c r="BE33" s="13" t="n">
        <f aca="false">-Tax!BE27</f>
        <v>-15.0968422120474</v>
      </c>
      <c r="BF33" s="13" t="n">
        <f aca="false">-Tax!BF27</f>
        <v>-14.9845565002793</v>
      </c>
      <c r="BG33" s="13" t="n">
        <f aca="false">-Tax!BG27</f>
        <v>-15.0928329921568</v>
      </c>
      <c r="BH33" s="13" t="n">
        <f aca="false">-Tax!BH27</f>
        <v>-15.2915337740042</v>
      </c>
      <c r="BI33" s="13" t="n">
        <f aca="false">-Tax!BI27</f>
        <v>-14.8796990754757</v>
      </c>
      <c r="BJ33" s="13" t="n">
        <f aca="false">-Tax!BJ27</f>
        <v>-8.99899575031275</v>
      </c>
      <c r="BK33" s="13" t="n">
        <f aca="false">-Tax!BK27</f>
        <v>-14.5038395041779</v>
      </c>
      <c r="BL33" s="13" t="n">
        <f aca="false">-Tax!BL27</f>
        <v>-15.4466536429894</v>
      </c>
      <c r="BM33" s="13" t="n">
        <f aca="false">-Tax!BM27</f>
        <v>-4.59994949859128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-14.1541381909532</v>
      </c>
      <c r="P34" s="13" t="n">
        <f aca="false">-Operations!P96+Operations!P97</f>
        <v>0.0338236878485176</v>
      </c>
      <c r="Q34" s="13" t="n">
        <f aca="false">-Operations!Q96+Operations!Q97</f>
        <v>-0.214062883266307</v>
      </c>
      <c r="R34" s="13" t="n">
        <f aca="false">-Operations!R96+Operations!R97</f>
        <v>0.288685729641593</v>
      </c>
      <c r="S34" s="13" t="n">
        <f aca="false">-Operations!S96+Operations!S97</f>
        <v>-0.322784123496181</v>
      </c>
      <c r="T34" s="13" t="n">
        <f aca="false">-Operations!T96+Operations!T97</f>
        <v>0.0712321950938204</v>
      </c>
      <c r="U34" s="13" t="n">
        <f aca="false">-Operations!U96+Operations!U97</f>
        <v>-0.0016834133721364</v>
      </c>
      <c r="V34" s="13" t="n">
        <f aca="false">-Operations!V96+Operations!V97</f>
        <v>0.496901902543275</v>
      </c>
      <c r="W34" s="13" t="n">
        <f aca="false">-Operations!W96+Operations!W97</f>
        <v>-0.462637887609034</v>
      </c>
      <c r="X34" s="13" t="n">
        <f aca="false">-Operations!X96+Operations!X97</f>
        <v>-0.216520595977798</v>
      </c>
      <c r="Y34" s="13" t="n">
        <f aca="false">-Operations!Y96+Operations!Y97</f>
        <v>-0.221002582838038</v>
      </c>
      <c r="Z34" s="13" t="n">
        <f aca="false">-Operations!Z96+Operations!Z97</f>
        <v>0.294016838210696</v>
      </c>
      <c r="AA34" s="13" t="n">
        <f aca="false">-Operations!AA96+Operations!AA97</f>
        <v>-0.33345841092574</v>
      </c>
      <c r="AB34" s="13" t="n">
        <f aca="false">-Operations!AB96+Operations!AB97</f>
        <v>0.0692089327175829</v>
      </c>
      <c r="AC34" s="13" t="n">
        <f aca="false">-Operations!AC96+Operations!AC97</f>
        <v>0.118574959817897</v>
      </c>
      <c r="AD34" s="13" t="n">
        <f aca="false">-Operations!AD96+Operations!AD97</f>
        <v>0.749654229242644</v>
      </c>
      <c r="AE34" s="13" t="n">
        <f aca="false">-Operations!AE96+Operations!AE97</f>
        <v>-0.593320009476454</v>
      </c>
      <c r="AF34" s="13" t="n">
        <f aca="false">-Operations!AF96+Operations!AF97</f>
        <v>-0.473735709641392</v>
      </c>
      <c r="AG34" s="13" t="n">
        <f aca="false">-Operations!AG96+Operations!AG97</f>
        <v>-0.228496421706115</v>
      </c>
      <c r="AH34" s="13" t="n">
        <f aca="false">-Operations!AH96+Operations!AH97</f>
        <v>0.299793312048122</v>
      </c>
      <c r="AI34" s="13" t="n">
        <f aca="false">-Operations!AI96+Operations!AI97</f>
        <v>-0.345012049939264</v>
      </c>
      <c r="AJ34" s="13" t="n">
        <f aca="false">-Operations!AJ96+Operations!AJ97</f>
        <v>0.066988986000819</v>
      </c>
      <c r="AK34" s="13" t="n">
        <f aca="false">-Operations!AK96+Operations!AK97</f>
        <v>-0.00284543606721321</v>
      </c>
      <c r="AL34" s="13" t="n">
        <f aca="false">-Operations!AL96+Operations!AL97</f>
        <v>0.525062060712669</v>
      </c>
      <c r="AM34" s="13" t="n">
        <f aca="false">-Operations!AM96+Operations!AM97</f>
        <v>-0.495363539989686</v>
      </c>
      <c r="AN34" s="13" t="n">
        <f aca="false">-Operations!AN96+Operations!AN97</f>
        <v>-0.241800011450124</v>
      </c>
      <c r="AO34" s="13" t="n">
        <f aca="false">-Operations!AO96+Operations!AO97</f>
        <v>-0.236589892331104</v>
      </c>
      <c r="AP34" s="13" t="n">
        <f aca="false">-Operations!AP96+Operations!AP97</f>
        <v>0.306053133862553</v>
      </c>
      <c r="AQ34" s="13" t="n">
        <f aca="false">-Operations!AQ96+Operations!AQ97</f>
        <v>-0.357519127433589</v>
      </c>
      <c r="AR34" s="13" t="n">
        <f aca="false">-Operations!AR96+Operations!AR97</f>
        <v>0.0645537850937945</v>
      </c>
      <c r="AS34" s="13" t="n">
        <f aca="false">-Operations!AS96+Operations!AS97</f>
        <v>0.126523853063997</v>
      </c>
      <c r="AT34" s="13" t="n">
        <f aca="false">-Operations!AT96+Operations!AT97</f>
        <v>0.798455290706672</v>
      </c>
      <c r="AU34" s="13" t="n">
        <f aca="false">-Operations!AU96+Operations!AU97</f>
        <v>-0.637409858803631</v>
      </c>
      <c r="AV34" s="13" t="n">
        <f aca="false">-Operations!AV96+Operations!AV97</f>
        <v>-0.51997485251427</v>
      </c>
      <c r="AW34" s="13" t="n">
        <f aca="false">-Operations!AW96+Operations!AW97</f>
        <v>-0.245332317257175</v>
      </c>
      <c r="AX34" s="13" t="n">
        <f aca="false">-Operations!AX96+Operations!AX97</f>
        <v>0.312837585672156</v>
      </c>
      <c r="AY34" s="13" t="n">
        <f aca="false">-Operations!AY96+Operations!AY97</f>
        <v>-0.371060094265857</v>
      </c>
      <c r="AZ34" s="13" t="n">
        <f aca="false">-Operations!AZ96+Operations!AZ97</f>
        <v>0.0618830422561505</v>
      </c>
      <c r="BA34" s="13" t="n">
        <f aca="false">-Operations!BA96+Operations!BA97</f>
        <v>-0.00400532084167971</v>
      </c>
      <c r="BB34" s="13" t="n">
        <f aca="false">-Operations!BB96+Operations!BB97</f>
        <v>0.558288302516836</v>
      </c>
      <c r="BC34" s="13" t="n">
        <f aca="false">-Operations!BC96+Operations!BC97</f>
        <v>-0.533818199322765</v>
      </c>
      <c r="BD34" s="13" t="n">
        <f aca="false">-Operations!BD96+Operations!BD97</f>
        <v>-0.271780597516143</v>
      </c>
      <c r="BE34" s="13" t="n">
        <f aca="false">-Operations!BE96+Operations!BE97</f>
        <v>-0.254777178589215</v>
      </c>
      <c r="BF34" s="13" t="n">
        <f aca="false">-Operations!BF96+Operations!BF97</f>
        <v>0.320191539843631</v>
      </c>
      <c r="BG34" s="13" t="n">
        <f aca="false">-Operations!BG96+Operations!BG97</f>
        <v>-0.385722320644135</v>
      </c>
      <c r="BH34" s="13" t="n">
        <f aca="false">-Operations!BH96+Operations!BH97</f>
        <v>0.0589545952647157</v>
      </c>
      <c r="BI34" s="13" t="n">
        <f aca="false">-Operations!BI96+Operations!BI97</f>
        <v>0.136150501065181</v>
      </c>
      <c r="BJ34" s="13" t="n">
        <f aca="false">-Operations!BJ96+Operations!BJ97</f>
        <v>0.856089217068547</v>
      </c>
      <c r="BK34" s="13" t="n">
        <f aca="false">-Operations!BK96+Operations!BK97</f>
        <v>-0.689291881734757</v>
      </c>
      <c r="BL34" s="13" t="n">
        <f aca="false">-Operations!BL96+Operations!BL97</f>
        <v>-0.574748631557227</v>
      </c>
      <c r="BM34" s="13" t="n">
        <f aca="false">-Operations!BM96+Operations!BM97</f>
        <v>22.1249678592283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2147.86877072505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1.57748802210733</v>
      </c>
      <c r="P36" s="13" t="n">
        <f aca="false">P32+P33+P34+P35</f>
        <v>46.8082531663859</v>
      </c>
      <c r="Q36" s="13" t="n">
        <f aca="false">Q32+Q33+Q34+Q35</f>
        <v>46.5045617583509</v>
      </c>
      <c r="R36" s="13" t="n">
        <f aca="false">R32+R33+R34+R35</f>
        <v>46.6812759491744</v>
      </c>
      <c r="S36" s="13" t="n">
        <f aca="false">S32+S33+S34+S35</f>
        <v>46.3576291938347</v>
      </c>
      <c r="T36" s="13" t="n">
        <f aca="false">T32+T33+T34+T35</f>
        <v>47.2788062179482</v>
      </c>
      <c r="U36" s="13" t="n">
        <f aca="false">U32+U33+U34+U35</f>
        <v>46.5065574265008</v>
      </c>
      <c r="V36" s="13" t="n">
        <f aca="false">V32+V33+V34+V35</f>
        <v>45.9592383051422</v>
      </c>
      <c r="W36" s="13" t="n">
        <f aca="false">W32+W33+W34+W35</f>
        <v>45.8482759598656</v>
      </c>
      <c r="X36" s="13" t="n">
        <f aca="false">X32+X33+X34+X35</f>
        <v>45.7825445447861</v>
      </c>
      <c r="Y36" s="13" t="n">
        <f aca="false">Y32+Y33+Y34+Y35</f>
        <v>45.5211430076591</v>
      </c>
      <c r="Z36" s="13" t="n">
        <f aca="false">Z32+Z33+Z34+Z35</f>
        <v>45.4650058189108</v>
      </c>
      <c r="AA36" s="13" t="n">
        <f aca="false">AA32+AA33+AA34+AA35</f>
        <v>45.134993825015</v>
      </c>
      <c r="AB36" s="13" t="n">
        <f aca="false">AB32+AB33+AB34+AB35</f>
        <v>46.0835259177531</v>
      </c>
      <c r="AC36" s="13" t="n">
        <f aca="false">AC32+AC33+AC34+AC35</f>
        <v>44.9430727386328</v>
      </c>
      <c r="AD36" s="13" t="n">
        <f aca="false">AD32+AD33+AD34+AD35</f>
        <v>45.096180958234</v>
      </c>
      <c r="AE36" s="13" t="n">
        <f aca="false">AE32+AE33+AE34+AE35</f>
        <v>45.097953492378</v>
      </c>
      <c r="AF36" s="13" t="n">
        <f aca="false">AF32+AF33+AF34+AF35</f>
        <v>47.387923770541</v>
      </c>
      <c r="AG36" s="13" t="n">
        <f aca="false">AG32+AG33+AG34+AG35</f>
        <v>47.4875741150906</v>
      </c>
      <c r="AH36" s="13" t="n">
        <f aca="false">AH32+AH33+AH34+AH35</f>
        <v>47.6653946367641</v>
      </c>
      <c r="AI36" s="13" t="n">
        <f aca="false">AI32+AI33+AI34+AI35</f>
        <v>47.3312801707097</v>
      </c>
      <c r="AJ36" s="13" t="n">
        <f aca="false">AJ32+AJ33+AJ34+AJ35</f>
        <v>48.3135806233848</v>
      </c>
      <c r="AK36" s="13" t="n">
        <f aca="false">AK32+AK33+AK34+AK35</f>
        <v>47.504594964207</v>
      </c>
      <c r="AL36" s="13" t="n">
        <f aca="false">AL32+AL33+AL34+AL35</f>
        <v>46.9809524540187</v>
      </c>
      <c r="AM36" s="13" t="n">
        <f aca="false">AM32+AM33+AM34+AM35</f>
        <v>46.8682381546474</v>
      </c>
      <c r="AN36" s="13" t="n">
        <f aca="false">AN32+AN33+AN34+AN35</f>
        <v>46.5527773298571</v>
      </c>
      <c r="AO36" s="13" t="n">
        <f aca="false">AO32+AO33+AO34+AO35</f>
        <v>46.4102531027745</v>
      </c>
      <c r="AP36" s="13" t="n">
        <f aca="false">AP32+AP33+AP34+AP35</f>
        <v>46.595324970242</v>
      </c>
      <c r="AQ36" s="13" t="n">
        <f aca="false">AQ32+AQ33+AQ34+AQ35</f>
        <v>46.2567675160163</v>
      </c>
      <c r="AR36" s="13" t="n">
        <f aca="false">AR32+AR33+AR34+AR35</f>
        <v>47.275728459814</v>
      </c>
      <c r="AS36" s="13" t="n">
        <f aca="false">AS32+AS33+AS34+AS35</f>
        <v>46.0668622164945</v>
      </c>
      <c r="AT36" s="13" t="n">
        <f aca="false">AT32+AT33+AT34+AT35</f>
        <v>46.4658360380569</v>
      </c>
      <c r="AU36" s="13" t="n">
        <f aca="false">AU32+AU33+AU34+AU35</f>
        <v>41.3454243642673</v>
      </c>
      <c r="AV36" s="13" t="n">
        <f aca="false">AV32+AV33+AV34+AV35</f>
        <v>40.1769738827589</v>
      </c>
      <c r="AW36" s="13" t="n">
        <f aca="false">AW32+AW33+AW34+AW35</f>
        <v>40.3469893652886</v>
      </c>
      <c r="AX36" s="13" t="n">
        <f aca="false">AX32+AX33+AX34+AX35</f>
        <v>40.6489984435668</v>
      </c>
      <c r="AY36" s="13" t="n">
        <f aca="false">AY32+AY33+AY34+AY35</f>
        <v>40.2058161742135</v>
      </c>
      <c r="AZ36" s="13" t="n">
        <f aca="false">AZ32+AZ33+AZ34+AZ35</f>
        <v>41.0801443095497</v>
      </c>
      <c r="BA36" s="13" t="n">
        <f aca="false">BA32+BA33+BA34+BA35</f>
        <v>40.4595736864266</v>
      </c>
      <c r="BB36" s="13" t="n">
        <f aca="false">BB32+BB33+BB34+BB35</f>
        <v>41.508796878269</v>
      </c>
      <c r="BC36" s="13" t="n">
        <f aca="false">BC32+BC33+BC34+BC35</f>
        <v>38.1246220646516</v>
      </c>
      <c r="BD36" s="13" t="n">
        <f aca="false">BD32+BD33+BD34+BD35</f>
        <v>33.1029239992822</v>
      </c>
      <c r="BE36" s="13" t="n">
        <f aca="false">BE32+BE33+BE34+BE35</f>
        <v>33.0134991740889</v>
      </c>
      <c r="BF36" s="13" t="n">
        <f aca="false">BF32+BF33+BF34+BF35</f>
        <v>33.3264678983963</v>
      </c>
      <c r="BG36" s="13" t="n">
        <f aca="false">BG32+BG33+BG34+BG35</f>
        <v>32.8731991856227</v>
      </c>
      <c r="BH36" s="13" t="n">
        <f aca="false">BH32+BH33+BH34+BH35</f>
        <v>33.7815112591756</v>
      </c>
      <c r="BI36" s="13" t="n">
        <f aca="false">BI32+BI33+BI34+BI35</f>
        <v>32.8977595350761</v>
      </c>
      <c r="BJ36" s="13" t="n">
        <f aca="false">BJ32+BJ33+BJ34+BJ35</f>
        <v>39.4566846868235</v>
      </c>
      <c r="BK36" s="13" t="n">
        <f aca="false">BK32+BK33+BK34+BK35</f>
        <v>33.9896868470275</v>
      </c>
      <c r="BL36" s="13" t="n">
        <f aca="false">BL32+BL33+BL34+BL35</f>
        <v>36.304129754432</v>
      </c>
      <c r="BM36" s="13" t="n">
        <f aca="false">BM32+BM33+BM34+BM35</f>
        <v>33.4159743908395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-877.414827672662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-37.2458954370965</v>
      </c>
      <c r="Q37" s="13" t="n">
        <f aca="false">-(Debt!Q114+Debt!Q110)</f>
        <v>-37.1570164551458</v>
      </c>
      <c r="R37" s="13" t="n">
        <f aca="false">-(Debt!R114+Debt!R110)</f>
        <v>-37.624785087678</v>
      </c>
      <c r="S37" s="13" t="n">
        <f aca="false">-(Debt!S114+Debt!S110)</f>
        <v>-37.333312492557</v>
      </c>
      <c r="T37" s="13" t="n">
        <f aca="false">-(Debt!T114+Debt!T110)</f>
        <v>-37.7512177817478</v>
      </c>
      <c r="U37" s="13" t="n">
        <f aca="false">-(Debt!U114+Debt!U110)</f>
        <v>-37.5706927548527</v>
      </c>
      <c r="V37" s="13" t="n">
        <f aca="false">-(Debt!V114+Debt!V110)</f>
        <v>-38.2879202351583</v>
      </c>
      <c r="W37" s="13" t="n">
        <f aca="false">-(Debt!W114+Debt!W110)</f>
        <v>-38.0232274258698</v>
      </c>
      <c r="X37" s="13" t="n">
        <f aca="false">-(Debt!X114+Debt!X110)</f>
        <v>-36.9267950745894</v>
      </c>
      <c r="Y37" s="13" t="n">
        <f aca="false">-(Debt!Y114+Debt!Y110)</f>
        <v>-36.5703920445452</v>
      </c>
      <c r="Z37" s="13" t="n">
        <f aca="false">-(Debt!Z114+Debt!Z110)</f>
        <v>-36.8713631085141</v>
      </c>
      <c r="AA37" s="13" t="n">
        <f aca="false">-(Debt!AA114+Debt!AA110)</f>
        <v>-36.5742873548545</v>
      </c>
      <c r="AB37" s="13" t="n">
        <f aca="false">-(Debt!AB114+Debt!AB110)</f>
        <v>-36.5797092832671</v>
      </c>
      <c r="AC37" s="13" t="n">
        <f aca="false">-(Debt!AC114+Debt!AC110)</f>
        <v>-35.883273768697</v>
      </c>
      <c r="AD37" s="13" t="n">
        <f aca="false">-(Debt!AD114+Debt!AD110)</f>
        <v>-36.7792464396302</v>
      </c>
      <c r="AE37" s="13" t="n">
        <f aca="false">-(Debt!AE114+Debt!AE110)</f>
        <v>-36.2990555854627</v>
      </c>
      <c r="AF37" s="13" t="n">
        <f aca="false">-(Debt!AF114+Debt!AF110)</f>
        <v>-35.7857717402953</v>
      </c>
      <c r="AG37" s="13" t="n">
        <f aca="false">-(Debt!AG114+Debt!AG110)</f>
        <v>-34.5899838720351</v>
      </c>
      <c r="AH37" s="13" t="n">
        <f aca="false">-(Debt!AH114+Debt!AH110)</f>
        <v>-33.947661374691</v>
      </c>
      <c r="AI37" s="13" t="n">
        <f aca="false">-(Debt!AI114+Debt!AI110)</f>
        <v>-32.3391544353339</v>
      </c>
      <c r="AJ37" s="13" t="n">
        <f aca="false">-(Debt!AJ114+Debt!AJ110)</f>
        <v>-31.051144624992</v>
      </c>
      <c r="AK37" s="13" t="n">
        <f aca="false">-(Debt!AK114+Debt!AK110)</f>
        <v>-28.5933042742957</v>
      </c>
      <c r="AL37" s="13" t="n">
        <f aca="false">-(Debt!AL114+Debt!AL110)</f>
        <v>-26.0224001656024</v>
      </c>
      <c r="AM37" s="13" t="n">
        <f aca="false">-(Debt!AM114+Debt!AM110)</f>
        <v>-23.5692918532781</v>
      </c>
      <c r="AN37" s="13" t="n">
        <f aca="false">-(Debt!AN114+Debt!AN110)</f>
        <v>-19.1320172548642</v>
      </c>
      <c r="AO37" s="13" t="n">
        <f aca="false">-(Debt!AO114+Debt!AO110)</f>
        <v>-18.9059077476081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-75.6942132385233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-4.06512259651941</v>
      </c>
      <c r="AB43" s="13" t="n">
        <f aca="false">-(Waterfall!AB28+Waterfall!AB29)</f>
        <v>-5.03751690453018</v>
      </c>
      <c r="AC43" s="13" t="n">
        <f aca="false">-(Waterfall!AC28+Waterfall!AC29)</f>
        <v>-4.11113509192494</v>
      </c>
      <c r="AD43" s="13" t="n">
        <f aca="false">-(Waterfall!AD28+Waterfall!AD29)</f>
        <v>-4.36622833666002</v>
      </c>
      <c r="AE43" s="13" t="n">
        <f aca="false">-(Waterfall!AE28+Waterfall!AE29)</f>
        <v>-4.61566811897511</v>
      </c>
      <c r="AF43" s="13" t="n">
        <f aca="false">-(Waterfall!AF28+Waterfall!AF29)</f>
        <v>-6.24723231430377</v>
      </c>
      <c r="AG43" s="13" t="n">
        <f aca="false">-(Waterfall!AG28+Waterfall!AG29)</f>
        <v>-6.67931231229901</v>
      </c>
      <c r="AH43" s="13" t="n">
        <f aca="false">-(Waterfall!AH28+Waterfall!AH29)</f>
        <v>-7.52352246534315</v>
      </c>
      <c r="AI43" s="13" t="n">
        <f aca="false">-(Waterfall!AI28+Waterfall!AI29)</f>
        <v>-7.97975520699342</v>
      </c>
      <c r="AJ43" s="13" t="n">
        <f aca="false">-(Waterfall!AJ28+Waterfall!AJ29)</f>
        <v>-9.51426410030822</v>
      </c>
      <c r="AK43" s="13" t="n">
        <f aca="false">-(Waterfall!AK28+Waterfall!AK29)</f>
        <v>-10.2959667335086</v>
      </c>
      <c r="AL43" s="13" t="n">
        <f aca="false">-(Waterfall!AL28+Waterfall!AL29)</f>
        <v>-5.25848905715745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-515.998992712272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-11.2287247333463</v>
      </c>
      <c r="Q44" s="13" t="n">
        <f aca="false">-(Waterfall!Q34+Waterfall!Q35)</f>
        <v>-8.87977667067288</v>
      </c>
      <c r="R44" s="13" t="n">
        <f aca="false">-(Waterfall!R34+Waterfall!R35)</f>
        <v>-9.34796345661746</v>
      </c>
      <c r="S44" s="13" t="n">
        <f aca="false">-(Waterfall!S34+Waterfall!S35)</f>
        <v>-8.6064114120869</v>
      </c>
      <c r="T44" s="13" t="n">
        <f aca="false">-(Waterfall!T34+Waterfall!T35)</f>
        <v>-9.70811346309553</v>
      </c>
      <c r="U44" s="13" t="n">
        <f aca="false">-(Waterfall!U34+Waterfall!U35)</f>
        <v>-8.21863719134242</v>
      </c>
      <c r="V44" s="13" t="n">
        <f aca="false">-(Waterfall!V34+Waterfall!V35)</f>
        <v>-7.93601087927242</v>
      </c>
      <c r="W44" s="13" t="n">
        <f aca="false">-(Waterfall!W34+Waterfall!W35)</f>
        <v>-8.92148088527618</v>
      </c>
      <c r="X44" s="13" t="n">
        <f aca="false">-(Waterfall!X34+Waterfall!X35)</f>
        <v>-9.21215250024091</v>
      </c>
      <c r="Y44" s="13" t="n">
        <f aca="false">-(Waterfall!Y34+Waterfall!Y35)</f>
        <v>-8.64977989914497</v>
      </c>
      <c r="Z44" s="13" t="n">
        <f aca="false">-(Waterfall!Z34+Waterfall!Z35)</f>
        <v>-8.89071846405631</v>
      </c>
      <c r="AA44" s="13" t="n">
        <f aca="false">-(Waterfall!AA34+Waterfall!AA35)</f>
        <v>-4.06512259651941</v>
      </c>
      <c r="AB44" s="13" t="n">
        <f aca="false">-(Waterfall!AB34+Waterfall!AB35)</f>
        <v>-5.03751690453018</v>
      </c>
      <c r="AC44" s="13" t="n">
        <f aca="false">-(Waterfall!AC34+Waterfall!AC35)</f>
        <v>-4.11113509192494</v>
      </c>
      <c r="AD44" s="13" t="n">
        <f aca="false">-(Waterfall!AD34+Waterfall!AD35)</f>
        <v>-4.36622833666002</v>
      </c>
      <c r="AE44" s="13" t="n">
        <f aca="false">-(Waterfall!AE34+Waterfall!AE35)</f>
        <v>-4.61566811897511</v>
      </c>
      <c r="AF44" s="13" t="n">
        <f aca="false">-(Waterfall!AF34+Waterfall!AF35)</f>
        <v>-6.24723231430377</v>
      </c>
      <c r="AG44" s="13" t="n">
        <f aca="false">-(Waterfall!AG34+Waterfall!AG35)</f>
        <v>-6.67931231229901</v>
      </c>
      <c r="AH44" s="13" t="n">
        <f aca="false">-(Waterfall!AH34+Waterfall!AH35)</f>
        <v>-7.52352246534315</v>
      </c>
      <c r="AI44" s="13" t="n">
        <f aca="false">-(Waterfall!AI34+Waterfall!AI35)</f>
        <v>-7.97975520699342</v>
      </c>
      <c r="AJ44" s="13" t="n">
        <f aca="false">-(Waterfall!AJ34+Waterfall!AJ35)</f>
        <v>-9.51426410030822</v>
      </c>
      <c r="AK44" s="13" t="n">
        <f aca="false">-(Waterfall!AK34+Waterfall!AK35)</f>
        <v>-10.2959667335086</v>
      </c>
      <c r="AL44" s="13" t="n">
        <f aca="false">-(Waterfall!AL34+Waterfall!AL35)</f>
        <v>-19.2133885591174</v>
      </c>
      <c r="AM44" s="13" t="n">
        <f aca="false">-(Waterfall!AM34+Waterfall!AM35)</f>
        <v>-29.979925169925</v>
      </c>
      <c r="AN44" s="13" t="n">
        <f aca="false">-(Waterfall!AN34+Waterfall!AN35)</f>
        <v>-27.6468695822489</v>
      </c>
      <c r="AO44" s="13" t="n">
        <f aca="false">-(Waterfall!AO34+Waterfall!AO35)</f>
        <v>-46.4102531027745</v>
      </c>
      <c r="AP44" s="13" t="n">
        <f aca="false">-(Waterfall!AP34+Waterfall!AP35)</f>
        <v>-46.595324970242</v>
      </c>
      <c r="AQ44" s="13" t="n">
        <f aca="false">-(Waterfall!AQ34+Waterfall!AQ35)</f>
        <v>-46.2567675160163</v>
      </c>
      <c r="AR44" s="13" t="n">
        <f aca="false">-(Waterfall!AR34+Waterfall!AR35)</f>
        <v>-47.275728459814</v>
      </c>
      <c r="AS44" s="13" t="n">
        <f aca="false">-(Waterfall!AS34+Waterfall!AS35)</f>
        <v>-46.0668622164945</v>
      </c>
      <c r="AT44" s="13" t="n">
        <f aca="false">-(Waterfall!AT34+Waterfall!AT35)</f>
        <v>-36.5183793991212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-716.006632538692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-0</v>
      </c>
      <c r="AQ45" s="13" t="n">
        <f aca="false">-Waterfall!AQ41</f>
        <v>-0</v>
      </c>
      <c r="AR45" s="13" t="n">
        <f aca="false">-Waterfall!AR41</f>
        <v>-0</v>
      </c>
      <c r="AS45" s="13" t="n">
        <f aca="false">-Waterfall!AS41</f>
        <v>-0</v>
      </c>
      <c r="AT45" s="13" t="n">
        <f aca="false">-Waterfall!AT41</f>
        <v>-9.94745663893566</v>
      </c>
      <c r="AU45" s="13" t="n">
        <f aca="false">-Waterfall!AU41</f>
        <v>-41.3454243642673</v>
      </c>
      <c r="AV45" s="13" t="n">
        <f aca="false">-Waterfall!AV41</f>
        <v>-40.1769738827589</v>
      </c>
      <c r="AW45" s="13" t="n">
        <f aca="false">-Waterfall!AW41</f>
        <v>-40.3469893652886</v>
      </c>
      <c r="AX45" s="13" t="n">
        <f aca="false">-Waterfall!AX41</f>
        <v>-40.6489984435668</v>
      </c>
      <c r="AY45" s="13" t="n">
        <f aca="false">-Waterfall!AY41</f>
        <v>-40.2058161742135</v>
      </c>
      <c r="AZ45" s="13" t="n">
        <f aca="false">-Waterfall!AZ41</f>
        <v>-41.0801443095497</v>
      </c>
      <c r="BA45" s="13" t="n">
        <f aca="false">-Waterfall!BA41</f>
        <v>-39.9646052998179</v>
      </c>
      <c r="BB45" s="13" t="n">
        <f aca="false">-Waterfall!BB41</f>
        <v>-40.0076466236246</v>
      </c>
      <c r="BC45" s="13" t="n">
        <f aca="false">-Waterfall!BC41</f>
        <v>-36.6070489913094</v>
      </c>
      <c r="BD45" s="13" t="n">
        <f aca="false">-Waterfall!BD41</f>
        <v>-31.5687484390356</v>
      </c>
      <c r="BE45" s="13" t="n">
        <f aca="false">-Waterfall!BE41</f>
        <v>-31.4625394931332</v>
      </c>
      <c r="BF45" s="13" t="n">
        <f aca="false">-Waterfall!BF41</f>
        <v>-31.7585404758243</v>
      </c>
      <c r="BG45" s="13" t="n">
        <f aca="false">-Waterfall!BG41</f>
        <v>-31.2881183916859</v>
      </c>
      <c r="BH45" s="13" t="n">
        <f aca="false">-Waterfall!BH41</f>
        <v>-32.179089433307</v>
      </c>
      <c r="BI45" s="13" t="n">
        <f aca="false">-Waterfall!BI41</f>
        <v>-31.2778069636727</v>
      </c>
      <c r="BJ45" s="13" t="n">
        <f aca="false">-Waterfall!BJ41</f>
        <v>-37.8190095807858</v>
      </c>
      <c r="BK45" s="13" t="n">
        <f aca="false">-Waterfall!BK41</f>
        <v>-32.3340953190533</v>
      </c>
      <c r="BL45" s="13" t="n">
        <f aca="false">-Waterfall!BL41</f>
        <v>-34.6304257960615</v>
      </c>
      <c r="BM45" s="13" t="n">
        <f aca="false">-Waterfall!BM41</f>
        <v>-51.3571545528005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37.2458954370954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37.2458954370954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38.8233834592027</v>
      </c>
      <c r="P49" s="13" t="n">
        <f aca="false">P36+P37+P38+P39+P40+P41+P42+P43+P44+P45+P46+P47+P48</f>
        <v>-1.25009870160207</v>
      </c>
      <c r="Q49" s="13" t="n">
        <f aca="false">Q36+Q37+Q38+Q39+Q40+Q41+Q42+Q43+Q44+Q45+Q46+Q47+Q48</f>
        <v>0.884036934987073</v>
      </c>
      <c r="R49" s="13" t="n">
        <f aca="false">R36+R37+R38+R39+R40+R41+R42+R43+R44+R45+R46+R47+R48</f>
        <v>0.124795707333831</v>
      </c>
      <c r="S49" s="13" t="n">
        <f aca="false">S36+S37+S38+S39+S40+S41+S42+S43+S44+S45+S46+S47+S48</f>
        <v>0.834173591645694</v>
      </c>
      <c r="T49" s="13" t="n">
        <f aca="false">T36+T37+T38+T39+T40+T41+T42+T43+T44+T45+T46+T47+T48</f>
        <v>0.235743275559791</v>
      </c>
      <c r="U49" s="13" t="n">
        <f aca="false">U36+U37+U38+U39+U40+U41+U42+U43+U44+U45+U46+U47+U48</f>
        <v>1.13349578276049</v>
      </c>
      <c r="V49" s="13" t="n">
        <f aca="false">V36+V37+V38+V39+V40+V41+V42+V43+V44+V45+V46+V47+V48</f>
        <v>-2.76230262401772</v>
      </c>
      <c r="W49" s="13" t="n">
        <f aca="false">W36+W37+W38+W39+W40+W41+W42+W43+W44+W45+W46+W47+W48</f>
        <v>-1.0964323512804</v>
      </c>
      <c r="X49" s="13" t="n">
        <f aca="false">X36+X37+X38+X39+X40+X41+X42+X43+X44+X45+X46+X47+X48</f>
        <v>1.61633951358923</v>
      </c>
      <c r="Y49" s="13" t="n">
        <f aca="false">Y36+Y37+Y38+Y39+Y40+Y41+Y42+Y43+Y44+Y45+Y46+Y47+Y48</f>
        <v>2.27371360760241</v>
      </c>
      <c r="Z49" s="13" t="n">
        <f aca="false">Z36+Z37+Z38+Z39+Z40+Z41+Z42+Z43+Z44+Z45+Z46+Z47+Z48</f>
        <v>1.6756667899738</v>
      </c>
      <c r="AA49" s="13" t="n">
        <f aca="false">AA36+AA37+AA38+AA39+AA40+AA41+AA42+AA43+AA44+AA45+AA46+AA47+AA48</f>
        <v>2.40320382075519</v>
      </c>
      <c r="AB49" s="13" t="n">
        <f aca="false">AB36+AB37+AB38+AB39+AB40+AB41+AB42+AB43+AB44+AB45+AB46+AB47+AB48</f>
        <v>1.40152536905911</v>
      </c>
      <c r="AC49" s="13" t="n">
        <f aca="false">AC36+AC37+AC38+AC39+AC40+AC41+AC42+AC43+AC44+AC45+AC46+AC47+AC48</f>
        <v>2.81027132971941</v>
      </c>
      <c r="AD49" s="13" t="n">
        <f aca="false">AD36+AD37+AD38+AD39+AD40+AD41+AD42+AD43+AD44+AD45+AD46+AD47+AD48</f>
        <v>-12.2519774165169</v>
      </c>
      <c r="AE49" s="13" t="n">
        <f aca="false">AE36+AE37+AE38+AE39+AE40+AE41+AE42+AE43+AE44+AE45+AE46+AE47+AE48</f>
        <v>-0.432438331034923</v>
      </c>
      <c r="AF49" s="13" t="n">
        <f aca="false">AF36+AF37+AF38+AF39+AF40+AF41+AF42+AF43+AF44+AF45+AF46+AF47+AF48</f>
        <v>-0.396884643445948</v>
      </c>
      <c r="AG49" s="13" t="n">
        <f aca="false">AG36+AG37+AG38+AG39+AG40+AG41+AG42+AG43+AG44+AG45+AG46+AG47+AG48</f>
        <v>0.0343935733734024</v>
      </c>
      <c r="AH49" s="13" t="n">
        <f aca="false">AH36+AH37+AH38+AH39+AH40+AH41+AH42+AH43+AH44+AH45+AH46+AH47+AH48</f>
        <v>-0.833883713697287</v>
      </c>
      <c r="AI49" s="13" t="n">
        <f aca="false">AI36+AI37+AI38+AI39+AI40+AI41+AI42+AI43+AI44+AI45+AI46+AI47+AI48</f>
        <v>-0.471956723695091</v>
      </c>
      <c r="AJ49" s="13" t="n">
        <f aca="false">AJ36+AJ37+AJ38+AJ39+AJ40+AJ41+AJ42+AJ43+AJ44+AJ45+AJ46+AJ47+AJ48</f>
        <v>-1.27066424730774</v>
      </c>
      <c r="AK49" s="13" t="n">
        <f aca="false">AK36+AK37+AK38+AK39+AK40+AK41+AK42+AK43+AK44+AK45+AK46+AK47+AK48</f>
        <v>-1.18521482219001</v>
      </c>
      <c r="AL49" s="13" t="n">
        <f aca="false">AL36+AL37+AL38+AL39+AL40+AL41+AL42+AL43+AL44+AL45+AL46+AL47+AL48</f>
        <v>-6.48589305735412</v>
      </c>
      <c r="AM49" s="13" t="n">
        <f aca="false">AM36+AM37+AM38+AM39+AM40+AM41+AM42+AM43+AM44+AM45+AM46+AM47+AM48</f>
        <v>-6.68097886855566</v>
      </c>
      <c r="AN49" s="13" t="n">
        <f aca="false">AN36+AN37+AN38+AN39+AN40+AN41+AN42+AN43+AN44+AN45+AN46+AN47+AN48</f>
        <v>2.12177957823089</v>
      </c>
      <c r="AO49" s="13" t="n">
        <f aca="false">AO36+AO37+AO38+AO39+AO40+AO41+AO42+AO43+AO44+AO45+AO46+AO47+AO48</f>
        <v>-16.5580186621212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4.34533504206876</v>
      </c>
      <c r="BF49" s="13" t="n">
        <f aca="false">BF36+BF37+BF38+BF39+BF40+BF41+BF42+BF43+BF44+BF45+BF46+BF47+BF48</f>
        <v>4.36230278368501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-37.2458954370954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1.11555209514336E-012</v>
      </c>
      <c r="P50" s="13" t="n">
        <f aca="false">Reserves!P11-Reserves!P10-Reserves!P12</f>
        <v>-0.088878981950721</v>
      </c>
      <c r="Q50" s="13" t="n">
        <f aca="false">Reserves!Q11-Reserves!Q10-Reserves!Q12</f>
        <v>0.467768632532213</v>
      </c>
      <c r="R50" s="13" t="n">
        <f aca="false">Reserves!R11-Reserves!R10-Reserves!R12</f>
        <v>-0.291472595121029</v>
      </c>
      <c r="S50" s="13" t="n">
        <f aca="false">Reserves!S11-Reserves!S10-Reserves!S12</f>
        <v>0.417905289190834</v>
      </c>
      <c r="T50" s="13" t="n">
        <f aca="false">Reserves!T11-Reserves!T10-Reserves!T12</f>
        <v>-0.180525026895069</v>
      </c>
      <c r="U50" s="13" t="n">
        <f aca="false">Reserves!U11-Reserves!U10-Reserves!U12</f>
        <v>0.717227480305631</v>
      </c>
      <c r="V50" s="13" t="n">
        <f aca="false">Reserves!V11-Reserves!V10-Reserves!V12</f>
        <v>-0.264692809288562</v>
      </c>
      <c r="W50" s="13" t="n">
        <f aca="false">Reserves!W11-Reserves!W10-Reserves!W12</f>
        <v>-1.0964323512804</v>
      </c>
      <c r="X50" s="13" t="n">
        <f aca="false">Reserves!X11-Reserves!X10-Reserves!X12</f>
        <v>-0.356403030044227</v>
      </c>
      <c r="Y50" s="13" t="n">
        <f aca="false">Reserves!Y11-Reserves!Y10-Reserves!Y12</f>
        <v>0.300971063968952</v>
      </c>
      <c r="Z50" s="13" t="n">
        <f aca="false">Reserves!Z11-Reserves!Z10-Reserves!Z12</f>
        <v>-0.297075753659662</v>
      </c>
      <c r="AA50" s="13" t="n">
        <f aca="false">Reserves!AA11-Reserves!AA10-Reserves!AA12</f>
        <v>0.430461277121729</v>
      </c>
      <c r="AB50" s="13" t="n">
        <f aca="false">Reserves!AB11-Reserves!AB10-Reserves!AB12</f>
        <v>-0.57121717457435</v>
      </c>
      <c r="AC50" s="13" t="n">
        <f aca="false">Reserves!AC11-Reserves!AC10-Reserves!AC12</f>
        <v>0.837528786085947</v>
      </c>
      <c r="AD50" s="13" t="n">
        <f aca="false">Reserves!AD11-Reserves!AD10-Reserves!AD12</f>
        <v>-0.415522154716186</v>
      </c>
      <c r="AE50" s="13" t="n">
        <f aca="false">Reserves!AE11-Reserves!AE10-Reserves!AE12</f>
        <v>-0.432438331034923</v>
      </c>
      <c r="AF50" s="13" t="n">
        <f aca="false">Reserves!AF11-Reserves!AF10-Reserves!AF12</f>
        <v>-0.892312598361862</v>
      </c>
      <c r="AG50" s="13" t="n">
        <f aca="false">Reserves!AG11-Reserves!AG10-Reserves!AG12</f>
        <v>-0.461034381542511</v>
      </c>
      <c r="AH50" s="13" t="n">
        <f aca="false">Reserves!AH11-Reserves!AH10-Reserves!AH12</f>
        <v>-1.3293116686132</v>
      </c>
      <c r="AI50" s="13" t="n">
        <f aca="false">Reserves!AI11-Reserves!AI10-Reserves!AI12</f>
        <v>-0.967384678611005</v>
      </c>
      <c r="AJ50" s="13" t="n">
        <f aca="false">Reserves!AJ11-Reserves!AJ10-Reserves!AJ12</f>
        <v>-1.76609220222366</v>
      </c>
      <c r="AK50" s="13" t="n">
        <f aca="false">Reserves!AK11-Reserves!AK10-Reserves!AK12</f>
        <v>-1.68064277710593</v>
      </c>
      <c r="AL50" s="13" t="n">
        <f aca="false">Reserves!AL11-Reserves!AL10-Reserves!AL12</f>
        <v>-3.51332532785864</v>
      </c>
      <c r="AM50" s="13" t="n">
        <f aca="false">Reserves!AM11-Reserves!AM10-Reserves!AM12</f>
        <v>-6.68097886855566</v>
      </c>
      <c r="AN50" s="13" t="n">
        <f aca="false">Reserves!AN11-Reserves!AN10-Reserves!AN12</f>
        <v>-0.226109507256052</v>
      </c>
      <c r="AO50" s="13" t="n">
        <f aca="false">Reserves!AO11-Reserves!AO10-Reserves!AO12</f>
        <v>-18.9059077476081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38.8233834592027</v>
      </c>
      <c r="P51" s="13" t="n">
        <f aca="false">P17-O17</f>
        <v>-1.25009870160208</v>
      </c>
      <c r="Q51" s="13" t="n">
        <f aca="false">Q17-P17</f>
        <v>0.884036934987073</v>
      </c>
      <c r="R51" s="13" t="n">
        <f aca="false">R17-Q17</f>
        <v>0.124795707333831</v>
      </c>
      <c r="S51" s="13" t="n">
        <f aca="false">S17-R17</f>
        <v>0.834173591645694</v>
      </c>
      <c r="T51" s="13" t="n">
        <f aca="false">T17-S17</f>
        <v>0.235743275559791</v>
      </c>
      <c r="U51" s="13" t="n">
        <f aca="false">U17-T17</f>
        <v>1.13349578276049</v>
      </c>
      <c r="V51" s="13" t="n">
        <f aca="false">V17-U17</f>
        <v>-2.76230262401772</v>
      </c>
      <c r="W51" s="13" t="n">
        <f aca="false">W17-V17</f>
        <v>-1.0964323512804</v>
      </c>
      <c r="X51" s="13" t="n">
        <f aca="false">X17-W17</f>
        <v>1.61633951358923</v>
      </c>
      <c r="Y51" s="13" t="n">
        <f aca="false">Y17-X17</f>
        <v>2.27371360760242</v>
      </c>
      <c r="Z51" s="13" t="n">
        <f aca="false">Z17-Y17</f>
        <v>1.6756667899738</v>
      </c>
      <c r="AA51" s="13" t="n">
        <f aca="false">AA17-Z17</f>
        <v>2.40320382075519</v>
      </c>
      <c r="AB51" s="13" t="n">
        <f aca="false">AB17-AA17</f>
        <v>1.40152536905911</v>
      </c>
      <c r="AC51" s="13" t="n">
        <f aca="false">AC17-AB17</f>
        <v>2.81027132971941</v>
      </c>
      <c r="AD51" s="13" t="n">
        <f aca="false">AD17-AC17</f>
        <v>-12.2519774165169</v>
      </c>
      <c r="AE51" s="13" t="n">
        <f aca="false">AE17-AD17</f>
        <v>-0.432438331034923</v>
      </c>
      <c r="AF51" s="13" t="n">
        <f aca="false">AF17-AE17</f>
        <v>-0.396884643445951</v>
      </c>
      <c r="AG51" s="13" t="n">
        <f aca="false">AG17-AF17</f>
        <v>0.0343935733734071</v>
      </c>
      <c r="AH51" s="13" t="n">
        <f aca="false">AH17-AG17</f>
        <v>-0.83388371369729</v>
      </c>
      <c r="AI51" s="13" t="n">
        <f aca="false">AI17-AH17</f>
        <v>-0.471956723695094</v>
      </c>
      <c r="AJ51" s="13" t="n">
        <f aca="false">AJ17-AI17</f>
        <v>-1.27066424730774</v>
      </c>
      <c r="AK51" s="13" t="n">
        <f aca="false">AK17-AJ17</f>
        <v>-1.18521482219001</v>
      </c>
      <c r="AL51" s="13" t="n">
        <f aca="false">AL17-AK17</f>
        <v>-6.48589305735412</v>
      </c>
      <c r="AM51" s="13" t="n">
        <f aca="false">AM17-AL17</f>
        <v>-6.68097886855566</v>
      </c>
      <c r="AN51" s="13" t="n">
        <f aca="false">AN17-AM17</f>
        <v>2.12177957823089</v>
      </c>
      <c r="AO51" s="13" t="n">
        <f aca="false">AO17-AN17</f>
        <v>-16.5580186621212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-7.105427357601E-015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-2.38697950294409E-015</v>
      </c>
      <c r="AG52" s="13" t="n">
        <f aca="false">AG51-AG49</f>
        <v>4.71844785465692E-015</v>
      </c>
      <c r="AH52" s="13" t="n">
        <f aca="false">AH51-AH49</f>
        <v>0</v>
      </c>
      <c r="AI52" s="13" t="n">
        <f aca="false">AI51-AI49</f>
        <v>-2.38697950294409E-015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0.0353350589391694</v>
      </c>
      <c r="AC7" s="16" t="n">
        <f aca="false">IF(Debt!AC115&gt;Inputs!$F$253,Debt!AC112/Debt!AC115,0)</f>
        <v>0.0348999397630586</v>
      </c>
      <c r="AD7" s="16" t="n">
        <f aca="false">IF(Debt!AD115&gt;Inputs!$F$253,Debt!AD112/Debt!AD115,0)</f>
        <v>0.0349867449402598</v>
      </c>
      <c r="AE7" s="16" t="n">
        <f aca="false">IF(Debt!AE115&gt;Inputs!$F$253,Debt!AE112/Debt!AE115,0)</f>
        <v>0.0344288973875732</v>
      </c>
      <c r="AF7" s="16" t="n">
        <f aca="false">IF(Debt!AF115&gt;Inputs!$F$253,Debt!AF112/Debt!AF115,0)</f>
        <v>0.0345670246011716</v>
      </c>
      <c r="AG7" s="16" t="n">
        <f aca="false">IF(Debt!AG115&gt;Inputs!$F$253,Debt!AG112/Debt!AG115,0)</f>
        <v>0.0347688215568885</v>
      </c>
      <c r="AH7" s="16" t="n">
        <f aca="false">IF(Debt!AH115&gt;Inputs!$F$253,Debt!AH112/Debt!AH115,0)</f>
        <v>0.0346343827950687</v>
      </c>
      <c r="AI7" s="16" t="n">
        <f aca="false">IF(Debt!AI115&gt;Inputs!$F$253,Debt!AI112/Debt!AI115,0)</f>
        <v>0.0336273358838516</v>
      </c>
      <c r="AJ7" s="16" t="n">
        <f aca="false">IF(Debt!AJ115&gt;Inputs!$F$253,Debt!AJ112/Debt!AJ115,0)</f>
        <v>0.0330482042632878</v>
      </c>
      <c r="AK7" s="16" t="n">
        <f aca="false">IF(Debt!AK115&gt;Inputs!$F$253,Debt!AK112/Debt!AK115,0)</f>
        <v>0.0314082662899811</v>
      </c>
      <c r="AL7" s="16" t="n">
        <f aca="false">IF(Debt!AL115&gt;Inputs!$F$253,Debt!AL112/Debt!AL115,0)</f>
        <v>0.0291849725664656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0.0353350589391694</v>
      </c>
      <c r="AC10" s="16" t="n">
        <f aca="false">IF(AC7&gt;0,AC7,$F$9)</f>
        <v>0.0348999397630586</v>
      </c>
      <c r="AD10" s="16" t="n">
        <f aca="false">IF(AD7&gt;0,AD7,$F$9)</f>
        <v>0.0349867449402598</v>
      </c>
      <c r="AE10" s="16" t="n">
        <f aca="false">IF(AE7&gt;0,AE7,$F$9)</f>
        <v>0.0344288973875732</v>
      </c>
      <c r="AF10" s="16" t="n">
        <f aca="false">IF(AF7&gt;0,AF7,$F$9)</f>
        <v>0.0345670246011716</v>
      </c>
      <c r="AG10" s="16" t="n">
        <f aca="false">IF(AG7&gt;0,AG7,$F$9)</f>
        <v>0.0347688215568885</v>
      </c>
      <c r="AH10" s="16" t="n">
        <f aca="false">IF(AH7&gt;0,AH7,$F$9)</f>
        <v>0.0346343827950687</v>
      </c>
      <c r="AI10" s="16" t="n">
        <f aca="false">IF(AI7&gt;0,AI7,$F$9)</f>
        <v>0.0336273358838516</v>
      </c>
      <c r="AJ10" s="16" t="n">
        <f aca="false">IF(AJ7&gt;0,AJ7,$F$9)</f>
        <v>0.0330482042632878</v>
      </c>
      <c r="AK10" s="16" t="n">
        <f aca="false">IF(AK7&gt;0,AK7,$F$9)</f>
        <v>0.0314082662899811</v>
      </c>
      <c r="AL10" s="16" t="n">
        <f aca="false">IF(AL7&gt;0,AL7,$F$9)</f>
        <v>0.0291849725664656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674.484580598154</v>
      </c>
      <c r="K11" s="13" t="n">
        <f aca="false">IF(Time!K20&lt;=$F$8,(Waterfall!K7+L11)/(1+K10),0)</f>
        <v>692.703714574751</v>
      </c>
      <c r="L11" s="13" t="n">
        <f aca="false">IF(Time!L20&lt;=$F$8,(Waterfall!L7+M11)/(1+L10),0)</f>
        <v>711.414982622914</v>
      </c>
      <c r="M11" s="13" t="n">
        <f aca="false">IF(Time!M20&lt;=$F$8,(Waterfall!M7+N11)/(1+M10),0)</f>
        <v>730.631678236432</v>
      </c>
      <c r="N11" s="13" t="n">
        <f aca="false">IF(Time!N20&lt;=$F$8,(Waterfall!N7+O11)/(1+N10),0)</f>
        <v>750.367453992092</v>
      </c>
      <c r="O11" s="13" t="n">
        <f aca="false">IF(Time!O20&lt;=$F$8,(Waterfall!O7+P11)/(1+O10),0)</f>
        <v>770.636331249207</v>
      </c>
      <c r="P11" s="13" t="n">
        <f aca="false">IF(Time!P20&lt;=$F$8,(Waterfall!P7+Q11)/(1+P10),0)</f>
        <v>789.875222089033</v>
      </c>
      <c r="Q11" s="13" t="n">
        <f aca="false">IF(Time!Q20&lt;=$F$8,(Waterfall!Q7+R11)/(1+Q10),0)</f>
        <v>770.203969875884</v>
      </c>
      <c r="R11" s="13" t="n">
        <f aca="false">IF(Time!R20&lt;=$F$8,(Waterfall!R7+S11)/(1+R10),0)</f>
        <v>749.895939701026</v>
      </c>
      <c r="S11" s="13" t="n">
        <f aca="false">IF(Time!S20&lt;=$F$8,(Waterfall!S7+T11)/(1+S10),0)</f>
        <v>728.996701852644</v>
      </c>
      <c r="T11" s="13" t="n">
        <f aca="false">IF(Time!T20&lt;=$F$8,(Waterfall!T7+U11)/(1+T10),0)</f>
        <v>707.442921703965</v>
      </c>
      <c r="U11" s="13" t="n">
        <f aca="false">IF(Time!U20&lt;=$F$8,(Waterfall!U7+V11)/(1+U10),0)</f>
        <v>684.495342290553</v>
      </c>
      <c r="V11" s="13" t="n">
        <f aca="false">IF(Time!V20&lt;=$F$8,(Waterfall!V7+W11)/(1+V10),0)</f>
        <v>661.362584483429</v>
      </c>
      <c r="W11" s="13" t="n">
        <f aca="false">IF(Time!W20&lt;=$F$8,(Waterfall!W7+X11)/(1+W10),0)</f>
        <v>638.149722669469</v>
      </c>
      <c r="X11" s="13" t="n">
        <f aca="false">IF(Time!X20&lt;=$F$8,(Waterfall!X7+Y11)/(1+X10),0)</f>
        <v>614.014260154541</v>
      </c>
      <c r="Y11" s="13" t="n">
        <f aca="false">IF(Time!Y20&lt;=$F$8,(Waterfall!Y7+Z11)/(1+Y10),0)</f>
        <v>589.349631651738</v>
      </c>
      <c r="Z11" s="13" t="n">
        <f aca="false">IF(Time!Z20&lt;=$F$8,(Waterfall!Z7+AA11)/(1+Z10),0)</f>
        <v>564.506443987474</v>
      </c>
      <c r="AA11" s="13" t="n">
        <f aca="false">IF(Time!AA20&lt;=$F$8,(Waterfall!AA7+AB11)/(1+AA10),0)</f>
        <v>539.065731346159</v>
      </c>
      <c r="AB11" s="13" t="n">
        <f aca="false">IF(Time!AB20&lt;=$F$8,(Waterfall!AB7+AC11)/(1+AB10),0)</f>
        <v>512.844429023233</v>
      </c>
      <c r="AC11" s="13" t="n">
        <f aca="false">IF(Time!AC20&lt;=$F$8,(Waterfall!AC7+AD11)/(1+AC10),0)</f>
        <v>484.88229123164</v>
      </c>
      <c r="AD11" s="13" t="n">
        <f aca="false">IF(Time!AD20&lt;=$F$8,(Waterfall!AD7+AE11)/(1+AD10),0)</f>
        <v>456.861581249166</v>
      </c>
      <c r="AE11" s="13" t="n">
        <f aca="false">IF(Time!AE20&lt;=$F$8,(Waterfall!AE7+AF11)/(1+AE10),0)</f>
        <v>427.7494999071</v>
      </c>
      <c r="AF11" s="13" t="n">
        <f aca="false">IF(Time!AF20&lt;=$F$8,(Waterfall!AF7+AG11)/(1+AF10),0)</f>
        <v>397.378490054609</v>
      </c>
      <c r="AG11" s="13" t="n">
        <f aca="false">IF(Time!AG20&lt;=$F$8,(Waterfall!AG7+AH11)/(1+AG10),0)</f>
        <v>363.726758325762</v>
      </c>
      <c r="AH11" s="13" t="n">
        <f aca="false">IF(Time!AH20&lt;=$F$8,(Waterfall!AH7+AI11)/(1+AH10),0)</f>
        <v>328.885534966366</v>
      </c>
      <c r="AI11" s="13" t="n">
        <f aca="false">IF(Time!AI20&lt;=$F$8,(Waterfall!AI7+AJ11)/(1+AI10),0)</f>
        <v>292.610887843388</v>
      </c>
      <c r="AJ11" s="13" t="n">
        <f aca="false">IF(Time!AJ20&lt;=$F$8,(Waterfall!AJ7+AK11)/(1+AJ10),0)</f>
        <v>255.11933228146</v>
      </c>
      <c r="AK11" s="13" t="n">
        <f aca="false">IF(Time!AK20&lt;=$F$8,(Waterfall!AK7+AL11)/(1+AK10),0)</f>
        <v>215.236987462826</v>
      </c>
      <c r="AL11" s="13" t="n">
        <f aca="false">IF(Time!AL20&lt;=$F$8,(Waterfall!AL7+AM11)/(1+AL10),0)</f>
        <v>174.492613116305</v>
      </c>
      <c r="AM11" s="13" t="n">
        <f aca="false">IF(Time!AM20&lt;=$F$8,(Waterfall!AM7+AN11)/(1+AM10),0)</f>
        <v>132.604222789136</v>
      </c>
      <c r="AN11" s="13" t="n">
        <f aca="false">IF(Time!AN20&lt;=$F$8,(Waterfall!AN7+AO11)/(1+AN10),0)</f>
        <v>89.3178813454789</v>
      </c>
      <c r="AO11" s="13" t="n">
        <f aca="false">IF(Time!AO20&lt;=$F$8,(Waterfall!AO7+AP11)/(1+AO10),0)</f>
        <v>45.1895946865188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928.388531228179</v>
      </c>
      <c r="K12" s="13" t="n">
        <f aca="false">IF(Time!K20&lt;=Time!$F$15,(Waterfall!K7+L12)/(1+K10),0)</f>
        <v>953.466102338526</v>
      </c>
      <c r="L12" s="13" t="n">
        <f aca="false">IF(Time!L20&lt;=Time!$F$15,(Waterfall!L7+M12)/(1+L10),0)</f>
        <v>979.221067181822</v>
      </c>
      <c r="M12" s="13" t="n">
        <f aca="false">IF(Time!M20&lt;=Time!$F$15,(Waterfall!M7+N12)/(1+M10),0)</f>
        <v>1005.67172347388</v>
      </c>
      <c r="N12" s="13" t="n">
        <f aca="false">IF(Time!N20&lt;=Time!$F$15,(Waterfall!N7+O12)/(1+N10),0)</f>
        <v>1032.83686318722</v>
      </c>
      <c r="O12" s="13" t="n">
        <f aca="false">IF(Time!O20&lt;=Time!$F$15,(Waterfall!O7+P12)/(1+O10),0)</f>
        <v>1060.73578590194</v>
      </c>
      <c r="P12" s="13" t="n">
        <f aca="false">IF(Time!P20&lt;=Time!$F$15,(Waterfall!P7+Q12)/(1+P10),0)</f>
        <v>1087.81082449502</v>
      </c>
      <c r="Q12" s="13" t="n">
        <f aca="false">IF(Time!Q20&lt;=Time!$F$15,(Waterfall!Q7+R12)/(1+Q10),0)</f>
        <v>1078.3754658767</v>
      </c>
      <c r="R12" s="13" t="n">
        <f aca="false">IF(Time!R20&lt;=Time!$F$15,(Waterfall!R7+S12)/(1+R10),0)</f>
        <v>1068.54910632919</v>
      </c>
      <c r="S12" s="13" t="n">
        <f aca="false">IF(Time!S20&lt;=Time!$F$15,(Waterfall!S7+T12)/(1+S10),0)</f>
        <v>1058.60542597619</v>
      </c>
      <c r="T12" s="13" t="n">
        <f aca="false">IF(Time!T20&lt;=Time!$F$15,(Waterfall!T7+U12)/(1+T10),0)</f>
        <v>1048.26646342044</v>
      </c>
      <c r="U12" s="13" t="n">
        <f aca="false">IF(Time!U20&lt;=Time!$F$15,(Waterfall!U7+V12)/(1+U10),0)</f>
        <v>1037.0408966803</v>
      </c>
      <c r="V12" s="13" t="n">
        <f aca="false">IF(Time!V20&lt;=Time!$F$15,(Waterfall!V7+W12)/(1+V10),0)</f>
        <v>1025.9466855745</v>
      </c>
      <c r="W12" s="13" t="n">
        <f aca="false">IF(Time!W20&lt;=Time!$F$15,(Waterfall!W7+X12)/(1+W10),0)</f>
        <v>1015.27303813505</v>
      </c>
      <c r="X12" s="13" t="n">
        <f aca="false">IF(Time!X20&lt;=Time!$F$15,(Waterfall!X7+Y12)/(1+X10),0)</f>
        <v>1003.96905999371</v>
      </c>
      <c r="Y12" s="13" t="n">
        <f aca="false">IF(Time!Y20&lt;=Time!$F$15,(Waterfall!Y7+Z12)/(1+Y10),0)</f>
        <v>992.716225414225</v>
      </c>
      <c r="Z12" s="13" t="n">
        <f aca="false">IF(Time!Z20&lt;=Time!$F$15,(Waterfall!Z7+AA12)/(1+Z10),0)</f>
        <v>982.025581443697</v>
      </c>
      <c r="AA12" s="13" t="n">
        <f aca="false">IF(Time!AA20&lt;=Time!$F$15,(Waterfall!AA7+AB12)/(1+AA10),0)</f>
        <v>971.395196841553</v>
      </c>
      <c r="AB12" s="13" t="n">
        <f aca="false">IF(Time!AB20&lt;=Time!$F$15,(Waterfall!AB7+AC12)/(1+AB10),0)</f>
        <v>960.342631209092</v>
      </c>
      <c r="AC12" s="13" t="n">
        <f aca="false">IF(Time!AC20&lt;=Time!$F$15,(Waterfall!AC7+AD12)/(1+AC10),0)</f>
        <v>948.192868766909</v>
      </c>
      <c r="AD12" s="13" t="n">
        <f aca="false">IF(Time!AD20&lt;=Time!$F$15,(Waterfall!AD7+AE12)/(1+AD10),0)</f>
        <v>936.341670032003</v>
      </c>
      <c r="AE12" s="13" t="n">
        <f aca="false">IF(Time!AE20&lt;=Time!$F$15,(Waterfall!AE7+AF12)/(1+AE10),0)</f>
        <v>924.005036260116</v>
      </c>
      <c r="AF12" s="13" t="n">
        <f aca="false">IF(Time!AF20&lt;=Time!$F$15,(Waterfall!AF7+AG12)/(1+AF10),0)</f>
        <v>910.719557346738</v>
      </c>
      <c r="AG12" s="13" t="n">
        <f aca="false">IF(Time!AG20&lt;=Time!$F$15,(Waterfall!AG7+AH12)/(1+AG10),0)</f>
        <v>894.81249891977</v>
      </c>
      <c r="AH12" s="13" t="n">
        <f aca="false">IF(Time!AH20&lt;=Time!$F$15,(Waterfall!AH7+AI12)/(1+AH10),0)</f>
        <v>878.436500906494</v>
      </c>
      <c r="AI12" s="13" t="n">
        <f aca="false">IF(Time!AI20&lt;=Time!$F$15,(Waterfall!AI7+AJ12)/(1+AI10),0)</f>
        <v>861.195212303286</v>
      </c>
      <c r="AJ12" s="13" t="n">
        <f aca="false">IF(Time!AJ20&lt;=Time!$F$15,(Waterfall!AJ7+AK12)/(1+AJ10),0)</f>
        <v>842.823632798264</v>
      </c>
      <c r="AK12" s="13" t="n">
        <f aca="false">IF(Time!AK20&lt;=Time!$F$15,(Waterfall!AK7+AL12)/(1+AK10),0)</f>
        <v>822.363859749523</v>
      </c>
      <c r="AL12" s="13" t="n">
        <f aca="false">IF(Time!AL20&lt;=Time!$F$15,(Waterfall!AL7+AM12)/(1+AL10),0)</f>
        <v>800.688287879585</v>
      </c>
      <c r="AM12" s="13" t="n">
        <f aca="false">IF(Time!AM20&lt;=Time!$F$15,(Waterfall!AM7+AN12)/(1+AM10),0)</f>
        <v>777.075401141623</v>
      </c>
      <c r="AN12" s="13" t="n">
        <f aca="false">IF(Time!AN20&lt;=Time!$F$15,(Waterfall!AN7+AO12)/(1+AN10),0)</f>
        <v>751.197473589424</v>
      </c>
      <c r="AO12" s="13" t="n">
        <f aca="false">IF(Time!AO20&lt;=Time!$F$15,(Waterfall!AO7+AP12)/(1+AO10),0)</f>
        <v>725.035588198375</v>
      </c>
      <c r="AP12" s="13" t="n">
        <f aca="false">IF(Time!AP20&lt;=Time!$F$15,(Waterfall!AP7+AQ12)/(1+AP10),0)</f>
        <v>698.209949628186</v>
      </c>
      <c r="AQ12" s="13" t="n">
        <f aca="false">IF(Time!AQ20&lt;=Time!$F$15,(Waterfall!AQ7+AR12)/(1+AQ10),0)</f>
        <v>670.474626772134</v>
      </c>
      <c r="AR12" s="13" t="n">
        <f aca="false">IF(Time!AR20&lt;=Time!$F$15,(Waterfall!AR7+AS12)/(1+AR10),0)</f>
        <v>642.32867661867</v>
      </c>
      <c r="AS12" s="13" t="n">
        <f aca="false">IF(Time!AS20&lt;=Time!$F$15,(Waterfall!AS7+AT12)/(1+AS10),0)</f>
        <v>612.403488931705</v>
      </c>
      <c r="AT12" s="13" t="n">
        <f aca="false">IF(Time!AT20&lt;=Time!$F$15,(Waterfall!AT7+AU12)/(1+AT10),0)</f>
        <v>582.87883024889</v>
      </c>
      <c r="AU12" s="13" t="n">
        <f aca="false">IF(Time!AU20&lt;=Time!$F$15,(Waterfall!AU7+AV12)/(1+AU10),0)</f>
        <v>552.157679568961</v>
      </c>
      <c r="AV12" s="13" t="n">
        <f aca="false">IF(Time!AV20&lt;=Time!$F$15,(Waterfall!AV7+AW12)/(1+AV10),0)</f>
        <v>525.727102822638</v>
      </c>
      <c r="AW12" s="13" t="n">
        <f aca="false">IF(Time!AW20&lt;=Time!$F$15,(Waterfall!AW7+AX12)/(1+AW10),0)</f>
        <v>499.751035523926</v>
      </c>
      <c r="AX12" s="13" t="n">
        <f aca="false">IF(Time!AX20&lt;=Time!$F$15,(Waterfall!AX7+AY12)/(1+AX10),0)</f>
        <v>472.903288888663</v>
      </c>
      <c r="AY12" s="13" t="n">
        <f aca="false">IF(Time!AY20&lt;=Time!$F$15,(Waterfall!AY7+AZ12)/(1+AY10),0)</f>
        <v>445.028323575098</v>
      </c>
      <c r="AZ12" s="13" t="n">
        <f aca="false">IF(Time!AZ20&lt;=Time!$F$15,(Waterfall!AZ7+BA12)/(1+AZ10),0)</f>
        <v>416.843583766196</v>
      </c>
      <c r="BA12" s="13" t="n">
        <f aca="false">IF(Time!BA20&lt;=Time!$F$15,(Waterfall!BA7+BB12)/(1+BA10),0)</f>
        <v>387.023191448584</v>
      </c>
      <c r="BB12" s="13" t="n">
        <f aca="false">IF(Time!BB20&lt;=Time!$F$15,(Waterfall!BB7+BC12)/(1+BB10),0)</f>
        <v>357.017863240681</v>
      </c>
      <c r="BC12" s="13" t="n">
        <f aca="false">IF(Time!BC20&lt;=Time!$F$15,(Waterfall!BC7+BD12)/(1+BC10),0)</f>
        <v>325.152809851184</v>
      </c>
      <c r="BD12" s="13" t="n">
        <f aca="false">IF(Time!BD20&lt;=Time!$F$15,(Waterfall!BD7+BE12)/(1+BD10),0)</f>
        <v>295.811194508929</v>
      </c>
      <c r="BE12" s="13" t="n">
        <f aca="false">IF(Time!BE20&lt;=Time!$F$15,(Waterfall!BE7+BF12)/(1+BE10),0)</f>
        <v>270.698703411398</v>
      </c>
      <c r="BF12" s="13" t="n">
        <f aca="false">IF(Time!BF20&lt;=Time!$F$15,(Waterfall!BF7+BG12)/(1+BF10),0)</f>
        <v>244.997300149672</v>
      </c>
      <c r="BG12" s="13" t="n">
        <f aca="false">IF(Time!BG20&lt;=Time!$F$15,(Waterfall!BG7+BH12)/(1+BG10),0)</f>
        <v>218.288683516865</v>
      </c>
      <c r="BH12" s="13" t="n">
        <f aca="false">IF(Time!BH20&lt;=Time!$F$15,(Waterfall!BH7+BI12)/(1+BH10),0)</f>
        <v>191.311884167457</v>
      </c>
      <c r="BI12" s="13" t="n">
        <f aca="false">IF(Time!BI20&lt;=Time!$F$15,(Waterfall!BI7+BJ12)/(1+BI10),0)</f>
        <v>162.698077180885</v>
      </c>
      <c r="BJ12" s="13" t="n">
        <f aca="false">IF(Time!BJ20&lt;=Time!$F$15,(Waterfall!BJ7+BK12)/(1+BJ10),0)</f>
        <v>134.195107610118</v>
      </c>
      <c r="BK12" s="13" t="n">
        <f aca="false">IF(Time!BK20&lt;=Time!$F$15,(Waterfall!BK7+BL12)/(1+BK10),0)</f>
        <v>98.363292512432</v>
      </c>
      <c r="BL12" s="13" t="n">
        <f aca="false">IF(Time!BL20&lt;=Time!$F$15,(Waterfall!BL7+BM12)/(1+BL10),0)</f>
        <v>67.0305885768211</v>
      </c>
      <c r="BM12" s="13" t="n">
        <f aca="false">IF(Time!BM20&lt;=Time!$F$15,(Waterfall!BM7+BN12)/(1+BM10),0)</f>
        <v>32.5370847565332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1.30614024892093</v>
      </c>
      <c r="Q13" s="3" t="n">
        <f aca="false">IF(Debt!Q115&gt;Inputs!$F$253,(Q11+Reserves!Q9)/Debt!Q115,0)</f>
        <v>1.30690365861231</v>
      </c>
      <c r="R13" s="3" t="n">
        <f aca="false">IF(Debt!R115&gt;Inputs!$F$253,(R11+Reserves!R9)/Debt!R115,0)</f>
        <v>1.30899807703319</v>
      </c>
      <c r="S13" s="3" t="n">
        <f aca="false">IF(Debt!S115&gt;Inputs!$F$253,(S11+Reserves!S9)/Debt!S115,0)</f>
        <v>1.3106818203669</v>
      </c>
      <c r="T13" s="3" t="n">
        <f aca="false">IF(Debt!T115&gt;Inputs!$F$253,(T11+Reserves!T9)/Debt!T115,0)</f>
        <v>1.31371777625179</v>
      </c>
      <c r="U13" s="3" t="n">
        <f aca="false">IF(Debt!U115&gt;Inputs!$F$253,(U11+Reserves!U9)/Debt!U115,0)</f>
        <v>1.31524187722185</v>
      </c>
      <c r="V13" s="3" t="n">
        <f aca="false">IF(Debt!V115&gt;Inputs!$F$253,(V11+Reserves!V9)/Debt!V115,0)</f>
        <v>1.31965980339656</v>
      </c>
      <c r="W13" s="3" t="n">
        <f aca="false">IF(Debt!W115&gt;Inputs!$F$253,(W11+Reserves!W9)/Debt!W115,0)</f>
        <v>1.32551381005865</v>
      </c>
      <c r="X13" s="3" t="n">
        <f aca="false">IF(Debt!X115&gt;Inputs!$F$253,(X11+Reserves!X9)/Debt!X115,0)</f>
        <v>1.32993072030303</v>
      </c>
      <c r="Y13" s="3" t="n">
        <f aca="false">IF(Debt!Y115&gt;Inputs!$F$253,(Y11+Reserves!Y9)/Debt!Y115,0)</f>
        <v>1.33355500381068</v>
      </c>
      <c r="Z13" s="3" t="n">
        <f aca="false">IF(Debt!Z115&gt;Inputs!$F$253,(Z11+Reserves!Z9)/Debt!Z115,0)</f>
        <v>1.33859740287575</v>
      </c>
      <c r="AA13" s="3" t="n">
        <f aca="false">IF(Debt!AA115&gt;Inputs!$F$253,(AA11+Reserves!AA9)/Debt!AA115,0)</f>
        <v>1.3439342918852</v>
      </c>
      <c r="AB13" s="3" t="n">
        <f aca="false">IF(Debt!AB115&gt;Inputs!$F$253,(AB11+Reserves!AB9)/Debt!AB115,0)</f>
        <v>1.3653612369711</v>
      </c>
      <c r="AC13" s="3" t="n">
        <f aca="false">IF(Debt!AC115&gt;Inputs!$F$253,(AC11+Reserves!AC9)/Debt!AC115,0)</f>
        <v>1.38896801923107</v>
      </c>
      <c r="AD13" s="3" t="n">
        <f aca="false">IF(Debt!AD115&gt;Inputs!$F$253,(AD11+Reserves!AD9)/Debt!AD115,0)</f>
        <v>1.41816719717187</v>
      </c>
      <c r="AE13" s="3" t="n">
        <f aca="false">IF(Debt!AE115&gt;Inputs!$F$253,(AE11+Reserves!AE9)/Debt!AE115,0)</f>
        <v>1.45427472049417</v>
      </c>
      <c r="AF13" s="3" t="n">
        <f aca="false">IF(Debt!AF115&gt;Inputs!$F$253,(AF11+Reserves!AF9)/Debt!AF115,0)</f>
        <v>1.49814115861113</v>
      </c>
      <c r="AG13" s="3" t="n">
        <f aca="false">IF(Debt!AG115&gt;Inputs!$F$253,(AG11+Reserves!AG9)/Debt!AG115,0)</f>
        <v>1.5502973351767</v>
      </c>
      <c r="AH13" s="3" t="n">
        <f aca="false">IF(Debt!AH115&gt;Inputs!$F$253,(AH11+Reserves!AH9)/Debt!AH115,0)</f>
        <v>1.61599149824272</v>
      </c>
      <c r="AI13" s="3" t="n">
        <f aca="false">IF(Debt!AI115&gt;Inputs!$F$253,(AI11+Reserves!AI9)/Debt!AI115,0)</f>
        <v>1.70373742935502</v>
      </c>
      <c r="AJ13" s="3" t="n">
        <f aca="false">IF(Debt!AJ115&gt;Inputs!$F$253,(AJ11+Reserves!AJ9)/Debt!AJ115,0)</f>
        <v>1.82588650063173</v>
      </c>
      <c r="AK13" s="3" t="n">
        <f aca="false">IF(Debt!AK115&gt;Inputs!$F$253,(AK11+Reserves!AK9)/Debt!AK115,0)</f>
        <v>2.01314478349646</v>
      </c>
      <c r="AL13" s="3" t="n">
        <f aca="false">IF(Debt!AL115&gt;Inputs!$F$253,(AL11+Reserves!AL9)/Debt!AL115,0)</f>
        <v>2.3354827365124</v>
      </c>
      <c r="AM13" s="3" t="n">
        <f aca="false">IF(Debt!AM115&gt;Inputs!$F$253,(AM11+Reserves!AM9)/Debt!AM115,0)</f>
        <v>2.70628973718527</v>
      </c>
      <c r="AN13" s="3" t="n">
        <f aca="false">IF(Debt!AN115&gt;Inputs!$F$253,(AN11+Reserves!AN9)/Debt!AN115,0)</f>
        <v>2.96728092012867</v>
      </c>
      <c r="AO13" s="3" t="n">
        <f aca="false">IF(Debt!AO115&gt;Inputs!$F$253,(AO11+Reserves!AO9)/Debt!AO115,0)</f>
        <v>3.48181356269816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1.24732375626143</v>
      </c>
      <c r="Q14" s="3" t="n">
        <f aca="false">IF(Debt!Q115&gt;Inputs!$F$253,Q11/Debt!Q115,0)</f>
        <v>1.24675628764629</v>
      </c>
      <c r="R14" s="3" t="n">
        <f aca="false">IF(Debt!R115&gt;Inputs!$F$253,R11/Debt!R115,0)</f>
        <v>1.24645906087997</v>
      </c>
      <c r="S14" s="3" t="n">
        <f aca="false">IF(Debt!S115&gt;Inputs!$F$253,S11/Debt!S115,0)</f>
        <v>1.24682931157553</v>
      </c>
      <c r="T14" s="3" t="n">
        <f aca="false">IF(Debt!T115&gt;Inputs!$F$253,T11/Debt!T115,0)</f>
        <v>1.24716539312481</v>
      </c>
      <c r="U14" s="3" t="n">
        <f aca="false">IF(Debt!U115&gt;Inputs!$F$253,U11/Debt!U115,0)</f>
        <v>1.24680693350605</v>
      </c>
      <c r="V14" s="3" t="n">
        <f aca="false">IF(Debt!V115&gt;Inputs!$F$253,V11/Debt!V115,0)</f>
        <v>1.24744227628949</v>
      </c>
      <c r="W14" s="3" t="n">
        <f aca="false">IF(Debt!W115&gt;Inputs!$F$253,W11/Debt!W115,0)</f>
        <v>1.25097620389016</v>
      </c>
      <c r="X14" s="3" t="n">
        <f aca="false">IF(Debt!X115&gt;Inputs!$F$253,X11/Debt!X115,0)</f>
        <v>1.25448597952732</v>
      </c>
      <c r="Y14" s="3" t="n">
        <f aca="false">IF(Debt!Y115&gt;Inputs!$F$253,Y11/Debt!Y115,0)</f>
        <v>1.2556398909272</v>
      </c>
      <c r="Z14" s="3" t="n">
        <f aca="false">IF(Debt!Z115&gt;Inputs!$F$253,Z11/Debt!Z115,0)</f>
        <v>1.25652601561276</v>
      </c>
      <c r="AA14" s="3" t="n">
        <f aca="false">IF(Debt!AA115&gt;Inputs!$F$253,AA11/Debt!AA115,0)</f>
        <v>1.25854509485131</v>
      </c>
      <c r="AB14" s="3" t="n">
        <f aca="false">IF(Debt!AB115&gt;Inputs!$F$253,AB11/Debt!AB115,0)</f>
        <v>1.27347267658184</v>
      </c>
      <c r="AC14" s="3" t="n">
        <f aca="false">IF(Debt!AC115&gt;Inputs!$F$253,AC11/Debt!AC115,0)</f>
        <v>1.29189632522234</v>
      </c>
      <c r="AD14" s="3" t="n">
        <f aca="false">IF(Debt!AD115&gt;Inputs!$F$253,AD11/Debt!AD115,0)</f>
        <v>1.31119876278254</v>
      </c>
      <c r="AE14" s="3" t="n">
        <f aca="false">IF(Debt!AE115&gt;Inputs!$F$253,AE11/Debt!AE115,0)</f>
        <v>1.33891205119573</v>
      </c>
      <c r="AF14" s="3" t="n">
        <f aca="false">IF(Debt!AF115&gt;Inputs!$F$253,AF11/Debt!AF115,0)</f>
        <v>1.37235336494521</v>
      </c>
      <c r="AG14" s="3" t="n">
        <f aca="false">IF(Debt!AG115&gt;Inputs!$F$253,AG11/Debt!AG115,0)</f>
        <v>1.41233304302293</v>
      </c>
      <c r="AH14" s="3" t="n">
        <f aca="false">IF(Debt!AH115&gt;Inputs!$F$253,AH11/Debt!AH115,0)</f>
        <v>1.46027890319923</v>
      </c>
      <c r="AI14" s="3" t="n">
        <f aca="false">IF(Debt!AI115&gt;Inputs!$F$253,AI11/Debt!AI115,0)</f>
        <v>1.52759335607909</v>
      </c>
      <c r="AJ14" s="3" t="n">
        <f aca="false">IF(Debt!AJ115&gt;Inputs!$F$253,AJ11/Debt!AJ115,0)</f>
        <v>1.61803146983779</v>
      </c>
      <c r="AK14" s="3" t="n">
        <f aca="false">IF(Debt!AK115&gt;Inputs!$F$253,AK11/Debt!AK115,0)</f>
        <v>1.75965019871693</v>
      </c>
      <c r="AL14" s="3" t="n">
        <f aca="false">IF(Debt!AL115&gt;Inputs!$F$253,AL11/Debt!AL115,0)</f>
        <v>1.99944370451479</v>
      </c>
      <c r="AM14" s="3" t="n">
        <f aca="false">IF(Debt!AM115&gt;Inputs!$F$253,AM11/Debt!AM115,0)</f>
        <v>2.26531844016121</v>
      </c>
      <c r="AN14" s="3" t="n">
        <f aca="false">IF(Debt!AN115&gt;Inputs!$F$253,AN11/Debt!AN115,0)</f>
        <v>2.44381275190899</v>
      </c>
      <c r="AO14" s="3" t="n">
        <f aca="false">IF(Debt!AO115&gt;Inputs!$F$253,AO11/Debt!AO115,0)</f>
        <v>2.45480162721338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1.71780585814861</v>
      </c>
      <c r="Q15" s="3" t="n">
        <f aca="false">IF(Debt!Q115&gt;Inputs!$F$253,Q12/Debt!Q115,0)</f>
        <v>1.74560434003206</v>
      </c>
      <c r="R15" s="3" t="n">
        <f aca="false">IF(Debt!R115&gt;Inputs!$F$253,R12/Debt!R115,0)</f>
        <v>1.77611671842125</v>
      </c>
      <c r="S15" s="3" t="n">
        <f aca="false">IF(Debt!S115&gt;Inputs!$F$253,S12/Debt!S115,0)</f>
        <v>1.81057098220837</v>
      </c>
      <c r="T15" s="3" t="n">
        <f aca="false">IF(Debt!T115&gt;Inputs!$F$253,T12/Debt!T115,0)</f>
        <v>1.84801008794089</v>
      </c>
      <c r="U15" s="3" t="n">
        <f aca="false">IF(Debt!U115&gt;Inputs!$F$253,U12/Debt!U115,0)</f>
        <v>1.88896797454246</v>
      </c>
      <c r="V15" s="3" t="n">
        <f aca="false">IF(Debt!V115&gt;Inputs!$F$253,V12/Debt!V115,0)</f>
        <v>1.93510987593037</v>
      </c>
      <c r="W15" s="3" t="n">
        <f aca="false">IF(Debt!W115&gt;Inputs!$F$253,W12/Debt!W115,0)</f>
        <v>1.9902577185888</v>
      </c>
      <c r="X15" s="3" t="n">
        <f aca="false">IF(Debt!X115&gt;Inputs!$F$253,X12/Debt!X115,0)</f>
        <v>2.05119846780812</v>
      </c>
      <c r="Y15" s="3" t="n">
        <f aca="false">IF(Debt!Y115&gt;Inputs!$F$253,Y12/Debt!Y115,0)</f>
        <v>2.11503329442542</v>
      </c>
      <c r="Z15" s="3" t="n">
        <f aca="false">IF(Debt!Z115&gt;Inputs!$F$253,Z12/Debt!Z115,0)</f>
        <v>2.18587529730419</v>
      </c>
      <c r="AA15" s="3" t="n">
        <f aca="false">IF(Debt!AA115&gt;Inputs!$F$253,AA12/Debt!AA115,0)</f>
        <v>2.26789534013619</v>
      </c>
      <c r="AB15" s="3" t="n">
        <f aca="false">IF(Debt!AB115&gt;Inputs!$F$253,AB12/Debt!AB115,0)</f>
        <v>2.38468048357425</v>
      </c>
      <c r="AC15" s="3" t="n">
        <f aca="false">IF(Debt!AC115&gt;Inputs!$F$253,AC12/Debt!AC115,0)</f>
        <v>2.52631804649018</v>
      </c>
      <c r="AD15" s="3" t="n">
        <f aca="false">IF(Debt!AD115&gt;Inputs!$F$253,AD12/Debt!AD115,0)</f>
        <v>2.68731294045519</v>
      </c>
      <c r="AE15" s="3" t="n">
        <f aca="false">IF(Debt!AE115&gt;Inputs!$F$253,AE12/Debt!AE115,0)</f>
        <v>2.89225698377883</v>
      </c>
      <c r="AF15" s="3" t="n">
        <f aca="false">IF(Debt!AF115&gt;Inputs!$F$253,AF12/Debt!AF115,0)</f>
        <v>3.1451854600244</v>
      </c>
      <c r="AG15" s="3" t="n">
        <f aca="false">IF(Debt!AG115&gt;Inputs!$F$253,AG12/Debt!AG115,0)</f>
        <v>3.47451275059187</v>
      </c>
      <c r="AH15" s="3" t="n">
        <f aca="false">IF(Debt!AH115&gt;Inputs!$F$253,AH12/Debt!AH115,0)</f>
        <v>3.90033052139276</v>
      </c>
      <c r="AI15" s="3" t="n">
        <f aca="false">IF(Debt!AI115&gt;Inputs!$F$253,AI12/Debt!AI115,0)</f>
        <v>4.49592321836546</v>
      </c>
      <c r="AJ15" s="3" t="n">
        <f aca="false">IF(Debt!AJ115&gt;Inputs!$F$253,AJ12/Debt!AJ115,0)</f>
        <v>5.34540110776899</v>
      </c>
      <c r="AK15" s="3" t="n">
        <f aca="false">IF(Debt!AK115&gt;Inputs!$F$253,AK12/Debt!AK115,0)</f>
        <v>6.72316011427077</v>
      </c>
      <c r="AL15" s="3" t="n">
        <f aca="false">IF(Debt!AL115&gt;Inputs!$F$253,AL12/Debt!AL115,0)</f>
        <v>9.17477896564305</v>
      </c>
      <c r="AM15" s="3" t="n">
        <f aca="false">IF(Debt!AM115&gt;Inputs!$F$253,AM12/Debt!AM115,0)</f>
        <v>13.2750164253895</v>
      </c>
      <c r="AN15" s="3" t="n">
        <f aca="false">IF(Debt!AN115&gt;Inputs!$F$253,AN12/Debt!AN115,0)</f>
        <v>20.5533980151062</v>
      </c>
      <c r="AO15" s="3" t="n">
        <f aca="false">IF(Debt!AO115&gt;Inputs!$F$253,AO12/Debt!AO115,0)</f>
        <v>39.3855832087812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1.20035870381227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1.37628354287748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1.30614024892093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1.71780585814861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1.25415541611976</v>
      </c>
      <c r="P20" s="3" t="n">
        <f aca="false">IF(Debt!Q114&gt;Inputs!$F$253,(Waterfall!Q7+IF(Debt!R114&gt;Inputs!$F$253,Waterfall!R7,0))/(Debt!Q114+Debt!R114),0)</f>
        <v>1.24610313986836</v>
      </c>
      <c r="Q20" s="3" t="n">
        <f aca="false">IF(Debt!R114&gt;Inputs!$F$253,(Waterfall!R7+IF(Debt!S114&gt;Inputs!$F$253,Waterfall!S7,0))/(Debt!R114+Debt!S114),0)</f>
        <v>1.24121219916795</v>
      </c>
      <c r="R20" s="3" t="n">
        <f aca="false">IF(Debt!S114&gt;Inputs!$F$253,(Waterfall!S7+IF(Debt!T114&gt;Inputs!$F$253,Waterfall!T7,0))/(Debt!S114+Debt!T114),0)</f>
        <v>1.24708025833954</v>
      </c>
      <c r="S20" s="3" t="n">
        <f aca="false">IF(Debt!T114&gt;Inputs!$F$253,(Waterfall!T7+IF(Debt!U114&gt;Inputs!$F$253,Waterfall!U7,0))/(Debt!T114+Debt!U114),0)</f>
        <v>1.24512725415902</v>
      </c>
      <c r="T20" s="3" t="n">
        <f aca="false">IF(Debt!U114&gt;Inputs!$F$253,(Waterfall!U7+IF(Debt!V114&gt;Inputs!$F$253,Waterfall!V7,0))/(Debt!U114+Debt!V114),0)</f>
        <v>1.21892283667009</v>
      </c>
      <c r="U20" s="3" t="n">
        <f aca="false">IF(Debt!V114&gt;Inputs!$F$253,(Waterfall!V7+IF(Debt!W114&gt;Inputs!$F$253,Waterfall!W7,0))/(Debt!V114+Debt!W114),0)</f>
        <v>1.20306818962826</v>
      </c>
      <c r="V20" s="3" t="n">
        <f aca="false">IF(Debt!W114&gt;Inputs!$F$253,(Waterfall!W7+IF(Debt!X114&gt;Inputs!$F$253,Waterfall!X7,0))/(Debt!W114+Debt!X114),0)</f>
        <v>1.22255894591746</v>
      </c>
      <c r="W20" s="3" t="n">
        <f aca="false">IF(Debt!X114&gt;Inputs!$F$253,(Waterfall!X7+IF(Debt!Y114&gt;Inputs!$F$253,Waterfall!Y7,0))/(Debt!X114+Debt!Y114),0)</f>
        <v>1.24227458398438</v>
      </c>
      <c r="X20" s="3" t="n">
        <f aca="false">IF(Debt!Y114&gt;Inputs!$F$253,(Waterfall!Y7+IF(Debt!Z114&gt;Inputs!$F$253,Waterfall!Z7,0))/(Debt!Y114+Debt!Z114),0)</f>
        <v>1.2388885401356</v>
      </c>
      <c r="Y20" s="3" t="n">
        <f aca="false">IF(Debt!Z114&gt;Inputs!$F$253,(Waterfall!Z7+IF(Debt!AA114&gt;Inputs!$F$253,Waterfall!AA7,0))/(Debt!Z114+Debt!AA114),0)</f>
        <v>1.23356521553462</v>
      </c>
      <c r="Z20" s="3" t="n">
        <f aca="false">IF(Debt!AA114&gt;Inputs!$F$253,(Waterfall!AA7+IF(Debt!AB114&gt;Inputs!$F$253,Waterfall!AB7,0))/(Debt!AA114+Debt!AB114),0)</f>
        <v>1.24693829366573</v>
      </c>
      <c r="AA20" s="3" t="n">
        <f aca="false">IF(Debt!AB114&gt;Inputs!$F$253,(Waterfall!AB7+IF(Debt!AC114&gt;Inputs!$F$253,Waterfall!AC7,0))/(Debt!AB114+Debt!AC114),0)</f>
        <v>1.25618067077241</v>
      </c>
      <c r="AB20" s="3" t="n">
        <f aca="false">IF(Debt!AC114&gt;Inputs!$F$253,(Waterfall!AC7+IF(Debt!AD114&gt;Inputs!$F$253,Waterfall!AD7,0))/(Debt!AC114+Debt!AD114),0)</f>
        <v>1.23914300575757</v>
      </c>
      <c r="AC20" s="3" t="n">
        <f aca="false">IF(Debt!AD114&gt;Inputs!$F$253,(Waterfall!AD7+IF(Debt!AE114&gt;Inputs!$F$253,Waterfall!AE7,0))/(Debt!AD114+Debt!AE114),0)</f>
        <v>1.23421223470192</v>
      </c>
      <c r="AD20" s="3" t="n">
        <f aca="false">IF(Debt!AE114&gt;Inputs!$F$253,(Waterfall!AE7+IF(Debt!AF114&gt;Inputs!$F$253,Waterfall!AF7,0))/(Debt!AE114+Debt!AF114),0)</f>
        <v>1.28301448021741</v>
      </c>
      <c r="AE20" s="3" t="n">
        <f aca="false">IF(Debt!AF114&gt;Inputs!$F$253,(Waterfall!AF7+IF(Debt!AG114&gt;Inputs!$F$253,Waterfall!AG7,0))/(Debt!AF114+Debt!AG114),0)</f>
        <v>1.34812759110197</v>
      </c>
      <c r="AF20" s="3" t="n">
        <f aca="false">IF(Debt!AG114&gt;Inputs!$F$253,(Waterfall!AG7+IF(Debt!AH114&gt;Inputs!$F$253,Waterfall!AH7,0))/(Debt!AG114+Debt!AH114),0)</f>
        <v>1.38833145506119</v>
      </c>
      <c r="AG20" s="3" t="n">
        <f aca="false">IF(Debt!AH114&gt;Inputs!$F$253,(Waterfall!AH7+IF(Debt!AI114&gt;Inputs!$F$253,Waterfall!AI7,0))/(Debt!AH114+Debt!AI114),0)</f>
        <v>1.43311567536643</v>
      </c>
      <c r="AH20" s="3" t="n">
        <f aca="false">IF(Debt!AI114&gt;Inputs!$F$253,(Waterfall!AI7+IF(Debt!AJ114&gt;Inputs!$F$253,Waterfall!AJ7,0))/(Debt!AI114+Debt!AJ114),0)</f>
        <v>1.50882488664509</v>
      </c>
      <c r="AI20" s="3" t="n">
        <f aca="false">IF(Debt!AJ114&gt;Inputs!$F$253,(Waterfall!AJ7+IF(Debt!AK114&gt;Inputs!$F$253,Waterfall!AK7,0))/(Debt!AJ114+Debt!AK114),0)</f>
        <v>1.60648941109985</v>
      </c>
      <c r="AJ20" s="3" t="n">
        <f aca="false">IF(Debt!AK114&gt;Inputs!$F$253,(Waterfall!AK7+IF(Debt!AL114&gt;Inputs!$F$253,Waterfall!AL7,0))/(Debt!AK114+Debt!AL114),0)</f>
        <v>1.73000693458421</v>
      </c>
      <c r="AK20" s="3" t="n">
        <f aca="false">IF(Debt!AL114&gt;Inputs!$F$253,(Waterfall!AL7+IF(Debt!AM114&gt;Inputs!$F$253,Waterfall!AM7,0))/(Debt!AL114+Debt!AM114),0)</f>
        <v>1.89243776100513</v>
      </c>
      <c r="AL20" s="3" t="n">
        <f aca="false">IF(Debt!AM114&gt;Inputs!$F$253,(Waterfall!AM7+IF(Debt!AN114&gt;Inputs!$F$253,Waterfall!AN7,0))/(Debt!AM114+Debt!AN114),0)</f>
        <v>2.18777872237858</v>
      </c>
      <c r="AM20" s="3" t="n">
        <f aca="false">IF(Debt!AN114&gt;Inputs!$F$253,(Waterfall!AN7+IF(Debt!AO114&gt;Inputs!$F$253,Waterfall!AO7,0))/(Debt!AN114+Debt!AO114),0)</f>
        <v>2.44395640473525</v>
      </c>
      <c r="AN20" s="3" t="n">
        <f aca="false">IF(Debt!AO114&gt;Inputs!$F$253,(Waterfall!AO7+IF(Debt!AP114&gt;Inputs!$F$253,Waterfall!AP7,0))/(Debt!AO114+Debt!AP114),0)</f>
        <v>2.45480162721338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1010.17185766691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11.2287247333463</v>
      </c>
      <c r="BS8" s="18" t="n">
        <f aca="false">Waterfall!Q44</f>
        <v>8.87977667067288</v>
      </c>
      <c r="BT8" s="18" t="n">
        <f aca="false">Waterfall!R44</f>
        <v>9.34796345661746</v>
      </c>
      <c r="BU8" s="18" t="n">
        <f aca="false">Waterfall!S44</f>
        <v>8.6064114120869</v>
      </c>
      <c r="BV8" s="18" t="n">
        <f aca="false">Waterfall!T44</f>
        <v>9.70811346309553</v>
      </c>
      <c r="BW8" s="18" t="n">
        <f aca="false">Waterfall!U44</f>
        <v>8.21863719134242</v>
      </c>
      <c r="BX8" s="18" t="n">
        <f aca="false">Waterfall!V44</f>
        <v>7.93601087927242</v>
      </c>
      <c r="BY8" s="18" t="n">
        <f aca="false">Waterfall!W44</f>
        <v>8.92148088527618</v>
      </c>
      <c r="BZ8" s="18" t="n">
        <f aca="false">Waterfall!X44</f>
        <v>9.21215250024091</v>
      </c>
      <c r="CA8" s="18" t="n">
        <f aca="false">Waterfall!Y44</f>
        <v>8.64977989914497</v>
      </c>
      <c r="CB8" s="18" t="n">
        <f aca="false">Waterfall!Z44</f>
        <v>8.89071846405631</v>
      </c>
      <c r="CC8" s="18" t="n">
        <f aca="false">Waterfall!AA44</f>
        <v>4.06512259651941</v>
      </c>
      <c r="CD8" s="18" t="n">
        <f aca="false">Waterfall!AB44</f>
        <v>5.03751690453018</v>
      </c>
      <c r="CE8" s="18" t="n">
        <f aca="false">Waterfall!AC44</f>
        <v>4.11113509192494</v>
      </c>
      <c r="CF8" s="18" t="n">
        <f aca="false">Waterfall!AD44</f>
        <v>4.36622833666002</v>
      </c>
      <c r="CG8" s="18" t="n">
        <f aca="false">Waterfall!AE44</f>
        <v>4.61566811897511</v>
      </c>
      <c r="CH8" s="18" t="n">
        <f aca="false">Waterfall!AF44</f>
        <v>6.24723231430377</v>
      </c>
      <c r="CI8" s="18" t="n">
        <f aca="false">Waterfall!AG44</f>
        <v>6.67931231229901</v>
      </c>
      <c r="CJ8" s="18" t="n">
        <f aca="false">Waterfall!AH44</f>
        <v>7.52352246534315</v>
      </c>
      <c r="CK8" s="18" t="n">
        <f aca="false">Waterfall!AI44</f>
        <v>7.97975520699342</v>
      </c>
      <c r="CL8" s="18" t="n">
        <f aca="false">Waterfall!AJ44</f>
        <v>9.51426410030822</v>
      </c>
      <c r="CM8" s="18" t="n">
        <f aca="false">Waterfall!AK44</f>
        <v>10.2959667335086</v>
      </c>
      <c r="CN8" s="18" t="n">
        <f aca="false">Waterfall!AL44</f>
        <v>19.2133885591174</v>
      </c>
      <c r="CO8" s="18" t="n">
        <f aca="false">Waterfall!AM44</f>
        <v>29.979925169925</v>
      </c>
      <c r="CP8" s="18" t="n">
        <f aca="false">Waterfall!AN44</f>
        <v>27.6468695822489</v>
      </c>
      <c r="CQ8" s="18" t="n">
        <f aca="false">Waterfall!AO44</f>
        <v>46.4102531027745</v>
      </c>
      <c r="CR8" s="18" t="n">
        <f aca="false">Waterfall!AP44</f>
        <v>46.595324970242</v>
      </c>
      <c r="CS8" s="18" t="n">
        <f aca="false">Waterfall!AQ44</f>
        <v>46.2567675160163</v>
      </c>
      <c r="CT8" s="18" t="n">
        <f aca="false">Waterfall!AR44</f>
        <v>47.275728459814</v>
      </c>
      <c r="CU8" s="18" t="n">
        <f aca="false">Waterfall!AS44</f>
        <v>46.0668622164945</v>
      </c>
      <c r="CV8" s="18" t="n">
        <f aca="false">Waterfall!AT44</f>
        <v>46.4658360380569</v>
      </c>
      <c r="CW8" s="18" t="n">
        <f aca="false">Waterfall!AU44</f>
        <v>41.3454243642673</v>
      </c>
      <c r="CX8" s="18" t="n">
        <f aca="false">Waterfall!AV44</f>
        <v>40.1769738827589</v>
      </c>
      <c r="CY8" s="18" t="n">
        <f aca="false">Waterfall!AW44</f>
        <v>40.3469893652886</v>
      </c>
      <c r="CZ8" s="18" t="n">
        <f aca="false">Waterfall!AX44</f>
        <v>40.6489984435668</v>
      </c>
      <c r="DA8" s="18" t="n">
        <f aca="false">Waterfall!AY44</f>
        <v>40.2058161742135</v>
      </c>
      <c r="DB8" s="18" t="n">
        <f aca="false">Waterfall!AZ44</f>
        <v>41.0801443095497</v>
      </c>
      <c r="DC8" s="18" t="n">
        <f aca="false">Waterfall!BA44</f>
        <v>39.9646052998179</v>
      </c>
      <c r="DD8" s="18" t="n">
        <f aca="false">Waterfall!BB44</f>
        <v>40.0076466236246</v>
      </c>
      <c r="DE8" s="18" t="n">
        <f aca="false">Waterfall!BC44</f>
        <v>36.6070489913094</v>
      </c>
      <c r="DF8" s="18" t="n">
        <f aca="false">Waterfall!BD44</f>
        <v>31.5687484390356</v>
      </c>
      <c r="DG8" s="18" t="n">
        <f aca="false">Waterfall!BE44</f>
        <v>31.4625394931332</v>
      </c>
      <c r="DH8" s="18" t="n">
        <f aca="false">Waterfall!BF44</f>
        <v>31.7585404758243</v>
      </c>
      <c r="DI8" s="18" t="n">
        <f aca="false">Waterfall!BG44</f>
        <v>31.2881183916859</v>
      </c>
      <c r="DJ8" s="18" t="n">
        <f aca="false">Waterfall!BH44</f>
        <v>32.179089433307</v>
      </c>
      <c r="DK8" s="18" t="n">
        <f aca="false">Waterfall!BI44</f>
        <v>31.2778069636727</v>
      </c>
      <c r="DL8" s="18" t="n">
        <f aca="false">Waterfall!BJ44</f>
        <v>37.8190095807858</v>
      </c>
      <c r="DM8" s="18" t="n">
        <f aca="false">Waterfall!BK44</f>
        <v>32.3340953190533</v>
      </c>
      <c r="DN8" s="18" t="n">
        <f aca="false">Waterfall!BL44</f>
        <v>34.6304257960615</v>
      </c>
      <c r="DO8" s="18" t="n">
        <f aca="false">Waterfall!BM44</f>
        <v>51.3571545528005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1436.87877072505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1.57748802210733</v>
      </c>
      <c r="BR9" s="18" t="n">
        <f aca="false">Waterfall!P7</f>
        <v>46.8082531663859</v>
      </c>
      <c r="BS9" s="18" t="n">
        <f aca="false">Waterfall!Q7</f>
        <v>46.5045617583509</v>
      </c>
      <c r="BT9" s="18" t="n">
        <f aca="false">Waterfall!R7</f>
        <v>46.6812759491744</v>
      </c>
      <c r="BU9" s="18" t="n">
        <f aca="false">Waterfall!S7</f>
        <v>46.3576291938347</v>
      </c>
      <c r="BV9" s="18" t="n">
        <f aca="false">Waterfall!T7</f>
        <v>47.2788062179482</v>
      </c>
      <c r="BW9" s="18" t="n">
        <f aca="false">Waterfall!U7</f>
        <v>46.5065574265008</v>
      </c>
      <c r="BX9" s="18" t="n">
        <f aca="false">Waterfall!V7</f>
        <v>45.9592383051422</v>
      </c>
      <c r="BY9" s="18" t="n">
        <f aca="false">Waterfall!W7</f>
        <v>45.8482759598656</v>
      </c>
      <c r="BZ9" s="18" t="n">
        <f aca="false">Waterfall!X7</f>
        <v>45.7825445447861</v>
      </c>
      <c r="CA9" s="18" t="n">
        <f aca="false">Waterfall!Y7</f>
        <v>45.5211430076591</v>
      </c>
      <c r="CB9" s="18" t="n">
        <f aca="false">Waterfall!Z7</f>
        <v>45.4650058189108</v>
      </c>
      <c r="CC9" s="18" t="n">
        <f aca="false">Waterfall!AA7</f>
        <v>45.134993825015</v>
      </c>
      <c r="CD9" s="18" t="n">
        <f aca="false">Waterfall!AB7</f>
        <v>46.0835259177531</v>
      </c>
      <c r="CE9" s="18" t="n">
        <f aca="false">Waterfall!AC7</f>
        <v>44.9430727386328</v>
      </c>
      <c r="CF9" s="18" t="n">
        <f aca="false">Waterfall!AD7</f>
        <v>45.096180958234</v>
      </c>
      <c r="CG9" s="18" t="n">
        <f aca="false">Waterfall!AE7</f>
        <v>45.097953492378</v>
      </c>
      <c r="CH9" s="18" t="n">
        <f aca="false">Waterfall!AF7</f>
        <v>47.387923770541</v>
      </c>
      <c r="CI9" s="18" t="n">
        <f aca="false">Waterfall!AG7</f>
        <v>47.4875741150906</v>
      </c>
      <c r="CJ9" s="18" t="n">
        <f aca="false">Waterfall!AH7</f>
        <v>47.6653946367641</v>
      </c>
      <c r="CK9" s="18" t="n">
        <f aca="false">Waterfall!AI7</f>
        <v>47.3312801707097</v>
      </c>
      <c r="CL9" s="18" t="n">
        <f aca="false">Waterfall!AJ7</f>
        <v>48.3135806233848</v>
      </c>
      <c r="CM9" s="18" t="n">
        <f aca="false">Waterfall!AK7</f>
        <v>47.504594964207</v>
      </c>
      <c r="CN9" s="18" t="n">
        <f aca="false">Waterfall!AL7</f>
        <v>46.9809524540187</v>
      </c>
      <c r="CO9" s="18" t="n">
        <f aca="false">Waterfall!AM7</f>
        <v>46.8682381546474</v>
      </c>
      <c r="CP9" s="18" t="n">
        <f aca="false">Waterfall!AN7</f>
        <v>46.5527773298571</v>
      </c>
      <c r="CQ9" s="18" t="n">
        <f aca="false">Waterfall!AO7</f>
        <v>46.4102531027745</v>
      </c>
      <c r="CR9" s="18" t="n">
        <f aca="false">Waterfall!AP7</f>
        <v>46.595324970242</v>
      </c>
      <c r="CS9" s="18" t="n">
        <f aca="false">Waterfall!AQ7</f>
        <v>46.2567675160163</v>
      </c>
      <c r="CT9" s="18" t="n">
        <f aca="false">Waterfall!AR7</f>
        <v>47.275728459814</v>
      </c>
      <c r="CU9" s="18" t="n">
        <f aca="false">Waterfall!AS7</f>
        <v>46.0668622164945</v>
      </c>
      <c r="CV9" s="18" t="n">
        <f aca="false">Waterfall!AT7</f>
        <v>46.4658360380569</v>
      </c>
      <c r="CW9" s="18" t="n">
        <f aca="false">Waterfall!AU7</f>
        <v>41.3454243642673</v>
      </c>
      <c r="CX9" s="18" t="n">
        <f aca="false">Waterfall!AV7</f>
        <v>40.1769738827589</v>
      </c>
      <c r="CY9" s="18" t="n">
        <f aca="false">Waterfall!AW7</f>
        <v>40.3469893652886</v>
      </c>
      <c r="CZ9" s="18" t="n">
        <f aca="false">Waterfall!AX7</f>
        <v>40.6489984435668</v>
      </c>
      <c r="DA9" s="18" t="n">
        <f aca="false">Waterfall!AY7</f>
        <v>40.2058161742135</v>
      </c>
      <c r="DB9" s="18" t="n">
        <f aca="false">Waterfall!AZ7</f>
        <v>41.0801443095497</v>
      </c>
      <c r="DC9" s="18" t="n">
        <f aca="false">Waterfall!BA7</f>
        <v>40.4595736864266</v>
      </c>
      <c r="DD9" s="18" t="n">
        <f aca="false">Waterfall!BB7</f>
        <v>41.508796878269</v>
      </c>
      <c r="DE9" s="18" t="n">
        <f aca="false">Waterfall!BC7</f>
        <v>38.1246220646516</v>
      </c>
      <c r="DF9" s="18" t="n">
        <f aca="false">Waterfall!BD7</f>
        <v>33.1029239992822</v>
      </c>
      <c r="DG9" s="18" t="n">
        <f aca="false">Waterfall!BE7</f>
        <v>33.0134991740889</v>
      </c>
      <c r="DH9" s="18" t="n">
        <f aca="false">Waterfall!BF7</f>
        <v>33.3264678983963</v>
      </c>
      <c r="DI9" s="18" t="n">
        <f aca="false">Waterfall!BG7</f>
        <v>32.8731991856227</v>
      </c>
      <c r="DJ9" s="18" t="n">
        <f aca="false">Waterfall!BH7</f>
        <v>33.7815112591756</v>
      </c>
      <c r="DK9" s="18" t="n">
        <f aca="false">Waterfall!BI7</f>
        <v>32.8977595350761</v>
      </c>
      <c r="DL9" s="18" t="n">
        <f aca="false">Waterfall!BJ7</f>
        <v>39.4566846868235</v>
      </c>
      <c r="DM9" s="18" t="n">
        <f aca="false">Waterfall!BK7</f>
        <v>33.9896868470275</v>
      </c>
      <c r="DN9" s="18" t="n">
        <f aca="false">Waterfall!BL7</f>
        <v>36.304129754432</v>
      </c>
      <c r="DO9" s="18" t="n">
        <f aca="false">Waterfall!BM7</f>
        <v>33.4159743908395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1656.43680334811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1.57748802210733</v>
      </c>
      <c r="BR10" s="13" t="n">
        <f aca="false">Waterfall!P7+Tax!P27</f>
        <v>46.8082531663859</v>
      </c>
      <c r="BS10" s="13" t="n">
        <f aca="false">Waterfall!Q7+Tax!Q27</f>
        <v>46.5045617583509</v>
      </c>
      <c r="BT10" s="13" t="n">
        <f aca="false">Waterfall!R7+Tax!R27</f>
        <v>46.6812759491744</v>
      </c>
      <c r="BU10" s="13" t="n">
        <f aca="false">Waterfall!S7+Tax!S27</f>
        <v>46.3576291938347</v>
      </c>
      <c r="BV10" s="13" t="n">
        <f aca="false">Waterfall!T7+Tax!T27</f>
        <v>47.2788062179482</v>
      </c>
      <c r="BW10" s="13" t="n">
        <f aca="false">Waterfall!U7+Tax!U27</f>
        <v>46.5065574265008</v>
      </c>
      <c r="BX10" s="13" t="n">
        <f aca="false">Waterfall!V7+Tax!V27</f>
        <v>45.9592383051422</v>
      </c>
      <c r="BY10" s="13" t="n">
        <f aca="false">Waterfall!W7+Tax!W27</f>
        <v>45.8482759598656</v>
      </c>
      <c r="BZ10" s="13" t="n">
        <f aca="false">Waterfall!X7+Tax!X27</f>
        <v>45.7825445447861</v>
      </c>
      <c r="CA10" s="13" t="n">
        <f aca="false">Waterfall!Y7+Tax!Y27</f>
        <v>45.6347516521037</v>
      </c>
      <c r="CB10" s="13" t="n">
        <f aca="false">Waterfall!Z7+Tax!Z27</f>
        <v>45.8050250350016</v>
      </c>
      <c r="CC10" s="13" t="n">
        <f aca="false">Waterfall!AA7+Tax!AA27</f>
        <v>45.4777594556781</v>
      </c>
      <c r="CD10" s="13" t="n">
        <f aca="false">Waterfall!AB7+Tax!AB27</f>
        <v>46.4302571771952</v>
      </c>
      <c r="CE10" s="13" t="n">
        <f aca="false">Waterfall!AC7+Tax!AC27</f>
        <v>45.2846313576124</v>
      </c>
      <c r="CF10" s="13" t="n">
        <f aca="false">Waterfall!AD7+Tax!AD27</f>
        <v>45.4257058287327</v>
      </c>
      <c r="CG10" s="13" t="n">
        <f aca="false">Waterfall!AE7+Tax!AE27</f>
        <v>45.4358746772629</v>
      </c>
      <c r="CH10" s="13" t="n">
        <f aca="false">Waterfall!AF7+Tax!AF27</f>
        <v>47.7412020833847</v>
      </c>
      <c r="CI10" s="13" t="n">
        <f aca="false">Waterfall!AG7+Tax!AG27</f>
        <v>47.8413135473535</v>
      </c>
      <c r="CJ10" s="13" t="n">
        <f aca="false">Waterfall!AH7+Tax!AH27</f>
        <v>48.0183759211259</v>
      </c>
      <c r="CK10" s="13" t="n">
        <f aca="false">Waterfall!AI7+Tax!AI27</f>
        <v>47.6871924642053</v>
      </c>
      <c r="CL10" s="13" t="n">
        <f aca="false">Waterfall!AJ7+Tax!AJ27</f>
        <v>48.6736915872082</v>
      </c>
      <c r="CM10" s="13" t="n">
        <f aca="false">Waterfall!AK7+Tax!AK27</f>
        <v>47.8620387478676</v>
      </c>
      <c r="CN10" s="13" t="n">
        <f aca="false">Waterfall!AL7+Tax!AL27</f>
        <v>47.3312614757797</v>
      </c>
      <c r="CO10" s="13" t="n">
        <f aca="false">Waterfall!AM7+Tax!AM27</f>
        <v>47.2247385503207</v>
      </c>
      <c r="CP10" s="13" t="n">
        <f aca="false">Waterfall!AN7+Tax!AN27</f>
        <v>46.9200189958025</v>
      </c>
      <c r="CQ10" s="13" t="n">
        <f aca="false">Waterfall!AO7+Tax!AO27</f>
        <v>46.7780572353821</v>
      </c>
      <c r="CR10" s="13" t="n">
        <f aca="false">Waterfall!AP7+Tax!AP27</f>
        <v>46.9624238492967</v>
      </c>
      <c r="CS10" s="13" t="n">
        <f aca="false">Waterfall!AQ7+Tax!AQ27</f>
        <v>46.6269984498921</v>
      </c>
      <c r="CT10" s="13" t="n">
        <f aca="false">Waterfall!AR7+Tax!AR27</f>
        <v>47.6504118754088</v>
      </c>
      <c r="CU10" s="13" t="n">
        <f aca="false">Waterfall!AS7+Tax!AS27</f>
        <v>46.4361228010905</v>
      </c>
      <c r="CV10" s="13" t="n">
        <f aca="false">Waterfall!AT7+Tax!AT27</f>
        <v>46.8222480338711</v>
      </c>
      <c r="CW10" s="13" t="n">
        <f aca="false">Waterfall!AU7+Tax!AU27</f>
        <v>46.8450165534755</v>
      </c>
      <c r="CX10" s="13" t="n">
        <f aca="false">Waterfall!AV7+Tax!AV27</f>
        <v>49.2653078026997</v>
      </c>
      <c r="CY10" s="13" t="n">
        <f aca="false">Waterfall!AW7+Tax!AW27</f>
        <v>49.3904831197748</v>
      </c>
      <c r="CZ10" s="13" t="n">
        <f aca="false">Waterfall!AX7+Tax!AX27</f>
        <v>49.5827089874883</v>
      </c>
      <c r="DA10" s="13" t="n">
        <f aca="false">Waterfall!AY7+Tax!AY27</f>
        <v>49.2426904655284</v>
      </c>
      <c r="DB10" s="13" t="n">
        <f aca="false">Waterfall!AZ7+Tax!AZ27</f>
        <v>50.3061836003563</v>
      </c>
      <c r="DC10" s="13" t="n">
        <f aca="false">Waterfall!BA7+Tax!BA27</f>
        <v>49.447892008651</v>
      </c>
      <c r="DD10" s="13" t="n">
        <f aca="false">Waterfall!BB7+Tax!BB27</f>
        <v>48.9368762985021</v>
      </c>
      <c r="DE10" s="13" t="n">
        <f aca="false">Waterfall!BC7+Tax!BC27</f>
        <v>48.8357191684954</v>
      </c>
      <c r="DF10" s="13" t="n">
        <f aca="false">Waterfall!BD7+Tax!BD27</f>
        <v>48.2453783159525</v>
      </c>
      <c r="DG10" s="13" t="n">
        <f aca="false">Waterfall!BE7+Tax!BE27</f>
        <v>48.1103413861363</v>
      </c>
      <c r="DH10" s="13" t="n">
        <f aca="false">Waterfall!BF7+Tax!BF27</f>
        <v>48.3110243986756</v>
      </c>
      <c r="DI10" s="13" t="n">
        <f aca="false">Waterfall!BG7+Tax!BG27</f>
        <v>47.9660321777795</v>
      </c>
      <c r="DJ10" s="13" t="n">
        <f aca="false">Waterfall!BH7+Tax!BH27</f>
        <v>49.0730450331798</v>
      </c>
      <c r="DK10" s="13" t="n">
        <f aca="false">Waterfall!BI7+Tax!BI27</f>
        <v>47.7774586105518</v>
      </c>
      <c r="DL10" s="13" t="n">
        <f aca="false">Waterfall!BJ7+Tax!BJ27</f>
        <v>48.4556804371363</v>
      </c>
      <c r="DM10" s="13" t="n">
        <f aca="false">Waterfall!BK7+Tax!BK27</f>
        <v>48.4935263512054</v>
      </c>
      <c r="DN10" s="13" t="n">
        <f aca="false">Waterfall!BL7+Tax!BL27</f>
        <v>51.7507833974214</v>
      </c>
      <c r="DO10" s="13" t="n">
        <f aca="false">Waterfall!BM7+Tax!BM27</f>
        <v>38.0159238894308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-210.605042850711</v>
      </c>
      <c r="BS11" s="13" t="n">
        <f aca="false">BR11+BS8</f>
        <v>-201.725266180038</v>
      </c>
      <c r="BT11" s="13" t="n">
        <f aca="false">BS11+BT8</f>
        <v>-192.377302723421</v>
      </c>
      <c r="BU11" s="13" t="n">
        <f aca="false">BT11+BU8</f>
        <v>-183.770891311334</v>
      </c>
      <c r="BV11" s="13" t="n">
        <f aca="false">BU11+BV8</f>
        <v>-174.062777848238</v>
      </c>
      <c r="BW11" s="13" t="n">
        <f aca="false">BV11+BW8</f>
        <v>-165.844140656896</v>
      </c>
      <c r="BX11" s="13" t="n">
        <f aca="false">BW11+BX8</f>
        <v>-157.908129777623</v>
      </c>
      <c r="BY11" s="13" t="n">
        <f aca="false">BX11+BY8</f>
        <v>-148.986648892347</v>
      </c>
      <c r="BZ11" s="13" t="n">
        <f aca="false">BY11+BZ8</f>
        <v>-139.774496392106</v>
      </c>
      <c r="CA11" s="13" t="n">
        <f aca="false">BZ11+CA8</f>
        <v>-131.124716492961</v>
      </c>
      <c r="CB11" s="13" t="n">
        <f aca="false">CA11+CB8</f>
        <v>-122.233998028905</v>
      </c>
      <c r="CC11" s="13" t="n">
        <f aca="false">CB11+CC8</f>
        <v>-118.168875432386</v>
      </c>
      <c r="CD11" s="13" t="n">
        <f aca="false">CC11+CD8</f>
        <v>-113.131358527855</v>
      </c>
      <c r="CE11" s="13" t="n">
        <f aca="false">CD11+CE8</f>
        <v>-109.02022343593</v>
      </c>
      <c r="CF11" s="13" t="n">
        <f aca="false">CE11+CF8</f>
        <v>-104.65399509927</v>
      </c>
      <c r="CG11" s="13" t="n">
        <f aca="false">CF11+CG8</f>
        <v>-100.038326980295</v>
      </c>
      <c r="CH11" s="13" t="n">
        <f aca="false">CG11+CH8</f>
        <v>-93.7910946659916</v>
      </c>
      <c r="CI11" s="13" t="n">
        <f aca="false">CH11+CI8</f>
        <v>-87.1117823536926</v>
      </c>
      <c r="CJ11" s="13" t="n">
        <f aca="false">CI11+CJ8</f>
        <v>-79.5882598883494</v>
      </c>
      <c r="CK11" s="13" t="n">
        <f aca="false">CJ11+CK8</f>
        <v>-71.608504681356</v>
      </c>
      <c r="CL11" s="13" t="n">
        <f aca="false">CK11+CL8</f>
        <v>-62.0942405810478</v>
      </c>
      <c r="CM11" s="13" t="n">
        <f aca="false">CL11+CM8</f>
        <v>-51.7982738475392</v>
      </c>
      <c r="CN11" s="13" t="n">
        <f aca="false">CM11+CN8</f>
        <v>-32.5848852884218</v>
      </c>
      <c r="CO11" s="13" t="n">
        <f aca="false">CN11+CO8</f>
        <v>-2.60496011849673</v>
      </c>
      <c r="CP11" s="13" t="n">
        <f aca="false">CO11+CP8</f>
        <v>25.0419094637522</v>
      </c>
      <c r="CQ11" s="13" t="n">
        <f aca="false">CP11+CQ8</f>
        <v>71.4521625665267</v>
      </c>
      <c r="CR11" s="13" t="n">
        <f aca="false">CQ11+CR8</f>
        <v>118.047487536769</v>
      </c>
      <c r="CS11" s="13" t="n">
        <f aca="false">CR11+CS8</f>
        <v>164.304255052785</v>
      </c>
      <c r="CT11" s="13" t="n">
        <f aca="false">CS11+CT8</f>
        <v>211.579983512599</v>
      </c>
      <c r="CU11" s="13" t="n">
        <f aca="false">CT11+CU8</f>
        <v>257.646845729094</v>
      </c>
      <c r="CV11" s="13" t="n">
        <f aca="false">CU11+CV8</f>
        <v>304.11268176715</v>
      </c>
      <c r="CW11" s="13" t="n">
        <f aca="false">CV11+CW8</f>
        <v>345.458106131418</v>
      </c>
      <c r="CX11" s="13" t="n">
        <f aca="false">CW11+CX8</f>
        <v>385.635080014177</v>
      </c>
      <c r="CY11" s="13" t="n">
        <f aca="false">CX11+CY8</f>
        <v>425.982069379465</v>
      </c>
      <c r="CZ11" s="13" t="n">
        <f aca="false">CY11+CZ8</f>
        <v>466.631067823032</v>
      </c>
      <c r="DA11" s="13" t="n">
        <f aca="false">CZ11+DA8</f>
        <v>506.836883997246</v>
      </c>
      <c r="DB11" s="13" t="n">
        <f aca="false">DA11+DB8</f>
        <v>547.917028306795</v>
      </c>
      <c r="DC11" s="13" t="n">
        <f aca="false">DB11+DC8</f>
        <v>587.881633606613</v>
      </c>
      <c r="DD11" s="13" t="n">
        <f aca="false">DC11+DD8</f>
        <v>627.889280230238</v>
      </c>
      <c r="DE11" s="13" t="n">
        <f aca="false">DD11+DE8</f>
        <v>664.496329221547</v>
      </c>
      <c r="DF11" s="13" t="n">
        <f aca="false">DE11+DF8</f>
        <v>696.065077660583</v>
      </c>
      <c r="DG11" s="13" t="n">
        <f aca="false">DF11+DG8</f>
        <v>727.527617153716</v>
      </c>
      <c r="DH11" s="13" t="n">
        <f aca="false">DG11+DH8</f>
        <v>759.28615762954</v>
      </c>
      <c r="DI11" s="13" t="n">
        <f aca="false">DH11+DI8</f>
        <v>790.574276021226</v>
      </c>
      <c r="DJ11" s="13" t="n">
        <f aca="false">DI11+DJ8</f>
        <v>822.753365454533</v>
      </c>
      <c r="DK11" s="13" t="n">
        <f aca="false">DJ11+DK8</f>
        <v>854.031172418206</v>
      </c>
      <c r="DL11" s="13" t="n">
        <f aca="false">DK11+DL8</f>
        <v>891.850181998992</v>
      </c>
      <c r="DM11" s="13" t="n">
        <f aca="false">DL11+DM8</f>
        <v>924.184277318045</v>
      </c>
      <c r="DN11" s="13" t="n">
        <f aca="false">DM11+DN8</f>
        <v>958.814703114106</v>
      </c>
      <c r="DO11" s="13" t="n">
        <f aca="false">DN11+DO8</f>
        <v>1010.17185766691</v>
      </c>
      <c r="DP11" s="13" t="n">
        <f aca="false">DO11+DP8</f>
        <v>1010.17185766691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0.113604871033352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0.100651471285979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0.104868306689124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-73.6294296527949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IF(AND(Inputs!$F$8=1,Inputs!$F$312=0),(Debt!$F$140&gt;Inputs!$F$1315)+(Debt!$F$138&gt;Inputs!$F$1316)+(Debt!$F$139&gt;Inputs!$F$1317/100)+(Debt!$F$141&gt;Inputs!$F$1318)+(Debt!$F$142&lt;Inputs!$F$1319/100),0)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1.20035870381227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1.37628354287748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1.30614024892093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1.71780585814861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0.113604871033352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0.100651471285979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-73.6294296527949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2026-10-03T22:42:35Z</dcterms:created>
  <dc:creator>openpyxl</dc:creator>
  <dc:description/>
  <dc:language>en-US</dc:language>
  <cp:lastModifiedBy/>
  <dcterms:modified xsi:type="dcterms:W3CDTF">2026-10-03T22:42:36Z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