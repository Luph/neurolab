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<sst xmlns="http://schemas.openxmlformats.org/spreadsheetml/2006/main" count="2466" uniqueCount="947">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</sst>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50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50</v>
      </c>
      <c r="K37" s="13" t="n">
        <f aca="false">IF(AND(Inputs!$F$55=1,Inputs!K303&gt;0),Inputs!K303,Inputs!$F$38)</f>
        <v>50</v>
      </c>
      <c r="L37" s="13" t="n">
        <f aca="false">IF(AND(Inputs!$F$55=1,Inputs!L303&gt;0),Inputs!L303,Inputs!$F$38)</f>
        <v>50</v>
      </c>
      <c r="M37" s="13" t="n">
        <f aca="false">IF(AND(Inputs!$F$55=1,Inputs!M303&gt;0),Inputs!M303,Inputs!$F$38)</f>
        <v>50</v>
      </c>
      <c r="N37" s="13" t="n">
        <f aca="false">IF(AND(Inputs!$F$55=1,Inputs!N303&gt;0),Inputs!N303,Inputs!$F$38)</f>
        <v>50</v>
      </c>
      <c r="O37" s="13" t="n">
        <f aca="false">IF(AND(Inputs!$F$55=1,Inputs!O303&gt;0),Inputs!O303,Inputs!$F$38)</f>
        <v>50</v>
      </c>
      <c r="P37" s="13" t="n">
        <f aca="false">IF(AND(Inputs!$F$55=1,Inputs!P303&gt;0),Inputs!P303,Inputs!$F$38)</f>
        <v>50</v>
      </c>
      <c r="Q37" s="13" t="n">
        <f aca="false">IF(AND(Inputs!$F$55=1,Inputs!Q303&gt;0),Inputs!Q303,Inputs!$F$38)</f>
        <v>50</v>
      </c>
      <c r="R37" s="13" t="n">
        <f aca="false">IF(AND(Inputs!$F$55=1,Inputs!R303&gt;0),Inputs!R303,Inputs!$F$38)</f>
        <v>50</v>
      </c>
      <c r="S37" s="13" t="n">
        <f aca="false">IF(AND(Inputs!$F$55=1,Inputs!S303&gt;0),Inputs!S303,Inputs!$F$38)</f>
        <v>50</v>
      </c>
      <c r="T37" s="13" t="n">
        <f aca="false">IF(AND(Inputs!$F$55=1,Inputs!T303&gt;0),Inputs!T303,Inputs!$F$38)</f>
        <v>50</v>
      </c>
      <c r="U37" s="13" t="n">
        <f aca="false">IF(AND(Inputs!$F$55=1,Inputs!U303&gt;0),Inputs!U303,Inputs!$F$38)</f>
        <v>50</v>
      </c>
      <c r="V37" s="13" t="n">
        <f aca="false">IF(AND(Inputs!$F$55=1,Inputs!V303&gt;0),Inputs!V303,Inputs!$F$38)</f>
        <v>50</v>
      </c>
      <c r="W37" s="13" t="n">
        <f aca="false">IF(AND(Inputs!$F$55=1,Inputs!W303&gt;0),Inputs!W303,Inputs!$F$38)</f>
        <v>50</v>
      </c>
      <c r="X37" s="13" t="n">
        <f aca="false">IF(AND(Inputs!$F$55=1,Inputs!X303&gt;0),Inputs!X303,Inputs!$F$38)</f>
        <v>50</v>
      </c>
      <c r="Y37" s="13" t="n">
        <f aca="false">IF(AND(Inputs!$F$55=1,Inputs!Y303&gt;0),Inputs!Y303,Inputs!$F$38)</f>
        <v>50</v>
      </c>
      <c r="Z37" s="13" t="n">
        <f aca="false">IF(AND(Inputs!$F$55=1,Inputs!Z303&gt;0),Inputs!Z303,Inputs!$F$38)</f>
        <v>50</v>
      </c>
      <c r="AA37" s="13" t="n">
        <f aca="false">IF(AND(Inputs!$F$55=1,Inputs!AA303&gt;0),Inputs!AA303,Inputs!$F$38)</f>
        <v>50</v>
      </c>
      <c r="AB37" s="13" t="n">
        <f aca="false">IF(AND(Inputs!$F$55=1,Inputs!AB303&gt;0),Inputs!AB303,Inputs!$F$38)</f>
        <v>50</v>
      </c>
      <c r="AC37" s="13" t="n">
        <f aca="false">IF(AND(Inputs!$F$55=1,Inputs!AC303&gt;0),Inputs!AC303,Inputs!$F$38)</f>
        <v>50</v>
      </c>
      <c r="AD37" s="13" t="n">
        <f aca="false">IF(AND(Inputs!$F$55=1,Inputs!AD303&gt;0),Inputs!AD303,Inputs!$F$38)</f>
        <v>50</v>
      </c>
      <c r="AE37" s="13" t="n">
        <f aca="false">IF(AND(Inputs!$F$55=1,Inputs!AE303&gt;0),Inputs!AE303,Inputs!$F$38)</f>
        <v>50</v>
      </c>
      <c r="AF37" s="13" t="n">
        <f aca="false">IF(AND(Inputs!$F$55=1,Inputs!AF303&gt;0),Inputs!AF303,Inputs!$F$38)</f>
        <v>50</v>
      </c>
      <c r="AG37" s="13" t="n">
        <f aca="false">IF(AND(Inputs!$F$55=1,Inputs!AG303&gt;0),Inputs!AG303,Inputs!$F$38)</f>
        <v>50</v>
      </c>
      <c r="AH37" s="13" t="n">
        <f aca="false">IF(AND(Inputs!$F$55=1,Inputs!AH303&gt;0),Inputs!AH303,Inputs!$F$38)</f>
        <v>50</v>
      </c>
      <c r="AI37" s="13" t="n">
        <f aca="false">IF(AND(Inputs!$F$55=1,Inputs!AI303&gt;0),Inputs!AI303,Inputs!$F$38)</f>
        <v>50</v>
      </c>
      <c r="AJ37" s="13" t="n">
        <f aca="false">IF(AND(Inputs!$F$55=1,Inputs!AJ303&gt;0),Inputs!AJ303,Inputs!$F$38)</f>
        <v>50</v>
      </c>
      <c r="AK37" s="13" t="n">
        <f aca="false">IF(AND(Inputs!$F$55=1,Inputs!AK303&gt;0),Inputs!AK303,Inputs!$F$38)</f>
        <v>50</v>
      </c>
      <c r="AL37" s="13" t="n">
        <f aca="false">IF(AND(Inputs!$F$55=1,Inputs!AL303&gt;0),Inputs!AL303,Inputs!$F$38)</f>
        <v>50</v>
      </c>
      <c r="AM37" s="13" t="n">
        <f aca="false">IF(AND(Inputs!$F$55=1,Inputs!AM303&gt;0),Inputs!AM303,Inputs!$F$38)</f>
        <v>50</v>
      </c>
      <c r="AN37" s="13" t="n">
        <f aca="false">IF(AND(Inputs!$F$55=1,Inputs!AN303&gt;0),Inputs!AN303,Inputs!$F$38)</f>
        <v>50</v>
      </c>
      <c r="AO37" s="13" t="n">
        <f aca="false">IF(AND(Inputs!$F$55=1,Inputs!AO303&gt;0),Inputs!AO303,Inputs!$F$38)</f>
        <v>50</v>
      </c>
      <c r="AP37" s="13" t="n">
        <f aca="false">IF(AND(Inputs!$F$55=1,Inputs!AP303&gt;0),Inputs!AP303,Inputs!$F$38)</f>
        <v>50</v>
      </c>
      <c r="AQ37" s="13" t="n">
        <f aca="false">IF(AND(Inputs!$F$55=1,Inputs!AQ303&gt;0),Inputs!AQ303,Inputs!$F$38)</f>
        <v>50</v>
      </c>
      <c r="AR37" s="13" t="n">
        <f aca="false">IF(AND(Inputs!$F$55=1,Inputs!AR303&gt;0),Inputs!AR303,Inputs!$F$38)</f>
        <v>50</v>
      </c>
      <c r="AS37" s="13" t="n">
        <f aca="false">IF(AND(Inputs!$F$55=1,Inputs!AS303&gt;0),Inputs!AS303,Inputs!$F$38)</f>
        <v>50</v>
      </c>
      <c r="AT37" s="13" t="n">
        <f aca="false">IF(AND(Inputs!$F$55=1,Inputs!AT303&gt;0),Inputs!AT303,Inputs!$F$38)</f>
        <v>50</v>
      </c>
      <c r="AU37" s="13" t="n">
        <f aca="false">IF(AND(Inputs!$F$55=1,Inputs!AU303&gt;0),Inputs!AU303,Inputs!$F$38)</f>
        <v>50</v>
      </c>
      <c r="AV37" s="13" t="n">
        <f aca="false">IF(AND(Inputs!$F$55=1,Inputs!AV303&gt;0),Inputs!AV303,Inputs!$F$38)</f>
        <v>50</v>
      </c>
      <c r="AW37" s="13" t="n">
        <f aca="false">IF(AND(Inputs!$F$55=1,Inputs!AW303&gt;0),Inputs!AW303,Inputs!$F$38)</f>
        <v>50</v>
      </c>
      <c r="AX37" s="13" t="n">
        <f aca="false">IF(AND(Inputs!$F$55=1,Inputs!AX303&gt;0),Inputs!AX303,Inputs!$F$38)</f>
        <v>50</v>
      </c>
      <c r="AY37" s="13" t="n">
        <f aca="false">IF(AND(Inputs!$F$55=1,Inputs!AY303&gt;0),Inputs!AY303,Inputs!$F$38)</f>
        <v>50</v>
      </c>
      <c r="AZ37" s="13" t="n">
        <f aca="false">IF(AND(Inputs!$F$55=1,Inputs!AZ303&gt;0),Inputs!AZ303,Inputs!$F$38)</f>
        <v>50</v>
      </c>
      <c r="BA37" s="13" t="n">
        <f aca="false">IF(AND(Inputs!$F$55=1,Inputs!BA303&gt;0),Inputs!BA303,Inputs!$F$38)</f>
        <v>50</v>
      </c>
      <c r="BB37" s="13" t="n">
        <f aca="false">IF(AND(Inputs!$F$55=1,Inputs!BB303&gt;0),Inputs!BB303,Inputs!$F$38)</f>
        <v>50</v>
      </c>
      <c r="BC37" s="13" t="n">
        <f aca="false">IF(AND(Inputs!$F$55=1,Inputs!BC303&gt;0),Inputs!BC303,Inputs!$F$38)</f>
        <v>50</v>
      </c>
      <c r="BD37" s="13" t="n">
        <f aca="false">IF(AND(Inputs!$F$55=1,Inputs!BD303&gt;0),Inputs!BD303,Inputs!$F$38)</f>
        <v>50</v>
      </c>
      <c r="BE37" s="13" t="n">
        <f aca="false">IF(AND(Inputs!$F$55=1,Inputs!BE303&gt;0),Inputs!BE303,Inputs!$F$38)</f>
        <v>50</v>
      </c>
      <c r="BF37" s="13" t="n">
        <f aca="false">IF(AND(Inputs!$F$55=1,Inputs!BF303&gt;0),Inputs!BF303,Inputs!$F$38)</f>
        <v>50</v>
      </c>
      <c r="BG37" s="13" t="n">
        <f aca="false">IF(AND(Inputs!$F$55=1,Inputs!BG303&gt;0),Inputs!BG303,Inputs!$F$38)</f>
        <v>50</v>
      </c>
      <c r="BH37" s="13" t="n">
        <f aca="false">IF(AND(Inputs!$F$55=1,Inputs!BH303&gt;0),Inputs!BH303,Inputs!$F$38)</f>
        <v>50</v>
      </c>
      <c r="BI37" s="13" t="n">
        <f aca="false">IF(AND(Inputs!$F$55=1,Inputs!BI303&gt;0),Inputs!BI303,Inputs!$F$38)</f>
        <v>50</v>
      </c>
      <c r="BJ37" s="13" t="n">
        <f aca="false">IF(AND(Inputs!$F$55=1,Inputs!BJ303&gt;0),Inputs!BJ303,Inputs!$F$38)</f>
        <v>50</v>
      </c>
      <c r="BK37" s="13" t="n">
        <f aca="false">IF(AND(Inputs!$F$55=1,Inputs!BK303&gt;0),Inputs!BK303,Inputs!$F$38)</f>
        <v>50</v>
      </c>
      <c r="BL37" s="13" t="n">
        <f aca="false">IF(AND(Inputs!$F$55=1,Inputs!BL303&gt;0),Inputs!BL303,Inputs!$F$38)</f>
        <v>50</v>
      </c>
      <c r="BM37" s="13" t="n">
        <f aca="false">IF(AND(Inputs!$F$55=1,Inputs!BM303&gt;0),Inputs!BM303,Inputs!$F$38)</f>
        <v>50</v>
      </c>
      <c r="BN37" s="13" t="n">
        <f aca="false">IF(AND(Inputs!$F$55=1,Inputs!BN303&gt;0),Inputs!BN303,Inputs!$F$38)</f>
        <v>50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398822.14683927</v>
      </c>
      <c r="P38" s="15" t="n">
        <f aca="false">$F$34*Inputs!$F$215*Time!P30*P32/100*P37/100*P36</f>
        <v>1195868.13250905</v>
      </c>
      <c r="Q38" s="15" t="n">
        <f aca="false">$F$34*Inputs!$F$215*Time!Q30*Q32/100*Q37/100*Q36</f>
        <v>1191148.80267983</v>
      </c>
      <c r="R38" s="15" t="n">
        <f aca="false">$F$34*Inputs!$F$215*Time!R30*R32/100*R37/100*R36</f>
        <v>1182616.21607729</v>
      </c>
      <c r="S38" s="15" t="n">
        <f aca="false">$F$34*Inputs!$F$215*Time!S30*S32/100*S37/100*S36</f>
        <v>1185543.49222782</v>
      </c>
      <c r="T38" s="15" t="n">
        <f aca="false">$F$34*Inputs!$F$215*Time!T30*T32/100*T37/100*T36</f>
        <v>1192278.28445649</v>
      </c>
      <c r="U38" s="15" t="n">
        <f aca="false">$F$34*Inputs!$F$215*Time!U30*U32/100*U37/100*U36</f>
        <v>1177832.78181855</v>
      </c>
      <c r="V38" s="15" t="n">
        <f aca="false">$F$34*Inputs!$F$215*Time!V30*V32/100*V37/100*V36</f>
        <v>1149869.85559677</v>
      </c>
      <c r="W38" s="15" t="n">
        <f aca="false">$F$34*Inputs!$F$215*Time!W30*W32/100*W37/100*W36</f>
        <v>1162530.63988875</v>
      </c>
      <c r="X38" s="15" t="n">
        <f aca="false">$F$34*Inputs!$F$215*Time!X30*X32/100*X37/100*X36</f>
        <v>1188688.43640393</v>
      </c>
      <c r="Y38" s="15" t="n">
        <f aca="false">$F$34*Inputs!$F$215*Time!Y30*Y32/100*Y37/100*Y36</f>
        <v>1183992.06935543</v>
      </c>
      <c r="Z38" s="15" t="n">
        <f aca="false">$F$34*Inputs!$F$215*Time!Z30*Z32/100*Z37/100*Z36</f>
        <v>1175505.40831433</v>
      </c>
      <c r="AA38" s="15" t="n">
        <f aca="false">$F$34*Inputs!$F$215*Time!AA30*AA32/100*AA37/100*AA36</f>
        <v>1178409.72168414</v>
      </c>
      <c r="AB38" s="15" t="n">
        <f aca="false">$F$34*Inputs!$F$215*Time!AB30*AB32/100*AB37/100*AB36</f>
        <v>1185098.58835137</v>
      </c>
      <c r="AC38" s="15" t="n">
        <f aca="false">$F$34*Inputs!$F$215*Time!AC30*AC32/100*AC37/100*AC36</f>
        <v>1162739.05901654</v>
      </c>
      <c r="AD38" s="15" t="n">
        <f aca="false">$F$34*Inputs!$F$215*Time!AD30*AD32/100*AD37/100*AD36</f>
        <v>1118966.25826904</v>
      </c>
      <c r="AE38" s="15" t="n">
        <f aca="false">$F$34*Inputs!$F$215*Time!AE30*AE32/100*AE37/100*AE36</f>
        <v>1139547.1288806</v>
      </c>
      <c r="AF38" s="15" t="n">
        <f aca="false">$F$34*Inputs!$F$215*Time!AF30*AF32/100*AF37/100*AF36</f>
        <v>1181508.74029881</v>
      </c>
      <c r="AG38" s="15" t="n">
        <f aca="false">$F$34*Inputs!$F$215*Time!AG30*AG32/100*AG37/100*AG36</f>
        <v>1176835.33603103</v>
      </c>
      <c r="AH38" s="15" t="n">
        <f aca="false">$F$34*Inputs!$F$215*Time!AH30*AH32/100*AH37/100*AH36</f>
        <v>1168394.60055137</v>
      </c>
      <c r="AI38" s="15" t="n">
        <f aca="false">$F$34*Inputs!$F$215*Time!AI30*AI32/100*AI37/100*AI36</f>
        <v>1171275.95114046</v>
      </c>
      <c r="AJ38" s="15" t="n">
        <f aca="false">$F$34*Inputs!$F$215*Time!AJ30*AJ32/100*AJ37/100*AJ36</f>
        <v>1177918.89224625</v>
      </c>
      <c r="AK38" s="15" t="n">
        <f aca="false">$F$34*Inputs!$F$215*Time!AK30*AK32/100*AK37/100*AK36</f>
        <v>1163636.68049343</v>
      </c>
      <c r="AL38" s="15" t="n">
        <f aca="false">$F$34*Inputs!$F$215*Time!AL30*AL32/100*AL37/100*AL36</f>
        <v>1136000.33604189</v>
      </c>
      <c r="AM38" s="15" t="n">
        <f aca="false">$F$34*Inputs!$F$215*Time!AM30*AM32/100*AM37/100*AM36</f>
        <v>1148497.82944875</v>
      </c>
      <c r="AN38" s="15" t="n">
        <f aca="false">$F$34*Inputs!$F$215*Time!AN30*AN32/100*AN37/100*AN36</f>
        <v>1174329.04419369</v>
      </c>
      <c r="AO38" s="15" t="n">
        <f aca="false">$F$34*Inputs!$F$215*Time!AO30*AO32/100*AO37/100*AO36</f>
        <v>1169678.60270663</v>
      </c>
      <c r="AP38" s="15" t="n">
        <f aca="false">$F$34*Inputs!$F$215*Time!AP30*AP32/100*AP37/100*AP36</f>
        <v>1161283.79278841</v>
      </c>
      <c r="AQ38" s="15" t="n">
        <f aca="false">$F$34*Inputs!$F$215*Time!AQ30*AQ32/100*AQ37/100*AQ36</f>
        <v>1164142.18059678</v>
      </c>
      <c r="AR38" s="15" t="n">
        <f aca="false">$F$34*Inputs!$F$215*Time!AR30*AR32/100*AR37/100*AR36</f>
        <v>1170739.19614113</v>
      </c>
      <c r="AS38" s="15" t="n">
        <f aca="false">$F$34*Inputs!$F$215*Time!AS30*AS32/100*AS37/100*AS36</f>
        <v>1148639.91165446</v>
      </c>
      <c r="AT38" s="15" t="n">
        <f aca="false">$F$34*Inputs!$F$215*Time!AT30*AT32/100*AT37/100*AT36</f>
        <v>1105387.60060328</v>
      </c>
      <c r="AU38" s="15" t="n">
        <f aca="false">$F$34*Inputs!$F$215*Time!AU30*AU32/100*AU37/100*AU36</f>
        <v>1125708.22636668</v>
      </c>
      <c r="AV38" s="15" t="n">
        <f aca="false">$F$34*Inputs!$F$215*Time!AV30*AV32/100*AV37/100*AV36</f>
        <v>1167149.34808857</v>
      </c>
      <c r="AW38" s="15" t="n">
        <f aca="false">$F$34*Inputs!$F$215*Time!AW30*AW32/100*AW37/100*AW36</f>
        <v>1162521.86938223</v>
      </c>
      <c r="AX38" s="15" t="n">
        <f aca="false">$F$34*Inputs!$F$215*Time!AX30*AX32/100*AX37/100*AX36</f>
        <v>1154172.98502545</v>
      </c>
      <c r="AY38" s="15" t="n">
        <f aca="false">$F$34*Inputs!$F$215*Time!AY30*AY32/100*AY37/100*AY36</f>
        <v>1157008.4100531</v>
      </c>
      <c r="AZ38" s="15" t="n">
        <f aca="false">$F$34*Inputs!$F$215*Time!AZ30*AZ32/100*AZ37/100*AZ36</f>
        <v>1163559.50003601</v>
      </c>
      <c r="BA38" s="15" t="n">
        <f aca="false">$F$34*Inputs!$F$215*Time!BA30*BA32/100*BA37/100*BA36</f>
        <v>1149440.57916831</v>
      </c>
      <c r="BB38" s="15" t="n">
        <f aca="false">$F$34*Inputs!$F$215*Time!BB30*BB32/100*BB37/100*BB36</f>
        <v>1122130.81648701</v>
      </c>
      <c r="BC38" s="15" t="n">
        <f aca="false">$F$34*Inputs!$F$215*Time!BC30*BC32/100*BC37/100*BC36</f>
        <v>1134465.01900875</v>
      </c>
      <c r="BD38" s="15" t="n">
        <f aca="false">$F$34*Inputs!$F$215*Time!BD30*BD32/100*BD37/100*BD36</f>
        <v>1159969.65198345</v>
      </c>
      <c r="BE38" s="15" t="n">
        <f aca="false">$F$34*Inputs!$F$215*Time!BE30*BE32/100*BE37/100*BE36</f>
        <v>1155365.13605783</v>
      </c>
      <c r="BF38" s="15" t="n">
        <f aca="false">$F$34*Inputs!$F$215*Time!BF30*BF32/100*BF37/100*BF36</f>
        <v>1147062.17726249</v>
      </c>
      <c r="BG38" s="15" t="n">
        <f aca="false">$F$34*Inputs!$F$215*Time!BG30*BG32/100*BG37/100*BG36</f>
        <v>1149874.63950942</v>
      </c>
      <c r="BH38" s="15" t="n">
        <f aca="false">$F$34*Inputs!$F$215*Time!BH30*BH32/100*BH37/100*BH36</f>
        <v>1156379.80393089</v>
      </c>
      <c r="BI38" s="15" t="n">
        <f aca="false">$F$34*Inputs!$F$215*Time!BI30*BI32/100*BI37/100*BI36</f>
        <v>1134540.76429238</v>
      </c>
      <c r="BJ38" s="15" t="n">
        <f aca="false">$F$34*Inputs!$F$215*Time!BJ30*BJ32/100*BJ37/100*BJ36</f>
        <v>1091808.94293752</v>
      </c>
      <c r="BK38" s="15" t="n">
        <f aca="false">$F$34*Inputs!$F$215*Time!BK30*BK32/100*BK37/100*BK36</f>
        <v>1111869.32385276</v>
      </c>
      <c r="BL38" s="15" t="n">
        <f aca="false">$F$34*Inputs!$F$215*Time!BL30*BL32/100*BL37/100*BL36</f>
        <v>1152789.95587833</v>
      </c>
      <c r="BM38" s="15" t="n">
        <f aca="false">$F$34*Inputs!$F$215*Time!BM30*BM32/100*BM37/100*BM36</f>
        <v>768028.04724492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2704374.37768311</v>
      </c>
      <c r="P42" s="15" t="n">
        <f aca="false">P38*P39*(1000*Inputs!$F$123/Inputs!$F$124)</f>
        <v>8112309.36644474</v>
      </c>
      <c r="Q42" s="15" t="n">
        <f aca="false">Q38*Q39*(1000*Inputs!$F$123/Inputs!$F$124)</f>
        <v>8085141.00265778</v>
      </c>
      <c r="R42" s="15" t="n">
        <f aca="false">R38*R39*(1000*Inputs!$F$123/Inputs!$F$124)</f>
        <v>8032035.54843112</v>
      </c>
      <c r="S42" s="15" t="n">
        <f aca="false">S38*S39*(1000*Inputs!$F$123/Inputs!$F$124)</f>
        <v>8056739.83194925</v>
      </c>
      <c r="T42" s="15" t="n">
        <f aca="false">T38*T39*(1000*Inputs!$F$123/Inputs!$F$124)</f>
        <v>8107358.61487827</v>
      </c>
      <c r="U42" s="15" t="n">
        <f aca="false">U38*U39*(1000*Inputs!$F$123/Inputs!$F$124)</f>
        <v>8013922.39996886</v>
      </c>
      <c r="V42" s="15" t="n">
        <f aca="false">V38*V39*(1000*Inputs!$F$123/Inputs!$F$124)</f>
        <v>7828341.7068056</v>
      </c>
      <c r="W42" s="15" t="n">
        <f aca="false">W38*W39*(1000*Inputs!$F$123/Inputs!$F$124)</f>
        <v>7919265.96330784</v>
      </c>
      <c r="X42" s="15" t="n">
        <f aca="false">X38*X39*(1000*Inputs!$F$123/Inputs!$F$124)</f>
        <v>8102291.03141644</v>
      </c>
      <c r="Y42" s="15" t="n">
        <f aca="false">Y38*Y39*(1000*Inputs!$F$123/Inputs!$F$124)</f>
        <v>8075096.48009643</v>
      </c>
      <c r="Z42" s="15" t="n">
        <f aca="false">Z38*Z39*(1000*Inputs!$F$123/Inputs!$F$124)</f>
        <v>8021997.62724553</v>
      </c>
      <c r="AA42" s="15" t="n">
        <f aca="false">AA38*AA39*(1000*Inputs!$F$123/Inputs!$F$124)</f>
        <v>8046611.45323273</v>
      </c>
      <c r="AB42" s="15" t="n">
        <f aca="false">AB38*AB39*(1000*Inputs!$F$123/Inputs!$F$124)</f>
        <v>8097106.61605924</v>
      </c>
      <c r="AC42" s="15" t="n">
        <f aca="false">AC38*AC39*(1000*Inputs!$F$123/Inputs!$F$124)</f>
        <v>7949066.81120961</v>
      </c>
      <c r="AD42" s="15" t="n">
        <f aca="false">AD38*AD39*(1000*Inputs!$F$123/Inputs!$F$124)</f>
        <v>7654366.11836292</v>
      </c>
      <c r="AE42" s="15" t="n">
        <f aca="false">AE38*AE39*(1000*Inputs!$F$123/Inputs!$F$124)</f>
        <v>7799786.81959854</v>
      </c>
      <c r="AF42" s="15" t="n">
        <f aca="false">AF38*AF39*(1000*Inputs!$F$123/Inputs!$F$124)</f>
        <v>8091805.36880666</v>
      </c>
      <c r="AG42" s="15" t="n">
        <f aca="false">AG38*AG39*(1000*Inputs!$F$123/Inputs!$F$124)</f>
        <v>8064586.12460471</v>
      </c>
      <c r="AH42" s="15" t="n">
        <f aca="false">AH38*AH39*(1000*Inputs!$F$123/Inputs!$F$124)</f>
        <v>8011496.86243178</v>
      </c>
      <c r="AI42" s="15" t="n">
        <f aca="false">AI38*AI39*(1000*Inputs!$F$123/Inputs!$F$124)</f>
        <v>8036018.73623693</v>
      </c>
      <c r="AJ42" s="15" t="n">
        <f aca="false">AJ38*AJ39*(1000*Inputs!$F$123/Inputs!$F$124)</f>
        <v>8086387.2896587</v>
      </c>
      <c r="AK42" s="15" t="n">
        <f aca="false">AK38*AK39*(1000*Inputs!$F$123/Inputs!$F$124)</f>
        <v>7993074.05132146</v>
      </c>
      <c r="AL42" s="15" t="n">
        <f aca="false">AL38*AL39*(1000*Inputs!$F$123/Inputs!$F$124)</f>
        <v>7807860.12893423</v>
      </c>
      <c r="AM42" s="15" t="n">
        <f aca="false">AM38*AM39*(1000*Inputs!$F$123/Inputs!$F$124)</f>
        <v>7898429.07365231</v>
      </c>
      <c r="AN42" s="15" t="n">
        <f aca="false">AN38*AN39*(1000*Inputs!$F$123/Inputs!$F$124)</f>
        <v>8080852.37861537</v>
      </c>
      <c r="AO42" s="15" t="n">
        <f aca="false">AO38*AO39*(1000*Inputs!$F$123/Inputs!$F$124)</f>
        <v>8053609.9361826</v>
      </c>
      <c r="AP42" s="15" t="n">
        <f aca="false">AP38*AP39*(1000*Inputs!$F$123/Inputs!$F$124)</f>
        <v>8000533.25398988</v>
      </c>
      <c r="AQ42" s="15" t="n">
        <f aca="false">AQ38*AQ39*(1000*Inputs!$F$123/Inputs!$F$124)</f>
        <v>8024961.68096187</v>
      </c>
      <c r="AR42" s="15" t="n">
        <f aca="false">AR38*AR39*(1000*Inputs!$F$123/Inputs!$F$124)</f>
        <v>8075200.63567667</v>
      </c>
      <c r="AS42" s="15" t="n">
        <f aca="false">AS38*AS39*(1000*Inputs!$F$123/Inputs!$F$124)</f>
        <v>7927443.13305611</v>
      </c>
      <c r="AT42" s="15" t="n">
        <f aca="false">AT38*AT39*(1000*Inputs!$F$123/Inputs!$F$124)</f>
        <v>7633430.22883016</v>
      </c>
      <c r="AU42" s="15" t="n">
        <f aca="false">AU38*AU39*(1000*Inputs!$F$123/Inputs!$F$124)</f>
        <v>7778337.08146837</v>
      </c>
      <c r="AV42" s="15" t="n">
        <f aca="false">AV38*AV39*(1000*Inputs!$F$123/Inputs!$F$124)</f>
        <v>8069432.06084259</v>
      </c>
      <c r="AW42" s="15" t="n">
        <f aca="false">AW38*AW39*(1000*Inputs!$F$123/Inputs!$F$124)</f>
        <v>8042167.91483011</v>
      </c>
      <c r="AX42" s="15" t="n">
        <f aca="false">AX38*AX39*(1000*Inputs!$F$123/Inputs!$F$124)</f>
        <v>7989106.80191982</v>
      </c>
      <c r="AY42" s="15" t="n">
        <f aca="false">AY38*AY39*(1000*Inputs!$F$123/Inputs!$F$124)</f>
        <v>8013440.28740754</v>
      </c>
      <c r="AZ42" s="15" t="n">
        <f aca="false">AZ38*AZ39*(1000*Inputs!$F$123/Inputs!$F$124)</f>
        <v>8063546.65411314</v>
      </c>
      <c r="BA42" s="15" t="n">
        <f aca="false">BA38*BA39*(1000*Inputs!$F$123/Inputs!$F$124)</f>
        <v>7970377.64960835</v>
      </c>
      <c r="BB42" s="15" t="n">
        <f aca="false">BB38*BB39*(1000*Inputs!$F$123/Inputs!$F$124)</f>
        <v>7785573.01251771</v>
      </c>
      <c r="BC42" s="15" t="n">
        <f aca="false">BC38*BC39*(1000*Inputs!$F$123/Inputs!$F$124)</f>
        <v>7875765.38819135</v>
      </c>
      <c r="BD42" s="15" t="n">
        <f aca="false">BD38*BD39*(1000*Inputs!$F$123/Inputs!$F$124)</f>
        <v>8057544.41548832</v>
      </c>
      <c r="BE42" s="15" t="n">
        <f aca="false">BE38*BE39*(1000*Inputs!$F$123/Inputs!$F$124)</f>
        <v>8030260.06054724</v>
      </c>
      <c r="BF42" s="15" t="n">
        <f aca="false">BF38*BF39*(1000*Inputs!$F$123/Inputs!$F$124)</f>
        <v>7977217.50622161</v>
      </c>
      <c r="BG42" s="15" t="n">
        <f aca="false">BG38*BG39*(1000*Inputs!$F$123/Inputs!$F$124)</f>
        <v>8001454.55557394</v>
      </c>
      <c r="BH42" s="15" t="n">
        <f aca="false">BH38*BH39*(1000*Inputs!$F$123/Inputs!$F$124)</f>
        <v>8051425.34496812</v>
      </c>
      <c r="BI42" s="15" t="n">
        <f aca="false">BI38*BI39*(1000*Inputs!$F$123/Inputs!$F$124)</f>
        <v>7903984.02333521</v>
      </c>
      <c r="BJ42" s="15" t="n">
        <f aca="false">BJ38*BJ39*(1000*Inputs!$F$123/Inputs!$F$124)</f>
        <v>7610726.66524714</v>
      </c>
      <c r="BK42" s="15" t="n">
        <f aca="false">BK38*BK39*(1000*Inputs!$F$123/Inputs!$F$124)</f>
        <v>7755085.79052938</v>
      </c>
      <c r="BL42" s="15" t="n">
        <f aca="false">BL38*BL39*(1000*Inputs!$F$123/Inputs!$F$124)</f>
        <v>8045189.44255255</v>
      </c>
      <c r="BM42" s="15" t="n">
        <f aca="false">BM38*BM39*(1000*Inputs!$F$123/Inputs!$F$124)</f>
        <v>5362583.72720832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317.524017605474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1.64472007714914</v>
      </c>
      <c r="P50" s="13" t="n">
        <f aca="false">P38*P49/1000000</f>
        <v>4.98564633436034</v>
      </c>
      <c r="Q50" s="13" t="n">
        <f aca="false">Q38*Q49/1000000</f>
        <v>5.02029966545628</v>
      </c>
      <c r="R50" s="13" t="n">
        <f aca="false">R38*R49/1000000</f>
        <v>5.0388670584073</v>
      </c>
      <c r="S50" s="13" t="n">
        <f aca="false">S38*S49/1000000</f>
        <v>5.10660198194678</v>
      </c>
      <c r="T50" s="13" t="n">
        <f aca="false">T38*T49/1000000</f>
        <v>5.19179577238689</v>
      </c>
      <c r="U50" s="13" t="n">
        <f aca="false">U38*U49/1000000</f>
        <v>5.185003476576</v>
      </c>
      <c r="V50" s="13" t="n">
        <f aca="false">V38*V49/1000000</f>
        <v>5.11728436442633</v>
      </c>
      <c r="W50" s="13" t="n">
        <f aca="false">W38*W49/1000000</f>
        <v>5.23022916627073</v>
      </c>
      <c r="X50" s="13" t="n">
        <f aca="false">X38*X49/1000000</f>
        <v>5.40642018574622</v>
      </c>
      <c r="Y50" s="13" t="n">
        <f aca="false">Y38*Y49/1000000</f>
        <v>5.44397346048849</v>
      </c>
      <c r="Z50" s="13" t="n">
        <f aca="false">Z38*Z49/1000000</f>
        <v>5.46408297140406</v>
      </c>
      <c r="AA50" s="13" t="n">
        <f aca="false">AA38*AA49/1000000</f>
        <v>5.53750866043291</v>
      </c>
      <c r="AB50" s="13" t="n">
        <f aca="false">AB38*AB49/1000000</f>
        <v>5.62986564212311</v>
      </c>
      <c r="AC50" s="13" t="n">
        <f aca="false">AC38*AC49/1000000</f>
        <v>5.58407521207829</v>
      </c>
      <c r="AD50" s="13" t="n">
        <f aca="false">AD38*AD49/1000000</f>
        <v>5.43264637105597</v>
      </c>
      <c r="AE50" s="13" t="n">
        <f aca="false">AE38*AE49/1000000</f>
        <v>5.59309485323048</v>
      </c>
      <c r="AF50" s="13" t="n">
        <f aca="false">AF38*AF49/1000000</f>
        <v>5.86249222764842</v>
      </c>
      <c r="AG50" s="13" t="n">
        <f aca="false">AG38*AG49/1000000</f>
        <v>5.90318629840797</v>
      </c>
      <c r="AH50" s="13" t="n">
        <f aca="false">AH38*AH49/1000000</f>
        <v>5.92496485181194</v>
      </c>
      <c r="AI50" s="13" t="n">
        <f aca="false">AI38*AI49/1000000</f>
        <v>6.00455616287021</v>
      </c>
      <c r="AJ50" s="13" t="n">
        <f aca="false">AJ38*AJ49/1000000</f>
        <v>6.10467460928435</v>
      </c>
      <c r="AK50" s="13" t="n">
        <f aca="false">AK38*AK49/1000000</f>
        <v>6.09663203096764</v>
      </c>
      <c r="AL50" s="13" t="n">
        <f aca="false">AL38*AL49/1000000</f>
        <v>6.01695119009804</v>
      </c>
      <c r="AM50" s="13" t="n">
        <f aca="false">AM38*AM49/1000000</f>
        <v>6.14969610779107</v>
      </c>
      <c r="AN50" s="13" t="n">
        <f aca="false">AN38*AN49/1000000</f>
        <v>6.35680261950401</v>
      </c>
      <c r="AO50" s="13" t="n">
        <f aca="false">AO38*AO49/1000000</f>
        <v>6.40089816179228</v>
      </c>
      <c r="AP50" s="13" t="n">
        <f aca="false">AP38*AP49/1000000</f>
        <v>6.42448301361454</v>
      </c>
      <c r="AQ50" s="13" t="n">
        <f aca="false">AQ38*AQ49/1000000</f>
        <v>6.51075410646073</v>
      </c>
      <c r="AR50" s="13" t="n">
        <f aca="false">AR38*AR49/1000000</f>
        <v>6.61928186413571</v>
      </c>
      <c r="AS50" s="13" t="n">
        <f aca="false">AS38*AS49/1000000</f>
        <v>6.56538300348083</v>
      </c>
      <c r="AT50" s="13" t="n">
        <f aca="false">AT38*AT49/1000000</f>
        <v>6.38728361389688</v>
      </c>
      <c r="AU50" s="13" t="n">
        <f aca="false">AU38*AU49/1000000</f>
        <v>6.57586516371762</v>
      </c>
      <c r="AV50" s="13" t="n">
        <f aca="false">AV38*AV49/1000000</f>
        <v>6.89253435427611</v>
      </c>
      <c r="AW50" s="13" t="n">
        <f aca="false">AW38*AW49/1000000</f>
        <v>6.94031348028015</v>
      </c>
      <c r="AX50" s="13" t="n">
        <f aca="false">AX38*AX49/1000000</f>
        <v>6.96585304723981</v>
      </c>
      <c r="AY50" s="13" t="n">
        <f aca="false">AY38*AY49/1000000</f>
        <v>7.05936060616398</v>
      </c>
      <c r="AZ50" s="13" t="n">
        <f aca="false">AZ38*AZ49/1000000</f>
        <v>7.17699916321071</v>
      </c>
      <c r="BA50" s="13" t="n">
        <f aca="false">BA38*BA49/1000000</f>
        <v>7.16747641038153</v>
      </c>
      <c r="BB50" s="13" t="n">
        <f aca="false">BB38*BB49/1000000</f>
        <v>7.07373334424769</v>
      </c>
      <c r="BC50" s="13" t="n">
        <f aca="false">BC38*BC49/1000000</f>
        <v>7.22972456386427</v>
      </c>
      <c r="BD50" s="13" t="n">
        <f aca="false">BD38*BD49/1000000</f>
        <v>7.47313310931597</v>
      </c>
      <c r="BE50" s="13" t="n">
        <f aca="false">BE38*BE49/1000000</f>
        <v>7.52490111096178</v>
      </c>
      <c r="BF50" s="13" t="n">
        <f aca="false">BF38*BF49/1000000</f>
        <v>7.55255586535544</v>
      </c>
      <c r="BG50" s="13" t="n">
        <f aca="false">BG38*BG49/1000000</f>
        <v>7.65390258133898</v>
      </c>
      <c r="BH50" s="13" t="n">
        <f aca="false">BH38*BH49/1000000</f>
        <v>7.78141146595488</v>
      </c>
      <c r="BI50" s="13" t="n">
        <f aca="false">BI38*BI49/1000000</f>
        <v>7.71797620208055</v>
      </c>
      <c r="BJ50" s="13" t="n">
        <f aca="false">BJ38*BJ49/1000000</f>
        <v>7.50853873397767</v>
      </c>
      <c r="BK50" s="13" t="n">
        <f aca="false">BK38*BK49/1000000</f>
        <v>7.73015094647397</v>
      </c>
      <c r="BL50" s="13" t="n">
        <f aca="false">BL38*BL49/1000000</f>
        <v>8.10232869941594</v>
      </c>
      <c r="BM50" s="13" t="n">
        <f aca="false">BM38*BM49/1000000</f>
        <v>5.45710364191288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3194.0040119144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16.8490978429061</v>
      </c>
      <c r="P51" s="13" t="n">
        <f aca="false">P38*P40*(1000*Inputs!$F$123/Inputs!$F$124)*P41/1000000</f>
        <v>50.5388559913214</v>
      </c>
      <c r="Q51" s="13" t="n">
        <f aca="false">Q38*Q40*(1000*Inputs!$F$123/Inputs!$F$124)*Q41/1000000</f>
        <v>51.3718619501049</v>
      </c>
      <c r="R51" s="13" t="n">
        <f aca="false">R38*R40*(1000*Inputs!$F$123/Inputs!$F$124)*R41/1000000</f>
        <v>51.02934715991</v>
      </c>
      <c r="S51" s="13" t="n">
        <f aca="false">S38*S40*(1000*Inputs!$F$123/Inputs!$F$124)*S41/1000000</f>
        <v>52.2048234162708</v>
      </c>
      <c r="T51" s="13" t="n">
        <f aca="false">T38*T40*(1000*Inputs!$F$123/Inputs!$F$124)*T41/1000000</f>
        <v>52.5275871487527</v>
      </c>
      <c r="U51" s="13" t="n">
        <f aca="false">U38*U40*(1000*Inputs!$F$123/Inputs!$F$124)*U41/1000000</f>
        <v>52.9553931942307</v>
      </c>
      <c r="V51" s="13" t="n">
        <f aca="false">V38*V40*(1000*Inputs!$F$123/Inputs!$F$124)*V41/1000000</f>
        <v>51.7239532033673</v>
      </c>
      <c r="W51" s="13" t="n">
        <f aca="false">W38*W40*(1000*Inputs!$F$123/Inputs!$F$124)*W41/1000000</f>
        <v>53.3659143691644</v>
      </c>
      <c r="X51" s="13" t="n">
        <f aca="false">X38*X40*(1000*Inputs!$F$123/Inputs!$F$124)*X41/1000000</f>
        <v>54.5938636889514</v>
      </c>
      <c r="Y51" s="13" t="n">
        <f aca="false">Y38*Y40*(1000*Inputs!$F$123/Inputs!$F$124)*Y41/1000000</f>
        <v>55.4933441222049</v>
      </c>
      <c r="Z51" s="13" t="n">
        <f aca="false">Z38*Z40*(1000*Inputs!$F$123/Inputs!$F$124)*Z41/1000000</f>
        <v>55.1229899373514</v>
      </c>
      <c r="AA51" s="13" t="n">
        <f aca="false">AA38*AA40*(1000*Inputs!$F$123/Inputs!$F$124)*AA41/1000000</f>
        <v>56.3923959313655</v>
      </c>
      <c r="AB51" s="13" t="n">
        <f aca="false">AB38*AB40*(1000*Inputs!$F$123/Inputs!$F$124)*AB41/1000000</f>
        <v>56.7406788249384</v>
      </c>
      <c r="AC51" s="13" t="n">
        <f aca="false">AC38*AC40*(1000*Inputs!$F$123/Inputs!$F$124)*AC41/1000000</f>
        <v>56.8117528441768</v>
      </c>
      <c r="AD51" s="13" t="n">
        <f aca="false">AD38*AD40*(1000*Inputs!$F$123/Inputs!$F$124)*AD41/1000000</f>
        <v>54.7001503838857</v>
      </c>
      <c r="AE51" s="13" t="n">
        <f aca="false">AE38*AE40*(1000*Inputs!$F$123/Inputs!$F$124)*AE41/1000000</f>
        <v>56.8485625272128</v>
      </c>
      <c r="AF51" s="13" t="n">
        <f aca="false">AF38*AF40*(1000*Inputs!$F$123/Inputs!$F$124)*AF41/1000000</f>
        <v>58.9711399832061</v>
      </c>
      <c r="AG51" s="13" t="n">
        <f aca="false">AG38*AG40*(1000*Inputs!$F$123/Inputs!$F$124)*AG41/1000000</f>
        <v>59.9423462502596</v>
      </c>
      <c r="AH51" s="13" t="n">
        <f aca="false">AH38*AH40*(1000*Inputs!$F$123/Inputs!$F$124)*AH41/1000000</f>
        <v>59.5419089052034</v>
      </c>
      <c r="AI51" s="13" t="n">
        <f aca="false">AI38*AI40*(1000*Inputs!$F$123/Inputs!$F$124)*AI41/1000000</f>
        <v>60.9126759683165</v>
      </c>
      <c r="AJ51" s="13" t="n">
        <f aca="false">AJ38*AJ40*(1000*Inputs!$F$123/Inputs!$F$124)*AJ41/1000000</f>
        <v>61.2884731034683</v>
      </c>
      <c r="AK51" s="13" t="n">
        <f aca="false">AK38*AK40*(1000*Inputs!$F$123/Inputs!$F$124)*AK41/1000000</f>
        <v>61.7868200824983</v>
      </c>
      <c r="AL51" s="13" t="n">
        <f aca="false">AL38*AL40*(1000*Inputs!$F$123/Inputs!$F$124)*AL41/1000000</f>
        <v>60.3492185281777</v>
      </c>
      <c r="AM51" s="13" t="n">
        <f aca="false">AM38*AM40*(1000*Inputs!$F$123/Inputs!$F$124)*AM41/1000000</f>
        <v>62.2641673151437</v>
      </c>
      <c r="AN51" s="13" t="n">
        <f aca="false">AN38*AN40*(1000*Inputs!$F$123/Inputs!$F$124)*AN41/1000000</f>
        <v>63.6960270976673</v>
      </c>
      <c r="AO51" s="13" t="n">
        <f aca="false">AO38*AO40*(1000*Inputs!$F$123/Inputs!$F$124)*AO41/1000000</f>
        <v>64.7446206991244</v>
      </c>
      <c r="AP51" s="13" t="n">
        <f aca="false">AP38*AP40*(1000*Inputs!$F$123/Inputs!$F$124)*AP41/1000000</f>
        <v>64.3116772108131</v>
      </c>
      <c r="AQ51" s="13" t="n">
        <f aca="false">AQ38*AQ40*(1000*Inputs!$F$123/Inputs!$F$124)*AQ41/1000000</f>
        <v>65.7918180630317</v>
      </c>
      <c r="AR51" s="13" t="n">
        <f aca="false">AR38*AR40*(1000*Inputs!$F$123/Inputs!$F$124)*AR41/1000000</f>
        <v>66.1972784740152</v>
      </c>
      <c r="AS51" s="13" t="n">
        <f aca="false">AS38*AS40*(1000*Inputs!$F$123/Inputs!$F$124)*AS41/1000000</f>
        <v>66.2793222834829</v>
      </c>
      <c r="AT51" s="13" t="n">
        <f aca="false">AT38*AT40*(1000*Inputs!$F$123/Inputs!$F$124)*AT41/1000000</f>
        <v>63.8149815765357</v>
      </c>
      <c r="AU51" s="13" t="n">
        <f aca="false">AU38*AU40*(1000*Inputs!$F$123/Inputs!$F$124)*AU41/1000000</f>
        <v>66.3205117667626</v>
      </c>
      <c r="AV51" s="13" t="n">
        <f aca="false">AV38*AV40*(1000*Inputs!$F$123/Inputs!$F$124)*AV41/1000000</f>
        <v>68.795836132055</v>
      </c>
      <c r="AW51" s="13" t="n">
        <f aca="false">AW38*AW40*(1000*Inputs!$F$123/Inputs!$F$124)*AW41/1000000</f>
        <v>69.927920320816</v>
      </c>
      <c r="AX51" s="13" t="n">
        <f aca="false">AX38*AX40*(1000*Inputs!$F$123/Inputs!$F$124)*AX41/1000000</f>
        <v>69.4598543146777</v>
      </c>
      <c r="AY51" s="13" t="n">
        <f aca="false">AY38*AY40*(1000*Inputs!$F$123/Inputs!$F$124)*AY41/1000000</f>
        <v>71.058007963872</v>
      </c>
      <c r="AZ51" s="13" t="n">
        <f aca="false">AZ38*AZ40*(1000*Inputs!$F$123/Inputs!$F$124)*AZ41/1000000</f>
        <v>71.495446334935</v>
      </c>
      <c r="BA51" s="13" t="n">
        <f aca="false">BA38*BA40*(1000*Inputs!$F$123/Inputs!$F$124)*BA41/1000000</f>
        <v>72.0758296859706</v>
      </c>
      <c r="BB51" s="13" t="n">
        <f aca="false">BB38*BB40*(1000*Inputs!$F$123/Inputs!$F$124)*BB41/1000000</f>
        <v>70.3978957782115</v>
      </c>
      <c r="BC51" s="13" t="n">
        <f aca="false">BC38*BC40*(1000*Inputs!$F$123/Inputs!$F$124)*BC41/1000000</f>
        <v>72.6307332471874</v>
      </c>
      <c r="BD51" s="13" t="n">
        <f aca="false">BD38*BD40*(1000*Inputs!$F$123/Inputs!$F$124)*BD41/1000000</f>
        <v>74.2999978653098</v>
      </c>
      <c r="BE51" s="13" t="n">
        <f aca="false">BE38*BE40*(1000*Inputs!$F$123/Inputs!$F$124)*BE41/1000000</f>
        <v>75.5221516555374</v>
      </c>
      <c r="BF51" s="13" t="n">
        <f aca="false">BF38*BF40*(1000*Inputs!$F$123/Inputs!$F$124)*BF41/1000000</f>
        <v>75.0161380828641</v>
      </c>
      <c r="BG51" s="13" t="n">
        <f aca="false">BG38*BG40*(1000*Inputs!$F$123/Inputs!$F$124)*BG41/1000000</f>
        <v>76.7416181383219</v>
      </c>
      <c r="BH51" s="13" t="n">
        <f aca="false">BH38*BH40*(1000*Inputs!$F$123/Inputs!$F$124)*BH41/1000000</f>
        <v>77.2135273715065</v>
      </c>
      <c r="BI51" s="13" t="n">
        <f aca="false">BI38*BI40*(1000*Inputs!$F$123/Inputs!$F$124)*BI41/1000000</f>
        <v>77.3081900572501</v>
      </c>
      <c r="BJ51" s="13" t="n">
        <f aca="false">BJ38*BJ40*(1000*Inputs!$F$123/Inputs!$F$124)*BJ41/1000000</f>
        <v>74.4327866649528</v>
      </c>
      <c r="BK51" s="13" t="n">
        <f aca="false">BK38*BK40*(1000*Inputs!$F$123/Inputs!$F$124)*BK41/1000000</f>
        <v>77.3541607180672</v>
      </c>
      <c r="BL51" s="13" t="n">
        <f aca="false">BL38*BL40*(1000*Inputs!$F$123/Inputs!$F$124)*BL41/1000000</f>
        <v>80.2402249108278</v>
      </c>
      <c r="BM51" s="13" t="n">
        <f aca="false">BM38*BM40*(1000*Inputs!$F$123/Inputs!$F$124)*BM41/1000000</f>
        <v>54.5501328282138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95.7055834390146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0.537302102882988</v>
      </c>
      <c r="P53" s="13" t="n">
        <f aca="false">P42*Inputs!$F$148*(1+Inputs!$F$149/100)^(Time!P26-Inputs!$F$256)/1000000</f>
        <v>1.61174463040223</v>
      </c>
      <c r="Q53" s="13" t="n">
        <f aca="false">Q42*Inputs!$F$148*(1+Inputs!$F$149/100)^(Time!Q26-Inputs!$F$256)/1000000</f>
        <v>1.63044205275808</v>
      </c>
      <c r="R53" s="13" t="n">
        <f aca="false">R42*Inputs!$F$148*(1+Inputs!$F$149/100)^(Time!R26-Inputs!$F$256)/1000000</f>
        <v>1.61973285600152</v>
      </c>
      <c r="S53" s="13" t="n">
        <f aca="false">S42*Inputs!$F$148*(1+Inputs!$F$149/100)^(Time!S26-Inputs!$F$256)/1000000</f>
        <v>1.64908541943923</v>
      </c>
      <c r="T53" s="13" t="n">
        <f aca="false">T42*Inputs!$F$148*(1+Inputs!$F$149/100)^(Time!T26-Inputs!$F$256)/1000000</f>
        <v>1.65944627241688</v>
      </c>
      <c r="U53" s="13" t="n">
        <f aca="false">U42*Inputs!$F$148*(1+Inputs!$F$149/100)^(Time!U26-Inputs!$F$256)/1000000</f>
        <v>1.66492619854095</v>
      </c>
      <c r="V53" s="13" t="n">
        <f aca="false">V42*Inputs!$F$148*(1+Inputs!$F$149/100)^(Time!V26-Inputs!$F$256)/1000000</f>
        <v>1.62637102635809</v>
      </c>
      <c r="W53" s="13" t="n">
        <f aca="false">W42*Inputs!$F$148*(1+Inputs!$F$149/100)^(Time!W26-Inputs!$F$256)/1000000</f>
        <v>1.66993983822575</v>
      </c>
      <c r="X53" s="13" t="n">
        <f aca="false">X42*Inputs!$F$148*(1+Inputs!$F$149/100)^(Time!X26-Inputs!$F$256)/1000000</f>
        <v>1.70853443197278</v>
      </c>
      <c r="Y53" s="13" t="n">
        <f aca="false">Y42*Inputs!$F$148*(1+Inputs!$F$149/100)^(Time!Y26-Inputs!$F$256)/1000000</f>
        <v>1.72834190096539</v>
      </c>
      <c r="Z53" s="13" t="n">
        <f aca="false">Z42*Inputs!$F$148*(1+Inputs!$F$149/100)^(Time!Z26-Inputs!$F$256)/1000000</f>
        <v>1.71697696278767</v>
      </c>
      <c r="AA53" s="13" t="n">
        <f aca="false">AA42*Inputs!$F$148*(1+Inputs!$F$149/100)^(Time!AA26-Inputs!$F$256)/1000000</f>
        <v>1.74807882558856</v>
      </c>
      <c r="AB53" s="13" t="n">
        <f aca="false">AB42*Inputs!$F$148*(1+Inputs!$F$149/100)^(Time!AB26-Inputs!$F$256)/1000000</f>
        <v>1.75904860155509</v>
      </c>
      <c r="AC53" s="13" t="n">
        <f aca="false">AC42*Inputs!$F$148*(1+Inputs!$F$149/100)^(Time!AC26-Inputs!$F$256)/1000000</f>
        <v>1.75279114549963</v>
      </c>
      <c r="AD53" s="13" t="n">
        <f aca="false">AD42*Inputs!$F$148*(1+Inputs!$F$149/100)^(Time!AD26-Inputs!$F$256)/1000000</f>
        <v>1.6878088303094</v>
      </c>
      <c r="AE53" s="13" t="n">
        <f aca="false">AE42*Inputs!$F$148*(1+Inputs!$F$149/100)^(Time!AE26-Inputs!$F$256)/1000000</f>
        <v>1.74567261325838</v>
      </c>
      <c r="AF53" s="13" t="n">
        <f aca="false">AF42*Inputs!$F$148*(1+Inputs!$F$149/100)^(Time!AF26-Inputs!$F$256)/1000000</f>
        <v>1.81102937180916</v>
      </c>
      <c r="AG53" s="13" t="n">
        <f aca="false">AG42*Inputs!$F$148*(1+Inputs!$F$149/100)^(Time!AG26-Inputs!$F$256)/1000000</f>
        <v>1.83201148601985</v>
      </c>
      <c r="AH53" s="13" t="n">
        <f aca="false">AH42*Inputs!$F$148*(1+Inputs!$F$149/100)^(Time!AH26-Inputs!$F$256)/1000000</f>
        <v>1.81995133357279</v>
      </c>
      <c r="AI53" s="13" t="n">
        <f aca="false">AI42*Inputs!$F$148*(1+Inputs!$F$149/100)^(Time!AI26-Inputs!$F$256)/1000000</f>
        <v>1.85290473375521</v>
      </c>
      <c r="AJ53" s="13" t="n">
        <f aca="false">AJ42*Inputs!$F$148*(1+Inputs!$F$149/100)^(Time!AJ26-Inputs!$F$256)/1000000</f>
        <v>1.86451846116561</v>
      </c>
      <c r="AK53" s="13" t="n">
        <f aca="false">AK42*Inputs!$F$148*(1+Inputs!$F$149/100)^(Time!AK26-Inputs!$F$256)/1000000</f>
        <v>1.87064780602951</v>
      </c>
      <c r="AL53" s="13" t="n">
        <f aca="false">AL42*Inputs!$F$148*(1+Inputs!$F$149/100)^(Time!AL26-Inputs!$F$256)/1000000</f>
        <v>1.8273015270716</v>
      </c>
      <c r="AM53" s="13" t="n">
        <f aca="false">AM42*Inputs!$F$148*(1+Inputs!$F$149/100)^(Time!AM26-Inputs!$F$256)/1000000</f>
        <v>1.8762251677743</v>
      </c>
      <c r="AN53" s="13" t="n">
        <f aca="false">AN42*Inputs!$F$148*(1+Inputs!$F$149/100)^(Time!AN26-Inputs!$F$256)/1000000</f>
        <v>1.91955874623258</v>
      </c>
      <c r="AO53" s="13" t="n">
        <f aca="false">AO42*Inputs!$F$148*(1+Inputs!$F$149/100)^(Time!AO26-Inputs!$F$256)/1000000</f>
        <v>1.94178377693737</v>
      </c>
      <c r="AP53" s="13" t="n">
        <f aca="false">AP42*Inputs!$F$148*(1+Inputs!$F$149/100)^(Time!AP26-Inputs!$F$256)/1000000</f>
        <v>1.92898660383957</v>
      </c>
      <c r="AQ53" s="13" t="n">
        <f aca="false">AQ42*Inputs!$F$148*(1+Inputs!$F$149/100)^(Time!AQ26-Inputs!$F$256)/1000000</f>
        <v>1.96389962190947</v>
      </c>
      <c r="AR53" s="13" t="n">
        <f aca="false">AR42*Inputs!$F$148*(1+Inputs!$F$149/100)^(Time!AR26-Inputs!$F$256)/1000000</f>
        <v>1.97619429297358</v>
      </c>
      <c r="AS53" s="13" t="n">
        <f aca="false">AS42*Inputs!$F$148*(1+Inputs!$F$149/100)^(Time!AS26-Inputs!$F$256)/1000000</f>
        <v>1.96913502375745</v>
      </c>
      <c r="AT53" s="13" t="n">
        <f aca="false">AT42*Inputs!$F$148*(1+Inputs!$F$149/100)^(Time!AT26-Inputs!$F$256)/1000000</f>
        <v>1.89610377049827</v>
      </c>
      <c r="AU53" s="13" t="n">
        <f aca="false">AU42*Inputs!$F$148*(1+Inputs!$F$149/100)^(Time!AU26-Inputs!$F$256)/1000000</f>
        <v>1.96107933571806</v>
      </c>
      <c r="AV53" s="13" t="n">
        <f aca="false">AV42*Inputs!$F$148*(1+Inputs!$F$149/100)^(Time!AV26-Inputs!$F$256)/1000000</f>
        <v>2.0344703886903</v>
      </c>
      <c r="AW53" s="13" t="n">
        <f aca="false">AW42*Inputs!$F$148*(1+Inputs!$F$149/100)^(Time!AW26-Inputs!$F$256)/1000000</f>
        <v>2.05801048272498</v>
      </c>
      <c r="AX53" s="13" t="n">
        <f aca="false">AX42*Inputs!$F$148*(1+Inputs!$F$149/100)^(Time!AX26-Inputs!$F$256)/1000000</f>
        <v>2.04443201386547</v>
      </c>
      <c r="AY53" s="13" t="n">
        <f aca="false">AY42*Inputs!$F$148*(1+Inputs!$F$149/100)^(Time!AY26-Inputs!$F$256)/1000000</f>
        <v>2.08141889763584</v>
      </c>
      <c r="AZ53" s="13" t="n">
        <f aca="false">AZ42*Inputs!$F$148*(1+Inputs!$F$149/100)^(Time!AZ26-Inputs!$F$256)/1000000</f>
        <v>2.0944335748297</v>
      </c>
      <c r="BA53" s="13" t="n">
        <f aca="false">BA42*Inputs!$F$148*(1+Inputs!$F$149/100)^(Time!BA26-Inputs!$F$256)/1000000</f>
        <v>2.10128727203063</v>
      </c>
      <c r="BB53" s="13" t="n">
        <f aca="false">BB42*Inputs!$F$148*(1+Inputs!$F$149/100)^(Time!BB26-Inputs!$F$256)/1000000</f>
        <v>2.05256591291788</v>
      </c>
      <c r="BC53" s="13" t="n">
        <f aca="false">BC42*Inputs!$F$148*(1+Inputs!$F$149/100)^(Time!BC26-Inputs!$F$256)/1000000</f>
        <v>2.10748912908121</v>
      </c>
      <c r="BD53" s="13" t="n">
        <f aca="false">BD42*Inputs!$F$148*(1+Inputs!$F$149/100)^(Time!BD26-Inputs!$F$256)/1000000</f>
        <v>2.15613168063534</v>
      </c>
      <c r="BE53" s="13" t="n">
        <f aca="false">BE42*Inputs!$F$148*(1+Inputs!$F$149/100)^(Time!BE26-Inputs!$F$256)/1000000</f>
        <v>2.18106307404398</v>
      </c>
      <c r="BF53" s="13" t="n">
        <f aca="false">BF42*Inputs!$F$148*(1+Inputs!$F$149/100)^(Time!BF26-Inputs!$F$256)/1000000</f>
        <v>2.16665642273751</v>
      </c>
      <c r="BG53" s="13" t="n">
        <f aca="false">BG42*Inputs!$F$148*(1+Inputs!$F$149/100)^(Time!BG26-Inputs!$F$256)/1000000</f>
        <v>2.20583792956803</v>
      </c>
      <c r="BH53" s="13" t="n">
        <f aca="false">BH42*Inputs!$F$148*(1+Inputs!$F$149/100)^(Time!BH26-Inputs!$F$256)/1000000</f>
        <v>2.21961385766342</v>
      </c>
      <c r="BI53" s="13" t="n">
        <f aca="false">BI42*Inputs!$F$148*(1+Inputs!$F$149/100)^(Time!BI26-Inputs!$F$256)/1000000</f>
        <v>2.21165179990249</v>
      </c>
      <c r="BJ53" s="13" t="n">
        <f aca="false">BJ42*Inputs!$F$148*(1+Inputs!$F$149/100)^(Time!BJ26-Inputs!$F$256)/1000000</f>
        <v>2.12959404751645</v>
      </c>
      <c r="BK53" s="13" t="n">
        <f aca="false">BK42*Inputs!$F$148*(1+Inputs!$F$149/100)^(Time!BK26-Inputs!$F$256)/1000000</f>
        <v>2.2025376869856</v>
      </c>
      <c r="BL53" s="13" t="n">
        <f aca="false">BL42*Inputs!$F$148*(1+Inputs!$F$149/100)^(Time!BL26-Inputs!$F$256)/1000000</f>
        <v>2.28493061518422</v>
      </c>
      <c r="BM53" s="13" t="n">
        <f aca="false">BM42*Inputs!$F$148*(1+Inputs!$F$149/100)^(Time!BM26-Inputs!$F$256)/1000000</f>
        <v>1.54588388497448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1045.0239805686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5.15370289839452</v>
      </c>
      <c r="P54" s="13" t="n">
        <f aca="false">MAX(0,P43-P42)*P41/1000000</f>
        <v>15.8263551291103</v>
      </c>
      <c r="Q54" s="13" t="n">
        <f aca="false">MAX(0,Q43-Q42)*Q41/1000000</f>
        <v>15.2130437933478</v>
      </c>
      <c r="R54" s="13" t="n">
        <f aca="false">MAX(0,R43-R42)*R41/1000000</f>
        <v>16.6520632703247</v>
      </c>
      <c r="S54" s="13" t="n">
        <f aca="false">MAX(0,S43-S42)*S41/1000000</f>
        <v>15.7010577871894</v>
      </c>
      <c r="T54" s="13" t="n">
        <f aca="false">MAX(0,T43-T42)*T41/1000000</f>
        <v>16.4977708107548</v>
      </c>
      <c r="U54" s="13" t="n">
        <f aca="false">MAX(0,U43-U42)*U41/1000000</f>
        <v>16.6798766641748</v>
      </c>
      <c r="V54" s="13" t="n">
        <f aca="false">MAX(0,V43-V42)*V41/1000000</f>
        <v>18.6690457943645</v>
      </c>
      <c r="W54" s="13" t="n">
        <f aca="false">MAX(0,W43-W42)*W41/1000000</f>
        <v>17.2607581005382</v>
      </c>
      <c r="X54" s="13" t="n">
        <f aca="false">MAX(0,X43-X42)*X41/1000000</f>
        <v>17.1983921659937</v>
      </c>
      <c r="Y54" s="13" t="n">
        <f aca="false">MAX(0,Y43-Y42)*Y41/1000000</f>
        <v>16.5360527816561</v>
      </c>
      <c r="Z54" s="13" t="n">
        <f aca="false">MAX(0,Z43-Z42)*Z41/1000000</f>
        <v>18.0936484178583</v>
      </c>
      <c r="AA54" s="13" t="n">
        <f aca="false">MAX(0,AA43-AA42)*AA41/1000000</f>
        <v>17.0662613866711</v>
      </c>
      <c r="AB54" s="13" t="n">
        <f aca="false">MAX(0,AB43-AB42)*AB41/1000000</f>
        <v>17.9295149272189</v>
      </c>
      <c r="AC54" s="13" t="n">
        <f aca="false">MAX(0,AC43-AC42)*AC41/1000000</f>
        <v>18.5181183268419</v>
      </c>
      <c r="AD54" s="13" t="n">
        <f aca="false">MAX(0,AD43-AD42)*AD41/1000000</f>
        <v>21.4507366554807</v>
      </c>
      <c r="AE54" s="13" t="n">
        <f aca="false">MAX(0,AE43-AE42)*AE41/1000000</f>
        <v>19.554145438391</v>
      </c>
      <c r="AF54" s="13" t="n">
        <f aca="false">MAX(0,AF43-AF42)*AF41/1000000</f>
        <v>18.6924931372473</v>
      </c>
      <c r="AG54" s="13" t="n">
        <f aca="false">MAX(0,AG43-AG42)*AG41/1000000</f>
        <v>17.9772672088884</v>
      </c>
      <c r="AH54" s="13" t="n">
        <f aca="false">MAX(0,AH43-AH42)*AH41/1000000</f>
        <v>19.6631875408593</v>
      </c>
      <c r="AI54" s="13" t="n">
        <f aca="false">MAX(0,AI43-AI42)*AI41/1000000</f>
        <v>18.553368636289</v>
      </c>
      <c r="AJ54" s="13" t="n">
        <f aca="false">MAX(0,AJ43-AJ42)*AJ41/1000000</f>
        <v>19.4887417978175</v>
      </c>
      <c r="AK54" s="13" t="n">
        <f aca="false">MAX(0,AK43-AK42)*AK41/1000000</f>
        <v>19.7043364337923</v>
      </c>
      <c r="AL54" s="13" t="n">
        <f aca="false">MAX(0,AL43-AL42)*AL41/1000000</f>
        <v>22.0321291805549</v>
      </c>
      <c r="AM54" s="13" t="n">
        <f aca="false">MAX(0,AM43-AM42)*AM41/1000000</f>
        <v>20.3880652926377</v>
      </c>
      <c r="AN54" s="13" t="n">
        <f aca="false">MAX(0,AN43-AN42)*AN41/1000000</f>
        <v>20.3197396390072</v>
      </c>
      <c r="AO54" s="13" t="n">
        <f aca="false">MAX(0,AO43-AO42)*AO41/1000000</f>
        <v>19.5474703895491</v>
      </c>
      <c r="AP54" s="13" t="n">
        <f aca="false">MAX(0,AP43-AP42)*AP41/1000000</f>
        <v>21.3722635761166</v>
      </c>
      <c r="AQ54" s="13" t="n">
        <f aca="false">MAX(0,AQ43-AQ42)*AQ41/1000000</f>
        <v>20.1734906123294</v>
      </c>
      <c r="AR54" s="13" t="n">
        <f aca="false">MAX(0,AR43-AR42)*AR41/1000000</f>
        <v>21.187032015106</v>
      </c>
      <c r="AS54" s="13" t="n">
        <f aca="false">MAX(0,AS43-AS42)*AS41/1000000</f>
        <v>21.877906928038</v>
      </c>
      <c r="AT54" s="13" t="n">
        <f aca="false">MAX(0,AT43-AT42)*AT41/1000000</f>
        <v>25.3081802409991</v>
      </c>
      <c r="AU54" s="13" t="n">
        <f aca="false">MAX(0,AU43-AU42)*AU41/1000000</f>
        <v>23.0939124987666</v>
      </c>
      <c r="AV54" s="13" t="n">
        <f aca="false">MAX(0,AV43-AV42)*AV41/1000000</f>
        <v>22.0922339327259</v>
      </c>
      <c r="AW54" s="13" t="n">
        <f aca="false">MAX(0,AW43-AW42)*AW41/1000000</f>
        <v>21.2584437334397</v>
      </c>
      <c r="AX54" s="13" t="n">
        <f aca="false">MAX(0,AX43-AX42)*AX41/1000000</f>
        <v>23.23352299204</v>
      </c>
      <c r="AY54" s="13" t="n">
        <f aca="false">MAX(0,AY43-AY42)*AY41/1000000</f>
        <v>21.9387657865317</v>
      </c>
      <c r="AZ54" s="13" t="n">
        <f aca="false">MAX(0,AZ43-AZ42)*AZ41/1000000</f>
        <v>23.0370332172019</v>
      </c>
      <c r="BA54" s="13" t="n">
        <f aca="false">MAX(0,BA43-BA42)*BA41/1000000</f>
        <v>23.292387338376</v>
      </c>
      <c r="BB54" s="13" t="n">
        <f aca="false">MAX(0,BB43-BB42)*BB41/1000000</f>
        <v>26.0160596512058</v>
      </c>
      <c r="BC54" s="13" t="n">
        <f aca="false">MAX(0,BC43-BC42)*BC41/1000000</f>
        <v>24.0972946853193</v>
      </c>
      <c r="BD54" s="13" t="n">
        <f aca="false">MAX(0,BD43-BD42)*BD41/1000000</f>
        <v>24.0231938236088</v>
      </c>
      <c r="BE54" s="13" t="n">
        <f aca="false">MAX(0,BE43-BE42)*BE41/1000000</f>
        <v>23.1230599618704</v>
      </c>
      <c r="BF54" s="13" t="n">
        <f aca="false">MAX(0,BF43-BF42)*BF41/1000000</f>
        <v>25.2607743470597</v>
      </c>
      <c r="BG54" s="13" t="n">
        <f aca="false">MAX(0,BG43-BG42)*BG41/1000000</f>
        <v>23.8624558781259</v>
      </c>
      <c r="BH54" s="13" t="n">
        <f aca="false">MAX(0,BH43-BH42)*BH41/1000000</f>
        <v>25.0525592990099</v>
      </c>
      <c r="BI54" s="13" t="n">
        <f aca="false">MAX(0,BI43-BI42)*BI41/1000000</f>
        <v>25.8635003179702</v>
      </c>
      <c r="BJ54" s="13" t="n">
        <f aca="false">MAX(0,BJ43-BJ42)*BJ41/1000000</f>
        <v>29.8752031651856</v>
      </c>
      <c r="BK54" s="13" t="n">
        <f aca="false">MAX(0,BK43-BK42)*BK41/1000000</f>
        <v>27.2907668836652</v>
      </c>
      <c r="BL54" s="13" t="n">
        <f aca="false">MAX(0,BL43-BL42)*BL41/1000000</f>
        <v>26.1270564028562</v>
      </c>
      <c r="BM54" s="13" t="n">
        <f aca="false">MAX(0,BM43-BM42)*BM41/1000000</f>
        <v>16.1995396760989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3652.33221996997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21.7234448219964</v>
      </c>
      <c r="P55" s="13" t="n">
        <f aca="false">P48+P50</f>
        <v>65.437111241458</v>
      </c>
      <c r="Q55" s="13" t="n">
        <f aca="false">Q48+Q50</f>
        <v>65.689410558758</v>
      </c>
      <c r="R55" s="13" t="n">
        <f aca="false">R48+R50</f>
        <v>65.9280050190611</v>
      </c>
      <c r="S55" s="13" t="n">
        <f aca="false">S48+S50</f>
        <v>66.2181741405011</v>
      </c>
      <c r="T55" s="13" t="n">
        <f aca="false">T48+T50</f>
        <v>66.5282355937751</v>
      </c>
      <c r="U55" s="13" t="n">
        <f aca="false">U48+U50</f>
        <v>66.7487710482185</v>
      </c>
      <c r="V55" s="13" t="n">
        <f aca="false">V48+V50</f>
        <v>66.910866687485</v>
      </c>
      <c r="W55" s="13" t="n">
        <f aca="false">W48+W50</f>
        <v>67.2561404500894</v>
      </c>
      <c r="X55" s="13" t="n">
        <f aca="false">X48+X50</f>
        <v>67.6672021455122</v>
      </c>
      <c r="Y55" s="13" t="n">
        <f aca="false">Y48+Y50</f>
        <v>67.9421956181512</v>
      </c>
      <c r="Z55" s="13" t="n">
        <f aca="false">Z48+Z50</f>
        <v>68.2023429598849</v>
      </c>
      <c r="AA55" s="13" t="n">
        <f aca="false">AA48+AA50</f>
        <v>68.5184325311641</v>
      </c>
      <c r="AB55" s="13" t="n">
        <f aca="false">AB48+AB50</f>
        <v>68.8561081759505</v>
      </c>
      <c r="AC55" s="13" t="n">
        <f aca="false">AC48+AC50</f>
        <v>69.0583202335656</v>
      </c>
      <c r="AD55" s="13" t="n">
        <f aca="false">AD48+AD50</f>
        <v>68.2371354117418</v>
      </c>
      <c r="AE55" s="13" t="n">
        <f aca="false">AE48+AE50</f>
        <v>69.5715140907905</v>
      </c>
      <c r="AF55" s="13" t="n">
        <f aca="false">AF48+AF50</f>
        <v>70.0971428837138</v>
      </c>
      <c r="AG55" s="13" t="n">
        <f aca="false">AG48+AG50</f>
        <v>70.3968715847943</v>
      </c>
      <c r="AH55" s="13" t="n">
        <f aca="false">AH48+AH50</f>
        <v>70.6805186479108</v>
      </c>
      <c r="AI55" s="13" t="n">
        <f aca="false">AI48+AI50</f>
        <v>71.024843351157</v>
      </c>
      <c r="AJ55" s="13" t="n">
        <f aca="false">AJ48+AJ50</f>
        <v>71.3925914144974</v>
      </c>
      <c r="AK55" s="13" t="n">
        <f aca="false">AK48+AK50</f>
        <v>71.6551063629968</v>
      </c>
      <c r="AL55" s="13" t="n">
        <f aca="false">AL48+AL50</f>
        <v>71.8489429906257</v>
      </c>
      <c r="AM55" s="13" t="n">
        <f aca="false">AM48+AM50</f>
        <v>72.2581977007249</v>
      </c>
      <c r="AN55" s="13" t="n">
        <f aca="false">AN48+AN50</f>
        <v>72.7448390652433</v>
      </c>
      <c r="AO55" s="13" t="n">
        <f aca="false">AO48+AO50</f>
        <v>73.0715276153706</v>
      </c>
      <c r="AP55" s="13" t="n">
        <f aca="false">AP48+AP50</f>
        <v>73.3807970867601</v>
      </c>
      <c r="AQ55" s="13" t="n">
        <f aca="false">AQ48+AQ50</f>
        <v>73.7558782336178</v>
      </c>
      <c r="AR55" s="13" t="n">
        <f aca="false">AR48+AR50</f>
        <v>74.1563756724905</v>
      </c>
      <c r="AS55" s="13" t="n">
        <f aca="false">AS48+AS50</f>
        <v>74.3976406870353</v>
      </c>
      <c r="AT55" s="13" t="n">
        <f aca="false">AT48+AT50</f>
        <v>73.5338249126681</v>
      </c>
      <c r="AU55" s="13" t="n">
        <f aca="false">AU48+AU50</f>
        <v>75.0081733419103</v>
      </c>
      <c r="AV55" s="13" t="n">
        <f aca="false">AV48+AV50</f>
        <v>75.6298001929649</v>
      </c>
      <c r="AW55" s="13" t="n">
        <f aca="false">AW48+AW50</f>
        <v>75.9858732639931</v>
      </c>
      <c r="AX55" s="13" t="n">
        <f aca="false">AX48+AX50</f>
        <v>76.3230795599797</v>
      </c>
      <c r="AY55" s="13" t="n">
        <f aca="false">AY48+AY50</f>
        <v>76.7316635307186</v>
      </c>
      <c r="AZ55" s="13" t="n">
        <f aca="false">AZ48+AZ50</f>
        <v>77.1678254848309</v>
      </c>
      <c r="BA55" s="13" t="n">
        <f aca="false">BA48+BA50</f>
        <v>77.4803108248763</v>
      </c>
      <c r="BB55" s="13" t="n">
        <f aca="false">BB48+BB50</f>
        <v>77.7120986705436</v>
      </c>
      <c r="BC55" s="13" t="n">
        <f aca="false">BC48+BC50</f>
        <v>78.1971821610779</v>
      </c>
      <c r="BD55" s="13" t="n">
        <f aca="false">BD48+BD50</f>
        <v>78.7732832983903</v>
      </c>
      <c r="BE55" s="13" t="n">
        <f aca="false">BE48+BE50</f>
        <v>79.1613836009142</v>
      </c>
      <c r="BF55" s="13" t="n">
        <f aca="false">BF48+BF50</f>
        <v>79.5290501841894</v>
      </c>
      <c r="BG55" s="13" t="n">
        <f aca="false">BG48+BG50</f>
        <v>79.9741285116703</v>
      </c>
      <c r="BH55" s="13" t="n">
        <f aca="false">BH48+BH50</f>
        <v>80.4491294854032</v>
      </c>
      <c r="BI55" s="13" t="n">
        <f aca="false">BI48+BI50</f>
        <v>80.7369879284791</v>
      </c>
      <c r="BJ55" s="13" t="n">
        <f aca="false">BJ48+BJ50</f>
        <v>79.8228385617436</v>
      </c>
      <c r="BK55" s="13" t="n">
        <f aca="false">BK48+BK50</f>
        <v>81.4633217564534</v>
      </c>
      <c r="BL55" s="13" t="n">
        <f aca="false">BL48+BL50</f>
        <v>82.1984494366046</v>
      </c>
      <c r="BM55" s="13" t="n">
        <f aca="false">BM48+BM50</f>
        <v>55.0991312375122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8677.41252784807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48.0798868339312</v>
      </c>
      <c r="P56" s="13" t="n">
        <f aca="false">P55+P51+P52+P53+P54</f>
        <v>144.925647432722</v>
      </c>
      <c r="Q56" s="13" t="n">
        <f aca="false">Q55+Q51+Q52+Q53+Q54</f>
        <v>145.398508358303</v>
      </c>
      <c r="R56" s="13" t="n">
        <f aca="false">R55+R51+R52+R53+R54</f>
        <v>146.913402452334</v>
      </c>
      <c r="S56" s="13" t="n">
        <f aca="false">S55+S51+S52+S53+S54</f>
        <v>147.439297016785</v>
      </c>
      <c r="T56" s="13" t="n">
        <f aca="false">T55+T51+T52+T53+T54</f>
        <v>149.072557784942</v>
      </c>
      <c r="U56" s="13" t="n">
        <f aca="false">U55+U51+U52+U53+U54</f>
        <v>149.955536412832</v>
      </c>
      <c r="V56" s="13" t="n">
        <f aca="false">V55+V51+V52+V53+V54</f>
        <v>150.967647440206</v>
      </c>
      <c r="W56" s="13" t="n">
        <f aca="false">W55+W51+W52+W53+W54</f>
        <v>151.571518584161</v>
      </c>
      <c r="X56" s="13" t="n">
        <f aca="false">X55+X51+X52+X53+X54</f>
        <v>153.38596432199</v>
      </c>
      <c r="Y56" s="13" t="n">
        <f aca="false">Y55+Y51+Y52+Y53+Y54</f>
        <v>153.898981736513</v>
      </c>
      <c r="Z56" s="13" t="n">
        <f aca="false">Z55+Z51+Z52+Z53+Z54</f>
        <v>155.537199745786</v>
      </c>
      <c r="AA56" s="13" t="n">
        <f aca="false">AA55+AA51+AA52+AA53+AA54</f>
        <v>156.107201698028</v>
      </c>
      <c r="AB56" s="13" t="n">
        <f aca="false">AB55+AB51+AB52+AB53+AB54</f>
        <v>157.872610619585</v>
      </c>
      <c r="AC56" s="13" t="n">
        <f aca="false">AC55+AC51+AC52+AC53+AC54</f>
        <v>158.778181226232</v>
      </c>
      <c r="AD56" s="13" t="n">
        <f aca="false">AD55+AD51+AD52+AD53+AD54</f>
        <v>158.851900272688</v>
      </c>
      <c r="AE56" s="13" t="n">
        <f aca="false">AE55+AE51+AE52+AE53+AE54</f>
        <v>160.476174641019</v>
      </c>
      <c r="AF56" s="13" t="n">
        <f aca="false">AF55+AF51+AF52+AF53+AF54</f>
        <v>162.539515402116</v>
      </c>
      <c r="AG56" s="13" t="n">
        <f aca="false">AG55+AG51+AG52+AG53+AG54</f>
        <v>163.096120700899</v>
      </c>
      <c r="AH56" s="13" t="n">
        <f aca="false">AH55+AH51+AH52+AH53+AH54</f>
        <v>164.867792104078</v>
      </c>
      <c r="AI56" s="13" t="n">
        <f aca="false">AI55+AI51+AI52+AI53+AI54</f>
        <v>165.485631223018</v>
      </c>
      <c r="AJ56" s="13" t="n">
        <f aca="false">AJ55+AJ51+AJ52+AJ53+AJ54</f>
        <v>167.393983838629</v>
      </c>
      <c r="AK56" s="13" t="n">
        <f aca="false">AK55+AK51+AK52+AK53+AK54</f>
        <v>168.429572742187</v>
      </c>
      <c r="AL56" s="13" t="n">
        <f aca="false">AL55+AL51+AL52+AL53+AL54</f>
        <v>169.617646174035</v>
      </c>
      <c r="AM56" s="13" t="n">
        <f aca="false">AM55+AM51+AM52+AM53+AM54</f>
        <v>170.325706079456</v>
      </c>
      <c r="AN56" s="13" t="n">
        <f aca="false">AN55+AN51+AN52+AN53+AN54</f>
        <v>172.44361930497</v>
      </c>
      <c r="AO56" s="13" t="n">
        <f aca="false">AO55+AO51+AO52+AO53+AO54</f>
        <v>173.047538843205</v>
      </c>
      <c r="AP56" s="13" t="n">
        <f aca="false">AP55+AP51+AP52+AP53+AP54</f>
        <v>174.963631055701</v>
      </c>
      <c r="AQ56" s="13" t="n">
        <f aca="false">AQ55+AQ51+AQ52+AQ53+AQ54</f>
        <v>175.633354938545</v>
      </c>
      <c r="AR56" s="13" t="n">
        <f aca="false">AR55+AR51+AR52+AR53+AR54</f>
        <v>177.696335631429</v>
      </c>
      <c r="AS56" s="13" t="n">
        <f aca="false">AS55+AS51+AS52+AS53+AS54</f>
        <v>178.759715546327</v>
      </c>
      <c r="AT56" s="13" t="n">
        <f aca="false">AT55+AT51+AT52+AT53+AT54</f>
        <v>178.945237505198</v>
      </c>
      <c r="AU56" s="13" t="n">
        <f aca="false">AU55+AU51+AU52+AU53+AU54</f>
        <v>180.753531763436</v>
      </c>
      <c r="AV56" s="13" t="n">
        <f aca="false">AV55+AV51+AV52+AV53+AV54</f>
        <v>183.160369856</v>
      </c>
      <c r="AW56" s="13" t="n">
        <f aca="false">AW55+AW51+AW52+AW53+AW54</f>
        <v>183.815650443556</v>
      </c>
      <c r="AX56" s="13" t="n">
        <f aca="false">AX55+AX51+AX52+AX53+AX54</f>
        <v>185.888038528271</v>
      </c>
      <c r="AY56" s="13" t="n">
        <f aca="false">AY55+AY51+AY52+AY53+AY54</f>
        <v>186.614039860979</v>
      </c>
      <c r="AZ56" s="13" t="n">
        <f aca="false">AZ55+AZ51+AZ52+AZ53+AZ54</f>
        <v>188.844295504221</v>
      </c>
      <c r="BA56" s="13" t="n">
        <f aca="false">BA55+BA51+BA52+BA53+BA54</f>
        <v>190.059079494826</v>
      </c>
      <c r="BB56" s="13" t="n">
        <f aca="false">BB55+BB51+BB52+BB53+BB54</f>
        <v>191.453920258688</v>
      </c>
      <c r="BC56" s="13" t="n">
        <f aca="false">BC55+BC51+BC52+BC53+BC54</f>
        <v>192.284339356682</v>
      </c>
      <c r="BD56" s="13" t="n">
        <f aca="false">BD55+BD51+BD52+BD53+BD54</f>
        <v>194.757036417441</v>
      </c>
      <c r="BE56" s="13" t="n">
        <f aca="false">BE55+BE51+BE52+BE53+BE54</f>
        <v>195.468073028392</v>
      </c>
      <c r="BF56" s="13" t="n">
        <f aca="false">BF55+BF51+BF52+BF53+BF54</f>
        <v>197.70961523259</v>
      </c>
      <c r="BG56" s="13" t="n">
        <f aca="false">BG55+BG51+BG52+BG53+BG54</f>
        <v>198.496661414753</v>
      </c>
      <c r="BH56" s="13" t="n">
        <f aca="false">BH55+BH51+BH52+BH53+BH54</f>
        <v>200.907881152258</v>
      </c>
      <c r="BI56" s="13" t="n">
        <f aca="false">BI55+BI51+BI52+BI53+BI54</f>
        <v>202.156752586469</v>
      </c>
      <c r="BJ56" s="13" t="n">
        <f aca="false">BJ55+BJ51+BJ52+BJ53+BJ54</f>
        <v>202.473069345154</v>
      </c>
      <c r="BK56" s="13" t="n">
        <f aca="false">BK55+BK51+BK52+BK53+BK54</f>
        <v>204.498321970665</v>
      </c>
      <c r="BL56" s="13" t="n">
        <f aca="false">BL55+BL51+BL52+BL53+BL54</f>
        <v>207.306497974815</v>
      </c>
      <c r="BM56" s="13" t="n">
        <f aca="false">BM55+BM51+BM52+BM53+BM54</f>
        <v>138.287735991027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1882.44008714597</v>
      </c>
      <c r="P63" s="15" t="n">
        <f aca="false">IF(P31&gt;0,Inputs!$F$258*(Inputs!$F$129*P32/P31*P37/Inputs!$F$131+Inputs!$F$130*Inputs!$F$132)*Time!P30/12,0)</f>
        <v>5647.32026143791</v>
      </c>
      <c r="Q63" s="15" t="n">
        <f aca="false">IF(Q31&gt;0,Inputs!$F$258*(Inputs!$F$129*Q32/Q31*Q37/Inputs!$F$131+Inputs!$F$130*Inputs!$F$132)*Time!Q30/12,0)</f>
        <v>5647.32026143791</v>
      </c>
      <c r="R63" s="15" t="n">
        <f aca="false">IF(R31&gt;0,Inputs!$F$258*(Inputs!$F$129*R32/R31*R37/Inputs!$F$131+Inputs!$F$130*Inputs!$F$132)*Time!R30/12,0)</f>
        <v>5647.32026143791</v>
      </c>
      <c r="S63" s="15" t="n">
        <f aca="false">IF(S31&gt;0,Inputs!$F$258*(Inputs!$F$129*S32/S31*S37/Inputs!$F$131+Inputs!$F$130*Inputs!$F$132)*Time!S30/12,0)</f>
        <v>5647.32026143791</v>
      </c>
      <c r="T63" s="15" t="n">
        <f aca="false">IF(T31&gt;0,Inputs!$F$258*(Inputs!$F$129*T32/T31*T37/Inputs!$F$131+Inputs!$F$130*Inputs!$F$132)*Time!T30/12,0)</f>
        <v>5647.32026143791</v>
      </c>
      <c r="U63" s="15" t="n">
        <f aca="false">IF(U31&gt;0,Inputs!$F$258*(Inputs!$F$129*U32/U31*U37/Inputs!$F$131+Inputs!$F$130*Inputs!$F$132)*Time!U30/12,0)</f>
        <v>5647.32026143791</v>
      </c>
      <c r="V63" s="15" t="n">
        <f aca="false">IF(V31&gt;0,Inputs!$F$258*(Inputs!$F$129*V32/V31*V37/Inputs!$F$131+Inputs!$F$130*Inputs!$F$132)*Time!V30/12,0)</f>
        <v>5647.32026143791</v>
      </c>
      <c r="W63" s="15" t="n">
        <f aca="false">IF(W31&gt;0,Inputs!$F$258*(Inputs!$F$129*W32/W31*W37/Inputs!$F$131+Inputs!$F$130*Inputs!$F$132)*Time!W30/12,0)</f>
        <v>5647.32026143791</v>
      </c>
      <c r="X63" s="15" t="n">
        <f aca="false">IF(X31&gt;0,Inputs!$F$258*(Inputs!$F$129*X32/X31*X37/Inputs!$F$131+Inputs!$F$130*Inputs!$F$132)*Time!X30/12,0)</f>
        <v>5647.32026143791</v>
      </c>
      <c r="Y63" s="15" t="n">
        <f aca="false">IF(Y31&gt;0,Inputs!$F$258*(Inputs!$F$129*Y32/Y31*Y37/Inputs!$F$131+Inputs!$F$130*Inputs!$F$132)*Time!Y30/12,0)</f>
        <v>5647.32026143791</v>
      </c>
      <c r="Z63" s="15" t="n">
        <f aca="false">IF(Z31&gt;0,Inputs!$F$258*(Inputs!$F$129*Z32/Z31*Z37/Inputs!$F$131+Inputs!$F$130*Inputs!$F$132)*Time!Z30/12,0)</f>
        <v>5647.32026143791</v>
      </c>
      <c r="AA63" s="15" t="n">
        <f aca="false">IF(AA31&gt;0,Inputs!$F$258*(Inputs!$F$129*AA32/AA31*AA37/Inputs!$F$131+Inputs!$F$130*Inputs!$F$132)*Time!AA30/12,0)</f>
        <v>5647.32026143791</v>
      </c>
      <c r="AB63" s="15" t="n">
        <f aca="false">IF(AB31&gt;0,Inputs!$F$258*(Inputs!$F$129*AB32/AB31*AB37/Inputs!$F$131+Inputs!$F$130*Inputs!$F$132)*Time!AB30/12,0)</f>
        <v>5647.32026143791</v>
      </c>
      <c r="AC63" s="15" t="n">
        <f aca="false">IF(AC31&gt;0,Inputs!$F$258*(Inputs!$F$129*AC32/AC31*AC37/Inputs!$F$131+Inputs!$F$130*Inputs!$F$132)*Time!AC30/12,0)</f>
        <v>5647.32026143791</v>
      </c>
      <c r="AD63" s="15" t="n">
        <f aca="false">IF(AD31&gt;0,Inputs!$F$258*(Inputs!$F$129*AD32/AD31*AD37/Inputs!$F$131+Inputs!$F$130*Inputs!$F$132)*Time!AD30/12,0)</f>
        <v>5647.32026143791</v>
      </c>
      <c r="AE63" s="15" t="n">
        <f aca="false">IF(AE31&gt;0,Inputs!$F$258*(Inputs!$F$129*AE32/AE31*AE37/Inputs!$F$131+Inputs!$F$130*Inputs!$F$132)*Time!AE30/12,0)</f>
        <v>5647.32026143791</v>
      </c>
      <c r="AF63" s="15" t="n">
        <f aca="false">IF(AF31&gt;0,Inputs!$F$258*(Inputs!$F$129*AF32/AF31*AF37/Inputs!$F$131+Inputs!$F$130*Inputs!$F$132)*Time!AF30/12,0)</f>
        <v>5647.32026143791</v>
      </c>
      <c r="AG63" s="15" t="n">
        <f aca="false">IF(AG31&gt;0,Inputs!$F$258*(Inputs!$F$129*AG32/AG31*AG37/Inputs!$F$131+Inputs!$F$130*Inputs!$F$132)*Time!AG30/12,0)</f>
        <v>5647.32026143791</v>
      </c>
      <c r="AH63" s="15" t="n">
        <f aca="false">IF(AH31&gt;0,Inputs!$F$258*(Inputs!$F$129*AH32/AH31*AH37/Inputs!$F$131+Inputs!$F$130*Inputs!$F$132)*Time!AH30/12,0)</f>
        <v>5647.32026143791</v>
      </c>
      <c r="AI63" s="15" t="n">
        <f aca="false">IF(AI31&gt;0,Inputs!$F$258*(Inputs!$F$129*AI32/AI31*AI37/Inputs!$F$131+Inputs!$F$130*Inputs!$F$132)*Time!AI30/12,0)</f>
        <v>5647.32026143791</v>
      </c>
      <c r="AJ63" s="15" t="n">
        <f aca="false">IF(AJ31&gt;0,Inputs!$F$258*(Inputs!$F$129*AJ32/AJ31*AJ37/Inputs!$F$131+Inputs!$F$130*Inputs!$F$132)*Time!AJ30/12,0)</f>
        <v>5647.32026143791</v>
      </c>
      <c r="AK63" s="15" t="n">
        <f aca="false">IF(AK31&gt;0,Inputs!$F$258*(Inputs!$F$129*AK32/AK31*AK37/Inputs!$F$131+Inputs!$F$130*Inputs!$F$132)*Time!AK30/12,0)</f>
        <v>5647.32026143791</v>
      </c>
      <c r="AL63" s="15" t="n">
        <f aca="false">IF(AL31&gt;0,Inputs!$F$258*(Inputs!$F$129*AL32/AL31*AL37/Inputs!$F$131+Inputs!$F$130*Inputs!$F$132)*Time!AL30/12,0)</f>
        <v>5647.32026143791</v>
      </c>
      <c r="AM63" s="15" t="n">
        <f aca="false">IF(AM31&gt;0,Inputs!$F$258*(Inputs!$F$129*AM32/AM31*AM37/Inputs!$F$131+Inputs!$F$130*Inputs!$F$132)*Time!AM30/12,0)</f>
        <v>5647.32026143791</v>
      </c>
      <c r="AN63" s="15" t="n">
        <f aca="false">IF(AN31&gt;0,Inputs!$F$258*(Inputs!$F$129*AN32/AN31*AN37/Inputs!$F$131+Inputs!$F$130*Inputs!$F$132)*Time!AN30/12,0)</f>
        <v>5647.32026143791</v>
      </c>
      <c r="AO63" s="15" t="n">
        <f aca="false">IF(AO31&gt;0,Inputs!$F$258*(Inputs!$F$129*AO32/AO31*AO37/Inputs!$F$131+Inputs!$F$130*Inputs!$F$132)*Time!AO30/12,0)</f>
        <v>5647.32026143791</v>
      </c>
      <c r="AP63" s="15" t="n">
        <f aca="false">IF(AP31&gt;0,Inputs!$F$258*(Inputs!$F$129*AP32/AP31*AP37/Inputs!$F$131+Inputs!$F$130*Inputs!$F$132)*Time!AP30/12,0)</f>
        <v>5647.32026143791</v>
      </c>
      <c r="AQ63" s="15" t="n">
        <f aca="false">IF(AQ31&gt;0,Inputs!$F$258*(Inputs!$F$129*AQ32/AQ31*AQ37/Inputs!$F$131+Inputs!$F$130*Inputs!$F$132)*Time!AQ30/12,0)</f>
        <v>5647.32026143791</v>
      </c>
      <c r="AR63" s="15" t="n">
        <f aca="false">IF(AR31&gt;0,Inputs!$F$258*(Inputs!$F$129*AR32/AR31*AR37/Inputs!$F$131+Inputs!$F$130*Inputs!$F$132)*Time!AR30/12,0)</f>
        <v>5647.32026143791</v>
      </c>
      <c r="AS63" s="15" t="n">
        <f aca="false">IF(AS31&gt;0,Inputs!$F$258*(Inputs!$F$129*AS32/AS31*AS37/Inputs!$F$131+Inputs!$F$130*Inputs!$F$132)*Time!AS30/12,0)</f>
        <v>5647.32026143791</v>
      </c>
      <c r="AT63" s="15" t="n">
        <f aca="false">IF(AT31&gt;0,Inputs!$F$258*(Inputs!$F$129*AT32/AT31*AT37/Inputs!$F$131+Inputs!$F$130*Inputs!$F$132)*Time!AT30/12,0)</f>
        <v>5647.32026143791</v>
      </c>
      <c r="AU63" s="15" t="n">
        <f aca="false">IF(AU31&gt;0,Inputs!$F$258*(Inputs!$F$129*AU32/AU31*AU37/Inputs!$F$131+Inputs!$F$130*Inputs!$F$132)*Time!AU30/12,0)</f>
        <v>5647.32026143791</v>
      </c>
      <c r="AV63" s="15" t="n">
        <f aca="false">IF(AV31&gt;0,Inputs!$F$258*(Inputs!$F$129*AV32/AV31*AV37/Inputs!$F$131+Inputs!$F$130*Inputs!$F$132)*Time!AV30/12,0)</f>
        <v>5647.32026143791</v>
      </c>
      <c r="AW63" s="15" t="n">
        <f aca="false">IF(AW31&gt;0,Inputs!$F$258*(Inputs!$F$129*AW32/AW31*AW37/Inputs!$F$131+Inputs!$F$130*Inputs!$F$132)*Time!AW30/12,0)</f>
        <v>5647.32026143791</v>
      </c>
      <c r="AX63" s="15" t="n">
        <f aca="false">IF(AX31&gt;0,Inputs!$F$258*(Inputs!$F$129*AX32/AX31*AX37/Inputs!$F$131+Inputs!$F$130*Inputs!$F$132)*Time!AX30/12,0)</f>
        <v>5647.32026143791</v>
      </c>
      <c r="AY63" s="15" t="n">
        <f aca="false">IF(AY31&gt;0,Inputs!$F$258*(Inputs!$F$129*AY32/AY31*AY37/Inputs!$F$131+Inputs!$F$130*Inputs!$F$132)*Time!AY30/12,0)</f>
        <v>5647.32026143791</v>
      </c>
      <c r="AZ63" s="15" t="n">
        <f aca="false">IF(AZ31&gt;0,Inputs!$F$258*(Inputs!$F$129*AZ32/AZ31*AZ37/Inputs!$F$131+Inputs!$F$130*Inputs!$F$132)*Time!AZ30/12,0)</f>
        <v>5647.32026143791</v>
      </c>
      <c r="BA63" s="15" t="n">
        <f aca="false">IF(BA31&gt;0,Inputs!$F$258*(Inputs!$F$129*BA32/BA31*BA37/Inputs!$F$131+Inputs!$F$130*Inputs!$F$132)*Time!BA30/12,0)</f>
        <v>5647.32026143791</v>
      </c>
      <c r="BB63" s="15" t="n">
        <f aca="false">IF(BB31&gt;0,Inputs!$F$258*(Inputs!$F$129*BB32/BB31*BB37/Inputs!$F$131+Inputs!$F$130*Inputs!$F$132)*Time!BB30/12,0)</f>
        <v>5647.32026143791</v>
      </c>
      <c r="BC63" s="15" t="n">
        <f aca="false">IF(BC31&gt;0,Inputs!$F$258*(Inputs!$F$129*BC32/BC31*BC37/Inputs!$F$131+Inputs!$F$130*Inputs!$F$132)*Time!BC30/12,0)</f>
        <v>5647.32026143791</v>
      </c>
      <c r="BD63" s="15" t="n">
        <f aca="false">IF(BD31&gt;0,Inputs!$F$258*(Inputs!$F$129*BD32/BD31*BD37/Inputs!$F$131+Inputs!$F$130*Inputs!$F$132)*Time!BD30/12,0)</f>
        <v>5647.32026143791</v>
      </c>
      <c r="BE63" s="15" t="n">
        <f aca="false">IF(BE31&gt;0,Inputs!$F$258*(Inputs!$F$129*BE32/BE31*BE37/Inputs!$F$131+Inputs!$F$130*Inputs!$F$132)*Time!BE30/12,0)</f>
        <v>5647.32026143791</v>
      </c>
      <c r="BF63" s="15" t="n">
        <f aca="false">IF(BF31&gt;0,Inputs!$F$258*(Inputs!$F$129*BF32/BF31*BF37/Inputs!$F$131+Inputs!$F$130*Inputs!$F$132)*Time!BF30/12,0)</f>
        <v>5647.32026143791</v>
      </c>
      <c r="BG63" s="15" t="n">
        <f aca="false">IF(BG31&gt;0,Inputs!$F$258*(Inputs!$F$129*BG32/BG31*BG37/Inputs!$F$131+Inputs!$F$130*Inputs!$F$132)*Time!BG30/12,0)</f>
        <v>5647.32026143791</v>
      </c>
      <c r="BH63" s="15" t="n">
        <f aca="false">IF(BH31&gt;0,Inputs!$F$258*(Inputs!$F$129*BH32/BH31*BH37/Inputs!$F$131+Inputs!$F$130*Inputs!$F$132)*Time!BH30/12,0)</f>
        <v>5647.32026143791</v>
      </c>
      <c r="BI63" s="15" t="n">
        <f aca="false">IF(BI31&gt;0,Inputs!$F$258*(Inputs!$F$129*BI32/BI31*BI37/Inputs!$F$131+Inputs!$F$130*Inputs!$F$132)*Time!BI30/12,0)</f>
        <v>5647.32026143791</v>
      </c>
      <c r="BJ63" s="15" t="n">
        <f aca="false">IF(BJ31&gt;0,Inputs!$F$258*(Inputs!$F$129*BJ32/BJ31*BJ37/Inputs!$F$131+Inputs!$F$130*Inputs!$F$132)*Time!BJ30/12,0)</f>
        <v>5647.32026143791</v>
      </c>
      <c r="BK63" s="15" t="n">
        <f aca="false">IF(BK31&gt;0,Inputs!$F$258*(Inputs!$F$129*BK32/BK31*BK37/Inputs!$F$131+Inputs!$F$130*Inputs!$F$132)*Time!BK30/12,0)</f>
        <v>5647.32026143791</v>
      </c>
      <c r="BL63" s="15" t="n">
        <f aca="false">IF(BL31&gt;0,Inputs!$F$258*(Inputs!$F$129*BL32/BL31*BL37/Inputs!$F$131+Inputs!$F$130*Inputs!$F$132)*Time!BL30/12,0)</f>
        <v>5647.32026143791</v>
      </c>
      <c r="BM63" s="15" t="n">
        <f aca="false">IF(BM31&gt;0,Inputs!$F$258*(Inputs!$F$129*BM32/BM31*BM37/Inputs!$F$131+Inputs!$F$130*Inputs!$F$132)*Time!BM30/12,0)</f>
        <v>3764.88017429194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193.958455271559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0.971286596016055</v>
      </c>
      <c r="P64" s="13" t="n">
        <f aca="false">P63*Inputs!$F$156*P21/1000000</f>
        <v>2.94573787011353</v>
      </c>
      <c r="Q64" s="13" t="n">
        <f aca="false">Q63*Inputs!$F$156*Q21/1000000</f>
        <v>2.97796470338522</v>
      </c>
      <c r="R64" s="13" t="n">
        <f aca="false">R63*Inputs!$F$156*R21/1000000</f>
        <v>3.01054410325602</v>
      </c>
      <c r="S64" s="13" t="n">
        <f aca="false">S63*Inputs!$F$156*S21/1000000</f>
        <v>3.0434799268597</v>
      </c>
      <c r="T64" s="13" t="n">
        <f aca="false">T63*Inputs!$F$156*T21/1000000</f>
        <v>3.07677607352766</v>
      </c>
      <c r="U64" s="13" t="n">
        <f aca="false">U63*Inputs!$F$156*U21/1000000</f>
        <v>3.11043648525061</v>
      </c>
      <c r="V64" s="13" t="n">
        <f aca="false">V63*Inputs!$F$156*V21/1000000</f>
        <v>3.14446514714526</v>
      </c>
      <c r="W64" s="13" t="n">
        <f aca="false">W63*Inputs!$F$156*W21/1000000</f>
        <v>3.17886608792612</v>
      </c>
      <c r="X64" s="13" t="n">
        <f aca="false">X63*Inputs!$F$156*X21/1000000</f>
        <v>3.21364338038246</v>
      </c>
      <c r="Y64" s="13" t="n">
        <f aca="false">Y63*Inputs!$F$156*Y21/1000000</f>
        <v>3.2488011418605</v>
      </c>
      <c r="Z64" s="13" t="n">
        <f aca="false">Z63*Inputs!$F$156*Z21/1000000</f>
        <v>3.28434353475087</v>
      </c>
      <c r="AA64" s="13" t="n">
        <f aca="false">AA63*Inputs!$F$156*AA21/1000000</f>
        <v>3.32027476698143</v>
      </c>
      <c r="AB64" s="13" t="n">
        <f aca="false">AB63*Inputs!$F$156*AB21/1000000</f>
        <v>3.35659909251539</v>
      </c>
      <c r="AC64" s="13" t="n">
        <f aca="false">AC63*Inputs!$F$156*AC21/1000000</f>
        <v>3.39332081185502</v>
      </c>
      <c r="AD64" s="13" t="n">
        <f aca="false">AD63*Inputs!$F$156*AD21/1000000</f>
        <v>3.43044427255073</v>
      </c>
      <c r="AE64" s="13" t="n">
        <f aca="false">AE63*Inputs!$F$156*AE21/1000000</f>
        <v>3.46797386971583</v>
      </c>
      <c r="AF64" s="13" t="n">
        <f aca="false">AF63*Inputs!$F$156*AF21/1000000</f>
        <v>3.50591404654684</v>
      </c>
      <c r="AG64" s="13" t="n">
        <f aca="false">AG63*Inputs!$F$156*AG21/1000000</f>
        <v>3.54426929484957</v>
      </c>
      <c r="AH64" s="13" t="n">
        <f aca="false">AH63*Inputs!$F$156*AH21/1000000</f>
        <v>3.58304415557087</v>
      </c>
      <c r="AI64" s="13" t="n">
        <f aca="false">AI63*Inputs!$F$156*AI21/1000000</f>
        <v>3.62224321933626</v>
      </c>
      <c r="AJ64" s="13" t="n">
        <f aca="false">AJ63*Inputs!$F$156*AJ21/1000000</f>
        <v>3.66187112699343</v>
      </c>
      <c r="AK64" s="13" t="n">
        <f aca="false">AK63*Inputs!$F$156*AK21/1000000</f>
        <v>3.70193257016166</v>
      </c>
      <c r="AL64" s="13" t="n">
        <f aca="false">AL63*Inputs!$F$156*AL21/1000000</f>
        <v>3.74243229178729</v>
      </c>
      <c r="AM64" s="13" t="n">
        <f aca="false">AM63*Inputs!$F$156*AM21/1000000</f>
        <v>3.78337508670522</v>
      </c>
      <c r="AN64" s="13" t="n">
        <f aca="false">AN63*Inputs!$F$156*AN21/1000000</f>
        <v>3.82476580220661</v>
      </c>
      <c r="AO64" s="13" t="n">
        <f aca="false">AO63*Inputs!$F$156*AO21/1000000</f>
        <v>3.86660933861273</v>
      </c>
      <c r="AP64" s="13" t="n">
        <f aca="false">AP63*Inputs!$F$156*AP21/1000000</f>
        <v>3.90891064985515</v>
      </c>
      <c r="AQ64" s="13" t="n">
        <f aca="false">AQ63*Inputs!$F$156*AQ21/1000000</f>
        <v>3.95167474406221</v>
      </c>
      <c r="AR64" s="13" t="n">
        <f aca="false">AR63*Inputs!$F$156*AR21/1000000</f>
        <v>3.99490668415196</v>
      </c>
      <c r="AS64" s="13" t="n">
        <f aca="false">AS63*Inputs!$F$156*AS21/1000000</f>
        <v>4.03861158843158</v>
      </c>
      <c r="AT64" s="13" t="n">
        <f aca="false">AT63*Inputs!$F$156*AT21/1000000</f>
        <v>4.08279463120331</v>
      </c>
      <c r="AU64" s="13" t="n">
        <f aca="false">AU63*Inputs!$F$156*AU21/1000000</f>
        <v>4.12746104337707</v>
      </c>
      <c r="AV64" s="13" t="n">
        <f aca="false">AV63*Inputs!$F$156*AV21/1000000</f>
        <v>4.17261611308978</v>
      </c>
      <c r="AW64" s="13" t="n">
        <f aca="false">AW63*Inputs!$F$156*AW21/1000000</f>
        <v>4.21826518633137</v>
      </c>
      <c r="AX64" s="13" t="n">
        <f aca="false">AX63*Inputs!$F$156*AX21/1000000</f>
        <v>4.26441366757775</v>
      </c>
      <c r="AY64" s="13" t="n">
        <f aca="false">AY63*Inputs!$F$156*AY21/1000000</f>
        <v>4.31106702043066</v>
      </c>
      <c r="AZ64" s="13" t="n">
        <f aca="false">AZ63*Inputs!$F$156*AZ21/1000000</f>
        <v>4.35823076826446</v>
      </c>
      <c r="BA64" s="13" t="n">
        <f aca="false">BA63*Inputs!$F$156*BA21/1000000</f>
        <v>4.40591049488013</v>
      </c>
      <c r="BB64" s="13" t="n">
        <f aca="false">BB63*Inputs!$F$156*BB21/1000000</f>
        <v>4.45411184516628</v>
      </c>
      <c r="BC64" s="13" t="n">
        <f aca="false">BC63*Inputs!$F$156*BC21/1000000</f>
        <v>4.50284052576749</v>
      </c>
      <c r="BD64" s="13" t="n">
        <f aca="false">BD63*Inputs!$F$156*BD21/1000000</f>
        <v>4.55210230575994</v>
      </c>
      <c r="BE64" s="13" t="n">
        <f aca="false">BE63*Inputs!$F$156*BE21/1000000</f>
        <v>4.60190301733438</v>
      </c>
      <c r="BF64" s="13" t="n">
        <f aca="false">BF63*Inputs!$F$156*BF21/1000000</f>
        <v>4.65224855648666</v>
      </c>
      <c r="BG64" s="13" t="n">
        <f aca="false">BG63*Inputs!$F$156*BG21/1000000</f>
        <v>4.70314488371573</v>
      </c>
      <c r="BH64" s="13" t="n">
        <f aca="false">BH63*Inputs!$F$156*BH21/1000000</f>
        <v>4.75459802472936</v>
      </c>
      <c r="BI64" s="13" t="n">
        <f aca="false">BI63*Inputs!$F$156*BI21/1000000</f>
        <v>4.80661407115748</v>
      </c>
      <c r="BJ64" s="13" t="n">
        <f aca="false">BJ63*Inputs!$F$156*BJ21/1000000</f>
        <v>4.85919918127341</v>
      </c>
      <c r="BK64" s="13" t="n">
        <f aca="false">BK63*Inputs!$F$156*BK21/1000000</f>
        <v>4.91235958072294</v>
      </c>
      <c r="BL64" s="13" t="n">
        <f aca="false">BL63*Inputs!$F$156*BL21/1000000</f>
        <v>4.96610156326142</v>
      </c>
      <c r="BM64" s="13" t="n">
        <f aca="false">BM63*Inputs!$F$156*BM21/1000000</f>
        <v>3.3469543276659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20.0878272098348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0.11947894652098</v>
      </c>
      <c r="P68" s="13" t="n">
        <f aca="false">Inputs!$F$161/100*P55</f>
        <v>0.359904111828019</v>
      </c>
      <c r="Q68" s="13" t="n">
        <f aca="false">Inputs!$F$161/100*Q55</f>
        <v>0.361291758073169</v>
      </c>
      <c r="R68" s="13" t="n">
        <f aca="false">Inputs!$F$161/100*R55</f>
        <v>0.362604027604836</v>
      </c>
      <c r="S68" s="13" t="n">
        <f aca="false">Inputs!$F$161/100*S55</f>
        <v>0.364199957772756</v>
      </c>
      <c r="T68" s="13" t="n">
        <f aca="false">Inputs!$F$161/100*T55</f>
        <v>0.365905295765763</v>
      </c>
      <c r="U68" s="13" t="n">
        <f aca="false">Inputs!$F$161/100*U55</f>
        <v>0.367118240765202</v>
      </c>
      <c r="V68" s="13" t="n">
        <f aca="false">Inputs!$F$161/100*V55</f>
        <v>0.368009766781168</v>
      </c>
      <c r="W68" s="13" t="n">
        <f aca="false">Inputs!$F$161/100*W55</f>
        <v>0.369908772475492</v>
      </c>
      <c r="X68" s="13" t="n">
        <f aca="false">Inputs!$F$161/100*X55</f>
        <v>0.372169611800317</v>
      </c>
      <c r="Y68" s="13" t="n">
        <f aca="false">Inputs!$F$161/100*Y55</f>
        <v>0.373682075899831</v>
      </c>
      <c r="Z68" s="13" t="n">
        <f aca="false">Inputs!$F$161/100*Z55</f>
        <v>0.375112886279367</v>
      </c>
      <c r="AA68" s="13" t="n">
        <f aca="false">Inputs!$F$161/100*AA55</f>
        <v>0.376851378921403</v>
      </c>
      <c r="AB68" s="13" t="n">
        <f aca="false">Inputs!$F$161/100*AB55</f>
        <v>0.378708594967728</v>
      </c>
      <c r="AC68" s="13" t="n">
        <f aca="false">Inputs!$F$161/100*AC55</f>
        <v>0.379820761284611</v>
      </c>
      <c r="AD68" s="13" t="n">
        <f aca="false">Inputs!$F$161/100*AD55</f>
        <v>0.37530424476458</v>
      </c>
      <c r="AE68" s="13" t="n">
        <f aca="false">Inputs!$F$161/100*AE55</f>
        <v>0.382643327499348</v>
      </c>
      <c r="AF68" s="13" t="n">
        <f aca="false">Inputs!$F$161/100*AF55</f>
        <v>0.385534285860426</v>
      </c>
      <c r="AG68" s="13" t="n">
        <f aca="false">Inputs!$F$161/100*AG55</f>
        <v>0.387182793716369</v>
      </c>
      <c r="AH68" s="13" t="n">
        <f aca="false">Inputs!$F$161/100*AH55</f>
        <v>0.388742852563509</v>
      </c>
      <c r="AI68" s="13" t="n">
        <f aca="false">Inputs!$F$161/100*AI55</f>
        <v>0.390636638431364</v>
      </c>
      <c r="AJ68" s="13" t="n">
        <f aca="false">Inputs!$F$161/100*AJ55</f>
        <v>0.392659252779736</v>
      </c>
      <c r="AK68" s="13" t="n">
        <f aca="false">Inputs!$F$161/100*AK55</f>
        <v>0.394103084996482</v>
      </c>
      <c r="AL68" s="13" t="n">
        <f aca="false">Inputs!$F$161/100*AL55</f>
        <v>0.395169186448441</v>
      </c>
      <c r="AM68" s="13" t="n">
        <f aca="false">Inputs!$F$161/100*AM55</f>
        <v>0.397420087353987</v>
      </c>
      <c r="AN68" s="13" t="n">
        <f aca="false">Inputs!$F$161/100*AN55</f>
        <v>0.400096614858838</v>
      </c>
      <c r="AO68" s="13" t="n">
        <f aca="false">Inputs!$F$161/100*AO55</f>
        <v>0.401893401884538</v>
      </c>
      <c r="AP68" s="13" t="n">
        <f aca="false">Inputs!$F$161/100*AP55</f>
        <v>0.40359438397718</v>
      </c>
      <c r="AQ68" s="13" t="n">
        <f aca="false">Inputs!$F$161/100*AQ55</f>
        <v>0.405657330284898</v>
      </c>
      <c r="AR68" s="13" t="n">
        <f aca="false">Inputs!$F$161/100*AR55</f>
        <v>0.407860066198698</v>
      </c>
      <c r="AS68" s="13" t="n">
        <f aca="false">Inputs!$F$161/100*AS55</f>
        <v>0.409187023778694</v>
      </c>
      <c r="AT68" s="13" t="n">
        <f aca="false">Inputs!$F$161/100*AT55</f>
        <v>0.404436037019675</v>
      </c>
      <c r="AU68" s="13" t="n">
        <f aca="false">Inputs!$F$161/100*AU55</f>
        <v>0.412544953380507</v>
      </c>
      <c r="AV68" s="13" t="n">
        <f aca="false">Inputs!$F$161/100*AV55</f>
        <v>0.415963901061307</v>
      </c>
      <c r="AW68" s="13" t="n">
        <f aca="false">Inputs!$F$161/100*AW55</f>
        <v>0.417922302951962</v>
      </c>
      <c r="AX68" s="13" t="n">
        <f aca="false">Inputs!$F$161/100*AX55</f>
        <v>0.419776937579889</v>
      </c>
      <c r="AY68" s="13" t="n">
        <f aca="false">Inputs!$F$161/100*AY55</f>
        <v>0.422024149418952</v>
      </c>
      <c r="AZ68" s="13" t="n">
        <f aca="false">Inputs!$F$161/100*AZ55</f>
        <v>0.42442304016657</v>
      </c>
      <c r="BA68" s="13" t="n">
        <f aca="false">Inputs!$F$161/100*BA55</f>
        <v>0.42614170953682</v>
      </c>
      <c r="BB68" s="13" t="n">
        <f aca="false">Inputs!$F$161/100*BB55</f>
        <v>0.42741654268799</v>
      </c>
      <c r="BC68" s="13" t="n">
        <f aca="false">Inputs!$F$161/100*BC55</f>
        <v>0.430084501885929</v>
      </c>
      <c r="BD68" s="13" t="n">
        <f aca="false">Inputs!$F$161/100*BD55</f>
        <v>0.433253058141147</v>
      </c>
      <c r="BE68" s="13" t="n">
        <f aca="false">Inputs!$F$161/100*BE55</f>
        <v>0.435387609805028</v>
      </c>
      <c r="BF68" s="13" t="n">
        <f aca="false">Inputs!$F$161/100*BF55</f>
        <v>0.437409776013042</v>
      </c>
      <c r="BG68" s="13" t="n">
        <f aca="false">Inputs!$F$161/100*BG55</f>
        <v>0.439857706814187</v>
      </c>
      <c r="BH68" s="13" t="n">
        <f aca="false">Inputs!$F$161/100*BH55</f>
        <v>0.442470212169718</v>
      </c>
      <c r="BI68" s="13" t="n">
        <f aca="false">Inputs!$F$161/100*BI55</f>
        <v>0.444053433606635</v>
      </c>
      <c r="BJ68" s="13" t="n">
        <f aca="false">Inputs!$F$161/100*BJ55</f>
        <v>0.43902561208959</v>
      </c>
      <c r="BK68" s="13" t="n">
        <f aca="false">Inputs!$F$161/100*BK55</f>
        <v>0.448048269660494</v>
      </c>
      <c r="BL68" s="13" t="n">
        <f aca="false">Inputs!$F$161/100*BL55</f>
        <v>0.452091471901325</v>
      </c>
      <c r="BM68" s="13" t="n">
        <f aca="false">Inputs!$F$161/100*BM55</f>
        <v>0.303045221806317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88.1505220309061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0.456604619986735</v>
      </c>
      <c r="P69" s="13" t="n">
        <f aca="false">Inputs!$F$162*(Inputs!$F$219*P21+(1-Inputs!$F$219)*P27*Inputs!$F$153/P11)*P38/1000000</f>
        <v>1.38410735146783</v>
      </c>
      <c r="Q69" s="13" t="n">
        <f aca="false">Inputs!$F$162*(Inputs!$F$219*Q21+(1-Inputs!$F$219)*Q27*Inputs!$F$153/Q11)*Q38/1000000</f>
        <v>1.39372775514391</v>
      </c>
      <c r="R69" s="13" t="n">
        <f aca="false">Inputs!$F$162*(Inputs!$F$219*R21+(1-Inputs!$F$219)*R27*Inputs!$F$153/R11)*R38/1000000</f>
        <v>1.3988824057865</v>
      </c>
      <c r="S69" s="13" t="n">
        <f aca="false">Inputs!$F$162*(Inputs!$F$219*S21+(1-Inputs!$F$219)*S27*Inputs!$F$153/S11)*S38/1000000</f>
        <v>1.41768686950788</v>
      </c>
      <c r="T69" s="13" t="n">
        <f aca="false">Inputs!$F$162*(Inputs!$F$219*T21+(1-Inputs!$F$219)*T27*Inputs!$F$153/T11)*T38/1000000</f>
        <v>1.44133823660042</v>
      </c>
      <c r="U69" s="13" t="n">
        <f aca="false">Inputs!$F$162*(Inputs!$F$219*U21+(1-Inputs!$F$219)*U27*Inputs!$F$153/U11)*U38/1000000</f>
        <v>1.43945257004193</v>
      </c>
      <c r="V69" s="13" t="n">
        <f aca="false">Inputs!$F$162*(Inputs!$F$219*V21+(1-Inputs!$F$219)*V27*Inputs!$F$153/V11)*V38/1000000</f>
        <v>1.4206524958539</v>
      </c>
      <c r="W69" s="13" t="n">
        <f aca="false">Inputs!$F$162*(Inputs!$F$219*W21+(1-Inputs!$F$219)*W27*Inputs!$F$153/W11)*W38/1000000</f>
        <v>1.45200805540603</v>
      </c>
      <c r="X69" s="13" t="n">
        <f aca="false">Inputs!$F$162*(Inputs!$F$219*X21+(1-Inputs!$F$219)*X27*Inputs!$F$153/X11)*X38/1000000</f>
        <v>1.50092193115328</v>
      </c>
      <c r="Y69" s="13" t="n">
        <f aca="false">Inputs!$F$162*(Inputs!$F$219*Y21+(1-Inputs!$F$219)*Y27*Inputs!$F$153/Y11)*Y38/1000000</f>
        <v>1.5113474126569</v>
      </c>
      <c r="Z69" s="13" t="n">
        <f aca="false">Inputs!$F$162*(Inputs!$F$219*Z21+(1-Inputs!$F$219)*Z27*Inputs!$F$153/Z11)*Z38/1000000</f>
        <v>1.51693018368116</v>
      </c>
      <c r="AA69" s="13" t="n">
        <f aca="false">Inputs!$F$162*(Inputs!$F$219*AA21+(1-Inputs!$F$219)*AA27*Inputs!$F$153/AA11)*AA38/1000000</f>
        <v>1.53731450883295</v>
      </c>
      <c r="AB69" s="13" t="n">
        <f aca="false">Inputs!$F$162*(Inputs!$F$219*AB21+(1-Inputs!$F$219)*AB27*Inputs!$F$153/AB11)*AB38/1000000</f>
        <v>1.56295450989676</v>
      </c>
      <c r="AC69" s="13" t="n">
        <f aca="false">Inputs!$F$162*(Inputs!$F$219*AC21+(1-Inputs!$F$219)*AC27*Inputs!$F$153/AC11)*AC38/1000000</f>
        <v>1.55024224219837</v>
      </c>
      <c r="AD69" s="13" t="n">
        <f aca="false">Inputs!$F$162*(Inputs!$F$219*AD21+(1-Inputs!$F$219)*AD27*Inputs!$F$153/AD11)*AD38/1000000</f>
        <v>1.50820280377315</v>
      </c>
      <c r="AE69" s="13" t="n">
        <f aca="false">Inputs!$F$162*(Inputs!$F$219*AE21+(1-Inputs!$F$219)*AE27*Inputs!$F$153/AE11)*AE38/1000000</f>
        <v>1.55274626089306</v>
      </c>
      <c r="AF69" s="13" t="n">
        <f aca="false">Inputs!$F$162*(Inputs!$F$219*AF21+(1-Inputs!$F$219)*AF27*Inputs!$F$153/AF11)*AF38/1000000</f>
        <v>1.62753593938032</v>
      </c>
      <c r="AG69" s="13" t="n">
        <f aca="false">Inputs!$F$162*(Inputs!$F$219*AG21+(1-Inputs!$F$219)*AG27*Inputs!$F$153/AG11)*AG38/1000000</f>
        <v>1.63883336377066</v>
      </c>
      <c r="AH69" s="13" t="n">
        <f aca="false">Inputs!$F$162*(Inputs!$F$219*AH21+(1-Inputs!$F$219)*AH27*Inputs!$F$153/AH11)*AH38/1000000</f>
        <v>1.64487949176475</v>
      </c>
      <c r="AI69" s="13" t="n">
        <f aca="false">Inputs!$F$162*(Inputs!$F$219*AI21+(1-Inputs!$F$219)*AI27*Inputs!$F$153/AI11)*AI38/1000000</f>
        <v>1.66697550727822</v>
      </c>
      <c r="AJ69" s="13" t="n">
        <f aca="false">Inputs!$F$162*(Inputs!$F$219*AJ21+(1-Inputs!$F$219)*AJ27*Inputs!$F$153/AJ11)*AJ38/1000000</f>
        <v>1.69477023406105</v>
      </c>
      <c r="AK69" s="13" t="n">
        <f aca="false">Inputs!$F$162*(Inputs!$F$219*AK21+(1-Inputs!$F$219)*AK27*Inputs!$F$153/AK11)*AK38/1000000</f>
        <v>1.6925374660253</v>
      </c>
      <c r="AL69" s="13" t="n">
        <f aca="false">Inputs!$F$162*(Inputs!$F$219*AL21+(1-Inputs!$F$219)*AL27*Inputs!$F$153/AL11)*AL38/1000000</f>
        <v>1.67041659538538</v>
      </c>
      <c r="AM69" s="13" t="n">
        <f aca="false">Inputs!$F$162*(Inputs!$F$219*AM21+(1-Inputs!$F$219)*AM27*Inputs!$F$153/AM11)*AM38/1000000</f>
        <v>1.70726903218634</v>
      </c>
      <c r="AN69" s="13" t="n">
        <f aca="false">Inputs!$F$162*(Inputs!$F$219*AN21+(1-Inputs!$F$219)*AN27*Inputs!$F$153/AN11)*AN38/1000000</f>
        <v>1.76476561862151</v>
      </c>
      <c r="AO69" s="13" t="n">
        <f aca="false">Inputs!$F$162*(Inputs!$F$219*AO21+(1-Inputs!$F$219)*AO27*Inputs!$F$153/AO11)*AO38/1000000</f>
        <v>1.77700735422708</v>
      </c>
      <c r="AP69" s="13" t="n">
        <f aca="false">Inputs!$F$162*(Inputs!$F$219*AP21+(1-Inputs!$F$219)*AP27*Inputs!$F$153/AP11)*AP38/1000000</f>
        <v>1.78355494396795</v>
      </c>
      <c r="AQ69" s="13" t="n">
        <f aca="false">Inputs!$F$162*(Inputs!$F$219*AQ21+(1-Inputs!$F$219)*AQ27*Inputs!$F$153/AQ11)*AQ38/1000000</f>
        <v>1.80750539007253</v>
      </c>
      <c r="AR69" s="13" t="n">
        <f aca="false">Inputs!$F$162*(Inputs!$F$219*AR21+(1-Inputs!$F$219)*AR27*Inputs!$F$153/AR11)*AR38/1000000</f>
        <v>1.83763469671849</v>
      </c>
      <c r="AS69" s="13" t="n">
        <f aca="false">Inputs!$F$162*(Inputs!$F$219*AS21+(1-Inputs!$F$219)*AS27*Inputs!$F$153/AS11)*AS38/1000000</f>
        <v>1.82267137917348</v>
      </c>
      <c r="AT69" s="13" t="n">
        <f aca="false">Inputs!$F$162*(Inputs!$F$219*AT21+(1-Inputs!$F$219)*AT27*Inputs!$F$153/AT11)*AT38/1000000</f>
        <v>1.77322770469617</v>
      </c>
      <c r="AU69" s="13" t="n">
        <f aca="false">Inputs!$F$162*(Inputs!$F$219*AU21+(1-Inputs!$F$219)*AU27*Inputs!$F$153/AU11)*AU38/1000000</f>
        <v>1.82558142013307</v>
      </c>
      <c r="AV69" s="13" t="n">
        <f aca="false">Inputs!$F$162*(Inputs!$F$219*AV21+(1-Inputs!$F$219)*AV27*Inputs!$F$153/AV11)*AV38/1000000</f>
        <v>1.91349462641379</v>
      </c>
      <c r="AW69" s="13" t="n">
        <f aca="false">Inputs!$F$162*(Inputs!$F$219*AW21+(1-Inputs!$F$219)*AW27*Inputs!$F$153/AW11)*AW38/1000000</f>
        <v>1.92675899277952</v>
      </c>
      <c r="AX69" s="13" t="n">
        <f aca="false">Inputs!$F$162*(Inputs!$F$219*AX21+(1-Inputs!$F$219)*AX27*Inputs!$F$153/AX11)*AX38/1000000</f>
        <v>1.93384924748502</v>
      </c>
      <c r="AY69" s="13" t="n">
        <f aca="false">Inputs!$F$162*(Inputs!$F$219*AY21+(1-Inputs!$F$219)*AY27*Inputs!$F$153/AY11)*AY38/1000000</f>
        <v>1.95980867000418</v>
      </c>
      <c r="AZ69" s="13" t="n">
        <f aca="false">Inputs!$F$162*(Inputs!$F$219*AZ21+(1-Inputs!$F$219)*AZ27*Inputs!$F$153/AZ11)*AZ38/1000000</f>
        <v>1.99246730254743</v>
      </c>
      <c r="BA69" s="13" t="n">
        <f aca="false">Inputs!$F$162*(Inputs!$F$219*BA21+(1-Inputs!$F$219)*BA27*Inputs!$F$153/BA11)*BA38/1000000</f>
        <v>1.98982361077446</v>
      </c>
      <c r="BB69" s="13" t="n">
        <f aca="false">Inputs!$F$162*(Inputs!$F$219*BB21+(1-Inputs!$F$219)*BB27*Inputs!$F$153/BB11)*BB38/1000000</f>
        <v>1.96379880711144</v>
      </c>
      <c r="BC69" s="13" t="n">
        <f aca="false">Inputs!$F$162*(Inputs!$F$219*BC21+(1-Inputs!$F$219)*BC27*Inputs!$F$153/BC11)*BC38/1000000</f>
        <v>2.00710484595895</v>
      </c>
      <c r="BD69" s="13" t="n">
        <f aca="false">Inputs!$F$162*(Inputs!$F$219*BD21+(1-Inputs!$F$219)*BD27*Inputs!$F$153/BD11)*BD38/1000000</f>
        <v>2.07467954632385</v>
      </c>
      <c r="BE69" s="13" t="n">
        <f aca="false">Inputs!$F$162*(Inputs!$F$219*BE21+(1-Inputs!$F$219)*BE27*Inputs!$F$153/BE11)*BE38/1000000</f>
        <v>2.08905129811758</v>
      </c>
      <c r="BF69" s="13" t="n">
        <f aca="false">Inputs!$F$162*(Inputs!$F$219*BF21+(1-Inputs!$F$219)*BF27*Inputs!$F$153/BF11)*BF38/1000000</f>
        <v>2.09672876785616</v>
      </c>
      <c r="BG69" s="13" t="n">
        <f aca="false">Inputs!$F$162*(Inputs!$F$219*BG21+(1-Inputs!$F$219)*BG27*Inputs!$F$153/BG11)*BG38/1000000</f>
        <v>2.1248644849192</v>
      </c>
      <c r="BH69" s="13" t="n">
        <f aca="false">Inputs!$F$162*(Inputs!$F$219*BH21+(1-Inputs!$F$219)*BH27*Inputs!$F$153/BH11)*BH38/1000000</f>
        <v>2.16026330239208</v>
      </c>
      <c r="BI69" s="13" t="n">
        <f aca="false">Inputs!$F$162*(Inputs!$F$219*BI21+(1-Inputs!$F$219)*BI27*Inputs!$F$153/BI11)*BI38/1000000</f>
        <v>2.14265250347406</v>
      </c>
      <c r="BJ69" s="13" t="n">
        <f aca="false">Inputs!$F$162*(Inputs!$F$219*BJ21+(1-Inputs!$F$219)*BJ27*Inputs!$F$153/BJ11)*BJ38/1000000</f>
        <v>2.08450880056514</v>
      </c>
      <c r="BK69" s="13" t="n">
        <f aca="false">Inputs!$F$162*(Inputs!$F$219*BK21+(1-Inputs!$F$219)*BK27*Inputs!$F$153/BK11)*BK38/1000000</f>
        <v>2.14603243700465</v>
      </c>
      <c r="BL69" s="13" t="n">
        <f aca="false">Inputs!$F$162*(Inputs!$F$219*BL21+(1-Inputs!$F$219)*BL27*Inputs!$F$153/BL11)*BL38/1000000</f>
        <v>2.24935584371113</v>
      </c>
      <c r="BM69" s="13" t="n">
        <f aca="false">Inputs!$F$162*(Inputs!$F$219*BM21+(1-Inputs!$F$219)*BM27*Inputs!$F$153/BM11)*BM38/1000000</f>
        <v>1.51499259312435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984.633795549339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5.03142621596013</v>
      </c>
      <c r="P72" s="13" t="n">
        <f aca="false">P60+P61+P62+P64+P65+P66+P67+P68+P69+P70+P71</f>
        <v>15.2531684172256</v>
      </c>
      <c r="Q72" s="13" t="n">
        <f aca="false">Q60+Q61+Q62+Q64+Q65+Q66+Q67+Q68+Q69+Q70+Q71</f>
        <v>15.3763204929135</v>
      </c>
      <c r="R72" s="13" t="n">
        <f aca="false">R60+R61+R62+R64+R65+R66+R67+R68+R69+R70+R71</f>
        <v>15.4628952560958</v>
      </c>
      <c r="S72" s="13" t="n">
        <f aca="false">S60+S61+S62+S64+S65+S66+S67+S68+S69+S70+S71</f>
        <v>15.6633607266682</v>
      </c>
      <c r="T72" s="13" t="n">
        <f aca="false">T60+T61+T62+T64+T65+T66+T67+T68+T69+T70+T71</f>
        <v>15.9047472917345</v>
      </c>
      <c r="U72" s="13" t="n">
        <f aca="false">U60+U61+U62+U64+U65+U66+U67+U68+U69+U70+U71</f>
        <v>15.9343213251763</v>
      </c>
      <c r="V72" s="13" t="n">
        <f aca="false">V60+V61+V62+V64+V65+V66+V67+V68+V69+V70+V71</f>
        <v>15.8234607305291</v>
      </c>
      <c r="W72" s="13" t="n">
        <f aca="false">W60+W61+W62+W64+W65+W66+W67+W68+W69+W70+W71</f>
        <v>16.1307049295266</v>
      </c>
      <c r="X72" s="13" t="n">
        <f aca="false">X60+X61+X62+X64+X65+X66+X67+X68+X69+X70+X71</f>
        <v>16.5851141270537</v>
      </c>
      <c r="Y72" s="13" t="n">
        <f aca="false">Y60+Y61+Y62+Y64+Y65+Y66+Y67+Y68+Y69+Y70+Y71</f>
        <v>16.7193952416506</v>
      </c>
      <c r="Z72" s="13" t="n">
        <f aca="false">Z60+Z61+Z62+Z64+Z65+Z66+Z67+Z68+Z69+Z70+Z71</f>
        <v>16.8138022201422</v>
      </c>
      <c r="AA72" s="13" t="n">
        <f aca="false">AA60+AA61+AA62+AA64+AA65+AA66+AA67+AA68+AA69+AA70+AA71</f>
        <v>17.032366461863</v>
      </c>
      <c r="AB72" s="13" t="n">
        <f aca="false">AB60+AB61+AB62+AB64+AB65+AB66+AB67+AB68+AB69+AB70+AB71</f>
        <v>17.2955407690957</v>
      </c>
      <c r="AC72" s="13" t="n">
        <f aca="false">AC60+AC61+AC62+AC64+AC65+AC66+AC67+AC68+AC69+AC70+AC71</f>
        <v>17.2386352368321</v>
      </c>
      <c r="AD72" s="13" t="n">
        <f aca="false">AD60+AD61+AD62+AD64+AD65+AD66+AD67+AD68+AD69+AD70+AD71</f>
        <v>16.9689942253773</v>
      </c>
      <c r="AE72" s="13" t="n">
        <f aca="false">AE60+AE61+AE62+AE64+AE65+AE66+AE67+AE68+AE69+AE70+AE71</f>
        <v>17.3597158373391</v>
      </c>
      <c r="AF72" s="13" t="n">
        <f aca="false">AF60+AF61+AF62+AF64+AF65+AF66+AF67+AF68+AF69+AF70+AF71</f>
        <v>18.0373552509876</v>
      </c>
      <c r="AG72" s="13" t="n">
        <f aca="false">AG60+AG61+AG62+AG64+AG65+AG66+AG67+AG68+AG69+AG70+AG71</f>
        <v>18.1837710751617</v>
      </c>
      <c r="AH72" s="13" t="n">
        <f aca="false">AH60+AH61+AH62+AH64+AH65+AH66+AH67+AH68+AH69+AH70+AH71</f>
        <v>18.2867188111917</v>
      </c>
      <c r="AI72" s="13" t="n">
        <f aca="false">AI60+AI61+AI62+AI64+AI65+AI66+AI67+AI68+AI69+AI70+AI71</f>
        <v>18.5250157605513</v>
      </c>
      <c r="AJ72" s="13" t="n">
        <f aca="false">AJ60+AJ61+AJ62+AJ64+AJ65+AJ66+AJ67+AJ68+AJ69+AJ70+AJ71</f>
        <v>18.8119442751729</v>
      </c>
      <c r="AK72" s="13" t="n">
        <f aca="false">AK60+AK61+AK62+AK64+AK65+AK66+AK67+AK68+AK69+AK70+AK71</f>
        <v>18.8471539678456</v>
      </c>
      <c r="AL72" s="13" t="n">
        <f aca="false">AL60+AL61+AL62+AL64+AL65+AL66+AL67+AL68+AL69+AL70+AL71</f>
        <v>18.7154709283356</v>
      </c>
      <c r="AM72" s="13" t="n">
        <f aca="false">AM60+AM61+AM62+AM64+AM65+AM66+AM67+AM68+AM69+AM70+AM71</f>
        <v>19.0806671323904</v>
      </c>
      <c r="AN72" s="13" t="n">
        <f aca="false">AN60+AN61+AN62+AN64+AN65+AN66+AN67+AN68+AN69+AN70+AN71</f>
        <v>19.6207558051566</v>
      </c>
      <c r="AO72" s="13" t="n">
        <f aca="false">AO60+AO61+AO62+AO64+AO65+AO66+AO67+AO68+AO69+AO70+AO71</f>
        <v>19.7804028827874</v>
      </c>
      <c r="AP72" s="13" t="n">
        <f aca="false">AP60+AP61+AP62+AP64+AP65+AP66+AP67+AP68+AP69+AP70+AP71</f>
        <v>19.8926640151186</v>
      </c>
      <c r="AQ72" s="13" t="n">
        <f aca="false">AQ60+AQ61+AQ62+AQ64+AQ65+AQ66+AQ67+AQ68+AQ69+AQ70+AQ71</f>
        <v>20.1524751104619</v>
      </c>
      <c r="AR72" s="13" t="n">
        <f aca="false">AR60+AR61+AR62+AR64+AR65+AR66+AR67+AR68+AR69+AR70+AR71</f>
        <v>20.4653017717359</v>
      </c>
      <c r="AS72" s="13" t="n">
        <f aca="false">AS60+AS61+AS62+AS64+AS65+AS66+AS67+AS68+AS69+AS70+AS71</f>
        <v>20.3977444746346</v>
      </c>
      <c r="AT72" s="13" t="n">
        <f aca="false">AT60+AT61+AT62+AT64+AT65+AT66+AT67+AT68+AT69+AT70+AT71</f>
        <v>20.0780417920884</v>
      </c>
      <c r="AU72" s="13" t="n">
        <f aca="false">AU60+AU61+AU62+AU64+AU65+AU66+AU67+AU68+AU69+AU70+AU71</f>
        <v>20.5417788205905</v>
      </c>
      <c r="AV72" s="13" t="n">
        <f aca="false">AV60+AV61+AV62+AV64+AV65+AV66+AV67+AV68+AV69+AV70+AV71</f>
        <v>21.3471608987741</v>
      </c>
      <c r="AW72" s="13" t="n">
        <f aca="false">AW60+AW61+AW62+AW64+AW65+AW66+AW67+AW68+AW69+AW70+AW71</f>
        <v>21.5212348579829</v>
      </c>
      <c r="AX72" s="13" t="n">
        <f aca="false">AX60+AX61+AX62+AX64+AX65+AX66+AX67+AX68+AX69+AX70+AX71</f>
        <v>21.6436519200821</v>
      </c>
      <c r="AY72" s="13" t="n">
        <f aca="false">AY60+AY61+AY62+AY64+AY65+AY66+AY67+AY68+AY69+AY70+AY71</f>
        <v>21.9269194164388</v>
      </c>
      <c r="AZ72" s="13" t="n">
        <f aca="false">AZ60+AZ61+AZ62+AZ64+AZ65+AZ66+AZ67+AZ68+AZ69+AZ70+AZ71</f>
        <v>22.2679816537979</v>
      </c>
      <c r="BA72" s="13" t="n">
        <f aca="false">BA60+BA61+BA62+BA64+BA65+BA66+BA67+BA68+BA69+BA70+BA71</f>
        <v>22.3099009382718</v>
      </c>
      <c r="BB72" s="13" t="n">
        <f aca="false">BB60+BB61+BB62+BB64+BB65+BB66+BB67+BB68+BB69+BB70+BB71</f>
        <v>22.1534850748772</v>
      </c>
      <c r="BC72" s="13" t="n">
        <f aca="false">BC60+BC61+BC62+BC64+BC65+BC66+BC67+BC68+BC69+BC70+BC71</f>
        <v>22.587563381934</v>
      </c>
      <c r="BD72" s="13" t="n">
        <f aca="false">BD60+BD61+BD62+BD64+BD65+BD66+BD67+BD68+BD69+BD70+BD71</f>
        <v>23.2294853289311</v>
      </c>
      <c r="BE72" s="13" t="n">
        <f aca="false">BE60+BE61+BE62+BE64+BE65+BE66+BE67+BE68+BE69+BE70+BE71</f>
        <v>23.4192898350052</v>
      </c>
      <c r="BF72" s="13" t="n">
        <f aca="false">BF60+BF61+BF62+BF64+BF65+BF66+BF67+BF68+BF69+BF70+BF71</f>
        <v>23.552781577699</v>
      </c>
      <c r="BG72" s="13" t="n">
        <f aca="false">BG60+BG61+BG62+BG64+BG65+BG66+BG67+BG68+BG69+BG70+BG71</f>
        <v>23.8616230634625</v>
      </c>
      <c r="BH72" s="13" t="n">
        <f aca="false">BH60+BH61+BH62+BH64+BH65+BH66+BH67+BH68+BH69+BH70+BH71</f>
        <v>24.2334692579231</v>
      </c>
      <c r="BI72" s="13" t="n">
        <f aca="false">BI60+BI61+BI62+BI64+BI65+BI66+BI67+BI68+BI69+BI70+BI71</f>
        <v>24.1532668694967</v>
      </c>
      <c r="BJ72" s="13" t="n">
        <f aca="false">BJ60+BJ61+BJ62+BJ64+BJ65+BJ66+BJ67+BJ68+BJ69+BJ70+BJ71</f>
        <v>23.7740969968044</v>
      </c>
      <c r="BK72" s="13" t="n">
        <f aca="false">BK60+BK61+BK62+BK64+BK65+BK66+BK67+BK68+BK69+BK70+BK71</f>
        <v>24.3246063541828</v>
      </c>
      <c r="BL72" s="13" t="n">
        <f aca="false">BL60+BL61+BL62+BL64+BL65+BL66+BL67+BL68+BL69+BL70+BL71</f>
        <v>25.2818101752814</v>
      </c>
      <c r="BM72" s="13" t="n">
        <f aca="false">BM60+BM61+BM62+BM64+BM65+BM66+BM67+BM68+BM69+BM70+BM71</f>
        <v>17.0342365690001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3196.44029463925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16.8176358261111</v>
      </c>
      <c r="P73" s="13" t="n">
        <f aca="false">P42*P41/1000000</f>
        <v>50.4478469251361</v>
      </c>
      <c r="Q73" s="13" t="n">
        <f aca="false">Q42*Q41/1000000</f>
        <v>51.284473506951</v>
      </c>
      <c r="R73" s="13" t="n">
        <f aca="false">R42*R41/1000000</f>
        <v>50.9476228250066</v>
      </c>
      <c r="S73" s="13" t="n">
        <f aca="false">S42*S41/1000000</f>
        <v>52.1264098591153</v>
      </c>
      <c r="T73" s="13" t="n">
        <f aca="false">T42*T41/1000000</f>
        <v>52.4539090064831</v>
      </c>
      <c r="U73" s="13" t="n">
        <f aca="false">U42*U41/1000000</f>
        <v>52.8863724731734</v>
      </c>
      <c r="V73" s="13" t="n">
        <f aca="false">V42*V41/1000000</f>
        <v>51.6616676192182</v>
      </c>
      <c r="W73" s="13" t="n">
        <f aca="false">W42*W41/1000000</f>
        <v>53.3069392386773</v>
      </c>
      <c r="X73" s="13" t="n">
        <f aca="false">X42*X41/1000000</f>
        <v>54.5389355158606</v>
      </c>
      <c r="Y73" s="13" t="n">
        <f aca="false">Y42*Y41/1000000</f>
        <v>55.4429985043437</v>
      </c>
      <c r="Z73" s="13" t="n">
        <f aca="false">Z42*Z41/1000000</f>
        <v>55.0784258176332</v>
      </c>
      <c r="AA73" s="13" t="n">
        <f aca="false">AA42*AA41/1000000</f>
        <v>56.3523709250487</v>
      </c>
      <c r="AB73" s="13" t="n">
        <f aca="false">AB42*AB41/1000000</f>
        <v>56.7060007929824</v>
      </c>
      <c r="AC73" s="13" t="n">
        <f aca="false">AC42*AC41/1000000</f>
        <v>56.782626989996</v>
      </c>
      <c r="AD73" s="13" t="n">
        <f aca="false">AD42*AD41/1000000</f>
        <v>54.6774893791246</v>
      </c>
      <c r="AE73" s="13" t="n">
        <f aca="false">AE42*AE41/1000000</f>
        <v>56.8305996187222</v>
      </c>
      <c r="AF73" s="13" t="n">
        <f aca="false">AF42*AF41/1000000</f>
        <v>58.9582974180501</v>
      </c>
      <c r="AG73" s="13" t="n">
        <f aca="false">AG42*AG41/1000000</f>
        <v>59.9351727493671</v>
      </c>
      <c r="AH73" s="13" t="n">
        <f aca="false">AH42*AH41/1000000</f>
        <v>59.5406188255441</v>
      </c>
      <c r="AI73" s="13" t="n">
        <f aca="false">AI42*AI41/1000000</f>
        <v>60.9173201211316</v>
      </c>
      <c r="AJ73" s="13" t="n">
        <f aca="false">AJ42*AJ41/1000000</f>
        <v>61.299140695914</v>
      </c>
      <c r="AK73" s="13" t="n">
        <f aca="false">AK42*AK41/1000000</f>
        <v>61.8036119691224</v>
      </c>
      <c r="AL73" s="13" t="n">
        <f aca="false">AL42*AL41/1000000</f>
        <v>60.3715109630511</v>
      </c>
      <c r="AM73" s="13" t="n">
        <f aca="false">AM42*AM41/1000000</f>
        <v>62.2932392905827</v>
      </c>
      <c r="AN73" s="13" t="n">
        <f aca="false">AN42*AN41/1000000</f>
        <v>63.731973307471</v>
      </c>
      <c r="AO73" s="13" t="n">
        <f aca="false">AO42*AO41/1000000</f>
        <v>64.7874602853357</v>
      </c>
      <c r="AP73" s="13" t="n">
        <f aca="false">AP42*AP41/1000000</f>
        <v>64.3604836292912</v>
      </c>
      <c r="AQ73" s="13" t="n">
        <f aca="false">AQ42*AQ41/1000000</f>
        <v>65.8481386760531</v>
      </c>
      <c r="AR73" s="13" t="n">
        <f aca="false">AR42*AR41/1000000</f>
        <v>66.2603701344099</v>
      </c>
      <c r="AS73" s="13" t="n">
        <f aca="false">AS42*AS41/1000000</f>
        <v>66.3489177188975</v>
      </c>
      <c r="AT73" s="13" t="n">
        <f aca="false">AT42*AT41/1000000</f>
        <v>63.8881699515072</v>
      </c>
      <c r="AU73" s="13" t="n">
        <f aca="false">AU42*AU41/1000000</f>
        <v>66.4029906128666</v>
      </c>
      <c r="AV73" s="13" t="n">
        <f aca="false">AV42*AV41/1000000</f>
        <v>68.8880432636305</v>
      </c>
      <c r="AW73" s="13" t="n">
        <f aca="false">AW42*AW41/1000000</f>
        <v>70.0283974404261</v>
      </c>
      <c r="AX73" s="13" t="n">
        <f aca="false">AX42*AX41/1000000</f>
        <v>69.5663597482435</v>
      </c>
      <c r="AY73" s="13" t="n">
        <f aca="false">AY42*AY41/1000000</f>
        <v>71.1738122108115</v>
      </c>
      <c r="AZ73" s="13" t="n">
        <f aca="false">AZ42*AZ41/1000000</f>
        <v>71.6188471778873</v>
      </c>
      <c r="BA73" s="13" t="n">
        <f aca="false">BA42*BA41/1000000</f>
        <v>72.2071650341476</v>
      </c>
      <c r="BB73" s="13" t="n">
        <f aca="false">BB42*BB41/1000000</f>
        <v>70.5329383517851</v>
      </c>
      <c r="BC73" s="13" t="n">
        <f aca="false">BC42*BC41/1000000</f>
        <v>72.7770314631165</v>
      </c>
      <c r="BD73" s="13" t="n">
        <f aca="false">BD42*BD41/1000000</f>
        <v>74.456784139442</v>
      </c>
      <c r="BE73" s="13" t="n">
        <f aca="false">BE42*BE41/1000000</f>
        <v>75.6887527095342</v>
      </c>
      <c r="BF73" s="13" t="n">
        <f aca="false">BF42*BF41/1000000</f>
        <v>75.1888031752521</v>
      </c>
      <c r="BG73" s="13" t="n">
        <f aca="false">BG42*BG41/1000000</f>
        <v>76.9255930467068</v>
      </c>
      <c r="BH73" s="13" t="n">
        <f aca="false">BH42*BH41/1000000</f>
        <v>77.4060097737482</v>
      </c>
      <c r="BI73" s="13" t="n">
        <f aca="false">BI42*BI41/1000000</f>
        <v>77.5082864356537</v>
      </c>
      <c r="BJ73" s="13" t="n">
        <f aca="false">BJ42*BJ41/1000000</f>
        <v>74.6325372890276</v>
      </c>
      <c r="BK73" s="13" t="n">
        <f aca="false">BK42*BK41/1000000</f>
        <v>77.5691192177307</v>
      </c>
      <c r="BL73" s="13" t="n">
        <f aca="false">BL42*BL41/1000000</f>
        <v>80.4708388604413</v>
      </c>
      <c r="BM73" s="13" t="n">
        <f aca="false">BM42*BM41/1000000</f>
        <v>54.7112341294859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5027.51659060296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26.3249799951398</v>
      </c>
      <c r="P74" s="13" t="n">
        <f aca="false">P73+P52+P53+P54</f>
        <v>79.3975271250786</v>
      </c>
      <c r="Q74" s="13" t="n">
        <f aca="false">Q73+Q52+Q53+Q54</f>
        <v>79.6217093563916</v>
      </c>
      <c r="R74" s="13" t="n">
        <f aca="false">R73+R52+R53+R54</f>
        <v>80.9036730983693</v>
      </c>
      <c r="S74" s="13" t="n">
        <f aca="false">S73+S52+S53+S54</f>
        <v>81.1427093191288</v>
      </c>
      <c r="T74" s="13" t="n">
        <f aca="false">T73+T52+T53+T54</f>
        <v>82.4706440488968</v>
      </c>
      <c r="U74" s="13" t="n">
        <f aca="false">U73+U52+U53+U54</f>
        <v>83.1377446435563</v>
      </c>
      <c r="V74" s="13" t="n">
        <f aca="false">V73+V52+V53+V54</f>
        <v>83.9944951685714</v>
      </c>
      <c r="W74" s="13" t="n">
        <f aca="false">W73+W52+W53+W54</f>
        <v>84.2564030035845</v>
      </c>
      <c r="X74" s="13" t="n">
        <f aca="false">X73+X52+X53+X54</f>
        <v>85.6638340033872</v>
      </c>
      <c r="Y74" s="13" t="n">
        <f aca="false">Y73+Y52+Y53+Y54</f>
        <v>85.9064405005006</v>
      </c>
      <c r="Z74" s="13" t="n">
        <f aca="false">Z73+Z52+Z53+Z54</f>
        <v>87.2902926661826</v>
      </c>
      <c r="AA74" s="13" t="n">
        <f aca="false">AA73+AA52+AA53+AA54</f>
        <v>87.5487441605468</v>
      </c>
      <c r="AB74" s="13" t="n">
        <f aca="false">AB73+AB52+AB53+AB54</f>
        <v>88.9818244116784</v>
      </c>
      <c r="AC74" s="13" t="n">
        <f aca="false">AC73+AC52+AC53+AC54</f>
        <v>89.6907351384859</v>
      </c>
      <c r="AD74" s="13" t="n">
        <f aca="false">AD73+AD52+AD53+AD54</f>
        <v>90.5921038561856</v>
      </c>
      <c r="AE74" s="13" t="n">
        <f aca="false">AE73+AE52+AE53+AE54</f>
        <v>90.8866976417375</v>
      </c>
      <c r="AF74" s="13" t="n">
        <f aca="false">AF73+AF52+AF53+AF54</f>
        <v>92.4295299532465</v>
      </c>
      <c r="AG74" s="13" t="n">
        <f aca="false">AG73+AG52+AG53+AG54</f>
        <v>92.6920756152117</v>
      </c>
      <c r="AH74" s="13" t="n">
        <f aca="false">AH73+AH52+AH53+AH54</f>
        <v>94.1859833765082</v>
      </c>
      <c r="AI74" s="13" t="n">
        <f aca="false">AI73+AI52+AI53+AI54</f>
        <v>94.4654320246763</v>
      </c>
      <c r="AJ74" s="13" t="n">
        <f aca="false">AJ73+AJ52+AJ53+AJ54</f>
        <v>96.0120600165771</v>
      </c>
      <c r="AK74" s="13" t="n">
        <f aca="false">AK73+AK52+AK53+AK54</f>
        <v>96.7912582658146</v>
      </c>
      <c r="AL74" s="13" t="n">
        <f aca="false">AL73+AL52+AL53+AL54</f>
        <v>97.7909956182829</v>
      </c>
      <c r="AM74" s="13" t="n">
        <f aca="false">AM73+AM52+AM53+AM54</f>
        <v>98.0965803541702</v>
      </c>
      <c r="AN74" s="13" t="n">
        <f aca="false">AN73+AN52+AN53+AN54</f>
        <v>99.7347264495301</v>
      </c>
      <c r="AO74" s="13" t="n">
        <f aca="false">AO73+AO52+AO53+AO54</f>
        <v>100.018850814045</v>
      </c>
      <c r="AP74" s="13" t="n">
        <f aca="false">AP73+AP52+AP53+AP54</f>
        <v>101.631640387419</v>
      </c>
      <c r="AQ74" s="13" t="n">
        <f aca="false">AQ73+AQ52+AQ53+AQ54</f>
        <v>101.933797317948</v>
      </c>
      <c r="AR74" s="13" t="n">
        <f aca="false">AR73+AR52+AR53+AR54</f>
        <v>103.603051619334</v>
      </c>
      <c r="AS74" s="13" t="n">
        <f aca="false">AS73+AS52+AS53+AS54</f>
        <v>104.431670294706</v>
      </c>
      <c r="AT74" s="13" t="n">
        <f aca="false">AT73+AT52+AT53+AT54</f>
        <v>105.484600967501</v>
      </c>
      <c r="AU74" s="13" t="n">
        <f aca="false">AU73+AU52+AU53+AU54</f>
        <v>105.827837267629</v>
      </c>
      <c r="AV74" s="13" t="n">
        <f aca="false">AV73+AV52+AV53+AV54</f>
        <v>107.622776794611</v>
      </c>
      <c r="AW74" s="13" t="n">
        <f aca="false">AW73+AW52+AW53+AW54</f>
        <v>107.930254299173</v>
      </c>
      <c r="AX74" s="13" t="n">
        <f aca="false">AX73+AX52+AX53+AX54</f>
        <v>109.671464401857</v>
      </c>
      <c r="AY74" s="13" t="n">
        <f aca="false">AY73+AY52+AY53+AY54</f>
        <v>109.9981805772</v>
      </c>
      <c r="AZ74" s="13" t="n">
        <f aca="false">AZ73+AZ52+AZ53+AZ54</f>
        <v>111.799870862342</v>
      </c>
      <c r="BA74" s="13" t="n">
        <f aca="false">BA73+BA52+BA53+BA54</f>
        <v>112.710104018127</v>
      </c>
      <c r="BB74" s="13" t="n">
        <f aca="false">BB73+BB52+BB53+BB54</f>
        <v>113.876864161718</v>
      </c>
      <c r="BC74" s="13" t="n">
        <f aca="false">BC73+BC52+BC53+BC54</f>
        <v>114.233455411533</v>
      </c>
      <c r="BD74" s="13" t="n">
        <f aca="false">BD73+BD52+BD53+BD54</f>
        <v>116.140539393183</v>
      </c>
      <c r="BE74" s="13" t="n">
        <f aca="false">BE73+BE52+BE53+BE54</f>
        <v>116.473290481475</v>
      </c>
      <c r="BF74" s="13" t="n">
        <f aca="false">BF73+BF52+BF53+BF54</f>
        <v>118.353230140789</v>
      </c>
      <c r="BG74" s="13" t="n">
        <f aca="false">BG73+BG52+BG53+BG54</f>
        <v>118.706507811467</v>
      </c>
      <c r="BH74" s="13" t="n">
        <f aca="false">BH73+BH52+BH53+BH54</f>
        <v>120.651234069097</v>
      </c>
      <c r="BI74" s="13" t="n">
        <f aca="false">BI73+BI52+BI53+BI54</f>
        <v>121.619861036393</v>
      </c>
      <c r="BJ74" s="13" t="n">
        <f aca="false">BJ73+BJ52+BJ53+BJ54</f>
        <v>122.849981407485</v>
      </c>
      <c r="BK74" s="13" t="n">
        <f aca="false">BK73+BK52+BK53+BK54</f>
        <v>123.249958713875</v>
      </c>
      <c r="BL74" s="13" t="n">
        <f aca="false">BL73+BL52+BL53+BL54</f>
        <v>125.338662487823</v>
      </c>
      <c r="BM74" s="13" t="n">
        <f aca="false">BM73+BM52+BM53+BM54</f>
        <v>83.3497060547867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6083.02903866213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31.3564062111</v>
      </c>
      <c r="P83" s="13" t="n">
        <f aca="false">P72+P74+P75+P76+P79+P82</f>
        <v>94.7493412754919</v>
      </c>
      <c r="Q83" s="13" t="n">
        <f aca="false">Q72+Q74+Q75+Q76+Q79+Q82</f>
        <v>95.0107812784337</v>
      </c>
      <c r="R83" s="13" t="n">
        <f aca="false">R72+R74+R75+R76+R79+R82</f>
        <v>96.3665683544651</v>
      </c>
      <c r="S83" s="13" t="n">
        <f aca="false">S72+S74+S75+S76+S79+S82</f>
        <v>96.806070045797</v>
      </c>
      <c r="T83" s="13" t="n">
        <f aca="false">T72+T74+T75+T76+T79+T82</f>
        <v>98.3753913406314</v>
      </c>
      <c r="U83" s="13" t="n">
        <f aca="false">U72+U74+U75+U76+U79+U82</f>
        <v>99.0720659687327</v>
      </c>
      <c r="V83" s="13" t="n">
        <f aca="false">V72+V74+V75+V76+V79+V82</f>
        <v>102.31556571383</v>
      </c>
      <c r="W83" s="13" t="n">
        <f aca="false">W72+W74+W75+W76+W79+W82</f>
        <v>100.387107933111</v>
      </c>
      <c r="X83" s="13" t="n">
        <f aca="false">X72+X74+X75+X76+X79+X82</f>
        <v>102.248948130441</v>
      </c>
      <c r="Y83" s="13" t="n">
        <f aca="false">Y72+Y74+Y75+Y76+Y79+Y82</f>
        <v>102.625835742151</v>
      </c>
      <c r="Z83" s="13" t="n">
        <f aca="false">Z72+Z74+Z75+Z76+Z79+Z82</f>
        <v>104.104094886325</v>
      </c>
      <c r="AA83" s="13" t="n">
        <f aca="false">AA72+AA74+AA75+AA76+AA79+AA82</f>
        <v>104.58111062241</v>
      </c>
      <c r="AB83" s="13" t="n">
        <f aca="false">AB72+AB74+AB75+AB76+AB79+AB82</f>
        <v>106.277365180774</v>
      </c>
      <c r="AC83" s="13" t="n">
        <f aca="false">AC72+AC74+AC75+AC76+AC79+AC82</f>
        <v>106.929370375318</v>
      </c>
      <c r="AD83" s="13" t="n">
        <f aca="false">AD72+AD74+AD75+AD76+AD79+AD82</f>
        <v>119.397553343364</v>
      </c>
      <c r="AE83" s="13" t="n">
        <f aca="false">AE72+AE74+AE75+AE76+AE79+AE82</f>
        <v>108.246413479077</v>
      </c>
      <c r="AF83" s="13" t="n">
        <f aca="false">AF72+AF74+AF75+AF76+AF79+AF82</f>
        <v>110.466885204234</v>
      </c>
      <c r="AG83" s="13" t="n">
        <f aca="false">AG72+AG74+AG75+AG76+AG79+AG82</f>
        <v>110.875846690373</v>
      </c>
      <c r="AH83" s="13" t="n">
        <f aca="false">AH72+AH74+AH75+AH76+AH79+AH82</f>
        <v>112.4727021877</v>
      </c>
      <c r="AI83" s="13" t="n">
        <f aca="false">AI72+AI74+AI75+AI76+AI79+AI82</f>
        <v>112.990447785228</v>
      </c>
      <c r="AJ83" s="13" t="n">
        <f aca="false">AJ72+AJ74+AJ75+AJ76+AJ79+AJ82</f>
        <v>114.82400429175</v>
      </c>
      <c r="AK83" s="13" t="n">
        <f aca="false">AK72+AK74+AK75+AK76+AK79+AK82</f>
        <v>115.63841223366</v>
      </c>
      <c r="AL83" s="13" t="n">
        <f aca="false">AL72+AL74+AL75+AL76+AL79+AL82</f>
        <v>119.479034276114</v>
      </c>
      <c r="AM83" s="13" t="n">
        <f aca="false">AM72+AM74+AM75+AM76+AM79+AM82</f>
        <v>117.177247486561</v>
      </c>
      <c r="AN83" s="13" t="n">
        <f aca="false">AN72+AN74+AN75+AN76+AN79+AN82</f>
        <v>119.355482254687</v>
      </c>
      <c r="AO83" s="13" t="n">
        <f aca="false">AO72+AO74+AO75+AO76+AO79+AO82</f>
        <v>119.799253696833</v>
      </c>
      <c r="AP83" s="13" t="n">
        <f aca="false">AP72+AP74+AP75+AP76+AP79+AP82</f>
        <v>121.524304402538</v>
      </c>
      <c r="AQ83" s="13" t="n">
        <f aca="false">AQ72+AQ74+AQ75+AQ76+AQ79+AQ82</f>
        <v>122.08627242841</v>
      </c>
      <c r="AR83" s="13" t="n">
        <f aca="false">AR72+AR74+AR75+AR76+AR79+AR82</f>
        <v>124.06835339107</v>
      </c>
      <c r="AS83" s="13" t="n">
        <f aca="false">AS72+AS74+AS75+AS76+AS79+AS82</f>
        <v>124.829414769341</v>
      </c>
      <c r="AT83" s="13" t="n">
        <f aca="false">AT72+AT74+AT75+AT76+AT79+AT82</f>
        <v>139.649977272511</v>
      </c>
      <c r="AU83" s="13" t="n">
        <f aca="false">AU72+AU74+AU75+AU76+AU79+AU82</f>
        <v>126.36961608822</v>
      </c>
      <c r="AV83" s="13" t="n">
        <f aca="false">AV72+AV74+AV75+AV76+AV79+AV82</f>
        <v>128.969937693385</v>
      </c>
      <c r="AW83" s="13" t="n">
        <f aca="false">AW72+AW74+AW75+AW76+AW79+AW82</f>
        <v>129.451489157156</v>
      </c>
      <c r="AX83" s="13" t="n">
        <f aca="false">AX72+AX74+AX75+AX76+AX79+AX82</f>
        <v>131.315116321939</v>
      </c>
      <c r="AY83" s="13" t="n">
        <f aca="false">AY72+AY74+AY75+AY76+AY79+AY82</f>
        <v>131.925099993639</v>
      </c>
      <c r="AZ83" s="13" t="n">
        <f aca="false">AZ72+AZ74+AZ75+AZ76+AZ79+AZ82</f>
        <v>134.06785251614</v>
      </c>
      <c r="BA83" s="13" t="n">
        <f aca="false">BA72+BA74+BA75+BA76+BA79+BA82</f>
        <v>135.020004956399</v>
      </c>
      <c r="BB83" s="13" t="n">
        <f aca="false">BB72+BB74+BB75+BB76+BB79+BB82</f>
        <v>139.568195242136</v>
      </c>
      <c r="BC83" s="13" t="n">
        <f aca="false">BC72+BC74+BC75+BC76+BC79+BC82</f>
        <v>136.821018793467</v>
      </c>
      <c r="BD83" s="13" t="n">
        <f aca="false">BD72+BD74+BD75+BD76+BD79+BD82</f>
        <v>139.370024722114</v>
      </c>
      <c r="BE83" s="13" t="n">
        <f aca="false">BE72+BE74+BE75+BE76+BE79+BE82</f>
        <v>139.89258031648</v>
      </c>
      <c r="BF83" s="13" t="n">
        <f aca="false">BF72+BF74+BF75+BF76+BF79+BF82</f>
        <v>141.906011718488</v>
      </c>
      <c r="BG83" s="13" t="n">
        <f aca="false">BG72+BG74+BG75+BG76+BG79+BG82</f>
        <v>142.56813087493</v>
      </c>
      <c r="BH83" s="13" t="n">
        <f aca="false">BH72+BH74+BH75+BH76+BH79+BH82</f>
        <v>144.88470332702</v>
      </c>
      <c r="BI83" s="13" t="n">
        <f aca="false">BI72+BI74+BI75+BI76+BI79+BI82</f>
        <v>145.77312790589</v>
      </c>
      <c r="BJ83" s="13" t="n">
        <f aca="false">BJ72+BJ74+BJ75+BJ76+BJ79+BJ82</f>
        <v>163.390330570967</v>
      </c>
      <c r="BK83" s="13" t="n">
        <f aca="false">BK72+BK74+BK75+BK76+BK79+BK82</f>
        <v>147.574565068058</v>
      </c>
      <c r="BL83" s="13" t="n">
        <f aca="false">BL72+BL74+BL75+BL76+BL79+BL82</f>
        <v>150.620472663105</v>
      </c>
      <c r="BM83" s="13" t="n">
        <f aca="false">BM72+BM74+BM75+BM76+BM79+BM82</f>
        <v>119.453132480141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2594.38348918594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16.7234806228313</v>
      </c>
      <c r="P84" s="13" t="n">
        <f aca="false">P56-P83+P58</f>
        <v>50.1763061572301</v>
      </c>
      <c r="Q84" s="13" t="n">
        <f aca="false">Q56-Q83+Q58</f>
        <v>50.3877270798697</v>
      </c>
      <c r="R84" s="13" t="n">
        <f aca="false">R56-R83+R58</f>
        <v>50.5468340978686</v>
      </c>
      <c r="S84" s="13" t="n">
        <f aca="false">S56-S83+S58</f>
        <v>50.6332269709884</v>
      </c>
      <c r="T84" s="13" t="n">
        <f aca="false">T56-T83+T58</f>
        <v>50.6971664443101</v>
      </c>
      <c r="U84" s="13" t="n">
        <f aca="false">U56-U83+U58</f>
        <v>50.8834704440995</v>
      </c>
      <c r="V84" s="13" t="n">
        <f aca="false">V56-V83+V58</f>
        <v>48.6520817263758</v>
      </c>
      <c r="W84" s="13" t="n">
        <f aca="false">W56-W83+W58</f>
        <v>51.18441065105</v>
      </c>
      <c r="X84" s="13" t="n">
        <f aca="false">X56-X83+X58</f>
        <v>51.1370161915493</v>
      </c>
      <c r="Y84" s="13" t="n">
        <f aca="false">Y56-Y83+Y58</f>
        <v>51.2731459943618</v>
      </c>
      <c r="Z84" s="13" t="n">
        <f aca="false">Z56-Z83+Z58</f>
        <v>51.4331048594609</v>
      </c>
      <c r="AA84" s="13" t="n">
        <f aca="false">AA56-AA83+AA58</f>
        <v>51.5260910756179</v>
      </c>
      <c r="AB84" s="13" t="n">
        <f aca="false">AB56-AB83+AB58</f>
        <v>51.5952454388109</v>
      </c>
      <c r="AC84" s="13" t="n">
        <f aca="false">AC56-AC83+AC58</f>
        <v>51.8488108509143</v>
      </c>
      <c r="AD84" s="13" t="n">
        <f aca="false">AD56-AD83+AD58</f>
        <v>39.4543469293248</v>
      </c>
      <c r="AE84" s="13" t="n">
        <f aca="false">AE56-AE83+AE58</f>
        <v>52.229761161942</v>
      </c>
      <c r="AF84" s="13" t="n">
        <f aca="false">AF56-AF83+AF58</f>
        <v>52.0726301978822</v>
      </c>
      <c r="AG84" s="13" t="n">
        <f aca="false">AG56-AG83+AG58</f>
        <v>52.2202740105251</v>
      </c>
      <c r="AH84" s="13" t="n">
        <f aca="false">AH56-AH83+AH58</f>
        <v>52.3950899163783</v>
      </c>
      <c r="AI84" s="13" t="n">
        <f aca="false">AI56-AI83+AI58</f>
        <v>52.4951834377906</v>
      </c>
      <c r="AJ84" s="13" t="n">
        <f aca="false">AJ56-AJ83+AJ58</f>
        <v>52.5699795468788</v>
      </c>
      <c r="AK84" s="13" t="n">
        <f aca="false">AK56-AK83+AK58</f>
        <v>52.7911605085271</v>
      </c>
      <c r="AL84" s="13" t="n">
        <f aca="false">AL56-AL83+AL58</f>
        <v>50.1386118979211</v>
      </c>
      <c r="AM84" s="13" t="n">
        <f aca="false">AM56-AM83+AM58</f>
        <v>53.1484585928955</v>
      </c>
      <c r="AN84" s="13" t="n">
        <f aca="false">AN56-AN83+AN58</f>
        <v>53.088137050283</v>
      </c>
      <c r="AO84" s="13" t="n">
        <f aca="false">AO56-AO83+AO58</f>
        <v>53.2482851463719</v>
      </c>
      <c r="AP84" s="13" t="n">
        <f aca="false">AP56-AP83+AP58</f>
        <v>53.4393266531634</v>
      </c>
      <c r="AQ84" s="13" t="n">
        <f aca="false">AQ56-AQ83+AQ58</f>
        <v>53.5470825101345</v>
      </c>
      <c r="AR84" s="13" t="n">
        <f aca="false">AR56-AR83+AR58</f>
        <v>53.6279822403598</v>
      </c>
      <c r="AS84" s="13" t="n">
        <f aca="false">AS56-AS83+AS58</f>
        <v>53.9303007769861</v>
      </c>
      <c r="AT84" s="13" t="n">
        <f aca="false">AT56-AT83+AT58</f>
        <v>39.2952602326866</v>
      </c>
      <c r="AU84" s="13" t="n">
        <f aca="false">AU56-AU83+AU58</f>
        <v>54.3839156752159</v>
      </c>
      <c r="AV84" s="13" t="n">
        <f aca="false">AV56-AV83+AV58</f>
        <v>54.1904321626152</v>
      </c>
      <c r="AW84" s="13" t="n">
        <f aca="false">AW56-AW83+AW58</f>
        <v>54.3641612864001</v>
      </c>
      <c r="AX84" s="13" t="n">
        <f aca="false">AX56-AX83+AX58</f>
        <v>54.5729222063319</v>
      </c>
      <c r="AY84" s="13" t="n">
        <f aca="false">AY56-AY83+AY58</f>
        <v>54.6889398673404</v>
      </c>
      <c r="AZ84" s="13" t="n">
        <f aca="false">AZ56-AZ83+AZ58</f>
        <v>54.7764429880806</v>
      </c>
      <c r="BA84" s="13" t="n">
        <f aca="false">BA56-BA83+BA58</f>
        <v>55.0390745384275</v>
      </c>
      <c r="BB84" s="13" t="n">
        <f aca="false">BB56-BB83+BB58</f>
        <v>51.8857250165524</v>
      </c>
      <c r="BC84" s="13" t="n">
        <f aca="false">BC56-BC83+BC58</f>
        <v>55.4633205632147</v>
      </c>
      <c r="BD84" s="13" t="n">
        <f aca="false">BD56-BD83+BD58</f>
        <v>55.387011695327</v>
      </c>
      <c r="BE84" s="13" t="n">
        <f aca="false">BE56-BE83+BE58</f>
        <v>55.5754927119121</v>
      </c>
      <c r="BF84" s="13" t="n">
        <f aca="false">BF56-BF83+BF58</f>
        <v>55.8036035141024</v>
      </c>
      <c r="BG84" s="13" t="n">
        <f aca="false">BG56-BG83+BG58</f>
        <v>55.9285305398229</v>
      </c>
      <c r="BH84" s="13" t="n">
        <f aca="false">BH56-BH83+BH58</f>
        <v>56.0231778252384</v>
      </c>
      <c r="BI84" s="13" t="n">
        <f aca="false">BI56-BI83+BI58</f>
        <v>56.3836246805789</v>
      </c>
      <c r="BJ84" s="13" t="n">
        <f aca="false">BJ56-BJ83+BJ58</f>
        <v>39.0827387741865</v>
      </c>
      <c r="BK84" s="13" t="n">
        <f aca="false">BK56-BK83+BK58</f>
        <v>56.9237569026071</v>
      </c>
      <c r="BL84" s="13" t="n">
        <f aca="false">BL56-BL83+BL58</f>
        <v>56.6860253117098</v>
      </c>
      <c r="BM84" s="13" t="n">
        <f aca="false">BM56-BM83+BM58</f>
        <v>18.8346035108858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35.4687689758509</v>
      </c>
      <c r="P88" s="13" t="n">
        <f aca="false">(1-P86)*(P56/MAX(Time!P31,1)*Inputs!$F$168+P55/MAX(Time!P31,1)*P87)</f>
        <v>35.4437724699592</v>
      </c>
      <c r="Q88" s="13" t="n">
        <f aca="false">(1-Q86)*(Q56/MAX(Time!Q31,1)*Inputs!$F$168+Q55/MAX(Time!Q31,1)*Q87)</f>
        <v>36.1488004205727</v>
      </c>
      <c r="R88" s="13" t="n">
        <f aca="false">(1-R86)*(R56/MAX(Time!R31,1)*Inputs!$F$168+R55/MAX(Time!R31,1)*R87)</f>
        <v>35.9299082084512</v>
      </c>
      <c r="S88" s="13" t="n">
        <f aca="false">(1-S86)*(S56/MAX(Time!S31,1)*Inputs!$F$168+S55/MAX(Time!S31,1)*S87)</f>
        <v>36.6561788163279</v>
      </c>
      <c r="T88" s="13" t="n">
        <f aca="false">(1-T86)*(T56/MAX(Time!T31,1)*Inputs!$F$168+T55/MAX(Time!T31,1)*T87)</f>
        <v>36.457962501752</v>
      </c>
      <c r="U88" s="13" t="n">
        <f aca="false">(1-U86)*(U56/MAX(Time!U31,1)*Inputs!$F$168+U55/MAX(Time!U31,1)*U87)</f>
        <v>37.0769183438321</v>
      </c>
      <c r="V88" s="13" t="n">
        <f aca="false">(1-V86)*(V56/MAX(Time!V31,1)*Inputs!$F$168+V55/MAX(Time!V31,1)*V87)</f>
        <v>36.9214355152677</v>
      </c>
      <c r="W88" s="13" t="n">
        <f aca="false">(1-W86)*(W56/MAX(Time!W31,1)*Inputs!$F$168+W55/MAX(Time!W31,1)*W87)</f>
        <v>37.6835267198191</v>
      </c>
      <c r="X88" s="13" t="n">
        <f aca="false">(1-X86)*(X56/MAX(Time!X31,1)*Inputs!$F$168+X55/MAX(Time!X31,1)*X87)</f>
        <v>37.5128717091824</v>
      </c>
      <c r="Y88" s="13" t="n">
        <f aca="false">(1-Y86)*(Y56/MAX(Time!Y31,1)*Inputs!$F$168+Y55/MAX(Time!Y31,1)*Y87)</f>
        <v>38.2621777797961</v>
      </c>
      <c r="Z88" s="13" t="n">
        <f aca="false">(1-Z86)*(Z56/MAX(Time!Z31,1)*Inputs!$F$168+Z55/MAX(Time!Z31,1)*Z87)</f>
        <v>38.0389890682628</v>
      </c>
      <c r="AA88" s="13" t="n">
        <f aca="false">(1-AA86)*(AA56/MAX(Time!AA31,1)*Inputs!$F$168+AA55/MAX(Time!AA31,1)*AA87)</f>
        <v>38.8111827426036</v>
      </c>
      <c r="AB88" s="13" t="n">
        <f aca="false">(1-AB86)*(AB56/MAX(Time!AB31,1)*Inputs!$F$168+AB55/MAX(Time!AB31,1)*AB87)</f>
        <v>38.6101493363115</v>
      </c>
      <c r="AC88" s="13" t="n">
        <f aca="false">(1-AC86)*(AC56/MAX(Time!AC31,1)*Inputs!$F$168+AC55/MAX(Time!AC31,1)*AC87)</f>
        <v>39.2583415119805</v>
      </c>
      <c r="AD88" s="13" t="n">
        <f aca="false">(1-AD86)*(AD56/MAX(Time!AD31,1)*Inputs!$F$168+AD55/MAX(Time!AD31,1)*AD87)</f>
        <v>38.8496495232118</v>
      </c>
      <c r="AE88" s="13" t="n">
        <f aca="false">(1-AE86)*(AE56/MAX(Time!AE31,1)*Inputs!$F$168+AE55/MAX(Time!AE31,1)*AE87)</f>
        <v>39.8973914853361</v>
      </c>
      <c r="AF88" s="13" t="n">
        <f aca="false">(1-AF86)*(AF56/MAX(Time!AF31,1)*Inputs!$F$168+AF55/MAX(Time!AF31,1)*AF87)</f>
        <v>39.7515119189958</v>
      </c>
      <c r="AG88" s="13" t="n">
        <f aca="false">(1-AG86)*(AG56/MAX(Time!AG31,1)*Inputs!$F$168+AG55/MAX(Time!AG31,1)*AG87)</f>
        <v>40.5487592902786</v>
      </c>
      <c r="AH88" s="13" t="n">
        <f aca="false">(1-AH86)*(AH56/MAX(Time!AH31,1)*Inputs!$F$168+AH55/MAX(Time!AH31,1)*AH87)</f>
        <v>40.3209274167583</v>
      </c>
      <c r="AI88" s="13" t="n">
        <f aca="false">(1-AI86)*(AI56/MAX(Time!AI31,1)*Inputs!$F$168+AI55/MAX(Time!AI31,1)*AI87)</f>
        <v>41.1428364919106</v>
      </c>
      <c r="AJ88" s="13" t="n">
        <f aca="false">(1-AJ86)*(AJ56/MAX(Time!AJ31,1)*Inputs!$F$168+AJ55/MAX(Time!AJ31,1)*AJ87)</f>
        <v>40.9387460474907</v>
      </c>
      <c r="AK88" s="13" t="n">
        <f aca="false">(1-AK86)*(AK56/MAX(Time!AK31,1)*Inputs!$F$168+AK55/MAX(Time!AK31,1)*AK87)</f>
        <v>41.6446745791122</v>
      </c>
      <c r="AL88" s="13" t="n">
        <f aca="false">(1-AL86)*(AL56/MAX(Time!AL31,1)*Inputs!$F$168+AL55/MAX(Time!AL31,1)*AL87)</f>
        <v>41.4825765099542</v>
      </c>
      <c r="AM88" s="13" t="n">
        <f aca="false">(1-AM86)*(AM56/MAX(Time!AM31,1)*Inputs!$F$168+AM55/MAX(Time!AM31,1)*AM87)</f>
        <v>42.3461700197543</v>
      </c>
      <c r="AN88" s="13" t="n">
        <f aca="false">(1-AN86)*(AN56/MAX(Time!AN31,1)*Inputs!$F$168+AN55/MAX(Time!AN31,1)*AN87)</f>
        <v>42.1737112430632</v>
      </c>
      <c r="AO88" s="13" t="n">
        <f aca="false">(1-AO86)*(AO56/MAX(Time!AO31,1)*Inputs!$F$168+AO55/MAX(Time!AO31,1)*AO87)</f>
        <v>43.0228687731724</v>
      </c>
      <c r="AP88" s="13" t="n">
        <f aca="false">(1-AP86)*(AP56/MAX(Time!AP31,1)*Inputs!$F$168+AP55/MAX(Time!AP31,1)*AP87)</f>
        <v>42.7900184647095</v>
      </c>
      <c r="AQ88" s="13" t="n">
        <f aca="false">(1-AQ86)*(AQ56/MAX(Time!AQ31,1)*Inputs!$F$168+AQ55/MAX(Time!AQ31,1)*AQ87)</f>
        <v>43.665751227815</v>
      </c>
      <c r="AR88" s="13" t="n">
        <f aca="false">(1-AR86)*(AR56/MAX(Time!AR31,1)*Inputs!$F$168+AR55/MAX(Time!AR31,1)*AR87)</f>
        <v>43.4583429533387</v>
      </c>
      <c r="AS88" s="13" t="n">
        <f aca="false">(1-AS86)*(AS56/MAX(Time!AS31,1)*Inputs!$F$168+AS55/MAX(Time!AS31,1)*AS87)</f>
        <v>44.198830766949</v>
      </c>
      <c r="AT88" s="13" t="n">
        <f aca="false">(1-AT86)*(AT56/MAX(Time!AT31,1)*Inputs!$F$168+AT55/MAX(Time!AT31,1)*AT87)</f>
        <v>43.7637809115973</v>
      </c>
      <c r="AU88" s="13" t="n">
        <f aca="false">(1-AU86)*(AU56/MAX(Time!AU31,1)*Inputs!$F$168+AU55/MAX(Time!AU31,1)*AU87)</f>
        <v>44.9387233666</v>
      </c>
      <c r="AV88" s="13" t="n">
        <f aca="false">(1-AV86)*(AV56/MAX(Time!AV31,1)*Inputs!$F$168+AV55/MAX(Time!AV31,1)*AV87)</f>
        <v>44.7946556713044</v>
      </c>
      <c r="AW88" s="13" t="n">
        <f aca="false">(1-AW86)*(AW56/MAX(Time!AW31,1)*Inputs!$F$168+AW55/MAX(Time!AW31,1)*AW87)</f>
        <v>45.7000235909393</v>
      </c>
      <c r="AX88" s="13" t="n">
        <f aca="false">(1-AX86)*(AX56/MAX(Time!AX31,1)*Inputs!$F$168+AX55/MAX(Time!AX31,1)*AX87)</f>
        <v>45.4617485531097</v>
      </c>
      <c r="AY88" s="13" t="n">
        <f aca="false">(1-AY86)*(AY56/MAX(Time!AY31,1)*Inputs!$F$168+AY55/MAX(Time!AY31,1)*AY87)</f>
        <v>46.3957557665417</v>
      </c>
      <c r="AZ88" s="13" t="n">
        <f aca="false">(1-AZ86)*(AZ56/MAX(Time!AZ31,1)*Inputs!$F$168+AZ55/MAX(Time!AZ31,1)*AZ87)</f>
        <v>46.1847461830975</v>
      </c>
      <c r="BA88" s="13" t="n">
        <f aca="false">(1-BA86)*(BA56/MAX(Time!BA31,1)*Inputs!$F$168+BA55/MAX(Time!BA31,1)*BA87)</f>
        <v>46.9926295454241</v>
      </c>
      <c r="BB88" s="13" t="n">
        <f aca="false">(1-BB86)*(BB56/MAX(Time!BB31,1)*Inputs!$F$168+BB55/MAX(Time!BB31,1)*BB87)</f>
        <v>46.8229696284836</v>
      </c>
      <c r="BC88" s="13" t="n">
        <f aca="false">(1-BC86)*(BC56/MAX(Time!BC31,1)*Inputs!$F$168+BC55/MAX(Time!BC31,1)*BC87)</f>
        <v>47.8054987350866</v>
      </c>
      <c r="BD88" s="13" t="n">
        <f aca="false">(1-BD86)*(BD56/MAX(Time!BD31,1)*Inputs!$F$168+BD55/MAX(Time!BD31,1)*BD87)</f>
        <v>47.6307969499177</v>
      </c>
      <c r="BE88" s="13" t="n">
        <f aca="false">(1-BE86)*(BE56/MAX(Time!BE31,1)*Inputs!$F$168+BE55/MAX(Time!BE31,1)*BE87)</f>
        <v>48.5970347308157</v>
      </c>
      <c r="BF88" s="13" t="n">
        <f aca="false">(1-BF86)*(BF56/MAX(Time!BF31,1)*Inputs!$F$168+BF55/MAX(Time!BF31,1)*BF87)</f>
        <v>48.3528950297095</v>
      </c>
      <c r="BG88" s="13" t="n">
        <f aca="false">(1-BG86)*(BG56/MAX(Time!BG31,1)*Inputs!$F$168+BG55/MAX(Time!BG31,1)*BG87)</f>
        <v>49.3499986942755</v>
      </c>
      <c r="BH88" s="13" t="n">
        <f aca="false">(1-BH86)*(BH56/MAX(Time!BH31,1)*Inputs!$F$168+BH55/MAX(Time!BH31,1)*BH87)</f>
        <v>49.1350796296284</v>
      </c>
      <c r="BI88" s="13" t="n">
        <f aca="false">(1-BI86)*(BI56/MAX(Time!BI31,1)*Inputs!$F$168+BI55/MAX(Time!BI31,1)*BI87)</f>
        <v>49.9838124526983</v>
      </c>
      <c r="BJ88" s="13" t="n">
        <f aca="false">(1-BJ86)*(BJ56/MAX(Time!BJ31,1)*Inputs!$F$168+BJ55/MAX(Time!BJ31,1)*BJ87)</f>
        <v>49.5178702202822</v>
      </c>
      <c r="BK88" s="13" t="n">
        <f aca="false">(1-BK86)*(BK56/MAX(Time!BK31,1)*Inputs!$F$168+BK55/MAX(Time!BK31,1)*BK87)</f>
        <v>50.8421242468505</v>
      </c>
      <c r="BL88" s="13" t="n">
        <f aca="false">(1-BL86)*(BL56/MAX(Time!BL31,1)*Inputs!$F$168+BL55/MAX(Time!BL31,1)*BL87)</f>
        <v>50.6999587438405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2.14113505113159</v>
      </c>
      <c r="P91" s="13" t="n">
        <f aca="false">(1-P86)*(P52+P53)/MAX(Time!P31,1)*Inputs!$F$170</f>
        <v>2.13967256589656</v>
      </c>
      <c r="Q91" s="13" t="n">
        <f aca="false">(1-Q86)*(Q52+Q53)/MAX(Time!Q31,1)*Inputs!$F$170</f>
        <v>2.17528045128611</v>
      </c>
      <c r="R91" s="13" t="n">
        <f aca="false">(1-R86)*(R52+R53)/MAX(Time!R31,1)*Inputs!$F$170</f>
        <v>2.16912831571271</v>
      </c>
      <c r="S91" s="13" t="n">
        <f aca="false">(1-S86)*(S52+S53)/MAX(Time!S31,1)*Inputs!$F$170</f>
        <v>2.20694613361724</v>
      </c>
      <c r="T91" s="13" t="n">
        <f aca="false">(1-T86)*(T52+T53)/MAX(Time!T31,1)*Inputs!$F$170</f>
        <v>2.20417895081395</v>
      </c>
      <c r="U91" s="13" t="n">
        <f aca="false">(1-U86)*(U52+U53)/MAX(Time!U31,1)*Inputs!$F$170</f>
        <v>2.23705969882553</v>
      </c>
      <c r="V91" s="13" t="n">
        <f aca="false">(1-V86)*(V52+V53)/MAX(Time!V31,1)*Inputs!$F$170</f>
        <v>2.22779050353077</v>
      </c>
      <c r="W91" s="13" t="n">
        <f aca="false">(1-W86)*(W52+W53)/MAX(Time!W31,1)*Inputs!$F$170</f>
        <v>2.26884624271311</v>
      </c>
      <c r="X91" s="13" t="n">
        <f aca="false">(1-X86)*(X52+X53)/MAX(Time!X31,1)*Inputs!$F$170</f>
        <v>2.2706260306847</v>
      </c>
      <c r="Y91" s="13" t="n">
        <f aca="false">(1-Y86)*(Y52+Y53)/MAX(Time!Y31,1)*Inputs!$F$170</f>
        <v>2.30840705212722</v>
      </c>
      <c r="Z91" s="13" t="n">
        <f aca="false">(1-Z86)*(Z52+Z53)/MAX(Time!Z31,1)*Inputs!$F$170</f>
        <v>2.3018834397866</v>
      </c>
      <c r="AA91" s="13" t="n">
        <f aca="false">(1-AA86)*(AA52+AA53)/MAX(Time!AA31,1)*Inputs!$F$170</f>
        <v>2.34200748875587</v>
      </c>
      <c r="AB91" s="13" t="n">
        <f aca="false">(1-AB86)*(AB52+AB53)/MAX(Time!AB31,1)*Inputs!$F$170</f>
        <v>2.33907206926257</v>
      </c>
      <c r="AC91" s="13" t="n">
        <f aca="false">(1-AC86)*(AC52+AC53)/MAX(Time!AC31,1)*Inputs!$F$170</f>
        <v>2.37197634422769</v>
      </c>
      <c r="AD91" s="13" t="n">
        <f aca="false">(1-AD86)*(AD52+AD53)/MAX(Time!AD31,1)*Inputs!$F$170</f>
        <v>2.35824094917069</v>
      </c>
      <c r="AE91" s="13" t="n">
        <f aca="false">(1-AE86)*(AE52+AE53)/MAX(Time!AE31,1)*Inputs!$F$170</f>
        <v>2.40363854993773</v>
      </c>
      <c r="AF91" s="13" t="n">
        <f aca="false">(1-AF86)*(AF52+AF53)/MAX(Time!AF31,1)*Inputs!$F$170</f>
        <v>2.40957707575257</v>
      </c>
      <c r="AG91" s="13" t="n">
        <f aca="false">(1-AG86)*(AG52+AG53)/MAX(Time!AG31,1)*Inputs!$F$170</f>
        <v>2.44966336855628</v>
      </c>
      <c r="AH91" s="13" t="n">
        <f aca="false">(1-AH86)*(AH52+AH53)/MAX(Time!AH31,1)*Inputs!$F$170</f>
        <v>2.44274625164752</v>
      </c>
      <c r="AI91" s="13" t="n">
        <f aca="false">(1-AI86)*(AI52+AI53)/MAX(Time!AI31,1)*Inputs!$F$170</f>
        <v>2.48531656363353</v>
      </c>
      <c r="AJ91" s="13" t="n">
        <f aca="false">(1-AJ86)*(AJ52+AJ53)/MAX(Time!AJ31,1)*Inputs!$F$170</f>
        <v>2.4822028569857</v>
      </c>
      <c r="AK91" s="13" t="n">
        <f aca="false">(1-AK86)*(AK52+AK53)/MAX(Time!AK31,1)*Inputs!$F$170</f>
        <v>2.519226900478</v>
      </c>
      <c r="AL91" s="13" t="n">
        <f aca="false">(1-AL86)*(AL52+AL53)/MAX(Time!AL31,1)*Inputs!$F$170</f>
        <v>2.50880795782774</v>
      </c>
      <c r="AM91" s="13" t="n">
        <f aca="false">(1-AM86)*(AM52+AM53)/MAX(Time!AM31,1)*Inputs!$F$170</f>
        <v>2.55501808358284</v>
      </c>
      <c r="AN91" s="13" t="n">
        <f aca="false">(1-AN86)*(AN52+AN53)/MAX(Time!AN31,1)*Inputs!$F$170</f>
        <v>2.55701307114976</v>
      </c>
      <c r="AO91" s="13" t="n">
        <f aca="false">(1-AO86)*(AO52+AO53)/MAX(Time!AO31,1)*Inputs!$F$170</f>
        <v>2.59954477444649</v>
      </c>
      <c r="AP91" s="13" t="n">
        <f aca="false">(1-AP86)*(AP52+AP53)/MAX(Time!AP31,1)*Inputs!$F$170</f>
        <v>2.59221084489312</v>
      </c>
      <c r="AQ91" s="13" t="n">
        <f aca="false">(1-AQ86)*(AQ52+AQ53)/MAX(Time!AQ31,1)*Inputs!$F$170</f>
        <v>2.63737591650264</v>
      </c>
      <c r="AR91" s="13" t="n">
        <f aca="false">(1-AR86)*(AR52+AR53)/MAX(Time!AR31,1)*Inputs!$F$170</f>
        <v>2.63407328312245</v>
      </c>
      <c r="AS91" s="13" t="n">
        <f aca="false">(1-AS86)*(AS52+AS53)/MAX(Time!AS31,1)*Inputs!$F$170</f>
        <v>2.67112840347867</v>
      </c>
      <c r="AT91" s="13" t="n">
        <f aca="false">(1-AT86)*(AT52+AT53)/MAX(Time!AT31,1)*Inputs!$F$170</f>
        <v>2.6556930611405</v>
      </c>
      <c r="AU91" s="13" t="n">
        <f aca="false">(1-AU86)*(AU52+AU53)/MAX(Time!AU31,1)*Inputs!$F$170</f>
        <v>2.70678466673966</v>
      </c>
      <c r="AV91" s="13" t="n">
        <f aca="false">(1-AV86)*(AV52+AV53)/MAX(Time!AV31,1)*Inputs!$F$170</f>
        <v>2.71345102145455</v>
      </c>
      <c r="AW91" s="13" t="n">
        <f aca="false">(1-AW86)*(AW52+AW53)/MAX(Time!AW31,1)*Inputs!$F$170</f>
        <v>2.75857676110061</v>
      </c>
      <c r="AX91" s="13" t="n">
        <f aca="false">(1-AX86)*(AX52+AX53)/MAX(Time!AX31,1)*Inputs!$F$170</f>
        <v>2.75080135786519</v>
      </c>
      <c r="AY91" s="13" t="n">
        <f aca="false">(1-AY86)*(AY52+AY53)/MAX(Time!AY31,1)*Inputs!$F$170</f>
        <v>2.79871865964474</v>
      </c>
      <c r="AZ91" s="13" t="n">
        <f aca="false">(1-AZ86)*(AZ52+AZ53)/MAX(Time!AZ31,1)*Inputs!$F$170</f>
        <v>2.79521583705212</v>
      </c>
      <c r="BA91" s="13" t="n">
        <f aca="false">(1-BA86)*(BA52+BA53)/MAX(Time!BA31,1)*Inputs!$F$170</f>
        <v>2.83690411740713</v>
      </c>
      <c r="BB91" s="13" t="n">
        <f aca="false">(1-BB86)*(BB52+BB53)/MAX(Time!BB31,1)*Inputs!$F$170</f>
        <v>2.82519556935775</v>
      </c>
      <c r="BC91" s="13" t="n">
        <f aca="false">(1-BC86)*(BC52+BC53)/MAX(Time!BC31,1)*Inputs!$F$170</f>
        <v>2.87720374526471</v>
      </c>
      <c r="BD91" s="13" t="n">
        <f aca="false">(1-BD86)*(BD52+BD53)/MAX(Time!BD31,1)*Inputs!$F$170</f>
        <v>2.8794393636085</v>
      </c>
      <c r="BE91" s="13" t="n">
        <f aca="false">(1-BE86)*(BE52+BE53)/MAX(Time!BE31,1)*Inputs!$F$170</f>
        <v>2.92731676410002</v>
      </c>
      <c r="BF91" s="13" t="n">
        <f aca="false">(1-BF86)*(BF52+BF53)/MAX(Time!BF31,1)*Inputs!$F$170</f>
        <v>2.91907379649078</v>
      </c>
      <c r="BG91" s="13" t="n">
        <f aca="false">(1-BG86)*(BG52+BG53)/MAX(Time!BG31,1)*Inputs!$F$170</f>
        <v>2.96991031270186</v>
      </c>
      <c r="BH91" s="13" t="n">
        <f aca="false">(1-BH86)*(BH52+BH53)/MAX(Time!BH31,1)*Inputs!$F$170</f>
        <v>2.96619537983784</v>
      </c>
      <c r="BI91" s="13" t="n">
        <f aca="false">(1-BI86)*(BI52+BI53)/MAX(Time!BI31,1)*Inputs!$F$170</f>
        <v>3.00792433232461</v>
      </c>
      <c r="BJ91" s="13" t="n">
        <f aca="false">(1-BJ86)*(BJ52+BJ53)/MAX(Time!BJ31,1)*Inputs!$F$170</f>
        <v>2.99058276412042</v>
      </c>
      <c r="BK91" s="13" t="n">
        <f aca="false">(1-BK86)*(BK52+BK53)/MAX(Time!BK31,1)*Inputs!$F$170</f>
        <v>3.04807833356013</v>
      </c>
      <c r="BL91" s="13" t="n">
        <f aca="false">(1-BL86)*(BL52+BL53)/MAX(Time!BL31,1)*Inputs!$F$170</f>
        <v>3.05555987356403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1.42675699789159</v>
      </c>
      <c r="P92" s="13" t="n">
        <f aca="false">(1-P86)*(P60+P61+P62+P64)/MAX(Time!P31,1)*Inputs!$F$171</f>
        <v>1.43452699737803</v>
      </c>
      <c r="Q92" s="13" t="n">
        <f aca="false">(1-Q86)*(Q60+Q61+Q62+Q64)/MAX(Time!Q31,1)*Inputs!$F$171</f>
        <v>1.46886259271787</v>
      </c>
      <c r="R92" s="13" t="n">
        <f aca="false">(1-R86)*(R60+R61+R62+R64)/MAX(Time!R31,1)*Inputs!$F$171</f>
        <v>1.44999080313366</v>
      </c>
      <c r="S92" s="13" t="n">
        <f aca="false">(1-S86)*(S60+S61+S62+S64)/MAX(Time!S31,1)*Inputs!$F$171</f>
        <v>1.49566371033299</v>
      </c>
      <c r="T92" s="13" t="n">
        <f aca="false">(1-T86)*(T60+T61+T62+T64)/MAX(Time!T31,1)*Inputs!$F$171</f>
        <v>1.49834049632939</v>
      </c>
      <c r="U92" s="13" t="n">
        <f aca="false">(1-U86)*(U60+U61+U62+U64)/MAX(Time!U31,1)*Inputs!$F$171</f>
        <v>1.51145193758609</v>
      </c>
      <c r="V92" s="13" t="n">
        <f aca="false">(1-V86)*(V60+V61+V62+V64)/MAX(Time!V31,1)*Inputs!$F$171</f>
        <v>1.47152872243661</v>
      </c>
      <c r="W92" s="13" t="n">
        <f aca="false">(1-W86)*(W60+W61+W62+W64)/MAX(Time!W31,1)*Inputs!$F$171</f>
        <v>1.53276122087047</v>
      </c>
      <c r="X92" s="13" t="n">
        <f aca="false">(1-X86)*(X60+X61+X62+X64)/MAX(Time!X31,1)*Inputs!$F$171</f>
        <v>1.56499267496811</v>
      </c>
      <c r="Y92" s="13" t="n">
        <f aca="false">(1-Y86)*(Y60+Y61+Y62+Y64)/MAX(Time!Y31,1)*Inputs!$F$171</f>
        <v>1.60245098373171</v>
      </c>
      <c r="Z92" s="13" t="n">
        <f aca="false">(1-Z86)*(Z60+Z61+Z62+Z64)/MAX(Time!Z31,1)*Inputs!$F$171</f>
        <v>1.58186286477905</v>
      </c>
      <c r="AA92" s="13" t="n">
        <f aca="false">(1-AA86)*(AA60+AA61+AA62+AA64)/MAX(Time!AA31,1)*Inputs!$F$171</f>
        <v>1.63168957793404</v>
      </c>
      <c r="AB92" s="13" t="n">
        <f aca="false">(1-AB86)*(AB60+AB61+AB62+AB64)/MAX(Time!AB31,1)*Inputs!$F$171</f>
        <v>1.63460980912139</v>
      </c>
      <c r="AC92" s="13" t="n">
        <f aca="false">(1-AC86)*(AC60+AC61+AC62+AC64)/MAX(Time!AC31,1)*Inputs!$F$171</f>
        <v>1.63600660111921</v>
      </c>
      <c r="AD92" s="13" t="n">
        <f aca="false">(1-AD86)*(AD60+AD61+AD62+AD64)/MAX(Time!AD31,1)*Inputs!$F$171</f>
        <v>1.57275377176912</v>
      </c>
      <c r="AE92" s="13" t="n">
        <f aca="false">(1-AE86)*(AE60+AE61+AE62+AE64)/MAX(Time!AE31,1)*Inputs!$F$171</f>
        <v>1.6456331333066</v>
      </c>
      <c r="AF92" s="13" t="n">
        <f aca="false">(1-AF86)*(AF60+AF61+AF62+AF64)/MAX(Time!AF31,1)*Inputs!$F$171</f>
        <v>1.70732379187034</v>
      </c>
      <c r="AG92" s="13" t="n">
        <f aca="false">(1-AG86)*(AG60+AG61+AG62+AG64)/MAX(Time!AG31,1)*Inputs!$F$171</f>
        <v>1.74818881493292</v>
      </c>
      <c r="AH92" s="13" t="n">
        <f aca="false">(1-AH86)*(AH60+AH61+AH62+AH64)/MAX(Time!AH31,1)*Inputs!$F$171</f>
        <v>1.72572827190293</v>
      </c>
      <c r="AI92" s="13" t="n">
        <f aca="false">(1-AI86)*(AI60+AI61+AI62+AI64)/MAX(Time!AI31,1)*Inputs!$F$171</f>
        <v>1.78008656648214</v>
      </c>
      <c r="AJ92" s="13" t="n">
        <f aca="false">(1-AJ86)*(AJ60+AJ61+AJ62+AJ64)/MAX(Time!AJ31,1)*Inputs!$F$171</f>
        <v>1.7832723834279</v>
      </c>
      <c r="AK92" s="13" t="n">
        <f aca="false">(1-AK86)*(AK60+AK61+AK62+AK64)/MAX(Time!AK31,1)*Inputs!$F$171</f>
        <v>1.79887716161904</v>
      </c>
      <c r="AL92" s="13" t="n">
        <f aca="false">(1-AL86)*(AL60+AL61+AL62+AL64)/MAX(Time!AL31,1)*Inputs!$F$171</f>
        <v>1.75136194915022</v>
      </c>
      <c r="AM92" s="13" t="n">
        <f aca="false">(1-AM86)*(AM60+AM61+AM62+AM64)/MAX(Time!AM31,1)*Inputs!$F$171</f>
        <v>1.82423872428437</v>
      </c>
      <c r="AN92" s="13" t="n">
        <f aca="false">(1-AN86)*(AN60+AN61+AN62+AN64)/MAX(Time!AN31,1)*Inputs!$F$171</f>
        <v>1.86259947213231</v>
      </c>
      <c r="AO92" s="13" t="n">
        <f aca="false">(1-AO86)*(AO60+AO61+AO62+AO64)/MAX(Time!AO31,1)*Inputs!$F$171</f>
        <v>1.9071810393473</v>
      </c>
      <c r="AP92" s="13" t="n">
        <f aca="false">(1-AP86)*(AP60+AP61+AP62+AP64)/MAX(Time!AP31,1)*Inputs!$F$171</f>
        <v>1.88267778121275</v>
      </c>
      <c r="AQ92" s="13" t="n">
        <f aca="false">(1-AQ86)*(AQ60+AQ61+AQ62+AQ64)/MAX(Time!AQ31,1)*Inputs!$F$171</f>
        <v>1.94197979016462</v>
      </c>
      <c r="AR92" s="13" t="n">
        <f aca="false">(1-AR86)*(AR60+AR61+AR62+AR64)/MAX(Time!AR31,1)*Inputs!$F$171</f>
        <v>1.94545534705064</v>
      </c>
      <c r="AS92" s="13" t="n">
        <f aca="false">(1-AS86)*(AS60+AS61+AS62+AS64)/MAX(Time!AS31,1)*Inputs!$F$171</f>
        <v>1.94711775996761</v>
      </c>
      <c r="AT92" s="13" t="n">
        <f aca="false">(1-AT86)*(AT60+AT61+AT62+AT64)/MAX(Time!AT31,1)*Inputs!$F$171</f>
        <v>1.87183645773355</v>
      </c>
      <c r="AU92" s="13" t="n">
        <f aca="false">(1-AU86)*(AU60+AU61+AU62+AU64)/MAX(Time!AU31,1)*Inputs!$F$171</f>
        <v>1.95857492143392</v>
      </c>
      <c r="AV92" s="13" t="n">
        <f aca="false">(1-AV86)*(AV60+AV61+AV62+AV64)/MAX(Time!AV31,1)*Inputs!$F$171</f>
        <v>2.03199698270884</v>
      </c>
      <c r="AW92" s="13" t="n">
        <f aca="false">(1-AW86)*(AW60+AW61+AW62+AW64)/MAX(Time!AW31,1)*Inputs!$F$171</f>
        <v>2.08063310197156</v>
      </c>
      <c r="AX92" s="13" t="n">
        <f aca="false">(1-AX86)*(AX60+AX61+AX62+AX64)/MAX(Time!AX31,1)*Inputs!$F$171</f>
        <v>2.05390135027674</v>
      </c>
      <c r="AY92" s="13" t="n">
        <f aca="false">(1-AY86)*(AY60+AY61+AY62+AY64)/MAX(Time!AY31,1)*Inputs!$F$171</f>
        <v>2.11859668873339</v>
      </c>
      <c r="AZ92" s="13" t="n">
        <f aca="false">(1-AZ86)*(AZ60+AZ61+AZ62+AZ64)/MAX(Time!AZ31,1)*Inputs!$F$171</f>
        <v>2.12238833648766</v>
      </c>
      <c r="BA92" s="13" t="n">
        <f aca="false">(1-BA86)*(BA60+BA61+BA62+BA64)/MAX(Time!BA31,1)*Inputs!$F$171</f>
        <v>2.14096059697581</v>
      </c>
      <c r="BB92" s="13" t="n">
        <f aca="false">(1-BB86)*(BB60+BB61+BB62+BB64)/MAX(Time!BB31,1)*Inputs!$F$171</f>
        <v>2.08440965518659</v>
      </c>
      <c r="BC92" s="13" t="n">
        <f aca="false">(1-BC86)*(BC60+BC61+BC62+BC64)/MAX(Time!BC31,1)*Inputs!$F$171</f>
        <v>2.17114504064029</v>
      </c>
      <c r="BD92" s="13" t="n">
        <f aca="false">(1-BD86)*(BD60+BD61+BD62+BD64)/MAX(Time!BD31,1)*Inputs!$F$171</f>
        <v>2.21680065924798</v>
      </c>
      <c r="BE92" s="13" t="n">
        <f aca="false">(1-BE86)*(BE60+BE61+BE62+BE64)/MAX(Time!BE31,1)*Inputs!$F$171</f>
        <v>2.26986007919905</v>
      </c>
      <c r="BF92" s="13" t="n">
        <f aca="false">(1-BF86)*(BF60+BF61+BF62+BF64)/MAX(Time!BF31,1)*Inputs!$F$171</f>
        <v>2.24069715952732</v>
      </c>
      <c r="BG92" s="13" t="n">
        <f aca="false">(1-BG86)*(BG60+BG61+BG62+BG64)/MAX(Time!BG31,1)*Inputs!$F$171</f>
        <v>2.31127633369016</v>
      </c>
      <c r="BH92" s="13" t="n">
        <f aca="false">(1-BH86)*(BH60+BH61+BH62+BH64)/MAX(Time!BH31,1)*Inputs!$F$171</f>
        <v>2.31541281977396</v>
      </c>
      <c r="BI92" s="13" t="n">
        <f aca="false">(1-BI86)*(BI60+BI61+BI62+BI64)/MAX(Time!BI31,1)*Inputs!$F$171</f>
        <v>2.31739136540625</v>
      </c>
      <c r="BJ92" s="13" t="n">
        <f aca="false">(1-BJ86)*(BJ60+BJ61+BJ62+BJ64)/MAX(Time!BJ31,1)*Inputs!$F$171</f>
        <v>2.22779419601026</v>
      </c>
      <c r="BK92" s="13" t="n">
        <f aca="false">(1-BK86)*(BK60+BK61+BK62+BK64)/MAX(Time!BK31,1)*Inputs!$F$171</f>
        <v>2.3310272777275</v>
      </c>
      <c r="BL92" s="13" t="n">
        <f aca="false">(1-BL86)*(BL60+BL61+BL62+BL64)/MAX(Time!BL31,1)*Inputs!$F$171</f>
        <v>2.41841164364879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1.047714911597</v>
      </c>
      <c r="P93" s="13" t="n">
        <f aca="false">(1-P86)*(P65+P66+P67+P68+P69+P70+P71)/MAX(Time!P31,1)*Inputs!$F$172</f>
        <v>1.05240263586527</v>
      </c>
      <c r="Q93" s="13" t="n">
        <f aca="false">(1-Q86)*(Q65+Q66+Q67+Q68+Q69+Q70+Q71)/MAX(Time!Q31,1)*Inputs!$F$172</f>
        <v>1.07969881494736</v>
      </c>
      <c r="R93" s="13" t="n">
        <f aca="false">(1-R86)*(R65+R66+R67+R68+R69+R70+R71)/MAX(Time!R31,1)*Inputs!$F$172</f>
        <v>1.07113342340371</v>
      </c>
      <c r="S93" s="13" t="n">
        <f aca="false">(1-S86)*(S65+S66+S67+S68+S69+S70+S71)/MAX(Time!S31,1)*Inputs!$F$172</f>
        <v>1.10047342668385</v>
      </c>
      <c r="T93" s="13" t="n">
        <f aca="false">(1-T86)*(T65+T66+T67+T68+T69+T70+T71)/MAX(Time!T31,1)*Inputs!$F$172</f>
        <v>1.09482482297515</v>
      </c>
      <c r="U93" s="13" t="n">
        <f aca="false">(1-U86)*(U65+U66+U67+U68+U69+U70+U71)/MAX(Time!U31,1)*Inputs!$F$172</f>
        <v>1.11508454458583</v>
      </c>
      <c r="V93" s="13" t="n">
        <f aca="false">(1-V86)*(V65+V66+V67+V68+V69+V70+V71)/MAX(Time!V31,1)*Inputs!$F$172</f>
        <v>1.10838335319313</v>
      </c>
      <c r="W93" s="13" t="n">
        <f aca="false">(1-W86)*(W65+W66+W67+W68+W69+W70+W71)/MAX(Time!W31,1)*Inputs!$F$172</f>
        <v>1.140836281261</v>
      </c>
      <c r="X93" s="13" t="n">
        <f aca="false">(1-X86)*(X65+X66+X67+X68+X69+X70+X71)/MAX(Time!X31,1)*Inputs!$F$172</f>
        <v>1.13910201966021</v>
      </c>
      <c r="Y93" s="13" t="n">
        <f aca="false">(1-Y86)*(Y65+Y66+Y67+Y68+Y69+Y70+Y71)/MAX(Time!Y31,1)*Inputs!$F$172</f>
        <v>1.16871949830982</v>
      </c>
      <c r="Z93" s="13" t="n">
        <f aca="false">(1-Z86)*(Z65+Z66+Z67+Z68+Z69+Z70+Z71)/MAX(Time!Z31,1)*Inputs!$F$172</f>
        <v>1.15951793198327</v>
      </c>
      <c r="AA93" s="13" t="n">
        <f aca="false">(1-AA86)*(AA65+AA66+AA67+AA68+AA69+AA70+AA71)/MAX(Time!AA31,1)*Inputs!$F$172</f>
        <v>1.19135458701563</v>
      </c>
      <c r="AB93" s="13" t="n">
        <f aca="false">(1-AB86)*(AB65+AB66+AB67+AB68+AB69+AB70+AB71)/MAX(Time!AB31,1)*Inputs!$F$172</f>
        <v>1.18531531627464</v>
      </c>
      <c r="AC93" s="13" t="n">
        <f aca="false">(1-AC86)*(AC65+AC66+AC67+AC68+AC69+AC70+AC71)/MAX(Time!AC31,1)*Inputs!$F$172</f>
        <v>1.20552667967728</v>
      </c>
      <c r="AD93" s="13" t="n">
        <f aca="false">(1-AD86)*(AD65+AD66+AD67+AD68+AD69+AD70+AD71)/MAX(Time!AD31,1)*Inputs!$F$172</f>
        <v>1.193930069325</v>
      </c>
      <c r="AE93" s="13" t="n">
        <f aca="false">(1-AE86)*(AE65+AE66+AE67+AE68+AE69+AE70+AE71)/MAX(Time!AE31,1)*Inputs!$F$172</f>
        <v>1.23166783420816</v>
      </c>
      <c r="AF93" s="13" t="n">
        <f aca="false">(1-AF86)*(AF65+AF66+AF67+AF68+AF69+AF70+AF71)/MAX(Time!AF31,1)*Inputs!$F$172</f>
        <v>1.23354934687763</v>
      </c>
      <c r="AG93" s="13" t="n">
        <f aca="false">(1-AG86)*(AG65+AG66+AG67+AG68+AG69+AG70+AG71)/MAX(Time!AG31,1)*Inputs!$F$172</f>
        <v>1.26569589365743</v>
      </c>
      <c r="AH93" s="13" t="n">
        <f aca="false">(1-AH86)*(AH65+AH66+AH67+AH68+AH69+AH70+AH71)/MAX(Time!AH31,1)*Inputs!$F$172</f>
        <v>1.25580196905223</v>
      </c>
      <c r="AI93" s="13" t="n">
        <f aca="false">(1-AI86)*(AI65+AI66+AI67+AI68+AI69+AI70+AI71)/MAX(Time!AI31,1)*Inputs!$F$172</f>
        <v>1.29035803471421</v>
      </c>
      <c r="AJ93" s="13" t="n">
        <f aca="false">(1-AJ86)*(AJ65+AJ66+AJ67+AJ68+AJ69+AJ70+AJ71)/MAX(Time!AJ31,1)*Inputs!$F$172</f>
        <v>1.28389244404594</v>
      </c>
      <c r="AK93" s="13" t="n">
        <f aca="false">(1-AK86)*(AK65+AK66+AK67+AK68+AK69+AK70+AK71)/MAX(Time!AK31,1)*Inputs!$F$172</f>
        <v>1.30779656934452</v>
      </c>
      <c r="AL93" s="13" t="n">
        <f aca="false">(1-AL86)*(AL65+AL66+AL67+AL68+AL69+AL70+AL71)/MAX(Time!AL31,1)*Inputs!$F$172</f>
        <v>1.3000735282958</v>
      </c>
      <c r="AM93" s="13" t="n">
        <f aca="false">(1-AM86)*(AM65+AM66+AM67+AM68+AM69+AM70+AM71)/MAX(Time!AM31,1)*Inputs!$F$172</f>
        <v>1.33830278937149</v>
      </c>
      <c r="AN93" s="13" t="n">
        <f aca="false">(1-AN86)*(AN65+AN66+AN67+AN68+AN69+AN70+AN71)/MAX(Time!AN31,1)*Inputs!$F$172</f>
        <v>1.33643680044758</v>
      </c>
      <c r="AO93" s="13" t="n">
        <f aca="false">(1-AO86)*(AO65+AO66+AO67+AO68+AO69+AO70+AO71)/MAX(Time!AO31,1)*Inputs!$F$172</f>
        <v>1.37133877547933</v>
      </c>
      <c r="AP93" s="13" t="n">
        <f aca="false">(1-AP86)*(AP65+AP66+AP67+AP68+AP69+AP70+AP71)/MAX(Time!AP31,1)*Inputs!$F$172</f>
        <v>1.36069135168703</v>
      </c>
      <c r="AQ93" s="13" t="n">
        <f aca="false">(1-AQ86)*(AQ65+AQ66+AQ67+AQ68+AQ69+AQ70+AQ71)/MAX(Time!AQ31,1)*Inputs!$F$172</f>
        <v>1.39820945466331</v>
      </c>
      <c r="AR93" s="13" t="n">
        <f aca="false">(1-AR86)*(AR65+AR66+AR67+AR68+AR69+AR70+AR71)/MAX(Time!AR31,1)*Inputs!$F$172</f>
        <v>1.39127863747152</v>
      </c>
      <c r="AS93" s="13" t="n">
        <f aca="false">(1-AS86)*(AS65+AS66+AS67+AS68+AS69+AS70+AS71)/MAX(Time!AS31,1)*Inputs!$F$172</f>
        <v>1.41514781277436</v>
      </c>
      <c r="AT93" s="13" t="n">
        <f aca="false">(1-AT86)*(AT65+AT66+AT67+AT68+AT69+AT70+AT71)/MAX(Time!AT31,1)*Inputs!$F$172</f>
        <v>1.40175731271565</v>
      </c>
      <c r="AU93" s="13" t="n">
        <f aca="false">(1-AU86)*(AU65+AU66+AU67+AU68+AU69+AU70+AU71)/MAX(Time!AU31,1)*Inputs!$F$172</f>
        <v>1.44613980021092</v>
      </c>
      <c r="AV93" s="13" t="n">
        <f aca="false">(1-AV86)*(AV65+AV66+AV67+AV68+AV69+AV70+AV71)/MAX(Time!AV31,1)*Inputs!$F$172</f>
        <v>1.44851838122172</v>
      </c>
      <c r="AW93" s="13" t="n">
        <f aca="false">(1-AW86)*(AW65+AW66+AW67+AW68+AW69+AW70+AW71)/MAX(Time!AW31,1)*Inputs!$F$172</f>
        <v>1.48642239935157</v>
      </c>
      <c r="AX93" s="13" t="n">
        <f aca="false">(1-AX86)*(AX65+AX66+AX67+AX68+AX69+AX70+AX71)/MAX(Time!AX31,1)*Inputs!$F$172</f>
        <v>1.474954941041</v>
      </c>
      <c r="AY93" s="13" t="n">
        <f aca="false">(1-AY86)*(AY65+AY66+AY67+AY68+AY69+AY70+AY71)/MAX(Time!AY31,1)*Inputs!$F$172</f>
        <v>1.51569934714044</v>
      </c>
      <c r="AZ93" s="13" t="n">
        <f aca="false">(1-AZ86)*(AZ65+AZ66+AZ67+AZ68+AZ69+AZ70+AZ71)/MAX(Time!AZ31,1)*Inputs!$F$172</f>
        <v>1.50826084619678</v>
      </c>
      <c r="BA93" s="13" t="n">
        <f aca="false">(1-BA86)*(BA65+BA66+BA67+BA68+BA69+BA70+BA71)/MAX(Time!BA31,1)*Inputs!$F$172</f>
        <v>1.53649560164043</v>
      </c>
      <c r="BB93" s="13" t="n">
        <f aca="false">(1-BB86)*(BB65+BB66+BB67+BB68+BB69+BB70+BB71)/MAX(Time!BB31,1)*Inputs!$F$172</f>
        <v>1.52757160702165</v>
      </c>
      <c r="BC93" s="13" t="n">
        <f aca="false">(1-BC86)*(BC65+BC66+BC67+BC68+BC69+BC70+BC71)/MAX(Time!BC31,1)*Inputs!$F$172</f>
        <v>1.57264999503938</v>
      </c>
      <c r="BD93" s="13" t="n">
        <f aca="false">(1-BD86)*(BD65+BD66+BD67+BD68+BD69+BD70+BD71)/MAX(Time!BD31,1)*Inputs!$F$172</f>
        <v>1.57061542699079</v>
      </c>
      <c r="BE93" s="13" t="n">
        <f aca="false">(1-BE86)*(BE65+BE66+BE67+BE68+BE69+BE70+BE71)/MAX(Time!BE31,1)*Inputs!$F$172</f>
        <v>1.61179016969685</v>
      </c>
      <c r="BF93" s="13" t="n">
        <f aca="false">(1-BF86)*(BF65+BF66+BF67+BF68+BF69+BF70+BF71)/MAX(Time!BF31,1)*Inputs!$F$172</f>
        <v>1.59943027161926</v>
      </c>
      <c r="BG93" s="13" t="n">
        <f aca="false">(1-BG86)*(BG65+BG66+BG67+BG68+BG69+BG70+BG71)/MAX(Time!BG31,1)*Inputs!$F$172</f>
        <v>1.64368881495004</v>
      </c>
      <c r="BH93" s="13" t="n">
        <f aca="false">(1-BH86)*(BH65+BH66+BH67+BH68+BH69+BH70+BH71)/MAX(Time!BH31,1)*Inputs!$F$172</f>
        <v>1.63569629836567</v>
      </c>
      <c r="BI93" s="13" t="n">
        <f aca="false">(1-BI86)*(BI65+BI66+BI67+BI68+BI69+BI70+BI71)/MAX(Time!BI31,1)*Inputs!$F$172</f>
        <v>1.66391636033496</v>
      </c>
      <c r="BJ93" s="13" t="n">
        <f aca="false">(1-BJ86)*(BJ65+BJ66+BJ67+BJ68+BJ69+BJ70+BJ71)/MAX(Time!BJ31,1)*Inputs!$F$172</f>
        <v>1.64841727086002</v>
      </c>
      <c r="BK93" s="13" t="n">
        <f aca="false">(1-BK86)*(BK65+BK66+BK67+BK68+BK69+BK70+BK71)/MAX(Time!BK31,1)*Inputs!$F$172</f>
        <v>1.70067543291052</v>
      </c>
      <c r="BL93" s="13" t="n">
        <f aca="false">(1-BL86)*(BL65+BL66+BL67+BL68+BL69+BL70+BL71)/MAX(Time!BL31,1)*Inputs!$F$172</f>
        <v>1.70362262406014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14.6447973823987</v>
      </c>
      <c r="P95" s="13" t="n">
        <f aca="false">P88+P89-P90-P91-P92-P93-P94</f>
        <v>14.6088056379873</v>
      </c>
      <c r="Q95" s="13" t="n">
        <f aca="false">Q88+Q89-Q90-Q91-Q92-Q93-Q94</f>
        <v>14.8924266361327</v>
      </c>
      <c r="R95" s="13" t="n">
        <f aca="false">R88+R89-R90-R91-R92-R93-R94</f>
        <v>14.7071237407125</v>
      </c>
      <c r="S95" s="13" t="n">
        <f aca="false">S88+S89-S90-S91-S92-S93-S94</f>
        <v>14.9899129816954</v>
      </c>
      <c r="T95" s="13" t="n">
        <f aca="false">T88+T89-T90-T91-T92-T93-T94</f>
        <v>14.7974356676351</v>
      </c>
      <c r="U95" s="13" t="n">
        <f aca="false">U88+U89-U90-U91-U92-U93-U94</f>
        <v>15.0128759475563</v>
      </c>
      <c r="V95" s="13" t="n">
        <f aca="false">V88+V89-V90-V91-V92-V93-V94</f>
        <v>14.9132867208288</v>
      </c>
      <c r="W95" s="13" t="n">
        <f aca="false">W88+W89-W90-W91-W92-W93-W94</f>
        <v>15.1966278353905</v>
      </c>
      <c r="X95" s="13" t="n">
        <f aca="false">X88+X89-X90-X91-X92-X93-X94</f>
        <v>14.9936958442854</v>
      </c>
      <c r="Y95" s="13" t="n">
        <f aca="false">Y88+Y89-Y90-Y91-Y92-Y93-Y94</f>
        <v>15.2872560032517</v>
      </c>
      <c r="Z95" s="13" t="n">
        <f aca="false">Z88+Z89-Z90-Z91-Z92-Z93-Z94</f>
        <v>15.1003805893383</v>
      </c>
      <c r="AA95" s="13" t="n">
        <f aca="false">AA88+AA89-AA90-AA91-AA92-AA93-AA94</f>
        <v>15.3928799616749</v>
      </c>
      <c r="AB95" s="13" t="n">
        <f aca="false">AB88+AB89-AB90-AB91-AB92-AB93-AB94</f>
        <v>15.1979010144298</v>
      </c>
      <c r="AC95" s="13" t="n">
        <f aca="false">AC88+AC89-AC90-AC91-AC92-AC93-AC94</f>
        <v>15.4265157371887</v>
      </c>
      <c r="AD95" s="13" t="n">
        <f aca="false">AD88+AD89-AD90-AD91-AD92-AD93-AD94</f>
        <v>15.1064085831794</v>
      </c>
      <c r="AE95" s="13" t="n">
        <f aca="false">AE88+AE89-AE90-AE91-AE92-AE93-AE94</f>
        <v>15.6257694951207</v>
      </c>
      <c r="AF95" s="13" t="n">
        <f aca="false">AF88+AF89-AF90-AF91-AF92-AF93-AF94</f>
        <v>15.4103792317323</v>
      </c>
      <c r="AG95" s="13" t="n">
        <f aca="false">AG88+AG89-AG90-AG91-AG92-AG93-AG94</f>
        <v>15.7147150909138</v>
      </c>
      <c r="AH95" s="13" t="n">
        <f aca="false">AH88+AH89-AH90-AH91-AH92-AH93-AH94</f>
        <v>15.5261548019374</v>
      </c>
      <c r="AI95" s="13" t="n">
        <f aca="false">AI88+AI89-AI90-AI91-AI92-AI93-AI94</f>
        <v>15.8291692824181</v>
      </c>
      <c r="AJ95" s="13" t="n">
        <f aca="false">AJ88+AJ89-AJ90-AJ91-AJ92-AJ93-AJ94</f>
        <v>15.6314723183686</v>
      </c>
      <c r="AK95" s="13" t="n">
        <f aca="false">AK88+AK89-AK90-AK91-AK92-AK93-AK94</f>
        <v>15.8657097821148</v>
      </c>
      <c r="AL95" s="13" t="n">
        <f aca="false">AL88+AL89-AL90-AL91-AL92-AL93-AL94</f>
        <v>15.7692689091246</v>
      </c>
      <c r="AM95" s="13" t="n">
        <f aca="false">AM88+AM89-AM90-AM91-AM92-AM93-AM94</f>
        <v>16.0724849736486</v>
      </c>
      <c r="AN95" s="13" t="n">
        <f aca="false">AN88+AN89-AN90-AN91-AN92-AN93-AN94</f>
        <v>15.8615364504666</v>
      </c>
      <c r="AO95" s="13" t="n">
        <f aca="false">AO88+AO89-AO90-AO91-AO92-AO93-AO94</f>
        <v>16.177556226055</v>
      </c>
      <c r="AP95" s="13" t="n">
        <f aca="false">AP88+AP89-AP90-AP91-AP92-AP93-AP94</f>
        <v>15.9871905290723</v>
      </c>
      <c r="AQ95" s="13" t="n">
        <f aca="false">AQ88+AQ89-AQ90-AQ91-AQ92-AQ93-AQ94</f>
        <v>16.3015931494833</v>
      </c>
      <c r="AR95" s="13" t="n">
        <f aca="false">AR88+AR89-AR90-AR91-AR92-AR93-AR94</f>
        <v>16.1009427686929</v>
      </c>
      <c r="AS95" s="13" t="n">
        <f aca="false">AS88+AS89-AS90-AS91-AS92-AS93-AS94</f>
        <v>16.3511120153871</v>
      </c>
      <c r="AT95" s="13" t="n">
        <f aca="false">AT88+AT89-AT90-AT91-AT92-AT93-AT94</f>
        <v>16.0201693046664</v>
      </c>
      <c r="AU95" s="13" t="n">
        <f aca="false">AU88+AU89-AU90-AU91-AU92-AU93-AU94</f>
        <v>16.5766127073675</v>
      </c>
      <c r="AV95" s="13" t="n">
        <f aca="false">AV88+AV89-AV90-AV91-AV92-AV93-AV94</f>
        <v>16.3500780150713</v>
      </c>
      <c r="AW95" s="13" t="n">
        <f aca="false">AW88+AW89-AW90-AW91-AW92-AW93-AW94</f>
        <v>16.6787678322506</v>
      </c>
      <c r="AX95" s="13" t="n">
        <f aca="false">AX88+AX89-AX90-AX91-AX92-AX93-AX94</f>
        <v>16.4864674076618</v>
      </c>
      <c r="AY95" s="13" t="n">
        <f aca="false">AY88+AY89-AY90-AY91-AY92-AY93-AY94</f>
        <v>16.8132051048329</v>
      </c>
      <c r="AZ95" s="13" t="n">
        <f aca="false">AZ88+AZ89-AZ90-AZ91-AZ92-AZ93-AZ94</f>
        <v>16.6093451971706</v>
      </c>
      <c r="BA95" s="13" t="n">
        <f aca="false">BA88+BA89-BA90-BA91-BA92-BA93-BA94</f>
        <v>16.8657425438866</v>
      </c>
      <c r="BB95" s="13" t="n">
        <f aca="false">BB88+BB89-BB90-BB91-BB92-BB93-BB94</f>
        <v>16.7732661114035</v>
      </c>
      <c r="BC95" s="13" t="n">
        <f aca="false">BC88+BC89-BC90-BC91-BC92-BC93-BC94</f>
        <v>17.0997227349178</v>
      </c>
      <c r="BD95" s="13" t="n">
        <f aca="false">BD88+BD89-BD90-BD91-BD92-BD93-BD94</f>
        <v>16.879164280846</v>
      </c>
      <c r="BE95" s="13" t="n">
        <f aca="false">BE88+BE89-BE90-BE91-BE92-BE93-BE94</f>
        <v>17.2215949542109</v>
      </c>
      <c r="BF95" s="13" t="n">
        <f aca="false">BF88+BF89-BF90-BF91-BF92-BF93-BF94</f>
        <v>17.0272210384633</v>
      </c>
      <c r="BG95" s="13" t="n">
        <f aca="false">BG88+BG89-BG90-BG91-BG92-BG93-BG94</f>
        <v>17.3673210140524</v>
      </c>
      <c r="BH95" s="13" t="n">
        <f aca="false">BH88+BH89-BH90-BH91-BH92-BH93-BH94</f>
        <v>17.1599729127699</v>
      </c>
      <c r="BI95" s="13" t="n">
        <f aca="false">BI88+BI89-BI90-BI91-BI92-BI93-BI94</f>
        <v>17.4356221313738</v>
      </c>
      <c r="BJ95" s="13" t="n">
        <f aca="false">BJ88+BJ89-BJ90-BJ91-BJ92-BJ93-BJ94</f>
        <v>17.0921177260329</v>
      </c>
      <c r="BK95" s="13" t="n">
        <f aca="false">BK88+BK89-BK90-BK91-BK92-BK93-BK94</f>
        <v>17.6922057741285</v>
      </c>
      <c r="BL95" s="13" t="n">
        <f aca="false">BL88+BL89-BL90-BL91-BL92-BL93-BL94</f>
        <v>17.4522271740438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14.6447973823987</v>
      </c>
      <c r="P96" s="13" t="n">
        <f aca="false">P95-O95</f>
        <v>-0.0359917444114046</v>
      </c>
      <c r="Q96" s="13" t="n">
        <f aca="false">Q95-P95</f>
        <v>0.283620998145381</v>
      </c>
      <c r="R96" s="13" t="n">
        <f aca="false">R95-Q95</f>
        <v>-0.185302895420223</v>
      </c>
      <c r="S96" s="13" t="n">
        <f aca="false">S95-R95</f>
        <v>0.282789240982892</v>
      </c>
      <c r="T96" s="13" t="n">
        <f aca="false">T95-S95</f>
        <v>-0.19247731406027</v>
      </c>
      <c r="U96" s="13" t="n">
        <f aca="false">U95-T95</f>
        <v>0.2154402799212</v>
      </c>
      <c r="V96" s="13" t="n">
        <f aca="false">V95-U95</f>
        <v>-0.0995892267275309</v>
      </c>
      <c r="W96" s="13" t="n">
        <f aca="false">W95-V95</f>
        <v>0.28334111456175</v>
      </c>
      <c r="X96" s="13" t="n">
        <f aca="false">X95-W95</f>
        <v>-0.202931991105119</v>
      </c>
      <c r="Y96" s="13" t="n">
        <f aca="false">Y95-X95</f>
        <v>0.293560158966272</v>
      </c>
      <c r="Z96" s="13" t="n">
        <f aca="false">Z95-Y95</f>
        <v>-0.186875413913413</v>
      </c>
      <c r="AA96" s="13" t="n">
        <f aca="false">AA95-Z95</f>
        <v>0.292499372336634</v>
      </c>
      <c r="AB96" s="13" t="n">
        <f aca="false">AB95-AA95</f>
        <v>-0.194978947245099</v>
      </c>
      <c r="AC96" s="13" t="n">
        <f aca="false">AC95-AB95</f>
        <v>0.228614722758904</v>
      </c>
      <c r="AD96" s="13" t="n">
        <f aca="false">AD95-AC95</f>
        <v>-0.32010715400928</v>
      </c>
      <c r="AE96" s="13" t="n">
        <f aca="false">AE95-AD95</f>
        <v>0.519360911941242</v>
      </c>
      <c r="AF96" s="13" t="n">
        <f aca="false">AF95-AE95</f>
        <v>-0.215390263388331</v>
      </c>
      <c r="AG96" s="13" t="n">
        <f aca="false">AG95-AF95</f>
        <v>0.304335859181474</v>
      </c>
      <c r="AH96" s="13" t="n">
        <f aca="false">AH95-AG95</f>
        <v>-0.188560288976452</v>
      </c>
      <c r="AI96" s="13" t="n">
        <f aca="false">AI95-AH95</f>
        <v>0.303014480480769</v>
      </c>
      <c r="AJ96" s="13" t="n">
        <f aca="false">AJ95-AI95</f>
        <v>-0.19769696404952</v>
      </c>
      <c r="AK96" s="13" t="n">
        <f aca="false">AK95-AJ95</f>
        <v>0.23423746374624</v>
      </c>
      <c r="AL96" s="13" t="n">
        <f aca="false">AL95-AK95</f>
        <v>-0.0964408729902022</v>
      </c>
      <c r="AM96" s="13" t="n">
        <f aca="false">AM95-AL95</f>
        <v>0.303216064523967</v>
      </c>
      <c r="AN96" s="13" t="n">
        <f aca="false">AN95-AM95</f>
        <v>-0.21094852318196</v>
      </c>
      <c r="AO96" s="13" t="n">
        <f aca="false">AO95-AN95</f>
        <v>0.316019775588336</v>
      </c>
      <c r="AP96" s="13" t="n">
        <f aca="false">AP95-AO95</f>
        <v>-0.190365696982704</v>
      </c>
      <c r="AQ96" s="13" t="n">
        <f aca="false">AQ95-AP95</f>
        <v>0.314402620410972</v>
      </c>
      <c r="AR96" s="13" t="n">
        <f aca="false">AR95-AQ95</f>
        <v>-0.200650380790343</v>
      </c>
      <c r="AS96" s="13" t="n">
        <f aca="false">AS95-AR95</f>
        <v>0.250169246694203</v>
      </c>
      <c r="AT96" s="13" t="n">
        <f aca="false">AT95-AS95</f>
        <v>-0.330942710720684</v>
      </c>
      <c r="AU96" s="13" t="n">
        <f aca="false">AU95-AT95</f>
        <v>0.556443402701039</v>
      </c>
      <c r="AV96" s="13" t="n">
        <f aca="false">AV95-AU95</f>
        <v>-0.226534692296184</v>
      </c>
      <c r="AW96" s="13" t="n">
        <f aca="false">AW95-AV95</f>
        <v>0.328689817179296</v>
      </c>
      <c r="AX96" s="13" t="n">
        <f aca="false">AX95-AW95</f>
        <v>-0.192300424588812</v>
      </c>
      <c r="AY96" s="13" t="n">
        <f aca="false">AY95-AX95</f>
        <v>0.326737697171101</v>
      </c>
      <c r="AZ96" s="13" t="n">
        <f aca="false">AZ95-AY95</f>
        <v>-0.203859907662245</v>
      </c>
      <c r="BA96" s="13" t="n">
        <f aca="false">BA95-AZ95</f>
        <v>0.256397346716007</v>
      </c>
      <c r="BB96" s="13" t="n">
        <f aca="false">BB95-BA95</f>
        <v>-0.0924764324831173</v>
      </c>
      <c r="BC96" s="13" t="n">
        <f aca="false">BC95-BB95</f>
        <v>0.326456623514336</v>
      </c>
      <c r="BD96" s="13" t="n">
        <f aca="false">BD95-BC95</f>
        <v>-0.220558454071831</v>
      </c>
      <c r="BE96" s="13" t="n">
        <f aca="false">BE95-BD95</f>
        <v>0.342430673364902</v>
      </c>
      <c r="BF96" s="13" t="n">
        <f aca="false">BF95-BE95</f>
        <v>-0.194373915747619</v>
      </c>
      <c r="BG96" s="13" t="n">
        <f aca="false">BG95-BF95</f>
        <v>0.340099975589109</v>
      </c>
      <c r="BH96" s="13" t="n">
        <f aca="false">BH95-BG95</f>
        <v>-0.207348101282523</v>
      </c>
      <c r="BI96" s="13" t="n">
        <f aca="false">BI95-BH95</f>
        <v>0.275649218603967</v>
      </c>
      <c r="BJ96" s="13" t="n">
        <f aca="false">BJ95-BI95</f>
        <v>-0.343504405340994</v>
      </c>
      <c r="BK96" s="13" t="n">
        <f aca="false">BK95-BJ95</f>
        <v>0.600088048095618</v>
      </c>
      <c r="BL96" s="13" t="n">
        <f aca="false">BL95-BK95</f>
        <v>-0.239978600084715</v>
      </c>
      <c r="BM96" s="13" t="n">
        <f aca="false">BM95-BL95</f>
        <v>-17.4522271740438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199.833600585326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9.41977964041689</v>
      </c>
      <c r="R13" s="13" t="n">
        <f aca="false">IF(Time!R20&gt;=Time!$F$12,Waterfall!R33*Inputs!$F$104/100*Time!R31/Inputs!$F$248,0)</f>
        <v>9.44932115203584</v>
      </c>
      <c r="S13" s="13" t="n">
        <f aca="false">IF(Time!S20&gt;=Time!$F$12,Waterfall!S33*Inputs!$F$104/100*Time!S31/Inputs!$F$248,0)</f>
        <v>9.12880688223863</v>
      </c>
      <c r="T13" s="13" t="n">
        <f aca="false">IF(Time!T20&gt;=Time!$F$12,Waterfall!T33*Inputs!$F$104/100*Time!T31/Inputs!$F$248,0)</f>
        <v>9.13384882580187</v>
      </c>
      <c r="U13" s="13" t="n">
        <f aca="false">IF(Time!U20&gt;=Time!$F$12,Waterfall!U33*Inputs!$F$104/100*Time!U31/Inputs!$F$248,0)</f>
        <v>8.85603871591153</v>
      </c>
      <c r="V13" s="13" t="n">
        <f aca="false">IF(Time!V20&gt;=Time!$F$12,Waterfall!V33*Inputs!$F$104/100*Time!V31/Inputs!$F$248,0)</f>
        <v>8.80452386410931</v>
      </c>
      <c r="W13" s="13" t="n">
        <f aca="false">IF(Time!W20&gt;=Time!$F$12,Waterfall!W33*Inputs!$F$104/100*Time!W31/Inputs!$F$248,0)</f>
        <v>8.45267540795102</v>
      </c>
      <c r="X13" s="13" t="n">
        <f aca="false">IF(Time!X20&gt;=Time!$F$12,Waterfall!X33*Inputs!$F$104/100*Time!X31/Inputs!$F$248,0)</f>
        <v>8.32834335250414</v>
      </c>
      <c r="Y13" s="13" t="n">
        <f aca="false">IF(Time!Y20&gt;=Time!$F$12,Waterfall!Y33*Inputs!$F$104/100*Time!Y31/Inputs!$F$248,0)</f>
        <v>7.98204734892818</v>
      </c>
      <c r="Z13" s="13" t="n">
        <f aca="false">IF(Time!Z20&gt;=Time!$F$12,Waterfall!Z33*Inputs!$F$104/100*Time!Z31/Inputs!$F$248,0)</f>
        <v>7.92085983704871</v>
      </c>
      <c r="AA13" s="13" t="n">
        <f aca="false">IF(Time!AA20&gt;=Time!$F$12,Waterfall!AA33*Inputs!$F$104/100*Time!AA31/Inputs!$F$248,0)</f>
        <v>7.56506743698613</v>
      </c>
      <c r="AB13" s="13" t="n">
        <f aca="false">IF(Time!AB20&gt;=Time!$F$12,Waterfall!AB33*Inputs!$F$104/100*Time!AB31/Inputs!$F$248,0)</f>
        <v>7.76747807776534</v>
      </c>
      <c r="AC13" s="13" t="n">
        <f aca="false">IF(Time!AC20&gt;=Time!$F$12,Waterfall!AC33*Inputs!$F$104/100*Time!AC31/Inputs!$F$248,0)</f>
        <v>7.72277578351592</v>
      </c>
      <c r="AD13" s="13" t="n">
        <f aca="false">IF(Time!AD20&gt;=Time!$F$12,Waterfall!AD33*Inputs!$F$104/100*Time!AD31/Inputs!$F$248,0)</f>
        <v>7.86138210059334</v>
      </c>
      <c r="AE13" s="13" t="n">
        <f aca="false">IF(Time!AE20&gt;=Time!$F$12,Waterfall!AE33*Inputs!$F$104/100*Time!AE31/Inputs!$F$248,0)</f>
        <v>7.72884549307144</v>
      </c>
      <c r="AF13" s="13" t="n">
        <f aca="false">IF(Time!AF20&gt;=Time!$F$12,Waterfall!AF33*Inputs!$F$104/100*Time!AF31/Inputs!$F$248,0)</f>
        <v>7.81734029753767</v>
      </c>
      <c r="AG13" s="13" t="n">
        <f aca="false">IF(Time!AG20&gt;=Time!$F$12,Waterfall!AG33*Inputs!$F$104/100*Time!AG31/Inputs!$F$248,0)</f>
        <v>7.61569278505305</v>
      </c>
      <c r="AH13" s="13" t="n">
        <f aca="false">IF(Time!AH20&gt;=Time!$F$12,Waterfall!AH33*Inputs!$F$104/100*Time!AH31/Inputs!$F$248,0)</f>
        <v>7.63759417631839</v>
      </c>
      <c r="AI13" s="13" t="n">
        <f aca="false">IF(Time!AI20&gt;=Time!$F$12,Waterfall!AI33*Inputs!$F$104/100*Time!AI31/Inputs!$F$248,0)</f>
        <v>7.34797674713012</v>
      </c>
      <c r="AJ13" s="13" t="n">
        <f aca="false">IF(Time!AJ20&gt;=Time!$F$12,Waterfall!AJ33*Inputs!$F$104/100*Time!AJ31/Inputs!$F$248,0)</f>
        <v>7.24773610499473</v>
      </c>
      <c r="AK13" s="13" t="n">
        <f aca="false">IF(Time!AK20&gt;=Time!$F$12,Waterfall!AK33*Inputs!$F$104/100*Time!AK31/Inputs!$F$248,0)</f>
        <v>6.85829886872902</v>
      </c>
      <c r="AL13" s="13" t="n">
        <f aca="false">IF(Time!AL20&gt;=Time!$F$12,Waterfall!AL33*Inputs!$F$104/100*Time!AL31/Inputs!$F$248,0)</f>
        <v>5.82484310047885</v>
      </c>
      <c r="AM13" s="13" t="n">
        <f aca="false">IF(Time!AM20&gt;=Time!$F$12,Waterfall!AM33*Inputs!$F$104/100*Time!AM31/Inputs!$F$248,0)</f>
        <v>4.60801555491027</v>
      </c>
      <c r="AN13" s="13" t="n">
        <f aca="false">IF(Time!AN20&gt;=Time!$F$12,Waterfall!AN33*Inputs!$F$104/100*Time!AN31/Inputs!$F$248,0)</f>
        <v>3.30783342278068</v>
      </c>
      <c r="AO13" s="13" t="n">
        <f aca="false">IF(Time!AO20&gt;=Time!$F$12,Waterfall!AO33*Inputs!$F$104/100*Time!AO31/Inputs!$F$248,0)</f>
        <v>2.13990258394925</v>
      </c>
      <c r="AP13" s="13" t="n">
        <f aca="false">IF(Time!AP20&gt;=Time!$F$12,Waterfall!AP33*Inputs!$F$104/100*Time!AP31/Inputs!$F$248,0)</f>
        <v>0.293982468550065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0.790544246592468</v>
      </c>
      <c r="Q14" s="6" t="n">
        <f aca="false">IF(Waterfall!Q33&gt;0,MIN(1,Inputs!$F$183*(Waterfall!$F$32+MAX(0,Waterfall!P43))/Waterfall!Q33),1)</f>
        <v>0.913401585172584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195.87441493813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7.75594834606051</v>
      </c>
      <c r="Q15" s="13" t="n">
        <f aca="false">Q13*Q14</f>
        <v>8.60404165553322</v>
      </c>
      <c r="R15" s="13" t="n">
        <f aca="false">R13*R14</f>
        <v>9.44932115203584</v>
      </c>
      <c r="S15" s="13" t="n">
        <f aca="false">S13*S14</f>
        <v>9.12880688223863</v>
      </c>
      <c r="T15" s="13" t="n">
        <f aca="false">T13*T14</f>
        <v>9.13384882580187</v>
      </c>
      <c r="U15" s="13" t="n">
        <f aca="false">U13*U14</f>
        <v>8.85603871591153</v>
      </c>
      <c r="V15" s="13" t="n">
        <f aca="false">V13*V14</f>
        <v>8.80452386410931</v>
      </c>
      <c r="W15" s="13" t="n">
        <f aca="false">W13*W14</f>
        <v>8.45267540795102</v>
      </c>
      <c r="X15" s="13" t="n">
        <f aca="false">X13*X14</f>
        <v>8.32834335250414</v>
      </c>
      <c r="Y15" s="13" t="n">
        <f aca="false">Y13*Y14</f>
        <v>7.98204734892818</v>
      </c>
      <c r="Z15" s="13" t="n">
        <f aca="false">Z13*Z14</f>
        <v>7.92085983704871</v>
      </c>
      <c r="AA15" s="13" t="n">
        <f aca="false">AA13*AA14</f>
        <v>7.56506743698613</v>
      </c>
      <c r="AB15" s="13" t="n">
        <f aca="false">AB13*AB14</f>
        <v>7.76747807776534</v>
      </c>
      <c r="AC15" s="13" t="n">
        <f aca="false">AC13*AC14</f>
        <v>7.72277578351592</v>
      </c>
      <c r="AD15" s="13" t="n">
        <f aca="false">AD13*AD14</f>
        <v>7.86138210059334</v>
      </c>
      <c r="AE15" s="13" t="n">
        <f aca="false">AE13*AE14</f>
        <v>7.72884549307144</v>
      </c>
      <c r="AF15" s="13" t="n">
        <f aca="false">AF13*AF14</f>
        <v>7.81734029753767</v>
      </c>
      <c r="AG15" s="13" t="n">
        <f aca="false">AG13*AG14</f>
        <v>7.61569278505305</v>
      </c>
      <c r="AH15" s="13" t="n">
        <f aca="false">AH13*AH14</f>
        <v>7.63759417631839</v>
      </c>
      <c r="AI15" s="13" t="n">
        <f aca="false">AI13*AI14</f>
        <v>7.34797674713012</v>
      </c>
      <c r="AJ15" s="13" t="n">
        <f aca="false">AJ13*AJ14</f>
        <v>7.24773610499473</v>
      </c>
      <c r="AK15" s="13" t="n">
        <f aca="false">AK13*AK14</f>
        <v>6.85829886872902</v>
      </c>
      <c r="AL15" s="13" t="n">
        <f aca="false">AL13*AL14</f>
        <v>5.82484310047885</v>
      </c>
      <c r="AM15" s="13" t="n">
        <f aca="false">AM13*AM14</f>
        <v>4.60801555491027</v>
      </c>
      <c r="AN15" s="13" t="n">
        <f aca="false">AN13*AN14</f>
        <v>3.30783342278068</v>
      </c>
      <c r="AO15" s="13" t="n">
        <f aca="false">AO13*AO14</f>
        <v>2.13990258394925</v>
      </c>
      <c r="AP15" s="13" t="n">
        <f aca="false">AP13*AP14</f>
        <v>0.293982468550065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313.334021713775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14.1370969212005</v>
      </c>
      <c r="AC16" s="13" t="n">
        <f aca="false">Debt!AC112+Debt!AC110+Debt!AC104-Debt!AC103</f>
        <v>12.9203775087112</v>
      </c>
      <c r="AD16" s="13" t="n">
        <f aca="false">Debt!AD112+Debt!AD110+Debt!AD104-Debt!AD103</f>
        <v>11.8988294835989</v>
      </c>
      <c r="AE16" s="13" t="n">
        <f aca="false">Debt!AE112+Debt!AE110+Debt!AE104-Debt!AE103</f>
        <v>10.5594241829589</v>
      </c>
      <c r="AF16" s="13" t="n">
        <f aca="false">Debt!AF112+Debt!AF110+Debt!AF104-Debt!AF103</f>
        <v>9.40426984172339</v>
      </c>
      <c r="AG16" s="13" t="n">
        <f aca="false">Debt!AG112+Debt!AG110+Debt!AG104-Debt!AG103</f>
        <v>8.22017483078227</v>
      </c>
      <c r="AH16" s="13" t="n">
        <f aca="false">Debt!AH112+Debt!AH110+Debt!AH104-Debt!AH103</f>
        <v>6.96679808583603</v>
      </c>
      <c r="AI16" s="13" t="n">
        <f aca="false">Debt!AI112+Debt!AI110+Debt!AI104-Debt!AI103</f>
        <v>5.5317872458995</v>
      </c>
      <c r="AJ16" s="13" t="n">
        <f aca="false">Debt!AJ112+Debt!AJ110+Debt!AJ104-Debt!AJ103</f>
        <v>4.20336824592576</v>
      </c>
      <c r="AK16" s="13" t="n">
        <f aca="false">Debt!AK112+Debt!AK110+Debt!AK104-Debt!AK103</f>
        <v>2.78831858835096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1240.14373933436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2.24751985744197</v>
      </c>
      <c r="Z18" s="13" t="n">
        <f aca="false">(Operations!Z84-Z16-Z15)*Z17-Z12</f>
        <v>7.49553331586521</v>
      </c>
      <c r="AA18" s="13" t="n">
        <f aca="false">(Operations!AA84-AA16-AA15)*AA17-AA12</f>
        <v>8.85232722712787</v>
      </c>
      <c r="AB18" s="13" t="n">
        <f aca="false">(Operations!AB84-AB16-AB15)*AB17-AB12</f>
        <v>9.61019318351032</v>
      </c>
      <c r="AC18" s="13" t="n">
        <f aca="false">(Operations!AC84-AC16-AC15)*AC17-AC12</f>
        <v>11.1251803023525</v>
      </c>
      <c r="AD18" s="13" t="n">
        <f aca="false">(Operations!AD84-AD16-AD15)*AD17-AD12</f>
        <v>-0.386341911202145</v>
      </c>
      <c r="AE18" s="13" t="n">
        <f aca="false">(Operations!AE84-AE16-AE15)*AE17-AE12</f>
        <v>13.861014229577</v>
      </c>
      <c r="AF18" s="13" t="n">
        <f aca="false">(Operations!AF84-AF16-AF15)*AF17-AF12</f>
        <v>14.7705428022864</v>
      </c>
      <c r="AG18" s="13" t="n">
        <f aca="false">(Operations!AG84-AG16-AG15)*AG17-AG12</f>
        <v>16.303929138355</v>
      </c>
      <c r="AH18" s="13" t="n">
        <f aca="false">(Operations!AH84-AH16-AH15)*AH17-AH12</f>
        <v>17.7102203978892</v>
      </c>
      <c r="AI18" s="13" t="n">
        <f aca="false">(Operations!AI84-AI16-AI15)*AI17-AI12</f>
        <v>19.5349421884262</v>
      </c>
      <c r="AJ18" s="13" t="n">
        <f aca="false">(Operations!AJ84-AJ16-AJ15)*AJ17-AJ12</f>
        <v>21.0383979396235</v>
      </c>
      <c r="AK18" s="13" t="n">
        <f aca="false">(Operations!AK84-AK16-AK15)*AK17-AK12</f>
        <v>23.0640657951124</v>
      </c>
      <c r="AL18" s="13" t="n">
        <f aca="false">(Operations!AL84-AL16-AL15)*AL17-AL12</f>
        <v>22.059638289686</v>
      </c>
      <c r="AM18" s="13" t="n">
        <f aca="false">(Operations!AM84-AM16-AM15)*AM17-AM12</f>
        <v>26.8787767322491</v>
      </c>
      <c r="AN18" s="13" t="n">
        <f aca="false">(Operations!AN84-AN16-AN15)*AN17-AN12</f>
        <v>28.7077329020575</v>
      </c>
      <c r="AO18" s="13" t="n">
        <f aca="false">(Operations!AO84-AO16-AO15)*AO17-AO12</f>
        <v>30.5306519220573</v>
      </c>
      <c r="AP18" s="13" t="n">
        <f aca="false">(Operations!AP84-AP16-AP15)*AP17-AP12</f>
        <v>33.0648669282786</v>
      </c>
      <c r="AQ18" s="13" t="n">
        <f aca="false">(Operations!AQ84-AQ16-AQ15)*AQ17-AQ12</f>
        <v>33.4666052537997</v>
      </c>
      <c r="AR18" s="13" t="n">
        <f aca="false">(Operations!AR84-AR16-AR15)*AR17-AR12</f>
        <v>33.5475049840251</v>
      </c>
      <c r="AS18" s="13" t="n">
        <f aca="false">(Operations!AS84-AS16-AS15)*AS17-AS12</f>
        <v>33.8498235206514</v>
      </c>
      <c r="AT18" s="13" t="n">
        <f aca="false">(Operations!AT84-AT16-AT15)*AT17-AT12</f>
        <v>19.2147829763518</v>
      </c>
      <c r="AU18" s="13" t="n">
        <f aca="false">(Operations!AU84-AU16-AU15)*AU17-AU12</f>
        <v>34.3034384188811</v>
      </c>
      <c r="AV18" s="13" t="n">
        <f aca="false">(Operations!AV84-AV16-AV15)*AV17-AV12</f>
        <v>34.1099549062805</v>
      </c>
      <c r="AW18" s="13" t="n">
        <f aca="false">(Operations!AW84-AW16-AW15)*AW17-AW12</f>
        <v>34.2836840300653</v>
      </c>
      <c r="AX18" s="13" t="n">
        <f aca="false">(Operations!AX84-AX16-AX15)*AX17-AX12</f>
        <v>34.4924449499971</v>
      </c>
      <c r="AY18" s="13" t="n">
        <f aca="false">(Operations!AY84-AY16-AY15)*AY17-AY12</f>
        <v>34.6084626110056</v>
      </c>
      <c r="AZ18" s="13" t="n">
        <f aca="false">(Operations!AZ84-AZ16-AZ15)*AZ17-AZ12</f>
        <v>34.6959657317459</v>
      </c>
      <c r="BA18" s="13" t="n">
        <f aca="false">(Operations!BA84-BA16-BA15)*BA17-BA12</f>
        <v>34.9585972820928</v>
      </c>
      <c r="BB18" s="13" t="n">
        <f aca="false">(Operations!BB84-BB16-BB15)*BB17-BB12</f>
        <v>31.8052477602176</v>
      </c>
      <c r="BC18" s="13" t="n">
        <f aca="false">(Operations!BC84-BC16-BC15)*BC17-BC12</f>
        <v>41.7974402082091</v>
      </c>
      <c r="BD18" s="13" t="n">
        <f aca="false">(Operations!BD84-BD16-BD15)*BD17-BD12</f>
        <v>54.5503251429798</v>
      </c>
      <c r="BE18" s="13" t="n">
        <f aca="false">(Operations!BE84-BE16-BE15)*BE17-BE12</f>
        <v>54.7388061595648</v>
      </c>
      <c r="BF18" s="13" t="n">
        <f aca="false">(Operations!BF84-BF16-BF15)*BF17-BF12</f>
        <v>54.9669169617552</v>
      </c>
      <c r="BG18" s="13" t="n">
        <f aca="false">(Operations!BG84-BG16-BG15)*BG17-BG12</f>
        <v>55.0918439874756</v>
      </c>
      <c r="BH18" s="13" t="n">
        <f aca="false">(Operations!BH84-BH16-BH15)*BH17-BH12</f>
        <v>55.1864912728912</v>
      </c>
      <c r="BI18" s="13" t="n">
        <f aca="false">(Operations!BI84-BI16-BI15)*BI17-BI12</f>
        <v>55.5469381282316</v>
      </c>
      <c r="BJ18" s="13" t="n">
        <f aca="false">(Operations!BJ84-BJ16-BJ15)*BJ17-BJ12</f>
        <v>38.2460522218393</v>
      </c>
      <c r="BK18" s="13" t="n">
        <f aca="false">(Operations!BK84-BK16-BK15)*BK17-BK12</f>
        <v>56.0870703502598</v>
      </c>
      <c r="BL18" s="13" t="n">
        <f aca="false">(Operations!BL84-BL16-BL15)*BL17-BL12</f>
        <v>55.8493387593625</v>
      </c>
      <c r="BM18" s="13" t="n">
        <f aca="false">(Operations!BM84-BM16-BM15)*BM17-BM12</f>
        <v>18.2768124759876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0.386341911202145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0.386341911202145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2.24751985744197</v>
      </c>
      <c r="Z20" s="13" t="n">
        <f aca="false">MIN(Y21,MAX(0,Z18-Z19))</f>
        <v>7.49553331586521</v>
      </c>
      <c r="AA20" s="13" t="n">
        <f aca="false">MIN(Z21,MAX(0,AA18-AA19))</f>
        <v>8.85232722712787</v>
      </c>
      <c r="AB20" s="13" t="n">
        <f aca="false">MIN(AA21,MAX(0,AB18-AB19))</f>
        <v>9.61019318351032</v>
      </c>
      <c r="AC20" s="13" t="n">
        <f aca="false">MIN(AB21,MAX(0,AC18-AC19))</f>
        <v>11.1251803023525</v>
      </c>
      <c r="AD20" s="13" t="n">
        <f aca="false">MIN(AC21,MAX(0,AD18-AD19))</f>
        <v>0</v>
      </c>
      <c r="AE20" s="13" t="n">
        <f aca="false">MIN(AD21,MAX(0,AE18-AE19))</f>
        <v>13.4746723183748</v>
      </c>
      <c r="AF20" s="13" t="n">
        <f aca="false">MIN(AE21,MAX(0,AF18-AF19))</f>
        <v>14.7705428022864</v>
      </c>
      <c r="AG20" s="13" t="n">
        <f aca="false">MIN(AF21,MAX(0,AG18-AG19))</f>
        <v>16.303929138355</v>
      </c>
      <c r="AH20" s="13" t="n">
        <f aca="false">MIN(AG21,MAX(0,AH18-AH19))</f>
        <v>17.7102203978892</v>
      </c>
      <c r="AI20" s="13" t="n">
        <f aca="false">MIN(AH21,MAX(0,AI18-AI19))</f>
        <v>19.5349421884262</v>
      </c>
      <c r="AJ20" s="13" t="n">
        <f aca="false">MIN(AI21,MAX(0,AJ18-AJ19))</f>
        <v>21.0383979396235</v>
      </c>
      <c r="AK20" s="13" t="n">
        <f aca="false">MIN(AJ21,MAX(0,AK18-AK19))</f>
        <v>23.0640657951124</v>
      </c>
      <c r="AL20" s="13" t="n">
        <f aca="false">MIN(AK21,MAX(0,AL18-AL19))</f>
        <v>22.059638289686</v>
      </c>
      <c r="AM20" s="13" t="n">
        <f aca="false">MIN(AL21,MAX(0,AM18-AM19))</f>
        <v>26.8787767322491</v>
      </c>
      <c r="AN20" s="13" t="n">
        <f aca="false">MIN(AM21,MAX(0,AN18-AN19))</f>
        <v>11.7394296454654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223.657849276324</v>
      </c>
      <c r="Z21" s="13" t="n">
        <f aca="false">Y21+Z11-Z20</f>
        <v>216.162315960459</v>
      </c>
      <c r="AA21" s="13" t="n">
        <f aca="false">Z21+AA11-AA20</f>
        <v>207.309988733331</v>
      </c>
      <c r="AB21" s="13" t="n">
        <f aca="false">AA21+AB11-AB20</f>
        <v>197.69979554982</v>
      </c>
      <c r="AC21" s="13" t="n">
        <f aca="false">AB21+AC11-AC20</f>
        <v>186.574615247468</v>
      </c>
      <c r="AD21" s="13" t="n">
        <f aca="false">AC21+AD11-AD20</f>
        <v>186.574615247468</v>
      </c>
      <c r="AE21" s="13" t="n">
        <f aca="false">AD21+AE11-AE20</f>
        <v>173.099942929093</v>
      </c>
      <c r="AF21" s="13" t="n">
        <f aca="false">AE21+AF11-AF20</f>
        <v>158.329400126807</v>
      </c>
      <c r="AG21" s="13" t="n">
        <f aca="false">AF21+AG11-AG20</f>
        <v>142.025470988452</v>
      </c>
      <c r="AH21" s="13" t="n">
        <f aca="false">AG21+AH11-AH20</f>
        <v>124.315250590563</v>
      </c>
      <c r="AI21" s="13" t="n">
        <f aca="false">AH21+AI11-AI20</f>
        <v>104.780308402136</v>
      </c>
      <c r="AJ21" s="13" t="n">
        <f aca="false">AI21+AJ11-AJ20</f>
        <v>83.7419104625128</v>
      </c>
      <c r="AK21" s="13" t="n">
        <f aca="false">AJ21+AK11-AK20</f>
        <v>60.6778446674004</v>
      </c>
      <c r="AL21" s="13" t="n">
        <f aca="false">AK21+AL11-AL20</f>
        <v>38.6182063777144</v>
      </c>
      <c r="AM21" s="13" t="n">
        <f aca="false">AL21+AM11-AM20</f>
        <v>11.7394296454654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0.386341911202145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1014.2383702006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16.9683032565921</v>
      </c>
      <c r="AO23" s="13" t="n">
        <f aca="false">MAX(0,AO18-AO19-AO20)</f>
        <v>30.5306519220573</v>
      </c>
      <c r="AP23" s="13" t="n">
        <f aca="false">MAX(0,AP18-AP19-AP20)</f>
        <v>33.0648669282786</v>
      </c>
      <c r="AQ23" s="13" t="n">
        <f aca="false">MAX(0,AQ18-AQ19-AQ20)</f>
        <v>33.4666052537997</v>
      </c>
      <c r="AR23" s="13" t="n">
        <f aca="false">MAX(0,AR18-AR19-AR20)</f>
        <v>33.5475049840251</v>
      </c>
      <c r="AS23" s="13" t="n">
        <f aca="false">MAX(0,AS18-AS19-AS20)</f>
        <v>33.8498235206514</v>
      </c>
      <c r="AT23" s="13" t="n">
        <f aca="false">MAX(0,AT18-AT19-AT20)</f>
        <v>19.2147829763518</v>
      </c>
      <c r="AU23" s="13" t="n">
        <f aca="false">MAX(0,AU18-AU19-AU20)</f>
        <v>34.3034384188811</v>
      </c>
      <c r="AV23" s="13" t="n">
        <f aca="false">MAX(0,AV18-AV19-AV20)</f>
        <v>34.1099549062805</v>
      </c>
      <c r="AW23" s="13" t="n">
        <f aca="false">MAX(0,AW18-AW19-AW20)</f>
        <v>34.2836840300653</v>
      </c>
      <c r="AX23" s="13" t="n">
        <f aca="false">MAX(0,AX18-AX19-AX20)</f>
        <v>34.4924449499971</v>
      </c>
      <c r="AY23" s="13" t="n">
        <f aca="false">MAX(0,AY18-AY19-AY20)</f>
        <v>34.6084626110056</v>
      </c>
      <c r="AZ23" s="13" t="n">
        <f aca="false">MAX(0,AZ18-AZ19-AZ20)</f>
        <v>34.6959657317459</v>
      </c>
      <c r="BA23" s="13" t="n">
        <f aca="false">MAX(0,BA18-BA19-BA20)</f>
        <v>34.9585972820928</v>
      </c>
      <c r="BB23" s="13" t="n">
        <f aca="false">MAX(0,BB18-BB19-BB20)</f>
        <v>31.8052477602176</v>
      </c>
      <c r="BC23" s="13" t="n">
        <f aca="false">MAX(0,BC18-BC19-BC20)</f>
        <v>41.7974402082091</v>
      </c>
      <c r="BD23" s="13" t="n">
        <f aca="false">MAX(0,BD18-BD19-BD20)</f>
        <v>54.5503251429798</v>
      </c>
      <c r="BE23" s="13" t="n">
        <f aca="false">MAX(0,BE18-BE19-BE20)</f>
        <v>54.7388061595648</v>
      </c>
      <c r="BF23" s="13" t="n">
        <f aca="false">MAX(0,BF18-BF19-BF20)</f>
        <v>54.9669169617552</v>
      </c>
      <c r="BG23" s="13" t="n">
        <f aca="false">MAX(0,BG18-BG19-BG20)</f>
        <v>55.0918439874756</v>
      </c>
      <c r="BH23" s="13" t="n">
        <f aca="false">MAX(0,BH18-BH19-BH20)</f>
        <v>55.1864912728912</v>
      </c>
      <c r="BI23" s="13" t="n">
        <f aca="false">MAX(0,BI18-BI19-BI20)</f>
        <v>55.5469381282316</v>
      </c>
      <c r="BJ23" s="13" t="n">
        <f aca="false">MAX(0,BJ18-BJ19-BJ20)</f>
        <v>38.2460522218393</v>
      </c>
      <c r="BK23" s="13" t="n">
        <f aca="false">MAX(0,BK18-BK19-BK20)</f>
        <v>56.0870703502598</v>
      </c>
      <c r="BL23" s="13" t="n">
        <f aca="false">MAX(0,BL18-BL19-BL20)</f>
        <v>55.8493387593625</v>
      </c>
      <c r="BM23" s="13" t="n">
        <f aca="false">MAX(0,BM18-BM19-BM20)</f>
        <v>18.2768124759876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304.27151106018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5.09049097697763</v>
      </c>
      <c r="AO25" s="13" t="n">
        <f aca="false">AO23*AO24</f>
        <v>9.15919557661718</v>
      </c>
      <c r="AP25" s="13" t="n">
        <f aca="false">AP23*AP24</f>
        <v>9.91946007848358</v>
      </c>
      <c r="AQ25" s="13" t="n">
        <f aca="false">AQ23*AQ24</f>
        <v>10.0399815761399</v>
      </c>
      <c r="AR25" s="13" t="n">
        <f aca="false">AR23*AR24</f>
        <v>10.0642514952075</v>
      </c>
      <c r="AS25" s="13" t="n">
        <f aca="false">AS23*AS24</f>
        <v>10.1549470561954</v>
      </c>
      <c r="AT25" s="13" t="n">
        <f aca="false">AT23*AT24</f>
        <v>5.76443489290555</v>
      </c>
      <c r="AU25" s="13" t="n">
        <f aca="false">AU23*AU24</f>
        <v>10.2910315256643</v>
      </c>
      <c r="AV25" s="13" t="n">
        <f aca="false">AV23*AV24</f>
        <v>10.2329864718841</v>
      </c>
      <c r="AW25" s="13" t="n">
        <f aca="false">AW23*AW24</f>
        <v>10.2851052090196</v>
      </c>
      <c r="AX25" s="13" t="n">
        <f aca="false">AX23*AX24</f>
        <v>10.3477334849991</v>
      </c>
      <c r="AY25" s="13" t="n">
        <f aca="false">AY23*AY24</f>
        <v>10.3825387833017</v>
      </c>
      <c r="AZ25" s="13" t="n">
        <f aca="false">AZ23*AZ24</f>
        <v>10.4087897195238</v>
      </c>
      <c r="BA25" s="13" t="n">
        <f aca="false">BA23*BA24</f>
        <v>10.4875791846278</v>
      </c>
      <c r="BB25" s="13" t="n">
        <f aca="false">BB23*BB24</f>
        <v>9.54157432806529</v>
      </c>
      <c r="BC25" s="13" t="n">
        <f aca="false">BC23*BC24</f>
        <v>12.5392320624627</v>
      </c>
      <c r="BD25" s="13" t="n">
        <f aca="false">BD23*BD24</f>
        <v>16.3650975428939</v>
      </c>
      <c r="BE25" s="13" t="n">
        <f aca="false">BE23*BE24</f>
        <v>16.4216418478695</v>
      </c>
      <c r="BF25" s="13" t="n">
        <f aca="false">BF23*BF24</f>
        <v>16.4900750885265</v>
      </c>
      <c r="BG25" s="13" t="n">
        <f aca="false">BG23*BG24</f>
        <v>16.5275531962427</v>
      </c>
      <c r="BH25" s="13" t="n">
        <f aca="false">BH23*BH24</f>
        <v>16.5559473818673</v>
      </c>
      <c r="BI25" s="13" t="n">
        <f aca="false">BI23*BI24</f>
        <v>16.6640814384695</v>
      </c>
      <c r="BJ25" s="13" t="n">
        <f aca="false">BJ23*BJ24</f>
        <v>11.4738156665518</v>
      </c>
      <c r="BK25" s="13" t="n">
        <f aca="false">BK23*BK24</f>
        <v>16.8261211050779</v>
      </c>
      <c r="BL25" s="13" t="n">
        <f aca="false">BL23*BL24</f>
        <v>16.7548016278088</v>
      </c>
      <c r="BM25" s="13" t="n">
        <f aca="false">BM23*BM24</f>
        <v>5.48304374279629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14.9346503059217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0.113236992696919</v>
      </c>
      <c r="Z26" s="13" t="n">
        <f aca="false">IF(Time!Z30&gt;0,Inputs!$F$176/100*Operations!Z55*(Z8+Z9)/Time!Z30,0)</f>
        <v>0.341011714799424</v>
      </c>
      <c r="AA26" s="13" t="n">
        <f aca="false">IF(Time!AA30&gt;0,Inputs!$F$176/100*Operations!AA55*(AA8+AA9)/Time!AA30,0)</f>
        <v>0.342592162655821</v>
      </c>
      <c r="AB26" s="13" t="n">
        <f aca="false">IF(Time!AB30&gt;0,Inputs!$F$176/100*Operations!AB55*(AB8+AB9)/Time!AB30,0)</f>
        <v>0.344280540879753</v>
      </c>
      <c r="AC26" s="13" t="n">
        <f aca="false">IF(Time!AC30&gt;0,Inputs!$F$176/100*Operations!AC55*(AC8+AC9)/Time!AC30,0)</f>
        <v>0.345291601167828</v>
      </c>
      <c r="AD26" s="13" t="n">
        <f aca="false">IF(Time!AD30&gt;0,Inputs!$F$176/100*Operations!AD55*(AD8+AD9)/Time!AD30,0)</f>
        <v>0.341185677058709</v>
      </c>
      <c r="AE26" s="13" t="n">
        <f aca="false">IF(Time!AE30&gt;0,Inputs!$F$176/100*Operations!AE55*(AE8+AE9)/Time!AE30,0)</f>
        <v>0.347857570453953</v>
      </c>
      <c r="AF26" s="13" t="n">
        <f aca="false">IF(Time!AF30&gt;0,Inputs!$F$176/100*Operations!AF55*(AF8+AF9)/Time!AF30,0)</f>
        <v>0.350485714418569</v>
      </c>
      <c r="AG26" s="13" t="n">
        <f aca="false">IF(Time!AG30&gt;0,Inputs!$F$176/100*Operations!AG55*(AG8+AG9)/Time!AG30,0)</f>
        <v>0.351984357923972</v>
      </c>
      <c r="AH26" s="13" t="n">
        <f aca="false">IF(Time!AH30&gt;0,Inputs!$F$176/100*Operations!AH55*(AH8+AH9)/Time!AH30,0)</f>
        <v>0.353402593239554</v>
      </c>
      <c r="AI26" s="13" t="n">
        <f aca="false">IF(Time!AI30&gt;0,Inputs!$F$176/100*Operations!AI55*(AI8+AI9)/Time!AI30,0)</f>
        <v>0.355124216755785</v>
      </c>
      <c r="AJ26" s="13" t="n">
        <f aca="false">IF(Time!AJ30&gt;0,Inputs!$F$176/100*Operations!AJ55*(AJ8+AJ9)/Time!AJ30,0)</f>
        <v>0.356962957072487</v>
      </c>
      <c r="AK26" s="13" t="n">
        <f aca="false">IF(Time!AK30&gt;0,Inputs!$F$176/100*Operations!AK55*(AK8+AK9)/Time!AK30,0)</f>
        <v>0.358275531814984</v>
      </c>
      <c r="AL26" s="13" t="n">
        <f aca="false">IF(Time!AL30&gt;0,Inputs!$F$176/100*Operations!AL55*(AL8+AL9)/Time!AL30,0)</f>
        <v>0.359244714953129</v>
      </c>
      <c r="AM26" s="13" t="n">
        <f aca="false">IF(Time!AM30&gt;0,Inputs!$F$176/100*Operations!AM55*(AM8+AM9)/Time!AM30,0)</f>
        <v>0.361290988503624</v>
      </c>
      <c r="AN26" s="13" t="n">
        <f aca="false">IF(Time!AN30&gt;0,Inputs!$F$176/100*Operations!AN55*(AN8+AN9)/Time!AN30,0)</f>
        <v>0.363724195326216</v>
      </c>
      <c r="AO26" s="13" t="n">
        <f aca="false">IF(Time!AO30&gt;0,Inputs!$F$176/100*Operations!AO55*(AO8+AO9)/Time!AO30,0)</f>
        <v>0.365357638076853</v>
      </c>
      <c r="AP26" s="13" t="n">
        <f aca="false">IF(Time!AP30&gt;0,Inputs!$F$176/100*Operations!AP55*(AP8+AP9)/Time!AP30,0)</f>
        <v>0.3669039854338</v>
      </c>
      <c r="AQ26" s="13" t="n">
        <f aca="false">IF(Time!AQ30&gt;0,Inputs!$F$176/100*Operations!AQ55*(AQ8+AQ9)/Time!AQ30,0)</f>
        <v>0.368779391168089</v>
      </c>
      <c r="AR26" s="13" t="n">
        <f aca="false">IF(Time!AR30&gt;0,Inputs!$F$176/100*Operations!AR55*(AR8+AR9)/Time!AR30,0)</f>
        <v>0.370781878362452</v>
      </c>
      <c r="AS26" s="13" t="n">
        <f aca="false">IF(Time!AS30&gt;0,Inputs!$F$176/100*Operations!AS55*(AS8+AS9)/Time!AS30,0)</f>
        <v>0.371988203435177</v>
      </c>
      <c r="AT26" s="13" t="n">
        <f aca="false">IF(Time!AT30&gt;0,Inputs!$F$176/100*Operations!AT55*(AT8+AT9)/Time!AT30,0)</f>
        <v>0.36766912456334</v>
      </c>
      <c r="AU26" s="13" t="n">
        <f aca="false">IF(Time!AU30&gt;0,Inputs!$F$176/100*Operations!AU55*(AU8+AU9)/Time!AU30,0)</f>
        <v>0.375040866709552</v>
      </c>
      <c r="AV26" s="13" t="n">
        <f aca="false">IF(Time!AV30&gt;0,Inputs!$F$176/100*Operations!AV55*(AV8+AV9)/Time!AV30,0)</f>
        <v>0.378149000964824</v>
      </c>
      <c r="AW26" s="13" t="n">
        <f aca="false">IF(Time!AW30&gt;0,Inputs!$F$176/100*Operations!AW55*(AW8+AW9)/Time!AW30,0)</f>
        <v>0.379929366319965</v>
      </c>
      <c r="AX26" s="13" t="n">
        <f aca="false">IF(Time!AX30&gt;0,Inputs!$F$176/100*Operations!AX55*(AX8+AX9)/Time!AX30,0)</f>
        <v>0.381615397799899</v>
      </c>
      <c r="AY26" s="13" t="n">
        <f aca="false">IF(Time!AY30&gt;0,Inputs!$F$176/100*Operations!AY55*(AY8+AY9)/Time!AY30,0)</f>
        <v>0.383658317653593</v>
      </c>
      <c r="AZ26" s="13" t="n">
        <f aca="false">IF(Time!AZ30&gt;0,Inputs!$F$176/100*Operations!AZ55*(AZ8+AZ9)/Time!AZ30,0)</f>
        <v>0.385839127424154</v>
      </c>
      <c r="BA26" s="13" t="n">
        <f aca="false">IF(Time!BA30&gt;0,Inputs!$F$176/100*Operations!BA55*(BA8+BA9)/Time!BA30,0)</f>
        <v>0.387401554124382</v>
      </c>
      <c r="BB26" s="13" t="n">
        <f aca="false">IF(Time!BB30&gt;0,Inputs!$F$176/100*Operations!BB55*(BB8+BB9)/Time!BB30,0)</f>
        <v>0.388560493352718</v>
      </c>
      <c r="BC26" s="13" t="n">
        <f aca="false">IF(Time!BC30&gt;0,Inputs!$F$176/100*Operations!BC55*(BC8+BC9)/Time!BC30,0)</f>
        <v>0.39098591080539</v>
      </c>
      <c r="BD26" s="13" t="n">
        <f aca="false">IF(Time!BD30&gt;0,Inputs!$F$176/100*Operations!BD55*(BD8+BD9)/Time!BD30,0)</f>
        <v>0.393866416491952</v>
      </c>
      <c r="BE26" s="13" t="n">
        <f aca="false">IF(Time!BE30&gt;0,Inputs!$F$176/100*Operations!BE55*(BE8+BE9)/Time!BE30,0)</f>
        <v>0.395806918004571</v>
      </c>
      <c r="BF26" s="13" t="n">
        <f aca="false">IF(Time!BF30&gt;0,Inputs!$F$176/100*Operations!BF55*(BF8+BF9)/Time!BF30,0)</f>
        <v>0.397645250920947</v>
      </c>
      <c r="BG26" s="13" t="n">
        <f aca="false">IF(Time!BG30&gt;0,Inputs!$F$176/100*Operations!BG55*(BG8+BG9)/Time!BG30,0)</f>
        <v>0.399870642558352</v>
      </c>
      <c r="BH26" s="13" t="n">
        <f aca="false">IF(Time!BH30&gt;0,Inputs!$F$176/100*Operations!BH55*(BH8+BH9)/Time!BH30,0)</f>
        <v>0.402245647427016</v>
      </c>
      <c r="BI26" s="13" t="n">
        <f aca="false">IF(Time!BI30&gt;0,Inputs!$F$176/100*Operations!BI55*(BI8+BI9)/Time!BI30,0)</f>
        <v>0.403684939642396</v>
      </c>
      <c r="BJ26" s="13" t="n">
        <f aca="false">IF(Time!BJ30&gt;0,Inputs!$F$176/100*Operations!BJ55*(BJ8+BJ9)/Time!BJ30,0)</f>
        <v>0.399114192808718</v>
      </c>
      <c r="BK26" s="13" t="n">
        <f aca="false">IF(Time!BK30&gt;0,Inputs!$F$176/100*Operations!BK55*(BK8+BK9)/Time!BK30,0)</f>
        <v>0.407316608782267</v>
      </c>
      <c r="BL26" s="13" t="n">
        <f aca="false">IF(Time!BL30&gt;0,Inputs!$F$176/100*Operations!BL55*(BL8+BL9)/Time!BL30,0)</f>
        <v>0.410992247183023</v>
      </c>
      <c r="BM26" s="13" t="n">
        <f aca="false">IF(Time!BM30&gt;0,Inputs!$F$176/100*Operations!BM55*(BM8+BM9)/Time!BM30,0)</f>
        <v>0.275495656187561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309.293738394574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0.113236992696919</v>
      </c>
      <c r="Z27" s="13" t="n">
        <f aca="false">MAX(Z25,Z26)</f>
        <v>0.341011714799424</v>
      </c>
      <c r="AA27" s="13" t="n">
        <f aca="false">MAX(AA25,AA26)</f>
        <v>0.342592162655821</v>
      </c>
      <c r="AB27" s="13" t="n">
        <f aca="false">MAX(AB25,AB26)</f>
        <v>0.344280540879753</v>
      </c>
      <c r="AC27" s="13" t="n">
        <f aca="false">MAX(AC25,AC26)</f>
        <v>0.345291601167828</v>
      </c>
      <c r="AD27" s="13" t="n">
        <f aca="false">MAX(AD25,AD26)</f>
        <v>0.341185677058709</v>
      </c>
      <c r="AE27" s="13" t="n">
        <f aca="false">MAX(AE25,AE26)</f>
        <v>0.347857570453953</v>
      </c>
      <c r="AF27" s="13" t="n">
        <f aca="false">MAX(AF25,AF26)</f>
        <v>0.350485714418569</v>
      </c>
      <c r="AG27" s="13" t="n">
        <f aca="false">MAX(AG25,AG26)</f>
        <v>0.351984357923972</v>
      </c>
      <c r="AH27" s="13" t="n">
        <f aca="false">MAX(AH25,AH26)</f>
        <v>0.353402593239554</v>
      </c>
      <c r="AI27" s="13" t="n">
        <f aca="false">MAX(AI25,AI26)</f>
        <v>0.355124216755785</v>
      </c>
      <c r="AJ27" s="13" t="n">
        <f aca="false">MAX(AJ25,AJ26)</f>
        <v>0.356962957072487</v>
      </c>
      <c r="AK27" s="13" t="n">
        <f aca="false">MAX(AK25,AK26)</f>
        <v>0.358275531814984</v>
      </c>
      <c r="AL27" s="13" t="n">
        <f aca="false">MAX(AL25,AL26)</f>
        <v>0.359244714953129</v>
      </c>
      <c r="AM27" s="13" t="n">
        <f aca="false">MAX(AM25,AM26)</f>
        <v>0.361290988503624</v>
      </c>
      <c r="AN27" s="13" t="n">
        <f aca="false">MAX(AN25,AN26)</f>
        <v>5.09049097697763</v>
      </c>
      <c r="AO27" s="13" t="n">
        <f aca="false">MAX(AO25,AO26)</f>
        <v>9.15919557661718</v>
      </c>
      <c r="AP27" s="13" t="n">
        <f aca="false">MAX(AP25,AP26)</f>
        <v>9.91946007848358</v>
      </c>
      <c r="AQ27" s="13" t="n">
        <f aca="false">MAX(AQ25,AQ26)</f>
        <v>10.0399815761399</v>
      </c>
      <c r="AR27" s="13" t="n">
        <f aca="false">MAX(AR25,AR26)</f>
        <v>10.0642514952075</v>
      </c>
      <c r="AS27" s="13" t="n">
        <f aca="false">MAX(AS25,AS26)</f>
        <v>10.1549470561954</v>
      </c>
      <c r="AT27" s="13" t="n">
        <f aca="false">MAX(AT25,AT26)</f>
        <v>5.76443489290555</v>
      </c>
      <c r="AU27" s="13" t="n">
        <f aca="false">MAX(AU25,AU26)</f>
        <v>10.2910315256643</v>
      </c>
      <c r="AV27" s="13" t="n">
        <f aca="false">MAX(AV25,AV26)</f>
        <v>10.2329864718841</v>
      </c>
      <c r="AW27" s="13" t="n">
        <f aca="false">MAX(AW25,AW26)</f>
        <v>10.2851052090196</v>
      </c>
      <c r="AX27" s="13" t="n">
        <f aca="false">MAX(AX25,AX26)</f>
        <v>10.3477334849991</v>
      </c>
      <c r="AY27" s="13" t="n">
        <f aca="false">MAX(AY25,AY26)</f>
        <v>10.3825387833017</v>
      </c>
      <c r="AZ27" s="13" t="n">
        <f aca="false">MAX(AZ25,AZ26)</f>
        <v>10.4087897195238</v>
      </c>
      <c r="BA27" s="13" t="n">
        <f aca="false">MAX(BA25,BA26)</f>
        <v>10.4875791846278</v>
      </c>
      <c r="BB27" s="13" t="n">
        <f aca="false">MAX(BB25,BB26)</f>
        <v>9.54157432806529</v>
      </c>
      <c r="BC27" s="13" t="n">
        <f aca="false">MAX(BC25,BC26)</f>
        <v>12.5392320624627</v>
      </c>
      <c r="BD27" s="13" t="n">
        <f aca="false">MAX(BD25,BD26)</f>
        <v>16.3650975428939</v>
      </c>
      <c r="BE27" s="13" t="n">
        <f aca="false">MAX(BE25,BE26)</f>
        <v>16.4216418478695</v>
      </c>
      <c r="BF27" s="13" t="n">
        <f aca="false">MAX(BF25,BF26)</f>
        <v>16.4900750885265</v>
      </c>
      <c r="BG27" s="13" t="n">
        <f aca="false">MAX(BG25,BG26)</f>
        <v>16.5275531962427</v>
      </c>
      <c r="BH27" s="13" t="n">
        <f aca="false">MAX(BH25,BH26)</f>
        <v>16.5559473818673</v>
      </c>
      <c r="BI27" s="13" t="n">
        <f aca="false">MAX(BI25,BI26)</f>
        <v>16.6640814384695</v>
      </c>
      <c r="BJ27" s="13" t="n">
        <f aca="false">MAX(BJ25,BJ26)</f>
        <v>11.4738156665518</v>
      </c>
      <c r="BK27" s="13" t="n">
        <f aca="false">MAX(BK25,BK26)</f>
        <v>16.8261211050779</v>
      </c>
      <c r="BL27" s="13" t="n">
        <f aca="false">MAX(BL25,BL26)</f>
        <v>16.7548016278088</v>
      </c>
      <c r="BM27" s="13" t="n">
        <f aca="false">MAX(BM25,BM26)</f>
        <v>5.48304374279629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3.95918564719605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2.05494886746227</v>
      </c>
      <c r="Q28" s="13" t="n">
        <f aca="false">Q13-Q15</f>
        <v>0.815737984883667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148.619059825191</v>
      </c>
      <c r="AC63" s="13" t="n">
        <f aca="false">Time!AC35*AB75</f>
        <v>133.442163561814</v>
      </c>
      <c r="AD63" s="13" t="n">
        <f aca="false">Time!AD35*AC75</f>
        <v>118.74085003527</v>
      </c>
      <c r="AE63" s="13" t="n">
        <f aca="false">Time!AE35*AD75</f>
        <v>102.407314611577</v>
      </c>
      <c r="AF63" s="13" t="n">
        <f aca="false">Time!AF35*AE75</f>
        <v>85.7415916984763</v>
      </c>
      <c r="AG63" s="13" t="n">
        <f aca="false">Time!AG35*AF75</f>
        <v>68.7166994559256</v>
      </c>
      <c r="AH63" s="13" t="n">
        <f aca="false">Time!AH35*AG75</f>
        <v>52.0823602516982</v>
      </c>
      <c r="AI63" s="13" t="n">
        <f aca="false">Time!AI35*AH75</f>
        <v>34.893798020868</v>
      </c>
      <c r="AJ63" s="13" t="n">
        <f aca="false">Time!AJ35*AI75</f>
        <v>18.1919202859824</v>
      </c>
      <c r="AK63" s="13" t="n">
        <f aca="false">Time!AK35*AJ75</f>
        <v>1.40465739382189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134.591074185826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6.51575315124959</v>
      </c>
      <c r="AC65" s="13" t="n">
        <f aca="false">AC63*AC13</f>
        <v>5.78677708305221</v>
      </c>
      <c r="AD65" s="13" t="n">
        <f aca="false">AD63*AD13</f>
        <v>5.20583341537345</v>
      </c>
      <c r="AE65" s="13" t="n">
        <f aca="false">AE63*AE13</f>
        <v>4.41653669299535</v>
      </c>
      <c r="AF65" s="13" t="n">
        <f aca="false">AF63*AF13</f>
        <v>3.75908074616826</v>
      </c>
      <c r="AG65" s="13" t="n">
        <f aca="false">AG63*AG13</f>
        <v>3.15549628964553</v>
      </c>
      <c r="AH65" s="13" t="n">
        <f aca="false">AH63*AH13</f>
        <v>2.4312817356015</v>
      </c>
      <c r="AI65" s="13" t="n">
        <f aca="false">AI63*AI13</f>
        <v>1.60233612874716</v>
      </c>
      <c r="AJ65" s="13" t="n">
        <f aca="false">AJ63*AJ13</f>
        <v>0.849225789942673</v>
      </c>
      <c r="AK65" s="13" t="n">
        <f aca="false">AK63*AK13</f>
        <v>0.0648587545510278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147.402414155167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8.24806986758883</v>
      </c>
      <c r="AC66" s="13" t="n">
        <f aca="false">Time!AC35*(AC63-AC64)*AC19</f>
        <v>8.10069660637229</v>
      </c>
      <c r="AD66" s="13" t="n">
        <f aca="false">Time!AD35*(AD63-AD64)*AD19</f>
        <v>8.37956284526131</v>
      </c>
      <c r="AE66" s="13" t="n">
        <f aca="false">Time!AE35*(AE63-AE64)*AE19</f>
        <v>8.1098307059153</v>
      </c>
      <c r="AF66" s="13" t="n">
        <f aca="false">Time!AF35*(AF63-AF64)*AF19</f>
        <v>7.63269470875148</v>
      </c>
      <c r="AG66" s="13" t="n">
        <f aca="false">Time!AG35*(AG63-AG64)*AG19</f>
        <v>6.84022366430125</v>
      </c>
      <c r="AH66" s="13" t="n">
        <f aca="false">Time!AH35*(AH63-AH64)*AH19</f>
        <v>6.04655545946518</v>
      </c>
      <c r="AI66" s="13" t="n">
        <f aca="false">Time!AI35*(AI63-AI64)*AI19</f>
        <v>4.71768451912157</v>
      </c>
      <c r="AJ66" s="13" t="n">
        <f aca="false">Time!AJ35*(AJ63-AJ64)*AJ19</f>
        <v>2.98140151025295</v>
      </c>
      <c r="AK66" s="13" t="n">
        <f aca="false">Time!AK35*(AK63-AK64)*AK19</f>
        <v>0.284237569580986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147.402414155167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8.24806986758883</v>
      </c>
      <c r="AC69" s="13" t="n">
        <f aca="false">AC66-AC67+AC68</f>
        <v>8.10069660637229</v>
      </c>
      <c r="AD69" s="13" t="n">
        <f aca="false">AD66-AD67+AD68</f>
        <v>8.37956284526131</v>
      </c>
      <c r="AE69" s="13" t="n">
        <f aca="false">AE66-AE67+AE68</f>
        <v>8.1098307059153</v>
      </c>
      <c r="AF69" s="13" t="n">
        <f aca="false">AF66-AF67+AF68</f>
        <v>7.63269470875148</v>
      </c>
      <c r="AG69" s="13" t="n">
        <f aca="false">AG66-AG67+AG68</f>
        <v>6.84022366430125</v>
      </c>
      <c r="AH69" s="13" t="n">
        <f aca="false">AH66-AH67+AH68</f>
        <v>6.04655545946518</v>
      </c>
      <c r="AI69" s="13" t="n">
        <f aca="false">AI66-AI67+AI68</f>
        <v>4.71768451912157</v>
      </c>
      <c r="AJ69" s="13" t="n">
        <f aca="false">AJ66-AJ67+AJ68</f>
        <v>2.98140151025295</v>
      </c>
      <c r="AK69" s="13" t="n">
        <f aca="false">AK66-AK67+AK68</f>
        <v>0.284237569580986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140.370989957602</v>
      </c>
      <c r="AC73" s="13" t="n">
        <f aca="false">AC63-AC69-AC70-AC71</f>
        <v>125.341466955442</v>
      </c>
      <c r="AD73" s="13" t="n">
        <f aca="false">AD63-AD69-AD70-AD71</f>
        <v>110.361287190008</v>
      </c>
      <c r="AE73" s="13" t="n">
        <f aca="false">AE63-AE69-AE70-AE71</f>
        <v>94.297483905662</v>
      </c>
      <c r="AF73" s="13" t="n">
        <f aca="false">AF63-AF69-AF70-AF71</f>
        <v>78.1088969897249</v>
      </c>
      <c r="AG73" s="13" t="n">
        <f aca="false">AG63-AG69-AG70-AG71</f>
        <v>61.8764757916243</v>
      </c>
      <c r="AH73" s="13" t="n">
        <f aca="false">AH63-AH69-AH70-AH71</f>
        <v>46.035804792233</v>
      </c>
      <c r="AI73" s="13" t="n">
        <f aca="false">AI63-AI69-AI70-AI71</f>
        <v>30.1761135017465</v>
      </c>
      <c r="AJ73" s="13" t="n">
        <f aca="false">AJ63-AJ69-AJ70-AJ71</f>
        <v>15.2105187757294</v>
      </c>
      <c r="AK73" s="13" t="n">
        <f aca="false">AK63-AK69-AK70-AK71</f>
        <v>1.1204198242409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93.2348565510873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5.9567541825079</v>
      </c>
      <c r="AB74" s="13" t="n">
        <f aca="false">Waterfall!AB28*AB73/(AB31+AB45+AB59+AB73+AB87+Inputs!$F$253)+Waterfall!AB29</f>
        <v>6.92882639578735</v>
      </c>
      <c r="AC74" s="13" t="n">
        <f aca="false">Waterfall!AC28*AC73/(AC31+AC45+AC59+AC73+AC87+Inputs!$F$253)+Waterfall!AC29</f>
        <v>6.60061692017251</v>
      </c>
      <c r="AD74" s="13" t="n">
        <f aca="false">Waterfall!AD28*AD73/(AD31+AD45+AD59+AD73+AD87+Inputs!$F$253)+Waterfall!AD29</f>
        <v>7.95397257843099</v>
      </c>
      <c r="AE74" s="13" t="n">
        <f aca="false">Waterfall!AE28*AE73/(AE31+AE45+AE59+AE73+AE87+Inputs!$F$253)+Waterfall!AE29</f>
        <v>8.55589220718567</v>
      </c>
      <c r="AF74" s="13" t="n">
        <f aca="false">Waterfall!AF28*AF73/(AF31+AF45+AF59+AF73+AF87+Inputs!$F$253)+Waterfall!AF29</f>
        <v>9.39219753379926</v>
      </c>
      <c r="AG74" s="13" t="n">
        <f aca="false">Waterfall!AG28*AG73/(AG31+AG45+AG59+AG73+AG87+Inputs!$F$253)+Waterfall!AG29</f>
        <v>9.79411553992618</v>
      </c>
      <c r="AH74" s="13" t="n">
        <f aca="false">Waterfall!AH28*AH73/(AH31+AH45+AH59+AH73+AH87+Inputs!$F$253)+Waterfall!AH29</f>
        <v>11.142006771365</v>
      </c>
      <c r="AI74" s="13" t="n">
        <f aca="false">Waterfall!AI28*AI73/(AI31+AI45+AI59+AI73+AI87+Inputs!$F$253)+Waterfall!AI29</f>
        <v>11.9841932157641</v>
      </c>
      <c r="AJ74" s="13" t="n">
        <f aca="false">Waterfall!AJ28*AJ73/(AJ31+AJ45+AJ59+AJ73+AJ87+Inputs!$F$253)+Waterfall!AJ29</f>
        <v>13.8058613819075</v>
      </c>
      <c r="AK74" s="13" t="n">
        <f aca="false">Waterfall!AK28*AK73/(AK31+AK45+AK59+AK73+AK87+Inputs!$F$253)+Waterfall!AK29</f>
        <v>1.1204198242409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148.619059825191</v>
      </c>
      <c r="AB75" s="13" t="n">
        <f aca="false">IF(Time!AB34=1,INDEX(Funding!$J$64:$BJ$64,1,Time!$F$14),Time!AB35*(AB73-AB74))</f>
        <v>133.442163561814</v>
      </c>
      <c r="AC75" s="13" t="n">
        <f aca="false">IF(Time!AC34=1,INDEX(Funding!$J$64:$BJ$64,1,Time!$F$14),Time!AC35*(AC73-AC74))</f>
        <v>118.74085003527</v>
      </c>
      <c r="AD75" s="13" t="n">
        <f aca="false">IF(Time!AD34=1,INDEX(Funding!$J$64:$BJ$64,1,Time!$F$14),Time!AD35*(AD73-AD74))</f>
        <v>102.407314611577</v>
      </c>
      <c r="AE75" s="13" t="n">
        <f aca="false">IF(Time!AE34=1,INDEX(Funding!$J$64:$BJ$64,1,Time!$F$14),Time!AE35*(AE73-AE74))</f>
        <v>85.7415916984763</v>
      </c>
      <c r="AF75" s="13" t="n">
        <f aca="false">IF(Time!AF34=1,INDEX(Funding!$J$64:$BJ$64,1,Time!$F$14),Time!AF35*(AF73-AF74))</f>
        <v>68.7166994559256</v>
      </c>
      <c r="AG75" s="13" t="n">
        <f aca="false">IF(Time!AG34=1,INDEX(Funding!$J$64:$BJ$64,1,Time!$F$14),Time!AG35*(AG73-AG74))</f>
        <v>52.0823602516982</v>
      </c>
      <c r="AH75" s="13" t="n">
        <f aca="false">IF(Time!AH34=1,INDEX(Funding!$J$64:$BJ$64,1,Time!$F$14),Time!AH35*(AH73-AH74))</f>
        <v>34.893798020868</v>
      </c>
      <c r="AI75" s="13" t="n">
        <f aca="false">IF(Time!AI34=1,INDEX(Funding!$J$64:$BJ$64,1,Time!$F$14),Time!AI35*(AI73-AI74))</f>
        <v>18.1919202859824</v>
      </c>
      <c r="AJ75" s="13" t="n">
        <f aca="false">IF(Time!AJ34=1,INDEX(Funding!$J$64:$BJ$64,1,Time!$F$14),Time!AJ35*(AJ73-AJ74))</f>
        <v>1.40465739382189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16.6151062600945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0.775425034331762</v>
      </c>
      <c r="AC108" s="13" t="n">
        <f aca="false">(Inputs!$F$95/100*Inputs!$F$96/100)*AC63*Time!AC25/Inputs!$F$248</f>
        <v>0.688671242469561</v>
      </c>
      <c r="AD108" s="13" t="n">
        <f aca="false">(Inputs!$F$95/100*Inputs!$F$96/100)*AD63*Time!AD25/Inputs!$F$248</f>
        <v>0.619534451526486</v>
      </c>
      <c r="AE108" s="13" t="n">
        <f aca="false">(Inputs!$F$95/100*Inputs!$F$96/100)*AE63*Time!AE25/Inputs!$F$248</f>
        <v>0.525602035144105</v>
      </c>
      <c r="AF108" s="13" t="n">
        <f aca="false">(Inputs!$F$95/100*Inputs!$F$96/100)*AF63*Time!AF25/Inputs!$F$248</f>
        <v>0.44735969104268</v>
      </c>
      <c r="AG108" s="13" t="n">
        <f aca="false">(Inputs!$F$95/100*Inputs!$F$96/100)*AG63*Time!AG25/Inputs!$F$248</f>
        <v>0.352686106645913</v>
      </c>
      <c r="AH108" s="13" t="n">
        <f aca="false">(Inputs!$F$95/100*Inputs!$F$96/100)*AH63*Time!AH25/Inputs!$F$248</f>
        <v>0.27174149825571</v>
      </c>
      <c r="AI108" s="13" t="n">
        <f aca="false">(Inputs!$F$95/100*Inputs!$F$96/100)*AI63*Time!AI25/Inputs!$F$248</f>
        <v>0.179091223349022</v>
      </c>
      <c r="AJ108" s="13" t="n">
        <f aca="false">(Inputs!$F$95/100*Inputs!$F$96/100)*AJ63*Time!AJ25/Inputs!$F$248</f>
        <v>0.0949169671030817</v>
      </c>
      <c r="AK108" s="13" t="n">
        <f aca="false">(Inputs!$F$95/100*Inputs!$F$96/100)*AK63*Time!AK25/Inputs!$F$248</f>
        <v>0.00724918666504739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305.053119056666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13.7559758051152</v>
      </c>
      <c r="AC111" s="13" t="n">
        <f aca="false">AC23+AC37+AC51+AC65+AC79+AC92</f>
        <v>12.5508509259297</v>
      </c>
      <c r="AD111" s="13" t="n">
        <f aca="false">AD23+AD37+AD51+AD65+AD79+AD92</f>
        <v>11.6291077899019</v>
      </c>
      <c r="AE111" s="13" t="n">
        <f aca="false">AE23+AE37+AE51+AE65+AE79+AE92</f>
        <v>10.2891827802882</v>
      </c>
      <c r="AF111" s="13" t="n">
        <f aca="false">AF23+AF37+AF51+AF65+AF79+AF92</f>
        <v>9.25628917922692</v>
      </c>
      <c r="AG111" s="13" t="n">
        <f aca="false">AG23+AG37+AG51+AG65+AG79+AG92</f>
        <v>8.08169492354702</v>
      </c>
      <c r="AH111" s="13" t="n">
        <f aca="false">AH23+AH37+AH51+AH65+AH79+AH92</f>
        <v>6.94063693925885</v>
      </c>
      <c r="AI111" s="13" t="n">
        <f aca="false">AI23+AI37+AI51+AI65+AI79+AI92</f>
        <v>5.52318660598042</v>
      </c>
      <c r="AJ111" s="13" t="n">
        <f aca="false">AJ23+AJ37+AJ51+AJ65+AJ79+AJ92</f>
        <v>4.29617266879882</v>
      </c>
      <c r="AK111" s="13" t="n">
        <f aca="false">AK23+AK37+AK51+AK65+AK79+AK92</f>
        <v>2.91557268294492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313.334021713775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14.1370969212005</v>
      </c>
      <c r="AC112" s="13" t="n">
        <f aca="false">AC111+AC107+AC108+AC109</f>
        <v>12.9203775087112</v>
      </c>
      <c r="AD112" s="13" t="n">
        <f aca="false">AD111+AD107+AD108+AD109</f>
        <v>11.8988294835989</v>
      </c>
      <c r="AE112" s="13" t="n">
        <f aca="false">AE111+AE107+AE108+AE109</f>
        <v>10.5594241829589</v>
      </c>
      <c r="AF112" s="13" t="n">
        <f aca="false">AF111+AF107+AF108+AF109</f>
        <v>9.40426984172339</v>
      </c>
      <c r="AG112" s="13" t="n">
        <f aca="false">AG111+AG107+AG108+AG109</f>
        <v>8.22017483078227</v>
      </c>
      <c r="AH112" s="13" t="n">
        <f aca="false">AH111+AH107+AH108+AH109</f>
        <v>6.96679808583603</v>
      </c>
      <c r="AI112" s="13" t="n">
        <f aca="false">AI111+AI107+AI108+AI109</f>
        <v>5.5317872458995</v>
      </c>
      <c r="AJ112" s="13" t="n">
        <f aca="false">AJ111+AJ107+AJ108+AJ109</f>
        <v>4.20336824592576</v>
      </c>
      <c r="AK112" s="13" t="n">
        <f aca="false">AK111+AK107+AK108+AK109</f>
        <v>2.78831858835096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540.021118991704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22.2448279562544</v>
      </c>
      <c r="AC113" s="13" t="n">
        <f aca="false">AC27+AC41+AC55+AC69+AC83+AC93</f>
        <v>22.5611456830625</v>
      </c>
      <c r="AD113" s="13" t="n">
        <f aca="false">AD27+AD41+AD55+AD69+AD83+AD93</f>
        <v>24.1693179966076</v>
      </c>
      <c r="AE113" s="13" t="n">
        <f aca="false">AE27+AE41+AE55+AE69+AE83+AE93</f>
        <v>24.5782380499585</v>
      </c>
      <c r="AF113" s="13" t="n">
        <f aca="false">AF27+AF41+AF55+AF69+AF83+AF93</f>
        <v>24.6788432112753</v>
      </c>
      <c r="AG113" s="13" t="n">
        <f aca="false">AG27+AG41+AG55+AG69+AG83+AG93</f>
        <v>24.204508121925</v>
      </c>
      <c r="AH113" s="13" t="n">
        <f aca="false">AH27+AH41+AH55+AH69+AH83+AH93</f>
        <v>24.2825537446035</v>
      </c>
      <c r="AI113" s="13" t="n">
        <f aca="false">AI27+AI41+AI55+AI69+AI83+AI93</f>
        <v>23.489137694187</v>
      </c>
      <c r="AJ113" s="13" t="n">
        <f aca="false">AJ27+AJ41+AJ55+AJ69+AJ83+AJ93</f>
        <v>22.6590965823259</v>
      </c>
      <c r="AK113" s="13" t="n">
        <f aca="false">AK27+AK41+AK55+AK69+AK83+AK93</f>
        <v>20.5988647865371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853.35514070548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36.3819248774549</v>
      </c>
      <c r="AC114" s="13" t="n">
        <f aca="false">AC112+AC113</f>
        <v>35.4815231917737</v>
      </c>
      <c r="AD114" s="13" t="n">
        <f aca="false">AD112+AD113</f>
        <v>36.0681474802064</v>
      </c>
      <c r="AE114" s="13" t="n">
        <f aca="false">AE112+AE113</f>
        <v>35.1376622329174</v>
      </c>
      <c r="AF114" s="13" t="n">
        <f aca="false">AF112+AF113</f>
        <v>34.0831130529987</v>
      </c>
      <c r="AG114" s="13" t="n">
        <f aca="false">AG112+AG113</f>
        <v>32.4246829527073</v>
      </c>
      <c r="AH114" s="13" t="n">
        <f aca="false">AH112+AH113</f>
        <v>31.2493518304395</v>
      </c>
      <c r="AI114" s="13" t="n">
        <f aca="false">AI112+AI113</f>
        <v>29.0209249400865</v>
      </c>
      <c r="AJ114" s="13" t="n">
        <f aca="false">AJ112+AJ113</f>
        <v>26.8624648282517</v>
      </c>
      <c r="AK114" s="13" t="n">
        <f aca="false">AK112+AK113</f>
        <v>23.387183374888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400.821703732499</v>
      </c>
      <c r="AC115" s="13" t="n">
        <f aca="false">AC21+AC35+AC49+AC63+AC77+AC91</f>
        <v>371.648049380458</v>
      </c>
      <c r="AD115" s="13" t="n">
        <f aca="false">AD21+AD35+AD49+AD63+AD77+AD91</f>
        <v>342.486286777223</v>
      </c>
      <c r="AE115" s="13" t="n">
        <f aca="false">AE21+AE35+AE49+AE63+AE77+AE91</f>
        <v>310.362996202184</v>
      </c>
      <c r="AF115" s="13" t="n">
        <f aca="false">AF21+AF35+AF49+AF63+AF77+AF91</f>
        <v>277.22886594504</v>
      </c>
      <c r="AG115" s="13" t="n">
        <f aca="false">AG21+AG35+AG49+AG63+AG77+AG91</f>
        <v>243.157825199965</v>
      </c>
      <c r="AH115" s="13" t="n">
        <f aca="false">AH21+AH35+AH49+AH63+AH77+AH91</f>
        <v>209.159201538114</v>
      </c>
      <c r="AI115" s="13" t="n">
        <f aca="false">AI21+AI35+AI49+AI63+AI77+AI91</f>
        <v>173.734641022146</v>
      </c>
      <c r="AJ115" s="13" t="n">
        <f aca="false">AJ21+AJ35+AJ49+AJ63+AJ77+AJ91</f>
        <v>138.261310112194</v>
      </c>
      <c r="AK115" s="13" t="n">
        <f aca="false">AK21+AK35+AK49+AK63+AK77+AK91</f>
        <v>101.796352147961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400.821703732499</v>
      </c>
      <c r="AB116" s="13" t="n">
        <f aca="false">AB33+AB47+AB61+AB75+AB89+AB95</f>
        <v>371.648049380458</v>
      </c>
      <c r="AC116" s="13" t="n">
        <f aca="false">AC33+AC47+AC61+AC75+AC89+AC95</f>
        <v>342.486286777223</v>
      </c>
      <c r="AD116" s="13" t="n">
        <f aca="false">AD33+AD47+AD61+AD75+AD89+AD95</f>
        <v>310.362996202184</v>
      </c>
      <c r="AE116" s="13" t="n">
        <f aca="false">AE33+AE47+AE61+AE75+AE89+AE95</f>
        <v>277.22886594504</v>
      </c>
      <c r="AF116" s="13" t="n">
        <f aca="false">AF33+AF47+AF61+AF75+AF89+AF95</f>
        <v>243.157825199965</v>
      </c>
      <c r="AG116" s="13" t="n">
        <f aca="false">AG33+AG47+AG61+AG75+AG89+AG95</f>
        <v>209.159201538114</v>
      </c>
      <c r="AH116" s="13" t="n">
        <f aca="false">AH33+AH47+AH61+AH75+AH89+AH95</f>
        <v>173.734641022146</v>
      </c>
      <c r="AI116" s="13" t="n">
        <f aca="false">AI33+AI47+AI61+AI75+AI89+AI95</f>
        <v>138.261310112194</v>
      </c>
      <c r="AJ116" s="13" t="n">
        <f aca="false">AJ33+AJ47+AJ61+AJ75+AJ89+AJ95</f>
        <v>101.796352147961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140.370989957602</v>
      </c>
      <c r="AC118" s="13" t="n">
        <f aca="false">IF(Time!AC34=1,AC75,AC73)</f>
        <v>125.341466955442</v>
      </c>
      <c r="AD118" s="13" t="n">
        <f aca="false">IF(Time!AD34=1,AD75,AD73)</f>
        <v>110.361287190008</v>
      </c>
      <c r="AE118" s="13" t="n">
        <f aca="false">IF(Time!AE34=1,AE75,AE73)</f>
        <v>94.297483905662</v>
      </c>
      <c r="AF118" s="13" t="n">
        <f aca="false">IF(Time!AF34=1,AF75,AF73)</f>
        <v>78.1088969897249</v>
      </c>
      <c r="AG118" s="13" t="n">
        <f aca="false">IF(Time!AG34=1,AG75,AG73)</f>
        <v>61.8764757916243</v>
      </c>
      <c r="AH118" s="13" t="n">
        <f aca="false">IF(Time!AH34=1,AH75,AH73)</f>
        <v>46.035804792233</v>
      </c>
      <c r="AI118" s="13" t="n">
        <f aca="false">IF(Time!AI34=1,AI75,AI73)</f>
        <v>30.1761135017465</v>
      </c>
      <c r="AJ118" s="13" t="n">
        <f aca="false">IF(Time!AJ34=1,AJ75,AJ73)</f>
        <v>15.2105187757294</v>
      </c>
      <c r="AK118" s="13" t="n">
        <f aca="false">IF(Time!AK34=1,AK75,AK73)</f>
        <v>1.1204198242409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14.6085643230121</v>
      </c>
      <c r="AC122" s="13" t="n">
        <f aca="false">IF(AND(Time!AC20&gt;=Time!$F$12,Time!AD20&gt;0),(IF(Time!AC34=1,AC75,AC73)-AC72)*AD19+IF(Time!AD46&gt;0,Time!AD45*AC72/Time!AD46,0)+IF(Time!AC34=1,AC75,AC73)*AD13,0)</f>
        <v>14.3405870513235</v>
      </c>
      <c r="AD122" s="13" t="n">
        <f aca="false">IF(AND(Time!AD20&gt;=Time!$F$12,Time!AE20&gt;0),(IF(Time!AD34=1,AD75,AD73)-AD72)*AE19+IF(Time!AE46&gt;0,Time!AE45*AD72/Time!AE46,0)+IF(Time!AD34=1,AD75,AD73)*AE13,0)</f>
        <v>13.4992899208632</v>
      </c>
      <c r="AE122" s="13" t="n">
        <f aca="false">IF(AND(Time!AE20&gt;=Time!$F$12,Time!AF20&gt;0),(IF(Time!AE34=1,AE75,AE73)-AE72)*AF19+IF(Time!AF46&gt;0,Time!AF45*AE72/Time!AF46,0)+IF(Time!AE34=1,AE75,AE73)*AF13,0)</f>
        <v>12.5285260203106</v>
      </c>
      <c r="AF122" s="13" t="n">
        <f aca="false">IF(AND(Time!AF20&gt;=Time!$F$12,Time!AG20&gt;0),(IF(Time!AF34=1,AF75,AF73)-AF72)*AG19+IF(Time!AG46&gt;0,Time!AG45*AF72/Time!AG46,0)+IF(Time!AF34=1,AF75,AF73)*AG13,0)</f>
        <v>11.3619348193773</v>
      </c>
      <c r="AG122" s="13" t="n">
        <f aca="false">IF(AND(Time!AG20&gt;=Time!$F$12,Time!AH20&gt;0),(IF(Time!AG34=1,AG75,AG73)-AG72)*AH19+IF(Time!AH46&gt;0,Time!AH45*AG72/Time!AH46,0)+IF(Time!AG34=1,AG75,AG73)*AH13,0)</f>
        <v>10.0720989876562</v>
      </c>
      <c r="AH122" s="13" t="n">
        <f aca="false">IF(AND(Time!AH20&gt;=Time!$F$12,Time!AI20&gt;0),(IF(Time!AH34=1,AH75,AH73)-AH72)*AI19+IF(Time!AI46&gt;0,Time!AI45*AH72/Time!AI46,0)+IF(Time!AH34=1,AH75,AH73)*AI13,0)</f>
        <v>8.33807877990717</v>
      </c>
      <c r="AI122" s="13" t="n">
        <f aca="false">IF(AND(Time!AI20&gt;=Time!$F$12,Time!AJ20&gt;0),(IF(Time!AI34=1,AI75,AI73)-AI72)*AJ19+IF(Time!AJ46&gt;0,Time!AJ45*AI72/Time!AJ46,0)+IF(Time!AI34=1,AI75,AI73)*AJ13,0)</f>
        <v>6.35410898774998</v>
      </c>
      <c r="AJ122" s="13" t="n">
        <f aca="false">IF(AND(Time!AJ20&gt;=Time!$F$12,Time!AK20&gt;0),(IF(Time!AJ34=1,AJ75,AJ73)-AJ72)*AK19+IF(Time!AK46&gt;0,Time!AK45*AJ72/Time!AK46,0)+IF(Time!AJ34=1,AJ75,AJ73)*AK13,0)</f>
        <v>3.78023581843005</v>
      </c>
      <c r="AK122" s="13" t="n">
        <f aca="false">IF(AND(Time!AK20&gt;=Time!$F$12,Time!AL20&gt;0),(IF(Time!AK34=1,AK75,AK73)-AK72)*AL19+IF(Time!AL46&gt;0,Time!AL45*AK72/Time!AL46,0)+IF(Time!AK34=1,AK75,AK73)*AL13,0)</f>
        <v>0.353690968664502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36.2383722644894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36.8577772157247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36.1514082467325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35.2645042789905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33.8391029503294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32.8947147562735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31.0961690403034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29.4484744543269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26.8895724612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24.0735766328644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849.067702410955</v>
      </c>
      <c r="Q128" s="13" t="n">
        <f aca="false">IF(Time!Q53=1,(Waterfall!Q7+R128)/(1+Q127),0)</f>
        <v>828.442294202765</v>
      </c>
      <c r="R128" s="13" t="n">
        <f aca="false">IF(Time!R53=1,(Waterfall!R7+S128)/(1+R127),0)</f>
        <v>806.93181667351</v>
      </c>
      <c r="S128" s="13" t="n">
        <f aca="false">IF(Time!S53=1,(Waterfall!S7+T128)/(1+S127),0)</f>
        <v>784.358926362467</v>
      </c>
      <c r="T128" s="13" t="n">
        <f aca="false">IF(Time!T53=1,(Waterfall!T7+U128)/(1+T127),0)</f>
        <v>761.112285640151</v>
      </c>
      <c r="U128" s="13" t="n">
        <f aca="false">IF(Time!U53=1,(Waterfall!U7+V128)/(1+U127),0)</f>
        <v>736.815998225522</v>
      </c>
      <c r="V128" s="13" t="n">
        <f aca="false">IF(Time!V53=1,(Waterfall!V7+W128)/(1+V127),0)</f>
        <v>711.724655193302</v>
      </c>
      <c r="W128" s="13" t="n">
        <f aca="false">IF(Time!W53=1,(Waterfall!W7+X128)/(1+W127),0)</f>
        <v>684.953863751758</v>
      </c>
      <c r="X128" s="13" t="n">
        <f aca="false">IF(Time!X53=1,(Waterfall!X7+Y128)/(1+X127),0)</f>
        <v>657.358101627796</v>
      </c>
      <c r="Y128" s="13" t="n">
        <f aca="false">IF(Time!Y53=1,(Waterfall!Y7+Z128)/(1+Y127),0)</f>
        <v>630.599545495058</v>
      </c>
      <c r="Z128" s="13" t="n">
        <f aca="false">IF(Time!Z53=1,(Waterfall!Z7+AA128)/(1+Z127),0)</f>
        <v>603.831191407939</v>
      </c>
      <c r="AA128" s="13" t="n">
        <f aca="false">IF(Time!AA53=1,(Waterfall!AA7+AB128)/(1+AA127),0)</f>
        <v>575.944194412105</v>
      </c>
      <c r="AB128" s="13" t="n">
        <f aca="false">IF(Time!AB53=1,(Waterfall!AB7+AC128)/(1+AB127),0)</f>
        <v>547.233548810344</v>
      </c>
      <c r="AC128" s="13" t="n">
        <f aca="false">IF(Time!AC53=1,(Waterfall!AC7+AD128)/(1+AC127),0)</f>
        <v>517.171932858636</v>
      </c>
      <c r="AD128" s="13" t="n">
        <f aca="false">IF(Time!AD53=1,(Waterfall!AD7+AE128)/(1+AD127),0)</f>
        <v>486.081864916891</v>
      </c>
      <c r="AE128" s="13" t="n">
        <f aca="false">IF(Time!AE53=1,(Waterfall!AE7+AF128)/(1+AE127),0)</f>
        <v>452.054541003643</v>
      </c>
      <c r="AF128" s="13" t="n">
        <f aca="false">IF(Time!AF53=1,(Waterfall!AF7+AG128)/(1+AF127),0)</f>
        <v>416.552810157395</v>
      </c>
      <c r="AG128" s="13" t="n">
        <f aca="false">IF(Time!AG53=1,(Waterfall!AG7+AH128)/(1+AG127),0)</f>
        <v>379.886753636248</v>
      </c>
      <c r="AH128" s="13" t="n">
        <f aca="false">IF(Time!AH53=1,(Waterfall!AH7+AI128)/(1+AH127),0)</f>
        <v>342.550175763823</v>
      </c>
      <c r="AI128" s="13" t="n">
        <f aca="false">IF(Time!AI53=1,(Waterfall!AI7+AJ128)/(1+AI127),0)</f>
        <v>303.335984989559</v>
      </c>
      <c r="AJ128" s="13" t="n">
        <f aca="false">IF(Time!AJ53=1,(Waterfall!AJ7+AK128)/(1+AJ127),0)</f>
        <v>262.959198965312</v>
      </c>
      <c r="AK128" s="13" t="n">
        <f aca="false">IF(Time!AK53=1,(Waterfall!AK7+AL128)/(1+AK127),0)</f>
        <v>220.655394470584</v>
      </c>
      <c r="AL128" s="13" t="n">
        <f aca="false">IF(Time!AL53=1,(Waterfall!AL7+AM128)/(1+AL127),0)</f>
        <v>176.95800727941</v>
      </c>
      <c r="AM128" s="13" t="n">
        <f aca="false">IF(Time!AM53=1,(Waterfall!AM7+AN128)/(1+AM127),0)</f>
        <v>130.577663606533</v>
      </c>
      <c r="AN128" s="13" t="n">
        <f aca="false">IF(Time!AN53=1,(Waterfall!AN7+AO128)/(1+AN127),0)</f>
        <v>82.813765253605</v>
      </c>
      <c r="AO128" s="13" t="n">
        <f aca="false">IF(Time!AO53=1,(Waterfall!AO7+AP128)/(1+AO127),0)</f>
        <v>39.9800043904268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1.34079698447884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628.93903882293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37.1391270830925</v>
      </c>
      <c r="Q132" s="13" t="n">
        <f aca="false">IF(Time!Q53=1,(Waterfall!Q7)/$F$129,0)</f>
        <v>37.058434911817</v>
      </c>
      <c r="R132" s="13" t="n">
        <f aca="false">IF(Time!R53=1,(Waterfall!R7)/$F$129,0)</f>
        <v>37.5268361081463</v>
      </c>
      <c r="S132" s="13" t="n">
        <f aca="false">IF(Time!S53=1,(Waterfall!S7)/$F$129,0)</f>
        <v>37.2421552297568</v>
      </c>
      <c r="T132" s="13" t="n">
        <f aca="false">IF(Time!T53=1,(Waterfall!T7)/$F$129,0)</f>
        <v>37.6443086016743</v>
      </c>
      <c r="U132" s="13" t="n">
        <f aca="false">IF(Time!U53=1,(Waterfall!U7)/$F$129,0)</f>
        <v>37.4790236280672</v>
      </c>
      <c r="V132" s="13" t="n">
        <f aca="false">IF(Time!V53=1,(Waterfall!V7)/$F$129,0)</f>
        <v>38.2229982324677</v>
      </c>
      <c r="W132" s="13" t="n">
        <f aca="false">IF(Time!W53=1,(Waterfall!W7)/$F$129,0)</f>
        <v>37.9632935677233</v>
      </c>
      <c r="X132" s="13" t="n">
        <f aca="false">IF(Time!X53=1,(Waterfall!X7)/$F$129,0)</f>
        <v>36.8192994245209</v>
      </c>
      <c r="Y132" s="13" t="n">
        <f aca="false">IF(Time!Y53=1,(Waterfall!Y7)/$F$129,0)</f>
        <v>36.4660771653435</v>
      </c>
      <c r="Z132" s="13" t="n">
        <f aca="false">IF(Time!Z53=1,(Waterfall!Z7)/$F$129,0)</f>
        <v>36.7738192923417</v>
      </c>
      <c r="AA132" s="13" t="n">
        <f aca="false">IF(Time!AA53=1,(Waterfall!AA7)/$F$129,0)</f>
        <v>36.484462273762</v>
      </c>
      <c r="AB132" s="13" t="n">
        <f aca="false">IF(Time!AB53=1,(Waterfall!AB7)/$F$129,0)</f>
        <v>36.8983536465611</v>
      </c>
      <c r="AC132" s="13" t="n">
        <f aca="false">IF(Time!AC53=1,(Waterfall!AC7)/$F$129,0)</f>
        <v>36.7707882357132</v>
      </c>
      <c r="AD132" s="13" t="n">
        <f aca="false">IF(Time!AD53=1,(Waterfall!AD7)/$F$129,0)</f>
        <v>38.2382450598996</v>
      </c>
      <c r="AE132" s="13" t="n">
        <f aca="false">IF(Time!AE53=1,(Waterfall!AE7)/$F$129,0)</f>
        <v>38.3074718052945</v>
      </c>
      <c r="AF132" s="13" t="n">
        <f aca="false">IF(Time!AF53=1,(Waterfall!AF7)/$F$129,0)</f>
        <v>38.3668127147015</v>
      </c>
      <c r="AG132" s="13" t="n">
        <f aca="false">IF(Time!AG53=1,(Waterfall!AG7)/$F$129,0)</f>
        <v>38.0881866752959</v>
      </c>
      <c r="AH132" s="13" t="n">
        <f aca="false">IF(Time!AH53=1,(Waterfall!AH7)/$F$129,0)</f>
        <v>38.5851253068775</v>
      </c>
      <c r="AI132" s="13" t="n">
        <f aca="false">IF(Time!AI53=1,(Waterfall!AI7)/$F$129,0)</f>
        <v>38.2918647490802</v>
      </c>
      <c r="AJ132" s="13" t="n">
        <f aca="false">IF(Time!AJ53=1,(Waterfall!AJ7)/$F$129,0)</f>
        <v>38.7197213298621</v>
      </c>
      <c r="AK132" s="13" t="n">
        <f aca="false">IF(Time!AK53=1,(Waterfall!AK7)/$F$129,0)</f>
        <v>38.5615571608306</v>
      </c>
      <c r="AL132" s="13" t="n">
        <f aca="false">IF(Time!AL53=1,(Waterfall!AL7)/$F$129,0)</f>
        <v>39.4156433801913</v>
      </c>
      <c r="AM132" s="13" t="n">
        <f aca="false">IF(Time!AM53=1,(Waterfall!AM7)/$F$129,0)</f>
        <v>39.1438466430235</v>
      </c>
      <c r="AN132" s="13" t="n">
        <f aca="false">IF(Time!AN53=1,(Waterfall!AN7)/$F$129,0)</f>
        <v>34.2040637336504</v>
      </c>
      <c r="AO132" s="13" t="n">
        <f aca="false">IF(Time!AO53=1,(Waterfall!AO7)/$F$129,0)</f>
        <v>30.8959381533672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617.873029096033</v>
      </c>
      <c r="R133" s="13" t="n">
        <f aca="false">IF(Time!R53=1,IF(Time!R20=Time!$F$13,Funding!$F$25,Q133-Q134),0)</f>
        <v>601.829975764126</v>
      </c>
      <c r="S133" s="13" t="n">
        <f aca="false">IF(Time!S53=1,IF(Time!S20=Time!$F$13,Funding!$F$25,R133-R134),0)</f>
        <v>584.994548348679</v>
      </c>
      <c r="T133" s="13" t="n">
        <f aca="false">IF(Time!T53=1,IF(Time!T20=Time!$F$13,Funding!$F$25,S133-S134),0)</f>
        <v>567.656620987997</v>
      </c>
      <c r="U133" s="13" t="n">
        <f aca="false">IF(Time!U53=1,IF(Time!U20=Time!$F$13,Funding!$F$25,T133-T134),0)</f>
        <v>549.535840813306</v>
      </c>
      <c r="V133" s="13" t="n">
        <f aca="false">IF(Time!V53=1,IF(Time!V20=Time!$F$13,Funding!$F$25,U133-U134),0)</f>
        <v>530.82208822982</v>
      </c>
      <c r="W133" s="13" t="n">
        <f aca="false">IF(Time!W53=1,IF(Time!W20=Time!$F$13,Funding!$F$25,V133-V134),0)</f>
        <v>510.855760924908</v>
      </c>
      <c r="X133" s="13" t="n">
        <f aca="false">IF(Time!X53=1,IF(Time!X20=Time!$F$13,Funding!$F$25,W133-W134),0)</f>
        <v>490.27414980599</v>
      </c>
      <c r="Y133" s="13" t="n">
        <f aca="false">IF(Time!Y53=1,IF(Time!Y20=Time!$F$13,Funding!$F$25,X133-X134),0)</f>
        <v>470.31694790108</v>
      </c>
      <c r="Z133" s="13" t="n">
        <f aca="false">IF(Time!Z53=1,IF(Time!Z20=Time!$F$13,Funding!$F$25,Y133-Y134),0)</f>
        <v>450.352438436193</v>
      </c>
      <c r="AA133" s="13" t="n">
        <f aca="false">IF(Time!AA53=1,IF(Time!AA20=Time!$F$13,Funding!$F$25,Z133-Z134),0)</f>
        <v>429.553617049618</v>
      </c>
      <c r="AB133" s="13" t="n">
        <f aca="false">IF(Time!AB53=1,IF(Time!AB20=Time!$F$13,Funding!$F$25,AA133-AA134),0)</f>
        <v>408.140497886824</v>
      </c>
      <c r="AC133" s="13" t="n">
        <f aca="false">IF(Time!AC53=1,IF(Time!AC20=Time!$F$13,Funding!$F$25,AB133-AB134),0)</f>
        <v>385.719791173053</v>
      </c>
      <c r="AD133" s="13" t="n">
        <f aca="false">IF(Time!AD53=1,IF(Time!AD20=Time!$F$13,Funding!$F$25,AC133-AC134),0)</f>
        <v>362.532039185507</v>
      </c>
      <c r="AE133" s="13" t="n">
        <f aca="false">IF(Time!AE53=1,IF(Time!AE20=Time!$F$13,Funding!$F$25,AD133-AD134),0)</f>
        <v>337.153608067932</v>
      </c>
      <c r="AF133" s="13" t="n">
        <f aca="false">IF(Time!AF53=1,IF(Time!AF20=Time!$F$13,Funding!$F$25,AE133-AE134),0)</f>
        <v>310.675527301628</v>
      </c>
      <c r="AG133" s="13" t="n">
        <f aca="false">IF(Time!AG53=1,IF(Time!AG20=Time!$F$13,Funding!$F$25,AF133-AF134),0)</f>
        <v>283.329063261511</v>
      </c>
      <c r="AH133" s="13" t="n">
        <f aca="false">IF(Time!AH53=1,IF(Time!AH20=Time!$F$13,Funding!$F$25,AG133-AG134),0)</f>
        <v>255.482507590044</v>
      </c>
      <c r="AI133" s="13" t="n">
        <f aca="false">IF(Time!AI53=1,IF(Time!AI20=Time!$F$13,Funding!$F$25,AH133-AH134),0)</f>
        <v>226.235581151358</v>
      </c>
      <c r="AJ133" s="13" t="n">
        <f aca="false">IF(Time!AJ53=1,IF(Time!AJ20=Time!$F$13,Funding!$F$25,AI133-AI134),0)</f>
        <v>196.121562033139</v>
      </c>
      <c r="AK133" s="13" t="n">
        <f aca="false">IF(Time!AK53=1,IF(Time!AK20=Time!$F$13,Funding!$F$25,AJ133-AJ134),0)</f>
        <v>164.570324236187</v>
      </c>
      <c r="AL133" s="13" t="n">
        <f aca="false">IF(Time!AL53=1,IF(Time!AL20=Time!$F$13,Funding!$F$25,AK133-AK134),0)</f>
        <v>131.979717532101</v>
      </c>
      <c r="AM133" s="13" t="n">
        <f aca="false">IF(Time!AM53=1,IF(Time!AM20=Time!$F$13,Funding!$F$25,AL133-AL134),0)</f>
        <v>97.388094631856</v>
      </c>
      <c r="AN133" s="13" t="n">
        <f aca="false">IF(Time!AN53=1,IF(Time!AN20=Time!$F$13,Funding!$F$25,AM133-AM134),0)</f>
        <v>61.7645819704716</v>
      </c>
      <c r="AO133" s="13" t="n">
        <f aca="false">IF(Time!AO53=1,IF(Time!AO20=Time!$F$13,Funding!$F$25,AN133-AN134),0)</f>
        <v>29.8180894298224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15.3829464467411</v>
      </c>
      <c r="Q134" s="13" t="n">
        <f aca="false">Q132-Q133*Q127</f>
        <v>16.0430533319077</v>
      </c>
      <c r="R134" s="13" t="n">
        <f aca="false">R132-R133*R127</f>
        <v>16.8354274154468</v>
      </c>
      <c r="S134" s="13" t="n">
        <f aca="false">S132-S133*S127</f>
        <v>17.3379273606819</v>
      </c>
      <c r="T134" s="13" t="n">
        <f aca="false">T132-T133*T127</f>
        <v>18.1207801746907</v>
      </c>
      <c r="U134" s="13" t="n">
        <f aca="false">U132-U133*U127</f>
        <v>18.7137525834857</v>
      </c>
      <c r="V134" s="13" t="n">
        <f aca="false">V132-V133*V127</f>
        <v>19.9663273049126</v>
      </c>
      <c r="W134" s="13" t="n">
        <f aca="false">W132-W133*W127</f>
        <v>20.581611118918</v>
      </c>
      <c r="X134" s="13" t="n">
        <f aca="false">X132-X133*X127</f>
        <v>19.9572019049099</v>
      </c>
      <c r="Y134" s="13" t="n">
        <f aca="false">Y132-Y133*Y127</f>
        <v>19.9645094648868</v>
      </c>
      <c r="Z134" s="13" t="n">
        <f aca="false">Z132-Z133*Z127</f>
        <v>20.7988213865754</v>
      </c>
      <c r="AA134" s="13" t="n">
        <f aca="false">AA132-AA133*AA127</f>
        <v>21.4131191627942</v>
      </c>
      <c r="AB134" s="13" t="n">
        <f aca="false">AB132-AB133*AB127</f>
        <v>22.4207067137707</v>
      </c>
      <c r="AC134" s="13" t="n">
        <f aca="false">AC132-AC133*AC127</f>
        <v>23.1877519875462</v>
      </c>
      <c r="AD134" s="13" t="n">
        <f aca="false">AD132-AD133*AD127</f>
        <v>25.3784311175749</v>
      </c>
      <c r="AE134" s="13" t="n">
        <f aca="false">AE132-AE133*AE127</f>
        <v>26.4780807663043</v>
      </c>
      <c r="AF134" s="13" t="n">
        <f aca="false">AF132-AF133*AF127</f>
        <v>27.3464640401167</v>
      </c>
      <c r="AG134" s="13" t="n">
        <f aca="false">AG132-AG133*AG127</f>
        <v>27.8465556714668</v>
      </c>
      <c r="AH134" s="13" t="n">
        <f aca="false">AH132-AH133*AH127</f>
        <v>29.2469264386859</v>
      </c>
      <c r="AI134" s="13" t="n">
        <f aca="false">AI132-AI133*AI127</f>
        <v>30.1140191182193</v>
      </c>
      <c r="AJ134" s="13" t="n">
        <f aca="false">AJ132-AJ133*AJ127</f>
        <v>31.5512377969519</v>
      </c>
      <c r="AK134" s="13" t="n">
        <f aca="false">AK132-AK133*AK127</f>
        <v>32.5906067040863</v>
      </c>
      <c r="AL134" s="13" t="n">
        <f aca="false">AL132-AL133*AL127</f>
        <v>34.5916229002446</v>
      </c>
      <c r="AM134" s="13" t="n">
        <f aca="false">AM132-AM133*AM127</f>
        <v>35.6235126613844</v>
      </c>
      <c r="AN134" s="13" t="n">
        <f aca="false">AN132-AN133*AN127</f>
        <v>31.9464925406493</v>
      </c>
      <c r="AO134" s="13" t="n">
        <f aca="false">AO132-AO133*AO127</f>
        <v>29.818089429823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36.2383722644894</v>
      </c>
      <c r="AD9" s="13" t="n">
        <f aca="false">IF(Time!AD34=1,SUM(Funding!$J$44:$BJ$44),AC13)</f>
        <v>36.8577772157247</v>
      </c>
      <c r="AE9" s="13" t="n">
        <f aca="false">IF(Time!AE34=1,SUM(Funding!$J$44:$BJ$44),AD13)</f>
        <v>36.1514082467325</v>
      </c>
      <c r="AF9" s="13" t="n">
        <f aca="false">IF(Time!AF34=1,SUM(Funding!$J$44:$BJ$44),AE13)</f>
        <v>35.2645042789905</v>
      </c>
      <c r="AG9" s="13" t="n">
        <f aca="false">IF(Time!AG34=1,SUM(Funding!$J$44:$BJ$44),AF13)</f>
        <v>33.8391029503294</v>
      </c>
      <c r="AH9" s="13" t="n">
        <f aca="false">IF(Time!AH34=1,SUM(Funding!$J$44:$BJ$44),AG13)</f>
        <v>32.8947147562735</v>
      </c>
      <c r="AI9" s="13" t="n">
        <f aca="false">IF(Time!AI34=1,SUM(Funding!$J$44:$BJ$44),AH13)</f>
        <v>31.0961690403034</v>
      </c>
      <c r="AJ9" s="13" t="n">
        <f aca="false">IF(Time!AJ34=1,SUM(Funding!$J$44:$BJ$44),AI13)</f>
        <v>29.4484744543269</v>
      </c>
      <c r="AK9" s="13" t="n">
        <f aca="false">IF(Time!AK34=1,SUM(Funding!$J$44:$BJ$44),AJ13)</f>
        <v>26.8895724612</v>
      </c>
      <c r="AL9" s="13" t="n">
        <f aca="false">IF(Time!AL34=1,SUM(Funding!$J$44:$BJ$44),AK13)</f>
        <v>24.0735766328644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2.95373869435585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0.619404951235374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40.1996341314512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0.766376367486807</v>
      </c>
      <c r="AC12" s="13" t="n">
        <f aca="false">MAX(0,AC9-AC10-Debt!AC125)</f>
        <v>0</v>
      </c>
      <c r="AD12" s="13" t="n">
        <f aca="false">MAX(0,AD9-AD10-Debt!AD125)</f>
        <v>0.706368968992294</v>
      </c>
      <c r="AE12" s="13" t="n">
        <f aca="false">MAX(0,AE9-AE10-Debt!AE125)</f>
        <v>0.886903967741922</v>
      </c>
      <c r="AF12" s="13" t="n">
        <f aca="false">MAX(0,AF9-AF10-Debt!AF125)</f>
        <v>1.42540132866112</v>
      </c>
      <c r="AG12" s="13" t="n">
        <f aca="false">MAX(0,AG9-AG10-Debt!AG125)</f>
        <v>0.944388194055875</v>
      </c>
      <c r="AH12" s="13" t="n">
        <f aca="false">MAX(0,AH9-AH10-Debt!AH125)</f>
        <v>1.79854571597011</v>
      </c>
      <c r="AI12" s="13" t="n">
        <f aca="false">MAX(0,AI9-AI10-Debt!AI125)</f>
        <v>1.64769458597657</v>
      </c>
      <c r="AJ12" s="13" t="n">
        <f aca="false">MAX(0,AJ9-AJ10-Debt!AJ125)</f>
        <v>2.55890199312683</v>
      </c>
      <c r="AK12" s="13" t="n">
        <f aca="false">MAX(0,AK9-AK10-Debt!AK125)</f>
        <v>2.81599582833562</v>
      </c>
      <c r="AL12" s="13" t="n">
        <f aca="false">MAX(0,AL9-AL10-Debt!AL125)</f>
        <v>0.504284779586325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36.2383722644894</v>
      </c>
      <c r="AC13" s="13" t="n">
        <f aca="false">(1-Time!AC37)*(AC9-AC10+AC11-AC12)</f>
        <v>36.8577772157247</v>
      </c>
      <c r="AD13" s="13" t="n">
        <f aca="false">(1-Time!AD37)*(AD9-AD10+AD11-AD12)</f>
        <v>36.1514082467325</v>
      </c>
      <c r="AE13" s="13" t="n">
        <f aca="false">(1-Time!AE37)*(AE9-AE10+AE11-AE12)</f>
        <v>35.2645042789905</v>
      </c>
      <c r="AF13" s="13" t="n">
        <f aca="false">(1-Time!AF37)*(AF9-AF10+AF11-AF12)</f>
        <v>33.8391029503294</v>
      </c>
      <c r="AG13" s="13" t="n">
        <f aca="false">(1-Time!AG37)*(AG9-AG10+AG11-AG12)</f>
        <v>32.8947147562735</v>
      </c>
      <c r="AH13" s="13" t="n">
        <f aca="false">(1-Time!AH37)*(AH9-AH10+AH11-AH12)</f>
        <v>31.0961690403034</v>
      </c>
      <c r="AI13" s="13" t="n">
        <f aca="false">(1-Time!AI37)*(AI9-AI10+AI11-AI12)</f>
        <v>29.4484744543269</v>
      </c>
      <c r="AJ13" s="13" t="n">
        <f aca="false">(1-Time!AJ37)*(AJ9-AJ10+AJ11-AJ12)</f>
        <v>26.8895724612</v>
      </c>
      <c r="AK13" s="13" t="n">
        <f aca="false">(1-Time!AK37)*(AK9-AK10+AK11-AK12)</f>
        <v>24.0735766328644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2290.43975079137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2.07868324043254</v>
      </c>
      <c r="P7" s="13" t="n">
        <f aca="false">Operations!P84-Tax!P27-Operations!P96-Reserves!P7+Operations!P79+Operations!P97</f>
        <v>49.7960295991867</v>
      </c>
      <c r="Q7" s="13" t="n">
        <f aca="false">Operations!Q84-Tax!Q27-Operations!Q96-Reserves!Q7+Operations!Q79+Operations!Q97</f>
        <v>49.6878377792695</v>
      </c>
      <c r="R7" s="13" t="n">
        <f aca="false">Operations!R84-Tax!R27-Operations!R96-Reserves!R7+Operations!R79+Operations!R97</f>
        <v>50.315868690834</v>
      </c>
      <c r="S7" s="13" t="n">
        <f aca="false">Operations!S84-Tax!S27-Operations!S96-Reserves!S7+Operations!S79+Operations!S97</f>
        <v>49.9341694275507</v>
      </c>
      <c r="T7" s="13" t="n">
        <f aca="false">Operations!T84-Tax!T27-Operations!T96-Reserves!T7+Operations!T79+Operations!T97</f>
        <v>50.4733754559156</v>
      </c>
      <c r="U7" s="13" t="n">
        <f aca="false">Operations!U84-Tax!U27-Operations!U96-Reserves!U7+Operations!U79+Operations!U97</f>
        <v>50.2517618617235</v>
      </c>
      <c r="V7" s="13" t="n">
        <f aca="false">Operations!V84-Tax!V27-Operations!V96-Reserves!V7+Operations!V79+Operations!V97</f>
        <v>51.2492807678325</v>
      </c>
      <c r="W7" s="13" t="n">
        <f aca="false">Operations!W84-Tax!W27-Operations!W96-Reserves!W7+Operations!W79+Operations!W97</f>
        <v>50.9010695364882</v>
      </c>
      <c r="X7" s="13" t="n">
        <f aca="false">Operations!X84-Tax!X27-Operations!X96-Reserves!X7+Operations!X79+Operations!X97</f>
        <v>49.3672056390209</v>
      </c>
      <c r="Y7" s="13" t="n">
        <f aca="false">Operations!Y84-Tax!Y27-Operations!Y96-Reserves!Y7+Operations!Y79+Operations!Y97</f>
        <v>48.8936062990651</v>
      </c>
      <c r="Z7" s="13" t="n">
        <f aca="false">Operations!Z84-Tax!Z27-Operations!Z96-Reserves!Z7+Operations!Z79+Operations!Z97</f>
        <v>49.3062260149414</v>
      </c>
      <c r="AA7" s="13" t="n">
        <f aca="false">Operations!AA84-Tax!AA27-Operations!AA96-Reserves!AA7+Operations!AA79+Operations!AA97</f>
        <v>48.918256996992</v>
      </c>
      <c r="AB7" s="13" t="n">
        <f aca="false">Operations!AB84-Tax!AB27-Operations!AB96-Reserves!AB7+Operations!AB79+Operations!AB97</f>
        <v>49.4732013015428</v>
      </c>
      <c r="AC7" s="13" t="n">
        <f aca="false">Operations!AC84-Tax!AC27-Operations!AC96-Reserves!AC7+Operations!AC79+Operations!AC97</f>
        <v>49.3021619833541</v>
      </c>
      <c r="AD7" s="13" t="n">
        <f aca="false">Operations!AD84-Tax!AD27-Operations!AD96-Reserves!AD7+Operations!AD79+Operations!AD97</f>
        <v>51.2697236680761</v>
      </c>
      <c r="AE7" s="13" t="n">
        <f aca="false">Operations!AE84-Tax!AE27-Operations!AE96-Reserves!AE7+Operations!AE79+Operations!AE97</f>
        <v>51.3625426795468</v>
      </c>
      <c r="AF7" s="13" t="n">
        <f aca="false">Operations!AF84-Tax!AF27-Operations!AF96-Reserves!AF7+Operations!AF79+Operations!AF97</f>
        <v>51.442106791936</v>
      </c>
      <c r="AG7" s="13" t="n">
        <f aca="false">Operations!AG84-Tax!AG27-Operations!AG96-Reserves!AG7+Operations!AG79+Operations!AG97</f>
        <v>51.0685258385037</v>
      </c>
      <c r="AH7" s="13" t="n">
        <f aca="false">Operations!AH84-Tax!AH27-Operations!AH96-Reserves!AH7+Operations!AH79+Operations!AH97</f>
        <v>51.7348196571993</v>
      </c>
      <c r="AI7" s="13" t="n">
        <f aca="false">Operations!AI84-Tax!AI27-Operations!AI96-Reserves!AI7+Operations!AI79+Operations!AI97</f>
        <v>51.3416167856381</v>
      </c>
      <c r="AJ7" s="13" t="n">
        <f aca="false">Operations!AJ84-Tax!AJ27-Operations!AJ96-Reserves!AJ7+Operations!AJ79+Operations!AJ97</f>
        <v>51.9152855989399</v>
      </c>
      <c r="AK7" s="13" t="n">
        <f aca="false">Operations!AK84-Tax!AK27-Operations!AK96-Reserves!AK7+Operations!AK79+Operations!AK97</f>
        <v>51.7032195580499</v>
      </c>
      <c r="AL7" s="13" t="n">
        <f aca="false">Operations!AL84-Tax!AL27-Operations!AL96-Reserves!AL7+Operations!AL79+Operations!AL97</f>
        <v>52.8483757854537</v>
      </c>
      <c r="AM7" s="13" t="n">
        <f aca="false">Operations!AM84-Tax!AM27-Operations!AM96-Reserves!AM7+Operations!AM79+Operations!AM97</f>
        <v>52.4839515398679</v>
      </c>
      <c r="AN7" s="13" t="n">
        <f aca="false">Operations!AN84-Tax!AN27-Operations!AN96-Reserves!AN7+Operations!AN79+Operations!AN97</f>
        <v>45.8607055110004</v>
      </c>
      <c r="AO7" s="13" t="n">
        <f aca="false">Operations!AO84-Tax!AO27-Operations!AO96-Reserves!AO7+Operations!AO79+Operations!AO97</f>
        <v>41.4251807086794</v>
      </c>
      <c r="AP7" s="13" t="n">
        <f aca="false">Operations!AP84-Tax!AP27-Operations!AP96-Reserves!AP7+Operations!AP79+Operations!AP97</f>
        <v>41.3623431861756</v>
      </c>
      <c r="AQ7" s="13" t="n">
        <f aca="false">Operations!AQ84-Tax!AQ27-Operations!AQ96-Reserves!AQ7+Operations!AQ79+Operations!AQ97</f>
        <v>40.8448092280966</v>
      </c>
      <c r="AR7" s="13" t="n">
        <f aca="false">Operations!AR84-Tax!AR27-Operations!AR96-Reserves!AR7+Operations!AR79+Operations!AR97</f>
        <v>41.4164920404557</v>
      </c>
      <c r="AS7" s="13" t="n">
        <f aca="false">Operations!AS84-Tax!AS27-Operations!AS96-Reserves!AS7+Operations!AS79+Operations!AS97</f>
        <v>41.1772953886096</v>
      </c>
      <c r="AT7" s="13" t="n">
        <f aca="false">Operations!AT84-Tax!AT27-Operations!AT96-Reserves!AT7+Operations!AT79+Operations!AT97</f>
        <v>47.9491025634233</v>
      </c>
      <c r="AU7" s="13" t="n">
        <f aca="false">Operations!AU84-Tax!AU27-Operations!AU96-Reserves!AU7+Operations!AU79+Operations!AU97</f>
        <v>43.5364407468505</v>
      </c>
      <c r="AV7" s="13" t="n">
        <f aca="false">Operations!AV84-Tax!AV27-Operations!AV96-Reserves!AV7+Operations!AV79+Operations!AV97</f>
        <v>43.5943393821039</v>
      </c>
      <c r="AW7" s="13" t="n">
        <f aca="false">Operations!AW84-Tax!AW27-Operations!AW96-Reserves!AW7+Operations!AW79+Operations!AW97</f>
        <v>43.1607252592778</v>
      </c>
      <c r="AX7" s="13" t="n">
        <f aca="false">Operations!AX84-Tax!AX27-Operations!AX96-Reserves!AX7+Operations!AX79+Operations!AX97</f>
        <v>43.8278481449981</v>
      </c>
      <c r="AY7" s="13" t="n">
        <f aca="false">Operations!AY84-Tax!AY27-Operations!AY96-Reserves!AY7+Operations!AY79+Operations!AY97</f>
        <v>43.3900223859442</v>
      </c>
      <c r="AZ7" s="13" t="n">
        <f aca="false">Operations!AZ84-Tax!AZ27-Operations!AZ96-Reserves!AZ7+Operations!AZ79+Operations!AZ97</f>
        <v>43.9818721752957</v>
      </c>
      <c r="BA7" s="13" t="n">
        <f aca="false">Operations!BA84-Tax!BA27-Operations!BA96-Reserves!BA7+Operations!BA79+Operations!BA97</f>
        <v>43.7054570061603</v>
      </c>
      <c r="BB7" s="13" t="n">
        <f aca="false">Operations!BB84-Tax!BB27-Operations!BB96-Reserves!BB7+Operations!BB79+Operations!BB97</f>
        <v>45.9744731265106</v>
      </c>
      <c r="BC7" s="13" t="n">
        <f aca="false">Operations!BC84-Tax!BC27-Operations!BC96-Reserves!BC7+Operations!BC79+Operations!BC97</f>
        <v>42.5976318772376</v>
      </c>
      <c r="BD7" s="13" t="n">
        <f aca="false">Operations!BD84-Tax!BD27-Operations!BD96-Reserves!BD7+Operations!BD79+Operations!BD97</f>
        <v>36.448097245392</v>
      </c>
      <c r="BE7" s="13" t="n">
        <f aca="false">Operations!BE84-Tax!BE27-Operations!BE96-Reserves!BE7+Operations!BE79+Operations!BE97</f>
        <v>36.0170448295648</v>
      </c>
      <c r="BF7" s="13" t="n">
        <f aca="false">Operations!BF84-Tax!BF27-Operations!BF96-Reserves!BF7+Operations!BF79+Operations!BF97</f>
        <v>36.7135269802105</v>
      </c>
      <c r="BG7" s="13" t="n">
        <f aca="false">Operations!BG84-Tax!BG27-Operations!BG96-Reserves!BG7+Operations!BG79+Operations!BG97</f>
        <v>36.2665020068781</v>
      </c>
      <c r="BH7" s="13" t="n">
        <f aca="false">Operations!BH84-Tax!BH27-Operations!BH96-Reserves!BH7+Operations!BH79+Operations!BH97</f>
        <v>36.8802031835406</v>
      </c>
      <c r="BI7" s="13" t="n">
        <f aca="false">Operations!BI84-Tax!BI27-Operations!BI96-Reserves!BI7+Operations!BI79+Operations!BI97</f>
        <v>36.6495186623925</v>
      </c>
      <c r="BJ7" s="13" t="n">
        <f aca="false">Operations!BJ84-Tax!BJ27-Operations!BJ96-Reserves!BJ7+Operations!BJ79+Operations!BJ97</f>
        <v>44.7186796796537</v>
      </c>
      <c r="BK7" s="13" t="n">
        <f aca="false">Operations!BK84-Tax!BK27-Operations!BK96-Reserves!BK7+Operations!BK79+Operations!BK97</f>
        <v>39.4975477494335</v>
      </c>
      <c r="BL7" s="13" t="n">
        <f aca="false">Operations!BL84-Tax!BL27-Operations!BL96-Reserves!BL7+Operations!BL79+Operations!BL97</f>
        <v>40.1712022839858</v>
      </c>
      <c r="BM7" s="13" t="n">
        <f aca="false">Operations!BM84-Tax!BM27-Operations!BM96-Reserves!BM7+Operations!BM79+Operations!BM97</f>
        <v>36.1537869421333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2.07868324043142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2.07868324043254</v>
      </c>
      <c r="P9" s="13" t="n">
        <f aca="false">P7+P8</f>
        <v>51.8747128396181</v>
      </c>
      <c r="Q9" s="13" t="n">
        <f aca="false">Q7+Q8</f>
        <v>49.6878377792695</v>
      </c>
      <c r="R9" s="13" t="n">
        <f aca="false">R7+R8</f>
        <v>50.315868690834</v>
      </c>
      <c r="S9" s="13" t="n">
        <f aca="false">S7+S8</f>
        <v>49.9341694275507</v>
      </c>
      <c r="T9" s="13" t="n">
        <f aca="false">T7+T8</f>
        <v>50.4733754559156</v>
      </c>
      <c r="U9" s="13" t="n">
        <f aca="false">U7+U8</f>
        <v>50.2517618617235</v>
      </c>
      <c r="V9" s="13" t="n">
        <f aca="false">V7+V8</f>
        <v>51.2492807678325</v>
      </c>
      <c r="W9" s="13" t="n">
        <f aca="false">W7+W8</f>
        <v>50.9010695364882</v>
      </c>
      <c r="X9" s="13" t="n">
        <f aca="false">X7+X8</f>
        <v>49.3672056390209</v>
      </c>
      <c r="Y9" s="13" t="n">
        <f aca="false">Y7+Y8</f>
        <v>48.8936062990651</v>
      </c>
      <c r="Z9" s="13" t="n">
        <f aca="false">Z7+Z8</f>
        <v>49.3062260149414</v>
      </c>
      <c r="AA9" s="13" t="n">
        <f aca="false">AA7+AA8</f>
        <v>48.918256996992</v>
      </c>
      <c r="AB9" s="13" t="n">
        <f aca="false">AB7+AB8</f>
        <v>49.4732013015428</v>
      </c>
      <c r="AC9" s="13" t="n">
        <f aca="false">AC7+AC8</f>
        <v>49.3021619833541</v>
      </c>
      <c r="AD9" s="13" t="n">
        <f aca="false">AD7+AD8</f>
        <v>51.2697236680761</v>
      </c>
      <c r="AE9" s="13" t="n">
        <f aca="false">AE7+AE8</f>
        <v>51.3625426795468</v>
      </c>
      <c r="AF9" s="13" t="n">
        <f aca="false">AF7+AF8</f>
        <v>51.442106791936</v>
      </c>
      <c r="AG9" s="13" t="n">
        <f aca="false">AG7+AG8</f>
        <v>51.0685258385037</v>
      </c>
      <c r="AH9" s="13" t="n">
        <f aca="false">AH7+AH8</f>
        <v>51.7348196571993</v>
      </c>
      <c r="AI9" s="13" t="n">
        <f aca="false">AI7+AI8</f>
        <v>51.3416167856381</v>
      </c>
      <c r="AJ9" s="13" t="n">
        <f aca="false">AJ7+AJ8</f>
        <v>51.9152855989399</v>
      </c>
      <c r="AK9" s="13" t="n">
        <f aca="false">AK7+AK8</f>
        <v>51.7032195580499</v>
      </c>
      <c r="AL9" s="13" t="n">
        <f aca="false">AL7+AL8</f>
        <v>52.8483757854537</v>
      </c>
      <c r="AM9" s="13" t="n">
        <f aca="false">AM7+AM8</f>
        <v>52.4839515398679</v>
      </c>
      <c r="AN9" s="13" t="n">
        <f aca="false">AN7+AN8</f>
        <v>45.8607055110004</v>
      </c>
      <c r="AO9" s="13" t="n">
        <f aca="false">AO7+AO8</f>
        <v>41.4251807086794</v>
      </c>
      <c r="AP9" s="13" t="n">
        <f aca="false">AP7+AP8</f>
        <v>41.3623431861756</v>
      </c>
      <c r="AQ9" s="13" t="n">
        <f aca="false">AQ7+AQ8</f>
        <v>40.8448092280966</v>
      </c>
      <c r="AR9" s="13" t="n">
        <f aca="false">AR7+AR8</f>
        <v>41.4164920404557</v>
      </c>
      <c r="AS9" s="13" t="n">
        <f aca="false">AS7+AS8</f>
        <v>41.1772953886096</v>
      </c>
      <c r="AT9" s="13" t="n">
        <f aca="false">AT7+AT8</f>
        <v>47.9491025634233</v>
      </c>
      <c r="AU9" s="13" t="n">
        <f aca="false">AU7+AU8</f>
        <v>43.5364407468505</v>
      </c>
      <c r="AV9" s="13" t="n">
        <f aca="false">AV7+AV8</f>
        <v>43.5943393821039</v>
      </c>
      <c r="AW9" s="13" t="n">
        <f aca="false">AW7+AW8</f>
        <v>43.1607252592778</v>
      </c>
      <c r="AX9" s="13" t="n">
        <f aca="false">AX7+AX8</f>
        <v>43.8278481449981</v>
      </c>
      <c r="AY9" s="13" t="n">
        <f aca="false">AY7+AY8</f>
        <v>43.3900223859442</v>
      </c>
      <c r="AZ9" s="13" t="n">
        <f aca="false">AZ7+AZ8</f>
        <v>43.9818721752957</v>
      </c>
      <c r="BA9" s="13" t="n">
        <f aca="false">BA7+BA8</f>
        <v>43.7054570061603</v>
      </c>
      <c r="BB9" s="13" t="n">
        <f aca="false">BB7+BB8</f>
        <v>45.9744731265106</v>
      </c>
      <c r="BC9" s="13" t="n">
        <f aca="false">BC7+BC8</f>
        <v>42.5976318772376</v>
      </c>
      <c r="BD9" s="13" t="n">
        <f aca="false">BD7+BD8</f>
        <v>36.448097245392</v>
      </c>
      <c r="BE9" s="13" t="n">
        <f aca="false">BE7+BE8</f>
        <v>36.0170448295648</v>
      </c>
      <c r="BF9" s="13" t="n">
        <f aca="false">BF7+BF8</f>
        <v>36.7135269802105</v>
      </c>
      <c r="BG9" s="13" t="n">
        <f aca="false">BG7+BG8</f>
        <v>36.2665020068781</v>
      </c>
      <c r="BH9" s="13" t="n">
        <f aca="false">BH7+BH8</f>
        <v>36.8802031835406</v>
      </c>
      <c r="BI9" s="13" t="n">
        <f aca="false">BI7+BI8</f>
        <v>36.6495186623925</v>
      </c>
      <c r="BJ9" s="13" t="n">
        <f aca="false">BJ7+BJ8</f>
        <v>44.7186796796537</v>
      </c>
      <c r="BK9" s="13" t="n">
        <f aca="false">BK7+BK8</f>
        <v>39.4975477494335</v>
      </c>
      <c r="BL9" s="13" t="n">
        <f aca="false">BL7+BL8</f>
        <v>40.1712022839858</v>
      </c>
      <c r="BM9" s="13" t="n">
        <f aca="false">BM7+BM8</f>
        <v>36.1537869421333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853.35514070548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36.3819248774549</v>
      </c>
      <c r="AC10" s="13" t="n">
        <f aca="false">Debt!AC114+Debt!AC110</f>
        <v>35.4815231917737</v>
      </c>
      <c r="AD10" s="13" t="n">
        <f aca="false">Debt!AD114+Debt!AD110</f>
        <v>36.0681474802064</v>
      </c>
      <c r="AE10" s="13" t="n">
        <f aca="false">Debt!AE114+Debt!AE110</f>
        <v>35.1376622329174</v>
      </c>
      <c r="AF10" s="13" t="n">
        <f aca="false">Debt!AF114+Debt!AF110</f>
        <v>34.0831130529987</v>
      </c>
      <c r="AG10" s="13" t="n">
        <f aca="false">Debt!AG114+Debt!AG110</f>
        <v>32.4246829527073</v>
      </c>
      <c r="AH10" s="13" t="n">
        <f aca="false">Debt!AH114+Debt!AH110</f>
        <v>31.2493518304395</v>
      </c>
      <c r="AI10" s="13" t="n">
        <f aca="false">Debt!AI114+Debt!AI110</f>
        <v>29.0209249400865</v>
      </c>
      <c r="AJ10" s="13" t="n">
        <f aca="false">Debt!AJ114+Debt!AJ110</f>
        <v>26.8624648282517</v>
      </c>
      <c r="AK10" s="13" t="n">
        <f aca="false">Debt!AK114+Debt!AK110</f>
        <v>23.387183374888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2.07868324043254</v>
      </c>
      <c r="P13" s="13" t="n">
        <f aca="false">MAX(0,P9-P10)</f>
        <v>14.6288174025216</v>
      </c>
      <c r="Q13" s="13" t="n">
        <f aca="false">MAX(0,Q9-Q10)</f>
        <v>12.5308213241237</v>
      </c>
      <c r="R13" s="13" t="n">
        <f aca="false">MAX(0,R9-R10)</f>
        <v>12.691083603156</v>
      </c>
      <c r="S13" s="13" t="n">
        <f aca="false">MAX(0,S9-S10)</f>
        <v>12.6008569349937</v>
      </c>
      <c r="T13" s="13" t="n">
        <f aca="false">MAX(0,T9-T10)</f>
        <v>12.7221576741678</v>
      </c>
      <c r="U13" s="13" t="n">
        <f aca="false">MAX(0,U9-U10)</f>
        <v>12.6810691068707</v>
      </c>
      <c r="V13" s="13" t="n">
        <f aca="false">MAX(0,V9-V10)</f>
        <v>12.9613605326742</v>
      </c>
      <c r="W13" s="13" t="n">
        <f aca="false">MAX(0,W9-W10)</f>
        <v>12.8778421106184</v>
      </c>
      <c r="X13" s="13" t="n">
        <f aca="false">MAX(0,X9-X10)</f>
        <v>12.4404105644315</v>
      </c>
      <c r="Y13" s="13" t="n">
        <f aca="false">MAX(0,Y9-Y10)</f>
        <v>12.32321425452</v>
      </c>
      <c r="Z13" s="13" t="n">
        <f aca="false">MAX(0,Z9-Z10)</f>
        <v>12.4348629064273</v>
      </c>
      <c r="AA13" s="13" t="n">
        <f aca="false">MAX(0,AA9-AA10)</f>
        <v>12.3439696421375</v>
      </c>
      <c r="AB13" s="13" t="n">
        <f aca="false">MAX(0,AB9-AB10)</f>
        <v>13.0912764240879</v>
      </c>
      <c r="AC13" s="13" t="n">
        <f aca="false">MAX(0,AC9-AC10)</f>
        <v>13.8206387915804</v>
      </c>
      <c r="AD13" s="13" t="n">
        <f aca="false">MAX(0,AD9-AD10)</f>
        <v>15.2015761878697</v>
      </c>
      <c r="AE13" s="13" t="n">
        <f aca="false">MAX(0,AE9-AE10)</f>
        <v>16.2248804466294</v>
      </c>
      <c r="AF13" s="13" t="n">
        <f aca="false">MAX(0,AF9-AF10)</f>
        <v>17.3589937389374</v>
      </c>
      <c r="AG13" s="13" t="n">
        <f aca="false">MAX(0,AG9-AG10)</f>
        <v>18.6438428857965</v>
      </c>
      <c r="AH13" s="13" t="n">
        <f aca="false">MAX(0,AH9-AH10)</f>
        <v>20.4854678267598</v>
      </c>
      <c r="AI13" s="13" t="n">
        <f aca="false">MAX(0,AI9-AI10)</f>
        <v>22.3206918455516</v>
      </c>
      <c r="AJ13" s="13" t="n">
        <f aca="false">MAX(0,AJ9-AJ10)</f>
        <v>25.0528207706882</v>
      </c>
      <c r="AK13" s="13" t="n">
        <f aca="false">MAX(0,AK9-AK10)</f>
        <v>28.3160361831619</v>
      </c>
      <c r="AL13" s="13" t="n">
        <f aca="false">MAX(0,AL9-AL10)</f>
        <v>29.1343359500573</v>
      </c>
      <c r="AM13" s="13" t="n">
        <f aca="false">MAX(0,AM9-AM10)</f>
        <v>28.9146596865898</v>
      </c>
      <c r="AN13" s="13" t="n">
        <f aca="false">MAX(0,AN9-AN10)</f>
        <v>26.7286882561362</v>
      </c>
      <c r="AO13" s="13" t="n">
        <f aca="false">MAX(0,AO9-AO10)</f>
        <v>22.5192729610713</v>
      </c>
      <c r="AP13" s="13" t="n">
        <f aca="false">MAX(0,AP9-AP10)</f>
        <v>41.3623431861756</v>
      </c>
      <c r="AQ13" s="13" t="n">
        <f aca="false">MAX(0,AQ9-AQ10)</f>
        <v>40.8448092280966</v>
      </c>
      <c r="AR13" s="13" t="n">
        <f aca="false">MAX(0,AR9-AR10)</f>
        <v>41.4164920404557</v>
      </c>
      <c r="AS13" s="13" t="n">
        <f aca="false">MAX(0,AS9-AS10)</f>
        <v>41.1772953886096</v>
      </c>
      <c r="AT13" s="13" t="n">
        <f aca="false">MAX(0,AT9-AT10)</f>
        <v>47.9491025634233</v>
      </c>
      <c r="AU13" s="13" t="n">
        <f aca="false">MAX(0,AU9-AU10)</f>
        <v>43.5364407468505</v>
      </c>
      <c r="AV13" s="13" t="n">
        <f aca="false">MAX(0,AV9-AV10)</f>
        <v>43.5943393821039</v>
      </c>
      <c r="AW13" s="13" t="n">
        <f aca="false">MAX(0,AW9-AW10)</f>
        <v>43.1607252592778</v>
      </c>
      <c r="AX13" s="13" t="n">
        <f aca="false">MAX(0,AX9-AX10)</f>
        <v>43.8278481449981</v>
      </c>
      <c r="AY13" s="13" t="n">
        <f aca="false">MAX(0,AY9-AY10)</f>
        <v>43.3900223859442</v>
      </c>
      <c r="AZ13" s="13" t="n">
        <f aca="false">MAX(0,AZ9-AZ10)</f>
        <v>43.9818721752957</v>
      </c>
      <c r="BA13" s="13" t="n">
        <f aca="false">MAX(0,BA9-BA10)</f>
        <v>43.7054570061603</v>
      </c>
      <c r="BB13" s="13" t="n">
        <f aca="false">MAX(0,BB9-BB10)</f>
        <v>45.9744731265106</v>
      </c>
      <c r="BC13" s="13" t="n">
        <f aca="false">MAX(0,BC9-BC10)</f>
        <v>42.5976318772376</v>
      </c>
      <c r="BD13" s="13" t="n">
        <f aca="false">MAX(0,BD9-BD10)</f>
        <v>36.448097245392</v>
      </c>
      <c r="BE13" s="13" t="n">
        <f aca="false">MAX(0,BE9-BE10)</f>
        <v>36.0170448295648</v>
      </c>
      <c r="BF13" s="13" t="n">
        <f aca="false">MAX(0,BF9-BF10)</f>
        <v>36.7135269802105</v>
      </c>
      <c r="BG13" s="13" t="n">
        <f aca="false">MAX(0,BG9-BG10)</f>
        <v>36.2665020068781</v>
      </c>
      <c r="BH13" s="13" t="n">
        <f aca="false">MAX(0,BH9-BH10)</f>
        <v>36.8802031835406</v>
      </c>
      <c r="BI13" s="13" t="n">
        <f aca="false">MAX(0,BI9-BI10)</f>
        <v>36.6495186623925</v>
      </c>
      <c r="BJ13" s="13" t="n">
        <f aca="false">MAX(0,BJ9-BJ10)</f>
        <v>44.7186796796537</v>
      </c>
      <c r="BK13" s="13" t="n">
        <f aca="false">MAX(0,BK9-BK10)</f>
        <v>39.4975477494335</v>
      </c>
      <c r="BL13" s="13" t="n">
        <f aca="false">MAX(0,BL9-BL10)</f>
        <v>40.1712022839858</v>
      </c>
      <c r="BM13" s="13" t="n">
        <f aca="false">MAX(0,BM9-BM10)</f>
        <v>36.1537869421333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2.07868324043142</v>
      </c>
      <c r="P14" s="13" t="n">
        <f aca="false">P13-Reserves!P11+Reserves!P12</f>
        <v>14.7176963844723</v>
      </c>
      <c r="Q14" s="13" t="n">
        <f aca="false">Q13-Reserves!Q11+Reserves!Q12</f>
        <v>12.0630526915915</v>
      </c>
      <c r="R14" s="13" t="n">
        <f aca="false">R13-Reserves!R11+Reserves!R12</f>
        <v>12.9825561982771</v>
      </c>
      <c r="S14" s="13" t="n">
        <f aca="false">S13-Reserves!S11+Reserves!S12</f>
        <v>12.1829516458029</v>
      </c>
      <c r="T14" s="13" t="n">
        <f aca="false">T13-Reserves!T11+Reserves!T12</f>
        <v>12.9026827010628</v>
      </c>
      <c r="U14" s="13" t="n">
        <f aca="false">U13-Reserves!U11+Reserves!U12</f>
        <v>11.9638416265651</v>
      </c>
      <c r="V14" s="13" t="n">
        <f aca="false">V13-Reserves!V11+Reserves!V12</f>
        <v>13.2260533419628</v>
      </c>
      <c r="W14" s="13" t="n">
        <f aca="false">W13-Reserves!W11+Reserves!W12</f>
        <v>13.9742744618988</v>
      </c>
      <c r="X14" s="13" t="n">
        <f aca="false">X13-Reserves!X11+Reserves!X12</f>
        <v>12.7968135944758</v>
      </c>
      <c r="Y14" s="13" t="n">
        <f aca="false">Y13-Reserves!Y11+Reserves!Y12</f>
        <v>12.022243190551</v>
      </c>
      <c r="Z14" s="13" t="n">
        <f aca="false">Z13-Reserves!Z11+Reserves!Z12</f>
        <v>12.731938660087</v>
      </c>
      <c r="AA14" s="13" t="n">
        <f aca="false">AA13-Reserves!AA11+Reserves!AA12</f>
        <v>11.9135083650158</v>
      </c>
      <c r="AB14" s="13" t="n">
        <f aca="false">AB13-Reserves!AB11+Reserves!AB12</f>
        <v>13.8576527915747</v>
      </c>
      <c r="AC14" s="13" t="n">
        <f aca="false">AC13-Reserves!AC11+Reserves!AC12</f>
        <v>13.201233840345</v>
      </c>
      <c r="AD14" s="13" t="n">
        <f aca="false">AD13-Reserves!AD11+Reserves!AD12</f>
        <v>15.907945156862</v>
      </c>
      <c r="AE14" s="13" t="n">
        <f aca="false">AE13-Reserves!AE11+Reserves!AE12</f>
        <v>17.1117844143713</v>
      </c>
      <c r="AF14" s="13" t="n">
        <f aca="false">AF13-Reserves!AF11+Reserves!AF12</f>
        <v>18.7843950675985</v>
      </c>
      <c r="AG14" s="13" t="n">
        <f aca="false">AG13-Reserves!AG11+Reserves!AG12</f>
        <v>19.5882310798524</v>
      </c>
      <c r="AH14" s="13" t="n">
        <f aca="false">AH13-Reserves!AH11+Reserves!AH12</f>
        <v>22.2840135427299</v>
      </c>
      <c r="AI14" s="13" t="n">
        <f aca="false">AI13-Reserves!AI11+Reserves!AI12</f>
        <v>23.9683864315282</v>
      </c>
      <c r="AJ14" s="13" t="n">
        <f aca="false">AJ13-Reserves!AJ11+Reserves!AJ12</f>
        <v>27.6117227638151</v>
      </c>
      <c r="AK14" s="13" t="n">
        <f aca="false">AK13-Reserves!AK11+Reserves!AK12</f>
        <v>31.1320320114975</v>
      </c>
      <c r="AL14" s="13" t="n">
        <f aca="false">AL13-Reserves!AL11+Reserves!AL12</f>
        <v>29.6386207296436</v>
      </c>
      <c r="AM14" s="13" t="n">
        <f aca="false">AM13-Reserves!AM11+Reserves!AM12</f>
        <v>33.3519342850037</v>
      </c>
      <c r="AN14" s="13" t="n">
        <f aca="false">AN13-Reserves!AN11+Reserves!AN12</f>
        <v>26.9547977633922</v>
      </c>
      <c r="AO14" s="13" t="n">
        <f aca="false">AO13-Reserves!AO11+Reserves!AO12</f>
        <v>41.4251807086794</v>
      </c>
      <c r="AP14" s="13" t="n">
        <f aca="false">AP13-Reserves!AP11+Reserves!AP12</f>
        <v>41.3623431861756</v>
      </c>
      <c r="AQ14" s="13" t="n">
        <f aca="false">AQ13-Reserves!AQ11+Reserves!AQ12</f>
        <v>40.8448092280966</v>
      </c>
      <c r="AR14" s="13" t="n">
        <f aca="false">AR13-Reserves!AR11+Reserves!AR12</f>
        <v>41.4164920404557</v>
      </c>
      <c r="AS14" s="13" t="n">
        <f aca="false">AS13-Reserves!AS11+Reserves!AS12</f>
        <v>41.1772953886096</v>
      </c>
      <c r="AT14" s="13" t="n">
        <f aca="false">AT13-Reserves!AT11+Reserves!AT12</f>
        <v>47.9491025634233</v>
      </c>
      <c r="AU14" s="13" t="n">
        <f aca="false">AU13-Reserves!AU11+Reserves!AU12</f>
        <v>43.5364407468505</v>
      </c>
      <c r="AV14" s="13" t="n">
        <f aca="false">AV13-Reserves!AV11+Reserves!AV12</f>
        <v>43.5943393821039</v>
      </c>
      <c r="AW14" s="13" t="n">
        <f aca="false">AW13-Reserves!AW11+Reserves!AW12</f>
        <v>43.1607252592778</v>
      </c>
      <c r="AX14" s="13" t="n">
        <f aca="false">AX13-Reserves!AX11+Reserves!AX12</f>
        <v>43.8278481449981</v>
      </c>
      <c r="AY14" s="13" t="n">
        <f aca="false">AY13-Reserves!AY11+Reserves!AY12</f>
        <v>43.3900223859442</v>
      </c>
      <c r="AZ14" s="13" t="n">
        <f aca="false">AZ13-Reserves!AZ11+Reserves!AZ12</f>
        <v>43.9818721752957</v>
      </c>
      <c r="BA14" s="13" t="n">
        <f aca="false">BA13-Reserves!BA11+Reserves!BA12</f>
        <v>43.7054570061603</v>
      </c>
      <c r="BB14" s="13" t="n">
        <f aca="false">BB13-Reserves!BB11+Reserves!BB12</f>
        <v>45.9744731265106</v>
      </c>
      <c r="BC14" s="13" t="n">
        <f aca="false">BC13-Reserves!BC11+Reserves!BC12</f>
        <v>42.5976318772376</v>
      </c>
      <c r="BD14" s="13" t="n">
        <f aca="false">BD13-Reserves!BD11+Reserves!BD12</f>
        <v>36.448097245392</v>
      </c>
      <c r="BE14" s="13" t="n">
        <f aca="false">BE13-Reserves!BE11+Reserves!BE12</f>
        <v>36.0170448295648</v>
      </c>
      <c r="BF14" s="13" t="n">
        <f aca="false">BF13-Reserves!BF11+Reserves!BF12</f>
        <v>36.7135269802105</v>
      </c>
      <c r="BG14" s="13" t="n">
        <f aca="false">BG13-Reserves!BG11+Reserves!BG12</f>
        <v>36.2665020068781</v>
      </c>
      <c r="BH14" s="13" t="n">
        <f aca="false">BH13-Reserves!BH11+Reserves!BH12</f>
        <v>36.8802031835406</v>
      </c>
      <c r="BI14" s="13" t="n">
        <f aca="false">BI13-Reserves!BI11+Reserves!BI12</f>
        <v>36.6495186623925</v>
      </c>
      <c r="BJ14" s="13" t="n">
        <f aca="false">BJ13-Reserves!BJ11+Reserves!BJ12</f>
        <v>44.7186796796537</v>
      </c>
      <c r="BK14" s="13" t="n">
        <f aca="false">BK13-Reserves!BK11+Reserves!BK12</f>
        <v>39.4975477494335</v>
      </c>
      <c r="BL14" s="13" t="n">
        <f aca="false">BL13-Reserves!BL11+Reserves!BL12</f>
        <v>40.1712022839858</v>
      </c>
      <c r="BM14" s="13" t="n">
        <f aca="false">BM13-Reserves!BM11+Reserves!BM12</f>
        <v>36.1537869421333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2.07868324043142</v>
      </c>
      <c r="P15" s="13" t="n">
        <f aca="false">P14-Reserves!P14+Reserves!P15</f>
        <v>14.7176963844723</v>
      </c>
      <c r="Q15" s="13" t="n">
        <f aca="false">Q14-Reserves!Q14+Reserves!Q15</f>
        <v>12.0630526915915</v>
      </c>
      <c r="R15" s="13" t="n">
        <f aca="false">R14-Reserves!R14+Reserves!R15</f>
        <v>12.9825561982771</v>
      </c>
      <c r="S15" s="13" t="n">
        <f aca="false">S14-Reserves!S14+Reserves!S15</f>
        <v>12.1829516458029</v>
      </c>
      <c r="T15" s="13" t="n">
        <f aca="false">T14-Reserves!T14+Reserves!T15</f>
        <v>12.9026827010628</v>
      </c>
      <c r="U15" s="13" t="n">
        <f aca="false">U14-Reserves!U14+Reserves!U15</f>
        <v>11.9638416265651</v>
      </c>
      <c r="V15" s="13" t="n">
        <f aca="false">V14-Reserves!V14+Reserves!V15</f>
        <v>13.2260533419628</v>
      </c>
      <c r="W15" s="13" t="n">
        <f aca="false">W14-Reserves!W14+Reserves!W15</f>
        <v>13.9742744618988</v>
      </c>
      <c r="X15" s="13" t="n">
        <f aca="false">X14-Reserves!X14+Reserves!X15</f>
        <v>12.7968135944758</v>
      </c>
      <c r="Y15" s="13" t="n">
        <f aca="false">Y14-Reserves!Y14+Reserves!Y15</f>
        <v>12.022243190551</v>
      </c>
      <c r="Z15" s="13" t="n">
        <f aca="false">Z14-Reserves!Z14+Reserves!Z15</f>
        <v>12.731938660087</v>
      </c>
      <c r="AA15" s="13" t="n">
        <f aca="false">AA14-Reserves!AA14+Reserves!AA15</f>
        <v>11.9135083650158</v>
      </c>
      <c r="AB15" s="13" t="n">
        <f aca="false">AB14-Reserves!AB14+Reserves!AB15</f>
        <v>13.8576527915747</v>
      </c>
      <c r="AC15" s="13" t="n">
        <f aca="false">AC14-Reserves!AC14+Reserves!AC15</f>
        <v>13.201233840345</v>
      </c>
      <c r="AD15" s="13" t="n">
        <f aca="false">AD14-Reserves!AD14+Reserves!AD15</f>
        <v>15.907945156862</v>
      </c>
      <c r="AE15" s="13" t="n">
        <f aca="false">AE14-Reserves!AE14+Reserves!AE15</f>
        <v>17.1117844143713</v>
      </c>
      <c r="AF15" s="13" t="n">
        <f aca="false">AF14-Reserves!AF14+Reserves!AF15</f>
        <v>18.7843950675985</v>
      </c>
      <c r="AG15" s="13" t="n">
        <f aca="false">AG14-Reserves!AG14+Reserves!AG15</f>
        <v>19.5882310798524</v>
      </c>
      <c r="AH15" s="13" t="n">
        <f aca="false">AH14-Reserves!AH14+Reserves!AH15</f>
        <v>22.2840135427299</v>
      </c>
      <c r="AI15" s="13" t="n">
        <f aca="false">AI14-Reserves!AI14+Reserves!AI15</f>
        <v>23.9683864315282</v>
      </c>
      <c r="AJ15" s="13" t="n">
        <f aca="false">AJ14-Reserves!AJ14+Reserves!AJ15</f>
        <v>27.6117227638151</v>
      </c>
      <c r="AK15" s="13" t="n">
        <f aca="false">AK14-Reserves!AK14+Reserves!AK15</f>
        <v>31.1320320114975</v>
      </c>
      <c r="AL15" s="13" t="n">
        <f aca="false">AL14-Reserves!AL14+Reserves!AL15</f>
        <v>29.6386207296436</v>
      </c>
      <c r="AM15" s="13" t="n">
        <f aca="false">AM14-Reserves!AM14+Reserves!AM15</f>
        <v>33.3519342850037</v>
      </c>
      <c r="AN15" s="13" t="n">
        <f aca="false">AN14-Reserves!AN14+Reserves!AN15</f>
        <v>26.9547977633922</v>
      </c>
      <c r="AO15" s="13" t="n">
        <f aca="false">AO14-Reserves!AO14+Reserves!AO15</f>
        <v>41.4251807086794</v>
      </c>
      <c r="AP15" s="13" t="n">
        <f aca="false">AP14-Reserves!AP14+Reserves!AP15</f>
        <v>41.3623431861756</v>
      </c>
      <c r="AQ15" s="13" t="n">
        <f aca="false">AQ14-Reserves!AQ14+Reserves!AQ15</f>
        <v>40.8448092280966</v>
      </c>
      <c r="AR15" s="13" t="n">
        <f aca="false">AR14-Reserves!AR14+Reserves!AR15</f>
        <v>41.4164920404557</v>
      </c>
      <c r="AS15" s="13" t="n">
        <f aca="false">AS14-Reserves!AS14+Reserves!AS15</f>
        <v>41.1772953886096</v>
      </c>
      <c r="AT15" s="13" t="n">
        <f aca="false">AT14-Reserves!AT14+Reserves!AT15</f>
        <v>47.9491025634233</v>
      </c>
      <c r="AU15" s="13" t="n">
        <f aca="false">AU14-Reserves!AU14+Reserves!AU15</f>
        <v>43.5364407468505</v>
      </c>
      <c r="AV15" s="13" t="n">
        <f aca="false">AV14-Reserves!AV14+Reserves!AV15</f>
        <v>43.5943393821039</v>
      </c>
      <c r="AW15" s="13" t="n">
        <f aca="false">AW14-Reserves!AW14+Reserves!AW15</f>
        <v>43.1607252592778</v>
      </c>
      <c r="AX15" s="13" t="n">
        <f aca="false">AX14-Reserves!AX14+Reserves!AX15</f>
        <v>43.8278481449981</v>
      </c>
      <c r="AY15" s="13" t="n">
        <f aca="false">AY14-Reserves!AY14+Reserves!AY15</f>
        <v>43.3900223859442</v>
      </c>
      <c r="AZ15" s="13" t="n">
        <f aca="false">AZ14-Reserves!AZ14+Reserves!AZ15</f>
        <v>43.9818721752957</v>
      </c>
      <c r="BA15" s="13" t="n">
        <f aca="false">BA14-Reserves!BA14+Reserves!BA15</f>
        <v>43.2104886195516</v>
      </c>
      <c r="BB15" s="13" t="n">
        <f aca="false">BB14-Reserves!BB14+Reserves!BB15</f>
        <v>44.4733228718661</v>
      </c>
      <c r="BC15" s="13" t="n">
        <f aca="false">BC14-Reserves!BC14+Reserves!BC15</f>
        <v>41.0800588038954</v>
      </c>
      <c r="BD15" s="13" t="n">
        <f aca="false">BD14-Reserves!BD14+Reserves!BD15</f>
        <v>34.9139216851454</v>
      </c>
      <c r="BE15" s="13" t="n">
        <f aca="false">BE14-Reserves!BE14+Reserves!BE15</f>
        <v>34.466085148609</v>
      </c>
      <c r="BF15" s="13" t="n">
        <f aca="false">BF14-Reserves!BF14+Reserves!BF15</f>
        <v>35.1455995576385</v>
      </c>
      <c r="BG15" s="13" t="n">
        <f aca="false">BG14-Reserves!BG14+Reserves!BG15</f>
        <v>34.6814212129413</v>
      </c>
      <c r="BH15" s="13" t="n">
        <f aca="false">BH14-Reserves!BH14+Reserves!BH15</f>
        <v>35.277781357672</v>
      </c>
      <c r="BI15" s="13" t="n">
        <f aca="false">BI14-Reserves!BI14+Reserves!BI15</f>
        <v>35.0295660909891</v>
      </c>
      <c r="BJ15" s="13" t="n">
        <f aca="false">BJ14-Reserves!BJ14+Reserves!BJ15</f>
        <v>43.081004573616</v>
      </c>
      <c r="BK15" s="13" t="n">
        <f aca="false">BK14-Reserves!BK14+Reserves!BK15</f>
        <v>37.8419562214593</v>
      </c>
      <c r="BL15" s="13" t="n">
        <f aca="false">BL14-Reserves!BL14+Reserves!BL15</f>
        <v>38.4974983256152</v>
      </c>
      <c r="BM15" s="13" t="n">
        <f aca="false">BM14-Reserves!BM14+Reserves!BM15</f>
        <v>54.0949671040943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1.33695348211686</v>
      </c>
      <c r="Q17" s="6" t="n">
        <f aca="false">IF(Debt!Q114&gt;Inputs!$F$253,Q7/Debt!Q114,0)</f>
        <v>1.33723970651008</v>
      </c>
      <c r="R17" s="6" t="n">
        <f aca="false">IF(Debt!R114&gt;Inputs!$F$253,R7/Debt!R114,0)</f>
        <v>1.33730647427172</v>
      </c>
      <c r="S17" s="6" t="n">
        <f aca="false">IF(Debt!S114&gt;Inputs!$F$253,S7/Debt!S114,0)</f>
        <v>1.33752314203316</v>
      </c>
      <c r="T17" s="6" t="n">
        <f aca="false">IF(Debt!T114&gt;Inputs!$F$253,T7/Debt!T114,0)</f>
        <v>1.33699992799487</v>
      </c>
      <c r="U17" s="6" t="n">
        <f aca="false">IF(Debt!U114&gt;Inputs!$F$253,U7/Debt!U114,0)</f>
        <v>1.33752555987227</v>
      </c>
      <c r="V17" s="6" t="n">
        <f aca="false">IF(Debt!V114&gt;Inputs!$F$253,V7/Debt!V114,0)</f>
        <v>1.33852349391316</v>
      </c>
      <c r="W17" s="6" t="n">
        <f aca="false">IF(Debt!W114&gt;Inputs!$F$253,W7/Debt!W114,0)</f>
        <v>1.33868356219169</v>
      </c>
      <c r="X17" s="6" t="n">
        <f aca="false">IF(Debt!X114&gt;Inputs!$F$253,X7/Debt!X114,0)</f>
        <v>1.33689386092952</v>
      </c>
      <c r="Y17" s="6" t="n">
        <f aca="false">IF(Debt!Y114&gt;Inputs!$F$253,Y7/Debt!Y114,0)</f>
        <v>1.3369724404242</v>
      </c>
      <c r="Z17" s="6" t="n">
        <f aca="false">IF(Debt!Z114&gt;Inputs!$F$253,Z7/Debt!Z114,0)</f>
        <v>1.33724988332628</v>
      </c>
      <c r="AA17" s="6" t="n">
        <f aca="false">IF(Debt!AA114&gt;Inputs!$F$253,AA7/Debt!AA114,0)</f>
        <v>1.33750403725909</v>
      </c>
      <c r="AB17" s="6" t="n">
        <f aca="false">IF(Debt!AB114&gt;Inputs!$F$253,AB7/Debt!AB114,0)</f>
        <v>1.35982913131131</v>
      </c>
      <c r="AC17" s="6" t="n">
        <f aca="false">IF(Debt!AC114&gt;Inputs!$F$253,AC7/Debt!AC114,0)</f>
        <v>1.38951650178267</v>
      </c>
      <c r="AD17" s="6" t="n">
        <f aca="false">IF(Debt!AD114&gt;Inputs!$F$253,AD7/Debt!AD114,0)</f>
        <v>1.42146817205436</v>
      </c>
      <c r="AE17" s="6" t="n">
        <f aca="false">IF(Debt!AE114&gt;Inputs!$F$253,AE7/Debt!AE114,0)</f>
        <v>1.4617518473221</v>
      </c>
      <c r="AF17" s="6" t="n">
        <f aca="false">IF(Debt!AF114&gt;Inputs!$F$253,AF7/Debt!AF114,0)</f>
        <v>1.50931362143899</v>
      </c>
      <c r="AG17" s="6" t="n">
        <f aca="false">IF(Debt!AG114&gt;Inputs!$F$253,AG7/Debt!AG114,0)</f>
        <v>1.57498921155187</v>
      </c>
      <c r="AH17" s="6" t="n">
        <f aca="false">IF(Debt!AH114&gt;Inputs!$F$253,AH7/Debt!AH114,0)</f>
        <v>1.65554856746837</v>
      </c>
      <c r="AI17" s="6" t="n">
        <f aca="false">IF(Debt!AI114&gt;Inputs!$F$253,AI7/Debt!AI114,0)</f>
        <v>1.76912406794864</v>
      </c>
      <c r="AJ17" s="6" t="n">
        <f aca="false">IF(Debt!AJ114&gt;Inputs!$F$253,AJ7/Debt!AJ114,0)</f>
        <v>1.93263298550101</v>
      </c>
      <c r="AK17" s="6" t="n">
        <f aca="false">IF(Debt!AK114&gt;Inputs!$F$253,AK7/Debt!AK114,0)</f>
        <v>2.2107501672718</v>
      </c>
      <c r="AL17" s="6" t="n">
        <f aca="false">IF(Debt!AL114&gt;Inputs!$F$253,AL7/Debt!AL114,0)</f>
        <v>2.22856907352287</v>
      </c>
      <c r="AM17" s="6" t="n">
        <f aca="false">IF(Debt!AM114&gt;Inputs!$F$253,AM7/Debt!AM114,0)</f>
        <v>2.22679373935319</v>
      </c>
      <c r="AN17" s="6" t="n">
        <f aca="false">IF(Debt!AN114&gt;Inputs!$F$253,AN7/Debt!AN114,0)</f>
        <v>2.39706586608585</v>
      </c>
      <c r="AO17" s="6" t="n">
        <f aca="false">IF(Debt!AO114&gt;Inputs!$F$253,AO7/Debt!AO114,0)</f>
        <v>2.19112360335728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1.33695348211686</v>
      </c>
      <c r="Q18" s="6" t="n">
        <f aca="false">IF(Debt!Q114&gt;Inputs!$F$253,IF(Debt!P114&gt;Inputs!$F$253,(Q7+P7)/(Debt!Q114+Debt!P114),Q17),0)</f>
        <v>1.33709642335691</v>
      </c>
      <c r="R18" s="6" t="n">
        <f aca="false">IF(Debt!R114&gt;Inputs!$F$253,IF(Debt!Q114&gt;Inputs!$F$253,(R7+Q7)/(Debt!R114+Debt!Q114),R17),0)</f>
        <v>1.33727329921086</v>
      </c>
      <c r="S18" s="6" t="n">
        <f aca="false">IF(Debt!S114&gt;Inputs!$F$253,IF(Debt!R114&gt;Inputs!$F$253,(S7+R7)/(Debt!S114+Debt!R114),S17),0)</f>
        <v>1.33741438689899</v>
      </c>
      <c r="T18" s="6" t="n">
        <f aca="false">IF(Debt!T114&gt;Inputs!$F$253,IF(Debt!S114&gt;Inputs!$F$253,(T7+S7)/(Debt!T114+Debt!S114),T17),0)</f>
        <v>1.33726007896233</v>
      </c>
      <c r="U18" s="6" t="n">
        <f aca="false">IF(Debt!U114&gt;Inputs!$F$253,IF(Debt!T114&gt;Inputs!$F$253,(U7+T7)/(Debt!U114+Debt!T114),U17),0)</f>
        <v>1.33726211403911</v>
      </c>
      <c r="V18" s="6" t="n">
        <f aca="false">IF(Debt!V114&gt;Inputs!$F$253,IF(Debt!U114&gt;Inputs!$F$253,(V7+U7)/(Debt!V114+Debt!U114),V17),0)</f>
        <v>1.33802924452259</v>
      </c>
      <c r="W18" s="6" t="n">
        <f aca="false">IF(Debt!W114&gt;Inputs!$F$253,IF(Debt!V114&gt;Inputs!$F$253,(W7+V7)/(Debt!W114+Debt!V114),W17),0)</f>
        <v>1.33860325044605</v>
      </c>
      <c r="X18" s="6" t="n">
        <f aca="false">IF(Debt!X114&gt;Inputs!$F$253,IF(Debt!W114&gt;Inputs!$F$253,(X7+W7)/(Debt!X114+Debt!W114),X17),0)</f>
        <v>1.33780180219285</v>
      </c>
      <c r="Y18" s="6" t="n">
        <f aca="false">IF(Debt!Y114&gt;Inputs!$F$253,IF(Debt!X114&gt;Inputs!$F$253,(Y7+X7)/(Debt!Y114+Debt!X114),Y17),0)</f>
        <v>1.33693296015276</v>
      </c>
      <c r="Z18" s="6" t="n">
        <f aca="false">IF(Debt!Z114&gt;Inputs!$F$253,IF(Debt!Y114&gt;Inputs!$F$253,(Z7+Y7)/(Debt!Z114+Debt!Y114),Z17),0)</f>
        <v>1.3371117303685</v>
      </c>
      <c r="AA18" s="6" t="n">
        <f aca="false">IF(Debt!AA114&gt;Inputs!$F$253,IF(Debt!Z114&gt;Inputs!$F$253,(AA7+Z7)/(Debt!AA114+Debt!Z114),AA17),0)</f>
        <v>1.33737644628695</v>
      </c>
      <c r="AB18" s="6" t="n">
        <f aca="false">IF(Debt!AB114&gt;Inputs!$F$253,IF(Debt!AA114&gt;Inputs!$F$253,(AB7+AA7)/(Debt!AB114+Debt!AA114),AB17),0)</f>
        <v>1.34863715217607</v>
      </c>
      <c r="AC18" s="6" t="n">
        <f aca="false">IF(Debt!AC114&gt;Inputs!$F$253,IF(Debt!AB114&gt;Inputs!$F$253,(AC7+AB7)/(Debt!AC114+Debt!AB114),AC17),0)</f>
        <v>1.37448683494484</v>
      </c>
      <c r="AD18" s="6" t="n">
        <f aca="false">IF(Debt!AD114&gt;Inputs!$F$253,IF(Debt!AC114&gt;Inputs!$F$253,(AD7+AC7)/(Debt!AD114+Debt!AC114),AD17),0)</f>
        <v>1.40562332023166</v>
      </c>
      <c r="AE18" s="6" t="n">
        <f aca="false">IF(Debt!AE114&gt;Inputs!$F$253,IF(Debt!AD114&gt;Inputs!$F$253,(AE7+AD7)/(Debt!AE114+Debt!AD114),AE17),0)</f>
        <v>1.44134680528332</v>
      </c>
      <c r="AF18" s="6" t="n">
        <f aca="false">IF(Debt!AF114&gt;Inputs!$F$253,IF(Debt!AE114&gt;Inputs!$F$253,(AF7+AE7)/(Debt!AF114+Debt!AE114),AF17),0)</f>
        <v>1.48517044264311</v>
      </c>
      <c r="AG18" s="6" t="n">
        <f aca="false">IF(Debt!AG114&gt;Inputs!$F$253,IF(Debt!AF114&gt;Inputs!$F$253,(AG7+AF7)/(Debt!AG114+Debt!AF114),AG17),0)</f>
        <v>1.54133257733642</v>
      </c>
      <c r="AH18" s="6" t="n">
        <f aca="false">IF(Debt!AH114&gt;Inputs!$F$253,IF(Debt!AG114&gt;Inputs!$F$253,(AH7+AG7)/(Debt!AH114+Debt!AG114),AH17),0)</f>
        <v>1.61452538457502</v>
      </c>
      <c r="AI18" s="6" t="n">
        <f aca="false">IF(Debt!AI114&gt;Inputs!$F$253,IF(Debt!AH114&gt;Inputs!$F$253,(AI7+AH7)/(Debt!AI114+Debt!AH114),AI17),0)</f>
        <v>1.71023665338874</v>
      </c>
      <c r="AJ18" s="6" t="n">
        <f aca="false">IF(Debt!AJ114&gt;Inputs!$F$253,IF(Debt!AI114&gt;Inputs!$F$253,(AJ7+AI7)/(Debt!AJ114+Debt!AI114),AJ17),0)</f>
        <v>1.8477208131544</v>
      </c>
      <c r="AK18" s="6" t="n">
        <f aca="false">IF(Debt!AK114&gt;Inputs!$F$253,IF(Debt!AJ114&gt;Inputs!$F$253,(AK7+AJ7)/(Debt!AK114+Debt!AJ114),AK17),0)</f>
        <v>2.06207424056186</v>
      </c>
      <c r="AL18" s="6" t="n">
        <f aca="false">IF(Debt!AL114&gt;Inputs!$F$253,IF(Debt!AK114&gt;Inputs!$F$253,(AL7+AK7)/(Debt!AL114+Debt!AK114),AL17),0)</f>
        <v>2.21972144707858</v>
      </c>
      <c r="AM18" s="6" t="n">
        <f aca="false">IF(Debt!AM114&gt;Inputs!$F$253,IF(Debt!AL114&gt;Inputs!$F$253,(AM7+AL7)/(Debt!AM114+Debt!AL114),AM17),0)</f>
        <v>2.22768412384424</v>
      </c>
      <c r="AN18" s="6" t="n">
        <f aca="false">IF(Debt!AN114&gt;Inputs!$F$253,IF(Debt!AM114&gt;Inputs!$F$253,(AN7+AM7)/(Debt!AN114+Debt!AM114),AN17),0)</f>
        <v>2.30308295237056</v>
      </c>
      <c r="AO18" s="6" t="n">
        <f aca="false">IF(Debt!AO114&gt;Inputs!$F$253,IF(Debt!AN114&gt;Inputs!$F$253,(AO7+AN7)/(Debt!AO114+Debt!AN114),AO17),0)</f>
        <v>2.29470682783055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93.2348565510873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5.9567541825079</v>
      </c>
      <c r="AB29" s="13" t="n">
        <f aca="false">IF(AND(AB24=1,Time!AB52=1,Inputs!$F$52=1),MIN(Inputs!$F$111*AB15,Debt!AB73),0)</f>
        <v>6.92882639578735</v>
      </c>
      <c r="AC29" s="13" t="n">
        <f aca="false">IF(AND(AC24=1,Time!AC52=1,Inputs!$F$52=1),MIN(Inputs!$F$111*AC15,Debt!AC73),0)</f>
        <v>6.60061692017251</v>
      </c>
      <c r="AD29" s="13" t="n">
        <f aca="false">IF(AND(AD24=1,Time!AD52=1,Inputs!$F$52=1),MIN(Inputs!$F$111*AD15,Debt!AD73),0)</f>
        <v>7.95397257843099</v>
      </c>
      <c r="AE29" s="13" t="n">
        <f aca="false">IF(AND(AE24=1,Time!AE52=1,Inputs!$F$52=1),MIN(Inputs!$F$111*AE15,Debt!AE73),0)</f>
        <v>8.55589220718567</v>
      </c>
      <c r="AF29" s="13" t="n">
        <f aca="false">IF(AND(AF24=1,Time!AF52=1,Inputs!$F$52=1),MIN(Inputs!$F$111*AF15,Debt!AF73),0)</f>
        <v>9.39219753379926</v>
      </c>
      <c r="AG29" s="13" t="n">
        <f aca="false">IF(AND(AG24=1,Time!AG52=1,Inputs!$F$52=1),MIN(Inputs!$F$111*AG15,Debt!AG73),0)</f>
        <v>9.79411553992618</v>
      </c>
      <c r="AH29" s="13" t="n">
        <f aca="false">IF(AND(AH24=1,Time!AH52=1,Inputs!$F$52=1),MIN(Inputs!$F$111*AH15,Debt!AH73),0)</f>
        <v>11.142006771365</v>
      </c>
      <c r="AI29" s="13" t="n">
        <f aca="false">IF(AND(AI24=1,Time!AI52=1,Inputs!$F$52=1),MIN(Inputs!$F$111*AI15,Debt!AI73),0)</f>
        <v>11.9841932157641</v>
      </c>
      <c r="AJ29" s="13" t="n">
        <f aca="false">IF(AND(AJ24=1,Time!AJ52=1,Inputs!$F$52=1),MIN(Inputs!$F$111*AJ15,Debt!AJ73),0)</f>
        <v>13.8058613819075</v>
      </c>
      <c r="AK29" s="13" t="n">
        <f aca="false">IF(AND(AK24=1,Time!AK52=1,Inputs!$F$52=1),MIN(Inputs!$F$111*AK15,Debt!AK73),0)</f>
        <v>1.1204198242409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2.07868324043142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1381.09564897189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14.7176963844723</v>
      </c>
      <c r="Q31" s="13" t="n">
        <f aca="false">IF(Q24=1,Q15-Q29,0)</f>
        <v>12.0630526915915</v>
      </c>
      <c r="R31" s="13" t="n">
        <f aca="false">IF(R24=1,R15-R29,0)</f>
        <v>12.9825561982771</v>
      </c>
      <c r="S31" s="13" t="n">
        <f aca="false">IF(S24=1,S15-S29,0)</f>
        <v>12.1829516458029</v>
      </c>
      <c r="T31" s="13" t="n">
        <f aca="false">IF(T24=1,T15-T29,0)</f>
        <v>12.9026827010628</v>
      </c>
      <c r="U31" s="13" t="n">
        <f aca="false">IF(U24=1,U15-U29,0)</f>
        <v>11.9638416265651</v>
      </c>
      <c r="V31" s="13" t="n">
        <f aca="false">IF(V24=1,V15-V29,0)</f>
        <v>13.2260533419628</v>
      </c>
      <c r="W31" s="13" t="n">
        <f aca="false">IF(W24=1,W15-W29,0)</f>
        <v>13.9742744618988</v>
      </c>
      <c r="X31" s="13" t="n">
        <f aca="false">IF(X24=1,X15-X29,0)</f>
        <v>12.7968135944758</v>
      </c>
      <c r="Y31" s="13" t="n">
        <f aca="false">IF(Y24=1,Y15-Y29,0)</f>
        <v>12.022243190551</v>
      </c>
      <c r="Z31" s="13" t="n">
        <f aca="false">IF(Z24=1,Z15-Z29,0)</f>
        <v>12.731938660087</v>
      </c>
      <c r="AA31" s="13" t="n">
        <f aca="false">IF(AA24=1,AA15-AA29,0)</f>
        <v>5.9567541825079</v>
      </c>
      <c r="AB31" s="13" t="n">
        <f aca="false">IF(AB24=1,AB15-AB29,0)</f>
        <v>6.92882639578735</v>
      </c>
      <c r="AC31" s="13" t="n">
        <f aca="false">IF(AC24=1,AC15-AC29,0)</f>
        <v>6.60061692017251</v>
      </c>
      <c r="AD31" s="13" t="n">
        <f aca="false">IF(AD24=1,AD15-AD29,0)</f>
        <v>7.95397257843099</v>
      </c>
      <c r="AE31" s="13" t="n">
        <f aca="false">IF(AE24=1,AE15-AE29,0)</f>
        <v>8.55589220718567</v>
      </c>
      <c r="AF31" s="13" t="n">
        <f aca="false">IF(AF24=1,AF15-AF29,0)</f>
        <v>9.39219753379926</v>
      </c>
      <c r="AG31" s="13" t="n">
        <f aca="false">IF(AG24=1,AG15-AG29,0)</f>
        <v>9.79411553992618</v>
      </c>
      <c r="AH31" s="13" t="n">
        <f aca="false">IF(AH24=1,AH15-AH29,0)</f>
        <v>11.142006771365</v>
      </c>
      <c r="AI31" s="13" t="n">
        <f aca="false">IF(AI24=1,AI15-AI29,0)</f>
        <v>11.9841932157641</v>
      </c>
      <c r="AJ31" s="13" t="n">
        <f aca="false">IF(AJ24=1,AJ15-AJ29,0)</f>
        <v>13.8058613819075</v>
      </c>
      <c r="AK31" s="13" t="n">
        <f aca="false">IF(AK24=1,AK15-AK29,0)</f>
        <v>30.0116121872566</v>
      </c>
      <c r="AL31" s="13" t="n">
        <f aca="false">IF(AL24=1,AL15-AL29,0)</f>
        <v>29.6386207296436</v>
      </c>
      <c r="AM31" s="13" t="n">
        <f aca="false">IF(AM24=1,AM15-AM29,0)</f>
        <v>33.3519342850037</v>
      </c>
      <c r="AN31" s="13" t="n">
        <f aca="false">IF(AN24=1,AN15-AN29,0)</f>
        <v>26.9547977633922</v>
      </c>
      <c r="AO31" s="13" t="n">
        <f aca="false">IF(AO24=1,AO15-AO29,0)</f>
        <v>41.4251807086794</v>
      </c>
      <c r="AP31" s="13" t="n">
        <f aca="false">IF(AP24=1,AP15-AP29,0)</f>
        <v>41.3623431861756</v>
      </c>
      <c r="AQ31" s="13" t="n">
        <f aca="false">IF(AQ24=1,AQ15-AQ29,0)</f>
        <v>40.8448092280966</v>
      </c>
      <c r="AR31" s="13" t="n">
        <f aca="false">IF(AR24=1,AR15-AR29,0)</f>
        <v>41.4164920404557</v>
      </c>
      <c r="AS31" s="13" t="n">
        <f aca="false">IF(AS24=1,AS15-AS29,0)</f>
        <v>41.1772953886096</v>
      </c>
      <c r="AT31" s="13" t="n">
        <f aca="false">IF(AT24=1,AT15-AT29,0)</f>
        <v>47.9491025634233</v>
      </c>
      <c r="AU31" s="13" t="n">
        <f aca="false">IF(AU24=1,AU15-AU29,0)</f>
        <v>43.5364407468505</v>
      </c>
      <c r="AV31" s="13" t="n">
        <f aca="false">IF(AV24=1,AV15-AV29,0)</f>
        <v>43.5943393821039</v>
      </c>
      <c r="AW31" s="13" t="n">
        <f aca="false">IF(AW24=1,AW15-AW29,0)</f>
        <v>43.1607252592778</v>
      </c>
      <c r="AX31" s="13" t="n">
        <f aca="false">IF(AX24=1,AX15-AX29,0)</f>
        <v>43.8278481449981</v>
      </c>
      <c r="AY31" s="13" t="n">
        <f aca="false">IF(AY24=1,AY15-AY29,0)</f>
        <v>43.3900223859442</v>
      </c>
      <c r="AZ31" s="13" t="n">
        <f aca="false">IF(AZ24=1,AZ15-AZ29,0)</f>
        <v>43.9818721752957</v>
      </c>
      <c r="BA31" s="13" t="n">
        <f aca="false">IF(BA24=1,BA15-BA29,0)</f>
        <v>43.2104886195516</v>
      </c>
      <c r="BB31" s="13" t="n">
        <f aca="false">IF(BB24=1,BB15-BB29,0)</f>
        <v>44.4733228718661</v>
      </c>
      <c r="BC31" s="13" t="n">
        <f aca="false">IF(BC24=1,BC15-BC29,0)</f>
        <v>41.0800588038954</v>
      </c>
      <c r="BD31" s="13" t="n">
        <f aca="false">IF(BD24=1,BD15-BD29,0)</f>
        <v>34.9139216851454</v>
      </c>
      <c r="BE31" s="13" t="n">
        <f aca="false">IF(BE24=1,BE15-BE29,0)</f>
        <v>34.466085148609</v>
      </c>
      <c r="BF31" s="13" t="n">
        <f aca="false">IF(BF24=1,BF15-BF29,0)</f>
        <v>35.1455995576385</v>
      </c>
      <c r="BG31" s="13" t="n">
        <f aca="false">IF(BG24=1,BG15-BG29,0)</f>
        <v>34.6814212129413</v>
      </c>
      <c r="BH31" s="13" t="n">
        <f aca="false">IF(BH24=1,BH15-BH29,0)</f>
        <v>35.277781357672</v>
      </c>
      <c r="BI31" s="13" t="n">
        <f aca="false">IF(BI24=1,BI15-BI29,0)</f>
        <v>35.0295660909891</v>
      </c>
      <c r="BJ31" s="13" t="n">
        <f aca="false">IF(BJ24=1,BJ15-BJ29,0)</f>
        <v>43.081004573616</v>
      </c>
      <c r="BK31" s="13" t="n">
        <f aca="false">IF(BK24=1,BK15-BK29,0)</f>
        <v>37.8419562214593</v>
      </c>
      <c r="BL31" s="13" t="n">
        <f aca="false">IF(BL24=1,BL15-BL29,0)</f>
        <v>38.4974983256152</v>
      </c>
      <c r="BM31" s="13" t="n">
        <f aca="false">IF(BM24=1,BM15-BM29,0)</f>
        <v>54.0949671040943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199.954612896317</v>
      </c>
      <c r="R33" s="13" t="n">
        <f aca="false">IF(Time!R20&lt;Time!$F$12,0,IF(Time!R34=1,INDEX(Funding!$J$72:$BJ$72,1,Time!$F$14),Q36))</f>
        <v>197.311339845142</v>
      </c>
      <c r="S33" s="13" t="n">
        <f aca="false">IF(Time!S20&lt;Time!$F$12,0,IF(Time!S34=1,INDEX(Funding!$J$72:$BJ$72,1,Time!$F$14),R36))</f>
        <v>193.778104798901</v>
      </c>
      <c r="T33" s="13" t="n">
        <f aca="false">IF(Time!T20&lt;Time!$F$12,0,IF(Time!T34=1,INDEX(Funding!$J$72:$BJ$72,1,Time!$F$14),S36))</f>
        <v>190.723960035337</v>
      </c>
      <c r="U33" s="13" t="n">
        <f aca="false">IF(Time!U20&lt;Time!$F$12,0,IF(Time!U34=1,INDEX(Funding!$J$72:$BJ$72,1,Time!$F$14),T36))</f>
        <v>186.955126160076</v>
      </c>
      <c r="V33" s="13" t="n">
        <f aca="false">IF(Time!V20&lt;Time!$F$12,0,IF(Time!V34=1,INDEX(Funding!$J$72:$BJ$72,1,Time!$F$14),U36))</f>
        <v>183.847323249422</v>
      </c>
      <c r="W33" s="13" t="n">
        <f aca="false">IF(Time!W20&lt;Time!$F$12,0,IF(Time!W34=1,INDEX(Funding!$J$72:$BJ$72,1,Time!$F$14),V36))</f>
        <v>179.425793771569</v>
      </c>
      <c r="X33" s="13" t="n">
        <f aca="false">IF(Time!X20&lt;Time!$F$12,0,IF(Time!X34=1,INDEX(Funding!$J$72:$BJ$72,1,Time!$F$14),W36))</f>
        <v>173.904194717621</v>
      </c>
      <c r="Y33" s="13" t="n">
        <f aca="false">IF(Time!Y20&lt;Time!$F$12,0,IF(Time!Y34=1,INDEX(Funding!$J$72:$BJ$72,1,Time!$F$14),X36))</f>
        <v>169.435724475649</v>
      </c>
      <c r="Z33" s="13" t="n">
        <f aca="false">IF(Time!Z20&lt;Time!$F$12,0,IF(Time!Z34=1,INDEX(Funding!$J$72:$BJ$72,1,Time!$F$14),Y36))</f>
        <v>165.395528634026</v>
      </c>
      <c r="AA33" s="13" t="n">
        <f aca="false">IF(Time!AA20&lt;Time!$F$12,0,IF(Time!AA34=1,INDEX(Funding!$J$72:$BJ$72,1,Time!$F$14),Z36))</f>
        <v>160.584449810988</v>
      </c>
      <c r="AB33" s="13" t="n">
        <f aca="false">IF(Time!AB20&lt;Time!$F$12,0,IF(Time!AB34=1,INDEX(Funding!$J$72:$BJ$72,1,Time!$F$14),AA36))</f>
        <v>162.192763065466</v>
      </c>
      <c r="AC33" s="13" t="n">
        <f aca="false">IF(Time!AC20&lt;Time!$F$12,0,IF(Time!AC34=1,INDEX(Funding!$J$72:$BJ$72,1,Time!$F$14),AB36))</f>
        <v>163.031414747444</v>
      </c>
      <c r="AD33" s="13" t="n">
        <f aca="false">IF(Time!AD20&lt;Time!$F$12,0,IF(Time!AD34=1,INDEX(Funding!$J$72:$BJ$72,1,Time!$F$14),AC36))</f>
        <v>164.153573610788</v>
      </c>
      <c r="AE33" s="13" t="n">
        <f aca="false">IF(Time!AE20&lt;Time!$F$12,0,IF(Time!AE34=1,INDEX(Funding!$J$72:$BJ$72,1,Time!$F$14),AD36))</f>
        <v>164.06098313295</v>
      </c>
      <c r="AF33" s="13" t="n">
        <f aca="false">IF(Time!AF20&lt;Time!$F$12,0,IF(Time!AF34=1,INDEX(Funding!$J$72:$BJ$72,1,Time!$F$14),AE36))</f>
        <v>163.233936418836</v>
      </c>
      <c r="AG33" s="13" t="n">
        <f aca="false">IF(Time!AG20&lt;Time!$F$12,0,IF(Time!AG34=1,INDEX(Funding!$J$72:$BJ$72,1,Time!$F$14),AF36))</f>
        <v>161.659079182574</v>
      </c>
      <c r="AH33" s="13" t="n">
        <f aca="false">IF(Time!AH20&lt;Time!$F$12,0,IF(Time!AH34=1,INDEX(Funding!$J$72:$BJ$72,1,Time!$F$14),AG36))</f>
        <v>159.480656427701</v>
      </c>
      <c r="AI33" s="13" t="n">
        <f aca="false">IF(Time!AI20&lt;Time!$F$12,0,IF(Time!AI34=1,INDEX(Funding!$J$72:$BJ$72,1,Time!$F$14),AH36))</f>
        <v>155.976243832654</v>
      </c>
      <c r="AJ33" s="13" t="n">
        <f aca="false">IF(Time!AJ20&lt;Time!$F$12,0,IF(Time!AJ34=1,INDEX(Funding!$J$72:$BJ$72,1,Time!$F$14),AI36))</f>
        <v>151.340027364021</v>
      </c>
      <c r="AK33" s="13" t="n">
        <f aca="false">IF(Time!AK20&lt;Time!$F$12,0,IF(Time!AK34=1,INDEX(Funding!$J$72:$BJ$72,1,Time!$F$14),AJ36))</f>
        <v>144.781902087108</v>
      </c>
      <c r="AL33" s="13" t="n">
        <f aca="false">IF(Time!AL20&lt;Time!$F$12,0,IF(Time!AL34=1,INDEX(Funding!$J$72:$BJ$72,1,Time!$F$14),AK36))</f>
        <v>121.62858876858</v>
      </c>
      <c r="AM33" s="13" t="n">
        <f aca="false">IF(Time!AM20&lt;Time!$F$12,0,IF(Time!AM34=1,INDEX(Funding!$J$72:$BJ$72,1,Time!$F$14),AL36))</f>
        <v>97.8148111394153</v>
      </c>
      <c r="AN33" s="13" t="n">
        <f aca="false">IF(Time!AN20&lt;Time!$F$12,0,IF(Time!AN34=1,INDEX(Funding!$J$72:$BJ$72,1,Time!$F$14),AM36))</f>
        <v>69.0708924093219</v>
      </c>
      <c r="AO33" s="13" t="n">
        <f aca="false">IF(Time!AO20&lt;Time!$F$12,0,IF(Time!AO34=1,INDEX(Funding!$J$72:$BJ$72,1,Time!$F$14),AN36))</f>
        <v>45.4239280687104</v>
      </c>
      <c r="AP33" s="13" t="n">
        <f aca="false">IF(Time!AP20&lt;Time!$F$12,0,IF(Time!AP34=1,INDEX(Funding!$J$72:$BJ$72,1,Time!$F$14),AO36))</f>
        <v>6.13864994398019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193.062783443034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9.41977964041689</v>
      </c>
      <c r="R34" s="13" t="n">
        <f aca="false">R24*MIN(R31,Tax!R13)</f>
        <v>9.44932115203584</v>
      </c>
      <c r="S34" s="13" t="n">
        <f aca="false">S24*MIN(S31,Tax!S13)</f>
        <v>9.12880688223863</v>
      </c>
      <c r="T34" s="13" t="n">
        <f aca="false">T24*MIN(T31,Tax!T13)</f>
        <v>9.13384882580187</v>
      </c>
      <c r="U34" s="13" t="n">
        <f aca="false">U24*MIN(U31,Tax!U13)</f>
        <v>8.85603871591153</v>
      </c>
      <c r="V34" s="13" t="n">
        <f aca="false">V24*MIN(V31,Tax!V13)</f>
        <v>8.80452386410931</v>
      </c>
      <c r="W34" s="13" t="n">
        <f aca="false">W24*MIN(W31,Tax!W13)</f>
        <v>8.45267540795102</v>
      </c>
      <c r="X34" s="13" t="n">
        <f aca="false">X24*MIN(X31,Tax!X13)</f>
        <v>8.32834335250414</v>
      </c>
      <c r="Y34" s="13" t="n">
        <f aca="false">Y24*MIN(Y31,Tax!Y13)</f>
        <v>7.98204734892818</v>
      </c>
      <c r="Z34" s="13" t="n">
        <f aca="false">Z24*MIN(Z31,Tax!Z13)</f>
        <v>7.92085983704871</v>
      </c>
      <c r="AA34" s="13" t="n">
        <f aca="false">AA24*MIN(AA31,Tax!AA13)</f>
        <v>5.9567541825079</v>
      </c>
      <c r="AB34" s="13" t="n">
        <f aca="false">AB24*MIN(AB31,Tax!AB13)</f>
        <v>6.92882639578735</v>
      </c>
      <c r="AC34" s="13" t="n">
        <f aca="false">AC24*MIN(AC31,Tax!AC13)</f>
        <v>6.60061692017251</v>
      </c>
      <c r="AD34" s="13" t="n">
        <f aca="false">AD24*MIN(AD31,Tax!AD13)</f>
        <v>7.86138210059334</v>
      </c>
      <c r="AE34" s="13" t="n">
        <f aca="false">AE24*MIN(AE31,Tax!AE13)</f>
        <v>7.72884549307144</v>
      </c>
      <c r="AF34" s="13" t="n">
        <f aca="false">AF24*MIN(AF31,Tax!AF13)</f>
        <v>7.81734029753767</v>
      </c>
      <c r="AG34" s="13" t="n">
        <f aca="false">AG24*MIN(AG31,Tax!AG13)</f>
        <v>7.61569278505305</v>
      </c>
      <c r="AH34" s="13" t="n">
        <f aca="false">AH24*MIN(AH31,Tax!AH13)</f>
        <v>7.63759417631839</v>
      </c>
      <c r="AI34" s="13" t="n">
        <f aca="false">AI24*MIN(AI31,Tax!AI13)</f>
        <v>7.34797674713012</v>
      </c>
      <c r="AJ34" s="13" t="n">
        <f aca="false">AJ24*MIN(AJ31,Tax!AJ13)</f>
        <v>7.24773610499473</v>
      </c>
      <c r="AK34" s="13" t="n">
        <f aca="false">AK24*MIN(AK31,Tax!AK13)</f>
        <v>6.85829886872902</v>
      </c>
      <c r="AL34" s="13" t="n">
        <f aca="false">AL24*MIN(AL31,Tax!AL13)</f>
        <v>5.82484310047885</v>
      </c>
      <c r="AM34" s="13" t="n">
        <f aca="false">AM24*MIN(AM31,Tax!AM13)</f>
        <v>4.60801555491027</v>
      </c>
      <c r="AN34" s="13" t="n">
        <f aca="false">AN24*MIN(AN31,Tax!AN13)</f>
        <v>3.30783342278068</v>
      </c>
      <c r="AO34" s="13" t="n">
        <f aca="false">AO24*MIN(AO31,Tax!AO13)</f>
        <v>2.13990258394925</v>
      </c>
      <c r="AP34" s="13" t="n">
        <f aca="false">AP24*MIN(AP31,Tax!AP13)</f>
        <v>0.293982468550065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208.430535867066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4.90679917094955</v>
      </c>
      <c r="Q35" s="13" t="n">
        <f aca="false">Q24*MIN(Q31-Q34,Q33+Tax!Q13-Q34)</f>
        <v>2.6432730511746</v>
      </c>
      <c r="R35" s="13" t="n">
        <f aca="false">R24*MIN(R31-R34,R33+Tax!R13-R34)</f>
        <v>3.53323504624121</v>
      </c>
      <c r="S35" s="13" t="n">
        <f aca="false">S24*MIN(S31-S34,S33+Tax!S13-S34)</f>
        <v>3.05414476356424</v>
      </c>
      <c r="T35" s="13" t="n">
        <f aca="false">T24*MIN(T31-T34,T33+Tax!T13-T34)</f>
        <v>3.76883387526097</v>
      </c>
      <c r="U35" s="13" t="n">
        <f aca="false">U24*MIN(U31-U34,U33+Tax!U13-U34)</f>
        <v>3.10780291065359</v>
      </c>
      <c r="V35" s="13" t="n">
        <f aca="false">V24*MIN(V31-V34,V33+Tax!V13-V34)</f>
        <v>4.42152947785345</v>
      </c>
      <c r="W35" s="13" t="n">
        <f aca="false">W24*MIN(W31-W34,W33+Tax!W13-W34)</f>
        <v>5.52159905394782</v>
      </c>
      <c r="X35" s="13" t="n">
        <f aca="false">X24*MIN(X31-X34,X33+Tax!X13-X34)</f>
        <v>4.46847024197162</v>
      </c>
      <c r="Y35" s="13" t="n">
        <f aca="false">Y24*MIN(Y31-Y34,Y33+Tax!Y13-Y34)</f>
        <v>4.04019584162284</v>
      </c>
      <c r="Z35" s="13" t="n">
        <f aca="false">Z24*MIN(Z31-Z34,Z33+Tax!Z13-Z34)</f>
        <v>4.81107882303826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0.0925904778376516</v>
      </c>
      <c r="AE35" s="13" t="n">
        <f aca="false">AE24*MIN(AE31-AE34,AE33+Tax!AE13-AE34)</f>
        <v>0.827046714114234</v>
      </c>
      <c r="AF35" s="13" t="n">
        <f aca="false">AF24*MIN(AF31-AF34,AF33+Tax!AF13-AF34)</f>
        <v>1.57485723626159</v>
      </c>
      <c r="AG35" s="13" t="n">
        <f aca="false">AG24*MIN(AG31-AG34,AG33+Tax!AG13-AG34)</f>
        <v>2.17842275487313</v>
      </c>
      <c r="AH35" s="13" t="n">
        <f aca="false">AH24*MIN(AH31-AH34,AH33+Tax!AH13-AH34)</f>
        <v>3.50441259504657</v>
      </c>
      <c r="AI35" s="13" t="n">
        <f aca="false">AI24*MIN(AI31-AI34,AI33+Tax!AI13-AI34)</f>
        <v>4.63621646863396</v>
      </c>
      <c r="AJ35" s="13" t="n">
        <f aca="false">AJ24*MIN(AJ31-AJ34,AJ33+Tax!AJ13-AJ34)</f>
        <v>6.55812527691279</v>
      </c>
      <c r="AK35" s="13" t="n">
        <f aca="false">AK24*MIN(AK31-AK34,AK33+Tax!AK13-AK34)</f>
        <v>23.1533133185276</v>
      </c>
      <c r="AL35" s="13" t="n">
        <f aca="false">AL24*MIN(AL31-AL34,AL33+Tax!AL13-AL34)</f>
        <v>23.8137776291648</v>
      </c>
      <c r="AM35" s="13" t="n">
        <f aca="false">AM24*MIN(AM31-AM34,AM33+Tax!AM13-AM34)</f>
        <v>28.7439187300934</v>
      </c>
      <c r="AN35" s="13" t="n">
        <f aca="false">AN24*MIN(AN31-AN34,AN33+Tax!AN13-AN34)</f>
        <v>23.6469643406116</v>
      </c>
      <c r="AO35" s="13" t="n">
        <f aca="false">AO24*MIN(AO31-AO34,AO33+Tax!AO13-AO34)</f>
        <v>39.2852781247302</v>
      </c>
      <c r="AP35" s="13" t="n">
        <f aca="false">AP24*MIN(AP31-AP34,AP33+Tax!AP13-AP34)</f>
        <v>6.13864994398019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199.954612896317</v>
      </c>
      <c r="Q36" s="13" t="n">
        <f aca="false">Q33+Tax!Q13-Q34-Q35</f>
        <v>197.311339845142</v>
      </c>
      <c r="R36" s="13" t="n">
        <f aca="false">R33+Tax!R13-R34-R35</f>
        <v>193.778104798901</v>
      </c>
      <c r="S36" s="13" t="n">
        <f aca="false">S33+Tax!S13-S34-S35</f>
        <v>190.723960035337</v>
      </c>
      <c r="T36" s="13" t="n">
        <f aca="false">T33+Tax!T13-T34-T35</f>
        <v>186.955126160076</v>
      </c>
      <c r="U36" s="13" t="n">
        <f aca="false">U33+Tax!U13-U34-U35</f>
        <v>183.847323249422</v>
      </c>
      <c r="V36" s="13" t="n">
        <f aca="false">V33+Tax!V13-V34-V35</f>
        <v>179.425793771569</v>
      </c>
      <c r="W36" s="13" t="n">
        <f aca="false">W33+Tax!W13-W34-W35</f>
        <v>173.904194717621</v>
      </c>
      <c r="X36" s="13" t="n">
        <f aca="false">X33+Tax!X13-X34-X35</f>
        <v>169.435724475649</v>
      </c>
      <c r="Y36" s="13" t="n">
        <f aca="false">Y33+Tax!Y13-Y34-Y35</f>
        <v>165.395528634026</v>
      </c>
      <c r="Z36" s="13" t="n">
        <f aca="false">Z33+Tax!Z13-Z34-Z35</f>
        <v>160.584449810988</v>
      </c>
      <c r="AA36" s="13" t="n">
        <f aca="false">AA33+Tax!AA13-AA34-AA35</f>
        <v>162.192763065466</v>
      </c>
      <c r="AB36" s="13" t="n">
        <f aca="false">AB33+Tax!AB13-AB34-AB35</f>
        <v>163.031414747444</v>
      </c>
      <c r="AC36" s="13" t="n">
        <f aca="false">AC33+Tax!AC13-AC34-AC35</f>
        <v>164.153573610788</v>
      </c>
      <c r="AD36" s="13" t="n">
        <f aca="false">AD33+Tax!AD13-AD34-AD35</f>
        <v>164.06098313295</v>
      </c>
      <c r="AE36" s="13" t="n">
        <f aca="false">AE33+Tax!AE13-AE34-AE35</f>
        <v>163.233936418836</v>
      </c>
      <c r="AF36" s="13" t="n">
        <f aca="false">AF33+Tax!AF13-AF34-AF35</f>
        <v>161.659079182574</v>
      </c>
      <c r="AG36" s="13" t="n">
        <f aca="false">AG33+Tax!AG13-AG34-AG35</f>
        <v>159.480656427701</v>
      </c>
      <c r="AH36" s="13" t="n">
        <f aca="false">AH33+Tax!AH13-AH34-AH35</f>
        <v>155.976243832654</v>
      </c>
      <c r="AI36" s="13" t="n">
        <f aca="false">AI33+Tax!AI13-AI34-AI35</f>
        <v>151.340027364021</v>
      </c>
      <c r="AJ36" s="13" t="n">
        <f aca="false">AJ33+Tax!AJ13-AJ34-AJ35</f>
        <v>144.781902087108</v>
      </c>
      <c r="AK36" s="13" t="n">
        <f aca="false">AK33+Tax!AK13-AK34-AK35</f>
        <v>121.62858876858</v>
      </c>
      <c r="AL36" s="13" t="n">
        <f aca="false">AL33+Tax!AL13-AL34-AL35</f>
        <v>97.8148111394153</v>
      </c>
      <c r="AM36" s="13" t="n">
        <f aca="false">AM33+Tax!AM13-AM34-AM35</f>
        <v>69.0708924093219</v>
      </c>
      <c r="AN36" s="13" t="n">
        <f aca="false">AN33+Tax!AN13-AN34-AN35</f>
        <v>45.4239280687104</v>
      </c>
      <c r="AO36" s="13" t="n">
        <f aca="false">AO33+Tax!AO13-AO34-AO35</f>
        <v>6.13864994398019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9.61725003605062</v>
      </c>
      <c r="P37" s="13" t="n">
        <f aca="false">MAX(0,O43+Financials!P14)</f>
        <v>16.5128666105439</v>
      </c>
      <c r="Q37" s="13" t="n">
        <f aca="false">MAX(0,P43+Financials!Q14)</f>
        <v>24.7554521915761</v>
      </c>
      <c r="R37" s="13" t="n">
        <f aca="false">MAX(0,Q43+Financials!R14)</f>
        <v>33.4551296622995</v>
      </c>
      <c r="S37" s="13" t="n">
        <f aca="false">MAX(0,R43+Financials!S14)</f>
        <v>43.3523978079303</v>
      </c>
      <c r="T37" s="13" t="n">
        <f aca="false">MAX(0,S43+Financials!T14)</f>
        <v>53.6928814695909</v>
      </c>
      <c r="U37" s="13" t="n">
        <f aca="false">MAX(0,T43+Financials!U14)</f>
        <v>65.2597736196821</v>
      </c>
      <c r="V37" s="13" t="n">
        <f aca="false">MAX(0,U43+Financials!V14)</f>
        <v>75.1593076856751</v>
      </c>
      <c r="W37" s="13" t="n">
        <f aca="false">MAX(0,V43+Financials!W14)</f>
        <v>88.8207353791436</v>
      </c>
      <c r="X37" s="13" t="n">
        <f aca="false">MAX(0,W43+Financials!X14)</f>
        <v>103.081876946473</v>
      </c>
      <c r="Y37" s="13" t="n">
        <f aca="false">MAX(0,X43+Financials!Y14)</f>
        <v>115.395761366708</v>
      </c>
      <c r="Z37" s="13" t="n">
        <f aca="false">MAX(0,Y43+Financials!Z14)</f>
        <v>122.644345319587</v>
      </c>
      <c r="AA37" s="13" t="n">
        <f aca="false">MAX(0,Z43+Financials!AA14)</f>
        <v>130.841104562493</v>
      </c>
      <c r="AB37" s="13" t="n">
        <f aca="false">MAX(0,AA43+Financials!AB14)</f>
        <v>139.566681596643</v>
      </c>
      <c r="AC37" s="13" t="n">
        <f aca="false">MAX(0,AB43+Financials!AC14)</f>
        <v>149.351738553694</v>
      </c>
      <c r="AD37" s="13" t="n">
        <f aca="false">MAX(0,AC43+Financials!AD14)</f>
        <v>150.966933312006</v>
      </c>
      <c r="AE37" s="13" t="n">
        <f aca="false">MAX(0,AD43+Financials!AE14)</f>
        <v>162.780410622189</v>
      </c>
      <c r="AF37" s="13" t="n">
        <f aca="false">MAX(0,AE43+Financials!AF14)</f>
        <v>175.112027215943</v>
      </c>
      <c r="AG37" s="13" t="n">
        <f aca="false">MAX(0,AF43+Financials!AG14)</f>
        <v>188.51551560144</v>
      </c>
      <c r="AH37" s="13" t="n">
        <f aca="false">MAX(0,AG43+Financials!AH14)</f>
        <v>202.901989633295</v>
      </c>
      <c r="AI37" s="13" t="n">
        <f aca="false">MAX(0,AH43+Financials!AI14)</f>
        <v>218.56404729501</v>
      </c>
      <c r="AJ37" s="13" t="n">
        <f aca="false">MAX(0,AI43+Financials!AJ14)</f>
        <v>235.276685242247</v>
      </c>
      <c r="AK37" s="13" t="n">
        <f aca="false">MAX(0,AJ43+Financials!AK14)</f>
        <v>253.405978113583</v>
      </c>
      <c r="AL37" s="13" t="n">
        <f aca="false">MAX(0,AK43+Financials!AL14)</f>
        <v>270.831202547982</v>
      </c>
      <c r="AM37" s="13" t="n">
        <f aca="false">MAX(0,AL43+Financials!AM14)</f>
        <v>291.627777618625</v>
      </c>
      <c r="AN37" s="13" t="n">
        <f aca="false">MAX(0,AM43+Financials!AN14)</f>
        <v>314.065912996638</v>
      </c>
      <c r="AO37" s="13" t="n">
        <f aca="false">MAX(0,AN43+Financials!AO14)</f>
        <v>337.78009168865</v>
      </c>
      <c r="AP37" s="13" t="n">
        <f aca="false">MAX(0,AO43+Financials!AP14)</f>
        <v>363.268220885018</v>
      </c>
      <c r="AQ37" s="13" t="n">
        <f aca="false">MAX(0,AP43+Financials!AQ14)</f>
        <v>354.107856135605</v>
      </c>
      <c r="AR37" s="13" t="n">
        <f aca="false">MAX(0,AQ43+Financials!AR14)</f>
        <v>339.089022742898</v>
      </c>
      <c r="AS37" s="13" t="n">
        <f aca="false">MAX(0,AR43+Financials!AS14)</f>
        <v>323.710129513471</v>
      </c>
      <c r="AT37" s="13" t="n">
        <f aca="false">MAX(0,AS43+Financials!AT14)</f>
        <v>298.32590455488</v>
      </c>
      <c r="AU37" s="13" t="n">
        <f aca="false">MAX(0,AT43+Financials!AU14)</f>
        <v>276.731931231246</v>
      </c>
      <c r="AV37" s="13" t="n">
        <f aca="false">MAX(0,AU43+Financials!AV14)</f>
        <v>259.415181265364</v>
      </c>
      <c r="AW37" s="13" t="n">
        <f aca="false">MAX(0,AV43+Financials!AW14)</f>
        <v>242.162143050878</v>
      </c>
      <c r="AX37" s="13" t="n">
        <f aca="false">MAX(0,AW43+Financials!AX14)</f>
        <v>225.488851603171</v>
      </c>
      <c r="AY37" s="13" t="n">
        <f aca="false">MAX(0,AX43+Financials!AY14)</f>
        <v>208.229649632449</v>
      </c>
      <c r="AZ37" s="13" t="n">
        <f aca="false">MAX(0,AY43+Financials!AZ14)</f>
        <v>191.469525605299</v>
      </c>
      <c r="BA37" s="13" t="n">
        <f aca="false">MAX(0,AZ43+Financials!BA14)</f>
        <v>174.301393874041</v>
      </c>
      <c r="BB37" s="13" t="n">
        <f aca="false">MAX(0,BA43+Financials!BB14)</f>
        <v>155.697301033214</v>
      </c>
      <c r="BC37" s="13" t="n">
        <f aca="false">MAX(0,BB43+Financials!BC14)</f>
        <v>138.334690822736</v>
      </c>
      <c r="BD37" s="13" t="n">
        <f aca="false">MAX(0,BC43+Financials!BD14)</f>
        <v>124.311928472708</v>
      </c>
      <c r="BE37" s="13" t="n">
        <f aca="false">MAX(0,BD43+Financials!BE14)</f>
        <v>116.587239953039</v>
      </c>
      <c r="BF37" s="13" t="n">
        <f aca="false">MAX(0,BE43+Financials!BF14)</f>
        <v>109.47006553144</v>
      </c>
      <c r="BG37" s="13" t="n">
        <f aca="false">MAX(0,BF43+Financials!BG14)</f>
        <v>101.760825618815</v>
      </c>
      <c r="BH37" s="13" t="n">
        <f aca="false">MAX(0,BG43+Financials!BH14)</f>
        <v>94.582017150679</v>
      </c>
      <c r="BI37" s="13" t="n">
        <f aca="false">MAX(0,BH43+Financials!BI14)</f>
        <v>87.0591613365503</v>
      </c>
      <c r="BJ37" s="13" t="n">
        <f aca="false">MAX(0,BI43+Financials!BJ14)</f>
        <v>67.6739006546299</v>
      </c>
      <c r="BK37" s="13" t="n">
        <f aca="false">MAX(0,BJ43+Financials!BK14)</f>
        <v>52.725914179977</v>
      </c>
      <c r="BL37" s="13" t="n">
        <f aca="false">MAX(0,BK43+Financials!BL14)</f>
        <v>42.8505639438526</v>
      </c>
      <c r="BM37" s="13" t="n">
        <f aca="false">MAX(0,BL43+Financials!BM14)</f>
        <v>9.72821358728289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34.9297107736453</v>
      </c>
      <c r="AQ38" s="13" t="n">
        <f aca="false">AQ24*MIN(AQ31-AQ34-AQ35,AQ37)</f>
        <v>40.8448092280966</v>
      </c>
      <c r="AR38" s="13" t="n">
        <f aca="false">AR24*MIN(AR31-AR34-AR35,AR37)</f>
        <v>41.4164920404557</v>
      </c>
      <c r="AS38" s="13" t="n">
        <f aca="false">AS24*MIN(AS31-AS34-AS35,AS37)</f>
        <v>41.1772953886096</v>
      </c>
      <c r="AT38" s="13" t="n">
        <f aca="false">AT24*MIN(AT31-AT34-AT35,AT37)</f>
        <v>47.9491025634233</v>
      </c>
      <c r="AU38" s="13" t="n">
        <f aca="false">AU24*MIN(AU31-AU34-AU35,AU37)</f>
        <v>43.5364407468505</v>
      </c>
      <c r="AV38" s="13" t="n">
        <f aca="false">AV24*MIN(AV31-AV34-AV35,AV37)</f>
        <v>43.5943393821039</v>
      </c>
      <c r="AW38" s="13" t="n">
        <f aca="false">AW24*MIN(AW31-AW34-AW35,AW37)</f>
        <v>43.1607252592778</v>
      </c>
      <c r="AX38" s="13" t="n">
        <f aca="false">AX24*MIN(AX31-AX34-AX35,AX37)</f>
        <v>43.8278481449981</v>
      </c>
      <c r="AY38" s="13" t="n">
        <f aca="false">AY24*MIN(AY31-AY34-AY35,AY37)</f>
        <v>43.3900223859442</v>
      </c>
      <c r="AZ38" s="13" t="n">
        <f aca="false">AZ24*MIN(AZ31-AZ34-AZ35,AZ37)</f>
        <v>43.9818721752957</v>
      </c>
      <c r="BA38" s="13" t="n">
        <f aca="false">BA24*MIN(BA31-BA34-BA35,BA37)</f>
        <v>43.2104886195516</v>
      </c>
      <c r="BB38" s="13" t="n">
        <f aca="false">BB24*MIN(BB31-BB34-BB35,BB37)</f>
        <v>44.4733228718661</v>
      </c>
      <c r="BC38" s="13" t="n">
        <f aca="false">BC24*MIN(BC31-BC34-BC35,BC37)</f>
        <v>41.0800588038954</v>
      </c>
      <c r="BD38" s="13" t="n">
        <f aca="false">BD24*MIN(BD31-BD34-BD35,BD37)</f>
        <v>34.9139216851454</v>
      </c>
      <c r="BE38" s="13" t="n">
        <f aca="false">BE24*MIN(BE31-BE34-BE35,BE37)</f>
        <v>34.466085148609</v>
      </c>
      <c r="BF38" s="13" t="n">
        <f aca="false">BF24*MIN(BF31-BF34-BF35,BF37)</f>
        <v>35.1455995576385</v>
      </c>
      <c r="BG38" s="13" t="n">
        <f aca="false">BG24*MIN(BG31-BG34-BG35,BG37)</f>
        <v>34.6814212129413</v>
      </c>
      <c r="BH38" s="13" t="n">
        <f aca="false">BH24*MIN(BH31-BH34-BH35,BH37)</f>
        <v>35.277781357672</v>
      </c>
      <c r="BI38" s="13" t="n">
        <f aca="false">BI24*MIN(BI31-BI34-BI35,BI37)</f>
        <v>35.0295660909891</v>
      </c>
      <c r="BJ38" s="13" t="n">
        <f aca="false">BJ24*MIN(BJ31-BJ34-BJ35,BJ37)</f>
        <v>43.081004573616</v>
      </c>
      <c r="BK38" s="13" t="n">
        <f aca="false">BK24*MIN(BK31-BK34-BK35,BK37)</f>
        <v>37.8419562214593</v>
      </c>
      <c r="BL38" s="13" t="n">
        <f aca="false">BL24*MIN(BL31-BL34-BL35,BL37)</f>
        <v>38.4974983256152</v>
      </c>
      <c r="BM38" s="13" t="n">
        <f aca="false">BM24*MIN(BM31-BM34-BM35,BM37)</f>
        <v>9.72821358728289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979.602329661794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34.9297107736453</v>
      </c>
      <c r="AQ41" s="13" t="n">
        <f aca="false">AQ38+AQ40</f>
        <v>40.8448092280966</v>
      </c>
      <c r="AR41" s="13" t="n">
        <f aca="false">AR38+AR40</f>
        <v>41.4164920404557</v>
      </c>
      <c r="AS41" s="13" t="n">
        <f aca="false">AS38+AS40</f>
        <v>41.1772953886096</v>
      </c>
      <c r="AT41" s="13" t="n">
        <f aca="false">AT38+AT40</f>
        <v>47.9491025634233</v>
      </c>
      <c r="AU41" s="13" t="n">
        <f aca="false">AU38+AU40</f>
        <v>43.5364407468505</v>
      </c>
      <c r="AV41" s="13" t="n">
        <f aca="false">AV38+AV40</f>
        <v>43.5943393821039</v>
      </c>
      <c r="AW41" s="13" t="n">
        <f aca="false">AW38+AW40</f>
        <v>43.1607252592778</v>
      </c>
      <c r="AX41" s="13" t="n">
        <f aca="false">AX38+AX40</f>
        <v>43.8278481449981</v>
      </c>
      <c r="AY41" s="13" t="n">
        <f aca="false">AY38+AY40</f>
        <v>43.3900223859442</v>
      </c>
      <c r="AZ41" s="13" t="n">
        <f aca="false">AZ38+AZ40</f>
        <v>43.9818721752957</v>
      </c>
      <c r="BA41" s="13" t="n">
        <f aca="false">BA38+BA40</f>
        <v>43.2104886195516</v>
      </c>
      <c r="BB41" s="13" t="n">
        <f aca="false">BB38+BB40</f>
        <v>44.4733228718661</v>
      </c>
      <c r="BC41" s="13" t="n">
        <f aca="false">BC38+BC40</f>
        <v>41.0800588038954</v>
      </c>
      <c r="BD41" s="13" t="n">
        <f aca="false">BD38+BD40</f>
        <v>34.9139216851454</v>
      </c>
      <c r="BE41" s="13" t="n">
        <f aca="false">BE38+BE40</f>
        <v>34.466085148609</v>
      </c>
      <c r="BF41" s="13" t="n">
        <f aca="false">BF38+BF40</f>
        <v>35.1455995576385</v>
      </c>
      <c r="BG41" s="13" t="n">
        <f aca="false">BG38+BG40</f>
        <v>34.6814212129413</v>
      </c>
      <c r="BH41" s="13" t="n">
        <f aca="false">BH38+BH40</f>
        <v>35.277781357672</v>
      </c>
      <c r="BI41" s="13" t="n">
        <f aca="false">BI38+BI40</f>
        <v>35.0295660909891</v>
      </c>
      <c r="BJ41" s="13" t="n">
        <f aca="false">BJ38+BJ40</f>
        <v>43.081004573616</v>
      </c>
      <c r="BK41" s="13" t="n">
        <f aca="false">BK38+BK40</f>
        <v>37.8419562214593</v>
      </c>
      <c r="BL41" s="13" t="n">
        <f aca="false">BL38+BL40</f>
        <v>38.4974983256152</v>
      </c>
      <c r="BM41" s="13" t="n">
        <f aca="false">BM38+BM40</f>
        <v>54.0949671040943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9.61725003605062</v>
      </c>
      <c r="P43" s="13" t="n">
        <f aca="false">IF(Time!P20&lt;Time!$F$12,0,O43+Financials!P14-P41)</f>
        <v>16.5128666105439</v>
      </c>
      <c r="Q43" s="13" t="n">
        <f aca="false">IF(Time!Q20&lt;Time!$F$12,0,P43+Financials!Q14-Q41)</f>
        <v>24.7554521915761</v>
      </c>
      <c r="R43" s="13" t="n">
        <f aca="false">IF(Time!R20&lt;Time!$F$12,0,Q43+Financials!R14-R41)</f>
        <v>33.4551296622995</v>
      </c>
      <c r="S43" s="13" t="n">
        <f aca="false">IF(Time!S20&lt;Time!$F$12,0,R43+Financials!S14-S41)</f>
        <v>43.3523978079303</v>
      </c>
      <c r="T43" s="13" t="n">
        <f aca="false">IF(Time!T20&lt;Time!$F$12,0,S43+Financials!T14-T41)</f>
        <v>53.6928814695909</v>
      </c>
      <c r="U43" s="13" t="n">
        <f aca="false">IF(Time!U20&lt;Time!$F$12,0,T43+Financials!U14-U41)</f>
        <v>65.2597736196821</v>
      </c>
      <c r="V43" s="13" t="n">
        <f aca="false">IF(Time!V20&lt;Time!$F$12,0,U43+Financials!V14-V41)</f>
        <v>75.1593076856751</v>
      </c>
      <c r="W43" s="13" t="n">
        <f aca="false">IF(Time!W20&lt;Time!$F$12,0,V43+Financials!W14-W41)</f>
        <v>88.8207353791436</v>
      </c>
      <c r="X43" s="13" t="n">
        <f aca="false">IF(Time!X20&lt;Time!$F$12,0,W43+Financials!X14-X41)</f>
        <v>103.081876946473</v>
      </c>
      <c r="Y43" s="13" t="n">
        <f aca="false">IF(Time!Y20&lt;Time!$F$12,0,X43+Financials!Y14-Y41)</f>
        <v>115.395761366708</v>
      </c>
      <c r="Z43" s="13" t="n">
        <f aca="false">IF(Time!Z20&lt;Time!$F$12,0,Y43+Financials!Z14-Z41)</f>
        <v>122.644345319587</v>
      </c>
      <c r="AA43" s="13" t="n">
        <f aca="false">IF(Time!AA20&lt;Time!$F$12,0,Z43+Financials!AA14-AA41)</f>
        <v>130.841104562493</v>
      </c>
      <c r="AB43" s="13" t="n">
        <f aca="false">IF(Time!AB20&lt;Time!$F$12,0,AA43+Financials!AB14-AB41)</f>
        <v>139.566681596643</v>
      </c>
      <c r="AC43" s="13" t="n">
        <f aca="false">IF(Time!AC20&lt;Time!$F$12,0,AB43+Financials!AC14-AC41)</f>
        <v>149.351738553694</v>
      </c>
      <c r="AD43" s="13" t="n">
        <f aca="false">IF(Time!AD20&lt;Time!$F$12,0,AC43+Financials!AD14-AD41)</f>
        <v>150.966933312006</v>
      </c>
      <c r="AE43" s="13" t="n">
        <f aca="false">IF(Time!AE20&lt;Time!$F$12,0,AD43+Financials!AE14-AE41)</f>
        <v>162.780410622189</v>
      </c>
      <c r="AF43" s="13" t="n">
        <f aca="false">IF(Time!AF20&lt;Time!$F$12,0,AE43+Financials!AF14-AF41)</f>
        <v>175.112027215943</v>
      </c>
      <c r="AG43" s="13" t="n">
        <f aca="false">IF(Time!AG20&lt;Time!$F$12,0,AF43+Financials!AG14-AG41)</f>
        <v>188.51551560144</v>
      </c>
      <c r="AH43" s="13" t="n">
        <f aca="false">IF(Time!AH20&lt;Time!$F$12,0,AG43+Financials!AH14-AH41)</f>
        <v>202.901989633295</v>
      </c>
      <c r="AI43" s="13" t="n">
        <f aca="false">IF(Time!AI20&lt;Time!$F$12,0,AH43+Financials!AI14-AI41)</f>
        <v>218.56404729501</v>
      </c>
      <c r="AJ43" s="13" t="n">
        <f aca="false">IF(Time!AJ20&lt;Time!$F$12,0,AI43+Financials!AJ14-AJ41)</f>
        <v>235.276685242247</v>
      </c>
      <c r="AK43" s="13" t="n">
        <f aca="false">IF(Time!AK20&lt;Time!$F$12,0,AJ43+Financials!AK14-AK41)</f>
        <v>253.405978113583</v>
      </c>
      <c r="AL43" s="13" t="n">
        <f aca="false">IF(Time!AL20&lt;Time!$F$12,0,AK43+Financials!AL14-AL41)</f>
        <v>270.831202547982</v>
      </c>
      <c r="AM43" s="13" t="n">
        <f aca="false">IF(Time!AM20&lt;Time!$F$12,0,AL43+Financials!AM14-AM41)</f>
        <v>291.627777618625</v>
      </c>
      <c r="AN43" s="13" t="n">
        <f aca="false">IF(Time!AN20&lt;Time!$F$12,0,AM43+Financials!AN14-AN41)</f>
        <v>314.065912996638</v>
      </c>
      <c r="AO43" s="13" t="n">
        <f aca="false">IF(Time!AO20&lt;Time!$F$12,0,AN43+Financials!AO14-AO41)</f>
        <v>337.78009168865</v>
      </c>
      <c r="AP43" s="13" t="n">
        <f aca="false">IF(Time!AP20&lt;Time!$F$12,0,AO43+Financials!AP14-AP41)</f>
        <v>328.338510111372</v>
      </c>
      <c r="AQ43" s="13" t="n">
        <f aca="false">IF(Time!AQ20&lt;Time!$F$12,0,AP43+Financials!AQ14-AQ41)</f>
        <v>313.263046907508</v>
      </c>
      <c r="AR43" s="13" t="n">
        <f aca="false">IF(Time!AR20&lt;Time!$F$12,0,AQ43+Financials!AR14-AR41)</f>
        <v>297.672530702442</v>
      </c>
      <c r="AS43" s="13" t="n">
        <f aca="false">IF(Time!AS20&lt;Time!$F$12,0,AR43+Financials!AS14-AS41)</f>
        <v>282.532834124861</v>
      </c>
      <c r="AT43" s="13" t="n">
        <f aca="false">IF(Time!AT20&lt;Time!$F$12,0,AS43+Financials!AT14-AT41)</f>
        <v>250.376801991456</v>
      </c>
      <c r="AU43" s="13" t="n">
        <f aca="false">IF(Time!AU20&lt;Time!$F$12,0,AT43+Financials!AU14-AU41)</f>
        <v>233.195490484395</v>
      </c>
      <c r="AV43" s="13" t="n">
        <f aca="false">IF(Time!AV20&lt;Time!$F$12,0,AU43+Financials!AV14-AV41)</f>
        <v>215.82084188326</v>
      </c>
      <c r="AW43" s="13" t="n">
        <f aca="false">IF(Time!AW20&lt;Time!$F$12,0,AV43+Financials!AW14-AW41)</f>
        <v>199.0014177916</v>
      </c>
      <c r="AX43" s="13" t="n">
        <f aca="false">IF(Time!AX20&lt;Time!$F$12,0,AW43+Financials!AX14-AX41)</f>
        <v>181.661003458173</v>
      </c>
      <c r="AY43" s="13" t="n">
        <f aca="false">IF(Time!AY20&lt;Time!$F$12,0,AX43+Financials!AY14-AY41)</f>
        <v>164.839627246505</v>
      </c>
      <c r="AZ43" s="13" t="n">
        <f aca="false">IF(Time!AZ20&lt;Time!$F$12,0,AY43+Financials!AZ14-AZ41)</f>
        <v>147.487653430004</v>
      </c>
      <c r="BA43" s="13" t="n">
        <f aca="false">IF(Time!BA20&lt;Time!$F$12,0,AZ43+Financials!BA14-BA41)</f>
        <v>131.090905254489</v>
      </c>
      <c r="BB43" s="13" t="n">
        <f aca="false">IF(Time!BB20&lt;Time!$F$12,0,BA43+Financials!BB14-BB41)</f>
        <v>111.223978161348</v>
      </c>
      <c r="BC43" s="13" t="n">
        <f aca="false">IF(Time!BC20&lt;Time!$F$12,0,BB43+Financials!BC14-BC41)</f>
        <v>97.2546320188409</v>
      </c>
      <c r="BD43" s="13" t="n">
        <f aca="false">IF(Time!BD20&lt;Time!$F$12,0,BC43+Financials!BD14-BD41)</f>
        <v>89.3980067875625</v>
      </c>
      <c r="BE43" s="13" t="n">
        <f aca="false">IF(Time!BE20&lt;Time!$F$12,0,BD43+Financials!BE14-BE41)</f>
        <v>82.12115480443</v>
      </c>
      <c r="BF43" s="13" t="n">
        <f aca="false">IF(Time!BF20&lt;Time!$F$12,0,BE43+Financials!BF14-BF41)</f>
        <v>74.3244659738013</v>
      </c>
      <c r="BG43" s="13" t="n">
        <f aca="false">IF(Time!BG20&lt;Time!$F$12,0,BF43+Financials!BG14-BG41)</f>
        <v>67.0794044058741</v>
      </c>
      <c r="BH43" s="13" t="n">
        <f aca="false">IF(Time!BH20&lt;Time!$F$12,0,BG43+Financials!BH14-BH41)</f>
        <v>59.304235793007</v>
      </c>
      <c r="BI43" s="13" t="n">
        <f aca="false">IF(Time!BI20&lt;Time!$F$12,0,BH43+Financials!BI14-BI41)</f>
        <v>52.0295952455613</v>
      </c>
      <c r="BJ43" s="13" t="n">
        <f aca="false">IF(Time!BJ20&lt;Time!$F$12,0,BI43+Financials!BJ14-BJ41)</f>
        <v>24.592896081014</v>
      </c>
      <c r="BK43" s="13" t="n">
        <f aca="false">IF(Time!BK20&lt;Time!$F$12,0,BJ43+Financials!BK14-BK41)</f>
        <v>14.8839579585177</v>
      </c>
      <c r="BL43" s="13" t="n">
        <f aca="false">IF(Time!BL20&lt;Time!$F$12,0,BK43+Financials!BL14-BL41)</f>
        <v>4.35306561823741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1381.09564897189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14.7176963844723</v>
      </c>
      <c r="Q44" s="13" t="n">
        <f aca="false">Q34+Q35+Q41</f>
        <v>12.0630526915915</v>
      </c>
      <c r="R44" s="13" t="n">
        <f aca="false">R34+R35+R41</f>
        <v>12.9825561982771</v>
      </c>
      <c r="S44" s="13" t="n">
        <f aca="false">S34+S35+S41</f>
        <v>12.1829516458029</v>
      </c>
      <c r="T44" s="13" t="n">
        <f aca="false">T34+T35+T41</f>
        <v>12.9026827010628</v>
      </c>
      <c r="U44" s="13" t="n">
        <f aca="false">U34+U35+U41</f>
        <v>11.9638416265651</v>
      </c>
      <c r="V44" s="13" t="n">
        <f aca="false">V34+V35+V41</f>
        <v>13.2260533419628</v>
      </c>
      <c r="W44" s="13" t="n">
        <f aca="false">W34+W35+W41</f>
        <v>13.9742744618988</v>
      </c>
      <c r="X44" s="13" t="n">
        <f aca="false">X34+X35+X41</f>
        <v>12.7968135944758</v>
      </c>
      <c r="Y44" s="13" t="n">
        <f aca="false">Y34+Y35+Y41</f>
        <v>12.022243190551</v>
      </c>
      <c r="Z44" s="13" t="n">
        <f aca="false">Z34+Z35+Z41</f>
        <v>12.731938660087</v>
      </c>
      <c r="AA44" s="13" t="n">
        <f aca="false">AA34+AA35+AA41</f>
        <v>5.9567541825079</v>
      </c>
      <c r="AB44" s="13" t="n">
        <f aca="false">AB34+AB35+AB41</f>
        <v>6.92882639578735</v>
      </c>
      <c r="AC44" s="13" t="n">
        <f aca="false">AC34+AC35+AC41</f>
        <v>6.60061692017251</v>
      </c>
      <c r="AD44" s="13" t="n">
        <f aca="false">AD34+AD35+AD41</f>
        <v>7.95397257843099</v>
      </c>
      <c r="AE44" s="13" t="n">
        <f aca="false">AE34+AE35+AE41</f>
        <v>8.55589220718567</v>
      </c>
      <c r="AF44" s="13" t="n">
        <f aca="false">AF34+AF35+AF41</f>
        <v>9.39219753379926</v>
      </c>
      <c r="AG44" s="13" t="n">
        <f aca="false">AG34+AG35+AG41</f>
        <v>9.79411553992618</v>
      </c>
      <c r="AH44" s="13" t="n">
        <f aca="false">AH34+AH35+AH41</f>
        <v>11.142006771365</v>
      </c>
      <c r="AI44" s="13" t="n">
        <f aca="false">AI34+AI35+AI41</f>
        <v>11.9841932157641</v>
      </c>
      <c r="AJ44" s="13" t="n">
        <f aca="false">AJ34+AJ35+AJ41</f>
        <v>13.8058613819075</v>
      </c>
      <c r="AK44" s="13" t="n">
        <f aca="false">AK34+AK35+AK41</f>
        <v>30.0116121872566</v>
      </c>
      <c r="AL44" s="13" t="n">
        <f aca="false">AL34+AL35+AL41</f>
        <v>29.6386207296436</v>
      </c>
      <c r="AM44" s="13" t="n">
        <f aca="false">AM34+AM35+AM41</f>
        <v>33.3519342850037</v>
      </c>
      <c r="AN44" s="13" t="n">
        <f aca="false">AN34+AN35+AN41</f>
        <v>26.9547977633922</v>
      </c>
      <c r="AO44" s="13" t="n">
        <f aca="false">AO34+AO35+AO41</f>
        <v>41.4251807086794</v>
      </c>
      <c r="AP44" s="13" t="n">
        <f aca="false">AP34+AP35+AP41</f>
        <v>41.3623431861756</v>
      </c>
      <c r="AQ44" s="13" t="n">
        <f aca="false">AQ34+AQ35+AQ41</f>
        <v>40.8448092280966</v>
      </c>
      <c r="AR44" s="13" t="n">
        <f aca="false">AR34+AR35+AR41</f>
        <v>41.4164920404557</v>
      </c>
      <c r="AS44" s="13" t="n">
        <f aca="false">AS34+AS35+AS41</f>
        <v>41.1772953886096</v>
      </c>
      <c r="AT44" s="13" t="n">
        <f aca="false">AT34+AT35+AT41</f>
        <v>47.9491025634233</v>
      </c>
      <c r="AU44" s="13" t="n">
        <f aca="false">AU34+AU35+AU41</f>
        <v>43.5364407468505</v>
      </c>
      <c r="AV44" s="13" t="n">
        <f aca="false">AV34+AV35+AV41</f>
        <v>43.5943393821039</v>
      </c>
      <c r="AW44" s="13" t="n">
        <f aca="false">AW34+AW35+AW41</f>
        <v>43.1607252592778</v>
      </c>
      <c r="AX44" s="13" t="n">
        <f aca="false">AX34+AX35+AX41</f>
        <v>43.8278481449981</v>
      </c>
      <c r="AY44" s="13" t="n">
        <f aca="false">AY34+AY35+AY41</f>
        <v>43.3900223859442</v>
      </c>
      <c r="AZ44" s="13" t="n">
        <f aca="false">AZ34+AZ35+AZ41</f>
        <v>43.9818721752957</v>
      </c>
      <c r="BA44" s="13" t="n">
        <f aca="false">BA34+BA35+BA41</f>
        <v>43.2104886195516</v>
      </c>
      <c r="BB44" s="13" t="n">
        <f aca="false">BB34+BB35+BB41</f>
        <v>44.4733228718661</v>
      </c>
      <c r="BC44" s="13" t="n">
        <f aca="false">BC34+BC35+BC41</f>
        <v>41.0800588038954</v>
      </c>
      <c r="BD44" s="13" t="n">
        <f aca="false">BD34+BD35+BD41</f>
        <v>34.9139216851454</v>
      </c>
      <c r="BE44" s="13" t="n">
        <f aca="false">BE34+BE35+BE41</f>
        <v>34.466085148609</v>
      </c>
      <c r="BF44" s="13" t="n">
        <f aca="false">BF34+BF35+BF41</f>
        <v>35.1455995576385</v>
      </c>
      <c r="BG44" s="13" t="n">
        <f aca="false">BG34+BG35+BG41</f>
        <v>34.6814212129413</v>
      </c>
      <c r="BH44" s="13" t="n">
        <f aca="false">BH34+BH35+BH41</f>
        <v>35.277781357672</v>
      </c>
      <c r="BI44" s="13" t="n">
        <f aca="false">BI34+BI35+BI41</f>
        <v>35.0295660909891</v>
      </c>
      <c r="BJ44" s="13" t="n">
        <f aca="false">BJ34+BJ35+BJ41</f>
        <v>43.081004573616</v>
      </c>
      <c r="BK44" s="13" t="n">
        <f aca="false">BK34+BK35+BK41</f>
        <v>37.8419562214593</v>
      </c>
      <c r="BL44" s="13" t="n">
        <f aca="false">BL34+BL35+BL41</f>
        <v>38.4974983256152</v>
      </c>
      <c r="BM44" s="13" t="n">
        <f aca="false">BM34+BM35+BM41</f>
        <v>54.0949671040943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513.167622299102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30.4315297659756</v>
      </c>
      <c r="R9" s="13" t="n">
        <f aca="false">Debt!R112+Debt!R110+Debt!R104-Debt!R103+Tax!R13</f>
        <v>30.1335448942833</v>
      </c>
      <c r="S9" s="13" t="n">
        <f aca="false">Debt!S112+Debt!S110+Debt!S104-Debt!S103+Tax!S13</f>
        <v>29.0223470924957</v>
      </c>
      <c r="T9" s="13" t="n">
        <f aca="false">Debt!T112+Debt!T110+Debt!T104-Debt!T103+Tax!T13</f>
        <v>28.6430710497876</v>
      </c>
      <c r="U9" s="13" t="n">
        <f aca="false">Debt!U112+Debt!U110+Debt!U104-Debt!U103+Tax!U13</f>
        <v>27.6029665611464</v>
      </c>
      <c r="V9" s="13" t="n">
        <f aca="false">Debt!V112+Debt!V110+Debt!V104-Debt!V103+Tax!V13</f>
        <v>27.0389359275209</v>
      </c>
      <c r="W9" s="13" t="n">
        <f aca="false">Debt!W112+Debt!W110+Debt!W104-Debt!W103+Tax!W13</f>
        <v>25.8093712247195</v>
      </c>
      <c r="X9" s="13" t="n">
        <f aca="false">Debt!X112+Debt!X110+Debt!X104-Debt!X103+Tax!X13</f>
        <v>25.1622628913582</v>
      </c>
      <c r="Y9" s="13" t="n">
        <f aca="false">Debt!Y112+Debt!Y110+Debt!Y104-Debt!Y103+Tax!Y13</f>
        <v>24.4501091657011</v>
      </c>
      <c r="Z9" s="13" t="n">
        <f aca="false">Debt!Z112+Debt!Z110+Debt!Z104-Debt!Z103+Tax!Z13</f>
        <v>23.8570942872609</v>
      </c>
      <c r="AA9" s="13" t="n">
        <f aca="false">Debt!AA112+Debt!AA110+Debt!AA104-Debt!AA103+Tax!AA13</f>
        <v>22.5932865921553</v>
      </c>
      <c r="AB9" s="13" t="n">
        <f aca="false">Debt!AB112+Debt!AB110+Debt!AB104-Debt!AB103+Tax!AB13</f>
        <v>21.9045749989658</v>
      </c>
      <c r="AC9" s="13" t="n">
        <f aca="false">Debt!AC112+Debt!AC110+Debt!AC104-Debt!AC103+Tax!AC13</f>
        <v>20.6431532922271</v>
      </c>
      <c r="AD9" s="13" t="n">
        <f aca="false">Debt!AD112+Debt!AD110+Debt!AD104-Debt!AD103+Tax!AD13</f>
        <v>19.7602115841922</v>
      </c>
      <c r="AE9" s="13" t="n">
        <f aca="false">Debt!AE112+Debt!AE110+Debt!AE104-Debt!AE103+Tax!AE13</f>
        <v>18.2882696760303</v>
      </c>
      <c r="AF9" s="13" t="n">
        <f aca="false">Debt!AF112+Debt!AF110+Debt!AF104-Debt!AF103+Tax!AF13</f>
        <v>17.2216101392611</v>
      </c>
      <c r="AG9" s="13" t="n">
        <f aca="false">Debt!AG112+Debt!AG110+Debt!AG104-Debt!AG103+Tax!AG13</f>
        <v>15.8358676158353</v>
      </c>
      <c r="AH9" s="13" t="n">
        <f aca="false">Debt!AH112+Debt!AH110+Debt!AH104-Debt!AH103+Tax!AH13</f>
        <v>14.6043922621544</v>
      </c>
      <c r="AI9" s="13" t="n">
        <f aca="false">Debt!AI112+Debt!AI110+Debt!AI104-Debt!AI103+Tax!AI13</f>
        <v>12.8797639930296</v>
      </c>
      <c r="AJ9" s="13" t="n">
        <f aca="false">Debt!AJ112+Debt!AJ110+Debt!AJ104-Debt!AJ103+Tax!AJ13</f>
        <v>11.4511043509205</v>
      </c>
      <c r="AK9" s="13" t="n">
        <f aca="false">Debt!AK112+Debt!AK110+Debt!AK104-Debt!AK103+Tax!AK13</f>
        <v>9.64661745707998</v>
      </c>
      <c r="AL9" s="13" t="n">
        <f aca="false">Debt!AL112+Debt!AL110+Debt!AL104-Debt!AL103+Tax!AL13</f>
        <v>7.99849635190044</v>
      </c>
      <c r="AM9" s="13" t="n">
        <f aca="false">Debt!AM112+Debt!AM110+Debt!AM104-Debt!AM103+Tax!AM13</f>
        <v>6.18920460431162</v>
      </c>
      <c r="AN9" s="13" t="n">
        <f aca="false">Debt!AN112+Debt!AN110+Debt!AN104-Debt!AN103+Tax!AN13</f>
        <v>4.29992689189082</v>
      </c>
      <c r="AO9" s="13" t="n">
        <f aca="false">Debt!AO112+Debt!AO110+Debt!AO104-Debt!AO103+Tax!AO13</f>
        <v>2.63715596797986</v>
      </c>
      <c r="AP9" s="13" t="n">
        <f aca="false">Debt!AP112+Debt!AP110+Debt!AP104-Debt!AP103+Tax!AP13</f>
        <v>0.293982468550065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-49.1922625626653</v>
      </c>
      <c r="Z12" s="13" t="n">
        <f aca="false">IF(Time!Z20&gt;=Time!$F$12,Inputs!$F$184/100*(Z11-Z10-Tax!Z21),0)</f>
        <v>-45.939578705089</v>
      </c>
      <c r="AA12" s="13" t="n">
        <f aca="false">IF(Time!AA20&gt;=Time!$F$12,Inputs!$F$184/100*(AA11-AA10-Tax!AA21),0)</f>
        <v>-42.279856674134</v>
      </c>
      <c r="AB12" s="13" t="n">
        <f aca="false">IF(Time!AB20&gt;=Time!$F$12,Inputs!$F$184/100*(AB11-AB10-Tax!AB21),0)</f>
        <v>-38.3927748562641</v>
      </c>
      <c r="AC12" s="13" t="n">
        <f aca="false">IF(Time!AC20&gt;=Time!$F$12,Inputs!$F$184/100*(AC11-AC10-Tax!AC21),0)</f>
        <v>-34.0511969027416</v>
      </c>
      <c r="AD12" s="13" t="n">
        <f aca="false">IF(Time!AD20&gt;=Time!$F$12,Inputs!$F$184/100*(AD11-AD10-Tax!AD21),0)</f>
        <v>-33.0471730399249</v>
      </c>
      <c r="AE12" s="13" t="n">
        <f aca="false">IF(Time!AE20&gt;=Time!$F$12,Inputs!$F$184/100*(AE11-AE10-Tax!AE21),0)</f>
        <v>-28.0007474815957</v>
      </c>
      <c r="AF12" s="13" t="n">
        <f aca="false">IF(Time!AF20&gt;=Time!$F$12,Inputs!$F$184/100*(AF11-AF10-Tax!AF21),0)</f>
        <v>-22.565560778093</v>
      </c>
      <c r="AG12" s="13" t="n">
        <f aca="false">IF(Time!AG20&gt;=Time!$F$12,Inputs!$F$184/100*(AG11-AG10-Tax!AG21),0)</f>
        <v>-16.6703581737698</v>
      </c>
      <c r="AH12" s="13" t="n">
        <f aca="false">IF(Time!AH20&gt;=Time!$F$12,Inputs!$F$184/100*(AH11-AH10-Tax!AH21),0)</f>
        <v>-10.3532681915863</v>
      </c>
      <c r="AI12" s="13" t="n">
        <f aca="false">IF(Time!AI20&gt;=Time!$F$12,Inputs!$F$184/100*(AI11-AI10-Tax!AI21),0)</f>
        <v>-3.48876167224169</v>
      </c>
      <c r="AJ12" s="13" t="n">
        <f aca="false">IF(Time!AJ20&gt;=Time!$F$12,Inputs!$F$184/100*(AJ11-AJ10-Tax!AJ21),0)</f>
        <v>3.82678157246211</v>
      </c>
      <c r="AK12" s="13" t="n">
        <f aca="false">IF(Time!AK20&gt;=Time!$F$12,Inputs!$F$184/100*(AK11-AK10-Tax!AK21),0)</f>
        <v>11.7500251738126</v>
      </c>
      <c r="AL12" s="13" t="n">
        <f aca="false">IF(Time!AL20&gt;=Time!$F$12,Inputs!$F$184/100*(AL11-AL10-Tax!AL21),0)</f>
        <v>19.3719405235351</v>
      </c>
      <c r="AM12" s="13" t="n">
        <f aca="false">IF(Time!AM20&gt;=Time!$F$12,Inputs!$F$184/100*(AM11-AM10-Tax!AM21),0)</f>
        <v>28.4395974060265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-2.33781563121762</v>
      </c>
      <c r="Z13" s="13" t="n">
        <f aca="false">Z12-Y12</f>
        <v>3.25268385757627</v>
      </c>
      <c r="AA13" s="13" t="n">
        <f aca="false">AA12-Z12</f>
        <v>3.65972203095507</v>
      </c>
      <c r="AB13" s="13" t="n">
        <f aca="false">AB12-AA12</f>
        <v>3.88708181786988</v>
      </c>
      <c r="AC13" s="13" t="n">
        <f aca="false">AC12-AB12</f>
        <v>4.34157795352249</v>
      </c>
      <c r="AD13" s="13" t="n">
        <f aca="false">AD12-AC12</f>
        <v>1.00402386281673</v>
      </c>
      <c r="AE13" s="13" t="n">
        <f aca="false">AE12-AD12</f>
        <v>5.04642555832917</v>
      </c>
      <c r="AF13" s="13" t="n">
        <f aca="false">AF12-AE12</f>
        <v>5.43518670350265</v>
      </c>
      <c r="AG13" s="13" t="n">
        <f aca="false">AG12-AF12</f>
        <v>5.89520260432324</v>
      </c>
      <c r="AH13" s="13" t="n">
        <f aca="false">AH12-AG12</f>
        <v>6.31708998218352</v>
      </c>
      <c r="AI13" s="13" t="n">
        <f aca="false">AI12-AH12</f>
        <v>6.86450651934459</v>
      </c>
      <c r="AJ13" s="13" t="n">
        <f aca="false">AJ12-AI12</f>
        <v>7.31554324470381</v>
      </c>
      <c r="AK13" s="13" t="n">
        <f aca="false">AK12-AJ12</f>
        <v>7.92324360135045</v>
      </c>
      <c r="AL13" s="13" t="n">
        <f aca="false">AL12-AK12</f>
        <v>7.6219153497225</v>
      </c>
      <c r="AM13" s="13" t="n">
        <f aca="false">AM12-AL12</f>
        <v>9.06765688249146</v>
      </c>
      <c r="AN13" s="13" t="n">
        <f aca="false">AN12-AM12</f>
        <v>4.52585275645637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935.235576144982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9.61725003605062</v>
      </c>
      <c r="P14" s="13" t="n">
        <f aca="false">Operations!P84-P8-P9-Tax!P27-P13</f>
        <v>6.89561657449331</v>
      </c>
      <c r="Q14" s="13" t="n">
        <f aca="false">Operations!Q84-Q8-Q9-Tax!Q27-Q13</f>
        <v>8.24258558103216</v>
      </c>
      <c r="R14" s="13" t="n">
        <f aca="false">Operations!R84-R8-R9-Tax!R27-R13</f>
        <v>8.69967747072343</v>
      </c>
      <c r="S14" s="13" t="n">
        <f aca="false">Operations!S84-S8-S9-Tax!S27-S13</f>
        <v>9.89726814563077</v>
      </c>
      <c r="T14" s="13" t="n">
        <f aca="false">Operations!T84-T8-T9-Tax!T27-T13</f>
        <v>10.3404836616606</v>
      </c>
      <c r="U14" s="13" t="n">
        <f aca="false">Operations!U84-U8-U9-Tax!U27-U13</f>
        <v>11.5668921500912</v>
      </c>
      <c r="V14" s="13" t="n">
        <f aca="false">Operations!V84-V8-V9-Tax!V27-V13</f>
        <v>9.89953406599294</v>
      </c>
      <c r="W14" s="13" t="n">
        <f aca="false">Operations!W84-W8-W9-Tax!W27-W13</f>
        <v>13.6614276934686</v>
      </c>
      <c r="X14" s="13" t="n">
        <f aca="false">Operations!X84-X8-X9-Tax!X27-X13</f>
        <v>14.2611415673291</v>
      </c>
      <c r="Y14" s="13" t="n">
        <f aca="false">Operations!Y84-Y8-Y9-Tax!Y27-Y13</f>
        <v>12.3138844202357</v>
      </c>
      <c r="Z14" s="13" t="n">
        <f aca="false">Operations!Z84-Z8-Z9-Tax!Z27-Z13</f>
        <v>7.24858395287864</v>
      </c>
      <c r="AA14" s="13" t="n">
        <f aca="false">Operations!AA84-AA8-AA9-Tax!AA27-AA13</f>
        <v>8.1967592429061</v>
      </c>
      <c r="AB14" s="13" t="n">
        <f aca="false">Operations!AB84-AB8-AB9-Tax!AB27-AB13</f>
        <v>8.72557703414982</v>
      </c>
      <c r="AC14" s="13" t="n">
        <f aca="false">Operations!AC84-AC8-AC9-Tax!AC27-AC13</f>
        <v>9.78505695705127</v>
      </c>
      <c r="AD14" s="13" t="n">
        <f aca="false">Operations!AD84-AD8-AD9-Tax!AD27-AD13</f>
        <v>1.61519475831154</v>
      </c>
      <c r="AE14" s="13" t="n">
        <f aca="false">Operations!AE84-AE8-AE9-Tax!AE27-AE13</f>
        <v>11.813477310183</v>
      </c>
      <c r="AF14" s="13" t="n">
        <f aca="false">Operations!AF84-AF8-AF9-Tax!AF27-AF13</f>
        <v>12.3316165937543</v>
      </c>
      <c r="AG14" s="13" t="n">
        <f aca="false">Operations!AG84-AG8-AG9-Tax!AG27-AG13</f>
        <v>13.4034883854969</v>
      </c>
      <c r="AH14" s="13" t="n">
        <f aca="false">Operations!AH84-AH8-AH9-Tax!AH27-AH13</f>
        <v>14.3864740318552</v>
      </c>
      <c r="AI14" s="13" t="n">
        <f aca="false">Operations!AI84-AI8-AI9-Tax!AI27-AI13</f>
        <v>15.662057661715</v>
      </c>
      <c r="AJ14" s="13" t="n">
        <f aca="false">Operations!AJ84-AJ8-AJ9-Tax!AJ27-AJ13</f>
        <v>16.7126379472364</v>
      </c>
      <c r="AK14" s="13" t="n">
        <f aca="false">Operations!AK84-AK8-AK9-Tax!AK27-AK13</f>
        <v>18.129292871336</v>
      </c>
      <c r="AL14" s="13" t="n">
        <f aca="false">Operations!AL84-AL8-AL9-Tax!AL27-AL13</f>
        <v>17.4252244343995</v>
      </c>
      <c r="AM14" s="13" t="n">
        <f aca="false">Operations!AM84-AM8-AM9-Tax!AM27-AM13</f>
        <v>20.7965750706431</v>
      </c>
      <c r="AN14" s="13" t="n">
        <f aca="false">Operations!AN84-AN8-AN9-Tax!AN27-AN13</f>
        <v>22.4381353780126</v>
      </c>
      <c r="AO14" s="13" t="n">
        <f aca="false">Operations!AO84-AO8-AO9-Tax!AO27-AO13</f>
        <v>23.7141786920125</v>
      </c>
      <c r="AP14" s="13" t="n">
        <f aca="false">Operations!AP84-AP8-AP9-Tax!AP27-AP13</f>
        <v>25.4881291963674</v>
      </c>
      <c r="AQ14" s="13" t="n">
        <f aca="false">Operations!AQ84-AQ8-AQ9-Tax!AQ27-AQ13</f>
        <v>25.7693460242322</v>
      </c>
      <c r="AR14" s="13" t="n">
        <f aca="false">Operations!AR84-AR8-AR9-Tax!AR27-AR13</f>
        <v>25.8259758353899</v>
      </c>
      <c r="AS14" s="13" t="n">
        <f aca="false">Operations!AS84-AS8-AS9-Tax!AS27-AS13</f>
        <v>26.0375988110284</v>
      </c>
      <c r="AT14" s="13" t="n">
        <f aca="false">Operations!AT84-AT8-AT9-Tax!AT27-AT13</f>
        <v>15.7930704300187</v>
      </c>
      <c r="AU14" s="13" t="n">
        <f aca="false">Operations!AU84-AU8-AU9-Tax!AU27-AU13</f>
        <v>26.3551292397892</v>
      </c>
      <c r="AV14" s="13" t="n">
        <f aca="false">Operations!AV84-AV8-AV9-Tax!AV27-AV13</f>
        <v>26.2196907809687</v>
      </c>
      <c r="AW14" s="13" t="n">
        <f aca="false">Operations!AW84-AW8-AW9-Tax!AW27-AW13</f>
        <v>26.3413011676181</v>
      </c>
      <c r="AX14" s="13" t="n">
        <f aca="false">Operations!AX84-AX8-AX9-Tax!AX27-AX13</f>
        <v>26.4874338115704</v>
      </c>
      <c r="AY14" s="13" t="n">
        <f aca="false">Operations!AY84-AY8-AY9-Tax!AY27-AY13</f>
        <v>26.5686461742763</v>
      </c>
      <c r="AZ14" s="13" t="n">
        <f aca="false">Operations!AZ84-AZ8-AZ9-Tax!AZ27-AZ13</f>
        <v>26.6298983587945</v>
      </c>
      <c r="BA14" s="13" t="n">
        <f aca="false">Operations!BA84-BA8-BA9-Tax!BA27-BA13</f>
        <v>26.8137404440374</v>
      </c>
      <c r="BB14" s="13" t="n">
        <f aca="false">Operations!BB84-BB8-BB9-Tax!BB27-BB13</f>
        <v>24.6063957787247</v>
      </c>
      <c r="BC14" s="13" t="n">
        <f aca="false">Operations!BC84-BC8-BC9-Tax!BC27-BC13</f>
        <v>27.1107126613884</v>
      </c>
      <c r="BD14" s="13" t="n">
        <f aca="false">Operations!BD84-BD8-BD9-Tax!BD27-BD13</f>
        <v>27.057296453867</v>
      </c>
      <c r="BE14" s="13" t="n">
        <f aca="false">Operations!BE84-BE8-BE9-Tax!BE27-BE13</f>
        <v>27.1892331654765</v>
      </c>
      <c r="BF14" s="13" t="n">
        <f aca="false">Operations!BF84-BF8-BF9-Tax!BF27-BF13</f>
        <v>27.3489107270098</v>
      </c>
      <c r="BG14" s="13" t="n">
        <f aca="false">Operations!BG84-BG8-BG9-Tax!BG27-BG13</f>
        <v>27.4363596450141</v>
      </c>
      <c r="BH14" s="13" t="n">
        <f aca="false">Operations!BH84-BH8-BH9-Tax!BH27-BH13</f>
        <v>27.502612744805</v>
      </c>
      <c r="BI14" s="13" t="n">
        <f aca="false">Operations!BI84-BI8-BI9-Tax!BI27-BI13</f>
        <v>27.7549255435433</v>
      </c>
      <c r="BJ14" s="13" t="n">
        <f aca="false">Operations!BJ84-BJ8-BJ9-Tax!BJ27-BJ13</f>
        <v>15.6443054090687</v>
      </c>
      <c r="BK14" s="13" t="n">
        <f aca="false">Operations!BK84-BK8-BK9-Tax!BK27-BK13</f>
        <v>28.1330180989631</v>
      </c>
      <c r="BL14" s="13" t="n">
        <f aca="false">Operations!BL84-BL8-BL9-Tax!BL27-BL13</f>
        <v>27.9666059853349</v>
      </c>
      <c r="BM14" s="13" t="n">
        <f aca="false">Operations!BM84-BM8-BM9-Tax!BM27-BM13</f>
        <v>5.37514796904548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39.3245786775279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46.1020849826567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48.6942324775255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36.1514082467325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35.2645042789905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34.3345309052453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33.8855706661054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32.5824529050512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31.4301862739905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29.3667122357796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27.0461443623599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35.4687689758509</v>
      </c>
      <c r="P18" s="13" t="n">
        <f aca="false">Operations!P88+Operations!P89</f>
        <v>35.4437724699592</v>
      </c>
      <c r="Q18" s="13" t="n">
        <f aca="false">Operations!Q88+Operations!Q89</f>
        <v>36.1488004205727</v>
      </c>
      <c r="R18" s="13" t="n">
        <f aca="false">Operations!R88+Operations!R89</f>
        <v>35.9299082084512</v>
      </c>
      <c r="S18" s="13" t="n">
        <f aca="false">Operations!S88+Operations!S89</f>
        <v>36.6561788163279</v>
      </c>
      <c r="T18" s="13" t="n">
        <f aca="false">Operations!T88+Operations!T89</f>
        <v>36.457962501752</v>
      </c>
      <c r="U18" s="13" t="n">
        <f aca="false">Operations!U88+Operations!U89</f>
        <v>37.0769183438321</v>
      </c>
      <c r="V18" s="13" t="n">
        <f aca="false">Operations!V88+Operations!V89</f>
        <v>36.9214355152677</v>
      </c>
      <c r="W18" s="13" t="n">
        <f aca="false">Operations!W88+Operations!W89</f>
        <v>37.6835267198191</v>
      </c>
      <c r="X18" s="13" t="n">
        <f aca="false">Operations!X88+Operations!X89</f>
        <v>37.5128717091824</v>
      </c>
      <c r="Y18" s="13" t="n">
        <f aca="false">Operations!Y88+Operations!Y89</f>
        <v>38.2621777797961</v>
      </c>
      <c r="Z18" s="13" t="n">
        <f aca="false">Operations!Z88+Operations!Z89</f>
        <v>38.0389890682628</v>
      </c>
      <c r="AA18" s="13" t="n">
        <f aca="false">Operations!AA88+Operations!AA89</f>
        <v>38.8111827426036</v>
      </c>
      <c r="AB18" s="13" t="n">
        <f aca="false">Operations!AB88+Operations!AB89</f>
        <v>38.6101493363115</v>
      </c>
      <c r="AC18" s="13" t="n">
        <f aca="false">Operations!AC88+Operations!AC89</f>
        <v>39.2583415119805</v>
      </c>
      <c r="AD18" s="13" t="n">
        <f aca="false">Operations!AD88+Operations!AD89</f>
        <v>38.8496495232118</v>
      </c>
      <c r="AE18" s="13" t="n">
        <f aca="false">Operations!AE88+Operations!AE89</f>
        <v>39.8973914853361</v>
      </c>
      <c r="AF18" s="13" t="n">
        <f aca="false">Operations!AF88+Operations!AF89</f>
        <v>39.7515119189958</v>
      </c>
      <c r="AG18" s="13" t="n">
        <f aca="false">Operations!AG88+Operations!AG89</f>
        <v>40.5487592902786</v>
      </c>
      <c r="AH18" s="13" t="n">
        <f aca="false">Operations!AH88+Operations!AH89</f>
        <v>40.3209274167583</v>
      </c>
      <c r="AI18" s="13" t="n">
        <f aca="false">Operations!AI88+Operations!AI89</f>
        <v>41.1428364919106</v>
      </c>
      <c r="AJ18" s="13" t="n">
        <f aca="false">Operations!AJ88+Operations!AJ89</f>
        <v>40.9387460474907</v>
      </c>
      <c r="AK18" s="13" t="n">
        <f aca="false">Operations!AK88+Operations!AK89</f>
        <v>41.6446745791122</v>
      </c>
      <c r="AL18" s="13" t="n">
        <f aca="false">Operations!AL88+Operations!AL89</f>
        <v>41.4825765099542</v>
      </c>
      <c r="AM18" s="13" t="n">
        <f aca="false">Operations!AM88+Operations!AM89</f>
        <v>42.3461700197543</v>
      </c>
      <c r="AN18" s="13" t="n">
        <f aca="false">Operations!AN88+Operations!AN89</f>
        <v>42.1737112430632</v>
      </c>
      <c r="AO18" s="13" t="n">
        <f aca="false">Operations!AO88+Operations!AO89</f>
        <v>43.0228687731724</v>
      </c>
      <c r="AP18" s="13" t="n">
        <f aca="false">Operations!AP88+Operations!AP89</f>
        <v>42.7900184647095</v>
      </c>
      <c r="AQ18" s="13" t="n">
        <f aca="false">Operations!AQ88+Operations!AQ89</f>
        <v>43.665751227815</v>
      </c>
      <c r="AR18" s="13" t="n">
        <f aca="false">Operations!AR88+Operations!AR89</f>
        <v>43.4583429533387</v>
      </c>
      <c r="AS18" s="13" t="n">
        <f aca="false">Operations!AS88+Operations!AS89</f>
        <v>44.198830766949</v>
      </c>
      <c r="AT18" s="13" t="n">
        <f aca="false">Operations!AT88+Operations!AT89</f>
        <v>43.7637809115973</v>
      </c>
      <c r="AU18" s="13" t="n">
        <f aca="false">Operations!AU88+Operations!AU89</f>
        <v>44.9387233666</v>
      </c>
      <c r="AV18" s="13" t="n">
        <f aca="false">Operations!AV88+Operations!AV89</f>
        <v>44.7946556713044</v>
      </c>
      <c r="AW18" s="13" t="n">
        <f aca="false">Operations!AW88+Operations!AW89</f>
        <v>45.7000235909393</v>
      </c>
      <c r="AX18" s="13" t="n">
        <f aca="false">Operations!AX88+Operations!AX89</f>
        <v>45.4617485531097</v>
      </c>
      <c r="AY18" s="13" t="n">
        <f aca="false">Operations!AY88+Operations!AY89</f>
        <v>46.3957557665417</v>
      </c>
      <c r="AZ18" s="13" t="n">
        <f aca="false">Operations!AZ88+Operations!AZ89</f>
        <v>46.1847461830975</v>
      </c>
      <c r="BA18" s="13" t="n">
        <f aca="false">Operations!BA88+Operations!BA89</f>
        <v>46.9926295454241</v>
      </c>
      <c r="BB18" s="13" t="n">
        <f aca="false">Operations!BB88+Operations!BB89</f>
        <v>46.8229696284836</v>
      </c>
      <c r="BC18" s="13" t="n">
        <f aca="false">Operations!BC88+Operations!BC89</f>
        <v>47.8054987350866</v>
      </c>
      <c r="BD18" s="13" t="n">
        <f aca="false">Operations!BD88+Operations!BD89</f>
        <v>47.6307969499177</v>
      </c>
      <c r="BE18" s="13" t="n">
        <f aca="false">Operations!BE88+Operations!BE89</f>
        <v>48.5970347308157</v>
      </c>
      <c r="BF18" s="13" t="n">
        <f aca="false">Operations!BF88+Operations!BF89</f>
        <v>48.3528950297095</v>
      </c>
      <c r="BG18" s="13" t="n">
        <f aca="false">Operations!BG88+Operations!BG89</f>
        <v>49.3499986942755</v>
      </c>
      <c r="BH18" s="13" t="n">
        <f aca="false">Operations!BH88+Operations!BH89</f>
        <v>49.1350796296284</v>
      </c>
      <c r="BI18" s="13" t="n">
        <f aca="false">Operations!BI88+Operations!BI89</f>
        <v>49.9838124526983</v>
      </c>
      <c r="BJ18" s="13" t="n">
        <f aca="false">Operations!BJ88+Operations!BJ89</f>
        <v>49.5178702202822</v>
      </c>
      <c r="BK18" s="13" t="n">
        <f aca="false">Operations!BK88+Operations!BK89</f>
        <v>50.8421242468505</v>
      </c>
      <c r="BL18" s="13" t="n">
        <f aca="false">Operations!BL88+Operations!BL89</f>
        <v>50.6999587438405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49.1922625626653</v>
      </c>
      <c r="Z20" s="13" t="n">
        <f aca="false">MAX(0,-Z12)</f>
        <v>45.939578705089</v>
      </c>
      <c r="AA20" s="13" t="n">
        <f aca="false">MAX(0,-AA12)</f>
        <v>42.279856674134</v>
      </c>
      <c r="AB20" s="13" t="n">
        <f aca="false">MAX(0,-AB12)</f>
        <v>38.3927748562641</v>
      </c>
      <c r="AC20" s="13" t="n">
        <f aca="false">MAX(0,-AC12)</f>
        <v>34.0511969027416</v>
      </c>
      <c r="AD20" s="13" t="n">
        <f aca="false">MAX(0,-AD12)</f>
        <v>33.0471730399249</v>
      </c>
      <c r="AE20" s="13" t="n">
        <f aca="false">MAX(0,-AE12)</f>
        <v>28.0007474815957</v>
      </c>
      <c r="AF20" s="13" t="n">
        <f aca="false">MAX(0,-AF12)</f>
        <v>22.565560778093</v>
      </c>
      <c r="AG20" s="13" t="n">
        <f aca="false">MAX(0,-AG12)</f>
        <v>16.6703581737698</v>
      </c>
      <c r="AH20" s="13" t="n">
        <f aca="false">MAX(0,-AH12)</f>
        <v>10.3532681915863</v>
      </c>
      <c r="AI20" s="13" t="n">
        <f aca="false">MAX(0,-AI12)</f>
        <v>3.48876167224169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912.925362756372</v>
      </c>
      <c r="P21" s="13" t="n">
        <f aca="false">P16+P17+P18+P19+P20</f>
        <v>899.435460597691</v>
      </c>
      <c r="Q21" s="13" t="n">
        <f aca="false">Q16+Q17+Q18+Q19+Q20</f>
        <v>889.31091375043</v>
      </c>
      <c r="R21" s="13" t="n">
        <f aca="false">R16+R17+R18+R19+R20</f>
        <v>877.50320551278</v>
      </c>
      <c r="S21" s="13" t="n">
        <f aca="false">S16+S17+S18+S19+S20</f>
        <v>867.350037979441</v>
      </c>
      <c r="T21" s="13" t="n">
        <f aca="false">T16+T17+T18+T19+T20</f>
        <v>855.673953207563</v>
      </c>
      <c r="U21" s="13" t="n">
        <f aca="false">U16+U17+U18+U19+U20</f>
        <v>845.712793099542</v>
      </c>
      <c r="V21" s="13" t="n">
        <f aca="false">V16+V17+V18+V19+V20</f>
        <v>831.081395914097</v>
      </c>
      <c r="W21" s="13" t="n">
        <f aca="false">W16+W17+W18+W19+W20</f>
        <v>819.033443034506</v>
      </c>
      <c r="X21" s="13" t="n">
        <f aca="false">X16+X17+X18+X19+X20</f>
        <v>808.765515804597</v>
      </c>
      <c r="Y21" s="13" t="n">
        <f aca="false">Y16+Y17+Y18+Y19+Y20</f>
        <v>797.392620067085</v>
      </c>
      <c r="Z21" s="13" t="n">
        <f aca="false">Z16+Z17+Z18+Z19+Z20</f>
        <v>778.858683241004</v>
      </c>
      <c r="AA21" s="13" t="n">
        <f aca="false">AA16+AA17+AA18+AA19+AA20</f>
        <v>761.640627658199</v>
      </c>
      <c r="AB21" s="13" t="n">
        <f aca="false">AB16+AB17+AB18+AB19+AB20</f>
        <v>742.025147563238</v>
      </c>
      <c r="AC21" s="13" t="n">
        <f aca="false">AC16+AC17+AC18+AC19+AC20</f>
        <v>724.190178233308</v>
      </c>
      <c r="AD21" s="13" t="n">
        <f aca="false">AD16+AD17+AD18+AD19+AD20</f>
        <v>693.500907103984</v>
      </c>
      <c r="AE21" s="13" t="n">
        <f aca="false">AE16+AE17+AE18+AE19+AE20</f>
        <v>671.881588493091</v>
      </c>
      <c r="AF21" s="13" t="n">
        <f aca="false">AF16+AF17+AF18+AF19+AF20</f>
        <v>648.636817802558</v>
      </c>
      <c r="AG21" s="13" t="n">
        <f aca="false">AG16+AG17+AG18+AG19+AG20</f>
        <v>626.356171283432</v>
      </c>
      <c r="AH21" s="13" t="n">
        <f aca="false">AH16+AH17+AH18+AH19+AH20</f>
        <v>601.774400619728</v>
      </c>
      <c r="AI21" s="13" t="n">
        <f aca="false">AI16+AI17+AI18+AI19+AI20</f>
        <v>577.845805497529</v>
      </c>
      <c r="AJ21" s="13" t="n">
        <f aca="false">AJ16+AJ17+AJ18+AJ19+AJ20</f>
        <v>555.355748295711</v>
      </c>
      <c r="AK21" s="13" t="n">
        <f aca="false">AK16+AK17+AK18+AK19+AK20</f>
        <v>537.007377906968</v>
      </c>
      <c r="AL21" s="13" t="n">
        <f aca="false">AL16+AL17+AL18+AL19+AL20</f>
        <v>516.634696281782</v>
      </c>
      <c r="AM21" s="13" t="n">
        <f aca="false">AM16+AM17+AM18+AM19+AM20</f>
        <v>496.327284146223</v>
      </c>
      <c r="AN21" s="13" t="n">
        <f aca="false">AN16+AN17+AN18+AN19+AN20</f>
        <v>481.542873900817</v>
      </c>
      <c r="AO21" s="13" t="n">
        <f aca="false">AO16+AO17+AO18+AO19+AO20</f>
        <v>449.100281721859</v>
      </c>
      <c r="AP21" s="13" t="n">
        <f aca="false">AP16+AP17+AP18+AP19+AP20</f>
        <v>434.481589451938</v>
      </c>
      <c r="AQ21" s="13" t="n">
        <f aca="false">AQ16+AQ17+AQ18+AQ19+AQ20</f>
        <v>420.971480253584</v>
      </c>
      <c r="AR21" s="13" t="n">
        <f aca="false">AR16+AR17+AR18+AR19+AR20</f>
        <v>406.378230017649</v>
      </c>
      <c r="AS21" s="13" t="n">
        <f aca="false">AS16+AS17+AS18+AS19+AS20</f>
        <v>392.732875869801</v>
      </c>
      <c r="AT21" s="13" t="n">
        <f aca="false">AT16+AT17+AT18+AT19+AT20</f>
        <v>361.476760454582</v>
      </c>
      <c r="AU21" s="13" t="n">
        <f aca="false">AU16+AU17+AU18+AU19+AU20</f>
        <v>345.917971862639</v>
      </c>
      <c r="AV21" s="13" t="n">
        <f aca="false">AV16+AV17+AV18+AV19+AV20</f>
        <v>329.629814121321</v>
      </c>
      <c r="AW21" s="13" t="n">
        <f aca="false">AW16+AW17+AW18+AW19+AW20</f>
        <v>314.391091994934</v>
      </c>
      <c r="AX21" s="13" t="n">
        <f aca="false">AX16+AX17+AX18+AX19+AX20</f>
        <v>298.008726911082</v>
      </c>
      <c r="AY21" s="13" t="n">
        <f aca="false">AY16+AY17+AY18+AY19+AY20</f>
        <v>282.798644078492</v>
      </c>
      <c r="AZ21" s="13" t="n">
        <f aca="false">AZ16+AZ17+AZ18+AZ19+AZ20</f>
        <v>266.443544449025</v>
      </c>
      <c r="BA21" s="13" t="n">
        <f aca="false">BA16+BA17+BA18+BA19+BA20</f>
        <v>251.602306151938</v>
      </c>
      <c r="BB21" s="13" t="n">
        <f aca="false">BB16+BB17+BB18+BB19+BB20</f>
        <v>232.662219437157</v>
      </c>
      <c r="BC21" s="13" t="n">
        <f aca="false">BC16+BC17+BC18+BC19+BC20</f>
        <v>218.428590570156</v>
      </c>
      <c r="BD21" s="13" t="n">
        <f aca="false">BD16+BD17+BD18+BD19+BD20</f>
        <v>205.848708659401</v>
      </c>
      <c r="BE21" s="13" t="n">
        <f aca="false">BE16+BE17+BE18+BE19+BE20</f>
        <v>194.426550435422</v>
      </c>
      <c r="BF21" s="13" t="n">
        <f aca="false">BF16+BF17+BF18+BF19+BF20</f>
        <v>181.810982471056</v>
      </c>
      <c r="BG21" s="13" t="n">
        <f aca="false">BG16+BG17+BG18+BG19+BG20</f>
        <v>170.453811243726</v>
      </c>
      <c r="BH21" s="13" t="n">
        <f aca="false">BH16+BH17+BH18+BH19+BH20</f>
        <v>157.901958319115</v>
      </c>
      <c r="BI21" s="13" t="n">
        <f aca="false">BI16+BI17+BI18+BI19+BI20</f>
        <v>146.431288027755</v>
      </c>
      <c r="BJ21" s="13" t="n">
        <f aca="false">BJ16+BJ17+BJ18+BJ19+BJ20</f>
        <v>114.103037687753</v>
      </c>
      <c r="BK21" s="13" t="n">
        <f aca="false">BK16+BK17+BK18+BK19+BK20</f>
        <v>100.34915219535</v>
      </c>
      <c r="BL21" s="13" t="n">
        <f aca="false">BL16+BL17+BL18+BL19+BL20</f>
        <v>85.1469596037652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400.821703732499</v>
      </c>
      <c r="AB22" s="13" t="n">
        <f aca="false">IF(Time!AB20&lt;Time!$F$12,SUMIFS(Funding!$J$73:$BJ$73,Construction!$J$12:$BJ$12,"&lt;="&amp;Time!AB20),Debt!AB116)</f>
        <v>371.648049380458</v>
      </c>
      <c r="AC22" s="13" t="n">
        <f aca="false">IF(Time!AC20&lt;Time!$F$12,SUMIFS(Funding!$J$73:$BJ$73,Construction!$J$12:$BJ$12,"&lt;="&amp;Time!AC20),Debt!AC116)</f>
        <v>342.486286777223</v>
      </c>
      <c r="AD22" s="13" t="n">
        <f aca="false">IF(Time!AD20&lt;Time!$F$12,SUMIFS(Funding!$J$73:$BJ$73,Construction!$J$12:$BJ$12,"&lt;="&amp;Time!AD20),Debt!AD116)</f>
        <v>310.362996202184</v>
      </c>
      <c r="AE22" s="13" t="n">
        <f aca="false">IF(Time!AE20&lt;Time!$F$12,SUMIFS(Funding!$J$73:$BJ$73,Construction!$J$12:$BJ$12,"&lt;="&amp;Time!AE20),Debt!AE116)</f>
        <v>277.22886594504</v>
      </c>
      <c r="AF22" s="13" t="n">
        <f aca="false">IF(Time!AF20&lt;Time!$F$12,SUMIFS(Funding!$J$73:$BJ$73,Construction!$J$12:$BJ$12,"&lt;="&amp;Time!AF20),Debt!AF116)</f>
        <v>243.157825199965</v>
      </c>
      <c r="AG22" s="13" t="n">
        <f aca="false">IF(Time!AG20&lt;Time!$F$12,SUMIFS(Funding!$J$73:$BJ$73,Construction!$J$12:$BJ$12,"&lt;="&amp;Time!AG20),Debt!AG116)</f>
        <v>209.159201538114</v>
      </c>
      <c r="AH22" s="13" t="n">
        <f aca="false">IF(Time!AH20&lt;Time!$F$12,SUMIFS(Funding!$J$73:$BJ$73,Construction!$J$12:$BJ$12,"&lt;="&amp;Time!AH20),Debt!AH116)</f>
        <v>173.734641022146</v>
      </c>
      <c r="AI22" s="13" t="n">
        <f aca="false">IF(Time!AI20&lt;Time!$F$12,SUMIFS(Funding!$J$73:$BJ$73,Construction!$J$12:$BJ$12,"&lt;="&amp;Time!AI20),Debt!AI116)</f>
        <v>138.261310112194</v>
      </c>
      <c r="AJ22" s="13" t="n">
        <f aca="false">IF(Time!AJ20&lt;Time!$F$12,SUMIFS(Funding!$J$73:$BJ$73,Construction!$J$12:$BJ$12,"&lt;="&amp;Time!AJ20),Debt!AJ116)</f>
        <v>101.796352147961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199.954612896317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197.311339845142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193.778104798901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190.723960035337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186.955126160076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183.847323249422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179.425793771569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173.904194717621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169.435724475649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165.395528634026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160.584449810988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162.192763065466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163.031414747444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164.153573610788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164.06098313295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163.233936418836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161.659079182574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159.480656427701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155.976243832654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151.340027364021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144.781902087108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121.62858876858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97.8148111394153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69.0708924093219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45.4239280687104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6.13864994398019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20.8239715934522</v>
      </c>
      <c r="P24" s="13" t="n">
        <f aca="false">Operations!P90+Operations!P91+Operations!P92+Operations!P93+Operations!P94</f>
        <v>20.8349668319719</v>
      </c>
      <c r="Q24" s="13" t="n">
        <f aca="false">Operations!Q90+Operations!Q91+Operations!Q92+Operations!Q93+Operations!Q94</f>
        <v>21.25637378444</v>
      </c>
      <c r="R24" s="13" t="n">
        <f aca="false">Operations!R90+Operations!R91+Operations!R92+Operations!R93+Operations!R94</f>
        <v>21.2227844677387</v>
      </c>
      <c r="S24" s="13" t="n">
        <f aca="false">Operations!S90+Operations!S91+Operations!S92+Operations!S93+Operations!S94</f>
        <v>21.6662658346325</v>
      </c>
      <c r="T24" s="13" t="n">
        <f aca="false">Operations!T90+Operations!T91+Operations!T92+Operations!T93+Operations!T94</f>
        <v>21.6605268341169</v>
      </c>
      <c r="U24" s="13" t="n">
        <f aca="false">Operations!U90+Operations!U91+Operations!U92+Operations!U93+Operations!U94</f>
        <v>22.0640423962758</v>
      </c>
      <c r="V24" s="13" t="n">
        <f aca="false">Operations!V90+Operations!V91+Operations!V92+Operations!V93+Operations!V94</f>
        <v>22.0081487944389</v>
      </c>
      <c r="W24" s="13" t="n">
        <f aca="false">Operations!W90+Operations!W91+Operations!W92+Operations!W93+Operations!W94</f>
        <v>22.4868988844285</v>
      </c>
      <c r="X24" s="13" t="n">
        <f aca="false">Operations!X90+Operations!X91+Operations!X92+Operations!X93+Operations!X94</f>
        <v>22.519175864897</v>
      </c>
      <c r="Y24" s="13" t="n">
        <f aca="false">Operations!Y90+Operations!Y91+Operations!Y92+Operations!Y93+Operations!Y94</f>
        <v>22.9749217765444</v>
      </c>
      <c r="Z24" s="13" t="n">
        <f aca="false">Operations!Z90+Operations!Z91+Operations!Z92+Operations!Z93+Operations!Z94</f>
        <v>22.9386084789245</v>
      </c>
      <c r="AA24" s="13" t="n">
        <f aca="false">Operations!AA90+Operations!AA91+Operations!AA92+Operations!AA93+Operations!AA94</f>
        <v>23.4183027809287</v>
      </c>
      <c r="AB24" s="13" t="n">
        <f aca="false">Operations!AB90+Operations!AB91+Operations!AB92+Operations!AB93+Operations!AB94</f>
        <v>23.4122483218817</v>
      </c>
      <c r="AC24" s="13" t="n">
        <f aca="false">Operations!AC90+Operations!AC91+Operations!AC92+Operations!AC93+Operations!AC94</f>
        <v>23.8318257747918</v>
      </c>
      <c r="AD24" s="13" t="n">
        <f aca="false">Operations!AD90+Operations!AD91+Operations!AD92+Operations!AD93+Operations!AD94</f>
        <v>23.7432409400324</v>
      </c>
      <c r="AE24" s="13" t="n">
        <f aca="false">Operations!AE90+Operations!AE91+Operations!AE92+Operations!AE93+Operations!AE94</f>
        <v>24.2716219902154</v>
      </c>
      <c r="AF24" s="13" t="n">
        <f aca="false">Operations!AF90+Operations!AF91+Operations!AF92+Operations!AF93+Operations!AF94</f>
        <v>24.3411326872635</v>
      </c>
      <c r="AG24" s="13" t="n">
        <f aca="false">Operations!AG90+Operations!AG91+Operations!AG92+Operations!AG93+Operations!AG94</f>
        <v>24.8340441993648</v>
      </c>
      <c r="AH24" s="13" t="n">
        <f aca="false">Operations!AH90+Operations!AH91+Operations!AH92+Operations!AH93+Operations!AH94</f>
        <v>24.7947726148209</v>
      </c>
      <c r="AI24" s="13" t="n">
        <f aca="false">Operations!AI90+Operations!AI91+Operations!AI92+Operations!AI93+Operations!AI94</f>
        <v>25.3136672094925</v>
      </c>
      <c r="AJ24" s="13" t="n">
        <f aca="false">Operations!AJ90+Operations!AJ91+Operations!AJ92+Operations!AJ93+Operations!AJ94</f>
        <v>25.3072737291221</v>
      </c>
      <c r="AK24" s="13" t="n">
        <f aca="false">Operations!AK90+Operations!AK91+Operations!AK92+Operations!AK93+Operations!AK94</f>
        <v>25.7789647969974</v>
      </c>
      <c r="AL24" s="13" t="n">
        <f aca="false">Operations!AL90+Operations!AL91+Operations!AL92+Operations!AL93+Operations!AL94</f>
        <v>25.7133076008296</v>
      </c>
      <c r="AM24" s="13" t="n">
        <f aca="false">Operations!AM90+Operations!AM91+Operations!AM92+Operations!AM93+Operations!AM94</f>
        <v>26.2736850461057</v>
      </c>
      <c r="AN24" s="13" t="n">
        <f aca="false">Operations!AN90+Operations!AN91+Operations!AN92+Operations!AN93+Operations!AN94</f>
        <v>26.3121747925966</v>
      </c>
      <c r="AO24" s="13" t="n">
        <f aca="false">Operations!AO90+Operations!AO91+Operations!AO92+Operations!AO93+Operations!AO94</f>
        <v>26.8453125471174</v>
      </c>
      <c r="AP24" s="13" t="n">
        <f aca="false">Operations!AP90+Operations!AP91+Operations!AP92+Operations!AP93+Operations!AP94</f>
        <v>26.8028279356372</v>
      </c>
      <c r="AQ24" s="13" t="n">
        <f aca="false">Operations!AQ90+Operations!AQ91+Operations!AQ92+Operations!AQ93+Operations!AQ94</f>
        <v>27.3641580783317</v>
      </c>
      <c r="AR24" s="13" t="n">
        <f aca="false">Operations!AR90+Operations!AR91+Operations!AR92+Operations!AR93+Operations!AR94</f>
        <v>27.3574001846458</v>
      </c>
      <c r="AS24" s="13" t="n">
        <f aca="false">Operations!AS90+Operations!AS91+Operations!AS92+Operations!AS93+Operations!AS94</f>
        <v>27.8477187515619</v>
      </c>
      <c r="AT24" s="13" t="n">
        <f aca="false">Operations!AT90+Operations!AT91+Operations!AT92+Operations!AT93+Operations!AT94</f>
        <v>27.7436116069309</v>
      </c>
      <c r="AU24" s="13" t="n">
        <f aca="false">Operations!AU90+Operations!AU91+Operations!AU92+Operations!AU93+Operations!AU94</f>
        <v>28.3621106592325</v>
      </c>
      <c r="AV24" s="13" t="n">
        <f aca="false">Operations!AV90+Operations!AV91+Operations!AV92+Operations!AV93+Operations!AV94</f>
        <v>28.4445776562331</v>
      </c>
      <c r="AW24" s="13" t="n">
        <f aca="false">Operations!AW90+Operations!AW91+Operations!AW92+Operations!AW93+Operations!AW94</f>
        <v>29.0212557586887</v>
      </c>
      <c r="AX24" s="13" t="n">
        <f aca="false">Operations!AX90+Operations!AX91+Operations!AX92+Operations!AX93+Operations!AX94</f>
        <v>28.9752811454479</v>
      </c>
      <c r="AY24" s="13" t="n">
        <f aca="false">Operations!AY90+Operations!AY91+Operations!AY92+Operations!AY93+Operations!AY94</f>
        <v>29.5825506617089</v>
      </c>
      <c r="AZ24" s="13" t="n">
        <f aca="false">Operations!AZ90+Operations!AZ91+Operations!AZ92+Operations!AZ93+Operations!AZ94</f>
        <v>29.5754009859268</v>
      </c>
      <c r="BA24" s="13" t="n">
        <f aca="false">Operations!BA90+Operations!BA91+Operations!BA92+Operations!BA93+Operations!BA94</f>
        <v>30.1268870015374</v>
      </c>
      <c r="BB24" s="13" t="n">
        <f aca="false">Operations!BB90+Operations!BB91+Operations!BB92+Operations!BB93+Operations!BB94</f>
        <v>30.0497035170801</v>
      </c>
      <c r="BC24" s="13" t="n">
        <f aca="false">Operations!BC90+Operations!BC91+Operations!BC92+Operations!BC93+Operations!BC94</f>
        <v>30.7057760001688</v>
      </c>
      <c r="BD24" s="13" t="n">
        <f aca="false">Operations!BD90+Operations!BD91+Operations!BD92+Operations!BD93+Operations!BD94</f>
        <v>30.7516326690716</v>
      </c>
      <c r="BE24" s="13" t="n">
        <f aca="false">Operations!BE90+Operations!BE91+Operations!BE92+Operations!BE93+Operations!BE94</f>
        <v>31.3754397766048</v>
      </c>
      <c r="BF24" s="13" t="n">
        <f aca="false">Operations!BF90+Operations!BF91+Operations!BF92+Operations!BF93+Operations!BF94</f>
        <v>31.3256739912462</v>
      </c>
      <c r="BG24" s="13" t="n">
        <f aca="false">Operations!BG90+Operations!BG91+Operations!BG92+Operations!BG93+Operations!BG94</f>
        <v>31.9826776802231</v>
      </c>
      <c r="BH24" s="13" t="n">
        <f aca="false">Operations!BH90+Operations!BH91+Operations!BH92+Operations!BH93+Operations!BH94</f>
        <v>31.9751067168585</v>
      </c>
      <c r="BI24" s="13" t="n">
        <f aca="false">Operations!BI90+Operations!BI91+Operations!BI92+Operations!BI93+Operations!BI94</f>
        <v>32.5481903213245</v>
      </c>
      <c r="BJ24" s="13" t="n">
        <f aca="false">Operations!BJ90+Operations!BJ91+Operations!BJ92+Operations!BJ93+Operations!BJ94</f>
        <v>32.4257524942494</v>
      </c>
      <c r="BK24" s="13" t="n">
        <f aca="false">Operations!BK90+Operations!BK91+Operations!BK92+Operations!BK93+Operations!BK94</f>
        <v>33.149918472722</v>
      </c>
      <c r="BL24" s="13" t="n">
        <f aca="false">Operations!BL90+Operations!BL91+Operations!BL92+Operations!BL93+Operations!BL94</f>
        <v>33.2477315697968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3.82678157246211</v>
      </c>
      <c r="AK25" s="13" t="n">
        <f aca="false">MAX(0,AK12)</f>
        <v>11.7500251738126</v>
      </c>
      <c r="AL25" s="13" t="n">
        <f aca="false">MAX(0,AL12)</f>
        <v>19.3719405235351</v>
      </c>
      <c r="AM25" s="13" t="n">
        <f aca="false">MAX(0,AM12)</f>
        <v>28.4395974060265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9.61725003605062</v>
      </c>
      <c r="P27" s="18" t="n">
        <f aca="false">Waterfall!P43</f>
        <v>16.5128666105439</v>
      </c>
      <c r="Q27" s="18" t="n">
        <f aca="false">Waterfall!Q43</f>
        <v>24.7554521915761</v>
      </c>
      <c r="R27" s="18" t="n">
        <f aca="false">Waterfall!R43</f>
        <v>33.4551296622995</v>
      </c>
      <c r="S27" s="18" t="n">
        <f aca="false">Waterfall!S43</f>
        <v>43.3523978079303</v>
      </c>
      <c r="T27" s="18" t="n">
        <f aca="false">Waterfall!T43</f>
        <v>53.6928814695909</v>
      </c>
      <c r="U27" s="18" t="n">
        <f aca="false">Waterfall!U43</f>
        <v>65.2597736196821</v>
      </c>
      <c r="V27" s="18" t="n">
        <f aca="false">Waterfall!V43</f>
        <v>75.1593076856751</v>
      </c>
      <c r="W27" s="18" t="n">
        <f aca="false">Waterfall!W43</f>
        <v>88.8207353791436</v>
      </c>
      <c r="X27" s="18" t="n">
        <f aca="false">Waterfall!X43</f>
        <v>103.081876946473</v>
      </c>
      <c r="Y27" s="18" t="n">
        <f aca="false">Waterfall!Y43</f>
        <v>115.395761366708</v>
      </c>
      <c r="Z27" s="18" t="n">
        <f aca="false">Waterfall!Z43</f>
        <v>122.644345319587</v>
      </c>
      <c r="AA27" s="18" t="n">
        <f aca="false">Waterfall!AA43</f>
        <v>130.841104562493</v>
      </c>
      <c r="AB27" s="18" t="n">
        <f aca="false">Waterfall!AB43</f>
        <v>139.566681596643</v>
      </c>
      <c r="AC27" s="18" t="n">
        <f aca="false">Waterfall!AC43</f>
        <v>149.351738553694</v>
      </c>
      <c r="AD27" s="18" t="n">
        <f aca="false">Waterfall!AD43</f>
        <v>150.966933312006</v>
      </c>
      <c r="AE27" s="18" t="n">
        <f aca="false">Waterfall!AE43</f>
        <v>162.780410622189</v>
      </c>
      <c r="AF27" s="18" t="n">
        <f aca="false">Waterfall!AF43</f>
        <v>175.112027215943</v>
      </c>
      <c r="AG27" s="18" t="n">
        <f aca="false">Waterfall!AG43</f>
        <v>188.51551560144</v>
      </c>
      <c r="AH27" s="18" t="n">
        <f aca="false">Waterfall!AH43</f>
        <v>202.901989633295</v>
      </c>
      <c r="AI27" s="18" t="n">
        <f aca="false">Waterfall!AI43</f>
        <v>218.56404729501</v>
      </c>
      <c r="AJ27" s="18" t="n">
        <f aca="false">Waterfall!AJ43</f>
        <v>235.276685242247</v>
      </c>
      <c r="AK27" s="18" t="n">
        <f aca="false">Waterfall!AK43</f>
        <v>253.405978113583</v>
      </c>
      <c r="AL27" s="18" t="n">
        <f aca="false">Waterfall!AL43</f>
        <v>270.831202547982</v>
      </c>
      <c r="AM27" s="18" t="n">
        <f aca="false">Waterfall!AM43</f>
        <v>291.627777618625</v>
      </c>
      <c r="AN27" s="18" t="n">
        <f aca="false">Waterfall!AN43</f>
        <v>314.065912996638</v>
      </c>
      <c r="AO27" s="18" t="n">
        <f aca="false">Waterfall!AO43</f>
        <v>337.78009168865</v>
      </c>
      <c r="AP27" s="18" t="n">
        <f aca="false">Waterfall!AP43</f>
        <v>328.338510111372</v>
      </c>
      <c r="AQ27" s="18" t="n">
        <f aca="false">Waterfall!AQ43</f>
        <v>313.263046907508</v>
      </c>
      <c r="AR27" s="18" t="n">
        <f aca="false">Waterfall!AR43</f>
        <v>297.672530702442</v>
      </c>
      <c r="AS27" s="18" t="n">
        <f aca="false">Waterfall!AS43</f>
        <v>282.532834124861</v>
      </c>
      <c r="AT27" s="18" t="n">
        <f aca="false">Waterfall!AT43</f>
        <v>250.376801991456</v>
      </c>
      <c r="AU27" s="18" t="n">
        <f aca="false">Waterfall!AU43</f>
        <v>233.195490484395</v>
      </c>
      <c r="AV27" s="18" t="n">
        <f aca="false">Waterfall!AV43</f>
        <v>215.82084188326</v>
      </c>
      <c r="AW27" s="18" t="n">
        <f aca="false">Waterfall!AW43</f>
        <v>199.0014177916</v>
      </c>
      <c r="AX27" s="18" t="n">
        <f aca="false">Waterfall!AX43</f>
        <v>181.661003458173</v>
      </c>
      <c r="AY27" s="18" t="n">
        <f aca="false">Waterfall!AY43</f>
        <v>164.839627246505</v>
      </c>
      <c r="AZ27" s="18" t="n">
        <f aca="false">Waterfall!AZ43</f>
        <v>147.487653430004</v>
      </c>
      <c r="BA27" s="18" t="n">
        <f aca="false">Waterfall!BA43</f>
        <v>131.090905254489</v>
      </c>
      <c r="BB27" s="18" t="n">
        <f aca="false">Waterfall!BB43</f>
        <v>111.223978161348</v>
      </c>
      <c r="BC27" s="18" t="n">
        <f aca="false">Waterfall!BC43</f>
        <v>97.2546320188409</v>
      </c>
      <c r="BD27" s="18" t="n">
        <f aca="false">Waterfall!BD43</f>
        <v>89.3980067875625</v>
      </c>
      <c r="BE27" s="18" t="n">
        <f aca="false">Waterfall!BE43</f>
        <v>82.12115480443</v>
      </c>
      <c r="BF27" s="18" t="n">
        <f aca="false">Waterfall!BF43</f>
        <v>74.3244659738013</v>
      </c>
      <c r="BG27" s="18" t="n">
        <f aca="false">Waterfall!BG43</f>
        <v>67.0794044058741</v>
      </c>
      <c r="BH27" s="18" t="n">
        <f aca="false">Waterfall!BH43</f>
        <v>59.304235793007</v>
      </c>
      <c r="BI27" s="18" t="n">
        <f aca="false">Waterfall!BI43</f>
        <v>52.0295952455613</v>
      </c>
      <c r="BJ27" s="18" t="n">
        <f aca="false">Waterfall!BJ43</f>
        <v>24.592896081014</v>
      </c>
      <c r="BK27" s="18" t="n">
        <f aca="false">Waterfall!BK43</f>
        <v>14.8839579585177</v>
      </c>
      <c r="BL27" s="18" t="n">
        <f aca="false">Waterfall!BL43</f>
        <v>4.35306561823741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912.925362756372</v>
      </c>
      <c r="P28" s="13" t="n">
        <f aca="false">P22+P23+P24+P25+P26+P27</f>
        <v>899.435460597691</v>
      </c>
      <c r="Q28" s="13" t="n">
        <f aca="false">Q22+Q23+Q24+Q25+Q26+Q27</f>
        <v>889.31091375043</v>
      </c>
      <c r="R28" s="13" t="n">
        <f aca="false">R22+R23+R24+R25+R26+R27</f>
        <v>877.50320551278</v>
      </c>
      <c r="S28" s="13" t="n">
        <f aca="false">S22+S23+S24+S25+S26+S27</f>
        <v>867.350037979441</v>
      </c>
      <c r="T28" s="13" t="n">
        <f aca="false">T22+T23+T24+T25+T26+T27</f>
        <v>855.673953207563</v>
      </c>
      <c r="U28" s="13" t="n">
        <f aca="false">U22+U23+U24+U25+U26+U27</f>
        <v>845.712793099541</v>
      </c>
      <c r="V28" s="13" t="n">
        <f aca="false">V22+V23+V24+V25+V26+V27</f>
        <v>831.081395914097</v>
      </c>
      <c r="W28" s="13" t="n">
        <f aca="false">W22+W23+W24+W25+W26+W27</f>
        <v>819.033443034506</v>
      </c>
      <c r="X28" s="13" t="n">
        <f aca="false">X22+X23+X24+X25+X26+X27</f>
        <v>808.765515804597</v>
      </c>
      <c r="Y28" s="13" t="n">
        <f aca="false">Y22+Y23+Y24+Y25+Y26+Y27</f>
        <v>797.392620067085</v>
      </c>
      <c r="Z28" s="13" t="n">
        <f aca="false">Z22+Z23+Z24+Z25+Z26+Z27</f>
        <v>778.858683241004</v>
      </c>
      <c r="AA28" s="13" t="n">
        <f aca="false">AA22+AA23+AA24+AA25+AA26+AA27</f>
        <v>761.640627658199</v>
      </c>
      <c r="AB28" s="13" t="n">
        <f aca="false">AB22+AB23+AB24+AB25+AB26+AB27</f>
        <v>742.025147563238</v>
      </c>
      <c r="AC28" s="13" t="n">
        <f aca="false">AC22+AC23+AC24+AC25+AC26+AC27</f>
        <v>724.190178233308</v>
      </c>
      <c r="AD28" s="13" t="n">
        <f aca="false">AD22+AD23+AD24+AD25+AD26+AD27</f>
        <v>693.500907103984</v>
      </c>
      <c r="AE28" s="13" t="n">
        <f aca="false">AE22+AE23+AE24+AE25+AE26+AE27</f>
        <v>671.881588493091</v>
      </c>
      <c r="AF28" s="13" t="n">
        <f aca="false">AF22+AF23+AF24+AF25+AF26+AF27</f>
        <v>648.636817802558</v>
      </c>
      <c r="AG28" s="13" t="n">
        <f aca="false">AG22+AG23+AG24+AG25+AG26+AG27</f>
        <v>626.356171283431</v>
      </c>
      <c r="AH28" s="13" t="n">
        <f aca="false">AH22+AH23+AH24+AH25+AH26+AH27</f>
        <v>601.774400619728</v>
      </c>
      <c r="AI28" s="13" t="n">
        <f aca="false">AI22+AI23+AI24+AI25+AI26+AI27</f>
        <v>577.845805497529</v>
      </c>
      <c r="AJ28" s="13" t="n">
        <f aca="false">AJ22+AJ23+AJ24+AJ25+AJ26+AJ27</f>
        <v>555.355748295711</v>
      </c>
      <c r="AK28" s="13" t="n">
        <f aca="false">AK22+AK23+AK24+AK25+AK26+AK27</f>
        <v>537.007377906967</v>
      </c>
      <c r="AL28" s="13" t="n">
        <f aca="false">AL22+AL23+AL24+AL25+AL26+AL27</f>
        <v>516.634696281782</v>
      </c>
      <c r="AM28" s="13" t="n">
        <f aca="false">AM22+AM23+AM24+AM25+AM26+AM27</f>
        <v>496.327284146222</v>
      </c>
      <c r="AN28" s="13" t="n">
        <f aca="false">AN22+AN23+AN24+AN25+AN26+AN27</f>
        <v>481.542873900817</v>
      </c>
      <c r="AO28" s="13" t="n">
        <f aca="false">AO22+AO23+AO24+AO25+AO26+AO27</f>
        <v>449.100281721859</v>
      </c>
      <c r="AP28" s="13" t="n">
        <f aca="false">AP22+AP23+AP24+AP25+AP26+AP27</f>
        <v>434.481589451937</v>
      </c>
      <c r="AQ28" s="13" t="n">
        <f aca="false">AQ22+AQ23+AQ24+AQ25+AQ26+AQ27</f>
        <v>420.971480253584</v>
      </c>
      <c r="AR28" s="13" t="n">
        <f aca="false">AR22+AR23+AR24+AR25+AR26+AR27</f>
        <v>406.378230017649</v>
      </c>
      <c r="AS28" s="13" t="n">
        <f aca="false">AS22+AS23+AS24+AS25+AS26+AS27</f>
        <v>392.732875869801</v>
      </c>
      <c r="AT28" s="13" t="n">
        <f aca="false">AT22+AT23+AT24+AT25+AT26+AT27</f>
        <v>361.476760454582</v>
      </c>
      <c r="AU28" s="13" t="n">
        <f aca="false">AU22+AU23+AU24+AU25+AU26+AU27</f>
        <v>345.917971862639</v>
      </c>
      <c r="AV28" s="13" t="n">
        <f aca="false">AV22+AV23+AV24+AV25+AV26+AV27</f>
        <v>329.629814121321</v>
      </c>
      <c r="AW28" s="13" t="n">
        <f aca="false">AW22+AW23+AW24+AW25+AW26+AW27</f>
        <v>314.391091994934</v>
      </c>
      <c r="AX28" s="13" t="n">
        <f aca="false">AX22+AX23+AX24+AX25+AX26+AX27</f>
        <v>298.008726911082</v>
      </c>
      <c r="AY28" s="13" t="n">
        <f aca="false">AY22+AY23+AY24+AY25+AY26+AY27</f>
        <v>282.798644078492</v>
      </c>
      <c r="AZ28" s="13" t="n">
        <f aca="false">AZ22+AZ23+AZ24+AZ25+AZ26+AZ27</f>
        <v>266.443544449026</v>
      </c>
      <c r="BA28" s="13" t="n">
        <f aca="false">BA22+BA23+BA24+BA25+BA26+BA27</f>
        <v>251.602306151939</v>
      </c>
      <c r="BB28" s="13" t="n">
        <f aca="false">BB22+BB23+BB24+BB25+BB26+BB27</f>
        <v>232.662219437157</v>
      </c>
      <c r="BC28" s="13" t="n">
        <f aca="false">BC22+BC23+BC24+BC25+BC26+BC27</f>
        <v>218.428590570156</v>
      </c>
      <c r="BD28" s="13" t="n">
        <f aca="false">BD22+BD23+BD24+BD25+BD26+BD27</f>
        <v>205.848708659401</v>
      </c>
      <c r="BE28" s="13" t="n">
        <f aca="false">BE22+BE23+BE24+BE25+BE26+BE27</f>
        <v>194.426550435422</v>
      </c>
      <c r="BF28" s="13" t="n">
        <f aca="false">BF22+BF23+BF24+BF25+BF26+BF27</f>
        <v>181.810982471056</v>
      </c>
      <c r="BG28" s="13" t="n">
        <f aca="false">BG22+BG23+BG24+BG25+BG26+BG27</f>
        <v>170.453811243726</v>
      </c>
      <c r="BH28" s="13" t="n">
        <f aca="false">BH22+BH23+BH24+BH25+BH26+BH27</f>
        <v>157.901958319115</v>
      </c>
      <c r="BI28" s="13" t="n">
        <f aca="false">BI22+BI23+BI24+BI25+BI26+BI27</f>
        <v>146.431288027755</v>
      </c>
      <c r="BJ28" s="13" t="n">
        <f aca="false">BJ22+BJ23+BJ24+BJ25+BJ26+BJ27</f>
        <v>114.103037687753</v>
      </c>
      <c r="BK28" s="13" t="n">
        <f aca="false">BK22+BK23+BK24+BK25+BK26+BK27</f>
        <v>100.34915219535</v>
      </c>
      <c r="BL28" s="13" t="n">
        <f aca="false">BL22+BL23+BL24+BL25+BL26+BL27</f>
        <v>85.1469596037653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0.0352702879847927</v>
      </c>
      <c r="AC7" s="16" t="n">
        <f aca="false">IF(Debt!AC115&gt;Inputs!$F$253,Debt!AC112/Debt!AC115,0)</f>
        <v>0.034765088987416</v>
      </c>
      <c r="AD7" s="16" t="n">
        <f aca="false">IF(Debt!AD115&gt;Inputs!$F$253,Debt!AD112/Debt!AD115,0)</f>
        <v>0.0347424990225629</v>
      </c>
      <c r="AE7" s="16" t="n">
        <f aca="false">IF(Debt!AE115&gt;Inputs!$F$253,Debt!AE112/Debt!AE115,0)</f>
        <v>0.0340228194474576</v>
      </c>
      <c r="AF7" s="16" t="n">
        <f aca="false">IF(Debt!AF115&gt;Inputs!$F$253,Debt!AF112/Debt!AF115,0)</f>
        <v>0.0339224049042129</v>
      </c>
      <c r="AG7" s="16" t="n">
        <f aca="false">IF(Debt!AG115&gt;Inputs!$F$253,Debt!AG112/Debt!AG115,0)</f>
        <v>0.0338059234738683</v>
      </c>
      <c r="AH7" s="16" t="n">
        <f aca="false">IF(Debt!AH115&gt;Inputs!$F$253,Debt!AH112/Debt!AH115,0)</f>
        <v>0.0333085899860184</v>
      </c>
      <c r="AI7" s="16" t="n">
        <f aca="false">IF(Debt!AI115&gt;Inputs!$F$253,Debt!AI112/Debt!AI115,0)</f>
        <v>0.031840439035957</v>
      </c>
      <c r="AJ7" s="16" t="n">
        <f aca="false">IF(Debt!AJ115&gt;Inputs!$F$253,Debt!AJ112/Debt!AJ115,0)</f>
        <v>0.0304016231476099</v>
      </c>
      <c r="AK7" s="16" t="n">
        <f aca="false">IF(Debt!AK115&gt;Inputs!$F$253,Debt!AK112/Debt!AK115,0)</f>
        <v>0.0273911444714457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0.0352702879847927</v>
      </c>
      <c r="AC10" s="16" t="n">
        <f aca="false">IF(AC7&gt;0,AC7,$F$9)</f>
        <v>0.034765088987416</v>
      </c>
      <c r="AD10" s="16" t="n">
        <f aca="false">IF(AD7&gt;0,AD7,$F$9)</f>
        <v>0.0347424990225629</v>
      </c>
      <c r="AE10" s="16" t="n">
        <f aca="false">IF(AE7&gt;0,AE7,$F$9)</f>
        <v>0.0340228194474576</v>
      </c>
      <c r="AF10" s="16" t="n">
        <f aca="false">IF(AF7&gt;0,AF7,$F$9)</f>
        <v>0.0339224049042129</v>
      </c>
      <c r="AG10" s="16" t="n">
        <f aca="false">IF(AG7&gt;0,AG7,$F$9)</f>
        <v>0.0338059234738683</v>
      </c>
      <c r="AH10" s="16" t="n">
        <f aca="false">IF(AH7&gt;0,AH7,$F$9)</f>
        <v>0.0333085899860184</v>
      </c>
      <c r="AI10" s="16" t="n">
        <f aca="false">IF(AI7&gt;0,AI7,$F$9)</f>
        <v>0.031840439035957</v>
      </c>
      <c r="AJ10" s="16" t="n">
        <f aca="false">IF(AJ7&gt;0,AJ7,$F$9)</f>
        <v>0.0304016231476099</v>
      </c>
      <c r="AK10" s="16" t="n">
        <f aca="false">IF(AK7&gt;0,AK7,$F$9)</f>
        <v>0.0273911444714457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730.790981062888</v>
      </c>
      <c r="K11" s="13" t="n">
        <f aca="false">IF(Time!K20&lt;=$F$8,(Waterfall!K7+L11)/(1+K10),0)</f>
        <v>750.531059896219</v>
      </c>
      <c r="L11" s="13" t="n">
        <f aca="false">IF(Time!L20&lt;=$F$8,(Waterfall!L7+M11)/(1+L10),0)</f>
        <v>770.804356465461</v>
      </c>
      <c r="M11" s="13" t="n">
        <f aca="false">IF(Time!M20&lt;=$F$8,(Waterfall!M7+N11)/(1+M10),0)</f>
        <v>791.625274013696</v>
      </c>
      <c r="N11" s="13" t="n">
        <f aca="false">IF(Time!N20&lt;=$F$8,(Waterfall!N7+O11)/(1+N10),0)</f>
        <v>813.008604843477</v>
      </c>
      <c r="O11" s="13" t="n">
        <f aca="false">IF(Time!O20&lt;=$F$8,(Waterfall!O7+P11)/(1+O10),0)</f>
        <v>834.969540826082</v>
      </c>
      <c r="P11" s="13" t="n">
        <f aca="false">IF(Time!P20&lt;=$F$8,(Waterfall!P7+Q11)/(1+P10),0)</f>
        <v>855.445000954202</v>
      </c>
      <c r="Q11" s="13" t="n">
        <f aca="false">IF(Time!Q20&lt;=$F$8,(Waterfall!Q7+R11)/(1+Q10),0)</f>
        <v>835.038691600879</v>
      </c>
      <c r="R11" s="13" t="n">
        <f aca="false">IF(Time!R20&lt;=$F$8,(Waterfall!R7+S11)/(1+R10),0)</f>
        <v>813.752573773126</v>
      </c>
      <c r="S11" s="13" t="n">
        <f aca="false">IF(Time!S20&lt;=$F$8,(Waterfall!S7+T11)/(1+S10),0)</f>
        <v>791.414186691275</v>
      </c>
      <c r="T11" s="13" t="n">
        <f aca="false">IF(Time!T20&lt;=$F$8,(Waterfall!T7+U11)/(1+T10),0)</f>
        <v>768.407598649206</v>
      </c>
      <c r="U11" s="13" t="n">
        <f aca="false">IF(Time!U20&lt;=$F$8,(Waterfall!U7+V11)/(1+U10),0)</f>
        <v>744.362220403342</v>
      </c>
      <c r="V11" s="13" t="n">
        <f aca="false">IF(Time!V20&lt;=$F$8,(Waterfall!V7+W11)/(1+V10),0)</f>
        <v>719.528561936917</v>
      </c>
      <c r="W11" s="13" t="n">
        <f aca="false">IF(Time!W20&lt;=$F$8,(Waterfall!W7+X11)/(1+W10),0)</f>
        <v>693.026171830824</v>
      </c>
      <c r="X11" s="13" t="n">
        <f aca="false">IF(Time!X20&lt;=$F$8,(Waterfall!X7+Y11)/(1+X10),0)</f>
        <v>665.705067068865</v>
      </c>
      <c r="Y11" s="13" t="n">
        <f aca="false">IF(Time!Y20&lt;=$F$8,(Waterfall!Y7+Z11)/(1+Y10),0)</f>
        <v>639.233589798668</v>
      </c>
      <c r="Z11" s="13" t="n">
        <f aca="false">IF(Time!Z20&lt;=$F$8,(Waterfall!Z7+AA11)/(1+Z10),0)</f>
        <v>612.76817029054</v>
      </c>
      <c r="AA11" s="13" t="n">
        <f aca="false">IF(Time!AA20&lt;=$F$8,(Waterfall!AA7+AB11)/(1+AA10),0)</f>
        <v>585.198187718852</v>
      </c>
      <c r="AB11" s="13" t="n">
        <f aca="false">IF(Time!AB20&lt;=$F$8,(Waterfall!AB7+AC11)/(1+AB10),0)</f>
        <v>556.812228262748</v>
      </c>
      <c r="AC11" s="13" t="n">
        <f aca="false">IF(Time!AC20&lt;=$F$8,(Waterfall!AC7+AD11)/(1+AC10),0)</f>
        <v>526.977954605486</v>
      </c>
      <c r="AD11" s="13" t="n">
        <f aca="false">IF(Time!AD20&lt;=$F$8,(Waterfall!AD7+AE11)/(1+AD10),0)</f>
        <v>495.996228108398</v>
      </c>
      <c r="AE11" s="13" t="n">
        <f aca="false">IF(Time!AE20&lt;=$F$8,(Waterfall!AE7+AF11)/(1+AE10),0)</f>
        <v>461.958652910573</v>
      </c>
      <c r="AF11" s="13" t="n">
        <f aca="false">IF(Time!AF20&lt;=$F$8,(Waterfall!AF7+AG11)/(1+AF10),0)</f>
        <v>426.313246071194</v>
      </c>
      <c r="AG11" s="13" t="n">
        <f aca="false">IF(Time!AG20&lt;=$F$8,(Waterfall!AG7+AH11)/(1+AG10),0)</f>
        <v>389.332709828514</v>
      </c>
      <c r="AH11" s="13" t="n">
        <f aca="false">IF(Time!AH20&lt;=$F$8,(Waterfall!AH7+AI11)/(1+AH10),0)</f>
        <v>351.425935784347</v>
      </c>
      <c r="AI11" s="13" t="n">
        <f aca="false">IF(Time!AI20&lt;=$F$8,(Waterfall!AI7+AJ11)/(1+AI10),0)</f>
        <v>311.396618532641</v>
      </c>
      <c r="AJ11" s="13" t="n">
        <f aca="false">IF(Time!AJ20&lt;=$F$8,(Waterfall!AJ7+AK11)/(1+AJ10),0)</f>
        <v>269.970006795395</v>
      </c>
      <c r="AK11" s="13" t="n">
        <f aca="false">IF(Time!AK20&lt;=$F$8,(Waterfall!AK7+AL11)/(1+AK10),0)</f>
        <v>226.262247604206</v>
      </c>
      <c r="AL11" s="13" t="n">
        <f aca="false">IF(Time!AL20&lt;=$F$8,(Waterfall!AL7+AM11)/(1+AL10),0)</f>
        <v>180.756609958717</v>
      </c>
      <c r="AM11" s="13" t="n">
        <f aca="false">IF(Time!AM20&lt;=$F$8,(Waterfall!AM7+AN11)/(1+AM10),0)</f>
        <v>132.814784887926</v>
      </c>
      <c r="AN11" s="13" t="n">
        <f aca="false">IF(Time!AN20&lt;=$F$8,(Waterfall!AN7+AO11)/(1+AN10),0)</f>
        <v>83.9184177488764</v>
      </c>
      <c r="AO11" s="13" t="n">
        <f aca="false">IF(Time!AO20&lt;=$F$8,(Waterfall!AO7+AP11)/(1+AO10),0)</f>
        <v>40.3356370820807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997.84935386402</v>
      </c>
      <c r="K12" s="13" t="n">
        <f aca="false">IF(Time!K20&lt;=Time!$F$15,(Waterfall!K7+L12)/(1+K10),0)</f>
        <v>1024.80319623413</v>
      </c>
      <c r="L12" s="13" t="n">
        <f aca="false">IF(Time!L20&lt;=Time!$F$15,(Waterfall!L7+M12)/(1+L10),0)</f>
        <v>1052.4851140554</v>
      </c>
      <c r="M12" s="13" t="n">
        <f aca="false">IF(Time!M20&lt;=Time!$F$15,(Waterfall!M7+N12)/(1+M10),0)</f>
        <v>1080.91477405496</v>
      </c>
      <c r="N12" s="13" t="n">
        <f aca="false">IF(Time!N20&lt;=Time!$F$15,(Waterfall!N7+O12)/(1+N10),0)</f>
        <v>1110.11237419628</v>
      </c>
      <c r="O12" s="13" t="n">
        <f aca="false">IF(Time!O20&lt;=Time!$F$15,(Waterfall!O7+P12)/(1+O10),0)</f>
        <v>1140.09865802893</v>
      </c>
      <c r="P12" s="13" t="n">
        <f aca="false">IF(Time!P20&lt;=Time!$F$15,(Waterfall!P7+Q12)/(1+P10),0)</f>
        <v>1168.81624618546</v>
      </c>
      <c r="Q12" s="13" t="n">
        <f aca="false">IF(Time!Q20&lt;=Time!$F$15,(Waterfall!Q7+R12)/(1+Q10),0)</f>
        <v>1159.17613830643</v>
      </c>
      <c r="R12" s="13" t="n">
        <f aca="false">IF(Time!R20&lt;=Time!$F$15,(Waterfall!R7+S12)/(1+R10),0)</f>
        <v>1148.91473236296</v>
      </c>
      <c r="S12" s="13" t="n">
        <f aca="false">IF(Time!S20&lt;=Time!$F$15,(Waterfall!S7+T12)/(1+S10),0)</f>
        <v>1138.09949547466</v>
      </c>
      <c r="T12" s="13" t="n">
        <f aca="false">IF(Time!T20&lt;=Time!$F$15,(Waterfall!T7+U12)/(1+T10),0)</f>
        <v>1126.88874964063</v>
      </c>
      <c r="U12" s="13" t="n">
        <f aca="false">IF(Time!U20&lt;=Time!$F$15,(Waterfall!U7+V12)/(1+U10),0)</f>
        <v>1115.17268577806</v>
      </c>
      <c r="V12" s="13" t="n">
        <f aca="false">IF(Time!V20&lt;=Time!$F$15,(Waterfall!V7+W12)/(1+V10),0)</f>
        <v>1103.00127492523</v>
      </c>
      <c r="W12" s="13" t="n">
        <f aca="false">IF(Time!W20&lt;=Time!$F$15,(Waterfall!W7+X12)/(1+W10),0)</f>
        <v>1089.68773902464</v>
      </c>
      <c r="X12" s="13" t="n">
        <f aca="false">IF(Time!X20&lt;=Time!$F$15,(Waterfall!X7+Y12)/(1+X10),0)</f>
        <v>1075.8629005828</v>
      </c>
      <c r="Y12" s="13" t="n">
        <f aca="false">IF(Time!Y20&lt;=Time!$F$15,(Waterfall!Y7+Z12)/(1+Y10),0)</f>
        <v>1063.49806423968</v>
      </c>
      <c r="Z12" s="13" t="n">
        <f aca="false">IF(Time!Z20&lt;=Time!$F$15,(Waterfall!Z7+AA12)/(1+Z10),0)</f>
        <v>1051.91841267832</v>
      </c>
      <c r="AA12" s="13" t="n">
        <f aca="false">IF(Time!AA20&lt;=Time!$F$15,(Waterfall!AA7+AB12)/(1+AA10),0)</f>
        <v>1039.92606132103</v>
      </c>
      <c r="AB12" s="13" t="n">
        <f aca="false">IF(Time!AB20&lt;=Time!$F$15,(Waterfall!AB7+AC12)/(1+AB10),0)</f>
        <v>1027.49471040076</v>
      </c>
      <c r="AC12" s="13" t="n">
        <f aca="false">IF(Time!AC20&lt;=Time!$F$15,(Waterfall!AC7+AD12)/(1+AC10),0)</f>
        <v>1014.2615434379</v>
      </c>
      <c r="AD12" s="13" t="n">
        <f aca="false">IF(Time!AD20&lt;=Time!$F$15,(Waterfall!AD7+AE12)/(1+AD10),0)</f>
        <v>1000.22027426868</v>
      </c>
      <c r="AE12" s="13" t="n">
        <f aca="false">IF(Time!AE20&lt;=Time!$F$15,(Waterfall!AE7+AF12)/(1+AE10),0)</f>
        <v>983.700702501731</v>
      </c>
      <c r="AF12" s="13" t="n">
        <f aca="false">IF(Time!AF20&lt;=Time!$F$15,(Waterfall!AF7+AG12)/(1+AF10),0)</f>
        <v>965.806431213738</v>
      </c>
      <c r="AG12" s="13" t="n">
        <f aca="false">IF(Time!AG20&lt;=Time!$F$15,(Waterfall!AG7+AH12)/(1+AG10),0)</f>
        <v>947.126801240527</v>
      </c>
      <c r="AH12" s="13" t="n">
        <f aca="false">IF(Time!AH20&lt;=Time!$F$15,(Waterfall!AH7+AI12)/(1+AH10),0)</f>
        <v>928.076771564811</v>
      </c>
      <c r="AI12" s="13" t="n">
        <f aca="false">IF(Time!AI20&lt;=Time!$F$15,(Waterfall!AI7+AJ12)/(1+AI10),0)</f>
        <v>907.254880567211</v>
      </c>
      <c r="AJ12" s="13" t="n">
        <f aca="false">IF(Time!AJ20&lt;=Time!$F$15,(Waterfall!AJ7+AK12)/(1+AJ10),0)</f>
        <v>884.800657496348</v>
      </c>
      <c r="AK12" s="13" t="n">
        <f aca="false">IF(Time!AK20&lt;=Time!$F$15,(Waterfall!AK7+AL12)/(1+AK10),0)</f>
        <v>859.784748047369</v>
      </c>
      <c r="AL12" s="13" t="n">
        <f aca="false">IF(Time!AL20&lt;=Time!$F$15,(Waterfall!AL7+AM12)/(1+AL10),0)</f>
        <v>831.632016737431</v>
      </c>
      <c r="AM12" s="13" t="n">
        <f aca="false">IF(Time!AM20&lt;=Time!$F$15,(Waterfall!AM7+AN12)/(1+AM10),0)</f>
        <v>801.357889644691</v>
      </c>
      <c r="AN12" s="13" t="n">
        <f aca="false">IF(Time!AN20&lt;=Time!$F$15,(Waterfall!AN7+AO12)/(1+AN10),0)</f>
        <v>770.520165720127</v>
      </c>
      <c r="AO12" s="13" t="n">
        <f aca="false">IF(Time!AO20&lt;=Time!$F$15,(Waterfall!AO7+AP12)/(1+AO10),0)</f>
        <v>745.574857276155</v>
      </c>
      <c r="AP12" s="13" t="n">
        <f aca="false">IF(Time!AP20&lt;=Time!$F$15,(Waterfall!AP7+AQ12)/(1+AP10),0)</f>
        <v>724.289096511295</v>
      </c>
      <c r="AQ12" s="13" t="n">
        <f aca="false">IF(Time!AQ20&lt;=Time!$F$15,(Waterfall!AQ7+AR12)/(1+AQ10),0)</f>
        <v>702.491203672414</v>
      </c>
      <c r="AR12" s="13" t="n">
        <f aca="false">IF(Time!AR20&lt;=Time!$F$15,(Waterfall!AR7+AS12)/(1+AR10),0)</f>
        <v>680.622041516543</v>
      </c>
      <c r="AS12" s="13" t="n">
        <f aca="false">IF(Time!AS20&lt;=Time!$F$15,(Waterfall!AS7+AT12)/(1+AS10),0)</f>
        <v>657.590468151054</v>
      </c>
      <c r="AT12" s="13" t="n">
        <f aca="false">IF(Time!AT20&lt;=Time!$F$15,(Waterfall!AT7+AU12)/(1+AT10),0)</f>
        <v>634.175964063548</v>
      </c>
      <c r="AU12" s="13" t="n">
        <f aca="false">IF(Time!AU20&lt;=Time!$F$15,(Waterfall!AU7+AV12)/(1+AU10),0)</f>
        <v>603.357181727409</v>
      </c>
      <c r="AV12" s="13" t="n">
        <f aca="false">IF(Time!AV20&lt;=Time!$F$15,(Waterfall!AV7+AW12)/(1+AV10),0)</f>
        <v>576.118586247659</v>
      </c>
      <c r="AW12" s="13" t="n">
        <f aca="false">IF(Time!AW20&lt;=Time!$F$15,(Waterfall!AW7+AX12)/(1+AW10),0)</f>
        <v>548.086324948862</v>
      </c>
      <c r="AX12" s="13" t="n">
        <f aca="false">IF(Time!AX20&lt;=Time!$F$15,(Waterfall!AX7+AY12)/(1+AX10),0)</f>
        <v>519.730472139194</v>
      </c>
      <c r="AY12" s="13" t="n">
        <f aca="false">IF(Time!AY20&lt;=Time!$F$15,(Waterfall!AY7+AZ12)/(1+AY10),0)</f>
        <v>489.941549977095</v>
      </c>
      <c r="AZ12" s="13" t="n">
        <f aca="false">IF(Time!AZ20&lt;=Time!$F$15,(Waterfall!AZ7+BA12)/(1+AZ10),0)</f>
        <v>459.785797130447</v>
      </c>
      <c r="BA12" s="13" t="n">
        <f aca="false">IF(Time!BA20&lt;=Time!$F$15,(Waterfall!BA7+BB12)/(1+BA10),0)</f>
        <v>428.223629244058</v>
      </c>
      <c r="BB12" s="13" t="n">
        <f aca="false">IF(Time!BB20&lt;=Time!$F$15,(Waterfall!BB7+BC12)/(1+BB10),0)</f>
        <v>396.085321284097</v>
      </c>
      <c r="BC12" s="13" t="n">
        <f aca="false">IF(Time!BC20&lt;=Time!$F$15,(Waterfall!BC7+BD12)/(1+BC10),0)</f>
        <v>360.809879302582</v>
      </c>
      <c r="BD12" s="13" t="n">
        <f aca="false">IF(Time!BD20&lt;=Time!$F$15,(Waterfall!BD7+BE12)/(1+BD10),0)</f>
        <v>327.958420607338</v>
      </c>
      <c r="BE12" s="13" t="n">
        <f aca="false">IF(Time!BE20&lt;=Time!$F$15,(Waterfall!BE7+BF12)/(1+BE10),0)</f>
        <v>300.369115061082</v>
      </c>
      <c r="BF12" s="13" t="n">
        <f aca="false">IF(Time!BF20&lt;=Time!$F$15,(Waterfall!BF7+BG12)/(1+BF10),0)</f>
        <v>272.465621389169</v>
      </c>
      <c r="BG12" s="13" t="n">
        <f aca="false">IF(Time!BG20&lt;=Time!$F$15,(Waterfall!BG7+BH12)/(1+BG10),0)</f>
        <v>243.111918195744</v>
      </c>
      <c r="BH12" s="13" t="n">
        <f aca="false">IF(Time!BH20&lt;=Time!$F$15,(Waterfall!BH7+BI12)/(1+BH10),0)</f>
        <v>213.412339638751</v>
      </c>
      <c r="BI12" s="13" t="n">
        <f aca="false">IF(Time!BI20&lt;=Time!$F$15,(Waterfall!BI7+BJ12)/(1+BI10),0)</f>
        <v>182.296816805189</v>
      </c>
      <c r="BJ12" s="13" t="n">
        <f aca="false">IF(Time!BJ20&lt;=Time!$F$15,(Waterfall!BJ7+BK12)/(1+BJ10),0)</f>
        <v>150.571487997419</v>
      </c>
      <c r="BK12" s="13" t="n">
        <f aca="false">IF(Time!BK20&lt;=Time!$F$15,(Waterfall!BK7+BL12)/(1+BK10),0)</f>
        <v>109.920035637399</v>
      </c>
      <c r="BL12" s="13" t="n">
        <f aca="false">IF(Time!BL20&lt;=Time!$F$15,(Waterfall!BL7+BM12)/(1+BL10),0)</f>
        <v>73.3916407990882</v>
      </c>
      <c r="BM12" s="13" t="n">
        <f aca="false">IF(Time!BM20&lt;=Time!$F$15,(Waterfall!BM7+BN12)/(1+BM10),0)</f>
        <v>35.2028887814897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1.40968412595891</v>
      </c>
      <c r="Q13" s="6" t="n">
        <f aca="false">IF(Debt!Q115&gt;Inputs!$F$253,(Q11+Reserves!Q9)/Debt!Q115,0)</f>
        <v>1.41185390572862</v>
      </c>
      <c r="R13" s="6" t="n">
        <f aca="false">IF(Debt!R115&gt;Inputs!$F$253,(R11+Reserves!R9)/Debt!R115,0)</f>
        <v>1.41513904396281</v>
      </c>
      <c r="S13" s="6" t="n">
        <f aca="false">IF(Debt!S115&gt;Inputs!$F$253,(S11+Reserves!S9)/Debt!S115,0)</f>
        <v>1.41743669244499</v>
      </c>
      <c r="T13" s="6" t="n">
        <f aca="false">IF(Debt!T115&gt;Inputs!$F$253,(T11+Reserves!T9)/Debt!T115,0)</f>
        <v>1.42119363466593</v>
      </c>
      <c r="U13" s="6" t="n">
        <f aca="false">IF(Debt!U115&gt;Inputs!$F$253,(U11+Reserves!U9)/Debt!U115,0)</f>
        <v>1.42428927916414</v>
      </c>
      <c r="V13" s="6" t="n">
        <f aca="false">IF(Debt!V115&gt;Inputs!$F$253,(V11+Reserves!V9)/Debt!V115,0)</f>
        <v>1.42937072599715</v>
      </c>
      <c r="W13" s="6" t="n">
        <f aca="false">IF(Debt!W115&gt;Inputs!$F$253,(W11+Reserves!W9)/Debt!W115,0)</f>
        <v>1.43308908528978</v>
      </c>
      <c r="X13" s="6" t="n">
        <f aca="false">IF(Debt!X115&gt;Inputs!$F$253,(X11+Reserves!X9)/Debt!X115,0)</f>
        <v>1.43553965604363</v>
      </c>
      <c r="Y13" s="6" t="n">
        <f aca="false">IF(Debt!Y115&gt;Inputs!$F$253,(Y11+Reserves!Y9)/Debt!Y115,0)</f>
        <v>1.43983535829411</v>
      </c>
      <c r="Z13" s="6" t="n">
        <f aca="false">IF(Debt!Z115&gt;Inputs!$F$253,(Z11+Reserves!Z9)/Debt!Z115,0)</f>
        <v>1.44602242043593</v>
      </c>
      <c r="AA13" s="6" t="n">
        <f aca="false">IF(Debt!AA115&gt;Inputs!$F$253,(AA11+Reserves!AA9)/Debt!AA115,0)</f>
        <v>1.45163873923767</v>
      </c>
      <c r="AB13" s="6" t="n">
        <f aca="false">IF(Debt!AB115&gt;Inputs!$F$253,(AB11+Reserves!AB9)/Debt!AB115,0)</f>
        <v>1.48149905897068</v>
      </c>
      <c r="AC13" s="6" t="n">
        <f aca="false">IF(Debt!AC115&gt;Inputs!$F$253,(AC11+Reserves!AC9)/Debt!AC115,0)</f>
        <v>1.51545616291775</v>
      </c>
      <c r="AD13" s="6" t="n">
        <f aca="false">IF(Debt!AD115&gt;Inputs!$F$253,(AD11+Reserves!AD9)/Debt!AD115,0)</f>
        <v>1.55584041141691</v>
      </c>
      <c r="AE13" s="6" t="n">
        <f aca="false">IF(Debt!AE115&gt;Inputs!$F$253,(AE11+Reserves!AE9)/Debt!AE115,0)</f>
        <v>1.60492735040106</v>
      </c>
      <c r="AF13" s="6" t="n">
        <f aca="false">IF(Debt!AF115&gt;Inputs!$F$253,(AF11+Reserves!AF9)/Debt!AF115,0)</f>
        <v>1.66497001954223</v>
      </c>
      <c r="AG13" s="6" t="n">
        <f aca="false">IF(Debt!AG115&gt;Inputs!$F$253,(AG11+Reserves!AG9)/Debt!AG115,0)</f>
        <v>1.74031747664645</v>
      </c>
      <c r="AH13" s="6" t="n">
        <f aca="false">IF(Debt!AH115&gt;Inputs!$F$253,(AH11+Reserves!AH9)/Debt!AH115,0)</f>
        <v>1.83745514285006</v>
      </c>
      <c r="AI13" s="6" t="n">
        <f aca="false">IF(Debt!AI115&gt;Inputs!$F$253,(AI11+Reserves!AI9)/Debt!AI115,0)</f>
        <v>1.97135577313731</v>
      </c>
      <c r="AJ13" s="6" t="n">
        <f aca="false">IF(Debt!AJ115&gt;Inputs!$F$253,(AJ11+Reserves!AJ9)/Debt!AJ115,0)</f>
        <v>2.16559846718329</v>
      </c>
      <c r="AK13" s="6" t="n">
        <f aca="false">IF(Debt!AK115&gt;Inputs!$F$253,(AK11+Reserves!AK9)/Debt!AK115,0)</f>
        <v>2.48684569460259</v>
      </c>
      <c r="AL13" s="6" t="n">
        <f aca="false">IF(Debt!AL115&gt;Inputs!$F$253,(AL11+Reserves!AL9)/Debt!AL115,0)</f>
        <v>2.55791318152941</v>
      </c>
      <c r="AM13" s="6" t="n">
        <f aca="false">IF(Debt!AM115&gt;Inputs!$F$253,(AM11+Reserves!AM9)/Debt!AM115,0)</f>
        <v>2.67155694847494</v>
      </c>
      <c r="AN13" s="6" t="n">
        <f aca="false">IF(Debt!AN115&gt;Inputs!$F$253,(AN11+Reserves!AN9)/Debt!AN115,0)</f>
        <v>2.81954703087746</v>
      </c>
      <c r="AO13" s="6" t="n">
        <f aca="false">IF(Debt!AO115&gt;Inputs!$F$253,(AO11+Reserves!AO9)/Debt!AO115,0)</f>
        <v>3.21813553884206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1.35086763329941</v>
      </c>
      <c r="Q14" s="6" t="n">
        <f aca="false">IF(Debt!Q115&gt;Inputs!$F$253,Q11/Debt!Q115,0)</f>
        <v>1.3517065347626</v>
      </c>
      <c r="R14" s="6" t="n">
        <f aca="false">IF(Debt!R115&gt;Inputs!$F$253,R11/Debt!R115,0)</f>
        <v>1.35260002780959</v>
      </c>
      <c r="S14" s="6" t="n">
        <f aca="false">IF(Debt!S115&gt;Inputs!$F$253,S11/Debt!S115,0)</f>
        <v>1.35358418365361</v>
      </c>
      <c r="T14" s="6" t="n">
        <f aca="false">IF(Debt!T115&gt;Inputs!$F$253,T11/Debt!T115,0)</f>
        <v>1.35464125153895</v>
      </c>
      <c r="U14" s="6" t="n">
        <f aca="false">IF(Debt!U115&gt;Inputs!$F$253,U11/Debt!U115,0)</f>
        <v>1.35585433544835</v>
      </c>
      <c r="V14" s="6" t="n">
        <f aca="false">IF(Debt!V115&gt;Inputs!$F$253,V11/Debt!V115,0)</f>
        <v>1.35715319889007</v>
      </c>
      <c r="W14" s="6" t="n">
        <f aca="false">IF(Debt!W115&gt;Inputs!$F$253,W11/Debt!W115,0)</f>
        <v>1.3585514791213</v>
      </c>
      <c r="X14" s="6" t="n">
        <f aca="false">IF(Debt!X115&gt;Inputs!$F$253,X11/Debt!X115,0)</f>
        <v>1.36009491526792</v>
      </c>
      <c r="Y14" s="6" t="n">
        <f aca="false">IF(Debt!Y115&gt;Inputs!$F$253,Y11/Debt!Y115,0)</f>
        <v>1.36192024541064</v>
      </c>
      <c r="Z14" s="6" t="n">
        <f aca="false">IF(Debt!Z115&gt;Inputs!$F$253,Z11/Debt!Z115,0)</f>
        <v>1.36395103317293</v>
      </c>
      <c r="AA14" s="6" t="n">
        <f aca="false">IF(Debt!AA115&gt;Inputs!$F$253,AA11/Debt!AA115,0)</f>
        <v>1.36624954220379</v>
      </c>
      <c r="AB14" s="6" t="n">
        <f aca="false">IF(Debt!AB115&gt;Inputs!$F$253,AB11/Debt!AB115,0)</f>
        <v>1.38917684116815</v>
      </c>
      <c r="AC14" s="6" t="n">
        <f aca="false">IF(Debt!AC115&gt;Inputs!$F$253,AC11/Debt!AC115,0)</f>
        <v>1.41794893174864</v>
      </c>
      <c r="AD14" s="6" t="n">
        <f aca="false">IF(Debt!AD115&gt;Inputs!$F$253,AD11/Debt!AD115,0)</f>
        <v>1.44822215445674</v>
      </c>
      <c r="AE14" s="6" t="n">
        <f aca="false">IF(Debt!AE115&gt;Inputs!$F$253,AE11/Debt!AE115,0)</f>
        <v>1.48844629857109</v>
      </c>
      <c r="AF14" s="6" t="n">
        <f aca="false">IF(Debt!AF115&gt;Inputs!$F$253,AF11/Debt!AF115,0)</f>
        <v>1.53776643935668</v>
      </c>
      <c r="AG14" s="6" t="n">
        <f aca="false">IF(Debt!AG115&gt;Inputs!$F$253,AG11/Debt!AG115,0)</f>
        <v>1.60115229484529</v>
      </c>
      <c r="AH14" s="6" t="n">
        <f aca="false">IF(Debt!AH115&gt;Inputs!$F$253,AH11/Debt!AH115,0)</f>
        <v>1.6801839613081</v>
      </c>
      <c r="AI14" s="6" t="n">
        <f aca="false">IF(Debt!AI115&gt;Inputs!$F$253,AI11/Debt!AI115,0)</f>
        <v>1.79236919419512</v>
      </c>
      <c r="AJ14" s="6" t="n">
        <f aca="false">IF(Debt!AJ115&gt;Inputs!$F$253,AJ11/Debt!AJ115,0)</f>
        <v>1.95260703501452</v>
      </c>
      <c r="AK14" s="6" t="n">
        <f aca="false">IF(Debt!AK115&gt;Inputs!$F$253,AK11/Debt!AK115,0)</f>
        <v>2.22269504584343</v>
      </c>
      <c r="AL14" s="6" t="n">
        <f aca="false">IF(Debt!AL115&gt;Inputs!$F$253,AL11/Debt!AL115,0)</f>
        <v>2.25728308388396</v>
      </c>
      <c r="AM14" s="6" t="n">
        <f aca="false">IF(Debt!AM115&gt;Inputs!$F$253,AM11/Debt!AM115,0)</f>
        <v>2.26891553680833</v>
      </c>
      <c r="AN14" s="6" t="n">
        <f aca="false">IF(Debt!AN115&gt;Inputs!$F$253,AN11/Debt!AN115,0)</f>
        <v>2.29607886265779</v>
      </c>
      <c r="AO14" s="6" t="n">
        <f aca="false">IF(Debt!AO115&gt;Inputs!$F$253,AO11/Debt!AO115,0)</f>
        <v>2.19112360335728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1.84572478006799</v>
      </c>
      <c r="Q15" s="6" t="n">
        <f aca="false">IF(Debt!Q115&gt;Inputs!$F$253,Q12/Debt!Q115,0)</f>
        <v>1.87639923377176</v>
      </c>
      <c r="R15" s="6" t="n">
        <f aca="false">IF(Debt!R115&gt;Inputs!$F$253,R12/Debt!R115,0)</f>
        <v>1.90969853617722</v>
      </c>
      <c r="S15" s="6" t="n">
        <f aca="false">IF(Debt!S115&gt;Inputs!$F$253,S12/Debt!S115,0)</f>
        <v>1.9465325519867</v>
      </c>
      <c r="T15" s="6" t="n">
        <f aca="false">IF(Debt!T115&gt;Inputs!$F$253,T12/Debt!T115,0)</f>
        <v>1.98661490183315</v>
      </c>
      <c r="U15" s="6" t="n">
        <f aca="false">IF(Debt!U115&gt;Inputs!$F$253,U12/Debt!U115,0)</f>
        <v>2.0312848762884</v>
      </c>
      <c r="V15" s="6" t="n">
        <f aca="false">IF(Debt!V115&gt;Inputs!$F$253,V12/Debt!V115,0)</f>
        <v>2.08044793192774</v>
      </c>
      <c r="W15" s="6" t="n">
        <f aca="false">IF(Debt!W115&gt;Inputs!$F$253,W12/Debt!W115,0)</f>
        <v>2.13613417473308</v>
      </c>
      <c r="X15" s="6" t="n">
        <f aca="false">IF(Debt!X115&gt;Inputs!$F$253,X12/Debt!X115,0)</f>
        <v>2.19808400595618</v>
      </c>
      <c r="Y15" s="6" t="n">
        <f aca="false">IF(Debt!Y115&gt;Inputs!$F$253,Y12/Debt!Y115,0)</f>
        <v>2.26583766522537</v>
      </c>
      <c r="Z15" s="6" t="n">
        <f aca="false">IF(Debt!Z115&gt;Inputs!$F$253,Z12/Debt!Z115,0)</f>
        <v>2.3414486511366</v>
      </c>
      <c r="AA15" s="6" t="n">
        <f aca="false">IF(Debt!AA115&gt;Inputs!$F$253,AA12/Debt!AA115,0)</f>
        <v>2.42789286608016</v>
      </c>
      <c r="AB15" s="6" t="n">
        <f aca="false">IF(Debt!AB115&gt;Inputs!$F$253,AB12/Debt!AB115,0)</f>
        <v>2.56347074230913</v>
      </c>
      <c r="AC15" s="6" t="n">
        <f aca="false">IF(Debt!AC115&gt;Inputs!$F$253,AC12/Debt!AC115,0)</f>
        <v>2.7290915292807</v>
      </c>
      <c r="AD15" s="6" t="n">
        <f aca="false">IF(Debt!AD115&gt;Inputs!$F$253,AD12/Debt!AD115,0)</f>
        <v>2.92046809722135</v>
      </c>
      <c r="AE15" s="6" t="n">
        <f aca="false">IF(Debt!AE115&gt;Inputs!$F$253,AE12/Debt!AE115,0)</f>
        <v>3.16951670959158</v>
      </c>
      <c r="AF15" s="6" t="n">
        <f aca="false">IF(Debt!AF115&gt;Inputs!$F$253,AF12/Debt!AF115,0)</f>
        <v>3.4837874040332</v>
      </c>
      <c r="AG15" s="6" t="n">
        <f aca="false">IF(Debt!AG115&gt;Inputs!$F$253,AG12/Debt!AG115,0)</f>
        <v>3.89511133545318</v>
      </c>
      <c r="AH15" s="6" t="n">
        <f aca="false">IF(Debt!AH115&gt;Inputs!$F$253,AH12/Debt!AH115,0)</f>
        <v>4.43717878410284</v>
      </c>
      <c r="AI15" s="6" t="n">
        <f aca="false">IF(Debt!AI115&gt;Inputs!$F$253,AI12/Debt!AI115,0)</f>
        <v>5.22207243891888</v>
      </c>
      <c r="AJ15" s="6" t="n">
        <f aca="false">IF(Debt!AJ115&gt;Inputs!$F$253,AJ12/Debt!AJ115,0)</f>
        <v>6.39948121986087</v>
      </c>
      <c r="AK15" s="6" t="n">
        <f aca="false">IF(Debt!AK115&gt;Inputs!$F$253,AK12/Debt!AK115,0)</f>
        <v>8.44612532674719</v>
      </c>
      <c r="AL15" s="6" t="n">
        <f aca="false">IF(Debt!AL115&gt;Inputs!$F$253,AL12/Debt!AL115,0)</f>
        <v>10.3853954985461</v>
      </c>
      <c r="AM15" s="6" t="n">
        <f aca="false">IF(Debt!AM115&gt;Inputs!$F$253,AM12/Debt!AM115,0)</f>
        <v>13.6898415932612</v>
      </c>
      <c r="AN15" s="6" t="n">
        <f aca="false">IF(Debt!AN115&gt;Inputs!$F$253,AN12/Debt!AN115,0)</f>
        <v>21.0820832091444</v>
      </c>
      <c r="AO15" s="6" t="n">
        <f aca="false">IF(Debt!AO115&gt;Inputs!$F$253,AO12/Debt!AO115,0)</f>
        <v>40.5013230489738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1.33689386092952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1.52612440396147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1.40968412595891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1.84572478006799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1159.26188138784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14.7176963844723</v>
      </c>
      <c r="BS8" s="18" t="n">
        <f aca="false">Waterfall!Q44</f>
        <v>12.0630526915915</v>
      </c>
      <c r="BT8" s="18" t="n">
        <f aca="false">Waterfall!R44</f>
        <v>12.9825561982771</v>
      </c>
      <c r="BU8" s="18" t="n">
        <f aca="false">Waterfall!S44</f>
        <v>12.1829516458029</v>
      </c>
      <c r="BV8" s="18" t="n">
        <f aca="false">Waterfall!T44</f>
        <v>12.9026827010628</v>
      </c>
      <c r="BW8" s="18" t="n">
        <f aca="false">Waterfall!U44</f>
        <v>11.9638416265651</v>
      </c>
      <c r="BX8" s="18" t="n">
        <f aca="false">Waterfall!V44</f>
        <v>13.2260533419628</v>
      </c>
      <c r="BY8" s="18" t="n">
        <f aca="false">Waterfall!W44</f>
        <v>13.9742744618988</v>
      </c>
      <c r="BZ8" s="18" t="n">
        <f aca="false">Waterfall!X44</f>
        <v>12.7968135944758</v>
      </c>
      <c r="CA8" s="18" t="n">
        <f aca="false">Waterfall!Y44</f>
        <v>12.022243190551</v>
      </c>
      <c r="CB8" s="18" t="n">
        <f aca="false">Waterfall!Z44</f>
        <v>12.731938660087</v>
      </c>
      <c r="CC8" s="18" t="n">
        <f aca="false">Waterfall!AA44</f>
        <v>5.9567541825079</v>
      </c>
      <c r="CD8" s="18" t="n">
        <f aca="false">Waterfall!AB44</f>
        <v>6.92882639578735</v>
      </c>
      <c r="CE8" s="18" t="n">
        <f aca="false">Waterfall!AC44</f>
        <v>6.60061692017251</v>
      </c>
      <c r="CF8" s="18" t="n">
        <f aca="false">Waterfall!AD44</f>
        <v>7.95397257843099</v>
      </c>
      <c r="CG8" s="18" t="n">
        <f aca="false">Waterfall!AE44</f>
        <v>8.55589220718567</v>
      </c>
      <c r="CH8" s="18" t="n">
        <f aca="false">Waterfall!AF44</f>
        <v>9.39219753379926</v>
      </c>
      <c r="CI8" s="18" t="n">
        <f aca="false">Waterfall!AG44</f>
        <v>9.79411553992618</v>
      </c>
      <c r="CJ8" s="18" t="n">
        <f aca="false">Waterfall!AH44</f>
        <v>11.142006771365</v>
      </c>
      <c r="CK8" s="18" t="n">
        <f aca="false">Waterfall!AI44</f>
        <v>11.9841932157641</v>
      </c>
      <c r="CL8" s="18" t="n">
        <f aca="false">Waterfall!AJ44</f>
        <v>13.8058613819075</v>
      </c>
      <c r="CM8" s="18" t="n">
        <f aca="false">Waterfall!AK44</f>
        <v>30.0116121872566</v>
      </c>
      <c r="CN8" s="18" t="n">
        <f aca="false">Waterfall!AL44</f>
        <v>29.6386207296436</v>
      </c>
      <c r="CO8" s="18" t="n">
        <f aca="false">Waterfall!AM44</f>
        <v>33.3519342850037</v>
      </c>
      <c r="CP8" s="18" t="n">
        <f aca="false">Waterfall!AN44</f>
        <v>26.9547977633922</v>
      </c>
      <c r="CQ8" s="18" t="n">
        <f aca="false">Waterfall!AO44</f>
        <v>41.4251807086794</v>
      </c>
      <c r="CR8" s="18" t="n">
        <f aca="false">Waterfall!AP44</f>
        <v>41.3623431861756</v>
      </c>
      <c r="CS8" s="18" t="n">
        <f aca="false">Waterfall!AQ44</f>
        <v>40.8448092280966</v>
      </c>
      <c r="CT8" s="18" t="n">
        <f aca="false">Waterfall!AR44</f>
        <v>41.4164920404557</v>
      </c>
      <c r="CU8" s="18" t="n">
        <f aca="false">Waterfall!AS44</f>
        <v>41.1772953886096</v>
      </c>
      <c r="CV8" s="18" t="n">
        <f aca="false">Waterfall!AT44</f>
        <v>47.9491025634233</v>
      </c>
      <c r="CW8" s="18" t="n">
        <f aca="false">Waterfall!AU44</f>
        <v>43.5364407468505</v>
      </c>
      <c r="CX8" s="18" t="n">
        <f aca="false">Waterfall!AV44</f>
        <v>43.5943393821039</v>
      </c>
      <c r="CY8" s="18" t="n">
        <f aca="false">Waterfall!AW44</f>
        <v>43.1607252592778</v>
      </c>
      <c r="CZ8" s="18" t="n">
        <f aca="false">Waterfall!AX44</f>
        <v>43.8278481449981</v>
      </c>
      <c r="DA8" s="18" t="n">
        <f aca="false">Waterfall!AY44</f>
        <v>43.3900223859442</v>
      </c>
      <c r="DB8" s="18" t="n">
        <f aca="false">Waterfall!AZ44</f>
        <v>43.9818721752957</v>
      </c>
      <c r="DC8" s="18" t="n">
        <f aca="false">Waterfall!BA44</f>
        <v>43.2104886195516</v>
      </c>
      <c r="DD8" s="18" t="n">
        <f aca="false">Waterfall!BB44</f>
        <v>44.4733228718661</v>
      </c>
      <c r="DE8" s="18" t="n">
        <f aca="false">Waterfall!BC44</f>
        <v>41.0800588038954</v>
      </c>
      <c r="DF8" s="18" t="n">
        <f aca="false">Waterfall!BD44</f>
        <v>34.9139216851454</v>
      </c>
      <c r="DG8" s="18" t="n">
        <f aca="false">Waterfall!BE44</f>
        <v>34.466085148609</v>
      </c>
      <c r="DH8" s="18" t="n">
        <f aca="false">Waterfall!BF44</f>
        <v>35.1455995576385</v>
      </c>
      <c r="DI8" s="18" t="n">
        <f aca="false">Waterfall!BG44</f>
        <v>34.6814212129413</v>
      </c>
      <c r="DJ8" s="18" t="n">
        <f aca="false">Waterfall!BH44</f>
        <v>35.277781357672</v>
      </c>
      <c r="DK8" s="18" t="n">
        <f aca="false">Waterfall!BI44</f>
        <v>35.0295660909891</v>
      </c>
      <c r="DL8" s="18" t="n">
        <f aca="false">Waterfall!BJ44</f>
        <v>43.081004573616</v>
      </c>
      <c r="DM8" s="18" t="n">
        <f aca="false">Waterfall!BK44</f>
        <v>37.8419562214593</v>
      </c>
      <c r="DN8" s="18" t="n">
        <f aca="false">Waterfall!BL44</f>
        <v>38.4974983256152</v>
      </c>
      <c r="DO8" s="18" t="n">
        <f aca="false">Waterfall!BM44</f>
        <v>54.0949671040943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1579.44975079137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2.07868324043254</v>
      </c>
      <c r="BR9" s="18" t="n">
        <f aca="false">Waterfall!P7</f>
        <v>49.7960295991867</v>
      </c>
      <c r="BS9" s="18" t="n">
        <f aca="false">Waterfall!Q7</f>
        <v>49.6878377792695</v>
      </c>
      <c r="BT9" s="18" t="n">
        <f aca="false">Waterfall!R7</f>
        <v>50.315868690834</v>
      </c>
      <c r="BU9" s="18" t="n">
        <f aca="false">Waterfall!S7</f>
        <v>49.9341694275507</v>
      </c>
      <c r="BV9" s="18" t="n">
        <f aca="false">Waterfall!T7</f>
        <v>50.4733754559156</v>
      </c>
      <c r="BW9" s="18" t="n">
        <f aca="false">Waterfall!U7</f>
        <v>50.2517618617235</v>
      </c>
      <c r="BX9" s="18" t="n">
        <f aca="false">Waterfall!V7</f>
        <v>51.2492807678325</v>
      </c>
      <c r="BY9" s="18" t="n">
        <f aca="false">Waterfall!W7</f>
        <v>50.9010695364882</v>
      </c>
      <c r="BZ9" s="18" t="n">
        <f aca="false">Waterfall!X7</f>
        <v>49.3672056390209</v>
      </c>
      <c r="CA9" s="18" t="n">
        <f aca="false">Waterfall!Y7</f>
        <v>48.8936062990651</v>
      </c>
      <c r="CB9" s="18" t="n">
        <f aca="false">Waterfall!Z7</f>
        <v>49.3062260149414</v>
      </c>
      <c r="CC9" s="18" t="n">
        <f aca="false">Waterfall!AA7</f>
        <v>48.918256996992</v>
      </c>
      <c r="CD9" s="18" t="n">
        <f aca="false">Waterfall!AB7</f>
        <v>49.4732013015428</v>
      </c>
      <c r="CE9" s="18" t="n">
        <f aca="false">Waterfall!AC7</f>
        <v>49.3021619833541</v>
      </c>
      <c r="CF9" s="18" t="n">
        <f aca="false">Waterfall!AD7</f>
        <v>51.2697236680761</v>
      </c>
      <c r="CG9" s="18" t="n">
        <f aca="false">Waterfall!AE7</f>
        <v>51.3625426795468</v>
      </c>
      <c r="CH9" s="18" t="n">
        <f aca="false">Waterfall!AF7</f>
        <v>51.442106791936</v>
      </c>
      <c r="CI9" s="18" t="n">
        <f aca="false">Waterfall!AG7</f>
        <v>51.0685258385037</v>
      </c>
      <c r="CJ9" s="18" t="n">
        <f aca="false">Waterfall!AH7</f>
        <v>51.7348196571993</v>
      </c>
      <c r="CK9" s="18" t="n">
        <f aca="false">Waterfall!AI7</f>
        <v>51.3416167856381</v>
      </c>
      <c r="CL9" s="18" t="n">
        <f aca="false">Waterfall!AJ7</f>
        <v>51.9152855989399</v>
      </c>
      <c r="CM9" s="18" t="n">
        <f aca="false">Waterfall!AK7</f>
        <v>51.7032195580499</v>
      </c>
      <c r="CN9" s="18" t="n">
        <f aca="false">Waterfall!AL7</f>
        <v>52.8483757854537</v>
      </c>
      <c r="CO9" s="18" t="n">
        <f aca="false">Waterfall!AM7</f>
        <v>52.4839515398679</v>
      </c>
      <c r="CP9" s="18" t="n">
        <f aca="false">Waterfall!AN7</f>
        <v>45.8607055110004</v>
      </c>
      <c r="CQ9" s="18" t="n">
        <f aca="false">Waterfall!AO7</f>
        <v>41.4251807086794</v>
      </c>
      <c r="CR9" s="18" t="n">
        <f aca="false">Waterfall!AP7</f>
        <v>41.3623431861756</v>
      </c>
      <c r="CS9" s="18" t="n">
        <f aca="false">Waterfall!AQ7</f>
        <v>40.8448092280966</v>
      </c>
      <c r="CT9" s="18" t="n">
        <f aca="false">Waterfall!AR7</f>
        <v>41.4164920404557</v>
      </c>
      <c r="CU9" s="18" t="n">
        <f aca="false">Waterfall!AS7</f>
        <v>41.1772953886096</v>
      </c>
      <c r="CV9" s="18" t="n">
        <f aca="false">Waterfall!AT7</f>
        <v>47.9491025634233</v>
      </c>
      <c r="CW9" s="18" t="n">
        <f aca="false">Waterfall!AU7</f>
        <v>43.5364407468505</v>
      </c>
      <c r="CX9" s="18" t="n">
        <f aca="false">Waterfall!AV7</f>
        <v>43.5943393821039</v>
      </c>
      <c r="CY9" s="18" t="n">
        <f aca="false">Waterfall!AW7</f>
        <v>43.1607252592778</v>
      </c>
      <c r="CZ9" s="18" t="n">
        <f aca="false">Waterfall!AX7</f>
        <v>43.8278481449981</v>
      </c>
      <c r="DA9" s="18" t="n">
        <f aca="false">Waterfall!AY7</f>
        <v>43.3900223859442</v>
      </c>
      <c r="DB9" s="18" t="n">
        <f aca="false">Waterfall!AZ7</f>
        <v>43.9818721752957</v>
      </c>
      <c r="DC9" s="18" t="n">
        <f aca="false">Waterfall!BA7</f>
        <v>43.7054570061603</v>
      </c>
      <c r="DD9" s="18" t="n">
        <f aca="false">Waterfall!BB7</f>
        <v>45.9744731265106</v>
      </c>
      <c r="DE9" s="18" t="n">
        <f aca="false">Waterfall!BC7</f>
        <v>42.5976318772376</v>
      </c>
      <c r="DF9" s="18" t="n">
        <f aca="false">Waterfall!BD7</f>
        <v>36.448097245392</v>
      </c>
      <c r="DG9" s="18" t="n">
        <f aca="false">Waterfall!BE7</f>
        <v>36.0170448295648</v>
      </c>
      <c r="DH9" s="18" t="n">
        <f aca="false">Waterfall!BF7</f>
        <v>36.7135269802105</v>
      </c>
      <c r="DI9" s="18" t="n">
        <f aca="false">Waterfall!BG7</f>
        <v>36.2665020068781</v>
      </c>
      <c r="DJ9" s="18" t="n">
        <f aca="false">Waterfall!BH7</f>
        <v>36.8802031835406</v>
      </c>
      <c r="DK9" s="18" t="n">
        <f aca="false">Waterfall!BI7</f>
        <v>36.6495186623925</v>
      </c>
      <c r="DL9" s="18" t="n">
        <f aca="false">Waterfall!BJ7</f>
        <v>44.7186796796537</v>
      </c>
      <c r="DM9" s="18" t="n">
        <f aca="false">Waterfall!BK7</f>
        <v>39.4975477494335</v>
      </c>
      <c r="DN9" s="18" t="n">
        <f aca="false">Waterfall!BL7</f>
        <v>40.1712022839858</v>
      </c>
      <c r="DO9" s="18" t="n">
        <f aca="false">Waterfall!BM7</f>
        <v>36.1537869421333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1888.74348918594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2.07868324043254</v>
      </c>
      <c r="BR10" s="13" t="n">
        <f aca="false">Waterfall!P7+Tax!P27</f>
        <v>49.7960295991867</v>
      </c>
      <c r="BS10" s="13" t="n">
        <f aca="false">Waterfall!Q7+Tax!Q27</f>
        <v>49.6878377792695</v>
      </c>
      <c r="BT10" s="13" t="n">
        <f aca="false">Waterfall!R7+Tax!R27</f>
        <v>50.315868690834</v>
      </c>
      <c r="BU10" s="13" t="n">
        <f aca="false">Waterfall!S7+Tax!S27</f>
        <v>49.9341694275507</v>
      </c>
      <c r="BV10" s="13" t="n">
        <f aca="false">Waterfall!T7+Tax!T27</f>
        <v>50.4733754559156</v>
      </c>
      <c r="BW10" s="13" t="n">
        <f aca="false">Waterfall!U7+Tax!U27</f>
        <v>50.2517618617235</v>
      </c>
      <c r="BX10" s="13" t="n">
        <f aca="false">Waterfall!V7+Tax!V27</f>
        <v>51.2492807678325</v>
      </c>
      <c r="BY10" s="13" t="n">
        <f aca="false">Waterfall!W7+Tax!W27</f>
        <v>50.9010695364882</v>
      </c>
      <c r="BZ10" s="13" t="n">
        <f aca="false">Waterfall!X7+Tax!X27</f>
        <v>49.3672056390209</v>
      </c>
      <c r="CA10" s="13" t="n">
        <f aca="false">Waterfall!Y7+Tax!Y27</f>
        <v>49.0068432917621</v>
      </c>
      <c r="CB10" s="13" t="n">
        <f aca="false">Waterfall!Z7+Tax!Z27</f>
        <v>49.6472377297408</v>
      </c>
      <c r="CC10" s="13" t="n">
        <f aca="false">Waterfall!AA7+Tax!AA27</f>
        <v>49.2608491596478</v>
      </c>
      <c r="CD10" s="13" t="n">
        <f aca="false">Waterfall!AB7+Tax!AB27</f>
        <v>49.8174818424225</v>
      </c>
      <c r="CE10" s="13" t="n">
        <f aca="false">Waterfall!AC7+Tax!AC27</f>
        <v>49.6474535845219</v>
      </c>
      <c r="CF10" s="13" t="n">
        <f aca="false">Waterfall!AD7+Tax!AD27</f>
        <v>51.6109093451348</v>
      </c>
      <c r="CG10" s="13" t="n">
        <f aca="false">Waterfall!AE7+Tax!AE27</f>
        <v>51.7104002500008</v>
      </c>
      <c r="CH10" s="13" t="n">
        <f aca="false">Waterfall!AF7+Tax!AF27</f>
        <v>51.7925925063546</v>
      </c>
      <c r="CI10" s="13" t="n">
        <f aca="false">Waterfall!AG7+Tax!AG27</f>
        <v>51.4205101964277</v>
      </c>
      <c r="CJ10" s="13" t="n">
        <f aca="false">Waterfall!AH7+Tax!AH27</f>
        <v>52.0882222504389</v>
      </c>
      <c r="CK10" s="13" t="n">
        <f aca="false">Waterfall!AI7+Tax!AI27</f>
        <v>51.6967410023939</v>
      </c>
      <c r="CL10" s="13" t="n">
        <f aca="false">Waterfall!AJ7+Tax!AJ27</f>
        <v>52.2722485560124</v>
      </c>
      <c r="CM10" s="13" t="n">
        <f aca="false">Waterfall!AK7+Tax!AK27</f>
        <v>52.0614950898649</v>
      </c>
      <c r="CN10" s="13" t="n">
        <f aca="false">Waterfall!AL7+Tax!AL27</f>
        <v>53.2076205004068</v>
      </c>
      <c r="CO10" s="13" t="n">
        <f aca="false">Waterfall!AM7+Tax!AM27</f>
        <v>52.8452425283715</v>
      </c>
      <c r="CP10" s="13" t="n">
        <f aca="false">Waterfall!AN7+Tax!AN27</f>
        <v>50.951196487978</v>
      </c>
      <c r="CQ10" s="13" t="n">
        <f aca="false">Waterfall!AO7+Tax!AO27</f>
        <v>50.5843762852966</v>
      </c>
      <c r="CR10" s="13" t="n">
        <f aca="false">Waterfall!AP7+Tax!AP27</f>
        <v>51.2818032646592</v>
      </c>
      <c r="CS10" s="13" t="n">
        <f aca="false">Waterfall!AQ7+Tax!AQ27</f>
        <v>50.8847908042365</v>
      </c>
      <c r="CT10" s="13" t="n">
        <f aca="false">Waterfall!AR7+Tax!AR27</f>
        <v>51.4807435356632</v>
      </c>
      <c r="CU10" s="13" t="n">
        <f aca="false">Waterfall!AS7+Tax!AS27</f>
        <v>51.332242444805</v>
      </c>
      <c r="CV10" s="13" t="n">
        <f aca="false">Waterfall!AT7+Tax!AT27</f>
        <v>53.7135374563289</v>
      </c>
      <c r="CW10" s="13" t="n">
        <f aca="false">Waterfall!AU7+Tax!AU27</f>
        <v>53.8274722725148</v>
      </c>
      <c r="CX10" s="13" t="n">
        <f aca="false">Waterfall!AV7+Tax!AV27</f>
        <v>53.827325853988</v>
      </c>
      <c r="CY10" s="13" t="n">
        <f aca="false">Waterfall!AW7+Tax!AW27</f>
        <v>53.4458304682974</v>
      </c>
      <c r="CZ10" s="13" t="n">
        <f aca="false">Waterfall!AX7+Tax!AX27</f>
        <v>54.1755816299973</v>
      </c>
      <c r="DA10" s="13" t="n">
        <f aca="false">Waterfall!AY7+Tax!AY27</f>
        <v>53.7725611692459</v>
      </c>
      <c r="DB10" s="13" t="n">
        <f aca="false">Waterfall!AZ7+Tax!AZ27</f>
        <v>54.3906618948195</v>
      </c>
      <c r="DC10" s="13" t="n">
        <f aca="false">Waterfall!BA7+Tax!BA27</f>
        <v>54.1930361907881</v>
      </c>
      <c r="DD10" s="13" t="n">
        <f aca="false">Waterfall!BB7+Tax!BB27</f>
        <v>55.5160474545759</v>
      </c>
      <c r="DE10" s="13" t="n">
        <f aca="false">Waterfall!BC7+Tax!BC27</f>
        <v>55.1368639397004</v>
      </c>
      <c r="DF10" s="13" t="n">
        <f aca="false">Waterfall!BD7+Tax!BD27</f>
        <v>52.8131947882859</v>
      </c>
      <c r="DG10" s="13" t="n">
        <f aca="false">Waterfall!BE7+Tax!BE27</f>
        <v>52.4386866774342</v>
      </c>
      <c r="DH10" s="13" t="n">
        <f aca="false">Waterfall!BF7+Tax!BF27</f>
        <v>53.2036020687371</v>
      </c>
      <c r="DI10" s="13" t="n">
        <f aca="false">Waterfall!BG7+Tax!BG27</f>
        <v>52.7940552031208</v>
      </c>
      <c r="DJ10" s="13" t="n">
        <f aca="false">Waterfall!BH7+Tax!BH27</f>
        <v>53.436150565408</v>
      </c>
      <c r="DK10" s="13" t="n">
        <f aca="false">Waterfall!BI7+Tax!BI27</f>
        <v>53.3136001008619</v>
      </c>
      <c r="DL10" s="13" t="n">
        <f aca="false">Waterfall!BJ7+Tax!BJ27</f>
        <v>56.1924953462055</v>
      </c>
      <c r="DM10" s="13" t="n">
        <f aca="false">Waterfall!BK7+Tax!BK27</f>
        <v>56.3236688545115</v>
      </c>
      <c r="DN10" s="13" t="n">
        <f aca="false">Waterfall!BL7+Tax!BL27</f>
        <v>56.9260039117945</v>
      </c>
      <c r="DO10" s="13" t="n">
        <f aca="false">Waterfall!BM7+Tax!BM27</f>
        <v>41.6368306849296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-207.116071199585</v>
      </c>
      <c r="BS11" s="13" t="n">
        <f aca="false">BR11+BS8</f>
        <v>-195.053018507993</v>
      </c>
      <c r="BT11" s="13" t="n">
        <f aca="false">BS11+BT8</f>
        <v>-182.070462309716</v>
      </c>
      <c r="BU11" s="13" t="n">
        <f aca="false">BT11+BU8</f>
        <v>-169.887510663914</v>
      </c>
      <c r="BV11" s="13" t="n">
        <f aca="false">BU11+BV8</f>
        <v>-156.984827962851</v>
      </c>
      <c r="BW11" s="13" t="n">
        <f aca="false">BV11+BW8</f>
        <v>-145.020986336286</v>
      </c>
      <c r="BX11" s="13" t="n">
        <f aca="false">BW11+BX8</f>
        <v>-131.794932994323</v>
      </c>
      <c r="BY11" s="13" t="n">
        <f aca="false">BX11+BY8</f>
        <v>-117.820658532424</v>
      </c>
      <c r="BZ11" s="13" t="n">
        <f aca="false">BY11+BZ8</f>
        <v>-105.023844937948</v>
      </c>
      <c r="CA11" s="13" t="n">
        <f aca="false">BZ11+CA8</f>
        <v>-93.0016017473972</v>
      </c>
      <c r="CB11" s="13" t="n">
        <f aca="false">CA11+CB8</f>
        <v>-80.2696630873103</v>
      </c>
      <c r="CC11" s="13" t="n">
        <f aca="false">CB11+CC8</f>
        <v>-74.3129089048024</v>
      </c>
      <c r="CD11" s="13" t="n">
        <f aca="false">CC11+CD8</f>
        <v>-67.384082509015</v>
      </c>
      <c r="CE11" s="13" t="n">
        <f aca="false">CD11+CE8</f>
        <v>-60.7834655888425</v>
      </c>
      <c r="CF11" s="13" t="n">
        <f aca="false">CE11+CF8</f>
        <v>-52.8294930104115</v>
      </c>
      <c r="CG11" s="13" t="n">
        <f aca="false">CF11+CG8</f>
        <v>-44.2736008032258</v>
      </c>
      <c r="CH11" s="13" t="n">
        <f aca="false">CG11+CH8</f>
        <v>-34.8814032694266</v>
      </c>
      <c r="CI11" s="13" t="n">
        <f aca="false">CH11+CI8</f>
        <v>-25.0872877295004</v>
      </c>
      <c r="CJ11" s="13" t="n">
        <f aca="false">CI11+CJ8</f>
        <v>-13.9452809581354</v>
      </c>
      <c r="CK11" s="13" t="n">
        <f aca="false">CJ11+CK8</f>
        <v>-1.96108774237137</v>
      </c>
      <c r="CL11" s="13" t="n">
        <f aca="false">CK11+CL8</f>
        <v>11.8447736395362</v>
      </c>
      <c r="CM11" s="13" t="n">
        <f aca="false">CL11+CM8</f>
        <v>41.8563858267928</v>
      </c>
      <c r="CN11" s="13" t="n">
        <f aca="false">CM11+CN8</f>
        <v>71.4950065564364</v>
      </c>
      <c r="CO11" s="13" t="n">
        <f aca="false">CN11+CO8</f>
        <v>104.84694084144</v>
      </c>
      <c r="CP11" s="13" t="n">
        <f aca="false">CO11+CP8</f>
        <v>131.801738604832</v>
      </c>
      <c r="CQ11" s="13" t="n">
        <f aca="false">CP11+CQ8</f>
        <v>173.226919313512</v>
      </c>
      <c r="CR11" s="13" t="n">
        <f aca="false">CQ11+CR8</f>
        <v>214.589262499687</v>
      </c>
      <c r="CS11" s="13" t="n">
        <f aca="false">CR11+CS8</f>
        <v>255.434071727784</v>
      </c>
      <c r="CT11" s="13" t="n">
        <f aca="false">CS11+CT8</f>
        <v>296.85056376824</v>
      </c>
      <c r="CU11" s="13" t="n">
        <f aca="false">CT11+CU8</f>
        <v>338.027859156849</v>
      </c>
      <c r="CV11" s="13" t="n">
        <f aca="false">CU11+CV8</f>
        <v>385.976961720273</v>
      </c>
      <c r="CW11" s="13" t="n">
        <f aca="false">CV11+CW8</f>
        <v>429.513402467123</v>
      </c>
      <c r="CX11" s="13" t="n">
        <f aca="false">CW11+CX8</f>
        <v>473.107741849227</v>
      </c>
      <c r="CY11" s="13" t="n">
        <f aca="false">CX11+CY8</f>
        <v>516.268467108505</v>
      </c>
      <c r="CZ11" s="13" t="n">
        <f aca="false">CY11+CZ8</f>
        <v>560.096315253503</v>
      </c>
      <c r="DA11" s="13" t="n">
        <f aca="false">CZ11+DA8</f>
        <v>603.486337639447</v>
      </c>
      <c r="DB11" s="13" t="n">
        <f aca="false">DA11+DB8</f>
        <v>647.468209814743</v>
      </c>
      <c r="DC11" s="13" t="n">
        <f aca="false">DB11+DC8</f>
        <v>690.678698434295</v>
      </c>
      <c r="DD11" s="13" t="n">
        <f aca="false">DC11+DD8</f>
        <v>735.152021306161</v>
      </c>
      <c r="DE11" s="13" t="n">
        <f aca="false">DD11+DE8</f>
        <v>776.232080110056</v>
      </c>
      <c r="DF11" s="13" t="n">
        <f aca="false">DE11+DF8</f>
        <v>811.146001795201</v>
      </c>
      <c r="DG11" s="13" t="n">
        <f aca="false">DF11+DG8</f>
        <v>845.612086943811</v>
      </c>
      <c r="DH11" s="13" t="n">
        <f aca="false">DG11+DH8</f>
        <v>880.757686501449</v>
      </c>
      <c r="DI11" s="13" t="n">
        <f aca="false">DH11+DI8</f>
        <v>915.43910771439</v>
      </c>
      <c r="DJ11" s="13" t="n">
        <f aca="false">DI11+DJ8</f>
        <v>950.716889072062</v>
      </c>
      <c r="DK11" s="13" t="n">
        <f aca="false">DJ11+DK8</f>
        <v>985.746455163052</v>
      </c>
      <c r="DL11" s="13" t="n">
        <f aca="false">DK11+DL8</f>
        <v>1028.82745973667</v>
      </c>
      <c r="DM11" s="13" t="n">
        <f aca="false">DL11+DM8</f>
        <v>1066.66941595813</v>
      </c>
      <c r="DN11" s="13" t="n">
        <f aca="false">DM11+DN8</f>
        <v>1105.16691428374</v>
      </c>
      <c r="DO11" s="13" t="n">
        <f aca="false">DN11+DO8</f>
        <v>1159.26188138784</v>
      </c>
      <c r="DP11" s="13" t="n">
        <f aca="false">DO11+DP8</f>
        <v>1159.26188138784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0.130780953205292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0.108746529375256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0.11481636851812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-46.0838558026792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1.33689386092952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1.52612440396147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1.40968412595891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1.84572478006799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0.130780953205292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0.108746529375256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-46.0838558026792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2026-10-03T21:37:22Z</dcterms:created>
  <dc:creator>openpyxl</dc:creator>
  <dc:description/>
  <dc:language>en-US</dc:language>
  <cp:lastModifiedBy/>
  <dcterms:modified xsi:type="dcterms:W3CDTF">2026-10-03T21:37:22Z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