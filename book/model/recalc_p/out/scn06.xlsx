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<sst xmlns="http://schemas.openxmlformats.org/spreadsheetml/2006/main" count="2466" uniqueCount="947">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</sst>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6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1.1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307.295598966072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1.53884550107693</v>
      </c>
      <c r="P60" s="13" t="n">
        <f aca="false">Inputs!$F$151*(Inputs!$F$152*P21+(1-Inputs!$F$152)*P27*Inputs!$F$153/P11)*Time!P30/12*Inputs!$F$40</f>
        <v>4.66704213500875</v>
      </c>
      <c r="Q60" s="13" t="n">
        <f aca="false">Inputs!$F$151*(Inputs!$F$152*Q21+(1-Inputs!$F$152)*Q27*Inputs!$F$153/Q11)*Time!Q30/12*Inputs!$F$40</f>
        <v>4.71810030630188</v>
      </c>
      <c r="R60" s="13" t="n">
        <f aca="false">Inputs!$F$151*(Inputs!$F$152*R21+(1-Inputs!$F$152)*R27*Inputs!$F$153/R11)*Time!R30/12*Inputs!$F$40</f>
        <v>4.76971706197895</v>
      </c>
      <c r="S60" s="13" t="n">
        <f aca="false">Inputs!$F$151*(Inputs!$F$152*S21+(1-Inputs!$F$152)*S27*Inputs!$F$153/S11)*Time!S30/12*Inputs!$F$40</f>
        <v>4.82189851304052</v>
      </c>
      <c r="T60" s="13" t="n">
        <f aca="false">Inputs!$F$151*(Inputs!$F$152*T21+(1-Inputs!$F$152)*T27*Inputs!$F$153/T11)*Time!T30/12*Inputs!$F$40</f>
        <v>4.87465083734248</v>
      </c>
      <c r="U60" s="13" t="n">
        <f aca="false">Inputs!$F$151*(Inputs!$F$152*U21+(1-Inputs!$F$152)*U27*Inputs!$F$153/U11)*Time!U30/12*Inputs!$F$40</f>
        <v>4.92798028032741</v>
      </c>
      <c r="V60" s="13" t="n">
        <f aca="false">Inputs!$F$151*(Inputs!$F$152*V21+(1-Inputs!$F$152)*V27*Inputs!$F$153/V11)*Time!V30/12*Inputs!$F$40</f>
        <v>4.98189315576401</v>
      </c>
      <c r="W60" s="13" t="n">
        <f aca="false">Inputs!$F$151*(Inputs!$F$152*W21+(1-Inputs!$F$152)*W27*Inputs!$F$153/W11)*Time!W30/12*Inputs!$F$40</f>
        <v>5.03639584649461</v>
      </c>
      <c r="X60" s="13" t="n">
        <f aca="false">Inputs!$F$151*(Inputs!$F$152*X21+(1-Inputs!$F$152)*X27*Inputs!$F$153/X11)*Time!X30/12*Inputs!$F$40</f>
        <v>5.09149480519082</v>
      </c>
      <c r="Y60" s="13" t="n">
        <f aca="false">Inputs!$F$151*(Inputs!$F$152*Y21+(1-Inputs!$F$152)*Y27*Inputs!$F$153/Y11)*Time!Y30/12*Inputs!$F$40</f>
        <v>5.14719655511749</v>
      </c>
      <c r="Z60" s="13" t="n">
        <f aca="false">Inputs!$F$151*(Inputs!$F$152*Z21+(1-Inputs!$F$152)*Z27*Inputs!$F$153/Z11)*Time!Z30/12*Inputs!$F$40</f>
        <v>5.20350769090502</v>
      </c>
      <c r="AA60" s="13" t="n">
        <f aca="false">Inputs!$F$151*(Inputs!$F$152*AA21+(1-Inputs!$F$152)*AA27*Inputs!$F$153/AA11)*Time!AA30/12*Inputs!$F$40</f>
        <v>5.26043487933008</v>
      </c>
      <c r="AB60" s="13" t="n">
        <f aca="false">Inputs!$F$151*(Inputs!$F$152*AB21+(1-Inputs!$F$152)*AB27*Inputs!$F$153/AB11)*Time!AB30/12*Inputs!$F$40</f>
        <v>5.31798486010493</v>
      </c>
      <c r="AC60" s="13" t="n">
        <f aca="false">Inputs!$F$151*(Inputs!$F$152*AC21+(1-Inputs!$F$152)*AC27*Inputs!$F$153/AC11)*Time!AC30/12*Inputs!$F$40</f>
        <v>5.37616444667534</v>
      </c>
      <c r="AD60" s="13" t="n">
        <f aca="false">Inputs!$F$151*(Inputs!$F$152*AD21+(1-Inputs!$F$152)*AD27*Inputs!$F$153/AD11)*Time!AD30/12*Inputs!$F$40</f>
        <v>5.43498052702724</v>
      </c>
      <c r="AE60" s="13" t="n">
        <f aca="false">Inputs!$F$151*(Inputs!$F$152*AE21+(1-Inputs!$F$152)*AE27*Inputs!$F$153/AE11)*Time!AE30/12*Inputs!$F$40</f>
        <v>5.4944400645022</v>
      </c>
      <c r="AF60" s="13" t="n">
        <f aca="false">Inputs!$F$151*(Inputs!$F$152*AF21+(1-Inputs!$F$152)*AF27*Inputs!$F$153/AF11)*Time!AF30/12*Inputs!$F$40</f>
        <v>5.55455009862183</v>
      </c>
      <c r="AG60" s="13" t="n">
        <f aca="false">Inputs!$F$151*(Inputs!$F$152*AG21+(1-Inputs!$F$152)*AG27*Inputs!$F$153/AG11)*Time!AG30/12*Inputs!$F$40</f>
        <v>5.61531774592124</v>
      </c>
      <c r="AH60" s="13" t="n">
        <f aca="false">Inputs!$F$151*(Inputs!$F$152*AH21+(1-Inputs!$F$152)*AH27*Inputs!$F$153/AH11)*Time!AH30/12*Inputs!$F$40</f>
        <v>5.67675020079151</v>
      </c>
      <c r="AI60" s="13" t="n">
        <f aca="false">Inputs!$F$151*(Inputs!$F$152*AI21+(1-Inputs!$F$152)*AI27*Inputs!$F$153/AI11)*Time!AI30/12*Inputs!$F$40</f>
        <v>5.73885473633151</v>
      </c>
      <c r="AJ60" s="13" t="n">
        <f aca="false">Inputs!$F$151*(Inputs!$F$152*AJ21+(1-Inputs!$F$152)*AJ27*Inputs!$F$153/AJ11)*Time!AJ30/12*Inputs!$F$40</f>
        <v>5.80163870520893</v>
      </c>
      <c r="AK60" s="13" t="n">
        <f aca="false">Inputs!$F$151*(Inputs!$F$152*AK21+(1-Inputs!$F$152)*AK27*Inputs!$F$153/AK11)*Time!AK30/12*Inputs!$F$40</f>
        <v>5.8651095405308</v>
      </c>
      <c r="AL60" s="13" t="n">
        <f aca="false">Inputs!$F$151*(Inputs!$F$152*AL21+(1-Inputs!$F$152)*AL27*Inputs!$F$153/AL11)*Time!AL30/12*Inputs!$F$40</f>
        <v>5.92927475672352</v>
      </c>
      <c r="AM60" s="13" t="n">
        <f aca="false">Inputs!$F$151*(Inputs!$F$152*AM21+(1-Inputs!$F$152)*AM27*Inputs!$F$153/AM11)*Time!AM30/12*Inputs!$F$40</f>
        <v>5.99414195042248</v>
      </c>
      <c r="AN60" s="13" t="n">
        <f aca="false">Inputs!$F$151*(Inputs!$F$152*AN21+(1-Inputs!$F$152)*AN27*Inputs!$F$153/AN11)*Time!AN30/12*Inputs!$F$40</f>
        <v>6.05971880137144</v>
      </c>
      <c r="AO60" s="13" t="n">
        <f aca="false">Inputs!$F$151*(Inputs!$F$152*AO21+(1-Inputs!$F$152)*AO27*Inputs!$F$153/AO11)*Time!AO30/12*Inputs!$F$40</f>
        <v>6.12601307333177</v>
      </c>
      <c r="AP60" s="13" t="n">
        <f aca="false">Inputs!$F$151*(Inputs!$F$152*AP21+(1-Inputs!$F$152)*AP27*Inputs!$F$153/AP11)*Time!AP30/12*Inputs!$F$40</f>
        <v>6.19303261500161</v>
      </c>
      <c r="AQ60" s="13" t="n">
        <f aca="false">Inputs!$F$151*(Inputs!$F$152*AQ21+(1-Inputs!$F$152)*AQ27*Inputs!$F$153/AQ11)*Time!AQ30/12*Inputs!$F$40</f>
        <v>6.26078536094507</v>
      </c>
      <c r="AR60" s="13" t="n">
        <f aca="false">Inputs!$F$151*(Inputs!$F$152*AR21+(1-Inputs!$F$152)*AR27*Inputs!$F$153/AR11)*Time!AR30/12*Inputs!$F$40</f>
        <v>6.32927933253165</v>
      </c>
      <c r="AS60" s="13" t="n">
        <f aca="false">Inputs!$F$151*(Inputs!$F$152*AS21+(1-Inputs!$F$152)*AS27*Inputs!$F$153/AS11)*Time!AS30/12*Inputs!$F$40</f>
        <v>6.39852263888586</v>
      </c>
      <c r="AT60" s="13" t="n">
        <f aca="false">Inputs!$F$151*(Inputs!$F$152*AT21+(1-Inputs!$F$152)*AT27*Inputs!$F$153/AT11)*Time!AT30/12*Inputs!$F$40</f>
        <v>6.46852347784734</v>
      </c>
      <c r="AU60" s="13" t="n">
        <f aca="false">Inputs!$F$151*(Inputs!$F$152*AU21+(1-Inputs!$F$152)*AU27*Inputs!$F$153/AU11)*Time!AU30/12*Inputs!$F$40</f>
        <v>6.53929013694135</v>
      </c>
      <c r="AV60" s="13" t="n">
        <f aca="false">Inputs!$F$151*(Inputs!$F$152*AV21+(1-Inputs!$F$152)*AV27*Inputs!$F$153/AV11)*Time!AV30/12*Inputs!$F$40</f>
        <v>6.61083099435998</v>
      </c>
      <c r="AW60" s="13" t="n">
        <f aca="false">Inputs!$F$151*(Inputs!$F$152*AW21+(1-Inputs!$F$152)*AW27*Inputs!$F$153/AW11)*Time!AW30/12*Inputs!$F$40</f>
        <v>6.68315451995406</v>
      </c>
      <c r="AX60" s="13" t="n">
        <f aca="false">Inputs!$F$151*(Inputs!$F$152*AX21+(1-Inputs!$F$152)*AX27*Inputs!$F$153/AX11)*Time!AX30/12*Inputs!$F$40</f>
        <v>6.7562692762359</v>
      </c>
      <c r="AY60" s="13" t="n">
        <f aca="false">Inputs!$F$151*(Inputs!$F$152*AY21+(1-Inputs!$F$152)*AY27*Inputs!$F$153/AY11)*Time!AY30/12*Inputs!$F$40</f>
        <v>6.83018391939305</v>
      </c>
      <c r="AZ60" s="13" t="n">
        <f aca="false">Inputs!$F$151*(Inputs!$F$152*AZ21+(1-Inputs!$F$152)*AZ27*Inputs!$F$153/AZ11)*Time!AZ30/12*Inputs!$F$40</f>
        <v>6.90490720031309</v>
      </c>
      <c r="BA60" s="13" t="n">
        <f aca="false">Inputs!$F$151*(Inputs!$F$152*BA21+(1-Inputs!$F$152)*BA27*Inputs!$F$153/BA11)*Time!BA30/12*Inputs!$F$40</f>
        <v>6.98044796561969</v>
      </c>
      <c r="BB60" s="13" t="n">
        <f aca="false">Inputs!$F$151*(Inputs!$F$152*BB21+(1-Inputs!$F$152)*BB27*Inputs!$F$153/BB11)*Time!BB30/12*Inputs!$F$40</f>
        <v>7.05681515871998</v>
      </c>
      <c r="BC60" s="13" t="n">
        <f aca="false">Inputs!$F$151*(Inputs!$F$152*BC21+(1-Inputs!$F$152)*BC27*Inputs!$F$153/BC11)*Time!BC30/12*Inputs!$F$40</f>
        <v>7.13401782086333</v>
      </c>
      <c r="BD60" s="13" t="n">
        <f aca="false">Inputs!$F$151*(Inputs!$F$152*BD21+(1-Inputs!$F$152)*BD27*Inputs!$F$153/BD11)*Time!BD30/12*Inputs!$F$40</f>
        <v>7.21206509221181</v>
      </c>
      <c r="BE60" s="13" t="n">
        <f aca="false">Inputs!$F$151*(Inputs!$F$152*BE21+(1-Inputs!$F$152)*BE27*Inputs!$F$153/BE11)*Time!BE30/12*Inputs!$F$40</f>
        <v>7.29096621292232</v>
      </c>
      <c r="BF60" s="13" t="n">
        <f aca="false">Inputs!$F$151*(Inputs!$F$152*BF21+(1-Inputs!$F$152)*BF27*Inputs!$F$153/BF11)*Time!BF30/12*Inputs!$F$40</f>
        <v>7.37073052424047</v>
      </c>
      <c r="BG60" s="13" t="n">
        <f aca="false">Inputs!$F$151*(Inputs!$F$152*BG21+(1-Inputs!$F$152)*BG27*Inputs!$F$153/BG11)*Time!BG30/12*Inputs!$F$40</f>
        <v>7.45136746960661</v>
      </c>
      <c r="BH60" s="13" t="n">
        <f aca="false">Inputs!$F$151*(Inputs!$F$152*BH21+(1-Inputs!$F$152)*BH27*Inputs!$F$153/BH11)*Time!BH30/12*Inputs!$F$40</f>
        <v>7.53288659577376</v>
      </c>
      <c r="BI60" s="13" t="n">
        <f aca="false">Inputs!$F$151*(Inputs!$F$152*BI21+(1-Inputs!$F$152)*BI27*Inputs!$F$153/BI11)*Time!BI30/12*Inputs!$F$40</f>
        <v>7.61529755393795</v>
      </c>
      <c r="BJ60" s="13" t="n">
        <f aca="false">Inputs!$F$151*(Inputs!$F$152*BJ21+(1-Inputs!$F$152)*BJ27*Inputs!$F$153/BJ11)*Time!BJ30/12*Inputs!$F$40</f>
        <v>7.69861010088078</v>
      </c>
      <c r="BK60" s="13" t="n">
        <f aca="false">Inputs!$F$151*(Inputs!$F$152*BK21+(1-Inputs!$F$152)*BK27*Inputs!$F$153/BK11)*Time!BK30/12*Inputs!$F$40</f>
        <v>7.78283410012458</v>
      </c>
      <c r="BL60" s="13" t="n">
        <f aca="false">Inputs!$F$151*(Inputs!$F$152*BL21+(1-Inputs!$F$152)*BL27*Inputs!$F$153/BL11)*Time!BL30/12*Inputs!$F$40</f>
        <v>7.86797952310016</v>
      </c>
      <c r="BM60" s="13" t="n">
        <f aca="false">Inputs!$F$151*(Inputs!$F$152*BM21+(1-Inputs!$F$152)*BM27*Inputs!$F$153/BM11)*Time!BM30/12*Inputs!$F$40</f>
        <v>5.30270430021822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102.611644135199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0.513848774492185</v>
      </c>
      <c r="P62" s="13" t="n">
        <f aca="false">Inputs!$F$155*P21*Time!P30/12*Inputs!$F$40</f>
        <v>1.5584110814889</v>
      </c>
      <c r="Q62" s="13" t="n">
        <f aca="false">Inputs!$F$155*Q21*Time!Q30/12*Inputs!$F$40</f>
        <v>1.57546034259304</v>
      </c>
      <c r="R62" s="13" t="n">
        <f aca="false">Inputs!$F$155*R21*Time!R30/12*Inputs!$F$40</f>
        <v>1.59269612528166</v>
      </c>
      <c r="S62" s="13" t="n">
        <f aca="false">Inputs!$F$155*S21*Time!S30/12*Inputs!$F$40</f>
        <v>1.61012047013009</v>
      </c>
      <c r="T62" s="13" t="n">
        <f aca="false">Inputs!$F$155*T21*Time!T30/12*Inputs!$F$40</f>
        <v>1.62773544003786</v>
      </c>
      <c r="U62" s="13" t="n">
        <f aca="false">Inputs!$F$155*U21*Time!U30/12*Inputs!$F$40</f>
        <v>1.64554312047295</v>
      </c>
      <c r="V62" s="13" t="n">
        <f aca="false">Inputs!$F$155*V21*Time!V30/12*Inputs!$F$40</f>
        <v>1.66354561971869</v>
      </c>
      <c r="W62" s="13" t="n">
        <f aca="false">Inputs!$F$155*W21*Time!W30/12*Inputs!$F$40</f>
        <v>1.68174506912335</v>
      </c>
      <c r="X62" s="13" t="n">
        <f aca="false">Inputs!$F$155*X21*Time!X30/12*Inputs!$F$40</f>
        <v>1.7001436233525</v>
      </c>
      <c r="Y62" s="13" t="n">
        <f aca="false">Inputs!$F$155*Y21*Time!Y30/12*Inputs!$F$40</f>
        <v>1.71874346064407</v>
      </c>
      <c r="Z62" s="13" t="n">
        <f aca="false">Inputs!$F$155*Z21*Time!Z30/12*Inputs!$F$40</f>
        <v>1.73754678306625</v>
      </c>
      <c r="AA62" s="13" t="n">
        <f aca="false">Inputs!$F$155*AA21*Time!AA30/12*Inputs!$F$40</f>
        <v>1.75655581677823</v>
      </c>
      <c r="AB62" s="13" t="n">
        <f aca="false">Inputs!$F$155*AB21*Time!AB30/12*Inputs!$F$40</f>
        <v>1.77577281229371</v>
      </c>
      <c r="AC62" s="13" t="n">
        <f aca="false">Inputs!$F$155*AC21*Time!AC30/12*Inputs!$F$40</f>
        <v>1.79520004474736</v>
      </c>
      <c r="AD62" s="13" t="n">
        <f aca="false">Inputs!$F$155*AD21*Time!AD30/12*Inputs!$F$40</f>
        <v>1.81483981416417</v>
      </c>
      <c r="AE62" s="13" t="n">
        <f aca="false">Inputs!$F$155*AE21*Time!AE30/12*Inputs!$F$40</f>
        <v>1.8346944457318</v>
      </c>
      <c r="AF62" s="13" t="n">
        <f aca="false">Inputs!$F$155*AF21*Time!AF30/12*Inputs!$F$40</f>
        <v>1.85476629007578</v>
      </c>
      <c r="AG62" s="13" t="n">
        <f aca="false">Inputs!$F$155*AG21*Time!AG30/12*Inputs!$F$40</f>
        <v>1.8750577235379</v>
      </c>
      <c r="AH62" s="13" t="n">
        <f aca="false">Inputs!$F$155*AH21*Time!AH30/12*Inputs!$F$40</f>
        <v>1.89557114845745</v>
      </c>
      <c r="AI62" s="13" t="n">
        <f aca="false">Inputs!$F$155*AI21*Time!AI30/12*Inputs!$F$40</f>
        <v>1.91630899345573</v>
      </c>
      <c r="AJ62" s="13" t="n">
        <f aca="false">Inputs!$F$155*AJ21*Time!AJ30/12*Inputs!$F$40</f>
        <v>1.93727371372351</v>
      </c>
      <c r="AK62" s="13" t="n">
        <f aca="false">Inputs!$F$155*AK21*Time!AK30/12*Inputs!$F$40</f>
        <v>1.95846779131175</v>
      </c>
      <c r="AL62" s="13" t="n">
        <f aca="false">Inputs!$F$155*AL21*Time!AL30/12*Inputs!$F$40</f>
        <v>1.97989373542543</v>
      </c>
      <c r="AM62" s="13" t="n">
        <f aca="false">Inputs!$F$155*AM21*Time!AM30/12*Inputs!$F$40</f>
        <v>2.00155408272061</v>
      </c>
      <c r="AN62" s="13" t="n">
        <f aca="false">Inputs!$F$155*AN21*Time!AN30/12*Inputs!$F$40</f>
        <v>2.02345139760479</v>
      </c>
      <c r="AO62" s="13" t="n">
        <f aca="false">Inputs!$F$155*AO21*Time!AO30/12*Inputs!$F$40</f>
        <v>2.04558827254047</v>
      </c>
      <c r="AP62" s="13" t="n">
        <f aca="false">Inputs!$F$155*AP21*Time!AP30/12*Inputs!$F$40</f>
        <v>2.0679673283521</v>
      </c>
      <c r="AQ62" s="13" t="n">
        <f aca="false">Inputs!$F$155*AQ21*Time!AQ30/12*Inputs!$F$40</f>
        <v>2.09059121453636</v>
      </c>
      <c r="AR62" s="13" t="n">
        <f aca="false">Inputs!$F$155*AR21*Time!AR30/12*Inputs!$F$40</f>
        <v>2.11346260957584</v>
      </c>
      <c r="AS62" s="13" t="n">
        <f aca="false">Inputs!$F$155*AS21*Time!AS30/12*Inputs!$F$40</f>
        <v>2.13658422125616</v>
      </c>
      <c r="AT62" s="13" t="n">
        <f aca="false">Inputs!$F$155*AT21*Time!AT30/12*Inputs!$F$40</f>
        <v>2.15995878698651</v>
      </c>
      <c r="AU62" s="13" t="n">
        <f aca="false">Inputs!$F$155*AU21*Time!AU30/12*Inputs!$F$40</f>
        <v>2.18358907412379</v>
      </c>
      <c r="AV62" s="13" t="n">
        <f aca="false">Inputs!$F$155*AV21*Time!AV30/12*Inputs!$F$40</f>
        <v>2.20747788030021</v>
      </c>
      <c r="AW62" s="13" t="n">
        <f aca="false">Inputs!$F$155*AW21*Time!AW30/12*Inputs!$F$40</f>
        <v>2.23162803375451</v>
      </c>
      <c r="AX62" s="13" t="n">
        <f aca="false">Inputs!$F$155*AX21*Time!AX30/12*Inputs!$F$40</f>
        <v>2.25604239366682</v>
      </c>
      <c r="AY62" s="13" t="n">
        <f aca="false">Inputs!$F$155*AY21*Time!AY30/12*Inputs!$F$40</f>
        <v>2.28072385049711</v>
      </c>
      <c r="AZ62" s="13" t="n">
        <f aca="false">Inputs!$F$155*AZ21*Time!AZ30/12*Inputs!$F$40</f>
        <v>2.30567532632749</v>
      </c>
      <c r="BA62" s="13" t="n">
        <f aca="false">Inputs!$F$155*BA21*Time!BA30/12*Inputs!$F$40</f>
        <v>2.33089977520805</v>
      </c>
      <c r="BB62" s="13" t="n">
        <f aca="false">Inputs!$F$155*BB21*Time!BB30/12*Inputs!$F$40</f>
        <v>2.35640018350669</v>
      </c>
      <c r="BC62" s="13" t="n">
        <f aca="false">Inputs!$F$155*BC21*Time!BC30/12*Inputs!$F$40</f>
        <v>2.38217957026263</v>
      </c>
      <c r="BD62" s="13" t="n">
        <f aca="false">Inputs!$F$155*BD21*Time!BD30/12*Inputs!$F$40</f>
        <v>2.40824098754384</v>
      </c>
      <c r="BE62" s="13" t="n">
        <f aca="false">Inputs!$F$155*BE21*Time!BE30/12*Inputs!$F$40</f>
        <v>2.4345875208084</v>
      </c>
      <c r="BF62" s="13" t="n">
        <f aca="false">Inputs!$F$155*BF21*Time!BF30/12*Inputs!$F$40</f>
        <v>2.4612222892698</v>
      </c>
      <c r="BG62" s="13" t="n">
        <f aca="false">Inputs!$F$155*BG21*Time!BG30/12*Inputs!$F$40</f>
        <v>2.48814844626619</v>
      </c>
      <c r="BH62" s="13" t="n">
        <f aca="false">Inputs!$F$155*BH21*Time!BH30/12*Inputs!$F$40</f>
        <v>2.51536917963374</v>
      </c>
      <c r="BI62" s="13" t="n">
        <f aca="false">Inputs!$F$155*BI21*Time!BI30/12*Inputs!$F$40</f>
        <v>2.54288771208404</v>
      </c>
      <c r="BJ62" s="13" t="n">
        <f aca="false">Inputs!$F$155*BJ21*Time!BJ30/12*Inputs!$F$40</f>
        <v>2.57070730158568</v>
      </c>
      <c r="BK62" s="13" t="n">
        <f aca="false">Inputs!$F$155*BK21*Time!BK30/12*Inputs!$F$40</f>
        <v>2.59883124174989</v>
      </c>
      <c r="BL62" s="13" t="n">
        <f aca="false">Inputs!$F$155*BL21*Time!BL30/12*Inputs!$F$40</f>
        <v>2.62726286222056</v>
      </c>
      <c r="BM62" s="13" t="n">
        <f aca="false">Inputs!$F$155*BM21*Time!BM30/12*Inputs!$F$40</f>
        <v>1.77067035271226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169.853365481371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0.850575433534413</v>
      </c>
      <c r="P65" s="13" t="n">
        <f aca="false">Inputs!$F$157*P21*Time!P30/12*(1+Inputs!$F$158*Inputs!$F$46*Time!P41)*Inputs!$F$40</f>
        <v>2.5796425856464</v>
      </c>
      <c r="Q65" s="13" t="n">
        <f aca="false">Inputs!$F$157*Q21*Time!Q30/12*(1+Inputs!$F$158*Inputs!$F$46*Time!Q41)*Inputs!$F$40</f>
        <v>2.60786427921651</v>
      </c>
      <c r="R65" s="13" t="n">
        <f aca="false">Inputs!$F$157*R21*Time!R30/12*(1+Inputs!$F$158*Inputs!$F$46*Time!R41)*Inputs!$F$40</f>
        <v>2.63639472253063</v>
      </c>
      <c r="S65" s="13" t="n">
        <f aca="false">Inputs!$F$157*S21*Time!S30/12*(1+Inputs!$F$158*Inputs!$F$46*Time!S41)*Inputs!$F$40</f>
        <v>2.66523729335927</v>
      </c>
      <c r="T65" s="13" t="n">
        <f aca="false">Inputs!$F$157*T21*Time!T30/12*(1+Inputs!$F$158*Inputs!$F$46*Time!T41)*Inputs!$F$40</f>
        <v>2.6943954064263</v>
      </c>
      <c r="U65" s="13" t="n">
        <f aca="false">Inputs!$F$157*U21*Time!U30/12*(1+Inputs!$F$158*Inputs!$F$46*Time!U41)*Inputs!$F$40</f>
        <v>2.72387251381317</v>
      </c>
      <c r="V65" s="13" t="n">
        <f aca="false">Inputs!$F$157*V21*Time!V30/12*(1+Inputs!$F$158*Inputs!$F$46*Time!V41)*Inputs!$F$40</f>
        <v>2.75367210536768</v>
      </c>
      <c r="W65" s="13" t="n">
        <f aca="false">Inputs!$F$157*W21*Time!W30/12*(1+Inputs!$F$158*Inputs!$F$46*Time!W41)*Inputs!$F$40</f>
        <v>2.78379770911706</v>
      </c>
      <c r="X65" s="13" t="n">
        <f aca="false">Inputs!$F$157*X21*Time!X30/12*(1+Inputs!$F$158*Inputs!$F$46*Time!X41)*Inputs!$F$40</f>
        <v>2.81425289168576</v>
      </c>
      <c r="Y65" s="13" t="n">
        <f aca="false">Inputs!$F$157*Y21*Time!Y30/12*(1+Inputs!$F$158*Inputs!$F$46*Time!Y41)*Inputs!$F$40</f>
        <v>2.84504125871764</v>
      </c>
      <c r="Z65" s="13" t="n">
        <f aca="false">Inputs!$F$157*Z21*Time!Z30/12*(1+Inputs!$F$158*Inputs!$F$46*Time!Z41)*Inputs!$F$40</f>
        <v>2.87616645530285</v>
      </c>
      <c r="AA65" s="13" t="n">
        <f aca="false">Inputs!$F$157*AA21*Time!AA30/12*(1+Inputs!$F$158*Inputs!$F$46*Time!AA41)*Inputs!$F$40</f>
        <v>2.90763216640943</v>
      </c>
      <c r="AB65" s="13" t="n">
        <f aca="false">Inputs!$F$157*AB21*Time!AB30/12*(1+Inputs!$F$158*Inputs!$F$46*Time!AB41)*Inputs!$F$40</f>
        <v>2.93944211731951</v>
      </c>
      <c r="AC65" s="13" t="n">
        <f aca="false">Inputs!$F$157*AC21*Time!AC30/12*(1+Inputs!$F$158*Inputs!$F$46*Time!AC41)*Inputs!$F$40</f>
        <v>2.97160007407043</v>
      </c>
      <c r="AD65" s="13" t="n">
        <f aca="false">Inputs!$F$157*AD21*Time!AD30/12*(1+Inputs!$F$158*Inputs!$F$46*Time!AD41)*Inputs!$F$40</f>
        <v>3.00410984390054</v>
      </c>
      <c r="AE65" s="13" t="n">
        <f aca="false">Inputs!$F$157*AE21*Time!AE30/12*(1+Inputs!$F$158*Inputs!$F$46*Time!AE41)*Inputs!$F$40</f>
        <v>3.03697527569998</v>
      </c>
      <c r="AF65" s="13" t="n">
        <f aca="false">Inputs!$F$157*AF21*Time!AF30/12*(1+Inputs!$F$158*Inputs!$F$46*Time!AF41)*Inputs!$F$40</f>
        <v>3.07020026046635</v>
      </c>
      <c r="AG65" s="13" t="n">
        <f aca="false">Inputs!$F$157*AG21*Time!AG30/12*(1+Inputs!$F$158*Inputs!$F$46*Time!AG41)*Inputs!$F$40</f>
        <v>3.10378873176538</v>
      </c>
      <c r="AH65" s="13" t="n">
        <f aca="false">Inputs!$F$157*AH21*Time!AH30/12*(1+Inputs!$F$158*Inputs!$F$46*Time!AH41)*Inputs!$F$40</f>
        <v>3.13774466619661</v>
      </c>
      <c r="AI65" s="13" t="n">
        <f aca="false">Inputs!$F$157*AI21*Time!AI30/12*(1+Inputs!$F$158*Inputs!$F$46*Time!AI41)*Inputs!$F$40</f>
        <v>3.17207208386422</v>
      </c>
      <c r="AJ65" s="13" t="n">
        <f aca="false">Inputs!$F$157*AJ21*Time!AJ30/12*(1+Inputs!$F$158*Inputs!$F$46*Time!AJ41)*Inputs!$F$40</f>
        <v>3.20677504885294</v>
      </c>
      <c r="AK65" s="13" t="n">
        <f aca="false">Inputs!$F$157*AK21*Time!AK30/12*(1+Inputs!$F$158*Inputs!$F$46*Time!AK41)*Inputs!$F$40</f>
        <v>3.24185766970923</v>
      </c>
      <c r="AL65" s="13" t="n">
        <f aca="false">Inputs!$F$157*AL21*Time!AL30/12*(1+Inputs!$F$158*Inputs!$F$46*Time!AL41)*Inputs!$F$40</f>
        <v>3.2773240999277</v>
      </c>
      <c r="AM65" s="13" t="n">
        <f aca="false">Inputs!$F$157*AM21*Time!AM30/12*(1+Inputs!$F$158*Inputs!$F$46*Time!AM41)*Inputs!$F$40</f>
        <v>3.31317853844283</v>
      </c>
      <c r="AN65" s="13" t="n">
        <f aca="false">Inputs!$F$157*AN21*Time!AN30/12*(1+Inputs!$F$158*Inputs!$F$46*Time!AN41)*Inputs!$F$40</f>
        <v>3.34942523012611</v>
      </c>
      <c r="AO65" s="13" t="n">
        <f aca="false">Inputs!$F$157*AO21*Time!AO30/12*(1+Inputs!$F$158*Inputs!$F$46*Time!AO41)*Inputs!$F$40</f>
        <v>3.38606846628857</v>
      </c>
      <c r="AP65" s="13" t="n">
        <f aca="false">Inputs!$F$157*AP21*Time!AP30/12*(1+Inputs!$F$158*Inputs!$F$46*Time!AP41)*Inputs!$F$40</f>
        <v>3.42311258518888</v>
      </c>
      <c r="AQ65" s="13" t="n">
        <f aca="false">Inputs!$F$157*AQ21*Time!AQ30/12*(1+Inputs!$F$158*Inputs!$F$46*Time!AQ41)*Inputs!$F$40</f>
        <v>3.46056197254692</v>
      </c>
      <c r="AR65" s="13" t="n">
        <f aca="false">Inputs!$F$157*AR21*Time!AR30/12*(1+Inputs!$F$158*Inputs!$F$46*Time!AR41)*Inputs!$F$40</f>
        <v>3.49842106206304</v>
      </c>
      <c r="AS65" s="13" t="n">
        <f aca="false">Inputs!$F$157*AS21*Time!AS30/12*(1+Inputs!$F$158*Inputs!$F$46*Time!AS41)*Inputs!$F$40</f>
        <v>3.53669433594295</v>
      </c>
      <c r="AT65" s="13" t="n">
        <f aca="false">Inputs!$F$157*AT21*Time!AT30/12*(1+Inputs!$F$158*Inputs!$F$46*Time!AT41)*Inputs!$F$40</f>
        <v>3.57538632542843</v>
      </c>
      <c r="AU65" s="13" t="n">
        <f aca="false">Inputs!$F$157*AU21*Time!AU30/12*(1+Inputs!$F$158*Inputs!$F$46*Time!AU41)*Inputs!$F$40</f>
        <v>3.6145016113337</v>
      </c>
      <c r="AV65" s="13" t="n">
        <f aca="false">Inputs!$F$157*AV21*Time!AV30/12*(1+Inputs!$F$158*Inputs!$F$46*Time!AV41)*Inputs!$F$40</f>
        <v>3.65404482458785</v>
      </c>
      <c r="AW65" s="13" t="n">
        <f aca="false">Inputs!$F$157*AW21*Time!AW30/12*(1+Inputs!$F$158*Inputs!$F$46*Time!AW41)*Inputs!$F$40</f>
        <v>3.69402064678304</v>
      </c>
      <c r="AX65" s="13" t="n">
        <f aca="false">Inputs!$F$157*AX21*Time!AX30/12*(1+Inputs!$F$158*Inputs!$F$46*Time!AX41)*Inputs!$F$40</f>
        <v>3.73443381072878</v>
      </c>
      <c r="AY65" s="13" t="n">
        <f aca="false">Inputs!$F$157*AY21*Time!AY30/12*(1+Inputs!$F$158*Inputs!$F$46*Time!AY41)*Inputs!$F$40</f>
        <v>3.77528910101227</v>
      </c>
      <c r="AZ65" s="13" t="n">
        <f aca="false">Inputs!$F$157*AZ21*Time!AZ30/12*(1+Inputs!$F$158*Inputs!$F$46*Time!AZ41)*Inputs!$F$40</f>
        <v>3.81659135456481</v>
      </c>
      <c r="BA65" s="13" t="n">
        <f aca="false">Inputs!$F$157*BA21*Time!BA30/12*(1+Inputs!$F$158*Inputs!$F$46*Time!BA41)*Inputs!$F$40</f>
        <v>3.85834546123453</v>
      </c>
      <c r="BB65" s="13" t="n">
        <f aca="false">Inputs!$F$157*BB21*Time!BB30/12*(1+Inputs!$F$158*Inputs!$F$46*Time!BB41)*Inputs!$F$40</f>
        <v>3.90055636436524</v>
      </c>
      <c r="BC65" s="13" t="n">
        <f aca="false">Inputs!$F$157*BC21*Time!BC30/12*(1+Inputs!$F$158*Inputs!$F$46*Time!BC41)*Inputs!$F$40</f>
        <v>3.94322906138169</v>
      </c>
      <c r="BD65" s="13" t="n">
        <f aca="false">Inputs!$F$157*BD21*Time!BD30/12*(1+Inputs!$F$158*Inputs!$F$46*Time!BD41)*Inputs!$F$40</f>
        <v>3.98636860438127</v>
      </c>
      <c r="BE65" s="13" t="n">
        <f aca="false">Inputs!$F$157*BE21*Time!BE30/12*(1+Inputs!$F$158*Inputs!$F$46*Time!BE41)*Inputs!$F$40</f>
        <v>4.02998010073209</v>
      </c>
      <c r="BF65" s="13" t="n">
        <f aca="false">Inputs!$F$157*BF21*Time!BF30/12*(1+Inputs!$F$158*Inputs!$F$46*Time!BF41)*Inputs!$F$40</f>
        <v>4.07406871367766</v>
      </c>
      <c r="BG65" s="13" t="n">
        <f aca="false">Inputs!$F$157*BG21*Time!BG30/12*(1+Inputs!$F$158*Inputs!$F$46*Time!BG41)*Inputs!$F$40</f>
        <v>4.11863966294819</v>
      </c>
      <c r="BH65" s="13" t="n">
        <f aca="false">Inputs!$F$157*BH21*Time!BH30/12*(1+Inputs!$F$158*Inputs!$F$46*Time!BH41)*Inputs!$F$40</f>
        <v>4.16369822537857</v>
      </c>
      <c r="BI65" s="13" t="n">
        <f aca="false">Inputs!$F$157*BI21*Time!BI30/12*(1+Inputs!$F$158*Inputs!$F$46*Time!BI41)*Inputs!$F$40</f>
        <v>4.20924973553306</v>
      </c>
      <c r="BJ65" s="13" t="n">
        <f aca="false">Inputs!$F$157*BJ21*Time!BJ30/12*(1+Inputs!$F$158*Inputs!$F$46*Time!BJ41)*Inputs!$F$40</f>
        <v>4.2552995863369</v>
      </c>
      <c r="BK65" s="13" t="n">
        <f aca="false">Inputs!$F$157*BK21*Time!BK30/12*(1+Inputs!$F$158*Inputs!$F$46*Time!BK41)*Inputs!$F$40</f>
        <v>4.30185322971478</v>
      </c>
      <c r="BL65" s="13" t="n">
        <f aca="false">Inputs!$F$157*BL21*Time!BL30/12*(1+Inputs!$F$158*Inputs!$F$46*Time!BL41)*Inputs!$F$40</f>
        <v>4.34891617723631</v>
      </c>
      <c r="BM65" s="13" t="n">
        <f aca="false">Inputs!$F$157*BM21*Time!BM30/12*(1+Inputs!$F$158*Inputs!$F$46*Time!BM41)*Inputs!$F$40</f>
        <v>2.93099600051234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123.291031601221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0.617405032616886</v>
      </c>
      <c r="P66" s="13" t="n">
        <f aca="false">Inputs!$F$159*(Inputs!$F$218*P21+(1-Inputs!$F$218)*P27*Inputs!$F$153/P11)*Time!P30/12*Inputs!$F$40</f>
        <v>1.8724786208706</v>
      </c>
      <c r="Q66" s="13" t="n">
        <f aca="false">Inputs!$F$159*(Inputs!$F$218*Q21+(1-Inputs!$F$218)*Q27*Inputs!$F$153/Q11)*Time!Q30/12*Inputs!$F$40</f>
        <v>1.89296383000337</v>
      </c>
      <c r="R66" s="13" t="n">
        <f aca="false">Inputs!$F$159*(Inputs!$F$218*R21+(1-Inputs!$F$218)*R27*Inputs!$F$153/R11)*Time!R30/12*Inputs!$F$40</f>
        <v>1.91367315052975</v>
      </c>
      <c r="S66" s="13" t="n">
        <f aca="false">Inputs!$F$159*(Inputs!$F$218*S21+(1-Inputs!$F$218)*S27*Inputs!$F$153/S11)*Time!S30/12*Inputs!$F$40</f>
        <v>1.93460903426345</v>
      </c>
      <c r="T66" s="13" t="n">
        <f aca="false">Inputs!$F$159*(Inputs!$F$218*T21+(1-Inputs!$F$218)*T27*Inputs!$F$153/T11)*Time!T30/12*Inputs!$F$40</f>
        <v>1.9557739598414</v>
      </c>
      <c r="U66" s="13" t="n">
        <f aca="false">Inputs!$F$159*(Inputs!$F$218*U21+(1-Inputs!$F$218)*U27*Inputs!$F$153/U11)*Time!U30/12*Inputs!$F$40</f>
        <v>1.97717043301724</v>
      </c>
      <c r="V66" s="13" t="n">
        <f aca="false">Inputs!$F$159*(Inputs!$F$218*V21+(1-Inputs!$F$218)*V27*Inputs!$F$153/V11)*Time!V30/12*Inputs!$F$40</f>
        <v>1.99880098695791</v>
      </c>
      <c r="W66" s="13" t="n">
        <f aca="false">Inputs!$F$159*(Inputs!$F$218*W21+(1-Inputs!$F$218)*W27*Inputs!$F$153/W11)*Time!W30/12*Inputs!$F$40</f>
        <v>2.02066818254362</v>
      </c>
      <c r="X66" s="13" t="n">
        <f aca="false">Inputs!$F$159*(Inputs!$F$218*X21+(1-Inputs!$F$218)*X27*Inputs!$F$153/X11)*Time!X30/12*Inputs!$F$40</f>
        <v>2.04277460867099</v>
      </c>
      <c r="Y66" s="13" t="n">
        <f aca="false">Inputs!$F$159*(Inputs!$F$218*Y21+(1-Inputs!$F$218)*Y27*Inputs!$F$153/Y11)*Time!Y30/12*Inputs!$F$40</f>
        <v>2.06512288255958</v>
      </c>
      <c r="Z66" s="13" t="n">
        <f aca="false">Inputs!$F$159*(Inputs!$F$218*Z21+(1-Inputs!$F$218)*Z27*Inputs!$F$153/Z11)*Time!Z30/12*Inputs!$F$40</f>
        <v>2.08771565006175</v>
      </c>
      <c r="AA66" s="13" t="n">
        <f aca="false">Inputs!$F$159*(Inputs!$F$218*AA21+(1-Inputs!$F$218)*AA27*Inputs!$F$153/AA11)*Time!AA30/12*Inputs!$F$40</f>
        <v>2.11055558597589</v>
      </c>
      <c r="AB66" s="13" t="n">
        <f aca="false">Inputs!$F$159*(Inputs!$F$218*AB21+(1-Inputs!$F$218)*AB27*Inputs!$F$153/AB11)*Time!AB30/12*Inputs!$F$40</f>
        <v>2.13364539436311</v>
      </c>
      <c r="AC66" s="13" t="n">
        <f aca="false">Inputs!$F$159*(Inputs!$F$218*AC21+(1-Inputs!$F$218)*AC27*Inputs!$F$153/AC11)*Time!AC30/12*Inputs!$F$40</f>
        <v>2.15698780886736</v>
      </c>
      <c r="AD66" s="13" t="n">
        <f aca="false">Inputs!$F$159*(Inputs!$F$218*AD21+(1-Inputs!$F$218)*AD27*Inputs!$F$153/AD11)*Time!AD30/12*Inputs!$F$40</f>
        <v>2.1805855930391</v>
      </c>
      <c r="AE66" s="13" t="n">
        <f aca="false">Inputs!$F$159*(Inputs!$F$218*AE21+(1-Inputs!$F$218)*AE27*Inputs!$F$153/AE11)*Time!AE30/12*Inputs!$F$40</f>
        <v>2.20444154066244</v>
      </c>
      <c r="AF66" s="13" t="n">
        <f aca="false">Inputs!$F$159*(Inputs!$F$218*AF21+(1-Inputs!$F$218)*AF27*Inputs!$F$153/AF11)*Time!AF30/12*Inputs!$F$40</f>
        <v>2.22855847608596</v>
      </c>
      <c r="AG66" s="13" t="n">
        <f aca="false">Inputs!$F$159*(Inputs!$F$218*AG21+(1-Inputs!$F$218)*AG27*Inputs!$F$153/AG11)*Time!AG30/12*Inputs!$F$40</f>
        <v>2.25293925455702</v>
      </c>
      <c r="AH66" s="13" t="n">
        <f aca="false">Inputs!$F$159*(Inputs!$F$218*AH21+(1-Inputs!$F$218)*AH27*Inputs!$F$153/AH11)*Time!AH30/12*Inputs!$F$40</f>
        <v>2.27758676255985</v>
      </c>
      <c r="AI66" s="13" t="n">
        <f aca="false">Inputs!$F$159*(Inputs!$F$218*AI21+(1-Inputs!$F$218)*AI27*Inputs!$F$153/AI11)*Time!AI30/12*Inputs!$F$40</f>
        <v>2.30250391815727</v>
      </c>
      <c r="AJ66" s="13" t="n">
        <f aca="false">Inputs!$F$159*(Inputs!$F$218*AJ21+(1-Inputs!$F$218)*AJ27*Inputs!$F$153/AJ11)*Time!AJ30/12*Inputs!$F$40</f>
        <v>2.32769367133616</v>
      </c>
      <c r="AK66" s="13" t="n">
        <f aca="false">Inputs!$F$159*(Inputs!$F$218*AK21+(1-Inputs!$F$218)*AK27*Inputs!$F$153/AK11)*Time!AK30/12*Inputs!$F$40</f>
        <v>2.35315900435673</v>
      </c>
      <c r="AL66" s="13" t="n">
        <f aca="false">Inputs!$F$159*(Inputs!$F$218*AL21+(1-Inputs!$F$218)*AL27*Inputs!$F$153/AL11)*Time!AL30/12*Inputs!$F$40</f>
        <v>2.37890293210556</v>
      </c>
      <c r="AM66" s="13" t="n">
        <f aca="false">Inputs!$F$159*(Inputs!$F$218*AM21+(1-Inputs!$F$218)*AM27*Inputs!$F$153/AM11)*Time!AM30/12*Inputs!$F$40</f>
        <v>2.40492850245258</v>
      </c>
      <c r="AN66" s="13" t="n">
        <f aca="false">Inputs!$F$159*(Inputs!$F$218*AN21+(1-Inputs!$F$218)*AN27*Inputs!$F$153/AN11)*Time!AN30/12*Inputs!$F$40</f>
        <v>2.43123879661188</v>
      </c>
      <c r="AO66" s="13" t="n">
        <f aca="false">Inputs!$F$159*(Inputs!$F$218*AO21+(1-Inputs!$F$218)*AO27*Inputs!$F$153/AO11)*Time!AO30/12*Inputs!$F$40</f>
        <v>2.45783692950653</v>
      </c>
      <c r="AP66" s="13" t="n">
        <f aca="false">Inputs!$F$159*(Inputs!$F$218*AP21+(1-Inputs!$F$218)*AP27*Inputs!$F$153/AP11)*Time!AP30/12*Inputs!$F$40</f>
        <v>2.48472605013734</v>
      </c>
      <c r="AQ66" s="13" t="n">
        <f aca="false">Inputs!$F$159*(Inputs!$F$218*AQ21+(1-Inputs!$F$218)*AQ27*Inputs!$F$153/AQ11)*Time!AQ30/12*Inputs!$F$40</f>
        <v>2.51190934195568</v>
      </c>
      <c r="AR66" s="13" t="n">
        <f aca="false">Inputs!$F$159*(Inputs!$F$218*AR21+(1-Inputs!$F$218)*AR27*Inputs!$F$153/AR11)*Time!AR30/12*Inputs!$F$40</f>
        <v>2.53939002324036</v>
      </c>
      <c r="AS66" s="13" t="n">
        <f aca="false">Inputs!$F$159*(Inputs!$F$218*AS21+(1-Inputs!$F$218)*AS27*Inputs!$F$153/AS11)*Time!AS30/12*Inputs!$F$40</f>
        <v>2.5671713474787</v>
      </c>
      <c r="AT66" s="13" t="n">
        <f aca="false">Inputs!$F$159*(Inputs!$F$218*AT21+(1-Inputs!$F$218)*AT27*Inputs!$F$153/AT11)*Time!AT30/12*Inputs!$F$40</f>
        <v>2.59525660375165</v>
      </c>
      <c r="AU66" s="13" t="n">
        <f aca="false">Inputs!$F$159*(Inputs!$F$218*AU21+(1-Inputs!$F$218)*AU27*Inputs!$F$153/AU11)*Time!AU30/12*Inputs!$F$40</f>
        <v>2.62364911712323</v>
      </c>
      <c r="AV66" s="13" t="n">
        <f aca="false">Inputs!$F$159*(Inputs!$F$218*AV21+(1-Inputs!$F$218)*AV27*Inputs!$F$153/AV11)*Time!AV30/12*Inputs!$F$40</f>
        <v>2.65235224903419</v>
      </c>
      <c r="AW66" s="13" t="n">
        <f aca="false">Inputs!$F$159*(Inputs!$F$218*AW21+(1-Inputs!$F$218)*AW27*Inputs!$F$153/AW11)*Time!AW30/12*Inputs!$F$40</f>
        <v>2.68136939769994</v>
      </c>
      <c r="AX66" s="13" t="n">
        <f aca="false">Inputs!$F$159*(Inputs!$F$218*AX21+(1-Inputs!$F$218)*AX27*Inputs!$F$153/AX11)*Time!AX30/12*Inputs!$F$40</f>
        <v>2.71070399851294</v>
      </c>
      <c r="AY66" s="13" t="n">
        <f aca="false">Inputs!$F$159*(Inputs!$F$218*AY21+(1-Inputs!$F$218)*AY27*Inputs!$F$153/AY11)*Time!AY30/12*Inputs!$F$40</f>
        <v>2.74035952444934</v>
      </c>
      <c r="AZ66" s="13" t="n">
        <f aca="false">Inputs!$F$159*(Inputs!$F$218*AZ21+(1-Inputs!$F$218)*AZ27*Inputs!$F$153/AZ11)*Time!AZ30/12*Inputs!$F$40</f>
        <v>2.77033948648022</v>
      </c>
      <c r="BA66" s="13" t="n">
        <f aca="false">Inputs!$F$159*(Inputs!$F$218*BA21+(1-Inputs!$F$218)*BA27*Inputs!$F$153/BA11)*Time!BA30/12*Inputs!$F$40</f>
        <v>2.80064743398723</v>
      </c>
      <c r="BB66" s="13" t="n">
        <f aca="false">Inputs!$F$159*(Inputs!$F$218*BB21+(1-Inputs!$F$218)*BB27*Inputs!$F$153/BB11)*Time!BB30/12*Inputs!$F$40</f>
        <v>2.83128695518279</v>
      </c>
      <c r="BC66" s="13" t="n">
        <f aca="false">Inputs!$F$159*(Inputs!$F$218*BC21+(1-Inputs!$F$218)*BC27*Inputs!$F$153/BC11)*Time!BC30/12*Inputs!$F$40</f>
        <v>2.86226167753495</v>
      </c>
      <c r="BD66" s="13" t="n">
        <f aca="false">Inputs!$F$159*(Inputs!$F$218*BD21+(1-Inputs!$F$218)*BD27*Inputs!$F$153/BD11)*Time!BD30/12*Inputs!$F$40</f>
        <v>2.89357526819681</v>
      </c>
      <c r="BE66" s="13" t="n">
        <f aca="false">Inputs!$F$159*(Inputs!$F$218*BE21+(1-Inputs!$F$218)*BE27*Inputs!$F$153/BE11)*Time!BE30/12*Inputs!$F$40</f>
        <v>2.92523143444072</v>
      </c>
      <c r="BF66" s="13" t="n">
        <f aca="false">Inputs!$F$159*(Inputs!$F$218*BF21+(1-Inputs!$F$218)*BF27*Inputs!$F$153/BF11)*Time!BF30/12*Inputs!$F$40</f>
        <v>2.95723392409714</v>
      </c>
      <c r="BG66" s="13" t="n">
        <f aca="false">Inputs!$F$159*(Inputs!$F$218*BG21+(1-Inputs!$F$218)*BG27*Inputs!$F$153/BG11)*Time!BG30/12*Inputs!$F$40</f>
        <v>2.98958652599841</v>
      </c>
      <c r="BH66" s="13" t="n">
        <f aca="false">Inputs!$F$159*(Inputs!$F$218*BH21+(1-Inputs!$F$218)*BH27*Inputs!$F$153/BH11)*Time!BH30/12*Inputs!$F$40</f>
        <v>3.02229307042728</v>
      </c>
      <c r="BI66" s="13" t="n">
        <f aca="false">Inputs!$F$159*(Inputs!$F$218*BI21+(1-Inputs!$F$218)*BI27*Inputs!$F$153/BI11)*Time!BI30/12*Inputs!$F$40</f>
        <v>3.05535742957037</v>
      </c>
      <c r="BJ66" s="13" t="n">
        <f aca="false">Inputs!$F$159*(Inputs!$F$218*BJ21+(1-Inputs!$F$218)*BJ27*Inputs!$F$153/BJ11)*Time!BJ30/12*Inputs!$F$40</f>
        <v>3.08878351797668</v>
      </c>
      <c r="BK66" s="13" t="n">
        <f aca="false">Inputs!$F$159*(Inputs!$F$218*BK21+(1-Inputs!$F$218)*BK27*Inputs!$F$153/BK11)*Time!BK30/12*Inputs!$F$40</f>
        <v>3.12257529302092</v>
      </c>
      <c r="BL66" s="13" t="n">
        <f aca="false">Inputs!$F$159*(Inputs!$F$218*BL21+(1-Inputs!$F$218)*BL27*Inputs!$F$153/BL11)*Time!BL30/12*Inputs!$F$40</f>
        <v>3.15673675537216</v>
      </c>
      <c r="BM66" s="13" t="n">
        <f aca="false">Inputs!$F$159*(Inputs!$F$218*BM21+(1-Inputs!$F$218)*BM27*Inputs!$F$153/BM11)*Time!BM30/12*Inputs!$F$40</f>
        <v>2.12751463297826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27.5383929605207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0.137904129628829</v>
      </c>
      <c r="P67" s="13" t="n">
        <f aca="false">Inputs!$F$160*P27/P11*Time!P30/12*Inputs!$F$40</f>
        <v>0.418238467161933</v>
      </c>
      <c r="Q67" s="13" t="n">
        <f aca="false">Inputs!$F$160*Q27/Q11*Time!Q30/12*Inputs!$F$40</f>
        <v>0.422814061441989</v>
      </c>
      <c r="R67" s="13" t="n">
        <f aca="false">Inputs!$F$160*R27/R11*Time!R30/12*Inputs!$F$40</f>
        <v>0.427439713439496</v>
      </c>
      <c r="S67" s="13" t="n">
        <f aca="false">Inputs!$F$160*S27/S11*Time!S30/12*Inputs!$F$40</f>
        <v>0.432115970793713</v>
      </c>
      <c r="T67" s="13" t="n">
        <f aca="false">Inputs!$F$160*T27/T11*Time!T30/12*Inputs!$F$40</f>
        <v>0.436843387135164</v>
      </c>
      <c r="U67" s="13" t="n">
        <f aca="false">Inputs!$F$160*U27/U11*Time!U30/12*Inputs!$F$40</f>
        <v>0.441622522151175</v>
      </c>
      <c r="V67" s="13" t="n">
        <f aca="false">Inputs!$F$160*V27/V11*Time!V30/12*Inputs!$F$40</f>
        <v>0.446453941652138</v>
      </c>
      <c r="W67" s="13" t="n">
        <f aca="false">Inputs!$F$160*W27/W11*Time!W30/12*Inputs!$F$40</f>
        <v>0.451338217638501</v>
      </c>
      <c r="X67" s="13" t="n">
        <f aca="false">Inputs!$F$160*X27/X11*Time!X30/12*Inputs!$F$40</f>
        <v>0.456275928368485</v>
      </c>
      <c r="Y67" s="13" t="n">
        <f aca="false">Inputs!$F$160*Y27/Y11*Time!Y30/12*Inputs!$F$40</f>
        <v>0.461267658426548</v>
      </c>
      <c r="Z67" s="13" t="n">
        <f aca="false">Inputs!$F$160*Z27/Z11*Time!Z30/12*Inputs!$F$40</f>
        <v>0.466313998792592</v>
      </c>
      <c r="AA67" s="13" t="n">
        <f aca="false">Inputs!$F$160*AA27/AA11*Time!AA30/12*Inputs!$F$40</f>
        <v>0.471415546911932</v>
      </c>
      <c r="AB67" s="13" t="n">
        <f aca="false">Inputs!$F$160*AB27/AB11*Time!AB30/12*Inputs!$F$40</f>
        <v>0.476572906766029</v>
      </c>
      <c r="AC67" s="13" t="n">
        <f aca="false">Inputs!$F$160*AC27/AC11*Time!AC30/12*Inputs!$F$40</f>
        <v>0.481786688943994</v>
      </c>
      <c r="AD67" s="13" t="n">
        <f aca="false">Inputs!$F$160*AD27/AD11*Time!AD30/12*Inputs!$F$40</f>
        <v>0.487057510714881</v>
      </c>
      <c r="AE67" s="13" t="n">
        <f aca="false">Inputs!$F$160*AE27/AE11*Time!AE30/12*Inputs!$F$40</f>
        <v>0.492385996100762</v>
      </c>
      <c r="AF67" s="13" t="n">
        <f aca="false">Inputs!$F$160*AF27/AF11*Time!AF30/12*Inputs!$F$40</f>
        <v>0.497772775950609</v>
      </c>
      <c r="AG67" s="13" t="n">
        <f aca="false">Inputs!$F$160*AG27/AG11*Time!AG30/12*Inputs!$F$40</f>
        <v>0.503218488014979</v>
      </c>
      <c r="AH67" s="13" t="n">
        <f aca="false">Inputs!$F$160*AH27/AH11*Time!AH30/12*Inputs!$F$40</f>
        <v>0.508723777021522</v>
      </c>
      <c r="AI67" s="13" t="n">
        <f aca="false">Inputs!$F$160*AI27/AI11*Time!AI30/12*Inputs!$F$40</f>
        <v>0.514289294751309</v>
      </c>
      <c r="AJ67" s="13" t="n">
        <f aca="false">Inputs!$F$160*AJ27/AJ11*Time!AJ30/12*Inputs!$F$40</f>
        <v>0.519915700115996</v>
      </c>
      <c r="AK67" s="13" t="n">
        <f aca="false">Inputs!$F$160*AK27/AK11*Time!AK30/12*Inputs!$F$40</f>
        <v>0.525603659235837</v>
      </c>
      <c r="AL67" s="13" t="n">
        <f aca="false">Inputs!$F$160*AL27/AL11*Time!AL30/12*Inputs!$F$40</f>
        <v>0.531353845518548</v>
      </c>
      <c r="AM67" s="13" t="n">
        <f aca="false">Inputs!$F$160*AM27/AM11*Time!AM30/12*Inputs!$F$40</f>
        <v>0.537166939739026</v>
      </c>
      <c r="AN67" s="13" t="n">
        <f aca="false">Inputs!$F$160*AN27/AN11*Time!AN30/12*Inputs!$F$40</f>
        <v>0.543043630119956</v>
      </c>
      <c r="AO67" s="13" t="n">
        <f aca="false">Inputs!$F$160*AO27/AO11*Time!AO30/12*Inputs!$F$40</f>
        <v>0.548984612413284</v>
      </c>
      <c r="AP67" s="13" t="n">
        <f aca="false">Inputs!$F$160*AP27/AP11*Time!AP30/12*Inputs!$F$40</f>
        <v>0.554990589982595</v>
      </c>
      <c r="AQ67" s="13" t="n">
        <f aca="false">Inputs!$F$160*AQ27/AQ11*Time!AQ30/12*Inputs!$F$40</f>
        <v>0.561062273886377</v>
      </c>
      <c r="AR67" s="13" t="n">
        <f aca="false">Inputs!$F$160*AR27/AR11*Time!AR30/12*Inputs!$F$40</f>
        <v>0.567200382962212</v>
      </c>
      <c r="AS67" s="13" t="n">
        <f aca="false">Inputs!$F$160*AS27/AS11*Time!AS30/12*Inputs!$F$40</f>
        <v>0.573405643911877</v>
      </c>
      <c r="AT67" s="13" t="n">
        <f aca="false">Inputs!$F$160*AT27/AT11*Time!AT30/12*Inputs!$F$40</f>
        <v>0.57967879138738</v>
      </c>
      <c r="AU67" s="13" t="n">
        <f aca="false">Inputs!$F$160*AU27/AU11*Time!AU30/12*Inputs!$F$40</f>
        <v>0.586020568077938</v>
      </c>
      <c r="AV67" s="13" t="n">
        <f aca="false">Inputs!$F$160*AV27/AV11*Time!AV30/12*Inputs!$F$40</f>
        <v>0.592431724797903</v>
      </c>
      <c r="AW67" s="13" t="n">
        <f aca="false">Inputs!$F$160*AW27/AW11*Time!AW30/12*Inputs!$F$40</f>
        <v>0.598913020575653</v>
      </c>
      <c r="AX67" s="13" t="n">
        <f aca="false">Inputs!$F$160*AX27/AX11*Time!AX30/12*Inputs!$F$40</f>
        <v>0.605465222743457</v>
      </c>
      <c r="AY67" s="13" t="n">
        <f aca="false">Inputs!$F$160*AY27/AY11*Time!AY30/12*Inputs!$F$40</f>
        <v>0.612089107028317</v>
      </c>
      <c r="AZ67" s="13" t="n">
        <f aca="false">Inputs!$F$160*AZ27/AZ11*Time!AZ30/12*Inputs!$F$40</f>
        <v>0.618785457643813</v>
      </c>
      <c r="BA67" s="13" t="n">
        <f aca="false">Inputs!$F$160*BA27/BA11*Time!BA30/12*Inputs!$F$40</f>
        <v>0.62555506738294</v>
      </c>
      <c r="BB67" s="13" t="n">
        <f aca="false">Inputs!$F$160*BB27/BB11*Time!BB30/12*Inputs!$F$40</f>
        <v>0.632398737711976</v>
      </c>
      <c r="BC67" s="13" t="n">
        <f aca="false">Inputs!$F$160*BC27/BC11*Time!BC30/12*Inputs!$F$40</f>
        <v>0.639317278865365</v>
      </c>
      <c r="BD67" s="13" t="n">
        <f aca="false">Inputs!$F$160*BD27/BD11*Time!BD30/12*Inputs!$F$40</f>
        <v>0.64631150994164</v>
      </c>
      <c r="BE67" s="13" t="n">
        <f aca="false">Inputs!$F$160*BE27/BE11*Time!BE30/12*Inputs!$F$40</f>
        <v>0.653382259000403</v>
      </c>
      <c r="BF67" s="13" t="n">
        <f aca="false">Inputs!$F$160*BF27/BF11*Time!BF30/12*Inputs!$F$40</f>
        <v>0.660530363160356</v>
      </c>
      <c r="BG67" s="13" t="n">
        <f aca="false">Inputs!$F$160*BG27/BG11*Time!BG30/12*Inputs!$F$40</f>
        <v>0.667756668698412</v>
      </c>
      <c r="BH67" s="13" t="n">
        <f aca="false">Inputs!$F$160*BH27/BH11*Time!BH30/12*Inputs!$F$40</f>
        <v>0.675062031149884</v>
      </c>
      <c r="BI67" s="13" t="n">
        <f aca="false">Inputs!$F$160*BI27/BI11*Time!BI30/12*Inputs!$F$40</f>
        <v>0.682447315409777</v>
      </c>
      <c r="BJ67" s="13" t="n">
        <f aca="false">Inputs!$F$160*BJ27/BJ11*Time!BJ30/12*Inputs!$F$40</f>
        <v>0.689913395835181</v>
      </c>
      <c r="BK67" s="13" t="n">
        <f aca="false">Inputs!$F$160*BK27/BK11*Time!BK30/12*Inputs!$F$40</f>
        <v>0.697461156348792</v>
      </c>
      <c r="BL67" s="13" t="n">
        <f aca="false">Inputs!$F$160*BL27/BL11*Time!BL30/12*Inputs!$F$40</f>
        <v>0.705091490543555</v>
      </c>
      <c r="BM67" s="13" t="n">
        <f aca="false">Inputs!$F$160*BM27/BM11*Time!BM30/12*Inputs!$F$40</f>
        <v>0.475203534525644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1194.5772845175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6.09096207058998</v>
      </c>
      <c r="P72" s="13" t="n">
        <f aca="false">P60+P61+P62+P64+P65+P66+P67+P68+P69+P70+P71</f>
        <v>18.4661761563198</v>
      </c>
      <c r="Q72" s="13" t="n">
        <f aca="false">Q60+Q61+Q62+Q64+Q65+Q66+Q67+Q68+Q69+Q70+Q71</f>
        <v>18.6214944268034</v>
      </c>
      <c r="R72" s="13" t="n">
        <f aca="false">R60+R61+R62+R64+R65+R66+R67+R68+R69+R70+R71</f>
        <v>18.7381166614321</v>
      </c>
      <c r="S72" s="13" t="n">
        <f aca="false">S60+S61+S62+S64+S65+S66+S67+S68+S69+S70+S71</f>
        <v>18.9763055715266</v>
      </c>
      <c r="T72" s="13" t="n">
        <f aca="false">T60+T61+T62+T64+T65+T66+T67+T68+T69+T70+T71</f>
        <v>19.2583368341248</v>
      </c>
      <c r="U72" s="13" t="n">
        <f aca="false">U60+U61+U62+U64+U65+U66+U67+U68+U69+U70+U71</f>
        <v>19.3150576029779</v>
      </c>
      <c r="V72" s="13" t="n">
        <f aca="false">V60+V61+V62+V64+V65+V66+V67+V68+V69+V70+V71</f>
        <v>19.2225096458005</v>
      </c>
      <c r="W72" s="13" t="n">
        <f aca="false">W60+W61+W62+W64+W65+W66+W67+W68+W69+W70+W71</f>
        <v>19.5754871143286</v>
      </c>
      <c r="X72" s="13" t="n">
        <f aca="false">X60+X61+X62+X64+X65+X66+X67+X68+X69+X70+X71</f>
        <v>20.0854347705409</v>
      </c>
      <c r="Y72" s="13" t="n">
        <f aca="false">Y60+Y61+Y62+Y64+Y65+Y66+Y67+Y68+Y69+Y70+Y71</f>
        <v>20.2547697299564</v>
      </c>
      <c r="Z72" s="13" t="n">
        <f aca="false">Z60+Z61+Z62+Z64+Z65+Z66+Z67+Z68+Z69+Z70+Z71</f>
        <v>20.3819349152024</v>
      </c>
      <c r="AA72" s="13" t="n">
        <f aca="false">AA60+AA61+AA62+AA64+AA65+AA66+AA67+AA68+AA69+AA70+AA71</f>
        <v>20.6415829721431</v>
      </c>
      <c r="AB72" s="13" t="n">
        <f aca="false">AB60+AB61+AB62+AB64+AB65+AB66+AB67+AB68+AB69+AB70+AB71</f>
        <v>20.9490107152439</v>
      </c>
      <c r="AC72" s="13" t="n">
        <f aca="false">AC60+AC61+AC62+AC64+AC65+AC66+AC67+AC68+AC69+AC70+AC71</f>
        <v>20.9159617429166</v>
      </c>
      <c r="AD72" s="13" t="n">
        <f aca="false">AD60+AD61+AD62+AD64+AD65+AD66+AD67+AD68+AD69+AD70+AD71</f>
        <v>20.6546621190511</v>
      </c>
      <c r="AE72" s="13" t="n">
        <f aca="false">AE60+AE61+AE62+AE64+AE65+AE66+AE67+AE68+AE69+AE70+AE71</f>
        <v>21.1008630174322</v>
      </c>
      <c r="AF72" s="13" t="n">
        <f aca="false">AF60+AF61+AF62+AF64+AF65+AF66+AF67+AF68+AF69+AF70+AF71</f>
        <v>21.8506733605622</v>
      </c>
      <c r="AG72" s="13" t="n">
        <f aca="false">AG60+AG61+AG62+AG64+AG65+AG66+AG67+AG68+AG69+AG70+AG71</f>
        <v>22.0352898677298</v>
      </c>
      <c r="AH72" s="13" t="n">
        <f aca="false">AH60+AH61+AH62+AH64+AH65+AH66+AH67+AH68+AH69+AH70+AH71</f>
        <v>22.1739510789604</v>
      </c>
      <c r="AI72" s="13" t="n">
        <f aca="false">AI60+AI61+AI62+AI64+AI65+AI66+AI67+AI68+AI69+AI70+AI71</f>
        <v>22.4569914274109</v>
      </c>
      <c r="AJ72" s="13" t="n">
        <f aca="false">AJ60+AJ61+AJ62+AJ64+AJ65+AJ66+AJ67+AJ68+AJ69+AJ70+AJ71</f>
        <v>22.7921023373227</v>
      </c>
      <c r="AK72" s="13" t="n">
        <f aca="false">AK60+AK61+AK62+AK64+AK65+AK66+AK67+AK68+AK69+AK70+AK71</f>
        <v>22.859627332066</v>
      </c>
      <c r="AL72" s="13" t="n">
        <f aca="false">AL60+AL61+AL62+AL64+AL65+AL66+AL67+AL68+AL69+AL70+AL71</f>
        <v>22.7498768118758</v>
      </c>
      <c r="AM72" s="13" t="n">
        <f aca="false">AM60+AM61+AM62+AM64+AM65+AM66+AM67+AM68+AM69+AM70+AM71</f>
        <v>23.1692513586069</v>
      </c>
      <c r="AN72" s="13" t="n">
        <f aca="false">AN60+AN61+AN62+AN64+AN65+AN66+AN67+AN68+AN69+AN70+AN71</f>
        <v>23.7750513427846</v>
      </c>
      <c r="AO72" s="13" t="n">
        <f aca="false">AO60+AO61+AO62+AO64+AO65+AO66+AO67+AO68+AO69+AO70+AO71</f>
        <v>23.976328389723</v>
      </c>
      <c r="AP72" s="13" t="n">
        <f aca="false">AP60+AP61+AP62+AP64+AP65+AP66+AP67+AP68+AP69+AP70+AP71</f>
        <v>24.1275248564917</v>
      </c>
      <c r="AQ72" s="13" t="n">
        <f aca="false">AQ60+AQ61+AQ62+AQ64+AQ65+AQ66+AQ67+AQ68+AQ69+AQ70+AQ71</f>
        <v>24.4360647722775</v>
      </c>
      <c r="AR72" s="13" t="n">
        <f aca="false">AR60+AR61+AR62+AR64+AR65+AR66+AR67+AR68+AR69+AR70+AR71</f>
        <v>24.8013514064839</v>
      </c>
      <c r="AS72" s="13" t="n">
        <f aca="false">AS60+AS61+AS62+AS64+AS65+AS66+AS67+AS68+AS69+AS70+AS71</f>
        <v>24.7622772789594</v>
      </c>
      <c r="AT72" s="13" t="n">
        <f aca="false">AT60+AT61+AT62+AT64+AT65+AT66+AT67+AT68+AT69+AT70+AT71</f>
        <v>24.4528212230199</v>
      </c>
      <c r="AU72" s="13" t="n">
        <f aca="false">AU60+AU61+AU62+AU64+AU65+AU66+AU67+AU68+AU69+AU70+AU71</f>
        <v>24.9822308375229</v>
      </c>
      <c r="AV72" s="13" t="n">
        <f aca="false">AV60+AV61+AV62+AV64+AV65+AV66+AV67+AV68+AV69+AV70+AV71</f>
        <v>25.8729143000697</v>
      </c>
      <c r="AW72" s="13" t="n">
        <f aca="false">AW60+AW61+AW62+AW64+AW65+AW66+AW67+AW68+AW69+AW70+AW71</f>
        <v>26.0923553100415</v>
      </c>
      <c r="AX72" s="13" t="n">
        <f aca="false">AX60+AX61+AX62+AX64+AX65+AX66+AX67+AX68+AX69+AX70+AX71</f>
        <v>26.2572202037918</v>
      </c>
      <c r="AY72" s="13" t="n">
        <f aca="false">AY60+AY61+AY62+AY64+AY65+AY66+AY67+AY68+AY69+AY70+AY71</f>
        <v>26.5935567775844</v>
      </c>
      <c r="AZ72" s="13" t="n">
        <f aca="false">AZ60+AZ61+AZ62+AZ64+AZ65+AZ66+AZ67+AZ68+AZ69+AZ70+AZ71</f>
        <v>26.9917360974788</v>
      </c>
      <c r="BA72" s="13" t="n">
        <f aca="false">BA60+BA61+BA62+BA64+BA65+BA66+BA67+BA68+BA69+BA70+BA71</f>
        <v>27.0721233116523</v>
      </c>
      <c r="BB72" s="13" t="n">
        <f aca="false">BB60+BB61+BB62+BB64+BB65+BB66+BB67+BB68+BB69+BB70+BB71</f>
        <v>26.9419743641717</v>
      </c>
      <c r="BC72" s="13" t="n">
        <f aca="false">BC60+BC61+BC62+BC64+BC65+BC66+BC67+BC68+BC69+BC70+BC71</f>
        <v>27.4402341619802</v>
      </c>
      <c r="BD72" s="13" t="n">
        <f aca="false">BD60+BD61+BD62+BD64+BD65+BD66+BD67+BD68+BD69+BD70+BD71</f>
        <v>28.1599008920775</v>
      </c>
      <c r="BE72" s="13" t="n">
        <f aca="false">BE60+BE61+BE62+BE64+BE65+BE66+BE67+BE68+BE69+BE70+BE71</f>
        <v>28.3991449467511</v>
      </c>
      <c r="BF72" s="13" t="n">
        <f aca="false">BF60+BF61+BF62+BF64+BF65+BF66+BF67+BF68+BF69+BF70+BF71</f>
        <v>28.5789138724442</v>
      </c>
      <c r="BG72" s="13" t="n">
        <f aca="false">BG60+BG61+BG62+BG64+BG65+BG66+BG67+BG68+BG69+BG70+BG71</f>
        <v>28.9455511059135</v>
      </c>
      <c r="BH72" s="13" t="n">
        <f aca="false">BH60+BH61+BH62+BH64+BH65+BH66+BH67+BH68+BH69+BH70+BH71</f>
        <v>29.3795846776916</v>
      </c>
      <c r="BI72" s="13" t="n">
        <f aca="false">BI60+BI61+BI62+BI64+BI65+BI66+BI67+BI68+BI69+BI70+BI71</f>
        <v>29.3333889886534</v>
      </c>
      <c r="BJ72" s="13" t="n">
        <f aca="false">BJ60+BJ61+BJ62+BJ64+BJ65+BJ66+BJ67+BJ68+BJ69+BJ70+BJ71</f>
        <v>28.9667939538026</v>
      </c>
      <c r="BK72" s="13" t="n">
        <f aca="false">BK60+BK61+BK62+BK64+BK65+BK66+BK67+BK68+BK69+BK70+BK71</f>
        <v>29.5950397321077</v>
      </c>
      <c r="BL72" s="13" t="n">
        <f aca="false">BL60+BL61+BL62+BL64+BL65+BL66+BL67+BL68+BL69+BL70+BL71</f>
        <v>30.6530594007466</v>
      </c>
      <c r="BM72" s="13" t="n">
        <f aca="false">BM60+BM61+BM62+BM64+BM65+BM66+BM67+BM68+BM69+BM70+BM71</f>
        <v>20.6537126723536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6992.78586244317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36.4603562697022</v>
      </c>
      <c r="P83" s="13" t="n">
        <f aca="false">P72+P74+P75+P76+P79+P82</f>
        <v>109.727577409911</v>
      </c>
      <c r="Q83" s="13" t="n">
        <f aca="false">Q72+Q74+Q75+Q76+Q79+Q82</f>
        <v>111.087816665622</v>
      </c>
      <c r="R83" s="13" t="n">
        <f aca="false">R72+R74+R75+R76+R79+R82</f>
        <v>110.850425000411</v>
      </c>
      <c r="S83" s="13" t="n">
        <f aca="false">S72+S74+S75+S76+S79+S82</f>
        <v>112.9189696011</v>
      </c>
      <c r="T83" s="13" t="n">
        <f aca="false">T72+T74+T75+T76+T79+T82</f>
        <v>113.911288370084</v>
      </c>
      <c r="U83" s="13" t="n">
        <f aca="false">U72+U74+U75+U76+U79+U82</f>
        <v>114.685113878368</v>
      </c>
      <c r="V83" s="13" t="n">
        <f aca="false">V72+V74+V75+V76+V79+V82</f>
        <v>115.288229316892</v>
      </c>
      <c r="W83" s="13" t="n">
        <f aca="false">W72+W74+W75+W76+W79+W82</f>
        <v>115.708877928134</v>
      </c>
      <c r="X83" s="13" t="n">
        <f aca="false">X72+X74+X75+X76+X79+X82</f>
        <v>118.362035680286</v>
      </c>
      <c r="Y83" s="13" t="n">
        <f aca="false">Y72+Y74+Y75+Y76+Y79+Y82</f>
        <v>119.925967863615</v>
      </c>
      <c r="Z83" s="13" t="n">
        <f aca="false">Z72+Z74+Z75+Z76+Z79+Z82</f>
        <v>119.68014263715</v>
      </c>
      <c r="AA83" s="13" t="n">
        <f aca="false">AA72+AA74+AA75+AA76+AA79+AA82</f>
        <v>121.917304113857</v>
      </c>
      <c r="AB83" s="13" t="n">
        <f aca="false">AB72+AB74+AB75+AB76+AB79+AB82</f>
        <v>122.987796378808</v>
      </c>
      <c r="AC83" s="13" t="n">
        <f aca="false">AC72+AC74+AC75+AC76+AC79+AC82</f>
        <v>123.112350166373</v>
      </c>
      <c r="AD83" s="13" t="n">
        <f aca="false">AD72+AD74+AD75+AD76+AD79+AD82</f>
        <v>131.506092632557</v>
      </c>
      <c r="AE83" s="13" t="n">
        <f aca="false">AE72+AE74+AE75+AE76+AE79+AE82</f>
        <v>123.478839503728</v>
      </c>
      <c r="AF83" s="13" t="n">
        <f aca="false">AF72+AF74+AF75+AF76+AF79+AF82</f>
        <v>127.795453375187</v>
      </c>
      <c r="AG83" s="13" t="n">
        <f aca="false">AG72+AG74+AG75+AG76+AG79+AG82</f>
        <v>129.486705918808</v>
      </c>
      <c r="AH83" s="13" t="n">
        <f aca="false">AH72+AH74+AH75+AH76+AH79+AH82</f>
        <v>129.217849098941</v>
      </c>
      <c r="AI83" s="13" t="n">
        <f aca="false">AI72+AI74+AI75+AI76+AI79+AI82</f>
        <v>131.637273988888</v>
      </c>
      <c r="AJ83" s="13" t="n">
        <f aca="false">AJ72+AJ74+AJ75+AJ76+AJ79+AJ82</f>
        <v>132.792159909335</v>
      </c>
      <c r="AK83" s="13" t="n">
        <f aca="false">AK72+AK74+AK75+AK76+AK79+AK82</f>
        <v>133.693906844919</v>
      </c>
      <c r="AL83" s="13" t="n">
        <f aca="false">AL72+AL74+AL75+AL76+AL79+AL82</f>
        <v>134.446681598864</v>
      </c>
      <c r="AM83" s="13" t="n">
        <f aca="false">AM72+AM74+AM75+AM76+AM79+AM82</f>
        <v>134.887582583069</v>
      </c>
      <c r="AN83" s="13" t="n">
        <f aca="false">AN72+AN74+AN75+AN76+AN79+AN82</f>
        <v>137.98535014177</v>
      </c>
      <c r="AO83" s="13" t="n">
        <f aca="false">AO72+AO74+AO75+AO76+AO79+AO82</f>
        <v>139.814208167224</v>
      </c>
      <c r="AP83" s="13" t="n">
        <f aca="false">AP72+AP74+AP75+AP76+AP79+AP82</f>
        <v>139.520320891353</v>
      </c>
      <c r="AQ83" s="13" t="n">
        <f aca="false">AQ72+AQ74+AQ75+AQ76+AQ79+AQ82</f>
        <v>142.136751775817</v>
      </c>
      <c r="AR83" s="13" t="n">
        <f aca="false">AR72+AR74+AR75+AR76+AR79+AR82</f>
        <v>143.382750157225</v>
      </c>
      <c r="AS83" s="13" t="n">
        <f aca="false">AS72+AS74+AS75+AS76+AS79+AS82</f>
        <v>143.524608599235</v>
      </c>
      <c r="AT83" s="13" t="n">
        <f aca="false">AT72+AT74+AT75+AT76+AT79+AT82</f>
        <v>153.582241535107</v>
      </c>
      <c r="AU83" s="13" t="n">
        <f aca="false">AU72+AU74+AU75+AU76+AU79+AU82</f>
        <v>143.949112679135</v>
      </c>
      <c r="AV83" s="13" t="n">
        <f aca="false">AV72+AV74+AV75+AV76+AV79+AV82</f>
        <v>148.992389397685</v>
      </c>
      <c r="AW83" s="13" t="n">
        <f aca="false">AW72+AW74+AW75+AW76+AW79+AW82</f>
        <v>150.969962075045</v>
      </c>
      <c r="AX83" s="13" t="n">
        <f aca="false">AX72+AX74+AX75+AX76+AX79+AX82</f>
        <v>150.648881247526</v>
      </c>
      <c r="AY83" s="13" t="n">
        <f aca="false">AY72+AY74+AY75+AY76+AY79+AY82</f>
        <v>153.47824405573</v>
      </c>
      <c r="AZ83" s="13" t="n">
        <f aca="false">AZ72+AZ74+AZ75+AZ76+AZ79+AZ82</f>
        <v>154.822612541559</v>
      </c>
      <c r="BA83" s="13" t="n">
        <f aca="false">BA72+BA74+BA75+BA76+BA79+BA82</f>
        <v>155.873319713678</v>
      </c>
      <c r="BB83" s="13" t="n">
        <f aca="false">BB72+BB74+BB75+BB76+BB79+BB82</f>
        <v>156.810942140517</v>
      </c>
      <c r="BC83" s="13" t="n">
        <f aca="false">BC72+BC74+BC75+BC76+BC79+BC82</f>
        <v>157.265190802059</v>
      </c>
      <c r="BD83" s="13" t="n">
        <f aca="false">BD72+BD74+BD75+BD76+BD79+BD82</f>
        <v>160.882091846293</v>
      </c>
      <c r="BE83" s="13" t="n">
        <f aca="false">BE72+BE74+BE75+BE76+BE79+BE82</f>
        <v>163.020377831652</v>
      </c>
      <c r="BF83" s="13" t="n">
        <f aca="false">BF72+BF74+BF75+BF76+BF79+BF82</f>
        <v>162.669763253107</v>
      </c>
      <c r="BG83" s="13" t="n">
        <f aca="false">BG72+BG74+BG75+BG76+BG79+BG82</f>
        <v>165.72926145668</v>
      </c>
      <c r="BH83" s="13" t="n">
        <f aca="false">BH72+BH74+BH75+BH76+BH79+BH82</f>
        <v>167.179839972427</v>
      </c>
      <c r="BI83" s="13" t="n">
        <f aca="false">BI72+BI74+BI75+BI76+BI79+BI82</f>
        <v>167.341316971921</v>
      </c>
      <c r="BJ83" s="13" t="n">
        <f aca="false">BJ72+BJ74+BJ75+BJ76+BJ79+BJ82</f>
        <v>179.391753971148</v>
      </c>
      <c r="BK83" s="13" t="n">
        <f aca="false">BK72+BK74+BK75+BK76+BK79+BK82</f>
        <v>167.833209721818</v>
      </c>
      <c r="BL83" s="13" t="n">
        <f aca="false">BL72+BL74+BL75+BL76+BL79+BL82</f>
        <v>173.725223307795</v>
      </c>
      <c r="BM83" s="13" t="n">
        <f aca="false">BM72+BM74+BM75+BM76+BM79+BM82</f>
        <v>136.68934145506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2551.43649970451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16.5523212779918</v>
      </c>
      <c r="P84" s="13" t="n">
        <f aca="false">P56-P83+P58</f>
        <v>49.6539257804251</v>
      </c>
      <c r="Q84" s="13" t="n">
        <f aca="false">Q56-Q83+Q58</f>
        <v>49.8496278435432</v>
      </c>
      <c r="R84" s="13" t="n">
        <f aca="false">R56-R83+R58</f>
        <v>49.9855261309871</v>
      </c>
      <c r="S84" s="13" t="n">
        <f aca="false">S56-S83+S58</f>
        <v>50.0683403618542</v>
      </c>
      <c r="T84" s="13" t="n">
        <f aca="false">T56-T83+T58</f>
        <v>50.1342780766878</v>
      </c>
      <c r="U84" s="13" t="n">
        <f aca="false">U56-U83+U58</f>
        <v>50.2873669910437</v>
      </c>
      <c r="V84" s="13" t="n">
        <f aca="false">V56-V83+V58</f>
        <v>47.9982048838494</v>
      </c>
      <c r="W84" s="13" t="n">
        <f aca="false">W56-W83+W58</f>
        <v>50.5429067435296</v>
      </c>
      <c r="X84" s="13" t="n">
        <f aca="false">X56-X83+X58</f>
        <v>50.5312101782456</v>
      </c>
      <c r="Y84" s="13" t="n">
        <f aca="false">Y56-Y83+Y58</f>
        <v>50.6497606175813</v>
      </c>
      <c r="Z84" s="13" t="n">
        <f aca="false">Z56-Z83+Z58</f>
        <v>50.7845551226955</v>
      </c>
      <c r="AA84" s="13" t="n">
        <f aca="false">AA56-AA83+AA58</f>
        <v>50.8729674087152</v>
      </c>
      <c r="AB84" s="13" t="n">
        <f aca="false">AB56-AB83+AB58</f>
        <v>50.9439836399245</v>
      </c>
      <c r="AC84" s="13" t="n">
        <f aca="false">AC56-AC83+AC58</f>
        <v>51.1464809099471</v>
      </c>
      <c r="AD84" s="13" t="n">
        <f aca="false">AD56-AD83+AD58</f>
        <v>38.659991944834</v>
      </c>
      <c r="AE84" s="13" t="n">
        <f aca="false">AE56-AE83+AE58</f>
        <v>51.462474595561</v>
      </c>
      <c r="AF84" s="13" t="n">
        <f aca="false">AF56-AF83+AF58</f>
        <v>51.3732395284939</v>
      </c>
      <c r="AG84" s="13" t="n">
        <f aca="false">AG56-AG83+AG58</f>
        <v>51.5012459115863</v>
      </c>
      <c r="AH84" s="13" t="n">
        <f aca="false">AH56-AH83+AH58</f>
        <v>51.6487727622894</v>
      </c>
      <c r="AI84" s="13" t="n">
        <f aca="false">AI56-AI83+AI58</f>
        <v>51.7431611362602</v>
      </c>
      <c r="AJ84" s="13" t="n">
        <f aca="false">AJ56-AJ83+AJ58</f>
        <v>51.8196452036536</v>
      </c>
      <c r="AK84" s="13" t="n">
        <f aca="false">AK56-AK83+AK58</f>
        <v>52.0010024208087</v>
      </c>
      <c r="AL84" s="13" t="n">
        <f aca="false">AL56-AL83+AL58</f>
        <v>49.28137515465</v>
      </c>
      <c r="AM84" s="13" t="n">
        <f aca="false">AM56-AM83+AM58</f>
        <v>52.3038051568255</v>
      </c>
      <c r="AN84" s="13" t="n">
        <f aca="false">AN56-AN83+AN58</f>
        <v>52.2838954097963</v>
      </c>
      <c r="AO84" s="13" t="n">
        <f aca="false">AO56-AO83+AO58</f>
        <v>52.4221306844942</v>
      </c>
      <c r="AP84" s="13" t="n">
        <f aca="false">AP56-AP83+AP58</f>
        <v>52.5835744072127</v>
      </c>
      <c r="AQ84" s="13" t="n">
        <f aca="false">AQ56-AQ83+AQ58</f>
        <v>52.6843425998417</v>
      </c>
      <c r="AR84" s="13" t="n">
        <f aca="false">AR56-AR83+AR58</f>
        <v>52.7667134135945</v>
      </c>
      <c r="AS84" s="13" t="n">
        <f aca="false">AS56-AS83+AS58</f>
        <v>53.0085353837365</v>
      </c>
      <c r="AT84" s="13" t="n">
        <f aca="false">AT56-AT83+AT58</f>
        <v>38.2669512783856</v>
      </c>
      <c r="AU84" s="13" t="n">
        <f aca="false">AU56-AU83+AU58</f>
        <v>53.3849584066187</v>
      </c>
      <c r="AV84" s="13" t="n">
        <f aca="false">AV56-AV83+AV58</f>
        <v>53.2688521893509</v>
      </c>
      <c r="AW84" s="13" t="n">
        <f aca="false">AW56-AW83+AW58</f>
        <v>53.4181541054966</v>
      </c>
      <c r="AX84" s="13" t="n">
        <f aca="false">AX56-AX83+AX58</f>
        <v>53.5948081578694</v>
      </c>
      <c r="AY84" s="13" t="n">
        <f aca="false">AY56-AY83+AY58</f>
        <v>53.7023873765837</v>
      </c>
      <c r="AZ84" s="13" t="n">
        <f aca="false">AZ56-AZ83+AZ58</f>
        <v>53.7910956541367</v>
      </c>
      <c r="BA84" s="13" t="n">
        <f aca="false">BA56-BA83+BA58</f>
        <v>54.0060069280155</v>
      </c>
      <c r="BB84" s="13" t="n">
        <f aca="false">BB56-BB83+BB58</f>
        <v>50.7747418357152</v>
      </c>
      <c r="BC84" s="13" t="n">
        <f aca="false">BC56-BC83+BC58</f>
        <v>54.3648657475741</v>
      </c>
      <c r="BD84" s="13" t="n">
        <f aca="false">BD56-BD83+BD58</f>
        <v>54.334259954828</v>
      </c>
      <c r="BE84" s="13" t="n">
        <f aca="false">BE56-BE83+BE58</f>
        <v>54.4955366303577</v>
      </c>
      <c r="BF84" s="13" t="n">
        <f aca="false">BF56-BF83+BF58</f>
        <v>54.68881332903</v>
      </c>
      <c r="BG84" s="13" t="n">
        <f aca="false">BG56-BG83+BG58</f>
        <v>54.8036641640375</v>
      </c>
      <c r="BH84" s="13" t="n">
        <f aca="false">BH56-BH83+BH58</f>
        <v>54.8991948092379</v>
      </c>
      <c r="BI84" s="13" t="n">
        <f aca="false">BI56-BI83+BI58</f>
        <v>55.1879788679709</v>
      </c>
      <c r="BJ84" s="13" t="n">
        <f aca="false">BJ56-BJ83+BJ58</f>
        <v>37.7636995154369</v>
      </c>
      <c r="BK84" s="13" t="n">
        <f aca="false">BK56-BK83+BK58</f>
        <v>55.6363755214916</v>
      </c>
      <c r="BL84" s="13" t="n">
        <f aca="false">BL56-BL83+BL58</f>
        <v>55.4867849036399</v>
      </c>
      <c r="BM84" s="13" t="n">
        <f aca="false">BM56-BM83+BM58</f>
        <v>18.0220086480719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1.75466759050047</v>
      </c>
      <c r="P92" s="13" t="n">
        <f aca="false">(1-P86)*(P60+P61+P62+P64)/MAX(Time!P31,1)*Inputs!$F$171</f>
        <v>1.76422336369604</v>
      </c>
      <c r="Q92" s="13" t="n">
        <f aca="false">(1-Q86)*(Q60+Q61+Q62+Q64)/MAX(Time!Q31,1)*Inputs!$F$171</f>
        <v>1.80769025290166</v>
      </c>
      <c r="R92" s="13" t="n">
        <f aca="false">(1-R86)*(R60+R61+R62+R64)/MAX(Time!R31,1)*Inputs!$F$171</f>
        <v>1.78694048951067</v>
      </c>
      <c r="S92" s="13" t="n">
        <f aca="false">(1-S86)*(S60+S61+S62+S64)/MAX(Time!S31,1)*Inputs!$F$171</f>
        <v>1.84194557904082</v>
      </c>
      <c r="T92" s="13" t="n">
        <f aca="false">(1-T86)*(T60+T61+T62+T64)/MAX(Time!T31,1)*Inputs!$F$171</f>
        <v>1.84270307580669</v>
      </c>
      <c r="U92" s="13" t="n">
        <f aca="false">(1-U86)*(U60+U61+U62+U64)/MAX(Time!U31,1)*Inputs!$F$171</f>
        <v>1.86340750152737</v>
      </c>
      <c r="V92" s="13" t="n">
        <f aca="false">(1-V86)*(V60+V61+V62+V64)/MAX(Time!V31,1)*Inputs!$F$171</f>
        <v>1.82346727866241</v>
      </c>
      <c r="W92" s="13" t="n">
        <f aca="false">(1-W86)*(W60+W61+W62+W64)/MAX(Time!W31,1)*Inputs!$F$171</f>
        <v>1.89444709222591</v>
      </c>
      <c r="X92" s="13" t="n">
        <f aca="false">(1-X86)*(X60+X61+X62+X64)/MAX(Time!X31,1)*Inputs!$F$171</f>
        <v>1.92467387943088</v>
      </c>
      <c r="Y92" s="13" t="n">
        <f aca="false">(1-Y86)*(Y60+Y61+Y62+Y64)/MAX(Time!Y31,1)*Inputs!$F$171</f>
        <v>1.97209394425697</v>
      </c>
      <c r="Z92" s="13" t="n">
        <f aca="false">(1-Z86)*(Z60+Z61+Z62+Z64)/MAX(Time!Z31,1)*Inputs!$F$171</f>
        <v>1.94945705574</v>
      </c>
      <c r="AA92" s="13" t="n">
        <f aca="false">(1-AA86)*(AA60+AA61+AA62+AA64)/MAX(Time!AA31,1)*Inputs!$F$171</f>
        <v>2.00946468359086</v>
      </c>
      <c r="AB92" s="13" t="n">
        <f aca="false">(1-AB86)*(AB60+AB61+AB62+AB64)/MAX(Time!AB31,1)*Inputs!$F$171</f>
        <v>2.01029107228348</v>
      </c>
      <c r="AC92" s="13" t="n">
        <f aca="false">(1-AC86)*(AC60+AC61+AC62+AC64)/MAX(Time!AC31,1)*Inputs!$F$171</f>
        <v>2.01997140658409</v>
      </c>
      <c r="AD92" s="13" t="n">
        <f aca="false">(1-AD86)*(AD60+AD61+AD62+AD64)/MAX(Time!AD31,1)*Inputs!$F$171</f>
        <v>1.95670002272078</v>
      </c>
      <c r="AE92" s="13" t="n">
        <f aca="false">(1-AE86)*(AE60+AE61+AE62+AE64)/MAX(Time!AE31,1)*Inputs!$F$171</f>
        <v>2.04021318676345</v>
      </c>
      <c r="AF92" s="13" t="n">
        <f aca="false">(1-AF86)*(AF60+AF61+AF62+AF64)/MAX(Time!AF31,1)*Inputs!$F$171</f>
        <v>2.09971686034294</v>
      </c>
      <c r="AG92" s="13" t="n">
        <f aca="false">(1-AG86)*(AG60+AG61+AG62+AG64)/MAX(Time!AG31,1)*Inputs!$F$171</f>
        <v>2.15144962956582</v>
      </c>
      <c r="AH92" s="13" t="n">
        <f aca="false">(1-AH86)*(AH60+AH61+AH62+AH64)/MAX(Time!AH31,1)*Inputs!$F$171</f>
        <v>2.12675398788192</v>
      </c>
      <c r="AI92" s="13" t="n">
        <f aca="false">(1-AI86)*(AI60+AI61+AI62+AI64)/MAX(Time!AI31,1)*Inputs!$F$171</f>
        <v>2.19221911903696</v>
      </c>
      <c r="AJ92" s="13" t="n">
        <f aca="false">(1-AJ86)*(AJ60+AJ61+AJ62+AJ64)/MAX(Time!AJ31,1)*Inputs!$F$171</f>
        <v>2.19312066515843</v>
      </c>
      <c r="AK92" s="13" t="n">
        <f aca="false">(1-AK86)*(AK60+AK61+AK62+AK64)/MAX(Time!AK31,1)*Inputs!$F$171</f>
        <v>2.21776234753495</v>
      </c>
      <c r="AL92" s="13" t="n">
        <f aca="false">(1-AL86)*(AL60+AL61+AL62+AL64)/MAX(Time!AL31,1)*Inputs!$F$171</f>
        <v>2.17022689307882</v>
      </c>
      <c r="AM92" s="13" t="n">
        <f aca="false">(1-AM86)*(AM60+AM61+AM62+AM64)/MAX(Time!AM31,1)*Inputs!$F$171</f>
        <v>2.25470458130705</v>
      </c>
      <c r="AN92" s="13" t="n">
        <f aca="false">(1-AN86)*(AN60+AN61+AN62+AN64)/MAX(Time!AN31,1)*Inputs!$F$171</f>
        <v>2.29067944482734</v>
      </c>
      <c r="AO92" s="13" t="n">
        <f aca="false">(1-AO86)*(AO60+AO61+AO62+AO64)/MAX(Time!AO31,1)*Inputs!$F$171</f>
        <v>2.34711714522448</v>
      </c>
      <c r="AP92" s="13" t="n">
        <f aca="false">(1-AP86)*(AP60+AP61+AP62+AP64)/MAX(Time!AP31,1)*Inputs!$F$171</f>
        <v>2.32017551330707</v>
      </c>
      <c r="AQ92" s="13" t="n">
        <f aca="false">(1-AQ86)*(AQ60+AQ61+AQ62+AQ64)/MAX(Time!AQ31,1)*Inputs!$F$171</f>
        <v>2.3915944903711</v>
      </c>
      <c r="AR92" s="13" t="n">
        <f aca="false">(1-AR86)*(AR60+AR61+AR62+AR64)/MAX(Time!AR31,1)*Inputs!$F$171</f>
        <v>2.39257802925104</v>
      </c>
      <c r="AS92" s="13" t="n">
        <f aca="false">(1-AS86)*(AS60+AS61+AS62+AS64)/MAX(Time!AS31,1)*Inputs!$F$171</f>
        <v>2.40409922410823</v>
      </c>
      <c r="AT92" s="13" t="n">
        <f aca="false">(1-AT86)*(AT60+AT61+AT62+AT64)/MAX(Time!AT31,1)*Inputs!$F$171</f>
        <v>2.32879583894236</v>
      </c>
      <c r="AU92" s="13" t="n">
        <f aca="false">(1-AU86)*(AU60+AU61+AU62+AU64)/MAX(Time!AU31,1)*Inputs!$F$171</f>
        <v>2.42819028196437</v>
      </c>
      <c r="AV92" s="13" t="n">
        <f aca="false">(1-AV86)*(AV60+AV61+AV62+AV64)/MAX(Time!AV31,1)*Inputs!$F$171</f>
        <v>2.49900947030424</v>
      </c>
      <c r="AW92" s="13" t="n">
        <f aca="false">(1-AW86)*(AW60+AW61+AW62+AW64)/MAX(Time!AW31,1)*Inputs!$F$171</f>
        <v>2.56058000043368</v>
      </c>
      <c r="AX92" s="13" t="n">
        <f aca="false">(1-AX86)*(AX60+AX61+AX62+AX64)/MAX(Time!AX31,1)*Inputs!$F$171</f>
        <v>2.53118811259923</v>
      </c>
      <c r="AY92" s="13" t="n">
        <f aca="false">(1-AY86)*(AY60+AY61+AY62+AY64)/MAX(Time!AY31,1)*Inputs!$F$171</f>
        <v>2.60910241896168</v>
      </c>
      <c r="AZ92" s="13" t="n">
        <f aca="false">(1-AZ86)*(AZ60+AZ61+AZ62+AZ64)/MAX(Time!AZ31,1)*Inputs!$F$171</f>
        <v>2.61017540758125</v>
      </c>
      <c r="BA92" s="13" t="n">
        <f aca="false">(1-BA86)*(BA60+BA61+BA62+BA64)/MAX(Time!BA31,1)*Inputs!$F$171</f>
        <v>2.63950307493784</v>
      </c>
      <c r="BB92" s="13" t="n">
        <f aca="false">(1-BB86)*(BB60+BB61+BB62+BB64)/MAX(Time!BB31,1)*Inputs!$F$171</f>
        <v>2.58292804184424</v>
      </c>
      <c r="BC92" s="13" t="n">
        <f aca="false">(1-BC86)*(BC60+BC61+BC62+BC64)/MAX(Time!BC31,1)*Inputs!$F$171</f>
        <v>2.68347042777206</v>
      </c>
      <c r="BD92" s="13" t="n">
        <f aca="false">(1-BD86)*(BD60+BD61+BD62+BD64)/MAX(Time!BD31,1)*Inputs!$F$171</f>
        <v>2.7262864504121</v>
      </c>
      <c r="BE92" s="13" t="n">
        <f aca="false">(1-BE86)*(BE60+BE61+BE62+BE64)/MAX(Time!BE31,1)*Inputs!$F$171</f>
        <v>2.79345662484771</v>
      </c>
      <c r="BF92" s="13" t="n">
        <f aca="false">(1-BF86)*(BF60+BF61+BF62+BF64)/MAX(Time!BF31,1)*Inputs!$F$171</f>
        <v>2.76139163809705</v>
      </c>
      <c r="BG92" s="13" t="n">
        <f aca="false">(1-BG86)*(BG60+BG61+BG62+BG64)/MAX(Time!BG31,1)*Inputs!$F$171</f>
        <v>2.8463920033431</v>
      </c>
      <c r="BH92" s="13" t="n">
        <f aca="false">(1-BH86)*(BH60+BH61+BH62+BH64)/MAX(Time!BH31,1)*Inputs!$F$171</f>
        <v>2.84756257687223</v>
      </c>
      <c r="BI92" s="13" t="n">
        <f aca="false">(1-BI86)*(BI60+BI61+BI62+BI64)/MAX(Time!BI31,1)*Inputs!$F$171</f>
        <v>2.86127469949273</v>
      </c>
      <c r="BJ92" s="13" t="n">
        <f aca="false">(1-BJ86)*(BJ60+BJ61+BJ62+BJ64)/MAX(Time!BJ31,1)*Inputs!$F$171</f>
        <v>2.77165124776469</v>
      </c>
      <c r="BK92" s="13" t="n">
        <f aca="false">(1-BK86)*(BK60+BK61+BK62+BK64)/MAX(Time!BK31,1)*Inputs!$F$171</f>
        <v>2.88994703282928</v>
      </c>
      <c r="BL92" s="13" t="n">
        <f aca="false">(1-BL86)*(BL60+BL61+BL62+BL64)/MAX(Time!BL31,1)*Inputs!$F$171</f>
        <v>2.97423355054181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1.24088752618313</v>
      </c>
      <c r="P93" s="13" t="n">
        <f aca="false">(1-P86)*(P65+P66+P67+P68+P69+P70+P71)/MAX(Time!P31,1)*Inputs!$F$172</f>
        <v>1.24656622700827</v>
      </c>
      <c r="Q93" s="13" t="n">
        <f aca="false">(1-Q86)*(Q65+Q66+Q67+Q68+Q69+Q70+Q71)/MAX(Time!Q31,1)*Inputs!$F$172</f>
        <v>1.27874528745249</v>
      </c>
      <c r="R93" s="13" t="n">
        <f aca="false">(1-R86)*(R65+R66+R67+R68+R69+R70+R71)/MAX(Time!R31,1)*Inputs!$F$172</f>
        <v>1.26818722702717</v>
      </c>
      <c r="S93" s="13" t="n">
        <f aca="false">(1-S86)*(S65+S66+S67+S68+S69+S70+S71)/MAX(Time!S31,1)*Inputs!$F$172</f>
        <v>1.30329843833927</v>
      </c>
      <c r="T93" s="13" t="n">
        <f aca="false">(1-T86)*(T65+T66+T67+T68+T69+T70+T71)/MAX(Time!T31,1)*Inputs!$F$172</f>
        <v>1.29724314714844</v>
      </c>
      <c r="U93" s="13" t="n">
        <f aca="false">(1-U86)*(U65+U66+U67+U68+U69+U70+U71)/MAX(Time!U31,1)*Inputs!$F$172</f>
        <v>1.32039320226019</v>
      </c>
      <c r="V93" s="13" t="n">
        <f aca="false">(1-V86)*(V65+V66+V67+V68+V69+V70+V71)/MAX(Time!V31,1)*Inputs!$F$172</f>
        <v>1.31063755489201</v>
      </c>
      <c r="W93" s="13" t="n">
        <f aca="false">(1-W86)*(W65+W66+W67+W68+W69+W70+W71)/MAX(Time!W31,1)*Inputs!$F$172</f>
        <v>1.35010878307717</v>
      </c>
      <c r="X93" s="13" t="n">
        <f aca="false">(1-X86)*(X65+X66+X67+X68+X69+X70+X71)/MAX(Time!X31,1)*Inputs!$F$172</f>
        <v>1.35012526793992</v>
      </c>
      <c r="Y93" s="13" t="n">
        <f aca="false">(1-Y86)*(Y65+Y66+Y67+Y68+Y69+Y70+Y71)/MAX(Time!Y31,1)*Inputs!$F$172</f>
        <v>1.38505020987945</v>
      </c>
      <c r="Z93" s="13" t="n">
        <f aca="false">(1-Z86)*(Z65+Z66+Z67+Z68+Z69+Z70+Z71)/MAX(Time!Z31,1)*Inputs!$F$172</f>
        <v>1.37368450652126</v>
      </c>
      <c r="AA93" s="13" t="n">
        <f aca="false">(1-AA86)*(AA65+AA66+AA67+AA68+AA69+AA70+AA71)/MAX(Time!AA31,1)*Inputs!$F$172</f>
        <v>1.4117921626207</v>
      </c>
      <c r="AB93" s="13" t="n">
        <f aca="false">(1-AB86)*(AB65+AB66+AB67+AB68+AB69+AB70+AB71)/MAX(Time!AB31,1)*Inputs!$F$172</f>
        <v>1.40530850085411</v>
      </c>
      <c r="AC93" s="13" t="n">
        <f aca="false">(1-AC86)*(AC65+AC66+AC67+AC68+AC69+AC70+AC71)/MAX(Time!AC31,1)*Inputs!$F$172</f>
        <v>1.42771459499557</v>
      </c>
      <c r="AD93" s="13" t="n">
        <f aca="false">(1-AD86)*(AD65+AD66+AD67+AD68+AD69+AD70+AD71)/MAX(Time!AD31,1)*Inputs!$F$172</f>
        <v>1.41090793147233</v>
      </c>
      <c r="AE93" s="13" t="n">
        <f aca="false">(1-AE86)*(AE65+AE66+AE67+AE68+AE69+AE70+AE71)/MAX(Time!AE31,1)*Inputs!$F$172</f>
        <v>1.45716742386068</v>
      </c>
      <c r="AF93" s="13" t="n">
        <f aca="false">(1-AF86)*(AF65+AF66+AF67+AF68+AF69+AF70+AF71)/MAX(Time!AF31,1)*Inputs!$F$172</f>
        <v>1.46289292670524</v>
      </c>
      <c r="AG93" s="13" t="n">
        <f aca="false">(1-AG86)*(AG65+AG66+AG67+AG68+AG69+AG70+AG71)/MAX(Time!AG31,1)*Inputs!$F$172</f>
        <v>1.50080835956067</v>
      </c>
      <c r="AH93" s="13" t="n">
        <f aca="false">(1-AH86)*(AH65+AH66+AH67+AH68+AH69+AH70+AH71)/MAX(Time!AH31,1)*Inputs!$F$172</f>
        <v>1.48856412281814</v>
      </c>
      <c r="AI93" s="13" t="n">
        <f aca="false">(1-AI86)*(AI65+AI66+AI67+AI68+AI69+AI70+AI71)/MAX(Time!AI31,1)*Inputs!$F$172</f>
        <v>1.52993415622452</v>
      </c>
      <c r="AJ93" s="13" t="n">
        <f aca="false">(1-AJ86)*(AJ65+AJ66+AJ67+AJ68+AJ69+AJ70+AJ71)/MAX(Time!AJ31,1)*Inputs!$F$172</f>
        <v>1.52298297679635</v>
      </c>
      <c r="AK93" s="13" t="n">
        <f aca="false">(1-AK86)*(AK65+AK66+AK67+AK68+AK69+AK70+AK71)/MAX(Time!AK31,1)*Inputs!$F$172</f>
        <v>1.55030809181658</v>
      </c>
      <c r="AL93" s="13" t="n">
        <f aca="false">(1-AL86)*(AL65+AL66+AL67+AL68+AL69+AL70+AL71)/MAX(Time!AL31,1)*Inputs!$F$172</f>
        <v>1.53899215233571</v>
      </c>
      <c r="AM93" s="13" t="n">
        <f aca="false">(1-AM86)*(AM65+AM66+AM67+AM68+AM69+AM70+AM71)/MAX(Time!AM31,1)*Inputs!$F$172</f>
        <v>1.58550282619686</v>
      </c>
      <c r="AN93" s="13" t="n">
        <f aca="false">(1-AN86)*(AN65+AN66+AN67+AN68+AN69+AN70+AN71)/MAX(Time!AN31,1)*Inputs!$F$172</f>
        <v>1.58568762193101</v>
      </c>
      <c r="AO93" s="13" t="n">
        <f aca="false">(1-AO86)*(AO65+AO66+AO67+AO68+AO69+AO70+AO71)/MAX(Time!AO31,1)*Inputs!$F$172</f>
        <v>1.62685993594508</v>
      </c>
      <c r="AP93" s="13" t="n">
        <f aca="false">(1-AP86)*(AP65+AP66+AP67+AP68+AP69+AP70+AP71)/MAX(Time!AP31,1)*Inputs!$F$172</f>
        <v>1.61366006112092</v>
      </c>
      <c r="AQ93" s="13" t="n">
        <f aca="false">(1-AQ86)*(AQ65+AQ66+AQ67+AQ68+AQ69+AQ70+AQ71)/MAX(Time!AQ31,1)*Inputs!$F$172</f>
        <v>1.65858199122185</v>
      </c>
      <c r="AR93" s="13" t="n">
        <f aca="false">(1-AR86)*(AR65+AR66+AR67+AR68+AR69+AR70+AR71)/MAX(Time!AR31,1)*Inputs!$F$172</f>
        <v>1.65112056963221</v>
      </c>
      <c r="AS93" s="13" t="n">
        <f aca="false">(1-AS86)*(AS65+AS66+AS67+AS68+AS69+AS70+AS71)/MAX(Time!AS31,1)*Inputs!$F$172</f>
        <v>1.6775948328631</v>
      </c>
      <c r="AT93" s="13" t="n">
        <f aca="false">(1-AT86)*(AT65+AT66+AT67+AT68+AT69+AT70+AT71)/MAX(Time!AT31,1)*Inputs!$F$172</f>
        <v>1.65807718655002</v>
      </c>
      <c r="AU93" s="13" t="n">
        <f aca="false">(1-AU86)*(AU65+AU66+AU67+AU68+AU69+AU70+AU71)/MAX(Time!AU31,1)*Inputs!$F$172</f>
        <v>1.71251096182396</v>
      </c>
      <c r="AV93" s="13" t="n">
        <f aca="false">(1-AV86)*(AV65+AV66+AV67+AV68+AV69+AV70+AV71)/MAX(Time!AV31,1)*Inputs!$F$172</f>
        <v>1.71940046992452</v>
      </c>
      <c r="AW93" s="13" t="n">
        <f aca="false">(1-AW86)*(AW65+AW66+AW67+AW68+AW69+AW70+AW71)/MAX(Time!AW31,1)*Inputs!$F$172</f>
        <v>1.76411977471132</v>
      </c>
      <c r="AX93" s="13" t="n">
        <f aca="false">(1-AX86)*(AX65+AX66+AX67+AX68+AX69+AX70+AX71)/MAX(Time!AX31,1)*Inputs!$F$172</f>
        <v>1.74988039888856</v>
      </c>
      <c r="AY93" s="13" t="n">
        <f aca="false">(1-AY86)*(AY65+AY66+AY67+AY68+AY69+AY70+AY71)/MAX(Time!AY31,1)*Inputs!$F$172</f>
        <v>1.79866942262689</v>
      </c>
      <c r="AZ93" s="13" t="n">
        <f aca="false">(1-AZ86)*(AZ65+AZ66+AZ67+AZ68+AZ69+AZ70+AZ71)/MAX(Time!AZ31,1)*Inputs!$F$172</f>
        <v>1.79065113005115</v>
      </c>
      <c r="BA93" s="13" t="n">
        <f aca="false">(1-BA86)*(BA65+BA66+BA67+BA68+BA69+BA70+BA71)/MAX(Time!BA31,1)*Inputs!$F$172</f>
        <v>1.82293483357627</v>
      </c>
      <c r="BB93" s="13" t="n">
        <f aca="false">(1-BB86)*(BB65+BB66+BB67+BB68+BB69+BB70+BB71)/MAX(Time!BB31,1)*Inputs!$F$172</f>
        <v>1.80978516970549</v>
      </c>
      <c r="BC93" s="13" t="n">
        <f aca="false">(1-BC86)*(BC65+BC66+BC67+BC68+BC69+BC70+BC71)/MAX(Time!BC31,1)*Inputs!$F$172</f>
        <v>1.86463468194842</v>
      </c>
      <c r="BD93" s="13" t="n">
        <f aca="false">(1-BD86)*(BD65+BD66+BD67+BD68+BD69+BD70+BD71)/MAX(Time!BD31,1)*Inputs!$F$172</f>
        <v>1.86500173851359</v>
      </c>
      <c r="BE93" s="13" t="n">
        <f aca="false">(1-BE86)*(BE65+BE66+BE67+BE68+BE69+BE70+BE71)/MAX(Time!BE31,1)*Inputs!$F$172</f>
        <v>1.91358397406131</v>
      </c>
      <c r="BF93" s="13" t="n">
        <f aca="false">(1-BF86)*(BF65+BF66+BF67+BF68+BF69+BF70+BF71)/MAX(Time!BF31,1)*Inputs!$F$172</f>
        <v>1.89821388458407</v>
      </c>
      <c r="BG93" s="13" t="n">
        <f aca="false">(1-BG86)*(BG65+BG66+BG67+BG68+BG69+BG70+BG71)/MAX(Time!BG31,1)*Inputs!$F$172</f>
        <v>1.95121315233318</v>
      </c>
      <c r="BH93" s="13" t="n">
        <f aca="false">(1-BH86)*(BH65+BH66+BH67+BH68+BH69+BH70+BH71)/MAX(Time!BH31,1)*Inputs!$F$172</f>
        <v>1.94258709883836</v>
      </c>
      <c r="BI93" s="13" t="n">
        <f aca="false">(1-BI86)*(BI65+BI66+BI67+BI68+BI69+BI70+BI71)/MAX(Time!BI31,1)*Inputs!$F$172</f>
        <v>1.97389930962597</v>
      </c>
      <c r="BJ93" s="13" t="n">
        <f aca="false">(1-BJ86)*(BJ65+BJ66+BJ67+BJ68+BJ69+BJ70+BJ71)/MAX(Time!BJ31,1)*Inputs!$F$172</f>
        <v>1.95119559252922</v>
      </c>
      <c r="BK93" s="13" t="n">
        <f aca="false">(1-BK86)*(BK65+BK66+BK67+BK68+BK69+BK70+BK71)/MAX(Time!BK31,1)*Inputs!$F$172</f>
        <v>2.01530817138747</v>
      </c>
      <c r="BL93" s="13" t="n">
        <f aca="false">(1-BL86)*(BL65+BL66+BL67+BL68+BL69+BL70+BL71)/MAX(Time!BL31,1)*Inputs!$F$172</f>
        <v>2.02354787349296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14.8490993335396</v>
      </c>
      <c r="P95" s="13" t="n">
        <f aca="false">P88+P89-P90-P91-P92-P93-P94</f>
        <v>14.812617425715</v>
      </c>
      <c r="Q95" s="13" t="n">
        <f aca="false">Q88+Q89-Q90-Q91-Q92-Q93-Q94</f>
        <v>15.0991954631663</v>
      </c>
      <c r="R95" s="13" t="n">
        <f aca="false">R88+R89-R90-R91-R92-R93-R94</f>
        <v>14.9068321036233</v>
      </c>
      <c r="S95" s="13" t="n">
        <f aca="false">S88+S89-S90-S91-S92-S93-S94</f>
        <v>15.1964572046035</v>
      </c>
      <c r="T95" s="13" t="n">
        <f aca="false">T88+T89-T90-T91-T92-T93-T94</f>
        <v>15.0048621049099</v>
      </c>
      <c r="U95" s="13" t="n">
        <f aca="false">U88+U89-U90-U91-U92-U93-U94</f>
        <v>15.2168460138086</v>
      </c>
      <c r="V95" s="13" t="n">
        <f aca="false">V88+V89-V90-V91-V92-V93-V94</f>
        <v>15.1007374027577</v>
      </c>
      <c r="W95" s="13" t="n">
        <f aca="false">W88+W89-W90-W91-W92-W93-W94</f>
        <v>15.3959652864817</v>
      </c>
      <c r="X95" s="13" t="n">
        <f aca="false">X88+X89-X90-X91-X92-X93-X94</f>
        <v>15.2047088213932</v>
      </c>
      <c r="Y95" s="13" t="n">
        <f aca="false">Y88+Y89-Y90-Y91-Y92-Y93-Y94</f>
        <v>15.5011708843685</v>
      </c>
      <c r="Z95" s="13" t="n">
        <f aca="false">Z88+Z89-Z90-Z91-Z92-Z93-Z94</f>
        <v>15.3068328671949</v>
      </c>
      <c r="AA95" s="13" t="n">
        <f aca="false">AA88+AA89-AA90-AA91-AA92-AA93-AA94</f>
        <v>15.6063877479015</v>
      </c>
      <c r="AB95" s="13" t="n">
        <f aca="false">AB88+AB89-AB90-AB91-AB92-AB93-AB94</f>
        <v>15.4124646265206</v>
      </c>
      <c r="AC95" s="13" t="n">
        <f aca="false">AC88+AC89-AC90-AC91-AC92-AC93-AC94</f>
        <v>15.6325033188066</v>
      </c>
      <c r="AD95" s="13" t="n">
        <f aca="false">AD88+AD89-AD90-AD91-AD92-AD93-AD94</f>
        <v>15.2855233891793</v>
      </c>
      <c r="AE95" s="13" t="n">
        <f aca="false">AE88+AE89-AE90-AE91-AE92-AE93-AE94</f>
        <v>15.8217220337375</v>
      </c>
      <c r="AF95" s="13" t="n">
        <f aca="false">AF88+AF89-AF90-AF91-AF92-AF93-AF94</f>
        <v>15.6284492047053</v>
      </c>
      <c r="AG95" s="13" t="n">
        <f aca="false">AG88+AG89-AG90-AG91-AG92-AG93-AG94</f>
        <v>15.9356046420195</v>
      </c>
      <c r="AH95" s="13" t="n">
        <f aca="false">AH88+AH89-AH90-AH91-AH92-AH93-AH94</f>
        <v>15.7391592866354</v>
      </c>
      <c r="AI95" s="13" t="n">
        <f aca="false">AI88+AI89-AI90-AI91-AI92-AI93-AI94</f>
        <v>16.0494412385915</v>
      </c>
      <c r="AJ95" s="13" t="n">
        <f aca="false">AJ88+AJ89-AJ90-AJ91-AJ92-AJ93-AJ94</f>
        <v>15.8529954012674</v>
      </c>
      <c r="AK95" s="13" t="n">
        <f aca="false">AK88+AK89-AK90-AK91-AK92-AK93-AK94</f>
        <v>16.0827517413122</v>
      </c>
      <c r="AL95" s="13" t="n">
        <f aca="false">AL88+AL89-AL90-AL91-AL92-AL93-AL94</f>
        <v>15.9674617457883</v>
      </c>
      <c r="AM95" s="13" t="n">
        <f aca="false">AM88+AM89-AM90-AM91-AM92-AM93-AM94</f>
        <v>16.2837299949409</v>
      </c>
      <c r="AN95" s="13" t="n">
        <f aca="false">AN88+AN89-AN90-AN91-AN92-AN93-AN94</f>
        <v>16.0864497726137</v>
      </c>
      <c r="AO95" s="13" t="n">
        <f aca="false">AO88+AO89-AO90-AO91-AO92-AO93-AO94</f>
        <v>16.405175634045</v>
      </c>
      <c r="AP95" s="13" t="n">
        <f aca="false">AP88+AP89-AP90-AP91-AP92-AP93-AP94</f>
        <v>16.2064813174056</v>
      </c>
      <c r="AQ95" s="13" t="n">
        <f aca="false">AQ88+AQ89-AQ90-AQ91-AQ92-AQ93-AQ94</f>
        <v>16.5283530995288</v>
      </c>
      <c r="AR95" s="13" t="n">
        <f aca="false">AR88+AR89-AR90-AR91-AR92-AR93-AR94</f>
        <v>16.3291731597034</v>
      </c>
      <c r="AS95" s="13" t="n">
        <f aca="false">AS88+AS89-AS90-AS91-AS92-AS93-AS94</f>
        <v>16.5689316461976</v>
      </c>
      <c r="AT95" s="13" t="n">
        <f aca="false">AT88+AT89-AT90-AT91-AT92-AT93-AT94</f>
        <v>16.2072443780136</v>
      </c>
      <c r="AU95" s="13" t="n">
        <f aca="false">AU88+AU89-AU90-AU91-AU92-AU93-AU94</f>
        <v>16.7823822315999</v>
      </c>
      <c r="AV95" s="13" t="n">
        <f aca="false">AV88+AV89-AV90-AV91-AV92-AV93-AV94</f>
        <v>16.5815412857921</v>
      </c>
      <c r="AW95" s="13" t="n">
        <f aca="false">AW88+AW89-AW90-AW91-AW92-AW93-AW94</f>
        <v>16.9127880917969</v>
      </c>
      <c r="AX95" s="13" t="n">
        <f aca="false">AX88+AX89-AX90-AX91-AX92-AX93-AX94</f>
        <v>16.7116936391023</v>
      </c>
      <c r="AY95" s="13" t="n">
        <f aca="false">AY88+AY89-AY90-AY91-AY92-AY93-AY94</f>
        <v>17.046088964332</v>
      </c>
      <c r="AZ95" s="13" t="n">
        <f aca="false">AZ88+AZ89-AZ90-AZ91-AZ92-AZ93-AZ94</f>
        <v>16.8439453794947</v>
      </c>
      <c r="BA95" s="13" t="n">
        <f aca="false">BA88+BA89-BA90-BA91-BA92-BA93-BA94</f>
        <v>17.0945915930339</v>
      </c>
      <c r="BB95" s="13" t="n">
        <f aca="false">BB88+BB89-BB90-BB91-BB92-BB93-BB94</f>
        <v>16.9806084766722</v>
      </c>
      <c r="BC95" s="13" t="n">
        <f aca="false">BC88+BC89-BC90-BC91-BC92-BC93-BC94</f>
        <v>17.3213477822828</v>
      </c>
      <c r="BD95" s="13" t="n">
        <f aca="false">BD88+BD89-BD90-BD91-BD92-BD93-BD94</f>
        <v>17.1167928242471</v>
      </c>
      <c r="BE95" s="13" t="n">
        <f aca="false">BE88+BE89-BE90-BE91-BE92-BE93-BE94</f>
        <v>17.4615908351219</v>
      </c>
      <c r="BF95" s="13" t="n">
        <f aca="false">BF88+BF89-BF90-BF91-BF92-BF93-BF94</f>
        <v>17.2579348681029</v>
      </c>
      <c r="BG95" s="13" t="n">
        <f aca="false">BG88+BG89-BG90-BG91-BG92-BG93-BG94</f>
        <v>17.6058643580662</v>
      </c>
      <c r="BH95" s="13" t="n">
        <f aca="false">BH88+BH89-BH90-BH91-BH92-BH93-BH94</f>
        <v>17.4005078352967</v>
      </c>
      <c r="BI95" s="13" t="n">
        <f aca="false">BI88+BI89-BI90-BI91-BI92-BI93-BI94</f>
        <v>17.6635364282377</v>
      </c>
      <c r="BJ95" s="13" t="n">
        <f aca="false">BJ88+BJ89-BJ90-BJ91-BJ92-BJ93-BJ94</f>
        <v>17.2848566411904</v>
      </c>
      <c r="BK95" s="13" t="n">
        <f aca="false">BK88+BK89-BK90-BK91-BK92-BK93-BK94</f>
        <v>17.9056561229142</v>
      </c>
      <c r="BL95" s="13" t="n">
        <f aca="false">BL88+BL89-BL90-BL91-BL92-BL93-BL94</f>
        <v>17.6955321654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14.8490993335396</v>
      </c>
      <c r="P96" s="13" t="n">
        <f aca="false">P95-O95</f>
        <v>-0.0364819078246192</v>
      </c>
      <c r="Q96" s="13" t="n">
        <f aca="false">Q95-P95</f>
        <v>0.286578037451354</v>
      </c>
      <c r="R96" s="13" t="n">
        <f aca="false">R95-Q95</f>
        <v>-0.192363359543045</v>
      </c>
      <c r="S96" s="13" t="n">
        <f aca="false">S95-R95</f>
        <v>0.289625100980267</v>
      </c>
      <c r="T96" s="13" t="n">
        <f aca="false">T95-S95</f>
        <v>-0.19159509969364</v>
      </c>
      <c r="U96" s="13" t="n">
        <f aca="false">U95-T95</f>
        <v>0.211983908898659</v>
      </c>
      <c r="V96" s="13" t="n">
        <f aca="false">V95-U95</f>
        <v>-0.116108611050844</v>
      </c>
      <c r="W96" s="13" t="n">
        <f aca="false">W95-V95</f>
        <v>0.295227883724026</v>
      </c>
      <c r="X96" s="13" t="n">
        <f aca="false">X95-W95</f>
        <v>-0.191256465088566</v>
      </c>
      <c r="Y96" s="13" t="n">
        <f aca="false">Y95-X95</f>
        <v>0.296462062975291</v>
      </c>
      <c r="Z96" s="13" t="n">
        <f aca="false">Z95-Y95</f>
        <v>-0.194338017173557</v>
      </c>
      <c r="AA96" s="13" t="n">
        <f aca="false">AA95-Z95</f>
        <v>0.299554880706555</v>
      </c>
      <c r="AB96" s="13" t="n">
        <f aca="false">AB95-AA95</f>
        <v>-0.193923121380903</v>
      </c>
      <c r="AC96" s="13" t="n">
        <f aca="false">AC95-AB95</f>
        <v>0.220038692286087</v>
      </c>
      <c r="AD96" s="13" t="n">
        <f aca="false">AD95-AC95</f>
        <v>-0.346979929627327</v>
      </c>
      <c r="AE96" s="13" t="n">
        <f aca="false">AE95-AD95</f>
        <v>0.536198644558228</v>
      </c>
      <c r="AF96" s="13" t="n">
        <f aca="false">AF95-AE95</f>
        <v>-0.193272829032223</v>
      </c>
      <c r="AG96" s="13" t="n">
        <f aca="false">AG95-AF95</f>
        <v>0.30715543731419</v>
      </c>
      <c r="AH96" s="13" t="n">
        <f aca="false">AH95-AG95</f>
        <v>-0.196445355384149</v>
      </c>
      <c r="AI96" s="13" t="n">
        <f aca="false">AI95-AH95</f>
        <v>0.310281951956132</v>
      </c>
      <c r="AJ96" s="13" t="n">
        <f aca="false">AJ95-AI95</f>
        <v>-0.196445837324099</v>
      </c>
      <c r="AK96" s="13" t="n">
        <f aca="false">AK95-AJ95</f>
        <v>0.22975634004478</v>
      </c>
      <c r="AL96" s="13" t="n">
        <f aca="false">AL95-AK95</f>
        <v>-0.115289995523828</v>
      </c>
      <c r="AM96" s="13" t="n">
        <f aca="false">AM95-AL95</f>
        <v>0.316268249152568</v>
      </c>
      <c r="AN96" s="13" t="n">
        <f aca="false">AN95-AM95</f>
        <v>-0.197280222327176</v>
      </c>
      <c r="AO96" s="13" t="n">
        <f aca="false">AO95-AN95</f>
        <v>0.318725861431247</v>
      </c>
      <c r="AP96" s="13" t="n">
        <f aca="false">AP95-AO95</f>
        <v>-0.198694316639347</v>
      </c>
      <c r="AQ96" s="13" t="n">
        <f aca="false">AQ95-AP95</f>
        <v>0.321871782123143</v>
      </c>
      <c r="AR96" s="13" t="n">
        <f aca="false">AR95-AQ95</f>
        <v>-0.199179939825424</v>
      </c>
      <c r="AS96" s="13" t="n">
        <f aca="false">AS95-AR95</f>
        <v>0.239758486494253</v>
      </c>
      <c r="AT96" s="13" t="n">
        <f aca="false">AT95-AS95</f>
        <v>-0.361687268183964</v>
      </c>
      <c r="AU96" s="13" t="n">
        <f aca="false">AU95-AT95</f>
        <v>0.575137853586256</v>
      </c>
      <c r="AV96" s="13" t="n">
        <f aca="false">AV95-AU95</f>
        <v>-0.200840945807826</v>
      </c>
      <c r="AW96" s="13" t="n">
        <f aca="false">AW95-AV95</f>
        <v>0.331246806004831</v>
      </c>
      <c r="AX96" s="13" t="n">
        <f aca="false">AX95-AW95</f>
        <v>-0.201094452694583</v>
      </c>
      <c r="AY96" s="13" t="n">
        <f aca="false">AY95-AX95</f>
        <v>0.334395325229661</v>
      </c>
      <c r="AZ96" s="13" t="n">
        <f aca="false">AZ95-AY95</f>
        <v>-0.202143584837284</v>
      </c>
      <c r="BA96" s="13" t="n">
        <f aca="false">BA95-AZ95</f>
        <v>0.25064621353922</v>
      </c>
      <c r="BB96" s="13" t="n">
        <f aca="false">BB95-BA95</f>
        <v>-0.113983116361727</v>
      </c>
      <c r="BC96" s="13" t="n">
        <f aca="false">BC95-BB95</f>
        <v>0.340739305610637</v>
      </c>
      <c r="BD96" s="13" t="n">
        <f aca="false">BD95-BC95</f>
        <v>-0.204554958035779</v>
      </c>
      <c r="BE96" s="13" t="n">
        <f aca="false">BE95-BD95</f>
        <v>0.34479801087485</v>
      </c>
      <c r="BF96" s="13" t="n">
        <f aca="false">BF95-BE95</f>
        <v>-0.203655967019031</v>
      </c>
      <c r="BG96" s="13" t="n">
        <f aca="false">BG95-BF95</f>
        <v>0.347929489963292</v>
      </c>
      <c r="BH96" s="13" t="n">
        <f aca="false">BH95-BG95</f>
        <v>-0.205356522769481</v>
      </c>
      <c r="BI96" s="13" t="n">
        <f aca="false">BI95-BH95</f>
        <v>0.263028592940987</v>
      </c>
      <c r="BJ96" s="13" t="n">
        <f aca="false">BJ95-BI95</f>
        <v>-0.378679787047233</v>
      </c>
      <c r="BK96" s="13" t="n">
        <f aca="false">BK95-BJ95</f>
        <v>0.620799481723747</v>
      </c>
      <c r="BL96" s="13" t="n">
        <f aca="false">BL95-BK95</f>
        <v>-0.210123957514188</v>
      </c>
      <c r="BM96" s="13" t="n">
        <f aca="false">BM95-BL95</f>
        <v>-17.6955321654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215.573095615837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9.46205350124882</v>
      </c>
      <c r="R13" s="13" t="n">
        <f aca="false">IF(Time!R20&gt;=Time!$F$12,Waterfall!R33*Inputs!$F$104/100*Time!R31/Inputs!$F$248,0)</f>
        <v>9.52023160455426</v>
      </c>
      <c r="S13" s="13" t="n">
        <f aca="false">IF(Time!S20&gt;=Time!$F$12,Waterfall!S33*Inputs!$F$104/100*Time!S31/Inputs!$F$248,0)</f>
        <v>9.22801212043356</v>
      </c>
      <c r="T13" s="13" t="n">
        <f aca="false">IF(Time!T20&gt;=Time!$F$12,Waterfall!T33*Inputs!$F$104/100*Time!T31/Inputs!$F$248,0)</f>
        <v>9.26682935334032</v>
      </c>
      <c r="U13" s="13" t="n">
        <f aca="false">IF(Time!U20&gt;=Time!$F$12,Waterfall!U33*Inputs!$F$104/100*Time!U31/Inputs!$F$248,0)</f>
        <v>9.02057880754621</v>
      </c>
      <c r="V13" s="13" t="n">
        <f aca="false">IF(Time!V20&gt;=Time!$F$12,Waterfall!V33*Inputs!$F$104/100*Time!V31/Inputs!$F$248,0)</f>
        <v>9.00713409353886</v>
      </c>
      <c r="W13" s="13" t="n">
        <f aca="false">IF(Time!W20&gt;=Time!$F$12,Waterfall!W33*Inputs!$F$104/100*Time!W31/Inputs!$F$248,0)</f>
        <v>8.69155274229901</v>
      </c>
      <c r="X13" s="13" t="n">
        <f aca="false">IF(Time!X20&gt;=Time!$F$12,Waterfall!X33*Inputs!$F$104/100*Time!X31/Inputs!$F$248,0)</f>
        <v>8.61391106142037</v>
      </c>
      <c r="Y13" s="13" t="n">
        <f aca="false">IF(Time!Y20&gt;=Time!$F$12,Waterfall!Y33*Inputs!$F$104/100*Time!Y31/Inputs!$F$248,0)</f>
        <v>8.30550134155863</v>
      </c>
      <c r="Z13" s="13" t="n">
        <f aca="false">IF(Time!Z20&gt;=Time!$F$12,Waterfall!Z33*Inputs!$F$104/100*Time!Z31/Inputs!$F$248,0)</f>
        <v>8.29538874294604</v>
      </c>
      <c r="AA13" s="13" t="n">
        <f aca="false">IF(Time!AA20&gt;=Time!$F$12,Waterfall!AA33*Inputs!$F$104/100*Time!AA31/Inputs!$F$248,0)</f>
        <v>7.98201728593425</v>
      </c>
      <c r="AB13" s="13" t="n">
        <f aca="false">IF(Time!AB20&gt;=Time!$F$12,Waterfall!AB33*Inputs!$F$104/100*Time!AB31/Inputs!$F$248,0)</f>
        <v>8.22746610478524</v>
      </c>
      <c r="AC13" s="13" t="n">
        <f aca="false">IF(Time!AC20&gt;=Time!$F$12,Waterfall!AC33*Inputs!$F$104/100*Time!AC31/Inputs!$F$248,0)</f>
        <v>8.21701711010383</v>
      </c>
      <c r="AD13" s="13" t="n">
        <f aca="false">IF(Time!AD20&gt;=Time!$F$12,Waterfall!AD33*Inputs!$F$104/100*Time!AD31/Inputs!$F$248,0)</f>
        <v>8.40450422695543</v>
      </c>
      <c r="AE13" s="13" t="n">
        <f aca="false">IF(Time!AE20&gt;=Time!$F$12,Waterfall!AE33*Inputs!$F$104/100*Time!AE31/Inputs!$F$248,0)</f>
        <v>8.31123340962763</v>
      </c>
      <c r="AF13" s="13" t="n">
        <f aca="false">IF(Time!AF20&gt;=Time!$F$12,Waterfall!AF33*Inputs!$F$104/100*Time!AF31/Inputs!$F$248,0)</f>
        <v>8.46231461372684</v>
      </c>
      <c r="AG13" s="13" t="n">
        <f aca="false">IF(Time!AG20&gt;=Time!$F$12,Waterfall!AG33*Inputs!$F$104/100*Time!AG31/Inputs!$F$248,0)</f>
        <v>8.30563832528807</v>
      </c>
      <c r="AH13" s="13" t="n">
        <f aca="false">IF(Time!AH20&gt;=Time!$F$12,Waterfall!AH33*Inputs!$F$104/100*Time!AH31/Inputs!$F$248,0)</f>
        <v>8.3996967747957</v>
      </c>
      <c r="AI13" s="13" t="n">
        <f aca="false">IF(Time!AI20&gt;=Time!$F$12,Waterfall!AI33*Inputs!$F$104/100*Time!AI31/Inputs!$F$248,0)</f>
        <v>8.16365524571496</v>
      </c>
      <c r="AJ13" s="13" t="n">
        <f aca="false">IF(Time!AJ20&gt;=Time!$F$12,Waterfall!AJ33*Inputs!$F$104/100*Time!AJ31/Inputs!$F$248,0)</f>
        <v>8.15049882387435</v>
      </c>
      <c r="AK13" s="13" t="n">
        <f aca="false">IF(Time!AK20&gt;=Time!$F$12,Waterfall!AK33*Inputs!$F$104/100*Time!AK31/Inputs!$F$248,0)</f>
        <v>7.83222543344809</v>
      </c>
      <c r="AL13" s="13" t="n">
        <f aca="false">IF(Time!AL20&gt;=Time!$F$12,Waterfall!AL33*Inputs!$F$104/100*Time!AL31/Inputs!$F$248,0)</f>
        <v>7.08228794553218</v>
      </c>
      <c r="AM13" s="13" t="n">
        <f aca="false">IF(Time!AM20&gt;=Time!$F$12,Waterfall!AM33*Inputs!$F$104/100*Time!AM31/Inputs!$F$248,0)</f>
        <v>5.90191212579568</v>
      </c>
      <c r="AN13" s="13" t="n">
        <f aca="false">IF(Time!AN20&gt;=Time!$F$12,Waterfall!AN33*Inputs!$F$104/100*Time!AN31/Inputs!$F$248,0)</f>
        <v>4.72699736176433</v>
      </c>
      <c r="AO13" s="13" t="n">
        <f aca="false">IF(Time!AO20&gt;=Time!$F$12,Waterfall!AO33*Inputs!$F$104/100*Time!AO31/Inputs!$F$248,0)</f>
        <v>3.41943315688086</v>
      </c>
      <c r="AP13" s="13" t="n">
        <f aca="false">IF(Time!AP20&gt;=Time!$F$12,Waterfall!AP33*Inputs!$F$104/100*Time!AP31/Inputs!$F$248,0)</f>
        <v>1.5624137467072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0.788037781224799</v>
      </c>
      <c r="Q14" s="6" t="n">
        <f aca="false">IF(Waterfall!Q33&gt;0,MIN(1,Inputs!$F$183*(Waterfall!$F$32+MAX(0,Waterfall!P43))/Waterfall!Q33),1)</f>
        <v>0.898961788854771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211.449028319906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7.73135767196905</v>
      </c>
      <c r="Q15" s="13" t="n">
        <f aca="false">Q13*Q14</f>
        <v>8.50602454172218</v>
      </c>
      <c r="R15" s="13" t="n">
        <f aca="false">R13*R14</f>
        <v>9.52023160455426</v>
      </c>
      <c r="S15" s="13" t="n">
        <f aca="false">S13*S14</f>
        <v>9.22801212043356</v>
      </c>
      <c r="T15" s="13" t="n">
        <f aca="false">T13*T14</f>
        <v>9.26682935334032</v>
      </c>
      <c r="U15" s="13" t="n">
        <f aca="false">U13*U14</f>
        <v>9.02057880754621</v>
      </c>
      <c r="V15" s="13" t="n">
        <f aca="false">V13*V14</f>
        <v>9.00713409353886</v>
      </c>
      <c r="W15" s="13" t="n">
        <f aca="false">W13*W14</f>
        <v>8.69155274229901</v>
      </c>
      <c r="X15" s="13" t="n">
        <f aca="false">X13*X14</f>
        <v>8.61391106142037</v>
      </c>
      <c r="Y15" s="13" t="n">
        <f aca="false">Y13*Y14</f>
        <v>8.30550134155863</v>
      </c>
      <c r="Z15" s="13" t="n">
        <f aca="false">Z13*Z14</f>
        <v>8.29538874294604</v>
      </c>
      <c r="AA15" s="13" t="n">
        <f aca="false">AA13*AA14</f>
        <v>7.98201728593425</v>
      </c>
      <c r="AB15" s="13" t="n">
        <f aca="false">AB13*AB14</f>
        <v>8.22746610478524</v>
      </c>
      <c r="AC15" s="13" t="n">
        <f aca="false">AC13*AC14</f>
        <v>8.21701711010383</v>
      </c>
      <c r="AD15" s="13" t="n">
        <f aca="false">AD13*AD14</f>
        <v>8.40450422695543</v>
      </c>
      <c r="AE15" s="13" t="n">
        <f aca="false">AE13*AE14</f>
        <v>8.31123340962763</v>
      </c>
      <c r="AF15" s="13" t="n">
        <f aca="false">AF13*AF14</f>
        <v>8.46231461372684</v>
      </c>
      <c r="AG15" s="13" t="n">
        <f aca="false">AG13*AG14</f>
        <v>8.30563832528807</v>
      </c>
      <c r="AH15" s="13" t="n">
        <f aca="false">AH13*AH14</f>
        <v>8.3996967747957</v>
      </c>
      <c r="AI15" s="13" t="n">
        <f aca="false">AI13*AI14</f>
        <v>8.16365524571496</v>
      </c>
      <c r="AJ15" s="13" t="n">
        <f aca="false">AJ13*AJ14</f>
        <v>8.15049882387435</v>
      </c>
      <c r="AK15" s="13" t="n">
        <f aca="false">AK13*AK14</f>
        <v>7.83222543344809</v>
      </c>
      <c r="AL15" s="13" t="n">
        <f aca="false">AL13*AL14</f>
        <v>7.08228794553218</v>
      </c>
      <c r="AM15" s="13" t="n">
        <f aca="false">AM13*AM14</f>
        <v>5.90191212579568</v>
      </c>
      <c r="AN15" s="13" t="n">
        <f aca="false">AN13*AN14</f>
        <v>4.72699736176433</v>
      </c>
      <c r="AO15" s="13" t="n">
        <f aca="false">AO13*AO14</f>
        <v>3.41943315688086</v>
      </c>
      <c r="AP15" s="13" t="n">
        <f aca="false">AP13*AP14</f>
        <v>1.5624137467072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314.346268805812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14.1536509138625</v>
      </c>
      <c r="AC16" s="13" t="n">
        <f aca="false">Debt!AC112+Debt!AC110+Debt!AC104-Debt!AC103</f>
        <v>12.9537327583995</v>
      </c>
      <c r="AD16" s="13" t="n">
        <f aca="false">Debt!AD112+Debt!AD110+Debt!AD104-Debt!AD103</f>
        <v>11.9507671988758</v>
      </c>
      <c r="AE16" s="13" t="n">
        <f aca="false">Debt!AE112+Debt!AE110+Debt!AE104-Debt!AE103</f>
        <v>10.6299944936419</v>
      </c>
      <c r="AF16" s="13" t="n">
        <f aca="false">Debt!AF112+Debt!AF110+Debt!AF104-Debt!AF103</f>
        <v>9.49598270721416</v>
      </c>
      <c r="AG16" s="13" t="n">
        <f aca="false">Debt!AG112+Debt!AG110+Debt!AG104-Debt!AG103</f>
        <v>8.3343219043428</v>
      </c>
      <c r="AH16" s="13" t="n">
        <f aca="false">Debt!AH112+Debt!AH110+Debt!AH104-Debt!AH103</f>
        <v>7.10128291699513</v>
      </c>
      <c r="AI16" s="13" t="n">
        <f aca="false">Debt!AI112+Debt!AI110+Debt!AI104-Debt!AI103</f>
        <v>5.68133935210668</v>
      </c>
      <c r="AJ16" s="13" t="n">
        <f aca="false">Debt!AJ112+Debt!AJ110+Debt!AJ104-Debt!AJ103</f>
        <v>4.37223376790057</v>
      </c>
      <c r="AK16" s="13" t="n">
        <f aca="false">Debt!AK112+Debt!AK110+Debt!AK104-Debt!AK103</f>
        <v>2.96938601368469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1187.73121153809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1.93190673430498</v>
      </c>
      <c r="Z18" s="13" t="n">
        <f aca="false">(Operations!Z84-Z16-Z15)*Z17-Z12</f>
        <v>6.47245467320248</v>
      </c>
      <c r="AA18" s="13" t="n">
        <f aca="false">(Operations!AA84-AA16-AA15)*AA17-AA12</f>
        <v>7.78225371127704</v>
      </c>
      <c r="AB18" s="13" t="n">
        <f aca="false">(Operations!AB84-AB16-AB15)*AB17-AB12</f>
        <v>8.48238936494211</v>
      </c>
      <c r="AC18" s="13" t="n">
        <f aca="false">(Operations!AC84-AC16-AC15)*AC17-AC12</f>
        <v>9.89525378510903</v>
      </c>
      <c r="AD18" s="13" t="n">
        <f aca="false">(Operations!AD84-AD16-AD15)*AD17-AD12</f>
        <v>-1.77575673733201</v>
      </c>
      <c r="AE18" s="13" t="n">
        <f aca="false">(Operations!AE84-AE16-AE15)*AE17-AE12</f>
        <v>12.4407694359567</v>
      </c>
      <c r="AF18" s="13" t="n">
        <f aca="false">(Operations!AF84-AF16-AF15)*AF17-AF12</f>
        <v>13.3344649512182</v>
      </c>
      <c r="AG18" s="13" t="n">
        <f aca="false">(Operations!AG84-AG16-AG15)*AG17-AG12</f>
        <v>14.7808084256207</v>
      </c>
      <c r="AH18" s="13" t="n">
        <f aca="false">(Operations!AH84-AH16-AH15)*AH17-AH12</f>
        <v>16.0673158141639</v>
      </c>
      <c r="AI18" s="13" t="n">
        <f aca="false">(Operations!AI84-AI16-AI15)*AI17-AI12</f>
        <v>17.8176892821038</v>
      </c>
      <c r="AJ18" s="13" t="n">
        <f aca="false">(Operations!AJ84-AJ16-AJ15)*AJ17-AJ12</f>
        <v>19.2164353555439</v>
      </c>
      <c r="AK18" s="13" t="n">
        <f aca="false">(Operations!AK84-AK16-AK15)*AK17-AK12</f>
        <v>21.1189137173412</v>
      </c>
      <c r="AL18" s="13" t="n">
        <f aca="false">(Operations!AL84-AL16-AL15)*AL17-AL12</f>
        <v>19.9449567013615</v>
      </c>
      <c r="AM18" s="13" t="n">
        <f aca="false">(Operations!AM84-AM16-AM15)*AM17-AM12</f>
        <v>24.7402267252937</v>
      </c>
      <c r="AN18" s="13" t="n">
        <f aca="false">(Operations!AN84-AN16-AN15)*AN17-AN12</f>
        <v>26.4843273225871</v>
      </c>
      <c r="AO18" s="13" t="n">
        <f aca="false">(Operations!AO84-AO16-AO15)*AO17-AO12</f>
        <v>28.424966887248</v>
      </c>
      <c r="AP18" s="13" t="n">
        <f aca="false">(Operations!AP84-AP16-AP15)*AP17-AP12</f>
        <v>30.9406834041708</v>
      </c>
      <c r="AQ18" s="13" t="n">
        <f aca="false">(Operations!AQ84-AQ16-AQ15)*AQ17-AQ12</f>
        <v>32.603865343507</v>
      </c>
      <c r="AR18" s="13" t="n">
        <f aca="false">(Operations!AR84-AR16-AR15)*AR17-AR12</f>
        <v>32.6862361572598</v>
      </c>
      <c r="AS18" s="13" t="n">
        <f aca="false">(Operations!AS84-AS16-AS15)*AS17-AS12</f>
        <v>32.9280581274018</v>
      </c>
      <c r="AT18" s="13" t="n">
        <f aca="false">(Operations!AT84-AT16-AT15)*AT17-AT12</f>
        <v>18.1864740220509</v>
      </c>
      <c r="AU18" s="13" t="n">
        <f aca="false">(Operations!AU84-AU16-AU15)*AU17-AU12</f>
        <v>33.304481150284</v>
      </c>
      <c r="AV18" s="13" t="n">
        <f aca="false">(Operations!AV84-AV16-AV15)*AV17-AV12</f>
        <v>33.1883749330162</v>
      </c>
      <c r="AW18" s="13" t="n">
        <f aca="false">(Operations!AW84-AW16-AW15)*AW17-AW12</f>
        <v>33.3376768491619</v>
      </c>
      <c r="AX18" s="13" t="n">
        <f aca="false">(Operations!AX84-AX16-AX15)*AX17-AX12</f>
        <v>33.5143309015346</v>
      </c>
      <c r="AY18" s="13" t="n">
        <f aca="false">(Operations!AY84-AY16-AY15)*AY17-AY12</f>
        <v>33.621910120249</v>
      </c>
      <c r="AZ18" s="13" t="n">
        <f aca="false">(Operations!AZ84-AZ16-AZ15)*AZ17-AZ12</f>
        <v>33.710618397802</v>
      </c>
      <c r="BA18" s="13" t="n">
        <f aca="false">(Operations!BA84-BA16-BA15)*BA17-BA12</f>
        <v>33.9255296716808</v>
      </c>
      <c r="BB18" s="13" t="n">
        <f aca="false">(Operations!BB84-BB16-BB15)*BB17-BB12</f>
        <v>30.6942645793804</v>
      </c>
      <c r="BC18" s="13" t="n">
        <f aca="false">(Operations!BC84-BC16-BC15)*BC17-BC12</f>
        <v>40.6989853925685</v>
      </c>
      <c r="BD18" s="13" t="n">
        <f aca="false">(Operations!BD84-BD16-BD15)*BD17-BD12</f>
        <v>53.4975734024807</v>
      </c>
      <c r="BE18" s="13" t="n">
        <f aca="false">(Operations!BE84-BE16-BE15)*BE17-BE12</f>
        <v>53.6588500780104</v>
      </c>
      <c r="BF18" s="13" t="n">
        <f aca="false">(Operations!BF84-BF16-BF15)*BF17-BF12</f>
        <v>53.8521267766827</v>
      </c>
      <c r="BG18" s="13" t="n">
        <f aca="false">(Operations!BG84-BG16-BG15)*BG17-BG12</f>
        <v>53.9669776116903</v>
      </c>
      <c r="BH18" s="13" t="n">
        <f aca="false">(Operations!BH84-BH16-BH15)*BH17-BH12</f>
        <v>54.0625082568907</v>
      </c>
      <c r="BI18" s="13" t="n">
        <f aca="false">(Operations!BI84-BI16-BI15)*BI17-BI12</f>
        <v>54.3512923156236</v>
      </c>
      <c r="BJ18" s="13" t="n">
        <f aca="false">(Operations!BJ84-BJ16-BJ15)*BJ17-BJ12</f>
        <v>36.9270129630896</v>
      </c>
      <c r="BK18" s="13" t="n">
        <f aca="false">(Operations!BK84-BK16-BK15)*BK17-BK12</f>
        <v>54.7996889691443</v>
      </c>
      <c r="BL18" s="13" t="n">
        <f aca="false">(Operations!BL84-BL16-BL15)*BL17-BL12</f>
        <v>54.6500983512926</v>
      </c>
      <c r="BM18" s="13" t="n">
        <f aca="false">(Operations!BM84-BM16-BM15)*BM17-BM12</f>
        <v>17.4642176131737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1.77575673733201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1.77575673733201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1.93190673430498</v>
      </c>
      <c r="Z20" s="13" t="n">
        <f aca="false">MIN(Y21,MAX(0,Z18-Z19))</f>
        <v>6.47245467320248</v>
      </c>
      <c r="AA20" s="13" t="n">
        <f aca="false">MIN(Z21,MAX(0,AA18-AA19))</f>
        <v>7.78225371127704</v>
      </c>
      <c r="AB20" s="13" t="n">
        <f aca="false">MIN(AA21,MAX(0,AB18-AB19))</f>
        <v>8.48238936494211</v>
      </c>
      <c r="AC20" s="13" t="n">
        <f aca="false">MIN(AB21,MAX(0,AC18-AC19))</f>
        <v>9.89525378510903</v>
      </c>
      <c r="AD20" s="13" t="n">
        <f aca="false">MIN(AC21,MAX(0,AD18-AD19))</f>
        <v>0</v>
      </c>
      <c r="AE20" s="13" t="n">
        <f aca="false">MIN(AD21,MAX(0,AE18-AE19))</f>
        <v>10.6650126986247</v>
      </c>
      <c r="AF20" s="13" t="n">
        <f aca="false">MIN(AE21,MAX(0,AF18-AF19))</f>
        <v>13.3344649512182</v>
      </c>
      <c r="AG20" s="13" t="n">
        <f aca="false">MIN(AF21,MAX(0,AG18-AG19))</f>
        <v>14.7808084256207</v>
      </c>
      <c r="AH20" s="13" t="n">
        <f aca="false">MIN(AG21,MAX(0,AH18-AH19))</f>
        <v>16.0673158141639</v>
      </c>
      <c r="AI20" s="13" t="n">
        <f aca="false">MIN(AH21,MAX(0,AI18-AI19))</f>
        <v>17.8176892821038</v>
      </c>
      <c r="AJ20" s="13" t="n">
        <f aca="false">MIN(AI21,MAX(0,AJ18-AJ19))</f>
        <v>19.2164353555439</v>
      </c>
      <c r="AK20" s="13" t="n">
        <f aca="false">MIN(AJ21,MAX(0,AK18-AK19))</f>
        <v>21.1189137173412</v>
      </c>
      <c r="AL20" s="13" t="n">
        <f aca="false">MIN(AK21,MAX(0,AL18-AL19))</f>
        <v>19.9449567013615</v>
      </c>
      <c r="AM20" s="13" t="n">
        <f aca="false">MIN(AL21,MAX(0,AM18-AM19))</f>
        <v>24.7402267252937</v>
      </c>
      <c r="AN20" s="13" t="n">
        <f aca="false">MIN(AM21,MAX(0,AN18-AN19))</f>
        <v>26.4843273225871</v>
      </c>
      <c r="AO20" s="13" t="n">
        <f aca="false">MIN(AN21,MAX(0,AO18-AO19))</f>
        <v>7.17095987107146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223.973462399461</v>
      </c>
      <c r="Z21" s="13" t="n">
        <f aca="false">Y21+Z11-Z20</f>
        <v>217.501007726258</v>
      </c>
      <c r="AA21" s="13" t="n">
        <f aca="false">Z21+AA11-AA20</f>
        <v>209.718754014981</v>
      </c>
      <c r="AB21" s="13" t="n">
        <f aca="false">AA21+AB11-AB20</f>
        <v>201.236364650039</v>
      </c>
      <c r="AC21" s="13" t="n">
        <f aca="false">AB21+AC11-AC20</f>
        <v>191.34111086493</v>
      </c>
      <c r="AD21" s="13" t="n">
        <f aca="false">AC21+AD11-AD20</f>
        <v>191.34111086493</v>
      </c>
      <c r="AE21" s="13" t="n">
        <f aca="false">AD21+AE11-AE20</f>
        <v>180.676098166305</v>
      </c>
      <c r="AF21" s="13" t="n">
        <f aca="false">AE21+AF11-AF20</f>
        <v>167.341633215087</v>
      </c>
      <c r="AG21" s="13" t="n">
        <f aca="false">AF21+AG11-AG20</f>
        <v>152.560824789467</v>
      </c>
      <c r="AH21" s="13" t="n">
        <f aca="false">AG21+AH11-AH20</f>
        <v>136.493508975303</v>
      </c>
      <c r="AI21" s="13" t="n">
        <f aca="false">AH21+AI11-AI20</f>
        <v>118.675819693199</v>
      </c>
      <c r="AJ21" s="13" t="n">
        <f aca="false">AI21+AJ11-AJ20</f>
        <v>99.459384337655</v>
      </c>
      <c r="AK21" s="13" t="n">
        <f aca="false">AJ21+AK11-AK20</f>
        <v>78.3404706203138</v>
      </c>
      <c r="AL21" s="13" t="n">
        <f aca="false">AK21+AL11-AL20</f>
        <v>58.3955139189523</v>
      </c>
      <c r="AM21" s="13" t="n">
        <f aca="false">AL21+AM11-AM20</f>
        <v>33.6552871936585</v>
      </c>
      <c r="AN21" s="13" t="n">
        <f aca="false">AM21+AN11-AN20</f>
        <v>7.17095987107146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1.77575673733201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961.825842404323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21.2540070161765</v>
      </c>
      <c r="AP23" s="13" t="n">
        <f aca="false">MAX(0,AP18-AP19-AP20)</f>
        <v>30.9406834041708</v>
      </c>
      <c r="AQ23" s="13" t="n">
        <f aca="false">MAX(0,AQ18-AQ19-AQ20)</f>
        <v>32.603865343507</v>
      </c>
      <c r="AR23" s="13" t="n">
        <f aca="false">MAX(0,AR18-AR19-AR20)</f>
        <v>32.6862361572598</v>
      </c>
      <c r="AS23" s="13" t="n">
        <f aca="false">MAX(0,AS18-AS19-AS20)</f>
        <v>32.9280581274018</v>
      </c>
      <c r="AT23" s="13" t="n">
        <f aca="false">MAX(0,AT18-AT19-AT20)</f>
        <v>18.1864740220509</v>
      </c>
      <c r="AU23" s="13" t="n">
        <f aca="false">MAX(0,AU18-AU19-AU20)</f>
        <v>33.304481150284</v>
      </c>
      <c r="AV23" s="13" t="n">
        <f aca="false">MAX(0,AV18-AV19-AV20)</f>
        <v>33.1883749330162</v>
      </c>
      <c r="AW23" s="13" t="n">
        <f aca="false">MAX(0,AW18-AW19-AW20)</f>
        <v>33.3376768491619</v>
      </c>
      <c r="AX23" s="13" t="n">
        <f aca="false">MAX(0,AX18-AX19-AX20)</f>
        <v>33.5143309015346</v>
      </c>
      <c r="AY23" s="13" t="n">
        <f aca="false">MAX(0,AY18-AY19-AY20)</f>
        <v>33.621910120249</v>
      </c>
      <c r="AZ23" s="13" t="n">
        <f aca="false">MAX(0,AZ18-AZ19-AZ20)</f>
        <v>33.710618397802</v>
      </c>
      <c r="BA23" s="13" t="n">
        <f aca="false">MAX(0,BA18-BA19-BA20)</f>
        <v>33.9255296716808</v>
      </c>
      <c r="BB23" s="13" t="n">
        <f aca="false">MAX(0,BB18-BB19-BB20)</f>
        <v>30.6942645793804</v>
      </c>
      <c r="BC23" s="13" t="n">
        <f aca="false">MAX(0,BC18-BC19-BC20)</f>
        <v>40.6989853925685</v>
      </c>
      <c r="BD23" s="13" t="n">
        <f aca="false">MAX(0,BD18-BD19-BD20)</f>
        <v>53.4975734024807</v>
      </c>
      <c r="BE23" s="13" t="n">
        <f aca="false">MAX(0,BE18-BE19-BE20)</f>
        <v>53.6588500780104</v>
      </c>
      <c r="BF23" s="13" t="n">
        <f aca="false">MAX(0,BF18-BF19-BF20)</f>
        <v>53.8521267766827</v>
      </c>
      <c r="BG23" s="13" t="n">
        <f aca="false">MAX(0,BG18-BG19-BG20)</f>
        <v>53.9669776116903</v>
      </c>
      <c r="BH23" s="13" t="n">
        <f aca="false">MAX(0,BH18-BH19-BH20)</f>
        <v>54.0625082568907</v>
      </c>
      <c r="BI23" s="13" t="n">
        <f aca="false">MAX(0,BI18-BI19-BI20)</f>
        <v>54.3512923156236</v>
      </c>
      <c r="BJ23" s="13" t="n">
        <f aca="false">MAX(0,BJ18-BJ19-BJ20)</f>
        <v>36.9270129630896</v>
      </c>
      <c r="BK23" s="13" t="n">
        <f aca="false">MAX(0,BK18-BK19-BK20)</f>
        <v>54.7996889691443</v>
      </c>
      <c r="BL23" s="13" t="n">
        <f aca="false">MAX(0,BL18-BL19-BL20)</f>
        <v>54.6500983512926</v>
      </c>
      <c r="BM23" s="13" t="n">
        <f aca="false">MAX(0,BM18-BM19-BM20)</f>
        <v>17.4642176131737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288.547752721297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6.37620210485296</v>
      </c>
      <c r="AP25" s="13" t="n">
        <f aca="false">AP23*AP24</f>
        <v>9.28220502125123</v>
      </c>
      <c r="AQ25" s="13" t="n">
        <f aca="false">AQ23*AQ24</f>
        <v>9.78115960305209</v>
      </c>
      <c r="AR25" s="13" t="n">
        <f aca="false">AR23*AR24</f>
        <v>9.80587084717793</v>
      </c>
      <c r="AS25" s="13" t="n">
        <f aca="false">AS23*AS24</f>
        <v>9.87841743822054</v>
      </c>
      <c r="AT25" s="13" t="n">
        <f aca="false">AT23*AT24</f>
        <v>5.45594220661526</v>
      </c>
      <c r="AU25" s="13" t="n">
        <f aca="false">AU23*AU24</f>
        <v>9.99134434508519</v>
      </c>
      <c r="AV25" s="13" t="n">
        <f aca="false">AV23*AV24</f>
        <v>9.95651247990486</v>
      </c>
      <c r="AW25" s="13" t="n">
        <f aca="false">AW23*AW24</f>
        <v>10.0013030547486</v>
      </c>
      <c r="AX25" s="13" t="n">
        <f aca="false">AX23*AX24</f>
        <v>10.0542992704604</v>
      </c>
      <c r="AY25" s="13" t="n">
        <f aca="false">AY23*AY24</f>
        <v>10.0865730360747</v>
      </c>
      <c r="AZ25" s="13" t="n">
        <f aca="false">AZ23*AZ24</f>
        <v>10.1131855193406</v>
      </c>
      <c r="BA25" s="13" t="n">
        <f aca="false">BA23*BA24</f>
        <v>10.1776589015042</v>
      </c>
      <c r="BB25" s="13" t="n">
        <f aca="false">BB23*BB24</f>
        <v>9.20827937381413</v>
      </c>
      <c r="BC25" s="13" t="n">
        <f aca="false">BC23*BC24</f>
        <v>12.2096956177706</v>
      </c>
      <c r="BD25" s="13" t="n">
        <f aca="false">BD23*BD24</f>
        <v>16.0492720207442</v>
      </c>
      <c r="BE25" s="13" t="n">
        <f aca="false">BE23*BE24</f>
        <v>16.0976550234031</v>
      </c>
      <c r="BF25" s="13" t="n">
        <f aca="false">BF23*BF24</f>
        <v>16.1556380330048</v>
      </c>
      <c r="BG25" s="13" t="n">
        <f aca="false">BG23*BG24</f>
        <v>16.1900932835071</v>
      </c>
      <c r="BH25" s="13" t="n">
        <f aca="false">BH23*BH24</f>
        <v>16.2187524770672</v>
      </c>
      <c r="BI25" s="13" t="n">
        <f aca="false">BI23*BI24</f>
        <v>16.3053876946871</v>
      </c>
      <c r="BJ25" s="13" t="n">
        <f aca="false">BJ23*BJ24</f>
        <v>11.0781038889269</v>
      </c>
      <c r="BK25" s="13" t="n">
        <f aca="false">BK23*BK24</f>
        <v>16.4399066907433</v>
      </c>
      <c r="BL25" s="13" t="n">
        <f aca="false">BL23*BL24</f>
        <v>16.3950295053878</v>
      </c>
      <c r="BM25" s="13" t="n">
        <f aca="false">BM23*BM24</f>
        <v>5.23926528395211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294.170815353234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6.37620210485296</v>
      </c>
      <c r="AP27" s="13" t="n">
        <f aca="false">MAX(AP25,AP26)</f>
        <v>9.28220502125123</v>
      </c>
      <c r="AQ27" s="13" t="n">
        <f aca="false">MAX(AQ25,AQ26)</f>
        <v>9.78115960305209</v>
      </c>
      <c r="AR27" s="13" t="n">
        <f aca="false">MAX(AR25,AR26)</f>
        <v>9.80587084717793</v>
      </c>
      <c r="AS27" s="13" t="n">
        <f aca="false">MAX(AS25,AS26)</f>
        <v>9.87841743822054</v>
      </c>
      <c r="AT27" s="13" t="n">
        <f aca="false">MAX(AT25,AT26)</f>
        <v>5.45594220661526</v>
      </c>
      <c r="AU27" s="13" t="n">
        <f aca="false">MAX(AU25,AU26)</f>
        <v>9.99134434508519</v>
      </c>
      <c r="AV27" s="13" t="n">
        <f aca="false">MAX(AV25,AV26)</f>
        <v>9.95651247990486</v>
      </c>
      <c r="AW27" s="13" t="n">
        <f aca="false">MAX(AW25,AW26)</f>
        <v>10.0013030547486</v>
      </c>
      <c r="AX27" s="13" t="n">
        <f aca="false">MAX(AX25,AX26)</f>
        <v>10.0542992704604</v>
      </c>
      <c r="AY27" s="13" t="n">
        <f aca="false">MAX(AY25,AY26)</f>
        <v>10.0865730360747</v>
      </c>
      <c r="AZ27" s="13" t="n">
        <f aca="false">MAX(AZ25,AZ26)</f>
        <v>10.1131855193406</v>
      </c>
      <c r="BA27" s="13" t="n">
        <f aca="false">MAX(BA25,BA26)</f>
        <v>10.1776589015042</v>
      </c>
      <c r="BB27" s="13" t="n">
        <f aca="false">MAX(BB25,BB26)</f>
        <v>9.20827937381413</v>
      </c>
      <c r="BC27" s="13" t="n">
        <f aca="false">MAX(BC25,BC26)</f>
        <v>12.2096956177706</v>
      </c>
      <c r="BD27" s="13" t="n">
        <f aca="false">MAX(BD25,BD26)</f>
        <v>16.0492720207442</v>
      </c>
      <c r="BE27" s="13" t="n">
        <f aca="false">MAX(BE25,BE26)</f>
        <v>16.0976550234031</v>
      </c>
      <c r="BF27" s="13" t="n">
        <f aca="false">MAX(BF25,BF26)</f>
        <v>16.1556380330048</v>
      </c>
      <c r="BG27" s="13" t="n">
        <f aca="false">MAX(BG25,BG26)</f>
        <v>16.1900932835071</v>
      </c>
      <c r="BH27" s="13" t="n">
        <f aca="false">MAX(BH25,BH26)</f>
        <v>16.2187524770672</v>
      </c>
      <c r="BI27" s="13" t="n">
        <f aca="false">MAX(BI25,BI26)</f>
        <v>16.3053876946871</v>
      </c>
      <c r="BJ27" s="13" t="n">
        <f aca="false">MAX(BJ25,BJ26)</f>
        <v>11.0781038889269</v>
      </c>
      <c r="BK27" s="13" t="n">
        <f aca="false">MAX(BK25,BK26)</f>
        <v>16.4399066907433</v>
      </c>
      <c r="BL27" s="13" t="n">
        <f aca="false">MAX(BL25,BL26)</f>
        <v>16.3950295053878</v>
      </c>
      <c r="BM27" s="13" t="n">
        <f aca="false">MAX(BM25,BM26)</f>
        <v>5.23926528395211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4.12406729593047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2.07953954155372</v>
      </c>
      <c r="Q28" s="13" t="n">
        <f aca="false">Q13-Q15</f>
        <v>0.956028959526634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148.956486611802</v>
      </c>
      <c r="AC63" s="13" t="n">
        <f aca="false">Time!AC35*AB75</f>
        <v>134.129528584404</v>
      </c>
      <c r="AD63" s="13" t="n">
        <f aca="false">Time!AD35*AC75</f>
        <v>119.799517676831</v>
      </c>
      <c r="AE63" s="13" t="n">
        <f aca="false">Time!AE35*AD75</f>
        <v>103.869619982975</v>
      </c>
      <c r="AF63" s="13" t="n">
        <f aca="false">Time!AF35*AE75</f>
        <v>87.6110124554765</v>
      </c>
      <c r="AG63" s="13" t="n">
        <f aca="false">Time!AG35*AF75</f>
        <v>70.952561010879</v>
      </c>
      <c r="AH63" s="13" t="n">
        <f aca="false">Time!AH35*AG75</f>
        <v>54.6736392821866</v>
      </c>
      <c r="AI63" s="13" t="n">
        <f aca="false">Time!AI35*AH75</f>
        <v>37.8231574367591</v>
      </c>
      <c r="AJ63" s="13" t="n">
        <f aca="false">Time!AJ35*AI75</f>
        <v>21.4456529359356</v>
      </c>
      <c r="AK63" s="13" t="n">
        <f aca="false">Time!AK35*AJ75</f>
        <v>4.93183752802069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135.500020722936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6.53054660809668</v>
      </c>
      <c r="AC65" s="13" t="n">
        <f aca="false">AC63*AC13</f>
        <v>5.8165849642664</v>
      </c>
      <c r="AD65" s="13" t="n">
        <f aca="false">AD63*AD13</f>
        <v>5.25224749597484</v>
      </c>
      <c r="AE65" s="13" t="n">
        <f aca="false">AE63*AE13</f>
        <v>4.47960177143861</v>
      </c>
      <c r="AF65" s="13" t="n">
        <f aca="false">AF63*AF13</f>
        <v>3.84103984483813</v>
      </c>
      <c r="AG65" s="13" t="n">
        <f aca="false">AG63*AG13</f>
        <v>3.25816788034586</v>
      </c>
      <c r="AH65" s="13" t="n">
        <f aca="false">AH63*AH13</f>
        <v>2.55224647967659</v>
      </c>
      <c r="AI65" s="13" t="n">
        <f aca="false">AI63*AI13</f>
        <v>1.73685339807281</v>
      </c>
      <c r="AJ65" s="13" t="n">
        <f aca="false">AJ63*AJ13</f>
        <v>1.00111485038716</v>
      </c>
      <c r="AK65" s="13" t="n">
        <f aca="false">AK63*AK13</f>
        <v>0.227723031340126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149.986228455854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8.26679640047391</v>
      </c>
      <c r="AC66" s="13" t="n">
        <f aca="false">Time!AC35*(AC63-AC64)*AC19</f>
        <v>8.14242356400854</v>
      </c>
      <c r="AD66" s="13" t="n">
        <f aca="false">Time!AD35*(AD63-AD64)*AD19</f>
        <v>8.45427320847727</v>
      </c>
      <c r="AE66" s="13" t="n">
        <f aca="false">Time!AE35*(AE63-AE64)*AE19</f>
        <v>8.22563345933548</v>
      </c>
      <c r="AF66" s="13" t="n">
        <f aca="false">Time!AF35*(AF63-AF64)*AF19</f>
        <v>7.79911006957851</v>
      </c>
      <c r="AG66" s="13" t="n">
        <f aca="false">Time!AG35*(AG63-AG64)*AG19</f>
        <v>7.06278664010458</v>
      </c>
      <c r="AH66" s="13" t="n">
        <f aca="false">Time!AH35*(AH63-AH64)*AH19</f>
        <v>6.34739267753819</v>
      </c>
      <c r="AI66" s="13" t="n">
        <f aca="false">Time!AI35*(AI63-AI64)*AI19</f>
        <v>5.11373752427244</v>
      </c>
      <c r="AJ66" s="13" t="n">
        <f aca="false">Time!AJ35*(AJ63-AJ64)*AJ19</f>
        <v>3.51464282200192</v>
      </c>
      <c r="AK66" s="13" t="n">
        <f aca="false">Time!AK35*(AK63-AK64)*AK19</f>
        <v>0.99797539150721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149.986228455854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8.26679640047391</v>
      </c>
      <c r="AC69" s="13" t="n">
        <f aca="false">AC66-AC67+AC68</f>
        <v>8.14242356400854</v>
      </c>
      <c r="AD69" s="13" t="n">
        <f aca="false">AD66-AD67+AD68</f>
        <v>8.45427320847727</v>
      </c>
      <c r="AE69" s="13" t="n">
        <f aca="false">AE66-AE67+AE68</f>
        <v>8.22563345933548</v>
      </c>
      <c r="AF69" s="13" t="n">
        <f aca="false">AF66-AF67+AF68</f>
        <v>7.79911006957851</v>
      </c>
      <c r="AG69" s="13" t="n">
        <f aca="false">AG66-AG67+AG68</f>
        <v>7.06278664010458</v>
      </c>
      <c r="AH69" s="13" t="n">
        <f aca="false">AH66-AH67+AH68</f>
        <v>6.34739267753819</v>
      </c>
      <c r="AI69" s="13" t="n">
        <f aca="false">AI66-AI67+AI68</f>
        <v>5.11373752427244</v>
      </c>
      <c r="AJ69" s="13" t="n">
        <f aca="false">AJ66-AJ67+AJ68</f>
        <v>3.51464282200192</v>
      </c>
      <c r="AK69" s="13" t="n">
        <f aca="false">AK66-AK67+AK68</f>
        <v>0.99797539150721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140.689690211328</v>
      </c>
      <c r="AC73" s="13" t="n">
        <f aca="false">AC63-AC69-AC70-AC71</f>
        <v>125.987105020396</v>
      </c>
      <c r="AD73" s="13" t="n">
        <f aca="false">AD63-AD69-AD70-AD71</f>
        <v>111.345244468354</v>
      </c>
      <c r="AE73" s="13" t="n">
        <f aca="false">AE63-AE69-AE70-AE71</f>
        <v>95.6439865236398</v>
      </c>
      <c r="AF73" s="13" t="n">
        <f aca="false">AF63-AF69-AF70-AF71</f>
        <v>79.811902385898</v>
      </c>
      <c r="AG73" s="13" t="n">
        <f aca="false">AG63-AG69-AG70-AG71</f>
        <v>63.8897743707744</v>
      </c>
      <c r="AH73" s="13" t="n">
        <f aca="false">AH63-AH69-AH70-AH71</f>
        <v>48.3262466046484</v>
      </c>
      <c r="AI73" s="13" t="n">
        <f aca="false">AI63-AI69-AI70-AI71</f>
        <v>32.7094199124867</v>
      </c>
      <c r="AJ73" s="13" t="n">
        <f aca="false">AJ63-AJ69-AJ70-AJ71</f>
        <v>17.9310101139337</v>
      </c>
      <c r="AK73" s="13" t="n">
        <f aca="false">AK63-AK69-AK70-AK71</f>
        <v>3.93386213651348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90.6510422504004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5.61932739589651</v>
      </c>
      <c r="AB74" s="13" t="n">
        <f aca="false">Waterfall!AB28*AB73/(AB31+AB45+AB59+AB73+AB87+Inputs!$F$253)+Waterfall!AB29</f>
        <v>6.56016162692373</v>
      </c>
      <c r="AC74" s="13" t="n">
        <f aca="false">Waterfall!AC28*AC73/(AC31+AC45+AC59+AC73+AC87+Inputs!$F$253)+Waterfall!AC29</f>
        <v>6.18758734356492</v>
      </c>
      <c r="AD74" s="13" t="n">
        <f aca="false">Waterfall!AD28*AD73/(AD31+AD45+AD59+AD73+AD87+Inputs!$F$253)+Waterfall!AD29</f>
        <v>7.4756244853783</v>
      </c>
      <c r="AE74" s="13" t="n">
        <f aca="false">Waterfall!AE28*AE73/(AE31+AE45+AE59+AE73+AE87+Inputs!$F$253)+Waterfall!AE29</f>
        <v>8.03297406816327</v>
      </c>
      <c r="AF74" s="13" t="n">
        <f aca="false">Waterfall!AF28*AF73/(AF31+AF45+AF59+AF73+AF87+Inputs!$F$253)+Waterfall!AF29</f>
        <v>8.85934137501908</v>
      </c>
      <c r="AG74" s="13" t="n">
        <f aca="false">Waterfall!AG28*AG73/(AG31+AG45+AG59+AG73+AG87+Inputs!$F$253)+Waterfall!AG29</f>
        <v>9.21613508858781</v>
      </c>
      <c r="AH74" s="13" t="n">
        <f aca="false">Waterfall!AH28*AH73/(AH31+AH45+AH59+AH73+AH87+Inputs!$F$253)+Waterfall!AH29</f>
        <v>10.5030891678893</v>
      </c>
      <c r="AI74" s="13" t="n">
        <f aca="false">Waterfall!AI28*AI73/(AI31+AI45+AI59+AI73+AI87+Inputs!$F$253)+Waterfall!AI29</f>
        <v>11.2637669765511</v>
      </c>
      <c r="AJ74" s="13" t="n">
        <f aca="false">Waterfall!AJ28*AJ73/(AJ31+AJ45+AJ59+AJ73+AJ87+Inputs!$F$253)+Waterfall!AJ29</f>
        <v>12.999172585913</v>
      </c>
      <c r="AK74" s="13" t="n">
        <f aca="false">Waterfall!AK28*AK73/(AK31+AK45+AK59+AK73+AK87+Inputs!$F$253)+Waterfall!AK29</f>
        <v>3.93386213651348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148.956486611802</v>
      </c>
      <c r="AB75" s="13" t="n">
        <f aca="false">IF(Time!AB34=1,INDEX(Funding!$J$64:$BJ$64,1,Time!$F$14),Time!AB35*(AB73-AB74))</f>
        <v>134.129528584404</v>
      </c>
      <c r="AC75" s="13" t="n">
        <f aca="false">IF(Time!AC34=1,INDEX(Funding!$J$64:$BJ$64,1,Time!$F$14),Time!AC35*(AC73-AC74))</f>
        <v>119.799517676831</v>
      </c>
      <c r="AD75" s="13" t="n">
        <f aca="false">IF(Time!AD34=1,INDEX(Funding!$J$64:$BJ$64,1,Time!$F$14),Time!AD35*(AD73-AD74))</f>
        <v>103.869619982975</v>
      </c>
      <c r="AE75" s="13" t="n">
        <f aca="false">IF(Time!AE34=1,INDEX(Funding!$J$64:$BJ$64,1,Time!$F$14),Time!AE35*(AE73-AE74))</f>
        <v>87.6110124554765</v>
      </c>
      <c r="AF75" s="13" t="n">
        <f aca="false">IF(Time!AF34=1,INDEX(Funding!$J$64:$BJ$64,1,Time!$F$14),Time!AF35*(AF73-AF74))</f>
        <v>70.952561010879</v>
      </c>
      <c r="AG75" s="13" t="n">
        <f aca="false">IF(Time!AG34=1,INDEX(Funding!$J$64:$BJ$64,1,Time!$F$14),Time!AG35*(AG73-AG74))</f>
        <v>54.6736392821866</v>
      </c>
      <c r="AH75" s="13" t="n">
        <f aca="false">IF(Time!AH34=1,INDEX(Funding!$J$64:$BJ$64,1,Time!$F$14),Time!AH35*(AH73-AH74))</f>
        <v>37.8231574367591</v>
      </c>
      <c r="AI75" s="13" t="n">
        <f aca="false">IF(Time!AI34=1,INDEX(Funding!$J$64:$BJ$64,1,Time!$F$14),Time!AI35*(AI73-AI74))</f>
        <v>21.4456529359356</v>
      </c>
      <c r="AJ75" s="13" t="n">
        <f aca="false">IF(Time!AJ34=1,INDEX(Funding!$J$64:$BJ$64,1,Time!$F$14),Time!AJ35*(AJ73-AJ74))</f>
        <v>4.93183752802069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16.7184068150204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0.777185570146618</v>
      </c>
      <c r="AC108" s="13" t="n">
        <f aca="false">(Inputs!$F$95/100*Inputs!$F$96/100)*AC63*Time!AC25/Inputs!$F$248</f>
        <v>0.692218610943678</v>
      </c>
      <c r="AD108" s="13" t="n">
        <f aca="false">(Inputs!$F$95/100*Inputs!$F$96/100)*AD63*Time!AD25/Inputs!$F$248</f>
        <v>0.625058086202073</v>
      </c>
      <c r="AE108" s="13" t="n">
        <f aca="false">(Inputs!$F$95/100*Inputs!$F$96/100)*AE63*Time!AE25/Inputs!$F$248</f>
        <v>0.533107267383854</v>
      </c>
      <c r="AF108" s="13" t="n">
        <f aca="false">(Inputs!$F$95/100*Inputs!$F$96/100)*AF63*Time!AF25/Inputs!$F$248</f>
        <v>0.457113457863588</v>
      </c>
      <c r="AG108" s="13" t="n">
        <f aca="false">(Inputs!$F$95/100*Inputs!$F$96/100)*AG63*Time!AG25/Inputs!$F$248</f>
        <v>0.36416158950611</v>
      </c>
      <c r="AH108" s="13" t="n">
        <f aca="false">(Inputs!$F$95/100*Inputs!$F$96/100)*AH63*Time!AH25/Inputs!$F$248</f>
        <v>0.285261585339715</v>
      </c>
      <c r="AI108" s="13" t="n">
        <f aca="false">(Inputs!$F$95/100*Inputs!$F$96/100)*AI63*Time!AI25/Inputs!$F$248</f>
        <v>0.194126060230555</v>
      </c>
      <c r="AJ108" s="13" t="n">
        <f aca="false">(Inputs!$F$95/100*Inputs!$F$96/100)*AJ63*Time!AJ25/Inputs!$F$248</f>
        <v>0.111893428633413</v>
      </c>
      <c r="AK108" s="13" t="n">
        <f aca="false">(Inputs!$F$95/100*Inputs!$F$96/100)*AK63*Time!AK25/Inputs!$F$248</f>
        <v>0.0254523352096783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305.962065593777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13.7707692619623</v>
      </c>
      <c r="AC111" s="13" t="n">
        <f aca="false">AC23+AC37+AC51+AC65+AC79+AC92</f>
        <v>12.5806588071438</v>
      </c>
      <c r="AD111" s="13" t="n">
        <f aca="false">AD23+AD37+AD51+AD65+AD79+AD92</f>
        <v>11.6755218705033</v>
      </c>
      <c r="AE111" s="13" t="n">
        <f aca="false">AE23+AE37+AE51+AE65+AE79+AE92</f>
        <v>10.3522478587315</v>
      </c>
      <c r="AF111" s="13" t="n">
        <f aca="false">AF23+AF37+AF51+AF65+AF79+AF92</f>
        <v>9.33824827789678</v>
      </c>
      <c r="AG111" s="13" t="n">
        <f aca="false">AG23+AG37+AG51+AG65+AG79+AG92</f>
        <v>8.18436651424736</v>
      </c>
      <c r="AH111" s="13" t="n">
        <f aca="false">AH23+AH37+AH51+AH65+AH79+AH92</f>
        <v>7.06160168333395</v>
      </c>
      <c r="AI111" s="13" t="n">
        <f aca="false">AI23+AI37+AI51+AI65+AI79+AI92</f>
        <v>5.65770387530607</v>
      </c>
      <c r="AJ111" s="13" t="n">
        <f aca="false">AJ23+AJ37+AJ51+AJ65+AJ79+AJ92</f>
        <v>4.4480617292433</v>
      </c>
      <c r="AK111" s="13" t="n">
        <f aca="false">AK23+AK37+AK51+AK65+AK79+AK92</f>
        <v>3.07843695973402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314.346268805812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14.1536509138625</v>
      </c>
      <c r="AC112" s="13" t="n">
        <f aca="false">AC111+AC107+AC108+AC109</f>
        <v>12.9537327583995</v>
      </c>
      <c r="AD112" s="13" t="n">
        <f aca="false">AD111+AD107+AD108+AD109</f>
        <v>11.9507671988758</v>
      </c>
      <c r="AE112" s="13" t="n">
        <f aca="false">AE111+AE107+AE108+AE109</f>
        <v>10.6299944936419</v>
      </c>
      <c r="AF112" s="13" t="n">
        <f aca="false">AF111+AF107+AF108+AF109</f>
        <v>9.49598270721416</v>
      </c>
      <c r="AG112" s="13" t="n">
        <f aca="false">AG111+AG107+AG108+AG109</f>
        <v>8.3343219043428</v>
      </c>
      <c r="AH112" s="13" t="n">
        <f aca="false">AH111+AH107+AH108+AH109</f>
        <v>7.10128291699513</v>
      </c>
      <c r="AI112" s="13" t="n">
        <f aca="false">AI111+AI107+AI108+AI109</f>
        <v>5.68133935210668</v>
      </c>
      <c r="AJ112" s="13" t="n">
        <f aca="false">AJ111+AJ107+AJ108+AJ109</f>
        <v>4.37223376790057</v>
      </c>
      <c r="AK112" s="13" t="n">
        <f aca="false">AK111+AK107+AK108+AK109</f>
        <v>2.96938601368469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542.604933292391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22.2635544891395</v>
      </c>
      <c r="AC113" s="13" t="n">
        <f aca="false">AC27+AC41+AC55+AC69+AC83+AC93</f>
        <v>22.6028726406988</v>
      </c>
      <c r="AD113" s="13" t="n">
        <f aca="false">AD27+AD41+AD55+AD69+AD83+AD93</f>
        <v>24.2440283598235</v>
      </c>
      <c r="AE113" s="13" t="n">
        <f aca="false">AE27+AE41+AE55+AE69+AE83+AE93</f>
        <v>24.6940408033787</v>
      </c>
      <c r="AF113" s="13" t="n">
        <f aca="false">AF27+AF41+AF55+AF69+AF83+AF93</f>
        <v>24.8452585721023</v>
      </c>
      <c r="AG113" s="13" t="n">
        <f aca="false">AG27+AG41+AG55+AG69+AG83+AG93</f>
        <v>24.4270710977283</v>
      </c>
      <c r="AH113" s="13" t="n">
        <f aca="false">AH27+AH41+AH55+AH69+AH83+AH93</f>
        <v>24.5833909626765</v>
      </c>
      <c r="AI113" s="13" t="n">
        <f aca="false">AI27+AI41+AI55+AI69+AI83+AI93</f>
        <v>23.8851906993379</v>
      </c>
      <c r="AJ113" s="13" t="n">
        <f aca="false">AJ27+AJ41+AJ55+AJ69+AJ83+AJ93</f>
        <v>23.1923378940749</v>
      </c>
      <c r="AK113" s="13" t="n">
        <f aca="false">AK27+AK41+AK55+AK69+AK83+AK93</f>
        <v>21.3126026084633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856.951202098203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36.4172054030019</v>
      </c>
      <c r="AC114" s="13" t="n">
        <f aca="false">AC112+AC113</f>
        <v>35.5566053990983</v>
      </c>
      <c r="AD114" s="13" t="n">
        <f aca="false">AD112+AD113</f>
        <v>36.1947955586994</v>
      </c>
      <c r="AE114" s="13" t="n">
        <f aca="false">AE112+AE113</f>
        <v>35.3240352970206</v>
      </c>
      <c r="AF114" s="13" t="n">
        <f aca="false">AF112+AF113</f>
        <v>34.3412412793165</v>
      </c>
      <c r="AG114" s="13" t="n">
        <f aca="false">AG112+AG113</f>
        <v>32.7613930020711</v>
      </c>
      <c r="AH114" s="13" t="n">
        <f aca="false">AH112+AH113</f>
        <v>31.6846738796716</v>
      </c>
      <c r="AI114" s="13" t="n">
        <f aca="false">AI112+AI113</f>
        <v>29.5665300514446</v>
      </c>
      <c r="AJ114" s="13" t="n">
        <f aca="false">AJ112+AJ113</f>
        <v>27.5645716619754</v>
      </c>
      <c r="AK114" s="13" t="n">
        <f aca="false">AK112+AK113</f>
        <v>24.281988622148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401.159130519111</v>
      </c>
      <c r="AC115" s="13" t="n">
        <f aca="false">AC21+AC35+AC49+AC63+AC77+AC91</f>
        <v>372.335414403048</v>
      </c>
      <c r="AD115" s="13" t="n">
        <f aca="false">AD21+AD35+AD49+AD63+AD77+AD91</f>
        <v>343.544954418784</v>
      </c>
      <c r="AE115" s="13" t="n">
        <f aca="false">AE21+AE35+AE49+AE63+AE77+AE91</f>
        <v>311.825301573582</v>
      </c>
      <c r="AF115" s="13" t="n">
        <f aca="false">AF21+AF35+AF49+AF63+AF77+AF91</f>
        <v>279.09828670204</v>
      </c>
      <c r="AG115" s="13" t="n">
        <f aca="false">AG21+AG35+AG49+AG63+AG77+AG91</f>
        <v>245.393686754919</v>
      </c>
      <c r="AH115" s="13" t="n">
        <f aca="false">AH21+AH35+AH49+AH63+AH77+AH91</f>
        <v>211.750480568602</v>
      </c>
      <c r="AI115" s="13" t="n">
        <f aca="false">AI21+AI35+AI49+AI63+AI77+AI91</f>
        <v>176.664000438037</v>
      </c>
      <c r="AJ115" s="13" t="n">
        <f aca="false">AJ21+AJ35+AJ49+AJ63+AJ77+AJ91</f>
        <v>141.515042762148</v>
      </c>
      <c r="AK115" s="13" t="n">
        <f aca="false">AK21+AK35+AK49+AK63+AK77+AK91</f>
        <v>105.32353228216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401.159130519111</v>
      </c>
      <c r="AB116" s="13" t="n">
        <f aca="false">AB33+AB47+AB61+AB75+AB89+AB95</f>
        <v>372.335414403048</v>
      </c>
      <c r="AC116" s="13" t="n">
        <f aca="false">AC33+AC47+AC61+AC75+AC89+AC95</f>
        <v>343.544954418784</v>
      </c>
      <c r="AD116" s="13" t="n">
        <f aca="false">AD33+AD47+AD61+AD75+AD89+AD95</f>
        <v>311.825301573582</v>
      </c>
      <c r="AE116" s="13" t="n">
        <f aca="false">AE33+AE47+AE61+AE75+AE89+AE95</f>
        <v>279.09828670204</v>
      </c>
      <c r="AF116" s="13" t="n">
        <f aca="false">AF33+AF47+AF61+AF75+AF89+AF95</f>
        <v>245.393686754919</v>
      </c>
      <c r="AG116" s="13" t="n">
        <f aca="false">AG33+AG47+AG61+AG75+AG89+AG95</f>
        <v>211.750480568602</v>
      </c>
      <c r="AH116" s="13" t="n">
        <f aca="false">AH33+AH47+AH61+AH75+AH89+AH95</f>
        <v>176.664000438037</v>
      </c>
      <c r="AI116" s="13" t="n">
        <f aca="false">AI33+AI47+AI61+AI75+AI89+AI95</f>
        <v>141.515042762148</v>
      </c>
      <c r="AJ116" s="13" t="n">
        <f aca="false">AJ33+AJ47+AJ61+AJ75+AJ89+AJ95</f>
        <v>105.32353228216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140.689690211328</v>
      </c>
      <c r="AC118" s="13" t="n">
        <f aca="false">IF(Time!AC34=1,AC75,AC73)</f>
        <v>125.987105020396</v>
      </c>
      <c r="AD118" s="13" t="n">
        <f aca="false">IF(Time!AD34=1,AD75,AD73)</f>
        <v>111.345244468354</v>
      </c>
      <c r="AE118" s="13" t="n">
        <f aca="false">IF(Time!AE34=1,AE75,AE73)</f>
        <v>95.6439865236398</v>
      </c>
      <c r="AF118" s="13" t="n">
        <f aca="false">IF(Time!AF34=1,AF75,AF73)</f>
        <v>79.811902385898</v>
      </c>
      <c r="AG118" s="13" t="n">
        <f aca="false">IF(Time!AG34=1,AG75,AG73)</f>
        <v>63.8897743707744</v>
      </c>
      <c r="AH118" s="13" t="n">
        <f aca="false">IF(Time!AH34=1,AH75,AH73)</f>
        <v>48.3262466046484</v>
      </c>
      <c r="AI118" s="13" t="n">
        <f aca="false">IF(Time!AI34=1,AI75,AI73)</f>
        <v>32.7094199124867</v>
      </c>
      <c r="AJ118" s="13" t="n">
        <f aca="false">IF(Time!AJ34=1,AJ75,AJ73)</f>
        <v>17.9310101139337</v>
      </c>
      <c r="AK118" s="13" t="n">
        <f aca="false">IF(Time!AK34=1,AK75,AK73)</f>
        <v>3.93386213651348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14.6417318112355</v>
      </c>
      <c r="AC122" s="13" t="n">
        <f aca="false">IF(AND(Time!AC20&gt;=Time!$F$12,Time!AD20&gt;0),(IF(Time!AC34=1,AC75,AC73)-AC72)*AD19+IF(Time!AD46&gt;0,Time!AD45*AC72/Time!AD46,0)+IF(Time!AC34=1,AC75,AC73)*AD13,0)</f>
        <v>14.414455892171</v>
      </c>
      <c r="AD122" s="13" t="n">
        <f aca="false">IF(AND(Time!AD20&gt;=Time!$F$12,Time!AE20&gt;0),(IF(Time!AD34=1,AD75,AD73)-AD72)*AE19+IF(Time!AE46&gt;0,Time!AE45*AD72/Time!AE46,0)+IF(Time!AD34=1,AD75,AD73)*AE13,0)</f>
        <v>13.6196466592479</v>
      </c>
      <c r="AE122" s="13" t="n">
        <f aca="false">IF(AND(Time!AE20&gt;=Time!$F$12,Time!AF20&gt;0),(IF(Time!AE34=1,AE75,AE73)-AE72)*AF19+IF(Time!AF46&gt;0,Time!AF45*AE72/Time!AF46,0)+IF(Time!AE34=1,AE75,AE73)*AF13,0)</f>
        <v>12.7074246757894</v>
      </c>
      <c r="AF122" s="13" t="n">
        <f aca="false">IF(AND(Time!AF20&gt;=Time!$F$12,Time!AG20&gt;0),(IF(Time!AF34=1,AF75,AF73)-AF72)*AG19+IF(Time!AG46&gt;0,Time!AG45*AF72/Time!AG46,0)+IF(Time!AF34=1,AF75,AF73)*AG13,0)</f>
        <v>11.6096586645996</v>
      </c>
      <c r="AG122" s="13" t="n">
        <f aca="false">IF(AND(Time!AG20&gt;=Time!$F$12,Time!AH20&gt;0),(IF(Time!AG34=1,AG75,AG73)-AG72)*AH19+IF(Time!AH46&gt;0,Time!AH45*AG72/Time!AH46,0)+IF(Time!AG34=1,AG75,AG73)*AH13,0)</f>
        <v>10.3998187280176</v>
      </c>
      <c r="AH122" s="13" t="n">
        <f aca="false">IF(AND(Time!AH20&gt;=Time!$F$12,Time!AI20&gt;0),(IF(Time!AH34=1,AH75,AH73)-AH72)*AI19+IF(Time!AI46&gt;0,Time!AI45*AH72/Time!AI46,0)+IF(Time!AH34=1,AH75,AH73)*AI13,0)</f>
        <v>8.75292727357215</v>
      </c>
      <c r="AI122" s="13" t="n">
        <f aca="false">IF(AND(Time!AI20&gt;=Time!$F$12,Time!AJ20&gt;0),(IF(Time!AI34=1,AI75,AI73)-AI72)*AJ19+IF(Time!AJ46&gt;0,Time!AJ45*AI72/Time!AJ46,0)+IF(Time!AI34=1,AI75,AI73)*AJ13,0)</f>
        <v>6.88754100285284</v>
      </c>
      <c r="AJ122" s="13" t="n">
        <f aca="false">IF(AND(Time!AJ20&gt;=Time!$F$12,Time!AK20&gt;0),(IF(Time!AJ34=1,AJ75,AJ73)-AJ72)*AK19+IF(Time!AK46&gt;0,Time!AK45*AJ72/Time!AK46,0)+IF(Time!AJ34=1,AJ75,AJ73)*AK13,0)</f>
        <v>4.45635337576269</v>
      </c>
      <c r="AK122" s="13" t="n">
        <f aca="false">IF(AND(Time!AK20&gt;=Time!$F$12,Time!AL20&gt;0),(IF(Time!AK34=1,AK75,AK73)-AK72)*AL19+IF(Time!AL46&gt;0,Time!AL45*AK72/Time!AL46,0)+IF(Time!AK34=1,AK75,AK73)*AL13,0)</f>
        <v>1.24183049920482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36.2731845079674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36.935014695287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36.2768151121511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35.4504283579917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34.0955674124255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33.2329389509202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31.5227731481308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29.9951240823848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27.5797299898581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24.9763953950198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840.805936360334</v>
      </c>
      <c r="Q128" s="13" t="n">
        <f aca="false">IF(Time!Q53=1,(Waterfall!Q7+R128)/(1+Q127),0)</f>
        <v>820.418576630891</v>
      </c>
      <c r="R128" s="13" t="n">
        <f aca="false">IF(Time!R53=1,(Waterfall!R7+S128)/(1+R127),0)</f>
        <v>799.176249005697</v>
      </c>
      <c r="S128" s="13" t="n">
        <f aca="false">IF(Time!S53=1,(Waterfall!S7+T128)/(1+S127),0)</f>
        <v>776.890963413369</v>
      </c>
      <c r="T128" s="13" t="n">
        <f aca="false">IF(Time!T53=1,(Waterfall!T7+U128)/(1+T127),0)</f>
        <v>753.961950422591</v>
      </c>
      <c r="U128" s="13" t="n">
        <f aca="false">IF(Time!U53=1,(Waterfall!U7+V128)/(1+U127),0)</f>
        <v>729.98351067155</v>
      </c>
      <c r="V128" s="13" t="n">
        <f aca="false">IF(Time!V53=1,(Waterfall!V7+W128)/(1+V127),0)</f>
        <v>705.251502403336</v>
      </c>
      <c r="W128" s="13" t="n">
        <f aca="false">IF(Time!W53=1,(Waterfall!W7+X128)/(1+W127),0)</f>
        <v>678.895435973135</v>
      </c>
      <c r="X128" s="13" t="n">
        <f aca="false">IF(Time!X53=1,(Waterfall!X7+Y128)/(1+X127),0)</f>
        <v>651.746928712498</v>
      </c>
      <c r="Y128" s="13" t="n">
        <f aca="false">IF(Time!Y53=1,(Waterfall!Y7+Z128)/(1+Y127),0)</f>
        <v>625.412867919553</v>
      </c>
      <c r="Z128" s="13" t="n">
        <f aca="false">IF(Time!Z53=1,(Waterfall!Z7+AA128)/(1+Z127),0)</f>
        <v>599.093629886337</v>
      </c>
      <c r="AA128" s="13" t="n">
        <f aca="false">IF(Time!AA53=1,(Waterfall!AA7+AB128)/(1+AA127),0)</f>
        <v>571.694148049495</v>
      </c>
      <c r="AB128" s="13" t="n">
        <f aca="false">IF(Time!AB53=1,(Waterfall!AB7+AC128)/(1+AB127),0)</f>
        <v>543.509238647884</v>
      </c>
      <c r="AC128" s="13" t="n">
        <f aca="false">IF(Time!AC53=1,(Waterfall!AC7+AD128)/(1+AC127),0)</f>
        <v>513.982749939165</v>
      </c>
      <c r="AD128" s="13" t="n">
        <f aca="false">IF(Time!AD53=1,(Waterfall!AD7+AE128)/(1+AD127),0)</f>
        <v>483.488927343414</v>
      </c>
      <c r="AE128" s="13" t="n">
        <f aca="false">IF(Time!AE53=1,(Waterfall!AE7+AF128)/(1+AE127),0)</f>
        <v>450.151504916382</v>
      </c>
      <c r="AF128" s="13" t="n">
        <f aca="false">IF(Time!AF53=1,(Waterfall!AF7+AG128)/(1+AF127),0)</f>
        <v>415.381950036008</v>
      </c>
      <c r="AG128" s="13" t="n">
        <f aca="false">IF(Time!AG53=1,(Waterfall!AG7+AH128)/(1+AG127),0)</f>
        <v>379.411404222649</v>
      </c>
      <c r="AH128" s="13" t="n">
        <f aca="false">IF(Time!AH53=1,(Waterfall!AH7+AI128)/(1+AH127),0)</f>
        <v>342.795134788646</v>
      </c>
      <c r="AI128" s="13" t="n">
        <f aca="false">IF(Time!AI53=1,(Waterfall!AI7+AJ128)/(1+AI127),0)</f>
        <v>304.344030811592</v>
      </c>
      <c r="AJ128" s="13" t="n">
        <f aca="false">IF(Time!AJ53=1,(Waterfall!AJ7+AK128)/(1+AJ127),0)</f>
        <v>264.778884948083</v>
      </c>
      <c r="AK128" s="13" t="n">
        <f aca="false">IF(Time!AK53=1,(Waterfall!AK7+AL128)/(1+AK127),0)</f>
        <v>223.309355064585</v>
      </c>
      <c r="AL128" s="13" t="n">
        <f aca="false">IF(Time!AL53=1,(Waterfall!AL7+AM128)/(1+AL127),0)</f>
        <v>180.510092071086</v>
      </c>
      <c r="AM128" s="13" t="n">
        <f aca="false">IF(Time!AM53=1,(Waterfall!AM7+AN128)/(1+AM127),0)</f>
        <v>135.113913993511</v>
      </c>
      <c r="AN128" s="13" t="n">
        <f aca="false">IF(Time!AN53=1,(Waterfall!AN7+AO128)/(1+AN127),0)</f>
        <v>88.3879919657977</v>
      </c>
      <c r="AO128" s="13" t="n">
        <f aca="false">IF(Time!AO53=1,(Waterfall!AO7+AP128)/(1+AO127),0)</f>
        <v>41.8659646094579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1.32775049716612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622.819212118766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37.1109929847234</v>
      </c>
      <c r="Q132" s="13" t="n">
        <f aca="false">IF(Time!Q53=1,(Waterfall!Q7)/$F$129,0)</f>
        <v>37.0150729436994</v>
      </c>
      <c r="R132" s="13" t="n">
        <f aca="false">IF(Time!R53=1,(Waterfall!R7)/$F$129,0)</f>
        <v>37.4781416345043</v>
      </c>
      <c r="S132" s="13" t="n">
        <f aca="false">IF(Time!S53=1,(Waterfall!S7)/$F$129,0)</f>
        <v>37.177502146507</v>
      </c>
      <c r="T132" s="13" t="n">
        <f aca="false">IF(Time!T53=1,(Waterfall!T7)/$F$129,0)</f>
        <v>37.5895960727946</v>
      </c>
      <c r="U132" s="13" t="n">
        <f aca="false">IF(Time!U53=1,(Waterfall!U7)/$F$129,0)</f>
        <v>37.4009385691664</v>
      </c>
      <c r="V132" s="13" t="n">
        <f aca="false">IF(Time!V53=1,(Waterfall!V7)/$F$129,0)</f>
        <v>38.1185496956339</v>
      </c>
      <c r="W132" s="13" t="n">
        <f aca="false">IF(Time!W53=1,(Waterfall!W7)/$F$129,0)</f>
        <v>37.8442176953062</v>
      </c>
      <c r="X132" s="13" t="n">
        <f aca="false">IF(Time!X53=1,(Waterfall!X7)/$F$129,0)</f>
        <v>36.716027750507</v>
      </c>
      <c r="Y132" s="13" t="n">
        <f aca="false">IF(Time!Y53=1,(Waterfall!Y7)/$F$129,0)</f>
        <v>36.3490808537155</v>
      </c>
      <c r="Z132" s="13" t="n">
        <f aca="false">IF(Time!Z53=1,(Waterfall!Z7)/$F$129,0)</f>
        <v>36.6414165653858</v>
      </c>
      <c r="AA132" s="13" t="n">
        <f aca="false">IF(Time!AA53=1,(Waterfall!AA7)/$F$129,0)</f>
        <v>36.3346905361643</v>
      </c>
      <c r="AB132" s="13" t="n">
        <f aca="false">IF(Time!AB53=1,(Waterfall!AB7)/$F$129,0)</f>
        <v>36.7583854323606</v>
      </c>
      <c r="AC132" s="13" t="n">
        <f aca="false">IF(Time!AC53=1,(Waterfall!AC7)/$F$129,0)</f>
        <v>36.5984500681893</v>
      </c>
      <c r="AD132" s="13" t="n">
        <f aca="false">IF(Time!AD53=1,(Waterfall!AD7)/$F$129,0)</f>
        <v>38.0250996358719</v>
      </c>
      <c r="AE132" s="13" t="n">
        <f aca="false">IF(Time!AE53=1,(Waterfall!AE7)/$F$129,0)</f>
        <v>38.0821523223738</v>
      </c>
      <c r="AF132" s="13" t="n">
        <f aca="false">IF(Time!AF53=1,(Waterfall!AF7)/$F$129,0)</f>
        <v>38.1886982471561</v>
      </c>
      <c r="AG132" s="13" t="n">
        <f aca="false">IF(Time!AG53=1,(Waterfall!AG7)/$F$129,0)</f>
        <v>37.9069974555953</v>
      </c>
      <c r="AH132" s="13" t="n">
        <f aca="false">IF(Time!AH53=1,(Waterfall!AH7)/$F$129,0)</f>
        <v>38.3962849356647</v>
      </c>
      <c r="AI132" s="13" t="n">
        <f aca="false">IF(Time!AI53=1,(Waterfall!AI7)/$F$129,0)</f>
        <v>38.0842749046052</v>
      </c>
      <c r="AJ132" s="13" t="n">
        <f aca="false">IF(Time!AJ53=1,(Waterfall!AJ7)/$F$129,0)</f>
        <v>38.521938308772</v>
      </c>
      <c r="AK132" s="13" t="n">
        <f aca="false">IF(Time!AK53=1,(Waterfall!AK7)/$F$129,0)</f>
        <v>38.3365599393804</v>
      </c>
      <c r="AL132" s="13" t="n">
        <f aca="false">IF(Time!AL53=1,(Waterfall!AL7)/$F$129,0)</f>
        <v>39.1594982303044</v>
      </c>
      <c r="AM132" s="13" t="n">
        <f aca="false">IF(Time!AM53=1,(Waterfall!AM7)/$F$129,0)</f>
        <v>38.8702164560565</v>
      </c>
      <c r="AN132" s="13" t="n">
        <f aca="false">IF(Time!AN53=1,(Waterfall!AN7)/$F$129,0)</f>
        <v>37.4714352813711</v>
      </c>
      <c r="AO132" s="13" t="n">
        <f aca="false">IF(Time!AO53=1,(Waterfall!AO7)/$F$129,0)</f>
        <v>32.6712840441857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617.901163194402</v>
      </c>
      <c r="R133" s="13" t="n">
        <f aca="false">IF(Time!R53=1,IF(Time!R20=Time!$F$13,Funding!$F$25,Q133-Q134),0)</f>
        <v>601.902428740503</v>
      </c>
      <c r="S133" s="13" t="n">
        <f aca="false">IF(Time!S53=1,IF(Time!S20=Time!$F$13,Funding!$F$25,R133-R134),0)</f>
        <v>585.118186791513</v>
      </c>
      <c r="T133" s="13" t="n">
        <f aca="false">IF(Time!T53=1,IF(Time!T20=Time!$F$13,Funding!$F$25,S133-S134),0)</f>
        <v>567.849119267368</v>
      </c>
      <c r="U133" s="13" t="n">
        <f aca="false">IF(Time!U53=1,IF(Time!U20=Time!$F$13,Funding!$F$25,T133-T134),0)</f>
        <v>549.789672253627</v>
      </c>
      <c r="V133" s="13" t="n">
        <f aca="false">IF(Time!V53=1,IF(Time!V20=Time!$F$13,Funding!$F$25,U133-U134),0)</f>
        <v>531.162672436266</v>
      </c>
      <c r="W133" s="13" t="n">
        <f aca="false">IF(Time!W53=1,IF(Time!W20=Time!$F$13,Funding!$F$25,V133-V134),0)</f>
        <v>511.312507449354</v>
      </c>
      <c r="X133" s="13" t="n">
        <f aca="false">IF(Time!X53=1,IF(Time!X20=Time!$F$13,Funding!$F$25,W133-W134),0)</f>
        <v>490.865512838106</v>
      </c>
      <c r="Y133" s="13" t="n">
        <f aca="false">IF(Time!Y53=1,IF(Time!Y20=Time!$F$13,Funding!$F$25,X133-X134),0)</f>
        <v>471.031921475007</v>
      </c>
      <c r="Z133" s="13" t="n">
        <f aca="false">IF(Time!Z53=1,IF(Time!Z20=Time!$F$13,Funding!$F$25,Y133-Y134),0)</f>
        <v>451.209493926013</v>
      </c>
      <c r="AA133" s="13" t="n">
        <f aca="false">IF(Time!AA53=1,IF(Time!AA20=Time!$F$13,Funding!$F$25,Z133-Z134),0)</f>
        <v>430.573476921823</v>
      </c>
      <c r="AB133" s="13" t="n">
        <f aca="false">IF(Time!AB53=1,IF(Time!AB20=Time!$F$13,Funding!$F$25,AA133-AA134),0)</f>
        <v>409.345912359229</v>
      </c>
      <c r="AC133" s="13" t="n">
        <f aca="false">IF(Time!AC53=1,IF(Time!AC20=Time!$F$13,Funding!$F$25,AB133-AB134),0)</f>
        <v>387.107932579338</v>
      </c>
      <c r="AD133" s="13" t="n">
        <f aca="false">IF(Time!AD53=1,IF(Time!AD20=Time!$F$13,Funding!$F$25,AC133-AC134),0)</f>
        <v>364.141401848726</v>
      </c>
      <c r="AE133" s="13" t="n">
        <f aca="false">IF(Time!AE53=1,IF(Time!AE20=Time!$F$13,Funding!$F$25,AD133-AD134),0)</f>
        <v>339.03320381138</v>
      </c>
      <c r="AF133" s="13" t="n">
        <f aca="false">IF(Time!AF53=1,IF(Time!AF20=Time!$F$13,Funding!$F$25,AE133-AE134),0)</f>
        <v>312.846390133219</v>
      </c>
      <c r="AG133" s="13" t="n">
        <f aca="false">IF(Time!AG53=1,IF(Time!AG20=Time!$F$13,Funding!$F$25,AF133-AF134),0)</f>
        <v>285.755045870775</v>
      </c>
      <c r="AH133" s="13" t="n">
        <f aca="false">IF(Time!AH53=1,IF(Time!AH20=Time!$F$13,Funding!$F$25,AG133-AG134),0)</f>
        <v>258.177372571345</v>
      </c>
      <c r="AI133" s="13" t="n">
        <f aca="false">IF(Time!AI53=1,IF(Time!AI20=Time!$F$13,Funding!$F$25,AH133-AH134),0)</f>
        <v>229.217787122782</v>
      </c>
      <c r="AJ133" s="13" t="n">
        <f aca="false">IF(Time!AJ53=1,IF(Time!AJ20=Time!$F$13,Funding!$F$25,AI133-AI134),0)</f>
        <v>199.419157072969</v>
      </c>
      <c r="AK133" s="13" t="n">
        <f aca="false">IF(Time!AK53=1,IF(Time!AK20=Time!$F$13,Funding!$F$25,AJ133-AJ134),0)</f>
        <v>168.18623343859</v>
      </c>
      <c r="AL133" s="13" t="n">
        <f aca="false">IF(Time!AL53=1,IF(Time!AL20=Time!$F$13,Funding!$F$25,AK133-AK134),0)</f>
        <v>135.951816592317</v>
      </c>
      <c r="AM133" s="13" t="n">
        <f aca="false">IF(Time!AM53=1,IF(Time!AM20=Time!$F$13,Funding!$F$25,AL133-AL134),0)</f>
        <v>101.761523932313</v>
      </c>
      <c r="AN133" s="13" t="n">
        <f aca="false">IF(Time!AN53=1,IF(Time!AN20=Time!$F$13,Funding!$F$25,AM133-AM134),0)</f>
        <v>66.5697298961275</v>
      </c>
      <c r="AO133" s="13" t="n">
        <f aca="false">IF(Time!AO53=1,IF(Time!AO20=Time!$F$13,Funding!$F$25,AN133-AN134),0)</f>
        <v>31.5314998554429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15.354812348372</v>
      </c>
      <c r="Q134" s="13" t="n">
        <f aca="false">Q132-Q133*Q127</f>
        <v>15.9987344538995</v>
      </c>
      <c r="R134" s="13" t="n">
        <f aca="false">R132-R133*R127</f>
        <v>16.7842419489903</v>
      </c>
      <c r="S134" s="13" t="n">
        <f aca="false">S132-S133*S127</f>
        <v>17.2690675241443</v>
      </c>
      <c r="T134" s="13" t="n">
        <f aca="false">T132-T133*T127</f>
        <v>18.0594470137413</v>
      </c>
      <c r="U134" s="13" t="n">
        <f aca="false">U132-U133*U127</f>
        <v>18.626999817361</v>
      </c>
      <c r="V134" s="13" t="n">
        <f aca="false">V132-V133*V127</f>
        <v>19.8501649869118</v>
      </c>
      <c r="W134" s="13" t="n">
        <f aca="false">W132-W133*W127</f>
        <v>20.4469946112476</v>
      </c>
      <c r="X134" s="13" t="n">
        <f aca="false">X132-X133*X127</f>
        <v>19.8335913630993</v>
      </c>
      <c r="Y134" s="13" t="n">
        <f aca="false">Y132-Y133*Y127</f>
        <v>19.8224275489936</v>
      </c>
      <c r="Z134" s="13" t="n">
        <f aca="false">Z132-Z133*Z127</f>
        <v>20.6360170041904</v>
      </c>
      <c r="AA134" s="13" t="n">
        <f aca="false">AA132-AA133*AA127</f>
        <v>21.2275645625944</v>
      </c>
      <c r="AB134" s="13" t="n">
        <f aca="false">AB132-AB133*AB127</f>
        <v>22.2379797798902</v>
      </c>
      <c r="AC134" s="13" t="n">
        <f aca="false">AC132-AC133*AC127</f>
        <v>22.9665307306121</v>
      </c>
      <c r="AD134" s="13" t="n">
        <f aca="false">AD132-AD133*AD127</f>
        <v>25.1081980373466</v>
      </c>
      <c r="AE134" s="13" t="n">
        <f aca="false">AE132-AE133*AE127</f>
        <v>26.1868136781604</v>
      </c>
      <c r="AF134" s="13" t="n">
        <f aca="false">AF132-AF133*AF127</f>
        <v>27.0913442624439</v>
      </c>
      <c r="AG134" s="13" t="n">
        <f aca="false">AG132-AG133*AG127</f>
        <v>27.5776732994301</v>
      </c>
      <c r="AH134" s="13" t="n">
        <f aca="false">AH132-AH133*AH127</f>
        <v>28.9595854485631</v>
      </c>
      <c r="AI134" s="13" t="n">
        <f aca="false">AI132-AI133*AI127</f>
        <v>29.7986300498131</v>
      </c>
      <c r="AJ134" s="13" t="n">
        <f aca="false">AJ132-AJ133*AJ127</f>
        <v>31.2329236343792</v>
      </c>
      <c r="AK134" s="13" t="n">
        <f aca="false">AK132-AK133*AK127</f>
        <v>32.2344168462732</v>
      </c>
      <c r="AL134" s="13" t="n">
        <f aca="false">AL132-AL133*AL127</f>
        <v>34.1902926600032</v>
      </c>
      <c r="AM134" s="13" t="n">
        <f aca="false">AM132-AM133*AM127</f>
        <v>35.1917940361859</v>
      </c>
      <c r="AN134" s="13" t="n">
        <f aca="false">AN132-AN133*AN127</f>
        <v>35.0382300406846</v>
      </c>
      <c r="AO134" s="13" t="n">
        <f aca="false">AO132-AO133*AO127</f>
        <v>31.531499855443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36.2731845079674</v>
      </c>
      <c r="AD9" s="13" t="n">
        <f aca="false">IF(Time!AD34=1,SUM(Funding!$J$44:$BJ$44),AC13)</f>
        <v>36.935014695287</v>
      </c>
      <c r="AE9" s="13" t="n">
        <f aca="false">IF(Time!AE34=1,SUM(Funding!$J$44:$BJ$44),AD13)</f>
        <v>36.2768151121511</v>
      </c>
      <c r="AF9" s="13" t="n">
        <f aca="false">IF(Time!AF34=1,SUM(Funding!$J$44:$BJ$44),AE13)</f>
        <v>35.4504283579917</v>
      </c>
      <c r="AG9" s="13" t="n">
        <f aca="false">IF(Time!AG34=1,SUM(Funding!$J$44:$BJ$44),AF13)</f>
        <v>34.0955674124255</v>
      </c>
      <c r="AH9" s="13" t="n">
        <f aca="false">IF(Time!AH34=1,SUM(Funding!$J$44:$BJ$44),AG13)</f>
        <v>33.2329389509202</v>
      </c>
      <c r="AI9" s="13" t="n">
        <f aca="false">IF(Time!AI34=1,SUM(Funding!$J$44:$BJ$44),AH13)</f>
        <v>31.5227731481308</v>
      </c>
      <c r="AJ9" s="13" t="n">
        <f aca="false">IF(Time!AJ34=1,SUM(Funding!$J$44:$BJ$44),AI13)</f>
        <v>29.9951240823848</v>
      </c>
      <c r="AK9" s="13" t="n">
        <f aca="false">IF(Time!AK34=1,SUM(Funding!$J$44:$BJ$44),AJ13)</f>
        <v>27.5797299898581</v>
      </c>
      <c r="AL9" s="13" t="n">
        <f aca="false">IF(Time!AL34=1,SUM(Funding!$J$44:$BJ$44),AK13)</f>
        <v>24.9763953950198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2.99616393044006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0.661830187319588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40.2420593675354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0.731564124008791</v>
      </c>
      <c r="AC12" s="13" t="n">
        <f aca="false">MAX(0,AC9-AC10-Debt!AC125)</f>
        <v>0</v>
      </c>
      <c r="AD12" s="13" t="n">
        <f aca="false">MAX(0,AD9-AD10-Debt!AD125)</f>
        <v>0.658199583135882</v>
      </c>
      <c r="AE12" s="13" t="n">
        <f aca="false">MAX(0,AE9-AE10-Debt!AE125)</f>
        <v>0.826386754159429</v>
      </c>
      <c r="AF12" s="13" t="n">
        <f aca="false">MAX(0,AF9-AF10-Debt!AF125)</f>
        <v>1.35486094556619</v>
      </c>
      <c r="AG12" s="13" t="n">
        <f aca="false">MAX(0,AG9-AG10-Debt!AG125)</f>
        <v>0.862628461505302</v>
      </c>
      <c r="AH12" s="13" t="n">
        <f aca="false">MAX(0,AH9-AH10-Debt!AH125)</f>
        <v>1.71016580278934</v>
      </c>
      <c r="AI12" s="13" t="n">
        <f aca="false">MAX(0,AI9-AI10-Debt!AI125)</f>
        <v>1.52764906574603</v>
      </c>
      <c r="AJ12" s="13" t="n">
        <f aca="false">MAX(0,AJ9-AJ10-Debt!AJ125)</f>
        <v>2.41539409252674</v>
      </c>
      <c r="AK12" s="13" t="n">
        <f aca="false">MAX(0,AK9-AK10-Debt!AK125)</f>
        <v>2.60333459483831</v>
      </c>
      <c r="AL12" s="13" t="n">
        <f aca="false">MAX(0,AL9-AL10-Debt!AL125)</f>
        <v>1.40710354174169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36.2731845079674</v>
      </c>
      <c r="AC13" s="13" t="n">
        <f aca="false">(1-Time!AC37)*(AC9-AC10+AC11-AC12)</f>
        <v>36.935014695287</v>
      </c>
      <c r="AD13" s="13" t="n">
        <f aca="false">(1-Time!AD37)*(AD9-AD10+AD11-AD12)</f>
        <v>36.2768151121511</v>
      </c>
      <c r="AE13" s="13" t="n">
        <f aca="false">(1-Time!AE37)*(AE9-AE10+AE11-AE12)</f>
        <v>35.4504283579917</v>
      </c>
      <c r="AF13" s="13" t="n">
        <f aca="false">(1-Time!AF37)*(AF9-AF10+AF11-AF12)</f>
        <v>34.0955674124255</v>
      </c>
      <c r="AG13" s="13" t="n">
        <f aca="false">(1-Time!AG37)*(AG9-AG10+AG11-AG12)</f>
        <v>33.2329389509202</v>
      </c>
      <c r="AH13" s="13" t="n">
        <f aca="false">(1-Time!AH37)*(AH9-AH10+AH11-AH12)</f>
        <v>31.5227731481308</v>
      </c>
      <c r="AI13" s="13" t="n">
        <f aca="false">(1-Time!AI37)*(AI9-AI10+AI11-AI12)</f>
        <v>29.9951240823848</v>
      </c>
      <c r="AJ13" s="13" t="n">
        <f aca="false">(1-Time!AJ37)*(AJ9-AJ10+AJ11-AJ12)</f>
        <v>27.5797299898581</v>
      </c>
      <c r="AK13" s="13" t="n">
        <f aca="false">(1-Time!AK37)*(AK9-AK10+AK11-AK12)</f>
        <v>24.9763953950198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2262.61568435127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1.70322194445222</v>
      </c>
      <c r="P7" s="13" t="n">
        <f aca="false">Operations!P84-Tax!P27-Operations!P96-Reserves!P7+Operations!P79+Operations!P97</f>
        <v>49.2741393857949</v>
      </c>
      <c r="Q7" s="13" t="n">
        <f aca="false">Operations!Q84-Tax!Q27-Operations!Q96-Reserves!Q7+Operations!Q79+Operations!Q97</f>
        <v>49.146781503637</v>
      </c>
      <c r="R7" s="13" t="n">
        <f aca="false">Operations!R84-Tax!R27-Operations!R96-Reserves!R7+Operations!R79+Operations!R97</f>
        <v>49.7616211880753</v>
      </c>
      <c r="S7" s="13" t="n">
        <f aca="false">Operations!S84-Tax!S27-Operations!S96-Reserves!S7+Operations!S79+Operations!S97</f>
        <v>49.3624469584191</v>
      </c>
      <c r="T7" s="13" t="n">
        <f aca="false">Operations!T84-Tax!T27-Operations!T96-Reserves!T7+Operations!T79+Operations!T97</f>
        <v>49.9096048739266</v>
      </c>
      <c r="U7" s="13" t="n">
        <f aca="false">Operations!U84-Tax!U27-Operations!U96-Reserves!U7+Operations!U79+Operations!U97</f>
        <v>49.6591147796902</v>
      </c>
      <c r="V7" s="13" t="n">
        <f aca="false">Operations!V84-Tax!V27-Operations!V96-Reserves!V7+Operations!V79+Operations!V97</f>
        <v>50.6119233096294</v>
      </c>
      <c r="W7" s="13" t="n">
        <f aca="false">Operations!W84-Tax!W27-Operations!W96-Reserves!W7+Operations!W79+Operations!W97</f>
        <v>50.2476788598056</v>
      </c>
      <c r="X7" s="13" t="n">
        <f aca="false">Operations!X84-Tax!X27-Operations!X96-Reserves!X7+Operations!X79+Operations!X97</f>
        <v>48.7497240997007</v>
      </c>
      <c r="Y7" s="13" t="n">
        <f aca="false">Operations!Y84-Tax!Y27-Operations!Y96-Reserves!Y7+Operations!Y79+Operations!Y97</f>
        <v>48.2625101750522</v>
      </c>
      <c r="Z7" s="13" t="n">
        <f aca="false">Operations!Z84-Tax!Z27-Operations!Z96-Reserves!Z7+Operations!Z79+Operations!Z97</f>
        <v>48.6506590615619</v>
      </c>
      <c r="AA7" s="13" t="n">
        <f aca="false">Operations!AA84-Tax!AA27-Operations!AA96-Reserves!AA7+Operations!AA79+Operations!AA97</f>
        <v>48.2434034237692</v>
      </c>
      <c r="AB7" s="13" t="n">
        <f aca="false">Operations!AB84-Tax!AB27-Operations!AB96-Reserves!AB7+Operations!AB79+Operations!AB97</f>
        <v>48.8059645328406</v>
      </c>
      <c r="AC7" s="13" t="n">
        <f aca="false">Operations!AC84-Tax!AC27-Operations!AC96-Reserves!AC7+Operations!AC79+Operations!AC97</f>
        <v>48.5936102735477</v>
      </c>
      <c r="AD7" s="13" t="n">
        <f aca="false">Operations!AD84-Tax!AD27-Operations!AD96-Reserves!AD7+Operations!AD79+Operations!AD97</f>
        <v>50.4878449463201</v>
      </c>
      <c r="AE7" s="13" t="n">
        <f aca="false">Operations!AE84-Tax!AE27-Operations!AE96-Reserves!AE7+Operations!AE79+Operations!AE97</f>
        <v>50.5635966791877</v>
      </c>
      <c r="AF7" s="13" t="n">
        <f aca="false">Operations!AF84-Tax!AF27-Operations!AF96-Reserves!AF7+Operations!AF79+Operations!AF97</f>
        <v>50.7050630837884</v>
      </c>
      <c r="AG7" s="13" t="n">
        <f aca="false">Operations!AG84-Tax!AG27-Operations!AG96-Reserves!AG7+Operations!AG79+Operations!AG97</f>
        <v>50.3310347177414</v>
      </c>
      <c r="AH7" s="13" t="n">
        <f aca="false">Operations!AH84-Tax!AH27-Operations!AH96-Reserves!AH7+Operations!AH79+Operations!AH97</f>
        <v>50.9806864126608</v>
      </c>
      <c r="AI7" s="13" t="n">
        <f aca="false">Operations!AI84-Tax!AI27-Operations!AI96-Reserves!AI7+Operations!AI79+Operations!AI97</f>
        <v>50.5664149388007</v>
      </c>
      <c r="AJ7" s="13" t="n">
        <f aca="false">Operations!AJ84-Tax!AJ27-Operations!AJ96-Reserves!AJ7+Operations!AJ79+Operations!AJ97</f>
        <v>51.1475227412747</v>
      </c>
      <c r="AK7" s="13" t="n">
        <f aca="false">Operations!AK84-Tax!AK27-Operations!AK96-Reserves!AK7+Operations!AK79+Operations!AK97</f>
        <v>50.901386519151</v>
      </c>
      <c r="AL7" s="13" t="n">
        <f aca="false">Operations!AL84-Tax!AL27-Operations!AL96-Reserves!AL7+Operations!AL79+Operations!AL97</f>
        <v>51.9940432440624</v>
      </c>
      <c r="AM7" s="13" t="n">
        <f aca="false">Operations!AM84-Tax!AM27-Operations!AM96-Reserves!AM7+Operations!AM79+Operations!AM97</f>
        <v>51.6099492244837</v>
      </c>
      <c r="AN7" s="13" t="n">
        <f aca="false">Operations!AN84-Tax!AN27-Operations!AN96-Reserves!AN7+Operations!AN79+Operations!AN97</f>
        <v>49.7527168243686</v>
      </c>
      <c r="AO7" s="13" t="n">
        <f aca="false">Operations!AO84-Tax!AO27-Operations!AO96-Reserves!AO7+Operations!AO79+Operations!AO97</f>
        <v>43.3793136327231</v>
      </c>
      <c r="AP7" s="13" t="n">
        <f aca="false">Operations!AP84-Tax!AP27-Operations!AP96-Reserves!AP7+Operations!AP79+Operations!AP97</f>
        <v>41.1521746171139</v>
      </c>
      <c r="AQ7" s="13" t="n">
        <f aca="false">Operations!AQ84-Tax!AQ27-Operations!AQ96-Reserves!AQ7+Operations!AQ79+Operations!AQ97</f>
        <v>40.2334221291795</v>
      </c>
      <c r="AR7" s="13" t="n">
        <f aca="false">Operations!AR84-Tax!AR27-Operations!AR96-Reserves!AR7+Operations!AR79+Operations!AR97</f>
        <v>40.812133420755</v>
      </c>
      <c r="AS7" s="13" t="n">
        <f aca="false">Operations!AS84-Tax!AS27-Operations!AS96-Reserves!AS7+Operations!AS79+Operations!AS97</f>
        <v>40.5424703735348</v>
      </c>
      <c r="AT7" s="13" t="n">
        <f aca="false">Operations!AT84-Tax!AT27-Operations!AT96-Reserves!AT7+Operations!AT79+Operations!AT97</f>
        <v>47.260030852876</v>
      </c>
      <c r="AU7" s="13" t="n">
        <f aca="false">Operations!AU84-Tax!AU27-Operations!AU96-Reserves!AU7+Operations!AU79+Operations!AU97</f>
        <v>42.8184762079473</v>
      </c>
      <c r="AV7" s="13" t="n">
        <f aca="false">Operations!AV84-Tax!AV27-Operations!AV96-Reserves!AV7+Operations!AV79+Operations!AV97</f>
        <v>42.9235396543305</v>
      </c>
      <c r="AW7" s="13" t="n">
        <f aca="false">Operations!AW84-Tax!AW27-Operations!AW96-Reserves!AW7+Operations!AW79+Operations!AW97</f>
        <v>42.4959632438198</v>
      </c>
      <c r="AX7" s="13" t="n">
        <f aca="false">Operations!AX84-Tax!AX27-Operations!AX96-Reserves!AX7+Operations!AX79+Operations!AX97</f>
        <v>43.1519623391802</v>
      </c>
      <c r="AY7" s="13" t="n">
        <f aca="false">Operations!AY84-Tax!AY27-Operations!AY96-Reserves!AY7+Operations!AY79+Operations!AY97</f>
        <v>42.691778014356</v>
      </c>
      <c r="AZ7" s="13" t="n">
        <f aca="false">Operations!AZ84-Tax!AZ27-Operations!AZ96-Reserves!AZ7+Operations!AZ79+Operations!AZ97</f>
        <v>43.29041271871</v>
      </c>
      <c r="BA7" s="13" t="n">
        <f aca="false">Operations!BA84-Tax!BA27-Operations!BA96-Reserves!BA7+Operations!BA79+Operations!BA97</f>
        <v>42.9880608120487</v>
      </c>
      <c r="BB7" s="13" t="n">
        <f aca="false">Operations!BB84-Tax!BB27-Operations!BB96-Reserves!BB7+Operations!BB79+Operations!BB97</f>
        <v>45.2182915838031</v>
      </c>
      <c r="BC7" s="13" t="n">
        <f aca="false">Operations!BC84-Tax!BC27-Operations!BC96-Reserves!BC7+Operations!BC79+Operations!BC97</f>
        <v>41.8144308241929</v>
      </c>
      <c r="BD7" s="13" t="n">
        <f aca="false">Operations!BD84-Tax!BD27-Operations!BD96-Reserves!BD7+Operations!BD79+Operations!BD97</f>
        <v>35.6951675310066</v>
      </c>
      <c r="BE7" s="13" t="n">
        <f aca="false">Operations!BE84-Tax!BE27-Operations!BE96-Reserves!BE7+Operations!BE79+Operations!BE97</f>
        <v>35.2587082349667</v>
      </c>
      <c r="BF7" s="13" t="n">
        <f aca="false">Operations!BF84-Tax!BF27-Operations!BF96-Reserves!BF7+Operations!BF79+Operations!BF97</f>
        <v>35.9424559019312</v>
      </c>
      <c r="BG7" s="13" t="n">
        <f aca="false">Operations!BG84-Tax!BG27-Operations!BG96-Reserves!BG7+Operations!BG79+Operations!BG97</f>
        <v>35.4712660294542</v>
      </c>
      <c r="BH7" s="13" t="n">
        <f aca="false">Operations!BH84-Tax!BH27-Operations!BH96-Reserves!BH7+Operations!BH79+Operations!BH97</f>
        <v>36.0914234938272</v>
      </c>
      <c r="BI7" s="13" t="n">
        <f aca="false">Operations!BI84-Tax!BI27-Operations!BI96-Reserves!BI7+Operations!BI79+Operations!BI97</f>
        <v>35.8251872192298</v>
      </c>
      <c r="BJ7" s="13" t="n">
        <f aca="false">Operations!BJ84-Tax!BJ27-Operations!BJ96-Reserves!BJ7+Operations!BJ79+Operations!BJ97</f>
        <v>43.8305275802351</v>
      </c>
      <c r="BK7" s="13" t="n">
        <f aca="false">Operations!BK84-Tax!BK27-Operations!BK96-Reserves!BK7+Operations!BK79+Operations!BK97</f>
        <v>38.5756693490245</v>
      </c>
      <c r="BL7" s="13" t="n">
        <f aca="false">Operations!BL84-Tax!BL27-Operations!BL96-Reserves!BL7+Operations!BL79+Operations!BL97</f>
        <v>39.3018793557663</v>
      </c>
      <c r="BM7" s="13" t="n">
        <f aca="false">Operations!BM84-Tax!BM27-Operations!BM96-Reserves!BM7+Operations!BM79+Operations!BM97</f>
        <v>35.8282755295198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1.7032219444511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1.70322194445222</v>
      </c>
      <c r="P9" s="13" t="n">
        <f aca="false">P7+P8</f>
        <v>50.977361330246</v>
      </c>
      <c r="Q9" s="13" t="n">
        <f aca="false">Q7+Q8</f>
        <v>49.146781503637</v>
      </c>
      <c r="R9" s="13" t="n">
        <f aca="false">R7+R8</f>
        <v>49.7616211880753</v>
      </c>
      <c r="S9" s="13" t="n">
        <f aca="false">S7+S8</f>
        <v>49.3624469584191</v>
      </c>
      <c r="T9" s="13" t="n">
        <f aca="false">T7+T8</f>
        <v>49.9096048739266</v>
      </c>
      <c r="U9" s="13" t="n">
        <f aca="false">U7+U8</f>
        <v>49.6591147796902</v>
      </c>
      <c r="V9" s="13" t="n">
        <f aca="false">V7+V8</f>
        <v>50.6119233096294</v>
      </c>
      <c r="W9" s="13" t="n">
        <f aca="false">W7+W8</f>
        <v>50.2476788598056</v>
      </c>
      <c r="X9" s="13" t="n">
        <f aca="false">X7+X8</f>
        <v>48.7497240997007</v>
      </c>
      <c r="Y9" s="13" t="n">
        <f aca="false">Y7+Y8</f>
        <v>48.2625101750522</v>
      </c>
      <c r="Z9" s="13" t="n">
        <f aca="false">Z7+Z8</f>
        <v>48.6506590615619</v>
      </c>
      <c r="AA9" s="13" t="n">
        <f aca="false">AA7+AA8</f>
        <v>48.2434034237692</v>
      </c>
      <c r="AB9" s="13" t="n">
        <f aca="false">AB7+AB8</f>
        <v>48.8059645328406</v>
      </c>
      <c r="AC9" s="13" t="n">
        <f aca="false">AC7+AC8</f>
        <v>48.5936102735477</v>
      </c>
      <c r="AD9" s="13" t="n">
        <f aca="false">AD7+AD8</f>
        <v>50.4878449463201</v>
      </c>
      <c r="AE9" s="13" t="n">
        <f aca="false">AE7+AE8</f>
        <v>50.5635966791877</v>
      </c>
      <c r="AF9" s="13" t="n">
        <f aca="false">AF7+AF8</f>
        <v>50.7050630837884</v>
      </c>
      <c r="AG9" s="13" t="n">
        <f aca="false">AG7+AG8</f>
        <v>50.3310347177414</v>
      </c>
      <c r="AH9" s="13" t="n">
        <f aca="false">AH7+AH8</f>
        <v>50.9806864126608</v>
      </c>
      <c r="AI9" s="13" t="n">
        <f aca="false">AI7+AI8</f>
        <v>50.5664149388007</v>
      </c>
      <c r="AJ9" s="13" t="n">
        <f aca="false">AJ7+AJ8</f>
        <v>51.1475227412747</v>
      </c>
      <c r="AK9" s="13" t="n">
        <f aca="false">AK7+AK8</f>
        <v>50.901386519151</v>
      </c>
      <c r="AL9" s="13" t="n">
        <f aca="false">AL7+AL8</f>
        <v>51.9940432440624</v>
      </c>
      <c r="AM9" s="13" t="n">
        <f aca="false">AM7+AM8</f>
        <v>51.6099492244837</v>
      </c>
      <c r="AN9" s="13" t="n">
        <f aca="false">AN7+AN8</f>
        <v>49.7527168243686</v>
      </c>
      <c r="AO9" s="13" t="n">
        <f aca="false">AO7+AO8</f>
        <v>43.3793136327231</v>
      </c>
      <c r="AP9" s="13" t="n">
        <f aca="false">AP7+AP8</f>
        <v>41.1521746171139</v>
      </c>
      <c r="AQ9" s="13" t="n">
        <f aca="false">AQ7+AQ8</f>
        <v>40.2334221291795</v>
      </c>
      <c r="AR9" s="13" t="n">
        <f aca="false">AR7+AR8</f>
        <v>40.812133420755</v>
      </c>
      <c r="AS9" s="13" t="n">
        <f aca="false">AS7+AS8</f>
        <v>40.5424703735348</v>
      </c>
      <c r="AT9" s="13" t="n">
        <f aca="false">AT7+AT8</f>
        <v>47.260030852876</v>
      </c>
      <c r="AU9" s="13" t="n">
        <f aca="false">AU7+AU8</f>
        <v>42.8184762079473</v>
      </c>
      <c r="AV9" s="13" t="n">
        <f aca="false">AV7+AV8</f>
        <v>42.9235396543305</v>
      </c>
      <c r="AW9" s="13" t="n">
        <f aca="false">AW7+AW8</f>
        <v>42.4959632438198</v>
      </c>
      <c r="AX9" s="13" t="n">
        <f aca="false">AX7+AX8</f>
        <v>43.1519623391802</v>
      </c>
      <c r="AY9" s="13" t="n">
        <f aca="false">AY7+AY8</f>
        <v>42.691778014356</v>
      </c>
      <c r="AZ9" s="13" t="n">
        <f aca="false">AZ7+AZ8</f>
        <v>43.29041271871</v>
      </c>
      <c r="BA9" s="13" t="n">
        <f aca="false">BA7+BA8</f>
        <v>42.9880608120487</v>
      </c>
      <c r="BB9" s="13" t="n">
        <f aca="false">BB7+BB8</f>
        <v>45.2182915838031</v>
      </c>
      <c r="BC9" s="13" t="n">
        <f aca="false">BC7+BC8</f>
        <v>41.8144308241929</v>
      </c>
      <c r="BD9" s="13" t="n">
        <f aca="false">BD7+BD8</f>
        <v>35.6951675310066</v>
      </c>
      <c r="BE9" s="13" t="n">
        <f aca="false">BE7+BE8</f>
        <v>35.2587082349667</v>
      </c>
      <c r="BF9" s="13" t="n">
        <f aca="false">BF7+BF8</f>
        <v>35.9424559019312</v>
      </c>
      <c r="BG9" s="13" t="n">
        <f aca="false">BG7+BG8</f>
        <v>35.4712660294542</v>
      </c>
      <c r="BH9" s="13" t="n">
        <f aca="false">BH7+BH8</f>
        <v>36.0914234938272</v>
      </c>
      <c r="BI9" s="13" t="n">
        <f aca="false">BI7+BI8</f>
        <v>35.8251872192298</v>
      </c>
      <c r="BJ9" s="13" t="n">
        <f aca="false">BJ7+BJ8</f>
        <v>43.8305275802351</v>
      </c>
      <c r="BK9" s="13" t="n">
        <f aca="false">BK7+BK8</f>
        <v>38.5756693490245</v>
      </c>
      <c r="BL9" s="13" t="n">
        <f aca="false">BL7+BL8</f>
        <v>39.3018793557663</v>
      </c>
      <c r="BM9" s="13" t="n">
        <f aca="false">BM7+BM8</f>
        <v>35.8282755295198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856.951202098203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36.4172054030019</v>
      </c>
      <c r="AC10" s="13" t="n">
        <f aca="false">Debt!AC114+Debt!AC110</f>
        <v>35.5566053990983</v>
      </c>
      <c r="AD10" s="13" t="n">
        <f aca="false">Debt!AD114+Debt!AD110</f>
        <v>36.1947955586994</v>
      </c>
      <c r="AE10" s="13" t="n">
        <f aca="false">Debt!AE114+Debt!AE110</f>
        <v>35.3240352970206</v>
      </c>
      <c r="AF10" s="13" t="n">
        <f aca="false">Debt!AF114+Debt!AF110</f>
        <v>34.3412412793165</v>
      </c>
      <c r="AG10" s="13" t="n">
        <f aca="false">Debt!AG114+Debt!AG110</f>
        <v>32.7613930020711</v>
      </c>
      <c r="AH10" s="13" t="n">
        <f aca="false">Debt!AH114+Debt!AH110</f>
        <v>31.6846738796716</v>
      </c>
      <c r="AI10" s="13" t="n">
        <f aca="false">Debt!AI114+Debt!AI110</f>
        <v>29.5665300514446</v>
      </c>
      <c r="AJ10" s="13" t="n">
        <f aca="false">Debt!AJ114+Debt!AJ110</f>
        <v>27.5645716619754</v>
      </c>
      <c r="AK10" s="13" t="n">
        <f aca="false">Debt!AK114+Debt!AK110</f>
        <v>24.281988622148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1.70322194445222</v>
      </c>
      <c r="P13" s="13" t="n">
        <f aca="false">MAX(0,P9-P10)</f>
        <v>13.7314658931495</v>
      </c>
      <c r="Q13" s="13" t="n">
        <f aca="false">MAX(0,Q9-Q10)</f>
        <v>11.9897650484913</v>
      </c>
      <c r="R13" s="13" t="n">
        <f aca="false">MAX(0,R9-R10)</f>
        <v>12.1368361003973</v>
      </c>
      <c r="S13" s="13" t="n">
        <f aca="false">MAX(0,S9-S10)</f>
        <v>12.0291344658621</v>
      </c>
      <c r="T13" s="13" t="n">
        <f aca="false">MAX(0,T9-T10)</f>
        <v>12.1583870921788</v>
      </c>
      <c r="U13" s="13" t="n">
        <f aca="false">MAX(0,U9-U10)</f>
        <v>12.0884220248374</v>
      </c>
      <c r="V13" s="13" t="n">
        <f aca="false">MAX(0,V9-V10)</f>
        <v>12.3240030744711</v>
      </c>
      <c r="W13" s="13" t="n">
        <f aca="false">MAX(0,W9-W10)</f>
        <v>12.2244514339358</v>
      </c>
      <c r="X13" s="13" t="n">
        <f aca="false">MAX(0,X9-X10)</f>
        <v>11.8229290251113</v>
      </c>
      <c r="Y13" s="13" t="n">
        <f aca="false">MAX(0,Y9-Y10)</f>
        <v>11.692118130507</v>
      </c>
      <c r="Z13" s="13" t="n">
        <f aca="false">MAX(0,Z9-Z10)</f>
        <v>11.7792959530478</v>
      </c>
      <c r="AA13" s="13" t="n">
        <f aca="false">MAX(0,AA9-AA10)</f>
        <v>11.6691160689147</v>
      </c>
      <c r="AB13" s="13" t="n">
        <f aca="false">MAX(0,AB9-AB10)</f>
        <v>12.3887591298387</v>
      </c>
      <c r="AC13" s="13" t="n">
        <f aca="false">MAX(0,AC9-AC10)</f>
        <v>13.0370048744494</v>
      </c>
      <c r="AD13" s="13" t="n">
        <f aca="false">MAX(0,AD9-AD10)</f>
        <v>14.2930493876207</v>
      </c>
      <c r="AE13" s="13" t="n">
        <f aca="false">MAX(0,AE9-AE10)</f>
        <v>15.2395613821671</v>
      </c>
      <c r="AF13" s="13" t="n">
        <f aca="false">MAX(0,AF9-AF10)</f>
        <v>16.363821804472</v>
      </c>
      <c r="AG13" s="13" t="n">
        <f aca="false">MAX(0,AG9-AG10)</f>
        <v>17.5696417156703</v>
      </c>
      <c r="AH13" s="13" t="n">
        <f aca="false">MAX(0,AH9-AH10)</f>
        <v>19.2960125329892</v>
      </c>
      <c r="AI13" s="13" t="n">
        <f aca="false">MAX(0,AI9-AI10)</f>
        <v>20.9998848873562</v>
      </c>
      <c r="AJ13" s="13" t="n">
        <f aca="false">MAX(0,AJ9-AJ10)</f>
        <v>23.5829510792992</v>
      </c>
      <c r="AK13" s="13" t="n">
        <f aca="false">MAX(0,AK9-AK10)</f>
        <v>26.619397897003</v>
      </c>
      <c r="AL13" s="13" t="n">
        <f aca="false">MAX(0,AL9-AL10)</f>
        <v>28.2800034086661</v>
      </c>
      <c r="AM13" s="13" t="n">
        <f aca="false">MAX(0,AM9-AM10)</f>
        <v>28.0406573712056</v>
      </c>
      <c r="AN13" s="13" t="n">
        <f aca="false">MAX(0,AN9-AN10)</f>
        <v>30.6206995695044</v>
      </c>
      <c r="AO13" s="13" t="n">
        <f aca="false">MAX(0,AO9-AO10)</f>
        <v>24.4734058851149</v>
      </c>
      <c r="AP13" s="13" t="n">
        <f aca="false">MAX(0,AP9-AP10)</f>
        <v>41.1521746171139</v>
      </c>
      <c r="AQ13" s="13" t="n">
        <f aca="false">MAX(0,AQ9-AQ10)</f>
        <v>40.2334221291795</v>
      </c>
      <c r="AR13" s="13" t="n">
        <f aca="false">MAX(0,AR9-AR10)</f>
        <v>40.812133420755</v>
      </c>
      <c r="AS13" s="13" t="n">
        <f aca="false">MAX(0,AS9-AS10)</f>
        <v>40.5424703735348</v>
      </c>
      <c r="AT13" s="13" t="n">
        <f aca="false">MAX(0,AT9-AT10)</f>
        <v>47.260030852876</v>
      </c>
      <c r="AU13" s="13" t="n">
        <f aca="false">MAX(0,AU9-AU10)</f>
        <v>42.8184762079473</v>
      </c>
      <c r="AV13" s="13" t="n">
        <f aca="false">MAX(0,AV9-AV10)</f>
        <v>42.9235396543305</v>
      </c>
      <c r="AW13" s="13" t="n">
        <f aca="false">MAX(0,AW9-AW10)</f>
        <v>42.4959632438198</v>
      </c>
      <c r="AX13" s="13" t="n">
        <f aca="false">MAX(0,AX9-AX10)</f>
        <v>43.1519623391802</v>
      </c>
      <c r="AY13" s="13" t="n">
        <f aca="false">MAX(0,AY9-AY10)</f>
        <v>42.691778014356</v>
      </c>
      <c r="AZ13" s="13" t="n">
        <f aca="false">MAX(0,AZ9-AZ10)</f>
        <v>43.29041271871</v>
      </c>
      <c r="BA13" s="13" t="n">
        <f aca="false">MAX(0,BA9-BA10)</f>
        <v>42.9880608120487</v>
      </c>
      <c r="BB13" s="13" t="n">
        <f aca="false">MAX(0,BB9-BB10)</f>
        <v>45.2182915838031</v>
      </c>
      <c r="BC13" s="13" t="n">
        <f aca="false">MAX(0,BC9-BC10)</f>
        <v>41.8144308241929</v>
      </c>
      <c r="BD13" s="13" t="n">
        <f aca="false">MAX(0,BD9-BD10)</f>
        <v>35.6951675310066</v>
      </c>
      <c r="BE13" s="13" t="n">
        <f aca="false">MAX(0,BE9-BE10)</f>
        <v>35.2587082349667</v>
      </c>
      <c r="BF13" s="13" t="n">
        <f aca="false">MAX(0,BF9-BF10)</f>
        <v>35.9424559019312</v>
      </c>
      <c r="BG13" s="13" t="n">
        <f aca="false">MAX(0,BG9-BG10)</f>
        <v>35.4712660294542</v>
      </c>
      <c r="BH13" s="13" t="n">
        <f aca="false">MAX(0,BH9-BH10)</f>
        <v>36.0914234938272</v>
      </c>
      <c r="BI13" s="13" t="n">
        <f aca="false">MAX(0,BI9-BI10)</f>
        <v>35.8251872192298</v>
      </c>
      <c r="BJ13" s="13" t="n">
        <f aca="false">MAX(0,BJ9-BJ10)</f>
        <v>43.8305275802351</v>
      </c>
      <c r="BK13" s="13" t="n">
        <f aca="false">MAX(0,BK9-BK10)</f>
        <v>38.5756693490245</v>
      </c>
      <c r="BL13" s="13" t="n">
        <f aca="false">MAX(0,BL9-BL10)</f>
        <v>39.3018793557663</v>
      </c>
      <c r="BM13" s="13" t="n">
        <f aca="false">MAX(0,BM9-BM10)</f>
        <v>35.8282755295198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1.7032219444511</v>
      </c>
      <c r="P14" s="13" t="n">
        <f aca="false">P13-Reserves!P11+Reserves!P12</f>
        <v>13.8203448751002</v>
      </c>
      <c r="Q14" s="13" t="n">
        <f aca="false">Q13-Reserves!Q11+Reserves!Q12</f>
        <v>11.5219964159591</v>
      </c>
      <c r="R14" s="13" t="n">
        <f aca="false">R13-Reserves!R11+Reserves!R12</f>
        <v>12.4283086955183</v>
      </c>
      <c r="S14" s="13" t="n">
        <f aca="false">S13-Reserves!S11+Reserves!S12</f>
        <v>11.6112291766713</v>
      </c>
      <c r="T14" s="13" t="n">
        <f aca="false">T13-Reserves!T11+Reserves!T12</f>
        <v>12.3389121190739</v>
      </c>
      <c r="U14" s="13" t="n">
        <f aca="false">U13-Reserves!U11+Reserves!U12</f>
        <v>11.3711945445318</v>
      </c>
      <c r="V14" s="13" t="n">
        <f aca="false">V13-Reserves!V11+Reserves!V12</f>
        <v>12.5886958837596</v>
      </c>
      <c r="W14" s="13" t="n">
        <f aca="false">W13-Reserves!W11+Reserves!W12</f>
        <v>13.3208837852162</v>
      </c>
      <c r="X14" s="13" t="n">
        <f aca="false">X13-Reserves!X11+Reserves!X12</f>
        <v>12.1793320551556</v>
      </c>
      <c r="Y14" s="13" t="n">
        <f aca="false">Y13-Reserves!Y11+Reserves!Y12</f>
        <v>11.3911470665381</v>
      </c>
      <c r="Z14" s="13" t="n">
        <f aca="false">Z13-Reserves!Z11+Reserves!Z12</f>
        <v>12.0763717067075</v>
      </c>
      <c r="AA14" s="13" t="n">
        <f aca="false">AA13-Reserves!AA11+Reserves!AA12</f>
        <v>11.238654791793</v>
      </c>
      <c r="AB14" s="13" t="n">
        <f aca="false">AB13-Reserves!AB11+Reserves!AB12</f>
        <v>13.1203232538475</v>
      </c>
      <c r="AC14" s="13" t="n">
        <f aca="false">AC13-Reserves!AC11+Reserves!AC12</f>
        <v>12.3751746871298</v>
      </c>
      <c r="AD14" s="13" t="n">
        <f aca="false">AD13-Reserves!AD11+Reserves!AD12</f>
        <v>14.9512489707566</v>
      </c>
      <c r="AE14" s="13" t="n">
        <f aca="false">AE13-Reserves!AE11+Reserves!AE12</f>
        <v>16.0659481363265</v>
      </c>
      <c r="AF14" s="13" t="n">
        <f aca="false">AF13-Reserves!AF11+Reserves!AF12</f>
        <v>17.7186827500382</v>
      </c>
      <c r="AG14" s="13" t="n">
        <f aca="false">AG13-Reserves!AG11+Reserves!AG12</f>
        <v>18.4322701771756</v>
      </c>
      <c r="AH14" s="13" t="n">
        <f aca="false">AH13-Reserves!AH11+Reserves!AH12</f>
        <v>21.0061783357785</v>
      </c>
      <c r="AI14" s="13" t="n">
        <f aca="false">AI13-Reserves!AI11+Reserves!AI12</f>
        <v>22.5275339531022</v>
      </c>
      <c r="AJ14" s="13" t="n">
        <f aca="false">AJ13-Reserves!AJ11+Reserves!AJ12</f>
        <v>25.9983451718259</v>
      </c>
      <c r="AK14" s="13" t="n">
        <f aca="false">AK13-Reserves!AK11+Reserves!AK12</f>
        <v>29.2227324918413</v>
      </c>
      <c r="AL14" s="13" t="n">
        <f aca="false">AL13-Reserves!AL11+Reserves!AL12</f>
        <v>29.6871069504077</v>
      </c>
      <c r="AM14" s="13" t="n">
        <f aca="false">AM13-Reserves!AM11+Reserves!AM12</f>
        <v>32.4779319696195</v>
      </c>
      <c r="AN14" s="13" t="n">
        <f aca="false">AN13-Reserves!AN11+Reserves!AN12</f>
        <v>30.8468090767604</v>
      </c>
      <c r="AO14" s="13" t="n">
        <f aca="false">AO13-Reserves!AO11+Reserves!AO12</f>
        <v>43.3793136327231</v>
      </c>
      <c r="AP14" s="13" t="n">
        <f aca="false">AP13-Reserves!AP11+Reserves!AP12</f>
        <v>41.1521746171139</v>
      </c>
      <c r="AQ14" s="13" t="n">
        <f aca="false">AQ13-Reserves!AQ11+Reserves!AQ12</f>
        <v>40.2334221291795</v>
      </c>
      <c r="AR14" s="13" t="n">
        <f aca="false">AR13-Reserves!AR11+Reserves!AR12</f>
        <v>40.812133420755</v>
      </c>
      <c r="AS14" s="13" t="n">
        <f aca="false">AS13-Reserves!AS11+Reserves!AS12</f>
        <v>40.5424703735348</v>
      </c>
      <c r="AT14" s="13" t="n">
        <f aca="false">AT13-Reserves!AT11+Reserves!AT12</f>
        <v>47.260030852876</v>
      </c>
      <c r="AU14" s="13" t="n">
        <f aca="false">AU13-Reserves!AU11+Reserves!AU12</f>
        <v>42.8184762079473</v>
      </c>
      <c r="AV14" s="13" t="n">
        <f aca="false">AV13-Reserves!AV11+Reserves!AV12</f>
        <v>42.9235396543305</v>
      </c>
      <c r="AW14" s="13" t="n">
        <f aca="false">AW13-Reserves!AW11+Reserves!AW12</f>
        <v>42.4959632438198</v>
      </c>
      <c r="AX14" s="13" t="n">
        <f aca="false">AX13-Reserves!AX11+Reserves!AX12</f>
        <v>43.1519623391802</v>
      </c>
      <c r="AY14" s="13" t="n">
        <f aca="false">AY13-Reserves!AY11+Reserves!AY12</f>
        <v>42.691778014356</v>
      </c>
      <c r="AZ14" s="13" t="n">
        <f aca="false">AZ13-Reserves!AZ11+Reserves!AZ12</f>
        <v>43.29041271871</v>
      </c>
      <c r="BA14" s="13" t="n">
        <f aca="false">BA13-Reserves!BA11+Reserves!BA12</f>
        <v>42.9880608120487</v>
      </c>
      <c r="BB14" s="13" t="n">
        <f aca="false">BB13-Reserves!BB11+Reserves!BB12</f>
        <v>45.2182915838031</v>
      </c>
      <c r="BC14" s="13" t="n">
        <f aca="false">BC13-Reserves!BC11+Reserves!BC12</f>
        <v>41.8144308241929</v>
      </c>
      <c r="BD14" s="13" t="n">
        <f aca="false">BD13-Reserves!BD11+Reserves!BD12</f>
        <v>35.6951675310066</v>
      </c>
      <c r="BE14" s="13" t="n">
        <f aca="false">BE13-Reserves!BE11+Reserves!BE12</f>
        <v>35.2587082349667</v>
      </c>
      <c r="BF14" s="13" t="n">
        <f aca="false">BF13-Reserves!BF11+Reserves!BF12</f>
        <v>35.9424559019312</v>
      </c>
      <c r="BG14" s="13" t="n">
        <f aca="false">BG13-Reserves!BG11+Reserves!BG12</f>
        <v>35.4712660294542</v>
      </c>
      <c r="BH14" s="13" t="n">
        <f aca="false">BH13-Reserves!BH11+Reserves!BH12</f>
        <v>36.0914234938272</v>
      </c>
      <c r="BI14" s="13" t="n">
        <f aca="false">BI13-Reserves!BI11+Reserves!BI12</f>
        <v>35.8251872192298</v>
      </c>
      <c r="BJ14" s="13" t="n">
        <f aca="false">BJ13-Reserves!BJ11+Reserves!BJ12</f>
        <v>43.8305275802351</v>
      </c>
      <c r="BK14" s="13" t="n">
        <f aca="false">BK13-Reserves!BK11+Reserves!BK12</f>
        <v>38.5756693490245</v>
      </c>
      <c r="BL14" s="13" t="n">
        <f aca="false">BL13-Reserves!BL11+Reserves!BL12</f>
        <v>39.3018793557663</v>
      </c>
      <c r="BM14" s="13" t="n">
        <f aca="false">BM13-Reserves!BM11+Reserves!BM12</f>
        <v>35.8282755295198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1.7032219444511</v>
      </c>
      <c r="P15" s="13" t="n">
        <f aca="false">P14-Reserves!P14+Reserves!P15</f>
        <v>13.8203448751002</v>
      </c>
      <c r="Q15" s="13" t="n">
        <f aca="false">Q14-Reserves!Q14+Reserves!Q15</f>
        <v>11.5219964159591</v>
      </c>
      <c r="R15" s="13" t="n">
        <f aca="false">R14-Reserves!R14+Reserves!R15</f>
        <v>12.4283086955183</v>
      </c>
      <c r="S15" s="13" t="n">
        <f aca="false">S14-Reserves!S14+Reserves!S15</f>
        <v>11.6112291766713</v>
      </c>
      <c r="T15" s="13" t="n">
        <f aca="false">T14-Reserves!T14+Reserves!T15</f>
        <v>12.3389121190739</v>
      </c>
      <c r="U15" s="13" t="n">
        <f aca="false">U14-Reserves!U14+Reserves!U15</f>
        <v>11.3711945445318</v>
      </c>
      <c r="V15" s="13" t="n">
        <f aca="false">V14-Reserves!V14+Reserves!V15</f>
        <v>12.5886958837596</v>
      </c>
      <c r="W15" s="13" t="n">
        <f aca="false">W14-Reserves!W14+Reserves!W15</f>
        <v>13.3208837852162</v>
      </c>
      <c r="X15" s="13" t="n">
        <f aca="false">X14-Reserves!X14+Reserves!X15</f>
        <v>12.1793320551556</v>
      </c>
      <c r="Y15" s="13" t="n">
        <f aca="false">Y14-Reserves!Y14+Reserves!Y15</f>
        <v>11.3911470665381</v>
      </c>
      <c r="Z15" s="13" t="n">
        <f aca="false">Z14-Reserves!Z14+Reserves!Z15</f>
        <v>12.0763717067075</v>
      </c>
      <c r="AA15" s="13" t="n">
        <f aca="false">AA14-Reserves!AA14+Reserves!AA15</f>
        <v>11.238654791793</v>
      </c>
      <c r="AB15" s="13" t="n">
        <f aca="false">AB14-Reserves!AB14+Reserves!AB15</f>
        <v>13.1203232538475</v>
      </c>
      <c r="AC15" s="13" t="n">
        <f aca="false">AC14-Reserves!AC14+Reserves!AC15</f>
        <v>12.3751746871298</v>
      </c>
      <c r="AD15" s="13" t="n">
        <f aca="false">AD14-Reserves!AD14+Reserves!AD15</f>
        <v>14.9512489707566</v>
      </c>
      <c r="AE15" s="13" t="n">
        <f aca="false">AE14-Reserves!AE14+Reserves!AE15</f>
        <v>16.0659481363265</v>
      </c>
      <c r="AF15" s="13" t="n">
        <f aca="false">AF14-Reserves!AF14+Reserves!AF15</f>
        <v>17.7186827500382</v>
      </c>
      <c r="AG15" s="13" t="n">
        <f aca="false">AG14-Reserves!AG14+Reserves!AG15</f>
        <v>18.4322701771756</v>
      </c>
      <c r="AH15" s="13" t="n">
        <f aca="false">AH14-Reserves!AH14+Reserves!AH15</f>
        <v>21.0061783357785</v>
      </c>
      <c r="AI15" s="13" t="n">
        <f aca="false">AI14-Reserves!AI14+Reserves!AI15</f>
        <v>22.5275339531022</v>
      </c>
      <c r="AJ15" s="13" t="n">
        <f aca="false">AJ14-Reserves!AJ14+Reserves!AJ15</f>
        <v>25.9983451718259</v>
      </c>
      <c r="AK15" s="13" t="n">
        <f aca="false">AK14-Reserves!AK14+Reserves!AK15</f>
        <v>29.2227324918413</v>
      </c>
      <c r="AL15" s="13" t="n">
        <f aca="false">AL14-Reserves!AL14+Reserves!AL15</f>
        <v>29.6871069504077</v>
      </c>
      <c r="AM15" s="13" t="n">
        <f aca="false">AM14-Reserves!AM14+Reserves!AM15</f>
        <v>32.4779319696195</v>
      </c>
      <c r="AN15" s="13" t="n">
        <f aca="false">AN14-Reserves!AN14+Reserves!AN15</f>
        <v>30.8468090767604</v>
      </c>
      <c r="AO15" s="13" t="n">
        <f aca="false">AO14-Reserves!AO14+Reserves!AO15</f>
        <v>43.3793136327231</v>
      </c>
      <c r="AP15" s="13" t="n">
        <f aca="false">AP14-Reserves!AP14+Reserves!AP15</f>
        <v>41.1521746171139</v>
      </c>
      <c r="AQ15" s="13" t="n">
        <f aca="false">AQ14-Reserves!AQ14+Reserves!AQ15</f>
        <v>40.2334221291795</v>
      </c>
      <c r="AR15" s="13" t="n">
        <f aca="false">AR14-Reserves!AR14+Reserves!AR15</f>
        <v>40.812133420755</v>
      </c>
      <c r="AS15" s="13" t="n">
        <f aca="false">AS14-Reserves!AS14+Reserves!AS15</f>
        <v>40.5424703735348</v>
      </c>
      <c r="AT15" s="13" t="n">
        <f aca="false">AT14-Reserves!AT14+Reserves!AT15</f>
        <v>47.260030852876</v>
      </c>
      <c r="AU15" s="13" t="n">
        <f aca="false">AU14-Reserves!AU14+Reserves!AU15</f>
        <v>42.8184762079473</v>
      </c>
      <c r="AV15" s="13" t="n">
        <f aca="false">AV14-Reserves!AV14+Reserves!AV15</f>
        <v>42.9235396543305</v>
      </c>
      <c r="AW15" s="13" t="n">
        <f aca="false">AW14-Reserves!AW14+Reserves!AW15</f>
        <v>42.4959632438198</v>
      </c>
      <c r="AX15" s="13" t="n">
        <f aca="false">AX14-Reserves!AX14+Reserves!AX15</f>
        <v>43.1519623391802</v>
      </c>
      <c r="AY15" s="13" t="n">
        <f aca="false">AY14-Reserves!AY14+Reserves!AY15</f>
        <v>42.691778014356</v>
      </c>
      <c r="AZ15" s="13" t="n">
        <f aca="false">AZ14-Reserves!AZ14+Reserves!AZ15</f>
        <v>43.29041271871</v>
      </c>
      <c r="BA15" s="13" t="n">
        <f aca="false">BA14-Reserves!BA14+Reserves!BA15</f>
        <v>42.49309242544</v>
      </c>
      <c r="BB15" s="13" t="n">
        <f aca="false">BB14-Reserves!BB14+Reserves!BB15</f>
        <v>43.7171413291587</v>
      </c>
      <c r="BC15" s="13" t="n">
        <f aca="false">BC14-Reserves!BC14+Reserves!BC15</f>
        <v>40.2968577508507</v>
      </c>
      <c r="BD15" s="13" t="n">
        <f aca="false">BD14-Reserves!BD14+Reserves!BD15</f>
        <v>34.16099197076</v>
      </c>
      <c r="BE15" s="13" t="n">
        <f aca="false">BE14-Reserves!BE14+Reserves!BE15</f>
        <v>33.707748554011</v>
      </c>
      <c r="BF15" s="13" t="n">
        <f aca="false">BF14-Reserves!BF14+Reserves!BF15</f>
        <v>34.3745284793592</v>
      </c>
      <c r="BG15" s="13" t="n">
        <f aca="false">BG14-Reserves!BG14+Reserves!BG15</f>
        <v>33.8861852355174</v>
      </c>
      <c r="BH15" s="13" t="n">
        <f aca="false">BH14-Reserves!BH14+Reserves!BH15</f>
        <v>34.4890016679586</v>
      </c>
      <c r="BI15" s="13" t="n">
        <f aca="false">BI14-Reserves!BI14+Reserves!BI15</f>
        <v>34.2052346478264</v>
      </c>
      <c r="BJ15" s="13" t="n">
        <f aca="false">BJ14-Reserves!BJ14+Reserves!BJ15</f>
        <v>42.1928524741974</v>
      </c>
      <c r="BK15" s="13" t="n">
        <f aca="false">BK14-Reserves!BK14+Reserves!BK15</f>
        <v>36.9200778210503</v>
      </c>
      <c r="BL15" s="13" t="n">
        <f aca="false">BL14-Reserves!BL14+Reserves!BL15</f>
        <v>37.6281753973958</v>
      </c>
      <c r="BM15" s="13" t="n">
        <f aca="false">BM14-Reserves!BM14+Reserves!BM15</f>
        <v>53.7694556914808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1.32294146261063</v>
      </c>
      <c r="Q17" s="6" t="n">
        <f aca="false">IF(Debt!Q114&gt;Inputs!$F$253,Q7/Debt!Q114,0)</f>
        <v>1.3226783577461</v>
      </c>
      <c r="R17" s="6" t="n">
        <f aca="false">IF(Debt!R114&gt;Inputs!$F$253,R7/Debt!R114,0)</f>
        <v>1.32257555949129</v>
      </c>
      <c r="S17" s="6" t="n">
        <f aca="false">IF(Debt!S114&gt;Inputs!$F$253,S7/Debt!S114,0)</f>
        <v>1.32220913877547</v>
      </c>
      <c r="T17" s="6" t="n">
        <f aca="false">IF(Debt!T114&gt;Inputs!$F$253,T7/Debt!T114,0)</f>
        <v>1.32206608969465</v>
      </c>
      <c r="U17" s="6" t="n">
        <f aca="false">IF(Debt!U114&gt;Inputs!$F$253,U7/Debt!U114,0)</f>
        <v>1.32175137423507</v>
      </c>
      <c r="V17" s="6" t="n">
        <f aca="false">IF(Debt!V114&gt;Inputs!$F$253,V7/Debt!V114,0)</f>
        <v>1.3218770567526</v>
      </c>
      <c r="W17" s="6" t="n">
        <f aca="false">IF(Debt!W114&gt;Inputs!$F$253,W7/Debt!W114,0)</f>
        <v>1.32149957437907</v>
      </c>
      <c r="X17" s="6" t="n">
        <f aca="false">IF(Debt!X114&gt;Inputs!$F$253,X7/Debt!X114,0)</f>
        <v>1.32017208645456</v>
      </c>
      <c r="Y17" s="6" t="n">
        <f aca="false">IF(Debt!Y114&gt;Inputs!$F$253,Y7/Debt!Y114,0)</f>
        <v>1.31971541667547</v>
      </c>
      <c r="Z17" s="6" t="n">
        <f aca="false">IF(Debt!Z114&gt;Inputs!$F$253,Z7/Debt!Z114,0)</f>
        <v>1.31947004287259</v>
      </c>
      <c r="AA17" s="6" t="n">
        <f aca="false">IF(Debt!AA114&gt;Inputs!$F$253,AA7/Debt!AA114,0)</f>
        <v>1.31905245222409</v>
      </c>
      <c r="AB17" s="6" t="n">
        <f aca="false">IF(Debt!AB114&gt;Inputs!$F$253,AB7/Debt!AB114,0)</f>
        <v>1.34018972605782</v>
      </c>
      <c r="AC17" s="6" t="n">
        <f aca="false">IF(Debt!AC114&gt;Inputs!$F$253,AC7/Debt!AC114,0)</f>
        <v>1.36665493592873</v>
      </c>
      <c r="AD17" s="6" t="n">
        <f aca="false">IF(Debt!AD114&gt;Inputs!$F$253,AD7/Debt!AD114,0)</f>
        <v>1.39489239176502</v>
      </c>
      <c r="AE17" s="6" t="n">
        <f aca="false">IF(Debt!AE114&gt;Inputs!$F$253,AE7/Debt!AE114,0)</f>
        <v>1.43142187052034</v>
      </c>
      <c r="AF17" s="6" t="n">
        <f aca="false">IF(Debt!AF114&gt;Inputs!$F$253,AF7/Debt!AF114,0)</f>
        <v>1.47650641604291</v>
      </c>
      <c r="AG17" s="6" t="n">
        <f aca="false">IF(Debt!AG114&gt;Inputs!$F$253,AG7/Debt!AG114,0)</f>
        <v>1.53629104582212</v>
      </c>
      <c r="AH17" s="6" t="n">
        <f aca="false">IF(Debt!AH114&gt;Inputs!$F$253,AH7/Debt!AH114,0)</f>
        <v>1.60900145623305</v>
      </c>
      <c r="AI17" s="6" t="n">
        <f aca="false">IF(Debt!AI114&gt;Inputs!$F$253,AI7/Debt!AI114,0)</f>
        <v>1.71025868949847</v>
      </c>
      <c r="AJ17" s="6" t="n">
        <f aca="false">IF(Debt!AJ114&gt;Inputs!$F$253,AJ7/Debt!AJ114,0)</f>
        <v>1.85555296735596</v>
      </c>
      <c r="AK17" s="6" t="n">
        <f aca="false">IF(Debt!AK114&gt;Inputs!$F$253,AK7/Debt!AK114,0)</f>
        <v>2.09626103163244</v>
      </c>
      <c r="AL17" s="6" t="n">
        <f aca="false">IF(Debt!AL114&gt;Inputs!$F$253,AL7/Debt!AL114,0)</f>
        <v>2.19254262896423</v>
      </c>
      <c r="AM17" s="6" t="n">
        <f aca="false">IF(Debt!AM114&gt;Inputs!$F$253,AM7/Debt!AM114,0)</f>
        <v>2.18971149179035</v>
      </c>
      <c r="AN17" s="6" t="n">
        <f aca="false">IF(Debt!AN114&gt;Inputs!$F$253,AN7/Debt!AN114,0)</f>
        <v>2.60049508431837</v>
      </c>
      <c r="AO17" s="6" t="n">
        <f aca="false">IF(Debt!AO114&gt;Inputs!$F$253,AO7/Debt!AO114,0)</f>
        <v>2.29448457126906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1.32294146261063</v>
      </c>
      <c r="Q18" s="6" t="n">
        <f aca="false">IF(Debt!Q114&gt;Inputs!$F$253,IF(Debt!P114&gt;Inputs!$F$253,(Q7+P7)/(Debt!Q114+Debt!P114),Q17),0)</f>
        <v>1.32281006732606</v>
      </c>
      <c r="R18" s="6" t="n">
        <f aca="false">IF(Debt!R114&gt;Inputs!$F$253,IF(Debt!Q114&gt;Inputs!$F$253,(R7+Q7)/(Debt!R114+Debt!Q114),R17),0)</f>
        <v>1.32262663711134</v>
      </c>
      <c r="S18" s="6" t="n">
        <f aca="false">IF(Debt!S114&gt;Inputs!$F$253,IF(Debt!R114&gt;Inputs!$F$253,(S7+R7)/(Debt!S114+Debt!R114),S17),0)</f>
        <v>1.32239306154205</v>
      </c>
      <c r="T18" s="6" t="n">
        <f aca="false">IF(Debt!T114&gt;Inputs!$F$253,IF(Debt!S114&gt;Inputs!$F$253,(T7+S7)/(Debt!T114+Debt!S114),T17),0)</f>
        <v>1.32213721614395</v>
      </c>
      <c r="U18" s="6" t="n">
        <f aca="false">IF(Debt!U114&gt;Inputs!$F$253,IF(Debt!T114&gt;Inputs!$F$253,(U7+T7)/(Debt!U114+Debt!T114),U17),0)</f>
        <v>1.32190910910623</v>
      </c>
      <c r="V18" s="6" t="n">
        <f aca="false">IF(Debt!V114&gt;Inputs!$F$253,IF(Debt!U114&gt;Inputs!$F$253,(V7+U7)/(Debt!V114+Debt!U114),V17),0)</f>
        <v>1.32181480964493</v>
      </c>
      <c r="W18" s="6" t="n">
        <f aca="false">IF(Debt!W114&gt;Inputs!$F$253,IF(Debt!V114&gt;Inputs!$F$253,(W7+V7)/(Debt!W114+Debt!V114),W17),0)</f>
        <v>1.32168897023342</v>
      </c>
      <c r="X18" s="6" t="n">
        <f aca="false">IF(Debt!X114&gt;Inputs!$F$253,IF(Debt!W114&gt;Inputs!$F$253,(X7+W7)/(Debt!X114+Debt!W114),X17),0)</f>
        <v>1.32084554022515</v>
      </c>
      <c r="Y18" s="6" t="n">
        <f aca="false">IF(Debt!Y114&gt;Inputs!$F$253,IF(Debt!X114&gt;Inputs!$F$253,(Y7+X7)/(Debt!Y114+Debt!X114),Y17),0)</f>
        <v>1.31994485880802</v>
      </c>
      <c r="Z18" s="6" t="n">
        <f aca="false">IF(Debt!Z114&gt;Inputs!$F$253,IF(Debt!Y114&gt;Inputs!$F$253,(Z7+Y7)/(Debt!Z114+Debt!Y114),Z17),0)</f>
        <v>1.31959222699183</v>
      </c>
      <c r="AA18" s="6" t="n">
        <f aca="false">IF(Debt!AA114&gt;Inputs!$F$253,IF(Debt!Z114&gt;Inputs!$F$253,(AA7+Z7)/(Debt!AA114+Debt!Z114),AA17),0)</f>
        <v>1.31926209209159</v>
      </c>
      <c r="AB18" s="6" t="n">
        <f aca="false">IF(Debt!AB114&gt;Inputs!$F$253,IF(Debt!AA114&gt;Inputs!$F$253,(AB7+AA7)/(Debt!AB114+Debt!AA114),AB17),0)</f>
        <v>1.32959834481757</v>
      </c>
      <c r="AC18" s="6" t="n">
        <f aca="false">IF(Debt!AC114&gt;Inputs!$F$253,IF(Debt!AB114&gt;Inputs!$F$253,(AC7+AB7)/(Debt!AC114+Debt!AB114),AC17),0)</f>
        <v>1.35326410705415</v>
      </c>
      <c r="AD18" s="6" t="n">
        <f aca="false">IF(Debt!AD114&gt;Inputs!$F$253,IF(Debt!AC114&gt;Inputs!$F$253,(AD7+AC7)/(Debt!AD114+Debt!AC114),AD17),0)</f>
        <v>1.38089924234573</v>
      </c>
      <c r="AE18" s="6" t="n">
        <f aca="false">IF(Debt!AE114&gt;Inputs!$F$253,IF(Debt!AD114&gt;Inputs!$F$253,(AE7+AD7)/(Debt!AE114+Debt!AD114),AE17),0)</f>
        <v>1.41293475321718</v>
      </c>
      <c r="AF18" s="6" t="n">
        <f aca="false">IF(Debt!AF114&gt;Inputs!$F$253,IF(Debt!AE114&gt;Inputs!$F$253,(AF7+AE7)/(Debt!AF114+Debt!AE114),AF17),0)</f>
        <v>1.45364613103931</v>
      </c>
      <c r="AG18" s="6" t="n">
        <f aca="false">IF(Debt!AG114&gt;Inputs!$F$253,IF(Debt!AF114&gt;Inputs!$F$253,(AG7+AF7)/(Debt!AG114+Debt!AF114),AG17),0)</f>
        <v>1.50569495346257</v>
      </c>
      <c r="AH18" s="6" t="n">
        <f aca="false">IF(Debt!AH114&gt;Inputs!$F$253,IF(Debt!AG114&gt;Inputs!$F$253,(AH7+AG7)/(Debt!AH114+Debt!AG114),AH17),0)</f>
        <v>1.57203885407479</v>
      </c>
      <c r="AI18" s="6" t="n">
        <f aca="false">IF(Debt!AI114&gt;Inputs!$F$253,IF(Debt!AH114&gt;Inputs!$F$253,(AI7+AH7)/(Debt!AI114+Debt!AH114),AI17),0)</f>
        <v>1.6578792714942</v>
      </c>
      <c r="AJ18" s="6" t="n">
        <f aca="false">IF(Debt!AJ114&gt;Inputs!$F$253,IF(Debt!AI114&gt;Inputs!$F$253,(AJ7+AI7)/(Debt!AJ114+Debt!AI114),AJ17),0)</f>
        <v>1.78036016512146</v>
      </c>
      <c r="AK18" s="6" t="n">
        <f aca="false">IF(Debt!AK114&gt;Inputs!$F$253,IF(Debt!AJ114&gt;Inputs!$F$253,(AK7+AJ7)/(Debt!AK114+Debt!AJ114),AK17),0)</f>
        <v>1.96828697412498</v>
      </c>
      <c r="AL18" s="6" t="n">
        <f aca="false">IF(Debt!AL114&gt;Inputs!$F$253,IF(Debt!AK114&gt;Inputs!$F$253,(AL7+AK7)/(Debt!AL114+Debt!AK114),AL17),0)</f>
        <v>2.14383216841017</v>
      </c>
      <c r="AM18" s="6" t="n">
        <f aca="false">IF(Debt!AM114&gt;Inputs!$F$253,IF(Debt!AL114&gt;Inputs!$F$253,(AM7+AL7)/(Debt!AM114+Debt!AL114),AM17),0)</f>
        <v>2.191131393843</v>
      </c>
      <c r="AN18" s="6" t="n">
        <f aca="false">IF(Debt!AN114&gt;Inputs!$F$253,IF(Debt!AM114&gt;Inputs!$F$253,(AN7+AM7)/(Debt!AN114+Debt!AM114),AN17),0)</f>
        <v>2.37376015316412</v>
      </c>
      <c r="AO18" s="6" t="n">
        <f aca="false">IF(Debt!AO114&gt;Inputs!$F$253,IF(Debt!AN114&gt;Inputs!$F$253,(AO7+AN7)/(Debt!AO114+Debt!AN114),AO17),0)</f>
        <v>2.44839933963376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90.6510422504004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5.61932739589651</v>
      </c>
      <c r="AB29" s="13" t="n">
        <f aca="false">IF(AND(AB24=1,Time!AB52=1,Inputs!$F$52=1),MIN(Inputs!$F$111*AB15,Debt!AB73),0)</f>
        <v>6.56016162692373</v>
      </c>
      <c r="AC29" s="13" t="n">
        <f aca="false">IF(AND(AC24=1,Time!AC52=1,Inputs!$F$52=1),MIN(Inputs!$F$111*AC15,Debt!AC73),0)</f>
        <v>6.18758734356492</v>
      </c>
      <c r="AD29" s="13" t="n">
        <f aca="false">IF(AND(AD24=1,Time!AD52=1,Inputs!$F$52=1),MIN(Inputs!$F$111*AD15,Debt!AD73),0)</f>
        <v>7.4756244853783</v>
      </c>
      <c r="AE29" s="13" t="n">
        <f aca="false">IF(AND(AE24=1,Time!AE52=1,Inputs!$F$52=1),MIN(Inputs!$F$111*AE15,Debt!AE73),0)</f>
        <v>8.03297406816327</v>
      </c>
      <c r="AF29" s="13" t="n">
        <f aca="false">IF(AND(AF24=1,Time!AF52=1,Inputs!$F$52=1),MIN(Inputs!$F$111*AF15,Debt!AF73),0)</f>
        <v>8.85934137501908</v>
      </c>
      <c r="AG29" s="13" t="n">
        <f aca="false">IF(AND(AG24=1,Time!AG52=1,Inputs!$F$52=1),MIN(Inputs!$F$111*AG15,Debt!AG73),0)</f>
        <v>9.21613508858781</v>
      </c>
      <c r="AH29" s="13" t="n">
        <f aca="false">IF(AND(AH24=1,Time!AH52=1,Inputs!$F$52=1),MIN(Inputs!$F$111*AH15,Debt!AH73),0)</f>
        <v>10.5030891678893</v>
      </c>
      <c r="AI29" s="13" t="n">
        <f aca="false">IF(AND(AI24=1,Time!AI52=1,Inputs!$F$52=1),MIN(Inputs!$F$111*AI15,Debt!AI73),0)</f>
        <v>11.2637669765511</v>
      </c>
      <c r="AJ29" s="13" t="n">
        <f aca="false">IF(AND(AJ24=1,Time!AJ52=1,Inputs!$F$52=1),MIN(Inputs!$F$111*AJ15,Debt!AJ73),0)</f>
        <v>12.999172585913</v>
      </c>
      <c r="AK29" s="13" t="n">
        <f aca="false">IF(AND(AK24=1,Time!AK52=1,Inputs!$F$52=1),MIN(Inputs!$F$111*AK15,Debt!AK73),0)</f>
        <v>3.93386213651348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1.7032219444511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1352.25933543977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13.8203448751002</v>
      </c>
      <c r="Q31" s="13" t="n">
        <f aca="false">IF(Q24=1,Q15-Q29,0)</f>
        <v>11.5219964159591</v>
      </c>
      <c r="R31" s="13" t="n">
        <f aca="false">IF(R24=1,R15-R29,0)</f>
        <v>12.4283086955183</v>
      </c>
      <c r="S31" s="13" t="n">
        <f aca="false">IF(S24=1,S15-S29,0)</f>
        <v>11.6112291766713</v>
      </c>
      <c r="T31" s="13" t="n">
        <f aca="false">IF(T24=1,T15-T29,0)</f>
        <v>12.3389121190739</v>
      </c>
      <c r="U31" s="13" t="n">
        <f aca="false">IF(U24=1,U15-U29,0)</f>
        <v>11.3711945445318</v>
      </c>
      <c r="V31" s="13" t="n">
        <f aca="false">IF(V24=1,V15-V29,0)</f>
        <v>12.5886958837596</v>
      </c>
      <c r="W31" s="13" t="n">
        <f aca="false">IF(W24=1,W15-W29,0)</f>
        <v>13.3208837852162</v>
      </c>
      <c r="X31" s="13" t="n">
        <f aca="false">IF(X24=1,X15-X29,0)</f>
        <v>12.1793320551556</v>
      </c>
      <c r="Y31" s="13" t="n">
        <f aca="false">IF(Y24=1,Y15-Y29,0)</f>
        <v>11.3911470665381</v>
      </c>
      <c r="Z31" s="13" t="n">
        <f aca="false">IF(Z24=1,Z15-Z29,0)</f>
        <v>12.0763717067075</v>
      </c>
      <c r="AA31" s="13" t="n">
        <f aca="false">IF(AA24=1,AA15-AA29,0)</f>
        <v>5.61932739589651</v>
      </c>
      <c r="AB31" s="13" t="n">
        <f aca="false">IF(AB24=1,AB15-AB29,0)</f>
        <v>6.56016162692373</v>
      </c>
      <c r="AC31" s="13" t="n">
        <f aca="false">IF(AC24=1,AC15-AC29,0)</f>
        <v>6.18758734356492</v>
      </c>
      <c r="AD31" s="13" t="n">
        <f aca="false">IF(AD24=1,AD15-AD29,0)</f>
        <v>7.4756244853783</v>
      </c>
      <c r="AE31" s="13" t="n">
        <f aca="false">IF(AE24=1,AE15-AE29,0)</f>
        <v>8.03297406816327</v>
      </c>
      <c r="AF31" s="13" t="n">
        <f aca="false">IF(AF24=1,AF15-AF29,0)</f>
        <v>8.85934137501908</v>
      </c>
      <c r="AG31" s="13" t="n">
        <f aca="false">IF(AG24=1,AG15-AG29,0)</f>
        <v>9.21613508858781</v>
      </c>
      <c r="AH31" s="13" t="n">
        <f aca="false">IF(AH24=1,AH15-AH29,0)</f>
        <v>10.5030891678893</v>
      </c>
      <c r="AI31" s="13" t="n">
        <f aca="false">IF(AI24=1,AI15-AI29,0)</f>
        <v>11.2637669765511</v>
      </c>
      <c r="AJ31" s="13" t="n">
        <f aca="false">IF(AJ24=1,AJ15-AJ29,0)</f>
        <v>12.999172585913</v>
      </c>
      <c r="AK31" s="13" t="n">
        <f aca="false">IF(AK24=1,AK15-AK29,0)</f>
        <v>25.2888703553279</v>
      </c>
      <c r="AL31" s="13" t="n">
        <f aca="false">IF(AL24=1,AL15-AL29,0)</f>
        <v>29.6871069504077</v>
      </c>
      <c r="AM31" s="13" t="n">
        <f aca="false">IF(AM24=1,AM15-AM29,0)</f>
        <v>32.4779319696195</v>
      </c>
      <c r="AN31" s="13" t="n">
        <f aca="false">IF(AN24=1,AN15-AN29,0)</f>
        <v>30.8468090767604</v>
      </c>
      <c r="AO31" s="13" t="n">
        <f aca="false">IF(AO24=1,AO15-AO29,0)</f>
        <v>43.3793136327231</v>
      </c>
      <c r="AP31" s="13" t="n">
        <f aca="false">IF(AP24=1,AP15-AP29,0)</f>
        <v>41.1521746171139</v>
      </c>
      <c r="AQ31" s="13" t="n">
        <f aca="false">IF(AQ24=1,AQ15-AQ29,0)</f>
        <v>40.2334221291795</v>
      </c>
      <c r="AR31" s="13" t="n">
        <f aca="false">IF(AR24=1,AR15-AR29,0)</f>
        <v>40.812133420755</v>
      </c>
      <c r="AS31" s="13" t="n">
        <f aca="false">IF(AS24=1,AS15-AS29,0)</f>
        <v>40.5424703735348</v>
      </c>
      <c r="AT31" s="13" t="n">
        <f aca="false">IF(AT24=1,AT15-AT29,0)</f>
        <v>47.260030852876</v>
      </c>
      <c r="AU31" s="13" t="n">
        <f aca="false">IF(AU24=1,AU15-AU29,0)</f>
        <v>42.8184762079473</v>
      </c>
      <c r="AV31" s="13" t="n">
        <f aca="false">IF(AV24=1,AV15-AV29,0)</f>
        <v>42.9235396543305</v>
      </c>
      <c r="AW31" s="13" t="n">
        <f aca="false">IF(AW24=1,AW15-AW29,0)</f>
        <v>42.4959632438198</v>
      </c>
      <c r="AX31" s="13" t="n">
        <f aca="false">IF(AX24=1,AX15-AX29,0)</f>
        <v>43.1519623391802</v>
      </c>
      <c r="AY31" s="13" t="n">
        <f aca="false">IF(AY24=1,AY15-AY29,0)</f>
        <v>42.691778014356</v>
      </c>
      <c r="AZ31" s="13" t="n">
        <f aca="false">IF(AZ24=1,AZ15-AZ29,0)</f>
        <v>43.29041271871</v>
      </c>
      <c r="BA31" s="13" t="n">
        <f aca="false">IF(BA24=1,BA15-BA29,0)</f>
        <v>42.49309242544</v>
      </c>
      <c r="BB31" s="13" t="n">
        <f aca="false">IF(BB24=1,BB15-BB29,0)</f>
        <v>43.7171413291587</v>
      </c>
      <c r="BC31" s="13" t="n">
        <f aca="false">IF(BC24=1,BC15-BC29,0)</f>
        <v>40.2968577508507</v>
      </c>
      <c r="BD31" s="13" t="n">
        <f aca="false">IF(BD24=1,BD15-BD29,0)</f>
        <v>34.16099197076</v>
      </c>
      <c r="BE31" s="13" t="n">
        <f aca="false">IF(BE24=1,BE15-BE29,0)</f>
        <v>33.707748554011</v>
      </c>
      <c r="BF31" s="13" t="n">
        <f aca="false">IF(BF24=1,BF15-BF29,0)</f>
        <v>34.3745284793592</v>
      </c>
      <c r="BG31" s="13" t="n">
        <f aca="false">IF(BG24=1,BG15-BG29,0)</f>
        <v>33.8861852355174</v>
      </c>
      <c r="BH31" s="13" t="n">
        <f aca="false">IF(BH24=1,BH15-BH29,0)</f>
        <v>34.4890016679586</v>
      </c>
      <c r="BI31" s="13" t="n">
        <f aca="false">IF(BI24=1,BI15-BI29,0)</f>
        <v>34.2052346478264</v>
      </c>
      <c r="BJ31" s="13" t="n">
        <f aca="false">IF(BJ24=1,BJ15-BJ29,0)</f>
        <v>42.1928524741974</v>
      </c>
      <c r="BK31" s="13" t="n">
        <f aca="false">IF(BK24=1,BK15-BK29,0)</f>
        <v>36.9200778210503</v>
      </c>
      <c r="BL31" s="13" t="n">
        <f aca="false">IF(BL24=1,BL15-BL29,0)</f>
        <v>37.6281753973958</v>
      </c>
      <c r="BM31" s="13" t="n">
        <f aca="false">IF(BM24=1,BM15-BM29,0)</f>
        <v>53.7694556914808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200.851964405689</v>
      </c>
      <c r="R33" s="13" t="n">
        <f aca="false">IF(Time!R20&lt;Time!$F$12,0,IF(Time!R34=1,INDEX(Funding!$J$72:$BJ$72,1,Time!$F$14),Q36))</f>
        <v>198.792021490979</v>
      </c>
      <c r="S33" s="13" t="n">
        <f aca="false">IF(Time!S20&lt;Time!$F$12,0,IF(Time!S34=1,INDEX(Funding!$J$72:$BJ$72,1,Time!$F$14),R36))</f>
        <v>195.883944400014</v>
      </c>
      <c r="T33" s="13" t="n">
        <f aca="false">IF(Time!T20&lt;Time!$F$12,0,IF(Time!T34=1,INDEX(Funding!$J$72:$BJ$72,1,Time!$F$14),S36))</f>
        <v>193.500727343777</v>
      </c>
      <c r="U33" s="13" t="n">
        <f aca="false">IF(Time!U20&lt;Time!$F$12,0,IF(Time!U34=1,INDEX(Funding!$J$72:$BJ$72,1,Time!$F$14),T36))</f>
        <v>190.428644578043</v>
      </c>
      <c r="V33" s="13" t="n">
        <f aca="false">IF(Time!V20&lt;Time!$F$12,0,IF(Time!V34=1,INDEX(Funding!$J$72:$BJ$72,1,Time!$F$14),U36))</f>
        <v>188.078028841058</v>
      </c>
      <c r="W33" s="13" t="n">
        <f aca="false">IF(Time!W20&lt;Time!$F$12,0,IF(Time!W34=1,INDEX(Funding!$J$72:$BJ$72,1,Time!$F$14),V36))</f>
        <v>184.496467050837</v>
      </c>
      <c r="X33" s="13" t="n">
        <f aca="false">IF(Time!X20&lt;Time!$F$12,0,IF(Time!X34=1,INDEX(Funding!$J$72:$BJ$72,1,Time!$F$14),W36))</f>
        <v>179.86713600792</v>
      </c>
      <c r="Y33" s="13" t="n">
        <f aca="false">IF(Time!Y20&lt;Time!$F$12,0,IF(Time!Y34=1,INDEX(Funding!$J$72:$BJ$72,1,Time!$F$14),X36))</f>
        <v>176.301715014184</v>
      </c>
      <c r="Z33" s="13" t="n">
        <f aca="false">IF(Time!Z20&lt;Time!$F$12,0,IF(Time!Z34=1,INDEX(Funding!$J$72:$BJ$72,1,Time!$F$14),Y36))</f>
        <v>173.216069289205</v>
      </c>
      <c r="AA33" s="13" t="n">
        <f aca="false">IF(Time!AA20&lt;Time!$F$12,0,IF(Time!AA34=1,INDEX(Funding!$J$72:$BJ$72,1,Time!$F$14),Z36))</f>
        <v>169.435086325444</v>
      </c>
      <c r="AB33" s="13" t="n">
        <f aca="false">IF(Time!AB20&lt;Time!$F$12,0,IF(Time!AB34=1,INDEX(Funding!$J$72:$BJ$72,1,Time!$F$14),AA36))</f>
        <v>171.797776215481</v>
      </c>
      <c r="AC33" s="13" t="n">
        <f aca="false">IF(Time!AC20&lt;Time!$F$12,0,IF(Time!AC34=1,INDEX(Funding!$J$72:$BJ$72,1,Time!$F$14),AB36))</f>
        <v>173.465080693343</v>
      </c>
      <c r="AD33" s="13" t="n">
        <f aca="false">IF(Time!AD20&lt;Time!$F$12,0,IF(Time!AD34=1,INDEX(Funding!$J$72:$BJ$72,1,Time!$F$14),AC36))</f>
        <v>175.494510459882</v>
      </c>
      <c r="AE33" s="13" t="n">
        <f aca="false">IF(Time!AE20&lt;Time!$F$12,0,IF(Time!AE34=1,INDEX(Funding!$J$72:$BJ$72,1,Time!$F$14),AD36))</f>
        <v>176.423390201459</v>
      </c>
      <c r="AF33" s="13" t="n">
        <f aca="false">IF(Time!AF20&lt;Time!$F$12,0,IF(Time!AF34=1,INDEX(Funding!$J$72:$BJ$72,1,Time!$F$14),AE36))</f>
        <v>176.701649542923</v>
      </c>
      <c r="AG33" s="13" t="n">
        <f aca="false">IF(Time!AG20&lt;Time!$F$12,0,IF(Time!AG34=1,INDEX(Funding!$J$72:$BJ$72,1,Time!$F$14),AF36))</f>
        <v>176.304622781631</v>
      </c>
      <c r="AH33" s="13" t="n">
        <f aca="false">IF(Time!AH20&lt;Time!$F$12,0,IF(Time!AH34=1,INDEX(Funding!$J$72:$BJ$72,1,Time!$F$14),AG36))</f>
        <v>175.394126018331</v>
      </c>
      <c r="AI33" s="13" t="n">
        <f aca="false">IF(Time!AI20&lt;Time!$F$12,0,IF(Time!AI34=1,INDEX(Funding!$J$72:$BJ$72,1,Time!$F$14),AH36))</f>
        <v>173.290733625238</v>
      </c>
      <c r="AJ33" s="13" t="n">
        <f aca="false">IF(Time!AJ20&lt;Time!$F$12,0,IF(Time!AJ34=1,INDEX(Funding!$J$72:$BJ$72,1,Time!$F$14),AI36))</f>
        <v>170.190621894402</v>
      </c>
      <c r="AK33" s="13" t="n">
        <f aca="false">IF(Time!AK20&lt;Time!$F$12,0,IF(Time!AK34=1,INDEX(Funding!$J$72:$BJ$72,1,Time!$F$14),AJ36))</f>
        <v>165.341948132363</v>
      </c>
      <c r="AL33" s="13" t="n">
        <f aca="false">IF(Time!AL20&lt;Time!$F$12,0,IF(Time!AL34=1,INDEX(Funding!$J$72:$BJ$72,1,Time!$F$14),AK36))</f>
        <v>147.885303210483</v>
      </c>
      <c r="AM33" s="13" t="n">
        <f aca="false">IF(Time!AM20&lt;Time!$F$12,0,IF(Time!AM34=1,INDEX(Funding!$J$72:$BJ$72,1,Time!$F$14),AL36))</f>
        <v>125.280484205608</v>
      </c>
      <c r="AN33" s="13" t="n">
        <f aca="false">IF(Time!AN20&lt;Time!$F$12,0,IF(Time!AN34=1,INDEX(Funding!$J$72:$BJ$72,1,Time!$F$14),AM36))</f>
        <v>98.7044643617838</v>
      </c>
      <c r="AO33" s="13" t="n">
        <f aca="false">IF(Time!AO20&lt;Time!$F$12,0,IF(Time!AO34=1,INDEX(Funding!$J$72:$BJ$72,1,Time!$F$14),AN36))</f>
        <v>72.5846526467877</v>
      </c>
      <c r="AP33" s="13" t="n">
        <f aca="false">IF(Time!AP20&lt;Time!$F$12,0,IF(Time!AP34=1,INDEX(Funding!$J$72:$BJ$72,1,Time!$F$14),AO36))</f>
        <v>32.6247721709455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205.104839055864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9.46205350124882</v>
      </c>
      <c r="R34" s="13" t="n">
        <f aca="false">R24*MIN(R31,Tax!R13)</f>
        <v>9.52023160455426</v>
      </c>
      <c r="S34" s="13" t="n">
        <f aca="false">S24*MIN(S31,Tax!S13)</f>
        <v>9.22801212043356</v>
      </c>
      <c r="T34" s="13" t="n">
        <f aca="false">T24*MIN(T31,Tax!T13)</f>
        <v>9.26682935334032</v>
      </c>
      <c r="U34" s="13" t="n">
        <f aca="false">U24*MIN(U31,Tax!U13)</f>
        <v>9.02057880754621</v>
      </c>
      <c r="V34" s="13" t="n">
        <f aca="false">V24*MIN(V31,Tax!V13)</f>
        <v>9.00713409353886</v>
      </c>
      <c r="W34" s="13" t="n">
        <f aca="false">W24*MIN(W31,Tax!W13)</f>
        <v>8.69155274229901</v>
      </c>
      <c r="X34" s="13" t="n">
        <f aca="false">X24*MIN(X31,Tax!X13)</f>
        <v>8.61391106142037</v>
      </c>
      <c r="Y34" s="13" t="n">
        <f aca="false">Y24*MIN(Y31,Tax!Y13)</f>
        <v>8.30550134155863</v>
      </c>
      <c r="Z34" s="13" t="n">
        <f aca="false">Z24*MIN(Z31,Tax!Z13)</f>
        <v>8.29538874294604</v>
      </c>
      <c r="AA34" s="13" t="n">
        <f aca="false">AA24*MIN(AA31,Tax!AA13)</f>
        <v>5.61932739589651</v>
      </c>
      <c r="AB34" s="13" t="n">
        <f aca="false">AB24*MIN(AB31,Tax!AB13)</f>
        <v>6.56016162692373</v>
      </c>
      <c r="AC34" s="13" t="n">
        <f aca="false">AC24*MIN(AC31,Tax!AC13)</f>
        <v>6.18758734356492</v>
      </c>
      <c r="AD34" s="13" t="n">
        <f aca="false">AD24*MIN(AD31,Tax!AD13)</f>
        <v>7.4756244853783</v>
      </c>
      <c r="AE34" s="13" t="n">
        <f aca="false">AE24*MIN(AE31,Tax!AE13)</f>
        <v>8.03297406816327</v>
      </c>
      <c r="AF34" s="13" t="n">
        <f aca="false">AF24*MIN(AF31,Tax!AF13)</f>
        <v>8.46231461372684</v>
      </c>
      <c r="AG34" s="13" t="n">
        <f aca="false">AG24*MIN(AG31,Tax!AG13)</f>
        <v>8.30563832528807</v>
      </c>
      <c r="AH34" s="13" t="n">
        <f aca="false">AH24*MIN(AH31,Tax!AH13)</f>
        <v>8.3996967747957</v>
      </c>
      <c r="AI34" s="13" t="n">
        <f aca="false">AI24*MIN(AI31,Tax!AI13)</f>
        <v>8.16365524571496</v>
      </c>
      <c r="AJ34" s="13" t="n">
        <f aca="false">AJ24*MIN(AJ31,Tax!AJ13)</f>
        <v>8.15049882387435</v>
      </c>
      <c r="AK34" s="13" t="n">
        <f aca="false">AK24*MIN(AK31,Tax!AK13)</f>
        <v>7.83222543344809</v>
      </c>
      <c r="AL34" s="13" t="n">
        <f aca="false">AL24*MIN(AL31,Tax!AL13)</f>
        <v>7.08228794553218</v>
      </c>
      <c r="AM34" s="13" t="n">
        <f aca="false">AM24*MIN(AM31,Tax!AM13)</f>
        <v>5.90191212579568</v>
      </c>
      <c r="AN34" s="13" t="n">
        <f aca="false">AN24*MIN(AN31,Tax!AN13)</f>
        <v>4.72699736176433</v>
      </c>
      <c r="AO34" s="13" t="n">
        <f aca="false">AO24*MIN(AO31,Tax!AO13)</f>
        <v>3.41943315688086</v>
      </c>
      <c r="AP34" s="13" t="n">
        <f aca="false">AP24*MIN(AP31,Tax!AP13)</f>
        <v>1.5624137467072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212.127975284746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4.00944766157745</v>
      </c>
      <c r="Q35" s="13" t="n">
        <f aca="false">Q24*MIN(Q31-Q34,Q33+Tax!Q13-Q34)</f>
        <v>2.05994291471024</v>
      </c>
      <c r="R35" s="13" t="n">
        <f aca="false">R24*MIN(R31-R34,R33+Tax!R13-R34)</f>
        <v>2.90807709096406</v>
      </c>
      <c r="S35" s="13" t="n">
        <f aca="false">S24*MIN(S31-S34,S33+Tax!S13-S34)</f>
        <v>2.38321705623774</v>
      </c>
      <c r="T35" s="13" t="n">
        <f aca="false">T24*MIN(T31-T34,T33+Tax!T13-T34)</f>
        <v>3.07208276573355</v>
      </c>
      <c r="U35" s="13" t="n">
        <f aca="false">U24*MIN(U31-U34,U33+Tax!U13-U34)</f>
        <v>2.3506157369856</v>
      </c>
      <c r="V35" s="13" t="n">
        <f aca="false">V24*MIN(V31-V34,V33+Tax!V13-V34)</f>
        <v>3.58156179022075</v>
      </c>
      <c r="W35" s="13" t="n">
        <f aca="false">W24*MIN(W31-W34,W33+Tax!W13-W34)</f>
        <v>4.62933104291722</v>
      </c>
      <c r="X35" s="13" t="n">
        <f aca="false">X24*MIN(X31-X34,X33+Tax!X13-X34)</f>
        <v>3.56542099373519</v>
      </c>
      <c r="Y35" s="13" t="n">
        <f aca="false">Y24*MIN(Y31-Y34,Y33+Tax!Y13-Y34)</f>
        <v>3.08564572497944</v>
      </c>
      <c r="Z35" s="13" t="n">
        <f aca="false">Z24*MIN(Z31-Z34,Z33+Tax!Z13-Z34)</f>
        <v>3.78098296376145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0.397026761292235</v>
      </c>
      <c r="AG35" s="13" t="n">
        <f aca="false">AG24*MIN(AG31-AG34,AG33+Tax!AG13-AG34)</f>
        <v>0.91049676329974</v>
      </c>
      <c r="AH35" s="13" t="n">
        <f aca="false">AH24*MIN(AH31-AH34,AH33+Tax!AH13-AH34)</f>
        <v>2.10339239309357</v>
      </c>
      <c r="AI35" s="13" t="n">
        <f aca="false">AI24*MIN(AI31-AI34,AI33+Tax!AI13-AI34)</f>
        <v>3.10011173083613</v>
      </c>
      <c r="AJ35" s="13" t="n">
        <f aca="false">AJ24*MIN(AJ31-AJ34,AJ33+Tax!AJ13-AJ34)</f>
        <v>4.84867376203862</v>
      </c>
      <c r="AK35" s="13" t="n">
        <f aca="false">AK24*MIN(AK31-AK34,AK33+Tax!AK13-AK34)</f>
        <v>17.4566449218798</v>
      </c>
      <c r="AL35" s="13" t="n">
        <f aca="false">AL24*MIN(AL31-AL34,AL33+Tax!AL13-AL34)</f>
        <v>22.6048190048756</v>
      </c>
      <c r="AM35" s="13" t="n">
        <f aca="false">AM24*MIN(AM31-AM34,AM33+Tax!AM13-AM34)</f>
        <v>26.5760198438238</v>
      </c>
      <c r="AN35" s="13" t="n">
        <f aca="false">AN24*MIN(AN31-AN34,AN33+Tax!AN13-AN34)</f>
        <v>26.1198117149961</v>
      </c>
      <c r="AO35" s="13" t="n">
        <f aca="false">AO24*MIN(AO31-AO34,AO33+Tax!AO13-AO34)</f>
        <v>39.9598804758422</v>
      </c>
      <c r="AP35" s="13" t="n">
        <f aca="false">AP24*MIN(AP31-AP34,AP33+Tax!AP13-AP34)</f>
        <v>32.6247721709455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200.851964405689</v>
      </c>
      <c r="Q36" s="13" t="n">
        <f aca="false">Q33+Tax!Q13-Q34-Q35</f>
        <v>198.792021490979</v>
      </c>
      <c r="R36" s="13" t="n">
        <f aca="false">R33+Tax!R13-R34-R35</f>
        <v>195.883944400014</v>
      </c>
      <c r="S36" s="13" t="n">
        <f aca="false">S33+Tax!S13-S34-S35</f>
        <v>193.500727343777</v>
      </c>
      <c r="T36" s="13" t="n">
        <f aca="false">T33+Tax!T13-T34-T35</f>
        <v>190.428644578043</v>
      </c>
      <c r="U36" s="13" t="n">
        <f aca="false">U33+Tax!U13-U34-U35</f>
        <v>188.078028841058</v>
      </c>
      <c r="V36" s="13" t="n">
        <f aca="false">V33+Tax!V13-V34-V35</f>
        <v>184.496467050837</v>
      </c>
      <c r="W36" s="13" t="n">
        <f aca="false">W33+Tax!W13-W34-W35</f>
        <v>179.86713600792</v>
      </c>
      <c r="X36" s="13" t="n">
        <f aca="false">X33+Tax!X13-X34-X35</f>
        <v>176.301715014184</v>
      </c>
      <c r="Y36" s="13" t="n">
        <f aca="false">Y33+Tax!Y13-Y34-Y35</f>
        <v>173.216069289205</v>
      </c>
      <c r="Z36" s="13" t="n">
        <f aca="false">Z33+Tax!Z13-Z34-Z35</f>
        <v>169.435086325444</v>
      </c>
      <c r="AA36" s="13" t="n">
        <f aca="false">AA33+Tax!AA13-AA34-AA35</f>
        <v>171.797776215481</v>
      </c>
      <c r="AB36" s="13" t="n">
        <f aca="false">AB33+Tax!AB13-AB34-AB35</f>
        <v>173.465080693343</v>
      </c>
      <c r="AC36" s="13" t="n">
        <f aca="false">AC33+Tax!AC13-AC34-AC35</f>
        <v>175.494510459882</v>
      </c>
      <c r="AD36" s="13" t="n">
        <f aca="false">AD33+Tax!AD13-AD34-AD35</f>
        <v>176.423390201459</v>
      </c>
      <c r="AE36" s="13" t="n">
        <f aca="false">AE33+Tax!AE13-AE34-AE35</f>
        <v>176.701649542923</v>
      </c>
      <c r="AF36" s="13" t="n">
        <f aca="false">AF33+Tax!AF13-AF34-AF35</f>
        <v>176.304622781631</v>
      </c>
      <c r="AG36" s="13" t="n">
        <f aca="false">AG33+Tax!AG13-AG34-AG35</f>
        <v>175.394126018331</v>
      </c>
      <c r="AH36" s="13" t="n">
        <f aca="false">AH33+Tax!AH13-AH34-AH35</f>
        <v>173.290733625238</v>
      </c>
      <c r="AI36" s="13" t="n">
        <f aca="false">AI33+Tax!AI13-AI34-AI35</f>
        <v>170.190621894402</v>
      </c>
      <c r="AJ36" s="13" t="n">
        <f aca="false">AJ33+Tax!AJ13-AJ34-AJ35</f>
        <v>165.341948132363</v>
      </c>
      <c r="AK36" s="13" t="n">
        <f aca="false">AK33+Tax!AK13-AK34-AK35</f>
        <v>147.885303210483</v>
      </c>
      <c r="AL36" s="13" t="n">
        <f aca="false">AL33+Tax!AL13-AL34-AL35</f>
        <v>125.280484205608</v>
      </c>
      <c r="AM36" s="13" t="n">
        <f aca="false">AM33+Tax!AM13-AM34-AM35</f>
        <v>98.7044643617838</v>
      </c>
      <c r="AN36" s="13" t="n">
        <f aca="false">AN33+Tax!AN13-AN34-AN35</f>
        <v>72.5846526467877</v>
      </c>
      <c r="AO36" s="13" t="n">
        <f aca="false">AO33+Tax!AO13-AO34-AO35</f>
        <v>32.6247721709455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9.44609069121115</v>
      </c>
      <c r="P37" s="13" t="n">
        <f aca="false">MAX(0,O43+Financials!P14)</f>
        <v>15.8193268888995</v>
      </c>
      <c r="Q37" s="13" t="n">
        <f aca="false">MAX(0,P43+Financials!Q14)</f>
        <v>23.4815393727732</v>
      </c>
      <c r="R37" s="13" t="n">
        <f aca="false">MAX(0,Q43+Financials!R14)</f>
        <v>31.5489984240967</v>
      </c>
      <c r="S37" s="13" t="n">
        <f aca="false">MAX(0,R43+Financials!S14)</f>
        <v>40.7821747223983</v>
      </c>
      <c r="T37" s="13" t="n">
        <f aca="false">MAX(0,S43+Financials!T14)</f>
        <v>50.4267894888981</v>
      </c>
      <c r="U37" s="13" t="n">
        <f aca="false">MAX(0,T43+Financials!U14)</f>
        <v>61.2330380942989</v>
      </c>
      <c r="V37" s="13" t="n">
        <f aca="false">MAX(0,U43+Financials!V14)</f>
        <v>70.2760850883358</v>
      </c>
      <c r="W37" s="13" t="n">
        <f aca="false">MAX(0,V43+Financials!W14)</f>
        <v>83.057131539936</v>
      </c>
      <c r="X37" s="13" t="n">
        <f aca="false">MAX(0,W43+Financials!X14)</f>
        <v>96.4268993850452</v>
      </c>
      <c r="Y37" s="13" t="n">
        <f aca="false">MAX(0,X43+Financials!Y14)</f>
        <v>107.883819529588</v>
      </c>
      <c r="Z37" s="13" t="n">
        <f aca="false">MAX(0,Y43+Financials!Z14)</f>
        <v>114.401768612728</v>
      </c>
      <c r="AA37" s="13" t="n">
        <f aca="false">MAX(0,Z43+Financials!AA14)</f>
        <v>121.834801996589</v>
      </c>
      <c r="AB37" s="13" t="n">
        <f aca="false">MAX(0,AA43+Financials!AB14)</f>
        <v>129.755997213789</v>
      </c>
      <c r="AC37" s="13" t="n">
        <f aca="false">MAX(0,AB43+Financials!AC14)</f>
        <v>138.665307809458</v>
      </c>
      <c r="AD37" s="13" t="n">
        <f aca="false">MAX(0,AC43+Financials!AD14)</f>
        <v>138.876691228756</v>
      </c>
      <c r="AE37" s="13" t="n">
        <f aca="false">MAX(0,AD43+Financials!AE14)</f>
        <v>150.097999929883</v>
      </c>
      <c r="AF37" s="13" t="n">
        <f aca="false">MAX(0,AE43+Financials!AF14)</f>
        <v>161.408826423486</v>
      </c>
      <c r="AG37" s="13" t="n">
        <f aca="false">MAX(0,AF43+Financials!AG14)</f>
        <v>173.730486866378</v>
      </c>
      <c r="AH37" s="13" t="n">
        <f aca="false">MAX(0,AG43+Financials!AH14)</f>
        <v>186.951226532769</v>
      </c>
      <c r="AI37" s="13" t="n">
        <f aca="false">MAX(0,AH43+Financials!AI14)</f>
        <v>201.395295086226</v>
      </c>
      <c r="AJ37" s="13" t="n">
        <f aca="false">MAX(0,AI43+Financials!AJ14)</f>
        <v>216.816381836892</v>
      </c>
      <c r="AK37" s="13" t="n">
        <f aca="false">MAX(0,AJ43+Financials!AK14)</f>
        <v>233.567912178906</v>
      </c>
      <c r="AL37" s="13" t="n">
        <f aca="false">MAX(0,AK43+Financials!AL14)</f>
        <v>249.496914580825</v>
      </c>
      <c r="AM37" s="13" t="n">
        <f aca="false">MAX(0,AL43+Financials!AM14)</f>
        <v>268.780207951914</v>
      </c>
      <c r="AN37" s="13" t="n">
        <f aca="false">MAX(0,AM43+Financials!AN14)</f>
        <v>289.281389702029</v>
      </c>
      <c r="AO37" s="13" t="n">
        <f aca="false">MAX(0,AN43+Financials!AO14)</f>
        <v>311.521588869675</v>
      </c>
      <c r="AP37" s="13" t="n">
        <f aca="false">MAX(0,AO43+Financials!AP14)</f>
        <v>335.522789599167</v>
      </c>
      <c r="AQ37" s="13" t="n">
        <f aca="false">MAX(0,AP43+Financials!AQ14)</f>
        <v>353.723228986733</v>
      </c>
      <c r="AR37" s="13" t="n">
        <f aca="false">MAX(0,AQ43+Financials!AR14)</f>
        <v>338.712894514208</v>
      </c>
      <c r="AS37" s="13" t="n">
        <f aca="false">MAX(0,AR43+Financials!AS14)</f>
        <v>323.293124129206</v>
      </c>
      <c r="AT37" s="13" t="n">
        <f aca="false">MAX(0,AS43+Financials!AT14)</f>
        <v>297.82390791768</v>
      </c>
      <c r="AU37" s="13" t="n">
        <f aca="false">MAX(0,AT43+Financials!AU14)</f>
        <v>276.219736216575</v>
      </c>
      <c r="AV37" s="13" t="n">
        <f aca="false">MAX(0,AU43+Financials!AV14)</f>
        <v>258.975844808311</v>
      </c>
      <c r="AW37" s="13" t="n">
        <f aca="false">MAX(0,AV43+Financials!AW14)</f>
        <v>241.731401294966</v>
      </c>
      <c r="AX37" s="13" t="n">
        <f aca="false">MAX(0,AW43+Financials!AX14)</f>
        <v>225.038192028793</v>
      </c>
      <c r="AY37" s="13" t="n">
        <f aca="false">MAX(0,AX43+Financials!AY14)</f>
        <v>207.76428912036</v>
      </c>
      <c r="AZ37" s="13" t="n">
        <f aca="false">MAX(0,AY43+Financials!AZ14)</f>
        <v>191.012666331037</v>
      </c>
      <c r="BA37" s="13" t="n">
        <f aca="false">MAX(0,AZ43+Financials!BA14)</f>
        <v>173.812846729076</v>
      </c>
      <c r="BB37" s="13" t="n">
        <f aca="false">MAX(0,BA43+Financials!BB14)</f>
        <v>155.148461855775</v>
      </c>
      <c r="BC37" s="13" t="n">
        <f aca="false">MAX(0,BB43+Financials!BC14)</f>
        <v>137.773114817056</v>
      </c>
      <c r="BD37" s="13" t="n">
        <f aca="false">MAX(0,BC43+Financials!BD14)</f>
        <v>123.796627301723</v>
      </c>
      <c r="BE37" s="13" t="n">
        <f aca="false">MAX(0,BD43+Financials!BE14)</f>
        <v>116.068899239352</v>
      </c>
      <c r="BF37" s="13" t="n">
        <f aca="false">MAX(0,BE43+Financials!BF14)</f>
        <v>108.9297082828</v>
      </c>
      <c r="BG37" s="13" t="n">
        <f aca="false">MAX(0,BF43+Financials!BG14)</f>
        <v>101.204132985405</v>
      </c>
      <c r="BH37" s="13" t="n">
        <f aca="false">MAX(0,BG43+Financials!BH14)</f>
        <v>94.0337723834923</v>
      </c>
      <c r="BI37" s="13" t="n">
        <f aca="false">MAX(0,BH43+Financials!BI14)</f>
        <v>86.4627441902514</v>
      </c>
      <c r="BJ37" s="13" t="n">
        <f aca="false">MAX(0,BI43+Financials!BJ14)</f>
        <v>66.9784874703688</v>
      </c>
      <c r="BK37" s="13" t="n">
        <f aca="false">MAX(0,BJ43+Financials!BK14)</f>
        <v>52.0174861283536</v>
      </c>
      <c r="BL37" s="13" t="n">
        <f aca="false">MAX(0,BK43+Financials!BL14)</f>
        <v>42.2245460069892</v>
      </c>
      <c r="BM37" s="13" t="n">
        <f aca="false">MAX(0,BL43+Financials!BM14)</f>
        <v>9.40270217466921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6.96498869946122</v>
      </c>
      <c r="AQ38" s="13" t="n">
        <f aca="false">AQ24*MIN(AQ31-AQ34-AQ35,AQ37)</f>
        <v>40.2334221291795</v>
      </c>
      <c r="AR38" s="13" t="n">
        <f aca="false">AR24*MIN(AR31-AR34-AR35,AR37)</f>
        <v>40.812133420755</v>
      </c>
      <c r="AS38" s="13" t="n">
        <f aca="false">AS24*MIN(AS31-AS34-AS35,AS37)</f>
        <v>40.5424703735348</v>
      </c>
      <c r="AT38" s="13" t="n">
        <f aca="false">AT24*MIN(AT31-AT34-AT35,AT37)</f>
        <v>47.260030852876</v>
      </c>
      <c r="AU38" s="13" t="n">
        <f aca="false">AU24*MIN(AU31-AU34-AU35,AU37)</f>
        <v>42.8184762079473</v>
      </c>
      <c r="AV38" s="13" t="n">
        <f aca="false">AV24*MIN(AV31-AV34-AV35,AV37)</f>
        <v>42.9235396543305</v>
      </c>
      <c r="AW38" s="13" t="n">
        <f aca="false">AW24*MIN(AW31-AW34-AW35,AW37)</f>
        <v>42.4959632438198</v>
      </c>
      <c r="AX38" s="13" t="n">
        <f aca="false">AX24*MIN(AX31-AX34-AX35,AX37)</f>
        <v>43.1519623391802</v>
      </c>
      <c r="AY38" s="13" t="n">
        <f aca="false">AY24*MIN(AY31-AY34-AY35,AY37)</f>
        <v>42.691778014356</v>
      </c>
      <c r="AZ38" s="13" t="n">
        <f aca="false">AZ24*MIN(AZ31-AZ34-AZ35,AZ37)</f>
        <v>43.29041271871</v>
      </c>
      <c r="BA38" s="13" t="n">
        <f aca="false">BA24*MIN(BA31-BA34-BA35,BA37)</f>
        <v>42.49309242544</v>
      </c>
      <c r="BB38" s="13" t="n">
        <f aca="false">BB24*MIN(BB31-BB34-BB35,BB37)</f>
        <v>43.7171413291587</v>
      </c>
      <c r="BC38" s="13" t="n">
        <f aca="false">BC24*MIN(BC31-BC34-BC35,BC37)</f>
        <v>40.2968577508507</v>
      </c>
      <c r="BD38" s="13" t="n">
        <f aca="false">BD24*MIN(BD31-BD34-BD35,BD37)</f>
        <v>34.16099197076</v>
      </c>
      <c r="BE38" s="13" t="n">
        <f aca="false">BE24*MIN(BE31-BE34-BE35,BE37)</f>
        <v>33.707748554011</v>
      </c>
      <c r="BF38" s="13" t="n">
        <f aca="false">BF24*MIN(BF31-BF34-BF35,BF37)</f>
        <v>34.3745284793592</v>
      </c>
      <c r="BG38" s="13" t="n">
        <f aca="false">BG24*MIN(BG31-BG34-BG35,BG37)</f>
        <v>33.8861852355174</v>
      </c>
      <c r="BH38" s="13" t="n">
        <f aca="false">BH24*MIN(BH31-BH34-BH35,BH37)</f>
        <v>34.4890016679586</v>
      </c>
      <c r="BI38" s="13" t="n">
        <f aca="false">BI24*MIN(BI31-BI34-BI35,BI37)</f>
        <v>34.2052346478264</v>
      </c>
      <c r="BJ38" s="13" t="n">
        <f aca="false">BJ24*MIN(BJ31-BJ34-BJ35,BJ37)</f>
        <v>42.1928524741974</v>
      </c>
      <c r="BK38" s="13" t="n">
        <f aca="false">BK24*MIN(BK31-BK34-BK35,BK37)</f>
        <v>36.9200778210503</v>
      </c>
      <c r="BL38" s="13" t="n">
        <f aca="false">BL24*MIN(BL31-BL34-BL35,BL37)</f>
        <v>37.6281753973958</v>
      </c>
      <c r="BM38" s="13" t="n">
        <f aca="false">BM24*MIN(BM31-BM34-BM35,BM37)</f>
        <v>9.40270217466921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935.026521099156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6.96498869946122</v>
      </c>
      <c r="AQ41" s="13" t="n">
        <f aca="false">AQ38+AQ40</f>
        <v>40.2334221291795</v>
      </c>
      <c r="AR41" s="13" t="n">
        <f aca="false">AR38+AR40</f>
        <v>40.812133420755</v>
      </c>
      <c r="AS41" s="13" t="n">
        <f aca="false">AS38+AS40</f>
        <v>40.5424703735348</v>
      </c>
      <c r="AT41" s="13" t="n">
        <f aca="false">AT38+AT40</f>
        <v>47.260030852876</v>
      </c>
      <c r="AU41" s="13" t="n">
        <f aca="false">AU38+AU40</f>
        <v>42.8184762079473</v>
      </c>
      <c r="AV41" s="13" t="n">
        <f aca="false">AV38+AV40</f>
        <v>42.9235396543305</v>
      </c>
      <c r="AW41" s="13" t="n">
        <f aca="false">AW38+AW40</f>
        <v>42.4959632438198</v>
      </c>
      <c r="AX41" s="13" t="n">
        <f aca="false">AX38+AX40</f>
        <v>43.1519623391802</v>
      </c>
      <c r="AY41" s="13" t="n">
        <f aca="false">AY38+AY40</f>
        <v>42.691778014356</v>
      </c>
      <c r="AZ41" s="13" t="n">
        <f aca="false">AZ38+AZ40</f>
        <v>43.29041271871</v>
      </c>
      <c r="BA41" s="13" t="n">
        <f aca="false">BA38+BA40</f>
        <v>42.49309242544</v>
      </c>
      <c r="BB41" s="13" t="n">
        <f aca="false">BB38+BB40</f>
        <v>43.7171413291587</v>
      </c>
      <c r="BC41" s="13" t="n">
        <f aca="false">BC38+BC40</f>
        <v>40.2968577508507</v>
      </c>
      <c r="BD41" s="13" t="n">
        <f aca="false">BD38+BD40</f>
        <v>34.16099197076</v>
      </c>
      <c r="BE41" s="13" t="n">
        <f aca="false">BE38+BE40</f>
        <v>33.707748554011</v>
      </c>
      <c r="BF41" s="13" t="n">
        <f aca="false">BF38+BF40</f>
        <v>34.3745284793592</v>
      </c>
      <c r="BG41" s="13" t="n">
        <f aca="false">BG38+BG40</f>
        <v>33.8861852355174</v>
      </c>
      <c r="BH41" s="13" t="n">
        <f aca="false">BH38+BH40</f>
        <v>34.4890016679586</v>
      </c>
      <c r="BI41" s="13" t="n">
        <f aca="false">BI38+BI40</f>
        <v>34.2052346478264</v>
      </c>
      <c r="BJ41" s="13" t="n">
        <f aca="false">BJ38+BJ40</f>
        <v>42.1928524741974</v>
      </c>
      <c r="BK41" s="13" t="n">
        <f aca="false">BK38+BK40</f>
        <v>36.9200778210503</v>
      </c>
      <c r="BL41" s="13" t="n">
        <f aca="false">BL38+BL40</f>
        <v>37.6281753973958</v>
      </c>
      <c r="BM41" s="13" t="n">
        <f aca="false">BM38+BM40</f>
        <v>53.7694556914808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9.44609069121115</v>
      </c>
      <c r="P43" s="13" t="n">
        <f aca="false">IF(Time!P20&lt;Time!$F$12,0,O43+Financials!P14-P41)</f>
        <v>15.8193268888995</v>
      </c>
      <c r="Q43" s="13" t="n">
        <f aca="false">IF(Time!Q20&lt;Time!$F$12,0,P43+Financials!Q14-Q41)</f>
        <v>23.4815393727732</v>
      </c>
      <c r="R43" s="13" t="n">
        <f aca="false">IF(Time!R20&lt;Time!$F$12,0,Q43+Financials!R14-R41)</f>
        <v>31.5489984240967</v>
      </c>
      <c r="S43" s="13" t="n">
        <f aca="false">IF(Time!S20&lt;Time!$F$12,0,R43+Financials!S14-S41)</f>
        <v>40.7821747223983</v>
      </c>
      <c r="T43" s="13" t="n">
        <f aca="false">IF(Time!T20&lt;Time!$F$12,0,S43+Financials!T14-T41)</f>
        <v>50.4267894888981</v>
      </c>
      <c r="U43" s="13" t="n">
        <f aca="false">IF(Time!U20&lt;Time!$F$12,0,T43+Financials!U14-U41)</f>
        <v>61.2330380942989</v>
      </c>
      <c r="V43" s="13" t="n">
        <f aca="false">IF(Time!V20&lt;Time!$F$12,0,U43+Financials!V14-V41)</f>
        <v>70.2760850883358</v>
      </c>
      <c r="W43" s="13" t="n">
        <f aca="false">IF(Time!W20&lt;Time!$F$12,0,V43+Financials!W14-W41)</f>
        <v>83.057131539936</v>
      </c>
      <c r="X43" s="13" t="n">
        <f aca="false">IF(Time!X20&lt;Time!$F$12,0,W43+Financials!X14-X41)</f>
        <v>96.4268993850452</v>
      </c>
      <c r="Y43" s="13" t="n">
        <f aca="false">IF(Time!Y20&lt;Time!$F$12,0,X43+Financials!Y14-Y41)</f>
        <v>107.883819529588</v>
      </c>
      <c r="Z43" s="13" t="n">
        <f aca="false">IF(Time!Z20&lt;Time!$F$12,0,Y43+Financials!Z14-Z41)</f>
        <v>114.401768612728</v>
      </c>
      <c r="AA43" s="13" t="n">
        <f aca="false">IF(Time!AA20&lt;Time!$F$12,0,Z43+Financials!AA14-AA41)</f>
        <v>121.834801996589</v>
      </c>
      <c r="AB43" s="13" t="n">
        <f aca="false">IF(Time!AB20&lt;Time!$F$12,0,AA43+Financials!AB14-AB41)</f>
        <v>129.755997213789</v>
      </c>
      <c r="AC43" s="13" t="n">
        <f aca="false">IF(Time!AC20&lt;Time!$F$12,0,AB43+Financials!AC14-AC41)</f>
        <v>138.665307809458</v>
      </c>
      <c r="AD43" s="13" t="n">
        <f aca="false">IF(Time!AD20&lt;Time!$F$12,0,AC43+Financials!AD14-AD41)</f>
        <v>138.876691228756</v>
      </c>
      <c r="AE43" s="13" t="n">
        <f aca="false">IF(Time!AE20&lt;Time!$F$12,0,AD43+Financials!AE14-AE41)</f>
        <v>150.097999929883</v>
      </c>
      <c r="AF43" s="13" t="n">
        <f aca="false">IF(Time!AF20&lt;Time!$F$12,0,AE43+Financials!AF14-AF41)</f>
        <v>161.408826423486</v>
      </c>
      <c r="AG43" s="13" t="n">
        <f aca="false">IF(Time!AG20&lt;Time!$F$12,0,AF43+Financials!AG14-AG41)</f>
        <v>173.730486866378</v>
      </c>
      <c r="AH43" s="13" t="n">
        <f aca="false">IF(Time!AH20&lt;Time!$F$12,0,AG43+Financials!AH14-AH41)</f>
        <v>186.951226532769</v>
      </c>
      <c r="AI43" s="13" t="n">
        <f aca="false">IF(Time!AI20&lt;Time!$F$12,0,AH43+Financials!AI14-AI41)</f>
        <v>201.395295086226</v>
      </c>
      <c r="AJ43" s="13" t="n">
        <f aca="false">IF(Time!AJ20&lt;Time!$F$12,0,AI43+Financials!AJ14-AJ41)</f>
        <v>216.816381836892</v>
      </c>
      <c r="AK43" s="13" t="n">
        <f aca="false">IF(Time!AK20&lt;Time!$F$12,0,AJ43+Financials!AK14-AK41)</f>
        <v>233.567912178906</v>
      </c>
      <c r="AL43" s="13" t="n">
        <f aca="false">IF(Time!AL20&lt;Time!$F$12,0,AK43+Financials!AL14-AL41)</f>
        <v>249.496914580825</v>
      </c>
      <c r="AM43" s="13" t="n">
        <f aca="false">IF(Time!AM20&lt;Time!$F$12,0,AL43+Financials!AM14-AM41)</f>
        <v>268.780207951914</v>
      </c>
      <c r="AN43" s="13" t="n">
        <f aca="false">IF(Time!AN20&lt;Time!$F$12,0,AM43+Financials!AN14-AN41)</f>
        <v>289.281389702029</v>
      </c>
      <c r="AO43" s="13" t="n">
        <f aca="false">IF(Time!AO20&lt;Time!$F$12,0,AN43+Financials!AO14-AO41)</f>
        <v>311.521588869675</v>
      </c>
      <c r="AP43" s="13" t="n">
        <f aca="false">IF(Time!AP20&lt;Time!$F$12,0,AO43+Financials!AP14-AP41)</f>
        <v>328.557800899706</v>
      </c>
      <c r="AQ43" s="13" t="n">
        <f aca="false">IF(Time!AQ20&lt;Time!$F$12,0,AP43+Financials!AQ14-AQ41)</f>
        <v>313.489806857554</v>
      </c>
      <c r="AR43" s="13" t="n">
        <f aca="false">IF(Time!AR20&lt;Time!$F$12,0,AQ43+Financials!AR14-AR41)</f>
        <v>297.900761093453</v>
      </c>
      <c r="AS43" s="13" t="n">
        <f aca="false">IF(Time!AS20&lt;Time!$F$12,0,AR43+Financials!AS14-AS41)</f>
        <v>282.750653755671</v>
      </c>
      <c r="AT43" s="13" t="n">
        <f aca="false">IF(Time!AT20&lt;Time!$F$12,0,AS43+Financials!AT14-AT41)</f>
        <v>250.563877064804</v>
      </c>
      <c r="AU43" s="13" t="n">
        <f aca="false">IF(Time!AU20&lt;Time!$F$12,0,AT43+Financials!AU14-AU41)</f>
        <v>233.401260008627</v>
      </c>
      <c r="AV43" s="13" t="n">
        <f aca="false">IF(Time!AV20&lt;Time!$F$12,0,AU43+Financials!AV14-AV41)</f>
        <v>216.052305153981</v>
      </c>
      <c r="AW43" s="13" t="n">
        <f aca="false">IF(Time!AW20&lt;Time!$F$12,0,AV43+Financials!AW14-AW41)</f>
        <v>199.235438051147</v>
      </c>
      <c r="AX43" s="13" t="n">
        <f aca="false">IF(Time!AX20&lt;Time!$F$12,0,AW43+Financials!AX14-AX41)</f>
        <v>181.886229689613</v>
      </c>
      <c r="AY43" s="13" t="n">
        <f aca="false">IF(Time!AY20&lt;Time!$F$12,0,AX43+Financials!AY14-AY41)</f>
        <v>165.072511106004</v>
      </c>
      <c r="AZ43" s="13" t="n">
        <f aca="false">IF(Time!AZ20&lt;Time!$F$12,0,AY43+Financials!AZ14-AZ41)</f>
        <v>147.722253612327</v>
      </c>
      <c r="BA43" s="13" t="n">
        <f aca="false">IF(Time!BA20&lt;Time!$F$12,0,AZ43+Financials!BA14-BA41)</f>
        <v>131.319754303636</v>
      </c>
      <c r="BB43" s="13" t="n">
        <f aca="false">IF(Time!BB20&lt;Time!$F$12,0,BA43+Financials!BB14-BB41)</f>
        <v>111.431320526616</v>
      </c>
      <c r="BC43" s="13" t="n">
        <f aca="false">IF(Time!BC20&lt;Time!$F$12,0,BB43+Financials!BC14-BC41)</f>
        <v>97.4762570662057</v>
      </c>
      <c r="BD43" s="13" t="n">
        <f aca="false">IF(Time!BD20&lt;Time!$F$12,0,BC43+Financials!BD14-BD41)</f>
        <v>89.6356353309634</v>
      </c>
      <c r="BE43" s="13" t="n">
        <f aca="false">IF(Time!BE20&lt;Time!$F$12,0,BD43+Financials!BE14-BE41)</f>
        <v>82.3611506853409</v>
      </c>
      <c r="BF43" s="13" t="n">
        <f aca="false">IF(Time!BF20&lt;Time!$F$12,0,BE43+Financials!BF14-BF41)</f>
        <v>74.5551798034407</v>
      </c>
      <c r="BG43" s="13" t="n">
        <f aca="false">IF(Time!BG20&lt;Time!$F$12,0,BF43+Financials!BG14-BG41)</f>
        <v>67.3179477498877</v>
      </c>
      <c r="BH43" s="13" t="n">
        <f aca="false">IF(Time!BH20&lt;Time!$F$12,0,BG43+Financials!BH14-BH41)</f>
        <v>59.5447707155337</v>
      </c>
      <c r="BI43" s="13" t="n">
        <f aca="false">IF(Time!BI20&lt;Time!$F$12,0,BH43+Financials!BI14-BI41)</f>
        <v>52.2575095424249</v>
      </c>
      <c r="BJ43" s="13" t="n">
        <f aca="false">IF(Time!BJ20&lt;Time!$F$12,0,BI43+Financials!BJ14-BJ41)</f>
        <v>24.7856349961714</v>
      </c>
      <c r="BK43" s="13" t="n">
        <f aca="false">IF(Time!BK20&lt;Time!$F$12,0,BJ43+Financials!BK14-BK41)</f>
        <v>15.0974083073033</v>
      </c>
      <c r="BL43" s="13" t="n">
        <f aca="false">IF(Time!BL20&lt;Time!$F$12,0,BK43+Financials!BL14-BL41)</f>
        <v>4.59637060959349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1352.25933543977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13.8203448751002</v>
      </c>
      <c r="Q44" s="13" t="n">
        <f aca="false">Q34+Q35+Q41</f>
        <v>11.5219964159591</v>
      </c>
      <c r="R44" s="13" t="n">
        <f aca="false">R34+R35+R41</f>
        <v>12.4283086955183</v>
      </c>
      <c r="S44" s="13" t="n">
        <f aca="false">S34+S35+S41</f>
        <v>11.6112291766713</v>
      </c>
      <c r="T44" s="13" t="n">
        <f aca="false">T34+T35+T41</f>
        <v>12.3389121190739</v>
      </c>
      <c r="U44" s="13" t="n">
        <f aca="false">U34+U35+U41</f>
        <v>11.3711945445318</v>
      </c>
      <c r="V44" s="13" t="n">
        <f aca="false">V34+V35+V41</f>
        <v>12.5886958837596</v>
      </c>
      <c r="W44" s="13" t="n">
        <f aca="false">W34+W35+W41</f>
        <v>13.3208837852162</v>
      </c>
      <c r="X44" s="13" t="n">
        <f aca="false">X34+X35+X41</f>
        <v>12.1793320551556</v>
      </c>
      <c r="Y44" s="13" t="n">
        <f aca="false">Y34+Y35+Y41</f>
        <v>11.3911470665381</v>
      </c>
      <c r="Z44" s="13" t="n">
        <f aca="false">Z34+Z35+Z41</f>
        <v>12.0763717067075</v>
      </c>
      <c r="AA44" s="13" t="n">
        <f aca="false">AA34+AA35+AA41</f>
        <v>5.61932739589651</v>
      </c>
      <c r="AB44" s="13" t="n">
        <f aca="false">AB34+AB35+AB41</f>
        <v>6.56016162692373</v>
      </c>
      <c r="AC44" s="13" t="n">
        <f aca="false">AC34+AC35+AC41</f>
        <v>6.18758734356492</v>
      </c>
      <c r="AD44" s="13" t="n">
        <f aca="false">AD34+AD35+AD41</f>
        <v>7.4756244853783</v>
      </c>
      <c r="AE44" s="13" t="n">
        <f aca="false">AE34+AE35+AE41</f>
        <v>8.03297406816327</v>
      </c>
      <c r="AF44" s="13" t="n">
        <f aca="false">AF34+AF35+AF41</f>
        <v>8.85934137501908</v>
      </c>
      <c r="AG44" s="13" t="n">
        <f aca="false">AG34+AG35+AG41</f>
        <v>9.21613508858781</v>
      </c>
      <c r="AH44" s="13" t="n">
        <f aca="false">AH34+AH35+AH41</f>
        <v>10.5030891678893</v>
      </c>
      <c r="AI44" s="13" t="n">
        <f aca="false">AI34+AI35+AI41</f>
        <v>11.2637669765511</v>
      </c>
      <c r="AJ44" s="13" t="n">
        <f aca="false">AJ34+AJ35+AJ41</f>
        <v>12.999172585913</v>
      </c>
      <c r="AK44" s="13" t="n">
        <f aca="false">AK34+AK35+AK41</f>
        <v>25.2888703553279</v>
      </c>
      <c r="AL44" s="13" t="n">
        <f aca="false">AL34+AL35+AL41</f>
        <v>29.6871069504077</v>
      </c>
      <c r="AM44" s="13" t="n">
        <f aca="false">AM34+AM35+AM41</f>
        <v>32.4779319696195</v>
      </c>
      <c r="AN44" s="13" t="n">
        <f aca="false">AN34+AN35+AN41</f>
        <v>30.8468090767604</v>
      </c>
      <c r="AO44" s="13" t="n">
        <f aca="false">AO34+AO35+AO41</f>
        <v>43.3793136327231</v>
      </c>
      <c r="AP44" s="13" t="n">
        <f aca="false">AP34+AP35+AP41</f>
        <v>41.1521746171139</v>
      </c>
      <c r="AQ44" s="13" t="n">
        <f aca="false">AQ34+AQ35+AQ41</f>
        <v>40.2334221291795</v>
      </c>
      <c r="AR44" s="13" t="n">
        <f aca="false">AR34+AR35+AR41</f>
        <v>40.812133420755</v>
      </c>
      <c r="AS44" s="13" t="n">
        <f aca="false">AS34+AS35+AS41</f>
        <v>40.5424703735348</v>
      </c>
      <c r="AT44" s="13" t="n">
        <f aca="false">AT34+AT35+AT41</f>
        <v>47.260030852876</v>
      </c>
      <c r="AU44" s="13" t="n">
        <f aca="false">AU34+AU35+AU41</f>
        <v>42.8184762079473</v>
      </c>
      <c r="AV44" s="13" t="n">
        <f aca="false">AV34+AV35+AV41</f>
        <v>42.9235396543305</v>
      </c>
      <c r="AW44" s="13" t="n">
        <f aca="false">AW34+AW35+AW41</f>
        <v>42.4959632438198</v>
      </c>
      <c r="AX44" s="13" t="n">
        <f aca="false">AX34+AX35+AX41</f>
        <v>43.1519623391802</v>
      </c>
      <c r="AY44" s="13" t="n">
        <f aca="false">AY34+AY35+AY41</f>
        <v>42.691778014356</v>
      </c>
      <c r="AZ44" s="13" t="n">
        <f aca="false">AZ34+AZ35+AZ41</f>
        <v>43.29041271871</v>
      </c>
      <c r="BA44" s="13" t="n">
        <f aca="false">BA34+BA35+BA41</f>
        <v>42.49309242544</v>
      </c>
      <c r="BB44" s="13" t="n">
        <f aca="false">BB34+BB35+BB41</f>
        <v>43.7171413291587</v>
      </c>
      <c r="BC44" s="13" t="n">
        <f aca="false">BC34+BC35+BC41</f>
        <v>40.2968577508507</v>
      </c>
      <c r="BD44" s="13" t="n">
        <f aca="false">BD34+BD35+BD41</f>
        <v>34.16099197076</v>
      </c>
      <c r="BE44" s="13" t="n">
        <f aca="false">BE34+BE35+BE41</f>
        <v>33.707748554011</v>
      </c>
      <c r="BF44" s="13" t="n">
        <f aca="false">BF34+BF35+BF41</f>
        <v>34.3745284793592</v>
      </c>
      <c r="BG44" s="13" t="n">
        <f aca="false">BG34+BG35+BG41</f>
        <v>33.8861852355174</v>
      </c>
      <c r="BH44" s="13" t="n">
        <f aca="false">BH34+BH35+BH41</f>
        <v>34.4890016679586</v>
      </c>
      <c r="BI44" s="13" t="n">
        <f aca="false">BI34+BI35+BI41</f>
        <v>34.2052346478264</v>
      </c>
      <c r="BJ44" s="13" t="n">
        <f aca="false">BJ34+BJ35+BJ41</f>
        <v>42.1928524741974</v>
      </c>
      <c r="BK44" s="13" t="n">
        <f aca="false">BK34+BK35+BK41</f>
        <v>36.9200778210503</v>
      </c>
      <c r="BL44" s="13" t="n">
        <f aca="false">BL34+BL35+BL41</f>
        <v>37.6281753973958</v>
      </c>
      <c r="BM44" s="13" t="n">
        <f aca="false">BM34+BM35+BM41</f>
        <v>53.7694556914808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529.919364421649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30.4738036268076</v>
      </c>
      <c r="R9" s="13" t="n">
        <f aca="false">Debt!R112+Debt!R110+Debt!R104-Debt!R103+Tax!R13</f>
        <v>30.2044553468017</v>
      </c>
      <c r="S9" s="13" t="n">
        <f aca="false">Debt!S112+Debt!S110+Debt!S104-Debt!S103+Tax!S13</f>
        <v>29.1215523306907</v>
      </c>
      <c r="T9" s="13" t="n">
        <f aca="false">Debt!T112+Debt!T110+Debt!T104-Debt!T103+Tax!T13</f>
        <v>28.7760515773261</v>
      </c>
      <c r="U9" s="13" t="n">
        <f aca="false">Debt!U112+Debt!U110+Debt!U104-Debt!U103+Tax!U13</f>
        <v>27.767506652781</v>
      </c>
      <c r="V9" s="13" t="n">
        <f aca="false">Debt!V112+Debt!V110+Debt!V104-Debt!V103+Tax!V13</f>
        <v>27.2415461569505</v>
      </c>
      <c r="W9" s="13" t="n">
        <f aca="false">Debt!W112+Debt!W110+Debt!W104-Debt!W103+Tax!W13</f>
        <v>26.0482485590675</v>
      </c>
      <c r="X9" s="13" t="n">
        <f aca="false">Debt!X112+Debt!X110+Debt!X104-Debt!X103+Tax!X13</f>
        <v>25.4478306002745</v>
      </c>
      <c r="Y9" s="13" t="n">
        <f aca="false">Debt!Y112+Debt!Y110+Debt!Y104-Debt!Y103+Tax!Y13</f>
        <v>24.7735631583316</v>
      </c>
      <c r="Z9" s="13" t="n">
        <f aca="false">Debt!Z112+Debt!Z110+Debt!Z104-Debt!Z103+Tax!Z13</f>
        <v>24.2316231931583</v>
      </c>
      <c r="AA9" s="13" t="n">
        <f aca="false">Debt!AA112+Debt!AA110+Debt!AA104-Debt!AA103+Tax!AA13</f>
        <v>23.0102364411034</v>
      </c>
      <c r="AB9" s="13" t="n">
        <f aca="false">Debt!AB112+Debt!AB110+Debt!AB104-Debt!AB103+Tax!AB13</f>
        <v>22.3811170186477</v>
      </c>
      <c r="AC9" s="13" t="n">
        <f aca="false">Debt!AC112+Debt!AC110+Debt!AC104-Debt!AC103+Tax!AC13</f>
        <v>21.1707498685033</v>
      </c>
      <c r="AD9" s="13" t="n">
        <f aca="false">Debt!AD112+Debt!AD110+Debt!AD104-Debt!AD103+Tax!AD13</f>
        <v>20.3552714258313</v>
      </c>
      <c r="AE9" s="13" t="n">
        <f aca="false">Debt!AE112+Debt!AE110+Debt!AE104-Debt!AE103+Tax!AE13</f>
        <v>18.9412279032695</v>
      </c>
      <c r="AF9" s="13" t="n">
        <f aca="false">Debt!AF112+Debt!AF110+Debt!AF104-Debt!AF103+Tax!AF13</f>
        <v>17.958297320941</v>
      </c>
      <c r="AG9" s="13" t="n">
        <f aca="false">Debt!AG112+Debt!AG110+Debt!AG104-Debt!AG103+Tax!AG13</f>
        <v>16.6399602296309</v>
      </c>
      <c r="AH9" s="13" t="n">
        <f aca="false">Debt!AH112+Debt!AH110+Debt!AH104-Debt!AH103+Tax!AH13</f>
        <v>15.5009796917908</v>
      </c>
      <c r="AI9" s="13" t="n">
        <f aca="false">Debt!AI112+Debt!AI110+Debt!AI104-Debt!AI103+Tax!AI13</f>
        <v>13.8449945978216</v>
      </c>
      <c r="AJ9" s="13" t="n">
        <f aca="false">Debt!AJ112+Debt!AJ110+Debt!AJ104-Debt!AJ103+Tax!AJ13</f>
        <v>12.5227325917749</v>
      </c>
      <c r="AK9" s="13" t="n">
        <f aca="false">Debt!AK112+Debt!AK110+Debt!AK104-Debt!AK103+Tax!AK13</f>
        <v>10.8016114471328</v>
      </c>
      <c r="AL9" s="13" t="n">
        <f aca="false">Debt!AL112+Debt!AL110+Debt!AL104-Debt!AL103+Tax!AL13</f>
        <v>9.25594119695377</v>
      </c>
      <c r="AM9" s="13" t="n">
        <f aca="false">Debt!AM112+Debt!AM110+Debt!AM104-Debt!AM103+Tax!AM13</f>
        <v>7.48310117519703</v>
      </c>
      <c r="AN9" s="13" t="n">
        <f aca="false">Debt!AN112+Debt!AN110+Debt!AN104-Debt!AN103+Tax!AN13</f>
        <v>5.71909083087447</v>
      </c>
      <c r="AO9" s="13" t="n">
        <f aca="false">Debt!AO112+Debt!AO110+Debt!AO104-Debt!AO103+Tax!AO13</f>
        <v>3.91668654091147</v>
      </c>
      <c r="AP9" s="13" t="n">
        <f aca="false">Debt!AP112+Debt!AP110+Debt!AP104-Debt!AP103+Tax!AP13</f>
        <v>1.5624137467072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-49.2869464996064</v>
      </c>
      <c r="Z12" s="13" t="n">
        <f aca="false">IF(Time!Z20&gt;=Time!$F$12,Inputs!$F$184/100*(Z11-Z10-Tax!Z21),0)</f>
        <v>-46.3411862348289</v>
      </c>
      <c r="AA12" s="13" t="n">
        <f aca="false">IF(Time!AA20&gt;=Time!$F$12,Inputs!$F$184/100*(AA11-AA10-Tax!AA21),0)</f>
        <v>-43.0024862586291</v>
      </c>
      <c r="AB12" s="13" t="n">
        <f aca="false">IF(Time!AB20&gt;=Time!$F$12,Inputs!$F$184/100*(AB11-AB10-Tax!AB21),0)</f>
        <v>-39.4537455863297</v>
      </c>
      <c r="AC12" s="13" t="n">
        <f aca="false">IF(Time!AC20&gt;=Time!$F$12,Inputs!$F$184/100*(AC11-AC10-Tax!AC21),0)</f>
        <v>-35.4811455879802</v>
      </c>
      <c r="AD12" s="13" t="n">
        <f aca="false">IF(Time!AD20&gt;=Time!$F$12,Inputs!$F$184/100*(AD11-AD10-Tax!AD21),0)</f>
        <v>-34.4771217251635</v>
      </c>
      <c r="AE12" s="13" t="n">
        <f aca="false">IF(Time!AE20&gt;=Time!$F$12,Inputs!$F$184/100*(AE11-AE10-Tax!AE21),0)</f>
        <v>-30.2735940527594</v>
      </c>
      <c r="AF12" s="13" t="n">
        <f aca="false">IF(Time!AF20&gt;=Time!$F$12,Inputs!$F$184/100*(AF11-AF10-Tax!AF21),0)</f>
        <v>-25.2692307045772</v>
      </c>
      <c r="AG12" s="13" t="n">
        <f aca="false">IF(Time!AG20&gt;=Time!$F$12,Inputs!$F$184/100*(AG11-AG10-Tax!AG21),0)</f>
        <v>-19.8309643140743</v>
      </c>
      <c r="AH12" s="13" t="n">
        <f aca="false">IF(Time!AH20&gt;=Time!$F$12,Inputs!$F$184/100*(AH11-AH10-Tax!AH21),0)</f>
        <v>-14.0067457070083</v>
      </c>
      <c r="AI12" s="13" t="n">
        <f aca="false">IF(Time!AI20&gt;=Time!$F$12,Inputs!$F$184/100*(AI11-AI10-Tax!AI21),0)</f>
        <v>-7.65741505956047</v>
      </c>
      <c r="AJ12" s="13" t="n">
        <f aca="false">IF(Time!AJ20&gt;=Time!$F$12,Inputs!$F$184/100*(AJ11-AJ10-Tax!AJ21),0)</f>
        <v>-0.888460590080557</v>
      </c>
      <c r="AK12" s="13" t="n">
        <f aca="false">IF(Time!AK20&gt;=Time!$F$12,Inputs!$F$184/100*(AK11-AK10-Tax!AK21),0)</f>
        <v>6.45123738793855</v>
      </c>
      <c r="AL12" s="13" t="n">
        <f aca="false">IF(Time!AL20&gt;=Time!$F$12,Inputs!$F$184/100*(AL11-AL10-Tax!AL21),0)</f>
        <v>13.4387482611637</v>
      </c>
      <c r="AM12" s="13" t="n">
        <f aca="false">IF(Time!AM20&gt;=Time!$F$12,Inputs!$F$184/100*(AM11-AM10-Tax!AM21),0)</f>
        <v>21.8648401415686</v>
      </c>
      <c r="AN12" s="13" t="n">
        <f aca="false">IF(Time!AN20&gt;=Time!$F$12,Inputs!$F$184/100*(AN11-AN10-Tax!AN21),0)</f>
        <v>30.8141622011614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-2.43249956815871</v>
      </c>
      <c r="Z13" s="13" t="n">
        <f aca="false">Z12-Y12</f>
        <v>2.94576026477746</v>
      </c>
      <c r="AA13" s="13" t="n">
        <f aca="false">AA12-Z12</f>
        <v>3.33869997619983</v>
      </c>
      <c r="AB13" s="13" t="n">
        <f aca="false">AB12-AA12</f>
        <v>3.54874067229942</v>
      </c>
      <c r="AC13" s="13" t="n">
        <f aca="false">AC12-AB12</f>
        <v>3.97259999834946</v>
      </c>
      <c r="AD13" s="13" t="n">
        <f aca="false">AD12-AC12</f>
        <v>1.00402386281673</v>
      </c>
      <c r="AE13" s="13" t="n">
        <f aca="false">AE12-AD12</f>
        <v>4.20352767240414</v>
      </c>
      <c r="AF13" s="13" t="n">
        <f aca="false">AF12-AE12</f>
        <v>5.00436334818219</v>
      </c>
      <c r="AG13" s="13" t="n">
        <f aca="false">AG12-AF12</f>
        <v>5.43826639050293</v>
      </c>
      <c r="AH13" s="13" t="n">
        <f aca="false">AH12-AG12</f>
        <v>5.82421860706592</v>
      </c>
      <c r="AI13" s="13" t="n">
        <f aca="false">AI12-AH12</f>
        <v>6.34933064744786</v>
      </c>
      <c r="AJ13" s="13" t="n">
        <f aca="false">AJ12-AI12</f>
        <v>6.76895446947991</v>
      </c>
      <c r="AK13" s="13" t="n">
        <f aca="false">AK12-AJ12</f>
        <v>7.33969797801911</v>
      </c>
      <c r="AL13" s="13" t="n">
        <f aca="false">AL12-AK12</f>
        <v>6.98751087322517</v>
      </c>
      <c r="AM13" s="13" t="n">
        <f aca="false">AM12-AL12</f>
        <v>8.42609188040485</v>
      </c>
      <c r="AN13" s="13" t="n">
        <f aca="false">AN12-AM12</f>
        <v>8.94932205959288</v>
      </c>
      <c r="AO13" s="13" t="n">
        <f aca="false">AO12-AN12</f>
        <v>3.15531182413815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890.659767582345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9.44609069121115</v>
      </c>
      <c r="P14" s="13" t="n">
        <f aca="false">Operations!P84-P8-P9-Tax!P27-P13</f>
        <v>6.3732361976883</v>
      </c>
      <c r="Q14" s="13" t="n">
        <f aca="false">Operations!Q84-Q8-Q9-Tax!Q27-Q13</f>
        <v>7.66221248387377</v>
      </c>
      <c r="R14" s="13" t="n">
        <f aca="false">Operations!R84-R8-R9-Tax!R27-R13</f>
        <v>8.06745905132346</v>
      </c>
      <c r="S14" s="13" t="n">
        <f aca="false">Operations!S84-S8-S9-Tax!S27-S13</f>
        <v>9.23317629830163</v>
      </c>
      <c r="T14" s="13" t="n">
        <f aca="false">Operations!T84-T8-T9-Tax!T27-T13</f>
        <v>9.64461476649982</v>
      </c>
      <c r="U14" s="13" t="n">
        <f aca="false">Operations!U84-U8-U9-Tax!U27-U13</f>
        <v>10.8062486054007</v>
      </c>
      <c r="V14" s="13" t="n">
        <f aca="false">Operations!V84-V8-V9-Tax!V27-V13</f>
        <v>9.04304699403693</v>
      </c>
      <c r="W14" s="13" t="n">
        <f aca="false">Operations!W84-W8-W9-Tax!W27-W13</f>
        <v>12.7810464516002</v>
      </c>
      <c r="X14" s="13" t="n">
        <f aca="false">Operations!X84-X8-X9-Tax!X27-X13</f>
        <v>13.3697678451092</v>
      </c>
      <c r="Y14" s="13" t="n">
        <f aca="false">Operations!Y84-Y8-Y9-Tax!Y27-Y13</f>
        <v>11.4569201445425</v>
      </c>
      <c r="Z14" s="13" t="n">
        <f aca="false">Operations!Z84-Z8-Z9-Tax!Z27-Z13</f>
        <v>6.51794908314051</v>
      </c>
      <c r="AA14" s="13" t="n">
        <f aca="false">Operations!AA84-AA8-AA9-Tax!AA27-AA13</f>
        <v>7.43303338386037</v>
      </c>
      <c r="AB14" s="13" t="n">
        <f aca="false">Operations!AB84-AB8-AB9-Tax!AB27-AB13</f>
        <v>7.92119521720044</v>
      </c>
      <c r="AC14" s="13" t="n">
        <f aca="false">Operations!AC84-AC8-AC9-Tax!AC27-AC13</f>
        <v>8.90931059566886</v>
      </c>
      <c r="AD14" s="13" t="n">
        <f aca="false">Operations!AD84-AD8-AD9-Tax!AD27-AD13</f>
        <v>0.211383419298381</v>
      </c>
      <c r="AE14" s="13" t="n">
        <f aca="false">Operations!AE84-AE8-AE9-Tax!AE27-AE13</f>
        <v>11.2213087011267</v>
      </c>
      <c r="AF14" s="13" t="n">
        <f aca="false">Operations!AF84-AF8-AF9-Tax!AF27-AF13</f>
        <v>11.3108264936033</v>
      </c>
      <c r="AG14" s="13" t="n">
        <f aca="false">Operations!AG84-AG8-AG9-Tax!AG27-AG13</f>
        <v>12.3216604428921</v>
      </c>
      <c r="AH14" s="13" t="n">
        <f aca="false">Operations!AH84-AH8-AH9-Tax!AH27-AH13</f>
        <v>13.2207396663902</v>
      </c>
      <c r="AI14" s="13" t="n">
        <f aca="false">Operations!AI84-AI8-AI9-Tax!AI27-AI13</f>
        <v>14.4440685534577</v>
      </c>
      <c r="AJ14" s="13" t="n">
        <f aca="false">Operations!AJ84-AJ8-AJ9-Tax!AJ27-AJ13</f>
        <v>15.421086750666</v>
      </c>
      <c r="AK14" s="13" t="n">
        <f aca="false">Operations!AK84-AK8-AK9-Tax!AK27-AK13</f>
        <v>16.7515303420142</v>
      </c>
      <c r="AL14" s="13" t="n">
        <f aca="false">Operations!AL84-AL8-AL9-Tax!AL27-AL13</f>
        <v>15.9290024019186</v>
      </c>
      <c r="AM14" s="13" t="n">
        <f aca="false">Operations!AM84-AM8-AM9-Tax!AM27-AM13</f>
        <v>19.2832933710887</v>
      </c>
      <c r="AN14" s="13" t="n">
        <f aca="false">Operations!AN84-AN8-AN9-Tax!AN27-AN13</f>
        <v>20.5011817501154</v>
      </c>
      <c r="AO14" s="13" t="n">
        <f aca="false">Operations!AO84-AO8-AO9-Tax!AO27-AO13</f>
        <v>22.240199167646</v>
      </c>
      <c r="AP14" s="13" t="n">
        <f aca="false">Operations!AP84-AP8-AP9-Tax!AP27-AP13</f>
        <v>24.0012007294919</v>
      </c>
      <c r="AQ14" s="13" t="n">
        <f aca="false">Operations!AQ84-AQ8-AQ9-Tax!AQ27-AQ13</f>
        <v>25.1654280870273</v>
      </c>
      <c r="AR14" s="13" t="n">
        <f aca="false">Operations!AR84-AR8-AR9-Tax!AR27-AR13</f>
        <v>25.2230876566542</v>
      </c>
      <c r="AS14" s="13" t="n">
        <f aca="false">Operations!AS84-AS8-AS9-Tax!AS27-AS13</f>
        <v>25.3923630357536</v>
      </c>
      <c r="AT14" s="13" t="n">
        <f aca="false">Operations!AT84-AT8-AT9-Tax!AT27-AT13</f>
        <v>15.073254162008</v>
      </c>
      <c r="AU14" s="13" t="n">
        <f aca="false">Operations!AU84-AU8-AU9-Tax!AU27-AU13</f>
        <v>25.6558591517712</v>
      </c>
      <c r="AV14" s="13" t="n">
        <f aca="false">Operations!AV84-AV8-AV9-Tax!AV27-AV13</f>
        <v>25.5745847996837</v>
      </c>
      <c r="AW14" s="13" t="n">
        <f aca="false">Operations!AW84-AW8-AW9-Tax!AW27-AW13</f>
        <v>25.6790961409857</v>
      </c>
      <c r="AX14" s="13" t="n">
        <f aca="false">Operations!AX84-AX8-AX9-Tax!AX27-AX13</f>
        <v>25.8027539776467</v>
      </c>
      <c r="AY14" s="13" t="n">
        <f aca="false">Operations!AY84-AY8-AY9-Tax!AY27-AY13</f>
        <v>25.8780594307467</v>
      </c>
      <c r="AZ14" s="13" t="n">
        <f aca="false">Operations!AZ84-AZ8-AZ9-Tax!AZ27-AZ13</f>
        <v>25.9401552250338</v>
      </c>
      <c r="BA14" s="13" t="n">
        <f aca="false">Operations!BA84-BA8-BA9-Tax!BA27-BA13</f>
        <v>26.0905931167489</v>
      </c>
      <c r="BB14" s="13" t="n">
        <f aca="false">Operations!BB84-BB8-BB9-Tax!BB27-BB13</f>
        <v>23.8287075521386</v>
      </c>
      <c r="BC14" s="13" t="n">
        <f aca="false">Operations!BC84-BC8-BC9-Tax!BC27-BC13</f>
        <v>26.34179429044</v>
      </c>
      <c r="BD14" s="13" t="n">
        <f aca="false">Operations!BD84-BD8-BD9-Tax!BD27-BD13</f>
        <v>26.3203702355177</v>
      </c>
      <c r="BE14" s="13" t="n">
        <f aca="false">Operations!BE84-BE8-BE9-Tax!BE27-BE13</f>
        <v>26.4332639083884</v>
      </c>
      <c r="BF14" s="13" t="n">
        <f aca="false">Operations!BF84-BF8-BF9-Tax!BF27-BF13</f>
        <v>26.5685575974591</v>
      </c>
      <c r="BG14" s="13" t="n">
        <f aca="false">Operations!BG84-BG8-BG9-Tax!BG27-BG13</f>
        <v>26.6489531819644</v>
      </c>
      <c r="BH14" s="13" t="n">
        <f aca="false">Operations!BH84-BH8-BH9-Tax!BH27-BH13</f>
        <v>26.7158246336046</v>
      </c>
      <c r="BI14" s="13" t="n">
        <f aca="false">Operations!BI84-BI8-BI9-Tax!BI27-BI13</f>
        <v>26.9179734747177</v>
      </c>
      <c r="BJ14" s="13" t="n">
        <f aca="false">Operations!BJ84-BJ8-BJ9-Tax!BJ27-BJ13</f>
        <v>14.7209779279439</v>
      </c>
      <c r="BK14" s="13" t="n">
        <f aca="false">Operations!BK84-BK8-BK9-Tax!BK27-BK13</f>
        <v>27.2318511321822</v>
      </c>
      <c r="BL14" s="13" t="n">
        <f aca="false">Operations!BL84-BL8-BL9-Tax!BL27-BL13</f>
        <v>27.1271376996859</v>
      </c>
      <c r="BM14" s="13" t="n">
        <f aca="false">Operations!BM84-BM8-BM9-Tax!BM27-BM13</f>
        <v>4.80633156507572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38.9491173815476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46.1368972261347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48.7714699570877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36.2768151121511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35.4504283579917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34.5909953673414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34.223794860752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33.0090570128786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31.9768359020485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30.0568697644376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27.9489631245152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49.2869464996064</v>
      </c>
      <c r="Z20" s="13" t="n">
        <f aca="false">MAX(0,-Z12)</f>
        <v>46.3411862348289</v>
      </c>
      <c r="AA20" s="13" t="n">
        <f aca="false">MAX(0,-AA12)</f>
        <v>43.0024862586291</v>
      </c>
      <c r="AB20" s="13" t="n">
        <f aca="false">MAX(0,-AB12)</f>
        <v>39.4537455863297</v>
      </c>
      <c r="AC20" s="13" t="n">
        <f aca="false">MAX(0,-AC12)</f>
        <v>35.4811455879802</v>
      </c>
      <c r="AD20" s="13" t="n">
        <f aca="false">MAX(0,-AD12)</f>
        <v>34.4771217251635</v>
      </c>
      <c r="AE20" s="13" t="n">
        <f aca="false">MAX(0,-AE12)</f>
        <v>30.2735940527594</v>
      </c>
      <c r="AF20" s="13" t="n">
        <f aca="false">MAX(0,-AF12)</f>
        <v>25.2692307045772</v>
      </c>
      <c r="AG20" s="13" t="n">
        <f aca="false">MAX(0,-AG12)</f>
        <v>19.8309643140743</v>
      </c>
      <c r="AH20" s="13" t="n">
        <f aca="false">MAX(0,-AH12)</f>
        <v>14.0067457070083</v>
      </c>
      <c r="AI20" s="13" t="n">
        <f aca="false">MAX(0,-AI12)</f>
        <v>7.65741505956047</v>
      </c>
      <c r="AJ20" s="13" t="n">
        <f aca="false">MAX(0,-AJ12)</f>
        <v>0.888460590080557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916.188845429561</v>
      </c>
      <c r="P21" s="13" t="n">
        <f aca="false">P16+P17+P18+P19+P20</f>
        <v>902.970860103629</v>
      </c>
      <c r="Q21" s="13" t="n">
        <f aca="false">Q16+Q17+Q18+Q19+Q20</f>
        <v>893.174185169152</v>
      </c>
      <c r="R21" s="13" t="n">
        <f aca="false">R16+R17+R18+R19+R20</f>
        <v>880.908176657117</v>
      </c>
      <c r="S21" s="13" t="n">
        <f aca="false">S16+S17+S18+S19+S20</f>
        <v>871.21556605998</v>
      </c>
      <c r="T21" s="13" t="n">
        <f aca="false">T16+T17+T18+T19+T20</f>
        <v>859.335830325945</v>
      </c>
      <c r="U21" s="13" t="n">
        <f aca="false">U16+U17+U18+U19+U20</f>
        <v>849.425773871773</v>
      </c>
      <c r="V21" s="13" t="n">
        <f aca="false">V16+V17+V18+V19+V20</f>
        <v>834.094142676185</v>
      </c>
      <c r="W21" s="13" t="n">
        <f aca="false">W16+W17+W18+W19+W20</f>
        <v>822.683232945764</v>
      </c>
      <c r="X21" s="13" t="n">
        <f aca="false">X16+X17+X18+X19+X20</f>
        <v>812.55805748473</v>
      </c>
      <c r="Y21" s="13" t="n">
        <f aca="false">Y16+Y17+Y18+Y19+Y20</f>
        <v>801.63345650961</v>
      </c>
      <c r="Z21" s="13" t="n">
        <f aca="false">Z16+Z17+Z18+Z19+Z20</f>
        <v>782.91103756766</v>
      </c>
      <c r="AA21" s="13" t="n">
        <f aca="false">AA16+AA17+AA18+AA19+AA20</f>
        <v>766.510981784708</v>
      </c>
      <c r="AB21" s="13" t="n">
        <f aca="false">AB16+AB17+AB18+AB19+AB20</f>
        <v>747.048444792008</v>
      </c>
      <c r="AC21" s="13" t="n">
        <f aca="false">AC16+AC17+AC18+AC19+AC20</f>
        <v>729.524997602801</v>
      </c>
      <c r="AD21" s="13" t="n">
        <f aca="false">AD16+AD17+AD18+AD19+AD20</f>
        <v>697.823318598726</v>
      </c>
      <c r="AE21" s="13" t="n">
        <f aca="false">AE16+AE17+AE18+AE19+AE20</f>
        <v>677.936664533434</v>
      </c>
      <c r="AF21" s="13" t="n">
        <f aca="false">AF16+AF17+AF18+AF19+AF20</f>
        <v>655.663870601847</v>
      </c>
      <c r="AG21" s="13" t="n">
        <f aca="false">AG16+AG17+AG18+AG19+AG20</f>
        <v>634.303246926821</v>
      </c>
      <c r="AH21" s="13" t="n">
        <f aca="false">AH16+AH17+AH18+AH19+AH20</f>
        <v>609.767239520542</v>
      </c>
      <c r="AI21" s="13" t="n">
        <f aca="false">AI16+AI17+AI18+AI19+AI20</f>
        <v>587.010092908463</v>
      </c>
      <c r="AJ21" s="13" t="n">
        <f aca="false">AJ16+AJ17+AJ18+AJ19+AJ20</f>
        <v>561.145246617418</v>
      </c>
      <c r="AK21" s="13" t="n">
        <f aca="false">AK16+AK17+AK18+AK19+AK20</f>
        <v>542.179098556811</v>
      </c>
      <c r="AL21" s="13" t="n">
        <f aca="false">AL16+AL17+AL18+AL19+AL20</f>
        <v>520.085611912633</v>
      </c>
      <c r="AM21" s="13" t="n">
        <f aca="false">AM16+AM17+AM18+AM19+AM20</f>
        <v>500.520409420917</v>
      </c>
      <c r="AN21" s="13" t="n">
        <f aca="false">AN16+AN17+AN18+AN19+AN20</f>
        <v>485.902402058952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401.159130519111</v>
      </c>
      <c r="AB22" s="13" t="n">
        <f aca="false">IF(Time!AB20&lt;Time!$F$12,SUMIFS(Funding!$J$73:$BJ$73,Construction!$J$12:$BJ$12,"&lt;="&amp;Time!AB20),Debt!AB116)</f>
        <v>372.335414403048</v>
      </c>
      <c r="AC22" s="13" t="n">
        <f aca="false">IF(Time!AC20&lt;Time!$F$12,SUMIFS(Funding!$J$73:$BJ$73,Construction!$J$12:$BJ$12,"&lt;="&amp;Time!AC20),Debt!AC116)</f>
        <v>343.544954418784</v>
      </c>
      <c r="AD22" s="13" t="n">
        <f aca="false">IF(Time!AD20&lt;Time!$F$12,SUMIFS(Funding!$J$73:$BJ$73,Construction!$J$12:$BJ$12,"&lt;="&amp;Time!AD20),Debt!AD116)</f>
        <v>311.825301573582</v>
      </c>
      <c r="AE22" s="13" t="n">
        <f aca="false">IF(Time!AE20&lt;Time!$F$12,SUMIFS(Funding!$J$73:$BJ$73,Construction!$J$12:$BJ$12,"&lt;="&amp;Time!AE20),Debt!AE116)</f>
        <v>279.09828670204</v>
      </c>
      <c r="AF22" s="13" t="n">
        <f aca="false">IF(Time!AF20&lt;Time!$F$12,SUMIFS(Funding!$J$73:$BJ$73,Construction!$J$12:$BJ$12,"&lt;="&amp;Time!AF20),Debt!AF116)</f>
        <v>245.393686754919</v>
      </c>
      <c r="AG22" s="13" t="n">
        <f aca="false">IF(Time!AG20&lt;Time!$F$12,SUMIFS(Funding!$J$73:$BJ$73,Construction!$J$12:$BJ$12,"&lt;="&amp;Time!AG20),Debt!AG116)</f>
        <v>211.750480568602</v>
      </c>
      <c r="AH22" s="13" t="n">
        <f aca="false">IF(Time!AH20&lt;Time!$F$12,SUMIFS(Funding!$J$73:$BJ$73,Construction!$J$12:$BJ$12,"&lt;="&amp;Time!AH20),Debt!AH116)</f>
        <v>176.664000438037</v>
      </c>
      <c r="AI22" s="13" t="n">
        <f aca="false">IF(Time!AI20&lt;Time!$F$12,SUMIFS(Funding!$J$73:$BJ$73,Construction!$J$12:$BJ$12,"&lt;="&amp;Time!AI20),Debt!AI116)</f>
        <v>141.515042762148</v>
      </c>
      <c r="AJ22" s="13" t="n">
        <f aca="false">IF(Time!AJ20&lt;Time!$F$12,SUMIFS(Funding!$J$73:$BJ$73,Construction!$J$12:$BJ$12,"&lt;="&amp;Time!AJ20),Debt!AJ116)</f>
        <v>105.32353228216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200.851964405689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198.792021490979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195.883944400014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193.500727343777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190.428644578043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188.078028841058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184.496467050837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179.86713600792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176.301715014184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173.216069289205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169.435086325444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171.797776215481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173.465080693343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175.494510459882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176.423390201459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176.701649542923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176.304622781631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175.394126018331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173.290733625238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170.190621894402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165.341948132363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147.885303210483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125.280484205608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98.7044643617838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72.5846526467877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32.6247721709455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24.2586136114806</v>
      </c>
      <c r="P24" s="13" t="n">
        <f aca="false">Operations!P90+Operations!P91+Operations!P92+Operations!P93+Operations!P94</f>
        <v>24.1665545501825</v>
      </c>
      <c r="Q24" s="13" t="n">
        <f aca="false">Operations!Q90+Operations!Q91+Operations!Q92+Operations!Q93+Operations!Q94</f>
        <v>24.9128763761288</v>
      </c>
      <c r="R24" s="13" t="n">
        <f aca="false">Operations!R90+Operations!R91+Operations!R92+Operations!R93+Operations!R94</f>
        <v>24.4280472491643</v>
      </c>
      <c r="S24" s="13" t="n">
        <f aca="false">Operations!S90+Operations!S91+Operations!S92+Operations!S93+Operations!S94</f>
        <v>25.3252496922635</v>
      </c>
      <c r="T24" s="13" t="n">
        <f aca="false">Operations!T90+Operations!T91+Operations!T92+Operations!T93+Operations!T94</f>
        <v>25.1149775152245</v>
      </c>
      <c r="U24" s="13" t="n">
        <f aca="false">Operations!U90+Operations!U91+Operations!U92+Operations!U93+Operations!U94</f>
        <v>25.5730531022548</v>
      </c>
      <c r="V24" s="13" t="n">
        <f aca="false">Operations!V90+Operations!V91+Operations!V92+Operations!V93+Operations!V94</f>
        <v>24.8334448745975</v>
      </c>
      <c r="W24" s="13" t="n">
        <f aca="false">Operations!W90+Operations!W91+Operations!W92+Operations!W93+Operations!W94</f>
        <v>25.9373513445947</v>
      </c>
      <c r="X24" s="13" t="n">
        <f aca="false">Operations!X90+Operations!X91+Operations!X92+Operations!X93+Operations!X94</f>
        <v>26.1007045679217</v>
      </c>
      <c r="Y24" s="13" t="n">
        <f aca="false">Operations!Y90+Operations!Y91+Operations!Y92+Operations!Y93+Operations!Y94</f>
        <v>26.9071594010118</v>
      </c>
      <c r="Z24" s="13" t="n">
        <f aca="false">Operations!Z90+Operations!Z91+Operations!Z92+Operations!Z93+Operations!Z94</f>
        <v>26.3829029979847</v>
      </c>
      <c r="AA24" s="13" t="n">
        <f aca="false">Operations!AA90+Operations!AA91+Operations!AA92+Operations!AA93+Operations!AA94</f>
        <v>27.3525195367158</v>
      </c>
      <c r="AB24" s="13" t="n">
        <f aca="false">Operations!AB90+Operations!AB91+Operations!AB92+Operations!AB93+Operations!AB94</f>
        <v>27.1251989650173</v>
      </c>
      <c r="AC24" s="13" t="n">
        <f aca="false">Operations!AC90+Operations!AC91+Operations!AC92+Operations!AC93+Operations!AC94</f>
        <v>27.453471397866</v>
      </c>
      <c r="AD24" s="13" t="n">
        <f aca="false">Operations!AD90+Operations!AD91+Operations!AD92+Operations!AD93+Operations!AD94</f>
        <v>26.3311820781173</v>
      </c>
      <c r="AE24" s="13" t="n">
        <f aca="false">Operations!AE90+Operations!AE91+Operations!AE92+Operations!AE93+Operations!AE94</f>
        <v>27.6719748417764</v>
      </c>
      <c r="AF24" s="13" t="n">
        <f aca="false">Operations!AF90+Operations!AF91+Operations!AF92+Operations!AF93+Operations!AF94</f>
        <v>28.1899811249992</v>
      </c>
      <c r="AG24" s="13" t="n">
        <f aca="false">Operations!AG90+Operations!AG91+Operations!AG92+Operations!AG93+Operations!AG94</f>
        <v>29.0613999566973</v>
      </c>
      <c r="AH24" s="13" t="n">
        <f aca="false">Operations!AH90+Operations!AH91+Operations!AH92+Operations!AH93+Operations!AH94</f>
        <v>28.4945254076874</v>
      </c>
      <c r="AI24" s="13" t="n">
        <f aca="false">Operations!AI90+Operations!AI91+Operations!AI92+Operations!AI93+Operations!AI94</f>
        <v>29.5423796488763</v>
      </c>
      <c r="AJ24" s="13" t="n">
        <f aca="false">Operations!AJ90+Operations!AJ91+Operations!AJ92+Operations!AJ93+Operations!AJ94</f>
        <v>29.2966308491916</v>
      </c>
      <c r="AK24" s="13" t="n">
        <f aca="false">Operations!AK90+Operations!AK91+Operations!AK92+Operations!AK93+Operations!AK94</f>
        <v>29.8308247254886</v>
      </c>
      <c r="AL24" s="13" t="n">
        <f aca="false">Operations!AL90+Operations!AL91+Operations!AL92+Operations!AL93+Operations!AL94</f>
        <v>28.9660303950168</v>
      </c>
      <c r="AM24" s="13" t="n">
        <f aca="false">Operations!AM90+Operations!AM91+Operations!AM92+Operations!AM93+Operations!AM94</f>
        <v>30.2555652995079</v>
      </c>
      <c r="AN24" s="13" t="n">
        <f aca="false">Operations!AN90+Operations!AN91+Operations!AN92+Operations!AN93+Operations!AN94</f>
        <v>30.4467896285846</v>
      </c>
      <c r="AO24" s="13" t="n">
        <f aca="false">Operations!AO90+Operations!AO91+Operations!AO92+Operations!AO93+Operations!AO94</f>
        <v>31.3883892738407</v>
      </c>
      <c r="AP24" s="13" t="n">
        <f aca="false">Operations!AP90+Operations!AP91+Operations!AP92+Operations!AP93+Operations!AP94</f>
        <v>30.7754495980045</v>
      </c>
      <c r="AQ24" s="13" t="n">
        <f aca="false">Operations!AQ90+Operations!AQ91+Operations!AQ92+Operations!AQ93+Operations!AQ94</f>
        <v>31.9078305850272</v>
      </c>
      <c r="AR24" s="13" t="n">
        <f aca="false">Operations!AR90+Operations!AR91+Operations!AR92+Operations!AR93+Operations!AR94</f>
        <v>31.6421630396818</v>
      </c>
      <c r="AS24" s="13" t="n">
        <f aca="false">Operations!AS90+Operations!AS91+Operations!AS92+Operations!AS93+Operations!AS94</f>
        <v>32.0244281298117</v>
      </c>
      <c r="AT24" s="13" t="n">
        <f aca="false">Operations!AT90+Operations!AT91+Operations!AT92+Operations!AT93+Operations!AT94</f>
        <v>30.7123951687644</v>
      </c>
      <c r="AU24" s="13" t="n">
        <f aca="false">Operations!AU90+Operations!AU91+Operations!AU92+Operations!AU93+Operations!AU94</f>
        <v>32.2785746681732</v>
      </c>
      <c r="AV24" s="13" t="n">
        <f aca="false">Operations!AV90+Operations!AV91+Operations!AV92+Operations!AV93+Operations!AV94</f>
        <v>32.8845232327764</v>
      </c>
      <c r="AW24" s="13" t="n">
        <f aca="false">Operations!AW90+Operations!AW91+Operations!AW92+Operations!AW93+Operations!AW94</f>
        <v>33.9019369254648</v>
      </c>
      <c r="AX24" s="13" t="n">
        <f aca="false">Operations!AX90+Operations!AX91+Operations!AX92+Operations!AX93+Operations!AX94</f>
        <v>33.2392086611303</v>
      </c>
      <c r="AY24" s="13" t="n">
        <f aca="false">Operations!AY90+Operations!AY91+Operations!AY92+Operations!AY93+Operations!AY94</f>
        <v>34.4629078006078</v>
      </c>
      <c r="AZ24" s="13" t="n">
        <f aca="false">Operations!AZ90+Operations!AZ91+Operations!AZ92+Operations!AZ93+Operations!AZ94</f>
        <v>34.1757115161918</v>
      </c>
      <c r="BA24" s="13" t="n">
        <f aca="false">Operations!BA90+Operations!BA91+Operations!BA92+Operations!BA93+Operations!BA94</f>
        <v>34.7986485106814</v>
      </c>
      <c r="BB24" s="13" t="n">
        <f aca="false">Operations!BB90+Operations!BB91+Operations!BB92+Operations!BB93+Operations!BB94</f>
        <v>33.7876294522977</v>
      </c>
      <c r="BC24" s="13" t="n">
        <f aca="false">Operations!BC90+Operations!BC91+Operations!BC92+Operations!BC93+Operations!BC94</f>
        <v>35.2938596471839</v>
      </c>
      <c r="BD24" s="13" t="n">
        <f aca="false">Operations!BD90+Operations!BD91+Operations!BD92+Operations!BD93+Operations!BD94</f>
        <v>35.5176410401575</v>
      </c>
      <c r="BE24" s="13" t="n">
        <f aca="false">Operations!BE90+Operations!BE91+Operations!BE92+Operations!BE93+Operations!BE94</f>
        <v>36.6169514344385</v>
      </c>
      <c r="BF24" s="13" t="n">
        <f aca="false">Operations!BF90+Operations!BF91+Operations!BF92+Operations!BF93+Operations!BF94</f>
        <v>35.9004126655721</v>
      </c>
      <c r="BG24" s="13" t="n">
        <f aca="false">Operations!BG90+Operations!BG91+Operations!BG92+Operations!BG93+Operations!BG94</f>
        <v>37.2227635586869</v>
      </c>
      <c r="BH24" s="13" t="n">
        <f aca="false">Operations!BH90+Operations!BH91+Operations!BH92+Operations!BH93+Operations!BH94</f>
        <v>36.9122995841322</v>
      </c>
      <c r="BI24" s="13" t="n">
        <f aca="false">Operations!BI90+Operations!BI91+Operations!BI92+Operations!BI93+Operations!BI94</f>
        <v>37.357443312395</v>
      </c>
      <c r="BJ24" s="13" t="n">
        <f aca="false">Operations!BJ90+Operations!BJ91+Operations!BJ92+Operations!BJ93+Operations!BJ94</f>
        <v>35.8238140484636</v>
      </c>
      <c r="BK24" s="13" t="n">
        <f aca="false">Operations!BK90+Operations!BK91+Operations!BK92+Operations!BK93+Operations!BK94</f>
        <v>37.653080539787</v>
      </c>
      <c r="BL24" s="13" t="n">
        <f aca="false">Operations!BL90+Operations!BL91+Operations!BL92+Operations!BL93+Operations!BL94</f>
        <v>38.3617524515271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6.45123738793855</v>
      </c>
      <c r="AL25" s="13" t="n">
        <f aca="false">MAX(0,AL12)</f>
        <v>13.4387482611637</v>
      </c>
      <c r="AM25" s="13" t="n">
        <f aca="false">MAX(0,AM12)</f>
        <v>21.8648401415686</v>
      </c>
      <c r="AN25" s="13" t="n">
        <f aca="false">MAX(0,AN12)</f>
        <v>30.8141622011614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9.44609069121115</v>
      </c>
      <c r="P27" s="18" t="n">
        <f aca="false">Waterfall!P43</f>
        <v>15.8193268888995</v>
      </c>
      <c r="Q27" s="18" t="n">
        <f aca="false">Waterfall!Q43</f>
        <v>23.4815393727732</v>
      </c>
      <c r="R27" s="18" t="n">
        <f aca="false">Waterfall!R43</f>
        <v>31.5489984240967</v>
      </c>
      <c r="S27" s="18" t="n">
        <f aca="false">Waterfall!S43</f>
        <v>40.7821747223983</v>
      </c>
      <c r="T27" s="18" t="n">
        <f aca="false">Waterfall!T43</f>
        <v>50.4267894888981</v>
      </c>
      <c r="U27" s="18" t="n">
        <f aca="false">Waterfall!U43</f>
        <v>61.2330380942989</v>
      </c>
      <c r="V27" s="18" t="n">
        <f aca="false">Waterfall!V43</f>
        <v>70.2760850883358</v>
      </c>
      <c r="W27" s="18" t="n">
        <f aca="false">Waterfall!W43</f>
        <v>83.057131539936</v>
      </c>
      <c r="X27" s="18" t="n">
        <f aca="false">Waterfall!X43</f>
        <v>96.4268993850452</v>
      </c>
      <c r="Y27" s="18" t="n">
        <f aca="false">Waterfall!Y43</f>
        <v>107.883819529588</v>
      </c>
      <c r="Z27" s="18" t="n">
        <f aca="false">Waterfall!Z43</f>
        <v>114.401768612728</v>
      </c>
      <c r="AA27" s="18" t="n">
        <f aca="false">Waterfall!AA43</f>
        <v>121.834801996589</v>
      </c>
      <c r="AB27" s="18" t="n">
        <f aca="false">Waterfall!AB43</f>
        <v>129.755997213789</v>
      </c>
      <c r="AC27" s="18" t="n">
        <f aca="false">Waterfall!AC43</f>
        <v>138.665307809458</v>
      </c>
      <c r="AD27" s="18" t="n">
        <f aca="false">Waterfall!AD43</f>
        <v>138.876691228756</v>
      </c>
      <c r="AE27" s="18" t="n">
        <f aca="false">Waterfall!AE43</f>
        <v>150.097999929883</v>
      </c>
      <c r="AF27" s="18" t="n">
        <f aca="false">Waterfall!AF43</f>
        <v>161.408826423486</v>
      </c>
      <c r="AG27" s="18" t="n">
        <f aca="false">Waterfall!AG43</f>
        <v>173.730486866378</v>
      </c>
      <c r="AH27" s="18" t="n">
        <f aca="false">Waterfall!AH43</f>
        <v>186.951226532769</v>
      </c>
      <c r="AI27" s="18" t="n">
        <f aca="false">Waterfall!AI43</f>
        <v>201.395295086226</v>
      </c>
      <c r="AJ27" s="18" t="n">
        <f aca="false">Waterfall!AJ43</f>
        <v>216.816381836892</v>
      </c>
      <c r="AK27" s="18" t="n">
        <f aca="false">Waterfall!AK43</f>
        <v>233.567912178906</v>
      </c>
      <c r="AL27" s="18" t="n">
        <f aca="false">Waterfall!AL43</f>
        <v>249.496914580825</v>
      </c>
      <c r="AM27" s="18" t="n">
        <f aca="false">Waterfall!AM43</f>
        <v>268.780207951914</v>
      </c>
      <c r="AN27" s="18" t="n">
        <f aca="false">Waterfall!AN43</f>
        <v>289.281389702029</v>
      </c>
      <c r="AO27" s="18" t="n">
        <f aca="false">Waterfall!AO43</f>
        <v>311.521588869675</v>
      </c>
      <c r="AP27" s="18" t="n">
        <f aca="false">Waterfall!AP43</f>
        <v>328.557800899706</v>
      </c>
      <c r="AQ27" s="18" t="n">
        <f aca="false">Waterfall!AQ43</f>
        <v>313.489806857554</v>
      </c>
      <c r="AR27" s="18" t="n">
        <f aca="false">Waterfall!AR43</f>
        <v>297.900761093453</v>
      </c>
      <c r="AS27" s="18" t="n">
        <f aca="false">Waterfall!AS43</f>
        <v>282.750653755671</v>
      </c>
      <c r="AT27" s="18" t="n">
        <f aca="false">Waterfall!AT43</f>
        <v>250.563877064804</v>
      </c>
      <c r="AU27" s="18" t="n">
        <f aca="false">Waterfall!AU43</f>
        <v>233.401260008627</v>
      </c>
      <c r="AV27" s="18" t="n">
        <f aca="false">Waterfall!AV43</f>
        <v>216.052305153981</v>
      </c>
      <c r="AW27" s="18" t="n">
        <f aca="false">Waterfall!AW43</f>
        <v>199.235438051147</v>
      </c>
      <c r="AX27" s="18" t="n">
        <f aca="false">Waterfall!AX43</f>
        <v>181.886229689613</v>
      </c>
      <c r="AY27" s="18" t="n">
        <f aca="false">Waterfall!AY43</f>
        <v>165.072511106004</v>
      </c>
      <c r="AZ27" s="18" t="n">
        <f aca="false">Waterfall!AZ43</f>
        <v>147.722253612327</v>
      </c>
      <c r="BA27" s="18" t="n">
        <f aca="false">Waterfall!BA43</f>
        <v>131.319754303636</v>
      </c>
      <c r="BB27" s="18" t="n">
        <f aca="false">Waterfall!BB43</f>
        <v>111.431320526616</v>
      </c>
      <c r="BC27" s="18" t="n">
        <f aca="false">Waterfall!BC43</f>
        <v>97.4762570662057</v>
      </c>
      <c r="BD27" s="18" t="n">
        <f aca="false">Waterfall!BD43</f>
        <v>89.6356353309634</v>
      </c>
      <c r="BE27" s="18" t="n">
        <f aca="false">Waterfall!BE43</f>
        <v>82.3611506853409</v>
      </c>
      <c r="BF27" s="18" t="n">
        <f aca="false">Waterfall!BF43</f>
        <v>74.5551798034407</v>
      </c>
      <c r="BG27" s="18" t="n">
        <f aca="false">Waterfall!BG43</f>
        <v>67.3179477498877</v>
      </c>
      <c r="BH27" s="18" t="n">
        <f aca="false">Waterfall!BH43</f>
        <v>59.5447707155337</v>
      </c>
      <c r="BI27" s="18" t="n">
        <f aca="false">Waterfall!BI43</f>
        <v>52.2575095424249</v>
      </c>
      <c r="BJ27" s="18" t="n">
        <f aca="false">Waterfall!BJ43</f>
        <v>24.7856349961714</v>
      </c>
      <c r="BK27" s="18" t="n">
        <f aca="false">Waterfall!BK43</f>
        <v>15.0974083073033</v>
      </c>
      <c r="BL27" s="18" t="n">
        <f aca="false">Waterfall!BL43</f>
        <v>4.59637060959349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916.188845429561</v>
      </c>
      <c r="P28" s="13" t="n">
        <f aca="false">P22+P23+P24+P25+P26+P27</f>
        <v>902.970860103629</v>
      </c>
      <c r="Q28" s="13" t="n">
        <f aca="false">Q22+Q23+Q24+Q25+Q26+Q27</f>
        <v>893.174185169152</v>
      </c>
      <c r="R28" s="13" t="n">
        <f aca="false">R22+R23+R24+R25+R26+R27</f>
        <v>880.908176657116</v>
      </c>
      <c r="S28" s="13" t="n">
        <f aca="false">S22+S23+S24+S25+S26+S27</f>
        <v>871.21556605998</v>
      </c>
      <c r="T28" s="13" t="n">
        <f aca="false">T22+T23+T24+T25+T26+T27</f>
        <v>859.335830325945</v>
      </c>
      <c r="U28" s="13" t="n">
        <f aca="false">U22+U23+U24+U25+U26+U27</f>
        <v>849.425773871772</v>
      </c>
      <c r="V28" s="13" t="n">
        <f aca="false">V22+V23+V24+V25+V26+V27</f>
        <v>834.094142676185</v>
      </c>
      <c r="W28" s="13" t="n">
        <f aca="false">W22+W23+W24+W25+W26+W27</f>
        <v>822.683232945764</v>
      </c>
      <c r="X28" s="13" t="n">
        <f aca="false">X22+X23+X24+X25+X26+X27</f>
        <v>812.558057484729</v>
      </c>
      <c r="Y28" s="13" t="n">
        <f aca="false">Y22+Y23+Y24+Y25+Y26+Y27</f>
        <v>801.63345650961</v>
      </c>
      <c r="Z28" s="13" t="n">
        <f aca="false">Z22+Z23+Z24+Z25+Z26+Z27</f>
        <v>782.91103756766</v>
      </c>
      <c r="AA28" s="13" t="n">
        <f aca="false">AA22+AA23+AA24+AA25+AA26+AA27</f>
        <v>766.510981784708</v>
      </c>
      <c r="AB28" s="13" t="n">
        <f aca="false">AB22+AB23+AB24+AB25+AB26+AB27</f>
        <v>747.048444792008</v>
      </c>
      <c r="AC28" s="13" t="n">
        <f aca="false">AC22+AC23+AC24+AC25+AC26+AC27</f>
        <v>729.524997602801</v>
      </c>
      <c r="AD28" s="13" t="n">
        <f aca="false">AD22+AD23+AD24+AD25+AD26+AD27</f>
        <v>697.823318598726</v>
      </c>
      <c r="AE28" s="13" t="n">
        <f aca="false">AE22+AE23+AE24+AE25+AE26+AE27</f>
        <v>677.936664533434</v>
      </c>
      <c r="AF28" s="13" t="n">
        <f aca="false">AF22+AF23+AF24+AF25+AF26+AF27</f>
        <v>655.663870601846</v>
      </c>
      <c r="AG28" s="13" t="n">
        <f aca="false">AG22+AG23+AG24+AG25+AG26+AG27</f>
        <v>634.303246926821</v>
      </c>
      <c r="AH28" s="13" t="n">
        <f aca="false">AH22+AH23+AH24+AH25+AH26+AH27</f>
        <v>609.767239520542</v>
      </c>
      <c r="AI28" s="13" t="n">
        <f aca="false">AI22+AI23+AI24+AI25+AI26+AI27</f>
        <v>587.010092908463</v>
      </c>
      <c r="AJ28" s="13" t="n">
        <f aca="false">AJ22+AJ23+AJ24+AJ25+AJ26+AJ27</f>
        <v>561.145246617418</v>
      </c>
      <c r="AK28" s="13" t="n">
        <f aca="false">AK22+AK23+AK24+AK25+AK26+AK27</f>
        <v>542.179098556811</v>
      </c>
      <c r="AL28" s="13" t="n">
        <f aca="false">AL22+AL23+AL24+AL25+AL26+AL27</f>
        <v>520.085611912633</v>
      </c>
      <c r="AM28" s="13" t="n">
        <f aca="false">AM22+AM23+AM24+AM25+AM26+AM27</f>
        <v>500.520409420917</v>
      </c>
      <c r="AN28" s="13" t="n">
        <f aca="false">AN22+AN23+AN24+AN25+AN26+AN27</f>
        <v>485.902402058952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0.0352818865061036</v>
      </c>
      <c r="AC7" s="16" t="n">
        <f aca="false">IF(Debt!AC115&gt;Inputs!$F$253,Debt!AC112/Debt!AC115,0)</f>
        <v>0.0347904933490352</v>
      </c>
      <c r="AD7" s="16" t="n">
        <f aca="false">IF(Debt!AD115&gt;Inputs!$F$253,Debt!AD112/Debt!AD115,0)</f>
        <v>0.0347866183018009</v>
      </c>
      <c r="AE7" s="16" t="n">
        <f aca="false">IF(Debt!AE115&gt;Inputs!$F$253,Debt!AE112/Debt!AE115,0)</f>
        <v>0.034089582981237</v>
      </c>
      <c r="AF7" s="16" t="n">
        <f aca="false">IF(Debt!AF115&gt;Inputs!$F$253,Debt!AF112/Debt!AF115,0)</f>
        <v>0.0340237943393465</v>
      </c>
      <c r="AG7" s="16" t="n">
        <f aca="false">IF(Debt!AG115&gt;Inputs!$F$253,Debt!AG112/Debt!AG115,0)</f>
        <v>0.033963065694785</v>
      </c>
      <c r="AH7" s="16" t="n">
        <f aca="false">IF(Debt!AH115&gt;Inputs!$F$253,Debt!AH112/Debt!AH115,0)</f>
        <v>0.0335360887867949</v>
      </c>
      <c r="AI7" s="16" t="n">
        <f aca="false">IF(Debt!AI115&gt;Inputs!$F$253,Debt!AI112/Debt!AI115,0)</f>
        <v>0.0321590099738479</v>
      </c>
      <c r="AJ7" s="16" t="n">
        <f aca="false">IF(Debt!AJ115&gt;Inputs!$F$253,Debt!AJ112/Debt!AJ115,0)</f>
        <v>0.0308958940516962</v>
      </c>
      <c r="AK7" s="16" t="n">
        <f aca="false">IF(Debt!AK115&gt;Inputs!$F$253,Debt!AK112/Debt!AK115,0)</f>
        <v>0.0281929968483184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0.0352818865061036</v>
      </c>
      <c r="AC10" s="16" t="n">
        <f aca="false">IF(AC7&gt;0,AC7,$F$9)</f>
        <v>0.0347904933490352</v>
      </c>
      <c r="AD10" s="16" t="n">
        <f aca="false">IF(AD7&gt;0,AD7,$F$9)</f>
        <v>0.0347866183018009</v>
      </c>
      <c r="AE10" s="16" t="n">
        <f aca="false">IF(AE7&gt;0,AE7,$F$9)</f>
        <v>0.034089582981237</v>
      </c>
      <c r="AF10" s="16" t="n">
        <f aca="false">IF(AF7&gt;0,AF7,$F$9)</f>
        <v>0.0340237943393465</v>
      </c>
      <c r="AG10" s="16" t="n">
        <f aca="false">IF(AG7&gt;0,AG7,$F$9)</f>
        <v>0.033963065694785</v>
      </c>
      <c r="AH10" s="16" t="n">
        <f aca="false">IF(AH7&gt;0,AH7,$F$9)</f>
        <v>0.0335360887867949</v>
      </c>
      <c r="AI10" s="16" t="n">
        <f aca="false">IF(AI7&gt;0,AI7,$F$9)</f>
        <v>0.0321590099738479</v>
      </c>
      <c r="AJ10" s="16" t="n">
        <f aca="false">IF(AJ7&gt;0,AJ7,$F$9)</f>
        <v>0.0308958940516962</v>
      </c>
      <c r="AK10" s="16" t="n">
        <f aca="false">IF(AK7&gt;0,AK7,$F$9)</f>
        <v>0.0281929968483184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723.201328585832</v>
      </c>
      <c r="K11" s="13" t="n">
        <f aca="false">IF(Time!K20&lt;=$F$8,(Waterfall!K7+L11)/(1+K10),0)</f>
        <v>742.736396216101</v>
      </c>
      <c r="L11" s="13" t="n">
        <f aca="false">IF(Time!L20&lt;=$F$8,(Waterfall!L7+M11)/(1+L10),0)</f>
        <v>762.79914383289</v>
      </c>
      <c r="M11" s="13" t="n">
        <f aca="false">IF(Time!M20&lt;=$F$8,(Waterfall!M7+N11)/(1+M10),0)</f>
        <v>783.403825093951</v>
      </c>
      <c r="N11" s="13" t="n">
        <f aca="false">IF(Time!N20&lt;=$F$8,(Waterfall!N7+O11)/(1+N10),0)</f>
        <v>804.565078675921</v>
      </c>
      <c r="O11" s="13" t="n">
        <f aca="false">IF(Time!O20&lt;=$F$8,(Waterfall!O7+P11)/(1+O10),0)</f>
        <v>826.297938674424</v>
      </c>
      <c r="P11" s="13" t="n">
        <f aca="false">IF(Time!P20&lt;=$F$8,(Waterfall!P7+Q11)/(1+P10),0)</f>
        <v>846.914623340654</v>
      </c>
      <c r="Q11" s="13" t="n">
        <f aca="false">IF(Time!Q20&lt;=$F$8,(Waterfall!Q7+R11)/(1+Q10),0)</f>
        <v>826.737134030958</v>
      </c>
      <c r="R11" s="13" t="n">
        <f aca="false">IF(Time!R20&lt;=$F$8,(Waterfall!R7+S11)/(1+R10),0)</f>
        <v>805.709716085494</v>
      </c>
      <c r="S11" s="13" t="n">
        <f aca="false">IF(Time!S20&lt;=$F$8,(Waterfall!S7+T11)/(1+S10),0)</f>
        <v>783.649056455602</v>
      </c>
      <c r="T11" s="13" t="n">
        <f aca="false">IF(Time!T20&lt;=$F$8,(Waterfall!T7+U11)/(1+T10),0)</f>
        <v>760.949985135653</v>
      </c>
      <c r="U11" s="13" t="n">
        <f aca="false">IF(Time!U20&lt;=$F$8,(Waterfall!U7+V11)/(1+U10),0)</f>
        <v>737.211886269092</v>
      </c>
      <c r="V11" s="13" t="n">
        <f aca="false">IF(Time!V20&lt;=$F$8,(Waterfall!V7+W11)/(1+V10),0)</f>
        <v>712.726708902934</v>
      </c>
      <c r="W11" s="13" t="n">
        <f aca="false">IF(Time!W20&lt;=$F$8,(Waterfall!W7+X11)/(1+W10),0)</f>
        <v>686.627738754528</v>
      </c>
      <c r="X11" s="13" t="n">
        <f aca="false">IF(Time!X20&lt;=$F$8,(Waterfall!X7+Y11)/(1+X10),0)</f>
        <v>659.742320298646</v>
      </c>
      <c r="Y11" s="13" t="n">
        <f aca="false">IF(Time!Y20&lt;=$F$8,(Waterfall!Y7+Z11)/(1+Y10),0)</f>
        <v>633.683246617885</v>
      </c>
      <c r="Z11" s="13" t="n">
        <f aca="false">IF(Time!Z20&lt;=$F$8,(Waterfall!Z7+AA11)/(1+Z10),0)</f>
        <v>607.65418357115</v>
      </c>
      <c r="AA11" s="13" t="n">
        <f aca="false">IF(Time!AA20&lt;=$F$8,(Waterfall!AA7+AB11)/(1+AA10),0)</f>
        <v>580.558363523421</v>
      </c>
      <c r="AB11" s="13" t="n">
        <f aca="false">IF(Time!AB20&lt;=$F$8,(Waterfall!AB7+AC11)/(1+AB10),0)</f>
        <v>552.684464499827</v>
      </c>
      <c r="AC11" s="13" t="n">
        <f aca="false">IF(Time!AC20&lt;=$F$8,(Waterfall!AC7+AD11)/(1+AC10),0)</f>
        <v>523.378250517156</v>
      </c>
      <c r="AD11" s="13" t="n">
        <f aca="false">IF(Time!AD20&lt;=$F$8,(Waterfall!AD7+AE11)/(1+AD10),0)</f>
        <v>492.993227787256</v>
      </c>
      <c r="AE11" s="13" t="n">
        <f aca="false">IF(Time!AE20&lt;=$F$8,(Waterfall!AE7+AF11)/(1+AE10),0)</f>
        <v>459.654950081344</v>
      </c>
      <c r="AF11" s="13" t="n">
        <f aca="false">IF(Time!AF20&lt;=$F$8,(Waterfall!AF7+AG11)/(1+AF10),0)</f>
        <v>424.76079896569</v>
      </c>
      <c r="AG11" s="13" t="n">
        <f aca="false">IF(Time!AG20&lt;=$F$8,(Waterfall!AG7+AH11)/(1+AG10),0)</f>
        <v>388.507709949327</v>
      </c>
      <c r="AH11" s="13" t="n">
        <f aca="false">IF(Time!AH20&lt;=$F$8,(Waterfall!AH7+AI11)/(1+AH10),0)</f>
        <v>351.371588107525</v>
      </c>
      <c r="AI11" s="13" t="n">
        <f aca="false">IF(Time!AI20&lt;=$F$8,(Waterfall!AI7+AJ11)/(1+AI10),0)</f>
        <v>312.174530470795</v>
      </c>
      <c r="AJ11" s="13" t="n">
        <f aca="false">IF(Time!AJ20&lt;=$F$8,(Waterfall!AJ7+AK11)/(1+AJ10),0)</f>
        <v>271.647339370986</v>
      </c>
      <c r="AK11" s="13" t="n">
        <f aca="false">IF(Time!AK20&lt;=$F$8,(Waterfall!AK7+AL11)/(1+AK10),0)</f>
        <v>228.892604046342</v>
      </c>
      <c r="AL11" s="13" t="n">
        <f aca="false">IF(Time!AL20&lt;=$F$8,(Waterfall!AL7+AM11)/(1+AL10),0)</f>
        <v>184.444385991673</v>
      </c>
      <c r="AM11" s="13" t="n">
        <f aca="false">IF(Time!AM20&lt;=$F$8,(Waterfall!AM7+AN11)/(1+AM10),0)</f>
        <v>137.456996358285</v>
      </c>
      <c r="AN11" s="13" t="n">
        <f aca="false">IF(Time!AN20&lt;=$F$8,(Waterfall!AN7+AO11)/(1+AN10),0)</f>
        <v>89.5600266513636</v>
      </c>
      <c r="AO11" s="13" t="n">
        <f aca="false">IF(Time!AO20&lt;=$F$8,(Waterfall!AO7+AP11)/(1+AO10),0)</f>
        <v>42.2383734150535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985.261602482617</v>
      </c>
      <c r="K12" s="13" t="n">
        <f aca="false">IF(Time!K20&lt;=Time!$F$15,(Waterfall!K7+L12)/(1+K10),0)</f>
        <v>1011.87542532451</v>
      </c>
      <c r="L12" s="13" t="n">
        <f aca="false">IF(Time!L20&lt;=Time!$F$15,(Waterfall!L7+M12)/(1+L10),0)</f>
        <v>1039.20813903201</v>
      </c>
      <c r="M12" s="13" t="n">
        <f aca="false">IF(Time!M20&lt;=Time!$F$15,(Waterfall!M7+N12)/(1+M10),0)</f>
        <v>1067.27916223881</v>
      </c>
      <c r="N12" s="13" t="n">
        <f aca="false">IF(Time!N20&lt;=Time!$F$15,(Waterfall!N7+O12)/(1+N10),0)</f>
        <v>1096.10843811345</v>
      </c>
      <c r="O12" s="13" t="n">
        <f aca="false">IF(Time!O20&lt;=Time!$F$15,(Waterfall!O7+P12)/(1+O10),0)</f>
        <v>1125.7164485281</v>
      </c>
      <c r="P12" s="13" t="n">
        <f aca="false">IF(Time!P20&lt;=Time!$F$15,(Waterfall!P7+Q12)/(1+P10),0)</f>
        <v>1154.42100666545</v>
      </c>
      <c r="Q12" s="13" t="n">
        <f aca="false">IF(Time!Q20&lt;=Time!$F$15,(Waterfall!Q7+R12)/(1+Q10),0)</f>
        <v>1144.80822527929</v>
      </c>
      <c r="R12" s="13" t="n">
        <f aca="false">IF(Time!R20&lt;=Time!$F$15,(Waterfall!R7+S12)/(1+R10),0)</f>
        <v>1134.59918754683</v>
      </c>
      <c r="S12" s="13" t="n">
        <f aca="false">IF(Time!S20&lt;=Time!$F$15,(Waterfall!S7+T12)/(1+S10),0)</f>
        <v>1123.84601797689</v>
      </c>
      <c r="T12" s="13" t="n">
        <f aca="false">IF(Time!T20&lt;=Time!$F$15,(Waterfall!T7+U12)/(1+T10),0)</f>
        <v>1112.72202519673</v>
      </c>
      <c r="U12" s="13" t="n">
        <f aca="false">IF(Time!U20&lt;=Time!$F$15,(Waterfall!U7+V12)/(1+U10),0)</f>
        <v>1101.08249291079</v>
      </c>
      <c r="V12" s="13" t="n">
        <f aca="false">IF(Time!V20&lt;=Time!$F$15,(Waterfall!V7+W12)/(1+V10),0)</f>
        <v>1089.02258438366</v>
      </c>
      <c r="W12" s="13" t="n">
        <f aca="false">IF(Time!W20&lt;=Time!$F$15,(Waterfall!W7+X12)/(1+W10),0)</f>
        <v>1075.86563402376</v>
      </c>
      <c r="X12" s="13" t="n">
        <f aca="false">IF(Time!X20&lt;=Time!$F$15,(Waterfall!X7+Y12)/(1+X10),0)</f>
        <v>1062.22389413649</v>
      </c>
      <c r="Y12" s="13" t="n">
        <f aca="false">IF(Time!Y20&lt;=Time!$F$15,(Waterfall!Y7+Z12)/(1+Y10),0)</f>
        <v>1050.00745023865</v>
      </c>
      <c r="Z12" s="13" t="n">
        <f aca="false">IF(Time!Z20&lt;=Time!$F$15,(Waterfall!Z7+AA12)/(1+Z10),0)</f>
        <v>1038.58556233635</v>
      </c>
      <c r="AA12" s="13" t="n">
        <f aca="false">IF(Time!AA20&lt;=Time!$F$15,(Waterfall!AA7+AB12)/(1+AA10),0)</f>
        <v>1026.77583221678</v>
      </c>
      <c r="AB12" s="13" t="n">
        <f aca="false">IF(Time!AB20&lt;=Time!$F$15,(Waterfall!AB7+AC12)/(1+AB10),0)</f>
        <v>1014.55794516901</v>
      </c>
      <c r="AC12" s="13" t="n">
        <f aca="false">IF(Time!AC20&lt;=Time!$F$15,(Waterfall!AC7+AD12)/(1+AC10),0)</f>
        <v>1001.54749891148</v>
      </c>
      <c r="AD12" s="13" t="n">
        <f aca="false">IF(Time!AD20&lt;=Time!$F$15,(Waterfall!AD7+AE12)/(1+AD10),0)</f>
        <v>987.79822023756</v>
      </c>
      <c r="AE12" s="13" t="n">
        <f aca="false">IF(Time!AE20&lt;=Time!$F$15,(Waterfall!AE7+AF12)/(1+AE10),0)</f>
        <v>971.672534937842</v>
      </c>
      <c r="AF12" s="13" t="n">
        <f aca="false">IF(Time!AF20&lt;=Time!$F$15,(Waterfall!AF7+AG12)/(1+AF10),0)</f>
        <v>954.232849769006</v>
      </c>
      <c r="AG12" s="13" t="n">
        <f aca="false">IF(Time!AG20&lt;=Time!$F$15,(Waterfall!AG7+AH12)/(1+AG10),0)</f>
        <v>935.994408917607</v>
      </c>
      <c r="AH12" s="13" t="n">
        <f aca="false">IF(Time!AH20&lt;=Time!$F$15,(Waterfall!AH7+AI12)/(1+AH10),0)</f>
        <v>917.452613799886</v>
      </c>
      <c r="AI12" s="13" t="n">
        <f aca="false">IF(Time!AI20&lt;=Time!$F$15,(Waterfall!AI7+AJ12)/(1+AI10),0)</f>
        <v>897.239699701295</v>
      </c>
      <c r="AJ12" s="13" t="n">
        <f aca="false">IF(Time!AJ20&lt;=Time!$F$15,(Waterfall!AJ7+AK12)/(1+AJ10),0)</f>
        <v>875.52762521412</v>
      </c>
      <c r="AK12" s="13" t="n">
        <f aca="false">IF(Time!AK20&lt;=Time!$F$15,(Waterfall!AK7+AL12)/(1+AK10),0)</f>
        <v>851.430311220794</v>
      </c>
      <c r="AL12" s="13" t="n">
        <f aca="false">IF(Time!AL20&lt;=Time!$F$15,(Waterfall!AL7+AM12)/(1+AL10),0)</f>
        <v>824.533296782454</v>
      </c>
      <c r="AM12" s="13" t="n">
        <f aca="false">IF(Time!AM20&lt;=Time!$F$15,(Waterfall!AM7+AN12)/(1+AM10),0)</f>
        <v>794.920810912784</v>
      </c>
      <c r="AN12" s="13" t="n">
        <f aca="false">IF(Time!AN20&lt;=Time!$F$15,(Waterfall!AN7+AO12)/(1+AN10),0)</f>
        <v>764.783211348187</v>
      </c>
      <c r="AO12" s="13" t="n">
        <f aca="false">IF(Time!AO20&lt;=Time!$F$15,(Waterfall!AO7+AP12)/(1+AO10),0)</f>
        <v>735.79016474036</v>
      </c>
      <c r="AP12" s="13" t="n">
        <f aca="false">IF(Time!AP20&lt;=Time!$F$15,(Waterfall!AP7+AQ12)/(1+AP10),0)</f>
        <v>712.285967567941</v>
      </c>
      <c r="AQ12" s="13" t="n">
        <f aca="false">IF(Time!AQ20&lt;=Time!$F$15,(Waterfall!AQ7+AR12)/(1+AQ10),0)</f>
        <v>690.374015553488</v>
      </c>
      <c r="AR12" s="13" t="n">
        <f aca="false">IF(Time!AR20&lt;=Time!$F$15,(Waterfall!AR7+AS12)/(1+AR10),0)</f>
        <v>668.788931792809</v>
      </c>
      <c r="AS12" s="13" t="n">
        <f aca="false">IF(Time!AS20&lt;=Time!$F$15,(Waterfall!AS7+AT12)/(1+AS10),0)</f>
        <v>646.042081850578</v>
      </c>
      <c r="AT12" s="13" t="n">
        <f aca="false">IF(Time!AT20&lt;=Time!$F$15,(Waterfall!AT7+AU12)/(1+AT10),0)</f>
        <v>622.950458512446</v>
      </c>
      <c r="AU12" s="13" t="n">
        <f aca="false">IF(Time!AU20&lt;=Time!$F$15,(Waterfall!AU7+AV12)/(1+AU10),0)</f>
        <v>592.517525255124</v>
      </c>
      <c r="AV12" s="13" t="n">
        <f aca="false">IF(Time!AV20&lt;=Time!$F$15,(Waterfall!AV7+AW12)/(1+AV10),0)</f>
        <v>565.704094212971</v>
      </c>
      <c r="AW12" s="13" t="n">
        <f aca="false">IF(Time!AW20&lt;=Time!$F$15,(Waterfall!AW7+AX12)/(1+AW10),0)</f>
        <v>538.061317054998</v>
      </c>
      <c r="AX12" s="13" t="n">
        <f aca="false">IF(Time!AX20&lt;=Time!$F$15,(Waterfall!AX7+AY12)/(1+AX10),0)</f>
        <v>510.099431394325</v>
      </c>
      <c r="AY12" s="13" t="n">
        <f aca="false">IF(Time!AY20&lt;=Time!$F$15,(Waterfall!AY7+AZ12)/(1+AY10),0)</f>
        <v>480.726241986793</v>
      </c>
      <c r="AZ12" s="13" t="n">
        <f aca="false">IF(Time!AZ20&lt;=Time!$F$15,(Waterfall!AZ7+BA12)/(1+AZ10),0)</f>
        <v>451.019810206826</v>
      </c>
      <c r="BA12" s="13" t="n">
        <f aca="false">IF(Time!BA20&lt;=Time!$F$15,(Waterfall!BA7+BB12)/(1+BA10),0)</f>
        <v>419.912315503781</v>
      </c>
      <c r="BB12" s="13" t="n">
        <f aca="false">IF(Time!BB20&lt;=Time!$F$15,(Waterfall!BB7+BC12)/(1+BB10),0)</f>
        <v>388.266899067387</v>
      </c>
      <c r="BC12" s="13" t="n">
        <f aca="false">IF(Time!BC20&lt;=Time!$F$15,(Waterfall!BC7+BD12)/(1+BC10),0)</f>
        <v>353.536447912068</v>
      </c>
      <c r="BD12" s="13" t="n">
        <f aca="false">IF(Time!BD20&lt;=Time!$F$15,(Waterfall!BD7+BE12)/(1+BD10),0)</f>
        <v>321.271720810395</v>
      </c>
      <c r="BE12" s="13" t="n">
        <f aca="false">IF(Time!BE20&lt;=Time!$F$15,(Waterfall!BE7+BF12)/(1+BE10),0)</f>
        <v>294.254724275004</v>
      </c>
      <c r="BF12" s="13" t="n">
        <f aca="false">IF(Time!BF20&lt;=Time!$F$15,(Waterfall!BF7+BG12)/(1+BF10),0)</f>
        <v>266.944405668246</v>
      </c>
      <c r="BG12" s="13" t="n">
        <f aca="false">IF(Time!BG20&lt;=Time!$F$15,(Waterfall!BG7+BH12)/(1+BG10),0)</f>
        <v>238.212634830249</v>
      </c>
      <c r="BH12" s="13" t="n">
        <f aca="false">IF(Time!BH20&lt;=Time!$F$15,(Waterfall!BH7+BI12)/(1+BH10),0)</f>
        <v>209.17595312449</v>
      </c>
      <c r="BI12" s="13" t="n">
        <f aca="false">IF(Time!BI20&lt;=Time!$F$15,(Waterfall!BI7+BJ12)/(1+BI10),0)</f>
        <v>178.734776981429</v>
      </c>
      <c r="BJ12" s="13" t="n">
        <f aca="false">IF(Time!BJ20&lt;=Time!$F$15,(Waterfall!BJ7+BK12)/(1+BJ10),0)</f>
        <v>147.737562026909</v>
      </c>
      <c r="BK12" s="13" t="n">
        <f aca="false">IF(Time!BK20&lt;=Time!$F$15,(Waterfall!BK7+BL12)/(1+BK10),0)</f>
        <v>107.897711940823</v>
      </c>
      <c r="BL12" s="13" t="n">
        <f aca="false">IF(Time!BL20&lt;=Time!$F$15,(Waterfall!BL7+BM12)/(1+BL10),0)</f>
        <v>72.2365686257</v>
      </c>
      <c r="BM12" s="13" t="n">
        <f aca="false">IF(Time!BM20&lt;=Time!$F$15,(Waterfall!BM7+BN12)/(1+BM10),0)</f>
        <v>34.8859388012932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1.39621346331536</v>
      </c>
      <c r="Q13" s="6" t="n">
        <f aca="false">IF(Debt!Q115&gt;Inputs!$F$253,(Q11+Reserves!Q9)/Debt!Q115,0)</f>
        <v>1.39841588216296</v>
      </c>
      <c r="R13" s="6" t="n">
        <f aca="false">IF(Debt!R115&gt;Inputs!$F$253,(R11+Reserves!R9)/Debt!R115,0)</f>
        <v>1.40177039864902</v>
      </c>
      <c r="S13" s="6" t="n">
        <f aca="false">IF(Debt!S115&gt;Inputs!$F$253,(S11+Reserves!S9)/Debt!S115,0)</f>
        <v>1.40415571056752</v>
      </c>
      <c r="T13" s="6" t="n">
        <f aca="false">IF(Debt!T115&gt;Inputs!$F$253,(T11+Reserves!T9)/Debt!T115,0)</f>
        <v>1.40804645741098</v>
      </c>
      <c r="U13" s="6" t="n">
        <f aca="false">IF(Debt!U115&gt;Inputs!$F$253,(U11+Reserves!U9)/Debt!U115,0)</f>
        <v>1.41126495945784</v>
      </c>
      <c r="V13" s="6" t="n">
        <f aca="false">IF(Debt!V115&gt;Inputs!$F$253,(V11+Reserves!V9)/Debt!V115,0)</f>
        <v>1.41654127475396</v>
      </c>
      <c r="W13" s="6" t="n">
        <f aca="false">IF(Debt!W115&gt;Inputs!$F$253,(W11+Reserves!W9)/Debt!W115,0)</f>
        <v>1.42054612360495</v>
      </c>
      <c r="X13" s="6" t="n">
        <f aca="false">IF(Debt!X115&gt;Inputs!$F$253,(X11+Reserves!X9)/Debt!X115,0)</f>
        <v>1.42335723177741</v>
      </c>
      <c r="Y13" s="6" t="n">
        <f aca="false">IF(Debt!Y115&gt;Inputs!$F$253,(Y11+Reserves!Y9)/Debt!Y115,0)</f>
        <v>1.42801006489977</v>
      </c>
      <c r="Z13" s="6" t="n">
        <f aca="false">IF(Debt!Z115&gt;Inputs!$F$253,(Z11+Reserves!Z9)/Debt!Z115,0)</f>
        <v>1.4346392778255</v>
      </c>
      <c r="AA13" s="6" t="n">
        <f aca="false">IF(Debt!AA115&gt;Inputs!$F$253,(AA11+Reserves!AA9)/Debt!AA115,0)</f>
        <v>1.44080624211798</v>
      </c>
      <c r="AB13" s="6" t="n">
        <f aca="false">IF(Debt!AB115&gt;Inputs!$F$253,(AB11+Reserves!AB9)/Debt!AB115,0)</f>
        <v>1.46996333442225</v>
      </c>
      <c r="AC13" s="6" t="n">
        <f aca="false">IF(Debt!AC115&gt;Inputs!$F$253,(AC11+Reserves!AC9)/Debt!AC115,0)</f>
        <v>1.50308408326507</v>
      </c>
      <c r="AD13" s="6" t="n">
        <f aca="false">IF(Debt!AD115&gt;Inputs!$F$253,(AD11+Reserves!AD9)/Debt!AD115,0)</f>
        <v>1.54252954574485</v>
      </c>
      <c r="AE13" s="6" t="n">
        <f aca="false">IF(Debt!AE115&gt;Inputs!$F$253,(AE11+Reserves!AE9)/Debt!AE115,0)</f>
        <v>1.59041541109989</v>
      </c>
      <c r="AF13" s="6" t="n">
        <f aca="false">IF(Debt!AF115&gt;Inputs!$F$253,(AF11+Reserves!AF9)/Debt!AF115,0)</f>
        <v>1.64892172131101</v>
      </c>
      <c r="AG13" s="6" t="n">
        <f aca="false">IF(Debt!AG115&gt;Inputs!$F$253,(AG11+Reserves!AG9)/Debt!AG115,0)</f>
        <v>1.7221440492225</v>
      </c>
      <c r="AH13" s="6" t="n">
        <f aca="false">IF(Debt!AH115&gt;Inputs!$F$253,(AH11+Reserves!AH9)/Debt!AH115,0)</f>
        <v>1.81631005523901</v>
      </c>
      <c r="AI13" s="6" t="n">
        <f aca="false">IF(Debt!AI115&gt;Inputs!$F$253,(AI11+Reserves!AI9)/Debt!AI115,0)</f>
        <v>1.94548579657843</v>
      </c>
      <c r="AJ13" s="6" t="n">
        <f aca="false">IF(Debt!AJ115&gt;Inputs!$F$253,(AJ11+Reserves!AJ9)/Debt!AJ115,0)</f>
        <v>2.13152225774583</v>
      </c>
      <c r="AK13" s="6" t="n">
        <f aca="false">IF(Debt!AK115&gt;Inputs!$F$253,(AK11+Reserves!AK9)/Debt!AK115,0)</f>
        <v>2.4350905109137</v>
      </c>
      <c r="AL13" s="6" t="n">
        <f aca="false">IF(Debt!AL115&gt;Inputs!$F$253,(AL11+Reserves!AL9)/Debt!AL115,0)</f>
        <v>2.61524039063307</v>
      </c>
      <c r="AM13" s="6" t="n">
        <f aca="false">IF(Debt!AM115&gt;Inputs!$F$253,(AM11+Reserves!AM9)/Debt!AM115,0)</f>
        <v>2.75086126492687</v>
      </c>
      <c r="AN13" s="6" t="n">
        <f aca="false">IF(Debt!AN115&gt;Inputs!$F$253,(AN11+Reserves!AN9)/Debt!AN115,0)</f>
        <v>2.9739062204316</v>
      </c>
      <c r="AO13" s="6" t="n">
        <f aca="false">IF(Debt!AO115&gt;Inputs!$F$253,(AO11+Reserves!AO9)/Debt!AO115,0)</f>
        <v>3.32149650675384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1.33739697065586</v>
      </c>
      <c r="Q14" s="6" t="n">
        <f aca="false">IF(Debt!Q115&gt;Inputs!$F$253,Q11/Debt!Q115,0)</f>
        <v>1.33826851119694</v>
      </c>
      <c r="R14" s="6" t="n">
        <f aca="false">IF(Debt!R115&gt;Inputs!$F$253,R11/Debt!R115,0)</f>
        <v>1.3392313824958</v>
      </c>
      <c r="S14" s="6" t="n">
        <f aca="false">IF(Debt!S115&gt;Inputs!$F$253,S11/Debt!S115,0)</f>
        <v>1.34030320177614</v>
      </c>
      <c r="T14" s="6" t="n">
        <f aca="false">IF(Debt!T115&gt;Inputs!$F$253,T11/Debt!T115,0)</f>
        <v>1.34149407428399</v>
      </c>
      <c r="U14" s="6" t="n">
        <f aca="false">IF(Debt!U115&gt;Inputs!$F$253,U11/Debt!U115,0)</f>
        <v>1.34283001574205</v>
      </c>
      <c r="V14" s="6" t="n">
        <f aca="false">IF(Debt!V115&gt;Inputs!$F$253,V11/Debt!V115,0)</f>
        <v>1.34432374764689</v>
      </c>
      <c r="W14" s="6" t="n">
        <f aca="false">IF(Debt!W115&gt;Inputs!$F$253,W11/Debt!W115,0)</f>
        <v>1.34600851743646</v>
      </c>
      <c r="X14" s="6" t="n">
        <f aca="false">IF(Debt!X115&gt;Inputs!$F$253,X11/Debt!X115,0)</f>
        <v>1.3479124910017</v>
      </c>
      <c r="Y14" s="6" t="n">
        <f aca="false">IF(Debt!Y115&gt;Inputs!$F$253,Y11/Debt!Y115,0)</f>
        <v>1.3500949520163</v>
      </c>
      <c r="Z14" s="6" t="n">
        <f aca="false">IF(Debt!Z115&gt;Inputs!$F$253,Z11/Debt!Z115,0)</f>
        <v>1.35256789056251</v>
      </c>
      <c r="AA14" s="6" t="n">
        <f aca="false">IF(Debt!AA115&gt;Inputs!$F$253,AA11/Debt!AA115,0)</f>
        <v>1.35541704508409</v>
      </c>
      <c r="AB14" s="6" t="n">
        <f aca="false">IF(Debt!AB115&gt;Inputs!$F$253,AB11/Debt!AB115,0)</f>
        <v>1.37771877156239</v>
      </c>
      <c r="AC14" s="6" t="n">
        <f aca="false">IF(Debt!AC115&gt;Inputs!$F$253,AC11/Debt!AC115,0)</f>
        <v>1.40566336231076</v>
      </c>
      <c r="AD14" s="6" t="n">
        <f aca="false">IF(Debt!AD115&gt;Inputs!$F$253,AD11/Debt!AD115,0)</f>
        <v>1.43501810009497</v>
      </c>
      <c r="AE14" s="6" t="n">
        <f aca="false">IF(Debt!AE115&gt;Inputs!$F$253,AE11/Debt!AE115,0)</f>
        <v>1.47407842712493</v>
      </c>
      <c r="AF14" s="6" t="n">
        <f aca="false">IF(Debt!AF115&gt;Inputs!$F$253,AF11/Debt!AF115,0)</f>
        <v>1.52190400014586</v>
      </c>
      <c r="AG14" s="6" t="n">
        <f aca="false">IF(Debt!AG115&gt;Inputs!$F$253,AG11/Debt!AG115,0)</f>
        <v>1.58320173223258</v>
      </c>
      <c r="AH14" s="6" t="n">
        <f aca="false">IF(Debt!AH115&gt;Inputs!$F$253,AH11/Debt!AH115,0)</f>
        <v>1.6593661896965</v>
      </c>
      <c r="AI14" s="6" t="n">
        <f aca="false">IF(Debt!AI115&gt;Inputs!$F$253,AI11/Debt!AI115,0)</f>
        <v>1.76705231228072</v>
      </c>
      <c r="AJ14" s="6" t="n">
        <f aca="false">IF(Debt!AJ115&gt;Inputs!$F$253,AJ11/Debt!AJ115,0)</f>
        <v>1.9195651152617</v>
      </c>
      <c r="AK14" s="6" t="n">
        <f aca="false">IF(Debt!AK115&gt;Inputs!$F$253,AK11/Debt!AK115,0)</f>
        <v>2.17323326598222</v>
      </c>
      <c r="AL14" s="6" t="n">
        <f aca="false">IF(Debt!AL115&gt;Inputs!$F$253,AL11/Debt!AL115,0)</f>
        <v>2.30333591956309</v>
      </c>
      <c r="AM14" s="6" t="n">
        <f aca="false">IF(Debt!AM115&gt;Inputs!$F$253,AM11/Debt!AM115,0)</f>
        <v>2.34821985326026</v>
      </c>
      <c r="AN14" s="6" t="n">
        <f aca="false">IF(Debt!AN115&gt;Inputs!$F$253,AN11/Debt!AN115,0)</f>
        <v>2.45043805221193</v>
      </c>
      <c r="AO14" s="6" t="n">
        <f aca="false">IF(Debt!AO115&gt;Inputs!$F$253,AO11/Debt!AO115,0)</f>
        <v>2.29448457126906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1.82299267792292</v>
      </c>
      <c r="Q15" s="6" t="n">
        <f aca="false">IF(Debt!Q115&gt;Inputs!$F$253,Q12/Debt!Q115,0)</f>
        <v>1.85314138700966</v>
      </c>
      <c r="R15" s="6" t="n">
        <f aca="false">IF(Debt!R115&gt;Inputs!$F$253,R12/Debt!R115,0)</f>
        <v>1.88590358063364</v>
      </c>
      <c r="S15" s="6" t="n">
        <f aca="false">IF(Debt!S115&gt;Inputs!$F$253,S12/Debt!S115,0)</f>
        <v>1.92215431613058</v>
      </c>
      <c r="T15" s="6" t="n">
        <f aca="false">IF(Debt!T115&gt;Inputs!$F$253,T12/Debt!T115,0)</f>
        <v>1.96164009762166</v>
      </c>
      <c r="U15" s="6" t="n">
        <f aca="false">IF(Debt!U115&gt;Inputs!$F$253,U12/Debt!U115,0)</f>
        <v>2.00561961740941</v>
      </c>
      <c r="V15" s="6" t="n">
        <f aca="false">IF(Debt!V115&gt;Inputs!$F$253,V12/Debt!V115,0)</f>
        <v>2.05408174497095</v>
      </c>
      <c r="W15" s="6" t="n">
        <f aca="false">IF(Debt!W115&gt;Inputs!$F$253,W12/Debt!W115,0)</f>
        <v>2.10903845749068</v>
      </c>
      <c r="X15" s="6" t="n">
        <f aca="false">IF(Debt!X115&gt;Inputs!$F$253,X12/Debt!X115,0)</f>
        <v>2.17021829749972</v>
      </c>
      <c r="Y15" s="6" t="n">
        <f aca="false">IF(Debt!Y115&gt;Inputs!$F$253,Y12/Debt!Y115,0)</f>
        <v>2.23709521391455</v>
      </c>
      <c r="Z15" s="6" t="n">
        <f aca="false">IF(Debt!Z115&gt;Inputs!$F$253,Z12/Debt!Z115,0)</f>
        <v>2.3117712692477</v>
      </c>
      <c r="AA15" s="6" t="n">
        <f aca="false">IF(Debt!AA115&gt;Inputs!$F$253,AA12/Debt!AA115,0)</f>
        <v>2.39719131082828</v>
      </c>
      <c r="AB15" s="6" t="n">
        <f aca="false">IF(Debt!AB115&gt;Inputs!$F$253,AB12/Debt!AB115,0)</f>
        <v>2.52906606875965</v>
      </c>
      <c r="AC15" s="6" t="n">
        <f aca="false">IF(Debt!AC115&gt;Inputs!$F$253,AC12/Debt!AC115,0)</f>
        <v>2.68990662764978</v>
      </c>
      <c r="AD15" s="6" t="n">
        <f aca="false">IF(Debt!AD115&gt;Inputs!$F$253,AD12/Debt!AD115,0)</f>
        <v>2.87530993406303</v>
      </c>
      <c r="AE15" s="6" t="n">
        <f aca="false">IF(Debt!AE115&gt;Inputs!$F$253,AE12/Debt!AE115,0)</f>
        <v>3.11607983712173</v>
      </c>
      <c r="AF15" s="6" t="n">
        <f aca="false">IF(Debt!AF115&gt;Inputs!$F$253,AF12/Debt!AF115,0)</f>
        <v>3.41898497853456</v>
      </c>
      <c r="AG15" s="6" t="n">
        <f aca="false">IF(Debt!AG115&gt;Inputs!$F$253,AG12/Debt!AG115,0)</f>
        <v>3.81425627242159</v>
      </c>
      <c r="AH15" s="6" t="n">
        <f aca="false">IF(Debt!AH115&gt;Inputs!$F$253,AH12/Debt!AH115,0)</f>
        <v>4.33270617066039</v>
      </c>
      <c r="AI15" s="6" t="n">
        <f aca="false">IF(Debt!AI115&gt;Inputs!$F$253,AI12/Debt!AI115,0)</f>
        <v>5.07879192974572</v>
      </c>
      <c r="AJ15" s="6" t="n">
        <f aca="false">IF(Debt!AJ115&gt;Inputs!$F$253,AJ12/Debt!AJ115,0)</f>
        <v>6.18681666715579</v>
      </c>
      <c r="AK15" s="6" t="n">
        <f aca="false">IF(Debt!AK115&gt;Inputs!$F$253,AK12/Debt!AK115,0)</f>
        <v>8.08395135229445</v>
      </c>
      <c r="AL15" s="6" t="n">
        <f aca="false">IF(Debt!AL115&gt;Inputs!$F$253,AL12/Debt!AL115,0)</f>
        <v>10.2967468982251</v>
      </c>
      <c r="AM15" s="6" t="n">
        <f aca="false">IF(Debt!AM115&gt;Inputs!$F$253,AM12/Debt!AM115,0)</f>
        <v>13.5798750111611</v>
      </c>
      <c r="AN15" s="6" t="n">
        <f aca="false">IF(Debt!AN115&gt;Inputs!$F$253,AN12/Debt!AN115,0)</f>
        <v>20.9251152869314</v>
      </c>
      <c r="AO15" s="6" t="n">
        <f aca="false">IF(Debt!AO115&gt;Inputs!$F$253,AO12/Debt!AO115,0)</f>
        <v>39.9697962821312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1.31905245222409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1.50731891410777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1.39621346331536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1.82299267792292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1130.42556785571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13.8203448751002</v>
      </c>
      <c r="BS8" s="18" t="n">
        <f aca="false">Waterfall!Q44</f>
        <v>11.5219964159591</v>
      </c>
      <c r="BT8" s="18" t="n">
        <f aca="false">Waterfall!R44</f>
        <v>12.4283086955183</v>
      </c>
      <c r="BU8" s="18" t="n">
        <f aca="false">Waterfall!S44</f>
        <v>11.6112291766713</v>
      </c>
      <c r="BV8" s="18" t="n">
        <f aca="false">Waterfall!T44</f>
        <v>12.3389121190739</v>
      </c>
      <c r="BW8" s="18" t="n">
        <f aca="false">Waterfall!U44</f>
        <v>11.3711945445318</v>
      </c>
      <c r="BX8" s="18" t="n">
        <f aca="false">Waterfall!V44</f>
        <v>12.5886958837596</v>
      </c>
      <c r="BY8" s="18" t="n">
        <f aca="false">Waterfall!W44</f>
        <v>13.3208837852162</v>
      </c>
      <c r="BZ8" s="18" t="n">
        <f aca="false">Waterfall!X44</f>
        <v>12.1793320551556</v>
      </c>
      <c r="CA8" s="18" t="n">
        <f aca="false">Waterfall!Y44</f>
        <v>11.3911470665381</v>
      </c>
      <c r="CB8" s="18" t="n">
        <f aca="false">Waterfall!Z44</f>
        <v>12.0763717067075</v>
      </c>
      <c r="CC8" s="18" t="n">
        <f aca="false">Waterfall!AA44</f>
        <v>5.61932739589651</v>
      </c>
      <c r="CD8" s="18" t="n">
        <f aca="false">Waterfall!AB44</f>
        <v>6.56016162692373</v>
      </c>
      <c r="CE8" s="18" t="n">
        <f aca="false">Waterfall!AC44</f>
        <v>6.18758734356492</v>
      </c>
      <c r="CF8" s="18" t="n">
        <f aca="false">Waterfall!AD44</f>
        <v>7.4756244853783</v>
      </c>
      <c r="CG8" s="18" t="n">
        <f aca="false">Waterfall!AE44</f>
        <v>8.03297406816327</v>
      </c>
      <c r="CH8" s="18" t="n">
        <f aca="false">Waterfall!AF44</f>
        <v>8.85934137501908</v>
      </c>
      <c r="CI8" s="18" t="n">
        <f aca="false">Waterfall!AG44</f>
        <v>9.21613508858781</v>
      </c>
      <c r="CJ8" s="18" t="n">
        <f aca="false">Waterfall!AH44</f>
        <v>10.5030891678893</v>
      </c>
      <c r="CK8" s="18" t="n">
        <f aca="false">Waterfall!AI44</f>
        <v>11.2637669765511</v>
      </c>
      <c r="CL8" s="18" t="n">
        <f aca="false">Waterfall!AJ44</f>
        <v>12.999172585913</v>
      </c>
      <c r="CM8" s="18" t="n">
        <f aca="false">Waterfall!AK44</f>
        <v>25.2888703553279</v>
      </c>
      <c r="CN8" s="18" t="n">
        <f aca="false">Waterfall!AL44</f>
        <v>29.6871069504077</v>
      </c>
      <c r="CO8" s="18" t="n">
        <f aca="false">Waterfall!AM44</f>
        <v>32.4779319696195</v>
      </c>
      <c r="CP8" s="18" t="n">
        <f aca="false">Waterfall!AN44</f>
        <v>30.8468090767604</v>
      </c>
      <c r="CQ8" s="18" t="n">
        <f aca="false">Waterfall!AO44</f>
        <v>43.3793136327231</v>
      </c>
      <c r="CR8" s="18" t="n">
        <f aca="false">Waterfall!AP44</f>
        <v>41.1521746171139</v>
      </c>
      <c r="CS8" s="18" t="n">
        <f aca="false">Waterfall!AQ44</f>
        <v>40.2334221291795</v>
      </c>
      <c r="CT8" s="18" t="n">
        <f aca="false">Waterfall!AR44</f>
        <v>40.812133420755</v>
      </c>
      <c r="CU8" s="18" t="n">
        <f aca="false">Waterfall!AS44</f>
        <v>40.5424703735348</v>
      </c>
      <c r="CV8" s="18" t="n">
        <f aca="false">Waterfall!AT44</f>
        <v>47.260030852876</v>
      </c>
      <c r="CW8" s="18" t="n">
        <f aca="false">Waterfall!AU44</f>
        <v>42.8184762079473</v>
      </c>
      <c r="CX8" s="18" t="n">
        <f aca="false">Waterfall!AV44</f>
        <v>42.9235396543305</v>
      </c>
      <c r="CY8" s="18" t="n">
        <f aca="false">Waterfall!AW44</f>
        <v>42.4959632438198</v>
      </c>
      <c r="CZ8" s="18" t="n">
        <f aca="false">Waterfall!AX44</f>
        <v>43.1519623391802</v>
      </c>
      <c r="DA8" s="18" t="n">
        <f aca="false">Waterfall!AY44</f>
        <v>42.691778014356</v>
      </c>
      <c r="DB8" s="18" t="n">
        <f aca="false">Waterfall!AZ44</f>
        <v>43.29041271871</v>
      </c>
      <c r="DC8" s="18" t="n">
        <f aca="false">Waterfall!BA44</f>
        <v>42.49309242544</v>
      </c>
      <c r="DD8" s="18" t="n">
        <f aca="false">Waterfall!BB44</f>
        <v>43.7171413291587</v>
      </c>
      <c r="DE8" s="18" t="n">
        <f aca="false">Waterfall!BC44</f>
        <v>40.2968577508507</v>
      </c>
      <c r="DF8" s="18" t="n">
        <f aca="false">Waterfall!BD44</f>
        <v>34.16099197076</v>
      </c>
      <c r="DG8" s="18" t="n">
        <f aca="false">Waterfall!BE44</f>
        <v>33.707748554011</v>
      </c>
      <c r="DH8" s="18" t="n">
        <f aca="false">Waterfall!BF44</f>
        <v>34.3745284793592</v>
      </c>
      <c r="DI8" s="18" t="n">
        <f aca="false">Waterfall!BG44</f>
        <v>33.8861852355174</v>
      </c>
      <c r="DJ8" s="18" t="n">
        <f aca="false">Waterfall!BH44</f>
        <v>34.4890016679586</v>
      </c>
      <c r="DK8" s="18" t="n">
        <f aca="false">Waterfall!BI44</f>
        <v>34.2052346478264</v>
      </c>
      <c r="DL8" s="18" t="n">
        <f aca="false">Waterfall!BJ44</f>
        <v>42.1928524741974</v>
      </c>
      <c r="DM8" s="18" t="n">
        <f aca="false">Waterfall!BK44</f>
        <v>36.9200778210503</v>
      </c>
      <c r="DN8" s="18" t="n">
        <f aca="false">Waterfall!BL44</f>
        <v>37.6281753973958</v>
      </c>
      <c r="DO8" s="18" t="n">
        <f aca="false">Waterfall!BM44</f>
        <v>53.7694556914808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1551.62568435127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1.70322194445222</v>
      </c>
      <c r="BR9" s="18" t="n">
        <f aca="false">Waterfall!P7</f>
        <v>49.2741393857949</v>
      </c>
      <c r="BS9" s="18" t="n">
        <f aca="false">Waterfall!Q7</f>
        <v>49.146781503637</v>
      </c>
      <c r="BT9" s="18" t="n">
        <f aca="false">Waterfall!R7</f>
        <v>49.7616211880753</v>
      </c>
      <c r="BU9" s="18" t="n">
        <f aca="false">Waterfall!S7</f>
        <v>49.3624469584191</v>
      </c>
      <c r="BV9" s="18" t="n">
        <f aca="false">Waterfall!T7</f>
        <v>49.9096048739266</v>
      </c>
      <c r="BW9" s="18" t="n">
        <f aca="false">Waterfall!U7</f>
        <v>49.6591147796902</v>
      </c>
      <c r="BX9" s="18" t="n">
        <f aca="false">Waterfall!V7</f>
        <v>50.6119233096294</v>
      </c>
      <c r="BY9" s="18" t="n">
        <f aca="false">Waterfall!W7</f>
        <v>50.2476788598056</v>
      </c>
      <c r="BZ9" s="18" t="n">
        <f aca="false">Waterfall!X7</f>
        <v>48.7497240997007</v>
      </c>
      <c r="CA9" s="18" t="n">
        <f aca="false">Waterfall!Y7</f>
        <v>48.2625101750522</v>
      </c>
      <c r="CB9" s="18" t="n">
        <f aca="false">Waterfall!Z7</f>
        <v>48.6506590615619</v>
      </c>
      <c r="CC9" s="18" t="n">
        <f aca="false">Waterfall!AA7</f>
        <v>48.2434034237692</v>
      </c>
      <c r="CD9" s="18" t="n">
        <f aca="false">Waterfall!AB7</f>
        <v>48.8059645328406</v>
      </c>
      <c r="CE9" s="18" t="n">
        <f aca="false">Waterfall!AC7</f>
        <v>48.5936102735477</v>
      </c>
      <c r="CF9" s="18" t="n">
        <f aca="false">Waterfall!AD7</f>
        <v>50.4878449463201</v>
      </c>
      <c r="CG9" s="18" t="n">
        <f aca="false">Waterfall!AE7</f>
        <v>50.5635966791877</v>
      </c>
      <c r="CH9" s="18" t="n">
        <f aca="false">Waterfall!AF7</f>
        <v>50.7050630837884</v>
      </c>
      <c r="CI9" s="18" t="n">
        <f aca="false">Waterfall!AG7</f>
        <v>50.3310347177414</v>
      </c>
      <c r="CJ9" s="18" t="n">
        <f aca="false">Waterfall!AH7</f>
        <v>50.9806864126608</v>
      </c>
      <c r="CK9" s="18" t="n">
        <f aca="false">Waterfall!AI7</f>
        <v>50.5664149388007</v>
      </c>
      <c r="CL9" s="18" t="n">
        <f aca="false">Waterfall!AJ7</f>
        <v>51.1475227412747</v>
      </c>
      <c r="CM9" s="18" t="n">
        <f aca="false">Waterfall!AK7</f>
        <v>50.901386519151</v>
      </c>
      <c r="CN9" s="18" t="n">
        <f aca="false">Waterfall!AL7</f>
        <v>51.9940432440624</v>
      </c>
      <c r="CO9" s="18" t="n">
        <f aca="false">Waterfall!AM7</f>
        <v>51.6099492244837</v>
      </c>
      <c r="CP9" s="18" t="n">
        <f aca="false">Waterfall!AN7</f>
        <v>49.7527168243686</v>
      </c>
      <c r="CQ9" s="18" t="n">
        <f aca="false">Waterfall!AO7</f>
        <v>43.3793136327231</v>
      </c>
      <c r="CR9" s="18" t="n">
        <f aca="false">Waterfall!AP7</f>
        <v>41.1521746171139</v>
      </c>
      <c r="CS9" s="18" t="n">
        <f aca="false">Waterfall!AQ7</f>
        <v>40.2334221291795</v>
      </c>
      <c r="CT9" s="18" t="n">
        <f aca="false">Waterfall!AR7</f>
        <v>40.812133420755</v>
      </c>
      <c r="CU9" s="18" t="n">
        <f aca="false">Waterfall!AS7</f>
        <v>40.5424703735348</v>
      </c>
      <c r="CV9" s="18" t="n">
        <f aca="false">Waterfall!AT7</f>
        <v>47.260030852876</v>
      </c>
      <c r="CW9" s="18" t="n">
        <f aca="false">Waterfall!AU7</f>
        <v>42.8184762079473</v>
      </c>
      <c r="CX9" s="18" t="n">
        <f aca="false">Waterfall!AV7</f>
        <v>42.9235396543305</v>
      </c>
      <c r="CY9" s="18" t="n">
        <f aca="false">Waterfall!AW7</f>
        <v>42.4959632438198</v>
      </c>
      <c r="CZ9" s="18" t="n">
        <f aca="false">Waterfall!AX7</f>
        <v>43.1519623391802</v>
      </c>
      <c r="DA9" s="18" t="n">
        <f aca="false">Waterfall!AY7</f>
        <v>42.691778014356</v>
      </c>
      <c r="DB9" s="18" t="n">
        <f aca="false">Waterfall!AZ7</f>
        <v>43.29041271871</v>
      </c>
      <c r="DC9" s="18" t="n">
        <f aca="false">Waterfall!BA7</f>
        <v>42.9880608120487</v>
      </c>
      <c r="DD9" s="18" t="n">
        <f aca="false">Waterfall!BB7</f>
        <v>45.2182915838031</v>
      </c>
      <c r="DE9" s="18" t="n">
        <f aca="false">Waterfall!BC7</f>
        <v>41.8144308241929</v>
      </c>
      <c r="DF9" s="18" t="n">
        <f aca="false">Waterfall!BD7</f>
        <v>35.6951675310066</v>
      </c>
      <c r="DG9" s="18" t="n">
        <f aca="false">Waterfall!BE7</f>
        <v>35.2587082349667</v>
      </c>
      <c r="DH9" s="18" t="n">
        <f aca="false">Waterfall!BF7</f>
        <v>35.9424559019312</v>
      </c>
      <c r="DI9" s="18" t="n">
        <f aca="false">Waterfall!BG7</f>
        <v>35.4712660294542</v>
      </c>
      <c r="DJ9" s="18" t="n">
        <f aca="false">Waterfall!BH7</f>
        <v>36.0914234938272</v>
      </c>
      <c r="DK9" s="18" t="n">
        <f aca="false">Waterfall!BI7</f>
        <v>35.8251872192298</v>
      </c>
      <c r="DL9" s="18" t="n">
        <f aca="false">Waterfall!BJ7</f>
        <v>43.8305275802351</v>
      </c>
      <c r="DM9" s="18" t="n">
        <f aca="false">Waterfall!BK7</f>
        <v>38.5756693490245</v>
      </c>
      <c r="DN9" s="18" t="n">
        <f aca="false">Waterfall!BL7</f>
        <v>39.3018793557663</v>
      </c>
      <c r="DO9" s="18" t="n">
        <f aca="false">Waterfall!BM7</f>
        <v>35.8282755295198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1845.79649970451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1.70322194445222</v>
      </c>
      <c r="BR10" s="13" t="n">
        <f aca="false">Waterfall!P7+Tax!P27</f>
        <v>49.2741393857949</v>
      </c>
      <c r="BS10" s="13" t="n">
        <f aca="false">Waterfall!Q7+Tax!Q27</f>
        <v>49.146781503637</v>
      </c>
      <c r="BT10" s="13" t="n">
        <f aca="false">Waterfall!R7+Tax!R27</f>
        <v>49.7616211880753</v>
      </c>
      <c r="BU10" s="13" t="n">
        <f aca="false">Waterfall!S7+Tax!S27</f>
        <v>49.3624469584191</v>
      </c>
      <c r="BV10" s="13" t="n">
        <f aca="false">Waterfall!T7+Tax!T27</f>
        <v>49.9096048739266</v>
      </c>
      <c r="BW10" s="13" t="n">
        <f aca="false">Waterfall!U7+Tax!U27</f>
        <v>49.6591147796902</v>
      </c>
      <c r="BX10" s="13" t="n">
        <f aca="false">Waterfall!V7+Tax!V27</f>
        <v>50.6119233096294</v>
      </c>
      <c r="BY10" s="13" t="n">
        <f aca="false">Waterfall!W7+Tax!W27</f>
        <v>50.2476788598056</v>
      </c>
      <c r="BZ10" s="13" t="n">
        <f aca="false">Waterfall!X7+Tax!X27</f>
        <v>48.7497240997007</v>
      </c>
      <c r="CA10" s="13" t="n">
        <f aca="false">Waterfall!Y7+Tax!Y27</f>
        <v>48.3805560109725</v>
      </c>
      <c r="CB10" s="13" t="n">
        <f aca="false">Waterfall!Z7+Tax!Z27</f>
        <v>49.0061505962356</v>
      </c>
      <c r="CC10" s="13" t="n">
        <f aca="false">Waterfall!AA7+Tax!AA27</f>
        <v>48.6006699843752</v>
      </c>
      <c r="CD10" s="13" t="n">
        <f aca="false">Waterfall!AB7+Tax!AB27</f>
        <v>49.165164217672</v>
      </c>
      <c r="CE10" s="13" t="n">
        <f aca="false">Waterfall!AC7+Tax!AC27</f>
        <v>48.9536996740275</v>
      </c>
      <c r="CF10" s="13" t="n">
        <f aca="false">Waterfall!AD7+Tax!AD27</f>
        <v>50.8434271362621</v>
      </c>
      <c r="CG10" s="13" t="n">
        <f aca="false">Waterfall!AE7+Tax!AE27</f>
        <v>50.9262759510027</v>
      </c>
      <c r="CH10" s="13" t="n">
        <f aca="false">Waterfall!AF7+Tax!AF27</f>
        <v>51.0710844026103</v>
      </c>
      <c r="CI10" s="13" t="n">
        <f aca="false">Waterfall!AG7+Tax!AG27</f>
        <v>50.6986625193562</v>
      </c>
      <c r="CJ10" s="13" t="n">
        <f aca="false">Waterfall!AH7+Tax!AH27</f>
        <v>51.3497901627577</v>
      </c>
      <c r="CK10" s="13" t="n">
        <f aca="false">Waterfall!AI7+Tax!AI27</f>
        <v>50.9374512293881</v>
      </c>
      <c r="CL10" s="13" t="n">
        <f aca="false">Waterfall!AJ7+Tax!AJ27</f>
        <v>51.5206630860617</v>
      </c>
      <c r="CM10" s="13" t="n">
        <f aca="false">Waterfall!AK7+Tax!AK27</f>
        <v>51.275818125848</v>
      </c>
      <c r="CN10" s="13" t="n">
        <f aca="false">Waterfall!AL7+Tax!AL27</f>
        <v>52.3692328796693</v>
      </c>
      <c r="CO10" s="13" t="n">
        <f aca="false">Waterfall!AM7+Tax!AM27</f>
        <v>51.987536907673</v>
      </c>
      <c r="CP10" s="13" t="n">
        <f aca="false">Waterfall!AN7+Tax!AN27</f>
        <v>50.1332865466365</v>
      </c>
      <c r="CQ10" s="13" t="n">
        <f aca="false">Waterfall!AO7+Tax!AO27</f>
        <v>49.755515737576</v>
      </c>
      <c r="CR10" s="13" t="n">
        <f aca="false">Waterfall!AP7+Tax!AP27</f>
        <v>50.4343796383651</v>
      </c>
      <c r="CS10" s="13" t="n">
        <f aca="false">Waterfall!AQ7+Tax!AQ27</f>
        <v>50.0145817322316</v>
      </c>
      <c r="CT10" s="13" t="n">
        <f aca="false">Waterfall!AR7+Tax!AR27</f>
        <v>50.618004267933</v>
      </c>
      <c r="CU10" s="13" t="n">
        <f aca="false">Waterfall!AS7+Tax!AS27</f>
        <v>50.4208878117553</v>
      </c>
      <c r="CV10" s="13" t="n">
        <f aca="false">Waterfall!AT7+Tax!AT27</f>
        <v>52.7159730594912</v>
      </c>
      <c r="CW10" s="13" t="n">
        <f aca="false">Waterfall!AU7+Tax!AU27</f>
        <v>52.8098205530325</v>
      </c>
      <c r="CX10" s="13" t="n">
        <f aca="false">Waterfall!AV7+Tax!AV27</f>
        <v>52.8800521342354</v>
      </c>
      <c r="CY10" s="13" t="n">
        <f aca="false">Waterfall!AW7+Tax!AW27</f>
        <v>52.4972662985684</v>
      </c>
      <c r="CZ10" s="13" t="n">
        <f aca="false">Waterfall!AX7+Tax!AX27</f>
        <v>53.2062616096406</v>
      </c>
      <c r="DA10" s="13" t="n">
        <f aca="false">Waterfall!AY7+Tax!AY27</f>
        <v>52.7783510504307</v>
      </c>
      <c r="DB10" s="13" t="n">
        <f aca="false">Waterfall!AZ7+Tax!AZ27</f>
        <v>53.4035982380506</v>
      </c>
      <c r="DC10" s="13" t="n">
        <f aca="false">Waterfall!BA7+Tax!BA27</f>
        <v>53.1657197135529</v>
      </c>
      <c r="DD10" s="13" t="n">
        <f aca="false">Waterfall!BB7+Tax!BB27</f>
        <v>54.4265709576172</v>
      </c>
      <c r="DE10" s="13" t="n">
        <f aca="false">Waterfall!BC7+Tax!BC27</f>
        <v>54.0241264419635</v>
      </c>
      <c r="DF10" s="13" t="n">
        <f aca="false">Waterfall!BD7+Tax!BD27</f>
        <v>51.7444395517508</v>
      </c>
      <c r="DG10" s="13" t="n">
        <f aca="false">Waterfall!BE7+Tax!BE27</f>
        <v>51.3563632583698</v>
      </c>
      <c r="DH10" s="13" t="n">
        <f aca="false">Waterfall!BF7+Tax!BF27</f>
        <v>52.0980939349361</v>
      </c>
      <c r="DI10" s="13" t="n">
        <f aca="false">Waterfall!BG7+Tax!BG27</f>
        <v>51.6613593129613</v>
      </c>
      <c r="DJ10" s="13" t="n">
        <f aca="false">Waterfall!BH7+Tax!BH27</f>
        <v>52.3101759708944</v>
      </c>
      <c r="DK10" s="13" t="n">
        <f aca="false">Waterfall!BI7+Tax!BI27</f>
        <v>52.1305749139169</v>
      </c>
      <c r="DL10" s="13" t="n">
        <f aca="false">Waterfall!BJ7+Tax!BJ27</f>
        <v>54.908631469162</v>
      </c>
      <c r="DM10" s="13" t="n">
        <f aca="false">Waterfall!BK7+Tax!BK27</f>
        <v>55.0155760397678</v>
      </c>
      <c r="DN10" s="13" t="n">
        <f aca="false">Waterfall!BL7+Tax!BL27</f>
        <v>55.6969088611541</v>
      </c>
      <c r="DO10" s="13" t="n">
        <f aca="false">Waterfall!BM7+Tax!BM27</f>
        <v>41.0675408134719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-208.013422708957</v>
      </c>
      <c r="BS11" s="13" t="n">
        <f aca="false">BR11+BS8</f>
        <v>-196.491426292998</v>
      </c>
      <c r="BT11" s="13" t="n">
        <f aca="false">BS11+BT8</f>
        <v>-184.06311759748</v>
      </c>
      <c r="BU11" s="13" t="n">
        <f aca="false">BT11+BU8</f>
        <v>-172.451888420808</v>
      </c>
      <c r="BV11" s="13" t="n">
        <f aca="false">BU11+BV8</f>
        <v>-160.112976301734</v>
      </c>
      <c r="BW11" s="13" t="n">
        <f aca="false">BV11+BW8</f>
        <v>-148.741781757203</v>
      </c>
      <c r="BX11" s="13" t="n">
        <f aca="false">BW11+BX8</f>
        <v>-136.153085873443</v>
      </c>
      <c r="BY11" s="13" t="n">
        <f aca="false">BX11+BY8</f>
        <v>-122.832202088227</v>
      </c>
      <c r="BZ11" s="13" t="n">
        <f aca="false">BY11+BZ8</f>
        <v>-110.652870033071</v>
      </c>
      <c r="CA11" s="13" t="n">
        <f aca="false">BZ11+CA8</f>
        <v>-99.2617229665332</v>
      </c>
      <c r="CB11" s="13" t="n">
        <f aca="false">CA11+CB8</f>
        <v>-87.1853512598257</v>
      </c>
      <c r="CC11" s="13" t="n">
        <f aca="false">CB11+CC8</f>
        <v>-81.5660238639292</v>
      </c>
      <c r="CD11" s="13" t="n">
        <f aca="false">CC11+CD8</f>
        <v>-75.0058622370055</v>
      </c>
      <c r="CE11" s="13" t="n">
        <f aca="false">CD11+CE8</f>
        <v>-68.8182748934406</v>
      </c>
      <c r="CF11" s="13" t="n">
        <f aca="false">CE11+CF8</f>
        <v>-61.3426504080623</v>
      </c>
      <c r="CG11" s="13" t="n">
        <f aca="false">CF11+CG8</f>
        <v>-53.309676339899</v>
      </c>
      <c r="CH11" s="13" t="n">
        <f aca="false">CG11+CH8</f>
        <v>-44.4503349648799</v>
      </c>
      <c r="CI11" s="13" t="n">
        <f aca="false">CH11+CI8</f>
        <v>-35.2341998762921</v>
      </c>
      <c r="CJ11" s="13" t="n">
        <f aca="false">CI11+CJ8</f>
        <v>-24.7311107084028</v>
      </c>
      <c r="CK11" s="13" t="n">
        <f aca="false">CJ11+CK8</f>
        <v>-13.4673437318517</v>
      </c>
      <c r="CL11" s="13" t="n">
        <f aca="false">CK11+CL8</f>
        <v>-0.46817114593876</v>
      </c>
      <c r="CM11" s="13" t="n">
        <f aca="false">CL11+CM8</f>
        <v>24.8206992093891</v>
      </c>
      <c r="CN11" s="13" t="n">
        <f aca="false">CM11+CN8</f>
        <v>54.5078061597968</v>
      </c>
      <c r="CO11" s="13" t="n">
        <f aca="false">CN11+CO8</f>
        <v>86.9857381294163</v>
      </c>
      <c r="CP11" s="13" t="n">
        <f aca="false">CO11+CP8</f>
        <v>117.832547206177</v>
      </c>
      <c r="CQ11" s="13" t="n">
        <f aca="false">CP11+CQ8</f>
        <v>161.2118608389</v>
      </c>
      <c r="CR11" s="13" t="n">
        <f aca="false">CQ11+CR8</f>
        <v>202.364035456014</v>
      </c>
      <c r="CS11" s="13" t="n">
        <f aca="false">CR11+CS8</f>
        <v>242.597457585193</v>
      </c>
      <c r="CT11" s="13" t="n">
        <f aca="false">CS11+CT8</f>
        <v>283.409591005948</v>
      </c>
      <c r="CU11" s="13" t="n">
        <f aca="false">CT11+CU8</f>
        <v>323.952061379483</v>
      </c>
      <c r="CV11" s="13" t="n">
        <f aca="false">CU11+CV8</f>
        <v>371.212092232359</v>
      </c>
      <c r="CW11" s="13" t="n">
        <f aca="false">CV11+CW8</f>
        <v>414.030568440306</v>
      </c>
      <c r="CX11" s="13" t="n">
        <f aca="false">CW11+CX8</f>
        <v>456.954108094637</v>
      </c>
      <c r="CY11" s="13" t="n">
        <f aca="false">CX11+CY8</f>
        <v>499.450071338457</v>
      </c>
      <c r="CZ11" s="13" t="n">
        <f aca="false">CY11+CZ8</f>
        <v>542.602033677637</v>
      </c>
      <c r="DA11" s="13" t="n">
        <f aca="false">CZ11+DA8</f>
        <v>585.293811691993</v>
      </c>
      <c r="DB11" s="13" t="n">
        <f aca="false">DA11+DB8</f>
        <v>628.584224410703</v>
      </c>
      <c r="DC11" s="13" t="n">
        <f aca="false">DB11+DC8</f>
        <v>671.077316836143</v>
      </c>
      <c r="DD11" s="13" t="n">
        <f aca="false">DC11+DD8</f>
        <v>714.794458165301</v>
      </c>
      <c r="DE11" s="13" t="n">
        <f aca="false">DD11+DE8</f>
        <v>755.091315916152</v>
      </c>
      <c r="DF11" s="13" t="n">
        <f aca="false">DE11+DF8</f>
        <v>789.252307886912</v>
      </c>
      <c r="DG11" s="13" t="n">
        <f aca="false">DF11+DG8</f>
        <v>822.960056440923</v>
      </c>
      <c r="DH11" s="13" t="n">
        <f aca="false">DG11+DH8</f>
        <v>857.334584920282</v>
      </c>
      <c r="DI11" s="13" t="n">
        <f aca="false">DH11+DI8</f>
        <v>891.2207701558</v>
      </c>
      <c r="DJ11" s="13" t="n">
        <f aca="false">DI11+DJ8</f>
        <v>925.709771823758</v>
      </c>
      <c r="DK11" s="13" t="n">
        <f aca="false">DJ11+DK8</f>
        <v>959.915006471585</v>
      </c>
      <c r="DL11" s="13" t="n">
        <f aca="false">DK11+DL8</f>
        <v>1002.10785894578</v>
      </c>
      <c r="DM11" s="13" t="n">
        <f aca="false">DL11+DM8</f>
        <v>1039.02793676683</v>
      </c>
      <c r="DN11" s="13" t="n">
        <f aca="false">DM11+DN8</f>
        <v>1076.65611216423</v>
      </c>
      <c r="DO11" s="13" t="n">
        <f aca="false">DN11+DO8</f>
        <v>1130.42556785571</v>
      </c>
      <c r="DP11" s="13" t="n">
        <f aca="false">DO11+DP8</f>
        <v>1130.42556785571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0.127789379319677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0.10733810057655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0.113117763438359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-50.7974703672303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1.31905245222409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1.50731891410777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1.39621346331536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1.82299267792292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0.127789379319677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0.10733810057655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-50.7974703672303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2026-10-03T21:37:07Z</dcterms:created>
  <dc:creator>openpyxl</dc:creator>
  <dc:description/>
  <dc:language>en-US</dc:language>
  <cp:lastModifiedBy/>
  <dcterms:modified xsi:type="dcterms:W3CDTF">2026-10-03T21:37:07Z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