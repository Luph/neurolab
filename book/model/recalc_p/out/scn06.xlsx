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<sst xmlns="http://schemas.openxmlformats.org/spreadsheetml/2006/main" count="3624" uniqueCount="2028">
  <si>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</si>
  <si>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</si>
  <si>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</si>
  <si>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</si>
  <si>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</si>
  <si>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</si>
  <si>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</si>
  <si>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</si>
  <si>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</si>
  <si>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</si>
  <si>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</si>
  <si>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</si>
  <si>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</si>
  <si>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</si>
  <si>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</si>
  <si>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</si>
  <si>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</si>
  <si>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</si>
  <si>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</si>
  <si>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</si>
  <si>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</si>
  <si>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</si>
  <si>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</si>
  <si>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</si>
  <si>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</si>
  <si>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</si>
  <si>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</si>
  <si>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</si>
  <si>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</si>
  <si>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</si>
  <si>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</si>
  <si>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</si>
  <si>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</si>
  <si>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</si>
  <si>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</si>
  <si>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</si>
  <si>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</si>
  <si>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</si>
  <si>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</si>
  <si>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</si>
  <si>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</si>
  <si>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</si>
  <si>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</si>
  <si>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</si>
  <si>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</si>
  <si>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</si>
  <si>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</si>
  <si>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</si>
  <si>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</si>
  <si>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</si>
  <si>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</si>
  <si>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</si>
  <si>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</si>
  <si>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</si>
  <si>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</si>
  <si>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</si>
  <si>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</si>
  <si>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</si>
  <si>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</si>
  <si>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</si>
  <si>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</si>
  <si>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</si>
  <si>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</si>
  <si>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</si>
  <si>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</si>
  <si>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</si>
  <si>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</si>
  <si>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</si>
  <si>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</si>
  <si>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</si>
  <si>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</si>
  <si>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</si>
  <si>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</si>
  <si>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</si>
  <si>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</si>
  <si>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</si>
  <si>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</si>
  <si>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</si>
  <si>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</si>
  <si>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</si>
  <si>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</si>
  <si>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</si>
  <si>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</si>
  <si>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</si>
  <si>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</si>
  <si>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</si>
  <si>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</si>
  <si>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</si>
  <si>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</si>
  <si>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</si>
  <si>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</si>
  <si>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</si>
  <si>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</si>
  <si>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</si>
  <si>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</si>
  <si>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</si>
  <si>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</si>
  <si>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</si>
  <si>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</si>
  <si>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</si>
  <si>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</si>
  <si>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</si>
  <si>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</si>
  <si>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</si>
  <si>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</si>
  <si>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</si>
  <si>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</si>
  <si>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</si>
  <si>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</si>
  <si>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</si>
  <si>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</si>
  <si>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</si>
  <si>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</si>
  <si>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</si>
  <si>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</si>
  <si>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</si>
  <si>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</si>
  <si>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</si>
  <si>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</si>
  <si>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</si>
  <si>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</si>
  <si>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</si>
  <si>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</si>
  <si>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</si>
  <si>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</si>
  <si>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</si>
  <si>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</si>
  <si>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</si>
  <si>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</si>
  <si>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</si>
  <si>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</si>
  <si>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</si>
  <si>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</si>
  <si>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</si>
  <si>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</si>
  <si>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</si>
  <si>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</si>
  <si>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</si>
  <si>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</si>
  <si>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</si>
  <si>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</si>
  <si>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</si>
  <si>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</si>
  <si>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</si>
  <si>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</si>
  <si>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</si>
  <si>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</si>
  <si>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</si>
  <si>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</si>
  <si>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</si>
  <si>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</si>
  <si>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</si>
  <si>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</si>
  <si>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</si>
  <si>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</si>
  <si>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</si>
  <si>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</si>
  <si>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</si>
  <si>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</si>
  <si>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</si>
  <si>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</si>
  <si>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</si>
  <si>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</si>
  <si>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</si>
  <si>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</si>
  <si>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</si>
  <si>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</si>
  <si>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</si>
  <si>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</si>
  <si>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</si>
  <si>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</si>
  <si>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</si>
  <si>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</si>
  <si>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</si>
  <si>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</si>
  <si>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</si>
  <si>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</si>
  <si>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</si>
  <si>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</si>
  <si>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</si>
  <si>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</si>
  <si>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</si>
  <si>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</si>
  <si>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</si>
  <si>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</si>
  <si>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</si>
  <si>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</si>
  <si>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</si>
  <si>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</si>
  <si>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</si>
  <si>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</si>
  <si>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</si>
  <si>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</si>
  <si>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</si>
  <si>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</si>
  <si>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</si>
  <si>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</si>
  <si>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</si>
  <si>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</si>
  <si>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</si>
  <si>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</si>
  <si>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</si>
  <si>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</si>
  <si>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</si>
  <si>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</si>
  <si>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</si>
  <si>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</si>
  <si>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</si>
  <si>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</si>
  <si>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</si>
  <si>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</si>
  <si>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</si>
  <si>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</si>
  <si>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</si>
  <si>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</si>
  <si>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</si>
  <si>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</si>
  <si>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</si>
  <si>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</si>
  <si>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</si>
  <si>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</si>
  <si>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</si>
  <si>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</si>
  <si>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</si>
  <si>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</si>
  <si>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</si>
  <si>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</si>
  <si>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</si>
  <si>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</si>
  <si>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</si>
  <si>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</si>
  <si>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</si>
  <si>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</si>
  <si>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</si>
  <si>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</si>
  <si>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</si>
  <si>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</si>
  <si>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</si>
  <si>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</si>
  <si>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</si>
  <si>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</si>
  <si>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</si>
  <si>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</si>
  <si>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</si>
  <si>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</si>
  <si>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</si>
  <si>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</si>
  <si>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</si>
  <si>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</si>
  <si>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</si>
  <si>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</si>
  <si>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</si>
  <si>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</si>
  <si>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</si>
  <si>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</si>
  <si>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</si>
  <si>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</si>
  <si>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</si>
  <si>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</si>
  <si>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</si>
  <si>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</si>
  <si>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</si>
  <si>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</si>
  <si>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</si>
  <si>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</si>
  <si>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</si>
  <si>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</si>
  <si>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</si>
  <si>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</si>
  <si>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</si>
  <si>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</si>
  <si>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</si>
  <si>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</si>
  <si>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</si>
  <si>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</si>
  <si>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</si>
  <si>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</si>
  <si>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</si>
  <si>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</si>
  <si>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</si>
  <si>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</si>
  <si>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</si>
  <si>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</si>
  <si>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</si>
  <si>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</si>
  <si>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</si>
  <si>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</si>
  <si>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</si>
  <si>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</si>
  <si>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</si>
  <si>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</si>
  <si>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</si>
  <si>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</si>
  <si>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</si>
  <si>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</si>
  <si>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</si>
  <si>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</si>
  <si>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</si>
  <si>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</si>
  <si>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</si>
  <si>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</si>
  <si>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</si>
  <si>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</si>
  <si>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</si>
  <si>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</si>
  <si>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</si>
  <si>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</si>
  <si>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</si>
  <si>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</si>
  <si>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</si>
  <si>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</si>
  <si>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</si>
  <si>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</si>
  <si>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</si>
  <si>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</si>
  <si>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</si>
  <si>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</si>
  <si>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</si>
  <si>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</si>
  <si>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</si>
  <si>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</si>
  <si>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</si>
  <si>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</si>
  <si>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</si>
  <si>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</si>
  <si>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</si>
  <si>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</si>
  <si>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</si>
  <si>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</si>
  <si>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</si>
  <si>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</si>
  <si>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</si>
  <si>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</si>
  <si>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</si>
  <si>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</si>
  <si>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</si>
  <si>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</si>
  <si>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</si>
  <si>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</si>
  <si>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</si>
  <si>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</si>
  <si>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</si>
  <si>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</si>
  <si>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</si>
  <si>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</si>
  <si>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</si>
  <si>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</si>
  <si>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</si>
  <si>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</si>
  <si>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</si>
  <si>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</si>
  <si>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</si>
  <si>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</si>
  <si>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</si>
  <si>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</si>
  <si>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</si>
  <si>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</si>
  <si>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</si>
  <si>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</si>
  <si>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</si>
  <si>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</si>
  <si>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</si>
  <si>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</si>
  <si>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</si>
  <si>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</si>
  <si>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</si>
  <si>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</si>
  <si>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</si>
  <si>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</si>
  <si>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</si>
  <si>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</si>
  <si>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</si>
  <si>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</si>
  <si>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</si>
  <si>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</si>
  <si>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</si>
  <si>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</si>
  <si>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</si>
  <si>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</si>
  <si>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</si>
  <si>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</si>
  <si>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</si>
  <si>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</si>
  <si>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</si>
  <si>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</si>
  <si>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</si>
  <si>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</si>
  <si>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</si>
  <si>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</si>
  <si>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</si>
  <si>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</si>
  <si>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</si>
  <si>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</si>
  <si>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</si>
  <si>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</si>
  <si>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</si>
  <si>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</si>
  <si>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</si>
  <si>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</si>
  <si>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</si>
  <si>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</si>
  <si>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</si>
  <si>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</si>
  <si>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</si>
  <si>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</si>
  <si>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</si>
  <si>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</si>
  <si>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</si>
  <si>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</si>
  <si>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</si>
  <si>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</si>
  <si>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</si>
  <si>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</si>
  <si>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</si>
  <si>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</si>
  <si>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</si>
  <si>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</si>
  <si>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</si>
  <si>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</si>
  <si>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</si>
  <si>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</si>
  <si>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</si>
  <si>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</si>
  <si>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</si>
  <si>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</si>
  <si>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</si>
  <si>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</si>
  <si>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</si>
  <si>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</si>
  <si>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</si>
  <si>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</si>
  <si>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</si>
  <si>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</si>
  <si>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</si>
  <si>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</si>
  <si>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</si>
  <si>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</si>
  <si>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</si>
  <si>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</si>
  <si>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</si>
  <si>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</si>
  <si>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</si>
  <si>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</si>
  <si>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</si>
  <si>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</si>
  <si>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</si>
  <si>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</si>
  <si>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</si>
  <si>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</si>
  <si>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</si>
  <si>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</si>
  <si>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</si>
  <si>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</si>
  <si>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</si>
  <si>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</si>
  <si>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</si>
  <si>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</si>
  <si>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</si>
  <si>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</si>
  <si>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</si>
  <si>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</si>
  <si>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</si>
  <si>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</si>
  <si>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</si>
  <si>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</si>
  <si>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</si>
  <si>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</si>
  <si>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</si>
  <si>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</si>
  <si>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</si>
  <si>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</si>
  <si>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</si>
  <si>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</si>
  <si>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</si>
  <si>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</si>
  <si>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</si>
  <si>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</si>
  <si>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</si>
  <si>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</si>
  <si>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</si>
  <si>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</si>
  <si>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</si>
  <si>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</si>
  <si>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</si>
  <si>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</si>
  <si>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</si>
  <si>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</si>
  <si>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</si>
  <si>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</si>
  <si>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</si>
  <si>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</si>
  <si>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</si>
  <si>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</si>
  <si>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</si>
  <si>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</si>
  <si>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</si>
  <si>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</si>
  <si>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</si>
  <si>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</si>
  <si>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</si>
  <si>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</si>
  <si>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</si>
  <si>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</si>
  <si>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</si>
  <si>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</si>
  <si>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</si>
  <si>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</si>
  <si>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</si>
  <si>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</si>
  <si>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</si>
  <si>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</si>
  <si>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</si>
  <si>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</si>
  <si>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</si>
  <si>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</si>
  <si>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</si>
  <si>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</si>
  <si>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</si>
  <si>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</si>
  <si>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</si>
  <si>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</si>
  <si>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</si>
  <si>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</si>
  <si>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</si>
  <si>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</si>
  <si>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</si>
  <si>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</si>
  <si>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</si>
  <si>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</si>
  <si>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</si>
  <si>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</si>
  <si>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</si>
  <si>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</si>
  <si>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</si>
  <si>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</si>
  <si>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</si>
  <si>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</si>
  <si>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</si>
  <si>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</si>
  <si>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</si>
  <si>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</si>
  <si>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</si>
  <si>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</si>
  <si>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</si>
  <si>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</si>
  <si>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</si>
  <si>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</si>
  <si>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</si>
  <si>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</si>
  <si>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</si>
  <si>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</si>
  <si>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</si>
  <si>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</si>
  <si>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</si>
  <si>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</si>
  <si>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</si>
  <si>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</si>
  <si>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</si>
  <si>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</si>
  <si>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</si>
  <si>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</si>
  <si>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</si>
  <si>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</si>
  <si>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</si>
  <si>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</si>
  <si>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</si>
  <si>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</si>
  <si>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</si>
  <si>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</si>
  <si>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</si>
  <si>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</si>
  <si>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</si>
  <si>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</si>
  <si>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</si>
  <si>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</si>
  <si>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</si>
  <si>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</si>
  <si>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</si>
  <si>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</si>
  <si>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</si>
  <si>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</si>
  <si>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</si>
  <si>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</si>
  <si>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</si>
  <si>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</si>
  <si>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</si>
  <si>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</si>
  <si>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</si>
  <si>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</si>
  <si>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</si>
  <si>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</si>
  <si>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</si>
  <si>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</si>
  <si>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</si>
  <si>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</si>
  <si>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</si>
  <si>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</si>
  <si>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</si>
  <si>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</si>
  <si>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</si>
  <si>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</si>
  <si>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</si>
  <si>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</si>
  <si>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</si>
  <si>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</si>
  <si>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</si>
  <si>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</si>
  <si>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</si>
  <si>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</si>
  <si>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</si>
  <si>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</si>
  <si>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</si>
  <si>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</si>
  <si>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</si>
  <si>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</si>
  <si>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</si>
  <si>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</si>
  <si>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</si>
  <si>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</si>
  <si>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</si>
  <si>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</si>
  <si>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</si>
  <si>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</si>
  <si>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</si>
  <si>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</si>
  <si>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</si>
  <si>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</si>
  <si>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</si>
  <si>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</si>
  <si>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</si>
  <si>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</si>
  <si>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</si>
  <si>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</si>
  <si>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</si>
  <si>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</si>
  <si>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</si>
  <si>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</si>
  <si>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</si>
  <si>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</si>
  <si>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</si>
  <si>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</si>
  <si>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</si>
  <si>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</si>
  <si>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</si>
  <si>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</si>
  <si>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</si>
  <si>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</si>
  <si>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</si>
  <si>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</si>
  <si>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</si>
  <si>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</si>
  <si>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</si>
  <si>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</si>
  <si>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</si>
  <si>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</si>
  <si>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</si>
  <si>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</si>
  <si>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</si>
  <si>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</si>
  <si>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</si>
  <si>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</si>
  <si>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</si>
  <si>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</si>
  <si>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</si>
  <si>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</si>
  <si>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</si>
  <si>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</si>
  <si>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</si>
  <si>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</si>
  <si>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</si>
  <si>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</si>
  <si>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</si>
  <si>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</si>
  <si>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</si>
  <si>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</si>
  <si>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</si>
  <si>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</si>
  <si>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</si>
  <si>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</si>
  <si>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</si>
  <si>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</si>
  <si>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</si>
  <si>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</si>
  <si>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</si>
  <si>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</si>
  <si>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</si>
  <si>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</si>
  <si>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</si>
  <si>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</si>
  <si>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</si>
  <si>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</si>
  <si>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</si>
  <si>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</si>
  <si>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</si>
  <si>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</si>
  <si>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</si>
  <si>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</si>
  <si>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</si>
  <si>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</si>
  <si>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</si>
  <si>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</si>
  <si>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</si>
  <si>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</si>
  <si>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</si>
  <si>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</si>
  <si>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</si>
  <si>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</si>
  <si>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</si>
  <si>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</si>
  <si>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</si>
  <si>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</si>
  <si>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</si>
  <si>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</si>
  <si>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</si>
  <si>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</si>
  <si>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</si>
  <si>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</si>
  <si>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</si>
  <si>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</si>
  <si>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</si>
  <si>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</si>
  <si>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</si>
  <si>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</si>
  <si>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</si>
  <si>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</si>
  <si>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</si>
  <si>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</si>
  <si>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</si>
  <si>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</si>
  <si>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</si>
  <si>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</si>
  <si>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</si>
  <si>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</si>
  <si>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</si>
  <si>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</si>
  <si>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</si>
  <si>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</si>
  <si>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</si>
  <si>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</si>
  <si>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</si>
  <si>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</si>
  <si>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</si>
  <si>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</si>
  <si>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</si>
  <si>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</si>
  <si>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</si>
  <si>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</si>
  <si>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</si>
  <si>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</si>
  <si>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</si>
  <si>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</si>
  <si>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</si>
  <si>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</si>
  <si>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</si>
  <si>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</si>
  <si>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</si>
  <si>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</si>
  <si>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</si>
  <si>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</si>
  <si>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</si>
  <si>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</si>
  <si>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</si>
  <si>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</si>
  <si>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</si>
  <si>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</si>
  <si>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</si>
  <si>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</si>
  <si>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</si>
  <si>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</si>
  <si>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</si>
  <si>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</si>
  <si>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</si>
  <si>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</si>
  <si>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</si>
  <si>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</si>
  <si>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</si>
  <si>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</si>
  <si>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</si>
  <si>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</si>
  <si>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</si>
  <si>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</si>
  <si>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</si>
  <si>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</si>
  <si>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</si>
  <si>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</si>
  <si>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</si>
  <si>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</si>
  <si>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</si>
  <si>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</si>
  <si>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</si>
  <si>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</si>
  <si>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</si>
  <si>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</si>
  <si>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</si>
  <si>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</si>
  <si>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</si>
  <si>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</si>
  <si>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</si>
  <si>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</si>
  <si>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</si>
  <si>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</si>
  <si>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</si>
  <si>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</si>
  <si>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</si>
  <si>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</si>
  <si>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</si>
  <si>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</si>
  <si>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</si>
  <si>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</si>
  <si>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</si>
  <si>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</si>
  <si>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</si>
  <si>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</si>
  <si>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</si>
  <si>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</si>
  <si>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</si>
  <si>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</si>
  <si>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</si>
  <si>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</si>
  <si>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</si>
  <si>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</si>
  <si>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</si>
  <si>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</si>
  <si>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</si>
  <si>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</si>
  <si>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</si>
  <si>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</si>
  <si>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</si>
  <si>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</si>
  <si>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</si>
  <si>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</si>
  <si>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</si>
  <si>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</si>
  <si>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</si>
  <si>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</si>
  <si>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</si>
  <si>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</si>
  <si>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</si>
  <si>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</si>
  <si>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</si>
  <si>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</si>
  <si>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</si>
  <si>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</si>
  <si>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</si>
  <si>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</si>
  <si>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</si>
  <si>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</si>
  <si>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</si>
  <si>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</si>
  <si>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</si>
  <si>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</si>
  <si>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</si>
  <si>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</si>
  <si>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</si>
  <si>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</si>
  <si>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</si>
  <si>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</si>
  <si>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</si>
  <si>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</si>
  <si>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</si>
  <si>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</si>
  <si>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</si>
  <si>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</si>
  <si>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</si>
  <si>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</si>
  <si>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</si>
  <si>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</si>
  <si>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</si>
  <si>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</si>
  <si>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</si>
  <si>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</si>
  <si>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</si>
  <si>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</si>
  <si>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</si>
  <si>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</si>
  <si>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</si>
  <si>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</si>
  <si>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</si>
  <si>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</si>
  <si>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</si>
  <si>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</si>
  <si>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</si>
  <si>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</si>
  <si>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</si>
  <si>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</si>
  <si>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</si>
  <si>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</si>
  <si>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</si>
  <si>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</si>
  <si>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</si>
  <si>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</si>
  <si>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</si>
  <si>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</si>
  <si>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</si>
  <si>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</si>
  <si>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</si>
  <si>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</si>
  <si>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</si>
  <si>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</si>
  <si>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</si>
  <si>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</si>
  <si>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</si>
  <si>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</si>
  <si>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</si>
  <si>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</si>
  <si>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</si>
  <si>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</si>
  <si>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</si>
  <si>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</si>
  <si>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</si>
  <si>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</si>
  <si>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</si>
  <si>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</si>
  <si>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</si>
  <si>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</si>
  <si>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</si>
  <si>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</si>
  <si>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</si>
  <si>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</si>
  <si>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</si>
  <si>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</si>
  <si>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</si>
  <si>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</si>
  <si>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</si>
  <si>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</si>
  <si>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</si>
  <si>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</si>
  <si>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</si>
  <si>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</si>
  <si>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</si>
  <si>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</si>
  <si>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</si>
  <si>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</si>
  <si>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</si>
  <si>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</si>
  <si>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</si>
  <si>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</si>
  <si>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</si>
  <si>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</si>
  <si>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</si>
  <si>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</si>
  <si>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</si>
  <si>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</si>
  <si>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</si>
  <si>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</si>
  <si>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</si>
  <si>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</si>
  <si>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</si>
  <si>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</si>
  <si>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</si>
  <si>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</si>
  <si>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</si>
  <si>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</si>
  <si>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</si>
  <si>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</si>
  <si>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</si>
  <si>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</si>
  <si>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</si>
  <si>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</si>
  <si>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</si>
  <si>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</si>
  <si>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</si>
  <si>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</si>
  <si>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</si>
  <si>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</si>
  <si>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</si>
  <si>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</si>
  <si>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</si>
  <si>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</si>
  <si>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</si>
  <si>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</si>
  <si>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</si>
  <si>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</si>
  <si>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</si>
  <si>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</si>
  <si>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</si>
  <si>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</si>
  <si>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</si>
  <si>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</si>
  <si>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</si>
  <si>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</si>
  <si>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</si>
  <si>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</si>
  <si>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</si>
  <si>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</si>
  <si>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</si>
  <si>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</si>
  <si>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</si>
  <si>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</si>
  <si>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</si>
  <si>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</si>
  <si>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</si>
  <si>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</si>
  <si>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</si>
  <si>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</si>
  <si>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</si>
  <si>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</si>
  <si>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</si>
  <si>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</si>
  <si>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</si>
  <si>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</si>
  <si>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</si>
  <si>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</si>
  <si>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</si>
  <si>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</si>
  <si>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</si>
  <si>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</si>
  <si>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</si>
  <si>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</si>
  <si>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</si>
  <si>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</si>
  <si>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</si>
  <si>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</si>
  <si>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</si>
  <si>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</si>
  <si>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</si>
  <si>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</si>
  <si>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</si>
  <si>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</si>
  <si>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</si>
  <si>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</si>
  <si>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</si>
  <si>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</si>
  <si>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</si>
  <si>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</si>
  <si>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</si>
  <si>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</si>
  <si>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</si>
  <si>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</si>
  <si>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</si>
  <si>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</si>
  <si>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</si>
  <si>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</si>
  <si>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</si>
  <si>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</si>
  <si>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</si>
  <si>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</si>
  <si>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</si>
  <si>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</si>
  <si>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</si>
  <si>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</si>
  <si>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</si>
  <si>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</si>
  <si>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</si>
  <si>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</si>
  <si>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</si>
  <si>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</si>
  <si>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</si>
  <si>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</si>
  <si>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</si>
  <si>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</si>
  <si>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</si>
  <si>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</si>
  <si>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</si>
  <si>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</si>
  <si>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</si>
  <si>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</si>
  <si>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</si>
  <si>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</si>
  <si>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</si>
  <si>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</si>
  <si>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</si>
  <si>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</si>
  <si>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</si>
  <si>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</si>
  <si>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</si>
  <si>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</si>
  <si>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</si>
  <si>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</si>
  <si>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</si>
  <si>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</si>
  <si>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</si>
  <si>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</si>
  <si>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</si>
  <si>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</si>
  <si>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</si>
  <si>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</si>
  <si>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</si>
  <si>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</si>
  <si>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</si>
  <si>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</si>
  <si>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</si>
  <si>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</si>
  <si>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</si>
  <si>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</si>
  <si>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</si>
  <si>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</si>
  <si>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</si>
  <si>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</si>
  <si>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</si>
  <si>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</si>
  <si>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</si>
  <si>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</si>
  <si>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</si>
  <si>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</si>
  <si>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</si>
  <si>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</si>
  <si>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</si>
  <si>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</si>
  <si>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</si>
  <si>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</si>
  <si>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</si>
  <si>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</si>
  <si>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</si>
  <si>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</si>
  <si>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</si>
  <si>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</si>
  <si>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</si>
  <si>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</si>
  <si>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</si>
  <si>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</si>
  <si>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</si>
  <si>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</si>
  <si>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</si>
  <si>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</si>
  <si>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</si>
  <si>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</si>
  <si>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</si>
  <si>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</si>
  <si>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</si>
  <si>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</si>
  <si>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</si>
  <si>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</si>
  <si>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</si>
  <si>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</si>
  <si>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</si>
  <si>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</si>
  <si>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</si>
  <si>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</si>
  <si>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</si>
  <si>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</si>
  <si>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</si>
  <si>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</si>
  <si>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</si>
  <si>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</si>
  <si>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</si>
  <si>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</si>
  <si>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</si>
  <si>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</si>
  <si>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</si>
  <si>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</si>
  <si>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</si>
  <si>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</si>
  <si>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</si>
  <si>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</si>
  <si>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</si>
  <si>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</si>
  <si>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</si>
  <si>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</si>
  <si>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</si>
  <si>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</si>
  <si>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</si>
  <si>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</si>
  <si>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</si>
  <si>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</si>
  <si>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</si>
  <si>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</si>
  <si>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</si>
  <si>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</si>
  <si>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</si>
  <si>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</si>
  <si>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</si>
  <si>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</si>
  <si>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</si>
  <si>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</si>
  <si>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</si>
  <si>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</si>
  <si>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</si>
  <si>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</si>
  <si>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</si>
  <si>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</si>
  <si>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</si>
  <si>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</si>
  <si>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</si>
  <si>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</si>
  <si>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</si>
  <si>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</si>
  <si>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</si>
  <si>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</si>
  <si>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</si>
  <si>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</si>
  <si>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</si>
  <si>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</si>
  <si>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</si>
  <si>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</si>
  <si>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</si>
  <si>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</si>
  <si>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</si>
  <si>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</si>
  <si>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</si>
  <si>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</si>
  <si>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</si>
  <si>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</si>
  <si>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</si>
  <si>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</si>
  <si>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</si>
  <si>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</si>
  <si>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</si>
  <si>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</si>
  <si>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</si>
  <si>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</si>
  <si>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</si>
  <si>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</si>
  <si>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</si>
  <si>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</si>
  <si>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</si>
  <si>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</si>
  <si>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</si>
  <si>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</si>
  <si>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</si>
  <si>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</si>
  <si>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</si>
  <si>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</si>
  <si>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</si>
  <si>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</si>
  <si>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</si>
  <si>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</si>
  <si>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</si>
  <si>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</si>
  <si>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</si>
  <si>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</si>
  <si>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</si>
  <si>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</si>
  <si>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</si>
  <si>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</si>
  <si>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</si>
  <si>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</si>
  <si>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</si>
  <si>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</si>
  <si>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</si>
  <si>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</si>
  <si>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</si>
  <si>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</si>
  <si>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</si>
  <si>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</si>
  <si>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</si>
  <si>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</si>
  <si>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</si>
  <si>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</si>
  <si>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</si>
  <si>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</si>
  <si>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</si>
  <si>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</si>
  <si>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</si>
  <si>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</si>
  <si>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</si>
  <si>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</si>
  <si>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</si>
  <si>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</si>
  <si>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</si>
  <si>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</si>
  <si>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</si>
  <si>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</si>
  <si>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</si>
  <si>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</si>
  <si>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</si>
  <si>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</si>
  <si>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</si>
  <si>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</si>
  <si>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</si>
  <si>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</si>
  <si>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</si>
  <si>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</si>
  <si>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</si>
  <si>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</si>
  <si>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</si>
  <si>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</si>
  <si>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</si>
  <si>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</si>
  <si>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</si>
  <si>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</si>
  <si>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</si>
  <si>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</si>
  <si>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</si>
  <si>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</si>
  <si>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</si>
  <si>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</si>
  <si>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</si>
  <si>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</si>
  <si>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</si>
  <si>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</si>
  <si>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</si>
  <si>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</si>
  <si>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</si>
  <si>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</si>
  <si>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</si>
  <si>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</si>
  <si>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</si>
  <si>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</si>
  <si>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</si>
  <si>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</si>
  <si>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</si>
  <si>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</si>
  <si>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</si>
  <si>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</si>
  <si>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</si>
  <si>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</si>
  <si>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</si>
  <si>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</si>
  <si>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</si>
  <si>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</si>
  <si>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</si>
  <si>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</si>
  <si>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</si>
  <si>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</si>
  <si>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</si>
  <si>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</si>
  <si>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</si>
  <si>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</si>
  <si>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</si>
  <si>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</si>
  <si>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</si>
  <si>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</si>
  <si>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</si>
  <si>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</si>
  <si>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</si>
  <si>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</si>
  <si>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</si>
  <si>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</si>
  <si>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</si>
  <si>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</si>
  <si>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</si>
  <si>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</si>
  <si>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</si>
  <si>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</si>
  <si>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</si>
  <si>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</si>
  <si>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</si>
  <si>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</si>
  <si>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</si>
  <si>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</si>
  <si>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</si>
  <si>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</si>
  <si>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</si>
  <si>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</si>
  <si>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</si>
  <si>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</si>
  <si>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</si>
  <si>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</si>
  <si>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</si>
  <si>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</si>
  <si>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</si>
  <si>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</si>
  <si>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</si>
  <si>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</si>
  <si>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</si>
  <si>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</si>
  <si>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</si>
  <si>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</si>
  <si>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</si>
  <si>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</si>
  <si>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</si>
  <si>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</si>
  <si>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</si>
  <si>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</si>
  <si>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</si>
  <si>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</si>
  <si>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</si>
  <si>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</si>
  <si>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</si>
  <si>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</si>
  <si>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</si>
  <si>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</si>
  <si>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</si>
  <si>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</si>
  <si>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</si>
  <si>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</si>
  <si>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</si>
  <si>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</si>
  <si>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</si>
  <si>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</si>
  <si>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</si>
  <si>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</si>
  <si>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</si>
  <si>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</si>
  <si>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</si>
  <si>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</si>
  <si>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</si>
  <si>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</si>
  <si>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</si>
  <si>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</si>
  <si>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</si>
  <si>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</si>
  <si>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</si>
  <si>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</si>
  <si>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</si>
  <si>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</si>
  <si>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</si>
  <si>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</si>
  <si>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</si>
  <si>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</si>
  <si>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</si>
  <si>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</si>
  <si>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</si>
  <si>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</si>
  <si>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</si>
  <si>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</si>
  <si>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</si>
  <si>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</si>
  <si>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</si>
  <si>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</si>
  <si>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</si>
  <si>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</si>
  <si>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</si>
  <si>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</si>
  <si>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</si>
  <si>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</si>
  <si>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</si>
  <si>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</si>
  <si>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</si>
  <si>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</si>
  <si>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</si>
  <si>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</si>
  <si>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</si>
  <si>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</si>
  <si>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</si>
  <si>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</si>
  <si>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</si>
  <si>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</si>
  <si>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</si>
  <si>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</si>
  <si>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</si>
  <si>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</si>
  <si>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</si>
  <si>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</si>
  <si>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</si>
  <si>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</si>
  <si>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</si>
  <si>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</si>
  <si>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</si>
  <si>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</si>
  <si>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</si>
  <si>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</si>
  <si>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</si>
  <si>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</si>
  <si>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</si>
  <si>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</si>
  <si>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</si>
  <si>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</si>
  <si>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</si>
  <si>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</si>
  <si>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</si>
  <si>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</si>
  <si>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</si>
  <si>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</si>
  <si>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</si>
  <si>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</si>
  <si>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</si>
  <si>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</si>
  <si>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</si>
  <si>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</si>
  <si>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</si>
  <si>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</si>
  <si>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</si>
  <si>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</si>
  <si>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</si>
  <si>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</si>
  <si>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</si>
  <si>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</si>
  <si>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</si>
  <si>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</si>
  <si>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</si>
  <si>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</si>
  <si>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</si>
  <si>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</si>
  <si>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</si>
  <si>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</si>
  <si>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</si>
  <si>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</si>
  <si>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</si>
  <si>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</si>
  <si>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</si>
  <si>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</si>
  <si>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</si>
  <si>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</si>
  <si>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</si>
  <si>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</si>
  <si>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</si>
  <si>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</si>
  <si>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</si>
  <si>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</si>
  <si>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</si>
  <si>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</si>
  <si>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</si>
  <si>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</si>
  <si>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</si>
  <si>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</si>
  <si>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</si>
  <si>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</si>
  <si>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</si>
  <si>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</si>
  <si>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</si>
  <si>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</si>
  <si>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</si>
  <si>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</si>
  <si>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</si>
  <si>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</si>
  <si>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</si>
  <si>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</si>
  <si>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</si>
  <si>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</si>
  <si>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</si>
  <si>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</si>
  <si>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</si>
  <si>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</si>
  <si>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</si>
  <si>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</si>
  <si>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</si>
  <si>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</si>
  <si>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</si>
  <si>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</si>
  <si>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</si>
  <si>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</si>
  <si>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</si>
  <si>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</si>
  <si>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</si>
  <si>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</si>
  <si>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</si>
  <si>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</si>
  <si>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</si>
  <si>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</si>
  <si>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</si>
  <si>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</si>
  <si>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</si>
  <si>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</si>
  <si>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</si>
  <si>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</si>
  <si>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</si>
  <si>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</si>
  <si>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</si>
  <si>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</si>
  <si>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</si>
  <si>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</si>
  <si>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</si>
  <si>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</si>
  <si>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</si>
  <si>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</si>
  <si>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</si>
  <si>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</si>
  <si>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</si>
  <si>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</si>
  <si>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</si>
  <si>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</si>
  <si>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</si>
  <si>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</si>
  <si>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</si>
  <si>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</si>
  <si>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</si>
  <si>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</si>
  <si>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</si>
  <si>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</si>
  <si>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</si>
  <si>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</si>
  <si>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</si>
  <si>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</si>
  <si>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</si>
  <si>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</si>
  <si>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</si>
  <si>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</si>
  <si>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</si>
  <si>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</si>
  <si>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</si>
  <si>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</si>
  <si>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</si>
  <si>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</si>
  <si>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</si>
  <si>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</si>
  <si>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</si>
  <si>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</si>
  <si>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</si>
  <si>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</si>
  <si>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</si>
  <si>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</si>
  <si>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</si>
  <si>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</si>
  <si>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</si>
  <si>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</si>
  <si>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</si>
  <si>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</si>
  <si>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</si>
  <si>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</si>
  <si>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</si>
  <si>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</si>
  <si>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</si>
  <si>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</si>
  <si>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</si>
  <si>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</si>
  <si>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</si>
  <si>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</si>
  <si>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</si>
  <si>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</si>
  <si>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</si>
  <si>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</si>
  <si>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</si>
  <si>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</si>
  <si>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</si>
  <si>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</si>
  <si>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</si>
  <si>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</si>
  <si>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</si>
  <si>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</si>
  <si>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</si>
  <si>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</si>
  <si>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</si>
  <si>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</si>
  <si>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</si>
  <si>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</si>
  <si>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</si>
  <si>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</si>
  <si>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</si>
  <si>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</si>
  <si>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</si>
  <si>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</si>
  <si>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</si>
  <si>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</si>
  <si>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</si>
  <si>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</si>
  <si>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</si>
  <si>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</si>
  <si>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</si>
  <si>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</si>
  <si>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</si>
  <si>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</si>
  <si>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</si>
  <si>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</si>
  <si>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</si>
  <si>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</si>
  <si>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</si>
  <si>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</si>
  <si>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</si>
  <si>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</si>
  <si>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</si>
  <si>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</si>
  <si>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</si>
  <si>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</si>
  <si>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</si>
  <si>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</si>
  <si>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</si>
  <si>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</si>
  <si>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</si>
  <si>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</si>
  <si>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</si>
  <si>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</si>
  <si>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</si>
  <si>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</si>
  <si>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</si>
  <si>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</si>
  <si>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</si>
  <si>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</si>
  <si>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</si>
  <si>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</si>
  <si>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</si>
  <si>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</si>
  <si>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</si>
  <si>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</si>
  <si>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</si>
  <si>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</si>
  <si>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</si>
  <si>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</si>
  <si>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</si>
  <si>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</si>
  <si>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</si>
  <si>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</si>
  <si>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</si>
  <si>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</si>
  <si>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</si>
  <si>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</si>
  <si>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</si>
  <si>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</si>
  <si>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</si>
  <si>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</si>
  <si>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</si>
  <si>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</si>
  <si>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</si>
  <si>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</si>
  <si>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</si>
  <si>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</si>
  <si>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</si>
  <si>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</si>
  <si>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</si>
  <si>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</si>
  <si>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</si>
  <si>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</si>
  <si>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</si>
  <si>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</si>
  <si>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</si>
  <si>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</si>
  <si>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</si>
  <si>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</si>
  <si>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</si>
  <si>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</si>
  <si>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</si>
  <si>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</si>
  <si>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</si>
  <si>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</si>
  <si>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</si>
  <si>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</si>
  <si>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</si>
  <si>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</si>
  <si>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</si>
  <si>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</si>
  <si>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</si>
  <si>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</si>
  <si>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</si>
  <si>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</si>
  <si>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</si>
  <si>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</si>
  <si>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</si>
  <si>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</si>
  <si>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</si>
  <si>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</si>
  <si>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</si>
  <si>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</si>
  <si>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</si>
  <si>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</si>
  <si>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</si>
  <si>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</si>
  <si>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</si>
  <si>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</si>
  <si>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</si>
  <si>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</si>
  <si>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</si>
  <si>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</si>
  <si>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</si>
  <si>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</si>
  <si>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</si>
  <si>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</si>
  <si>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</si>
  <si>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</si>
  <si>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</si>
  <si>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</si>
  <si>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</si>
  <si>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</si>
  <si>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</si>
  <si>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</si>
  <si>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</si>
  <si>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</si>
  <si>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</si>
  <si>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</si>
  <si>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</si>
  <si>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</si>
  <si>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</si>
  <si>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</si>
  <si>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</si>
  <si>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</si>
  <si>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</si>
  <si>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</si>
  <si>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</si>
  <si>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</si>
  <si>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</si>
  <si>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</si>
  <si>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</si>
  <si>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</si>
  <si>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</si>
  <si>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</si>
  <si>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</si>
  <si>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</si>
  <si>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</si>
  <si>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</si>
  <si>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</si>
  <si>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</si>
  <si>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</si>
  <si>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</si>
  <si>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COD-period operating cash shortfall before tax (working capital built in the COD period)</t>
  </si>
  <si>
    <t xml:space="preserve">COD working-capital funding (a use in the last funding month; held in the project accounts to COD)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</si>
  <si>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</si>
  <si>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</si>
  <si>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</si>
  <si>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</si>
  <si>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</si>
  <si>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</si>
  <si>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</si>
  <si>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</si>
  <si>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</si>
  <si>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</si>
  <si>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</si>
  <si>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</si>
  <si>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</si>
  <si>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</si>
  <si>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</si>
  <si>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</si>
  <si>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</si>
  <si>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</si>
  <si>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</si>
  <si>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</si>
  <si>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</si>
  <si>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</si>
  <si>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</si>
  <si>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</si>
  <si>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</si>
  <si>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</si>
  <si>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</si>
  <si>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</si>
  <si>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</si>
  <si>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</si>
  <si>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</si>
  <si>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</si>
  <si>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</si>
  <si>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</si>
  <si>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</si>
  <si>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</si>
  <si>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</si>
  <si>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</si>
  <si>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</si>
  <si>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</si>
  <si>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</si>
  <si>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</si>
  <si>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</si>
  <si>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</si>
  <si>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</si>
  <si>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</si>
  <si>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</si>
  <si>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</si>
  <si>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</si>
  <si>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</si>
  <si>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</si>
  <si>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</si>
  <si>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</si>
  <si>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</si>
  <si>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</si>
  <si>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</si>
  <si>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</si>
  <si>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</si>
  <si>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</si>
  <si>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</si>
  <si>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</si>
  <si>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</si>
  <si>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</si>
  <si>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</si>
  <si>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</si>
  <si>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</si>
  <si>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</si>
  <si>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</si>
  <si>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</si>
  <si>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</si>
  <si>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</si>
  <si>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</si>
  <si>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</si>
  <si>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</si>
  <si>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</si>
  <si>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</si>
  <si>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</si>
  <si>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</si>
  <si>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</si>
  <si>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</si>
  <si>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</si>
  <si>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</si>
  <si>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</si>
  <si>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</si>
  <si>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</si>
  <si>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</si>
  <si>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</si>
  <si>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</si>
  <si>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</si>
  <si>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</si>
  <si>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</si>
  <si>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</si>
  <si>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</si>
  <si>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</si>
  <si>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</si>
  <si>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</si>
  <si>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</si>
  <si>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</si>
  <si>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</si>
  <si>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</si>
  <si>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</si>
  <si>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</si>
  <si>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</si>
  <si>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</si>
  <si>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Debt-service shortfall before DSRA (the DSRA covers debt service only)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</si>
  <si>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</si>
  <si>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</si>
  <si>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</si>
  <si>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</si>
  <si>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</si>
  <si>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</si>
  <si>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</si>
  <si>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</si>
  <si>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</si>
  <si>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</si>
  <si>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</si>
  <si>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</si>
  <si>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</si>
  <si>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</si>
  <si>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</si>
  <si>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</si>
  <si>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</si>
  <si>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</si>
  <si>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</si>
  <si>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</si>
  <si>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</si>
  <si>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</si>
  <si>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</si>
  <si>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</si>
  <si>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</si>
  <si>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</si>
  <si>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</si>
  <si>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</si>
  <si>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</si>
  <si>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</si>
  <si>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</si>
  <si>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</si>
  <si>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</si>
  <si>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</si>
  <si>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</si>
  <si>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</si>
  <si>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</si>
  <si>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</si>
  <si>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</si>
  <si>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</si>
  <si>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</si>
  <si>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</si>
  <si>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</si>
  <si>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</si>
  <si>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</si>
  <si>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</si>
  <si>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</si>
  <si>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</si>
  <si>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</si>
  <si>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</si>
  <si>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</si>
  <si>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</si>
  <si>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</si>
  <si>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</si>
  <si>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</si>
  <si>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</si>
  <si>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</si>
  <si>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</si>
  <si>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</si>
  <si>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</si>
  <si>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</si>
  <si>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</si>
  <si>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</si>
  <si>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</si>
  <si>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</si>
  <si>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</si>
  <si>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</si>
  <si>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</si>
  <si>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</si>
  <si>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</si>
  <si>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</si>
  <si>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</si>
  <si>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</si>
  <si>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</si>
  <si>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COD working-capital funding brought into the COD period (standby facility and contingent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</si>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</sst>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6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1.1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0.0192141736675429</v>
      </c>
      <c r="R299" s="6" t="n">
        <v>0.0215726995064573</v>
      </c>
      <c r="S299" s="6" t="n">
        <v>0.0228374084762381</v>
      </c>
      <c r="T299" s="6" t="n">
        <v>0.0245893744157251</v>
      </c>
      <c r="U299" s="6" t="n">
        <v>0.0256674511201297</v>
      </c>
      <c r="V299" s="6" t="n">
        <v>0.0275244638179191</v>
      </c>
      <c r="W299" s="6" t="n">
        <v>0.0299079789428357</v>
      </c>
      <c r="X299" s="6" t="n">
        <v>0.0319813325759089</v>
      </c>
      <c r="Y299" s="6" t="n">
        <v>0.0284421046120348</v>
      </c>
      <c r="Z299" s="6" t="n">
        <v>0.0304883783875258</v>
      </c>
      <c r="AA299" s="6" t="n">
        <v>0.031424336090324</v>
      </c>
      <c r="AB299" s="6" t="n">
        <v>0.0337067997217354</v>
      </c>
      <c r="AC299" s="6" t="n">
        <v>0.0351060339081167</v>
      </c>
      <c r="AD299" s="6" t="n">
        <v>0.0375376466231346</v>
      </c>
      <c r="AE299" s="6" t="n">
        <v>0.04194862089003</v>
      </c>
      <c r="AF299" s="6" t="n">
        <v>0.0451086997060177</v>
      </c>
      <c r="AG299" s="6" t="n">
        <v>0.0455134680115367</v>
      </c>
      <c r="AH299" s="6" t="n">
        <v>0.0487543585004023</v>
      </c>
      <c r="AI299" s="6" t="n">
        <v>0.0508611922046746</v>
      </c>
      <c r="AJ299" s="6" t="n">
        <v>0.0542312614099004</v>
      </c>
      <c r="AK299" s="6" t="n">
        <v>0.0564226145469329</v>
      </c>
      <c r="AL299" s="6" t="n">
        <v>0.0599533296066003</v>
      </c>
      <c r="AM299" s="6" t="n">
        <v>0.0636565405098297</v>
      </c>
      <c r="AN299" s="6" t="n">
        <v>0.0676795311291764</v>
      </c>
      <c r="AO299" s="6" t="n">
        <v>0.0658702016192708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</v>
      </c>
      <c r="Y300" s="6" t="n">
        <v>0.0113506947492583</v>
      </c>
      <c r="Z300" s="6" t="n">
        <v>0.0135099660827352</v>
      </c>
      <c r="AA300" s="6" t="n">
        <v>0.0137019928498091</v>
      </c>
      <c r="AB300" s="6" t="n">
        <v>0.0157806926999339</v>
      </c>
      <c r="AC300" s="6" t="n">
        <v>0.0162745656178909</v>
      </c>
      <c r="AD300" s="6" t="n">
        <v>0.0182101587856459</v>
      </c>
      <c r="AE300" s="6" t="n">
        <v>0.0216614806446731</v>
      </c>
      <c r="AF300" s="6" t="n">
        <v>0.0242415311188989</v>
      </c>
      <c r="AG300" s="6" t="n">
        <v>0.02462584406454</v>
      </c>
      <c r="AH300" s="6" t="n">
        <v>0.0271341565999888</v>
      </c>
      <c r="AI300" s="6" t="n">
        <v>0.0279365491512895</v>
      </c>
      <c r="AJ300" s="6" t="n">
        <v>0.0303869040397259</v>
      </c>
      <c r="AK300" s="6" t="n">
        <v>0.0312720910505255</v>
      </c>
      <c r="AL300" s="6" t="n">
        <v>0.0336337735524696</v>
      </c>
      <c r="AM300" s="6" t="n">
        <v>0.0359172051405813</v>
      </c>
      <c r="AN300" s="6" t="n">
        <v>0.0385917759777785</v>
      </c>
      <c r="AO300" s="6" t="n">
        <v>0.0350648272876625</v>
      </c>
      <c r="AP300" s="6" t="n">
        <v>0.0939623959273652</v>
      </c>
      <c r="AQ300" s="6" t="n">
        <v>0.0853801436619559</v>
      </c>
      <c r="AR300" s="6" t="n">
        <v>0.0898340818637717</v>
      </c>
      <c r="AS300" s="6" t="n">
        <v>0.0918858686342667</v>
      </c>
      <c r="AT300" s="6" t="n">
        <v>0.0962702174609117</v>
      </c>
      <c r="AU300" s="6" t="n">
        <v>0.116244140797928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9544.22236214768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160.937444509165</v>
      </c>
      <c r="R56" s="13" t="n">
        <f aca="false">R55+R51+R52+R53+R54</f>
        <v>160.835951131398</v>
      </c>
      <c r="S56" s="13" t="n">
        <f aca="false">S55+S51+S52+S53+S54</f>
        <v>162.987309962954</v>
      </c>
      <c r="T56" s="13" t="n">
        <f aca="false">T55+T51+T52+T53+T54</f>
        <v>164.045566446772</v>
      </c>
      <c r="U56" s="13" t="n">
        <f aca="false">U55+U51+U52+U53+U54</f>
        <v>164.972480869412</v>
      </c>
      <c r="V56" s="13" t="n">
        <f aca="false">V55+V51+V52+V53+V54</f>
        <v>163.286434200741</v>
      </c>
      <c r="W56" s="13" t="n">
        <f aca="false">W55+W51+W52+W53+W54</f>
        <v>166.251784671663</v>
      </c>
      <c r="X56" s="13" t="n">
        <f aca="false">X55+X51+X52+X53+X54</f>
        <v>168.893245858532</v>
      </c>
      <c r="Y56" s="13" t="n">
        <f aca="false">Y55+Y51+Y52+Y53+Y54</f>
        <v>170.575728481196</v>
      </c>
      <c r="Z56" s="13" t="n">
        <f aca="false">Z55+Z51+Z52+Z53+Z54</f>
        <v>170.464697759845</v>
      </c>
      <c r="AA56" s="13" t="n">
        <f aca="false">AA55+AA51+AA52+AA53+AA54</f>
        <v>172.790271522572</v>
      </c>
      <c r="AB56" s="13" t="n">
        <f aca="false">AB55+AB51+AB52+AB53+AB54</f>
        <v>173.931780018733</v>
      </c>
      <c r="AC56" s="13" t="n">
        <f aca="false">AC55+AC51+AC52+AC53+AC54</f>
        <v>174.25883107632</v>
      </c>
      <c r="AD56" s="13" t="n">
        <f aca="false">AD55+AD51+AD52+AD53+AD54</f>
        <v>170.166084577391</v>
      </c>
      <c r="AE56" s="13" t="n">
        <f aca="false">AE55+AE51+AE52+AE53+AE54</f>
        <v>174.941314099289</v>
      </c>
      <c r="AF56" s="13" t="n">
        <f aca="false">AF55+AF51+AF52+AF53+AF54</f>
        <v>179.168692903681</v>
      </c>
      <c r="AG56" s="13" t="n">
        <f aca="false">AG55+AG51+AG52+AG53+AG54</f>
        <v>180.987951830394</v>
      </c>
      <c r="AH56" s="13" t="n">
        <f aca="false">AH55+AH51+AH52+AH53+AH54</f>
        <v>180.866621861231</v>
      </c>
      <c r="AI56" s="13" t="n">
        <f aca="false">AI55+AI51+AI52+AI53+AI54</f>
        <v>183.380435125148</v>
      </c>
      <c r="AJ56" s="13" t="n">
        <f aca="false">AJ55+AJ51+AJ52+AJ53+AJ54</f>
        <v>184.611805112988</v>
      </c>
      <c r="AK56" s="13" t="n">
        <f aca="false">AK55+AK51+AK52+AK53+AK54</f>
        <v>185.694909265728</v>
      </c>
      <c r="AL56" s="13" t="n">
        <f aca="false">AL55+AL51+AL52+AL53+AL54</f>
        <v>183.728056753514</v>
      </c>
      <c r="AM56" s="13" t="n">
        <f aca="false">AM55+AM51+AM52+AM53+AM54</f>
        <v>187.191387739894</v>
      </c>
      <c r="AN56" s="13" t="n">
        <f aca="false">AN55+AN51+AN52+AN53+AN54</f>
        <v>190.269245551567</v>
      </c>
      <c r="AO56" s="13" t="n">
        <f aca="false">AO55+AO51+AO52+AO53+AO54</f>
        <v>192.236338851718</v>
      </c>
      <c r="AP56" s="13" t="n">
        <f aca="false">AP55+AP51+AP52+AP53+AP54</f>
        <v>192.103895298566</v>
      </c>
      <c r="AQ56" s="13" t="n">
        <f aca="false">AQ55+AQ51+AQ52+AQ53+AQ54</f>
        <v>194.821094375658</v>
      </c>
      <c r="AR56" s="13" t="n">
        <f aca="false">AR55+AR51+AR52+AR53+AR54</f>
        <v>196.149463570819</v>
      </c>
      <c r="AS56" s="13" t="n">
        <f aca="false">AS55+AS51+AS52+AS53+AS54</f>
        <v>196.533143982971</v>
      </c>
      <c r="AT56" s="13" t="n">
        <f aca="false">AT55+AT51+AT52+AT53+AT54</f>
        <v>191.849192813492</v>
      </c>
      <c r="AU56" s="13" t="n">
        <f aca="false">AU55+AU51+AU52+AU53+AU54</f>
        <v>197.334071085754</v>
      </c>
      <c r="AV56" s="13" t="n">
        <f aca="false">AV55+AV51+AV52+AV53+AV54</f>
        <v>202.261241587036</v>
      </c>
      <c r="AW56" s="13" t="n">
        <f aca="false">AW55+AW51+AW52+AW53+AW54</f>
        <v>204.388116180541</v>
      </c>
      <c r="AX56" s="13" t="n">
        <f aca="false">AX55+AX51+AX52+AX53+AX54</f>
        <v>204.243689405396</v>
      </c>
      <c r="AY56" s="13" t="n">
        <f aca="false">AY55+AY51+AY52+AY53+AY54</f>
        <v>207.180631432313</v>
      </c>
      <c r="AZ56" s="13" t="n">
        <f aca="false">AZ55+AZ51+AZ52+AZ53+AZ54</f>
        <v>208.613708195696</v>
      </c>
      <c r="BA56" s="13" t="n">
        <f aca="false">BA55+BA51+BA52+BA53+BA54</f>
        <v>209.879326641693</v>
      </c>
      <c r="BB56" s="13" t="n">
        <f aca="false">BB55+BB51+BB52+BB53+BB54</f>
        <v>207.585683976232</v>
      </c>
      <c r="BC56" s="13" t="n">
        <f aca="false">BC55+BC51+BC52+BC53+BC54</f>
        <v>211.630056549633</v>
      </c>
      <c r="BD56" s="13" t="n">
        <f aca="false">BD55+BD51+BD52+BD53+BD54</f>
        <v>215.216351801121</v>
      </c>
      <c r="BE56" s="13" t="n">
        <f aca="false">BE55+BE51+BE52+BE53+BE54</f>
        <v>217.515914462009</v>
      </c>
      <c r="BF56" s="13" t="n">
        <f aca="false">BF55+BF51+BF52+BF53+BF54</f>
        <v>217.358576582138</v>
      </c>
      <c r="BG56" s="13" t="n">
        <f aca="false">BG55+BG51+BG52+BG53+BG54</f>
        <v>220.532925620718</v>
      </c>
      <c r="BH56" s="13" t="n">
        <f aca="false">BH55+BH51+BH52+BH53+BH54</f>
        <v>222.079034781665</v>
      </c>
      <c r="BI56" s="13" t="n">
        <f aca="false">BI55+BI51+BI52+BI53+BI54</f>
        <v>222.529295839892</v>
      </c>
      <c r="BJ56" s="13" t="n">
        <f aca="false">BJ55+BJ51+BJ52+BJ53+BJ54</f>
        <v>217.155453486585</v>
      </c>
      <c r="BK56" s="13" t="n">
        <f aca="false">BK55+BK51+BK52+BK53+BK54</f>
        <v>223.469585243309</v>
      </c>
      <c r="BL56" s="13" t="n">
        <f aca="false">BL55+BL51+BL52+BL53+BL54</f>
        <v>229.212008211435</v>
      </c>
      <c r="BM56" s="13" t="n">
        <f aca="false">BM55+BM51+BM52+BM53+BM54</f>
        <v>154.711350103131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307.295598966072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1.53884550107693</v>
      </c>
      <c r="P60" s="13" t="n">
        <f aca="false">Inputs!$F$151*(Inputs!$F$152*P21+(1-Inputs!$F$152)*P27*Inputs!$F$153/P11)*Time!P30/12*Inputs!$F$40</f>
        <v>4.66704213500875</v>
      </c>
      <c r="Q60" s="13" t="n">
        <f aca="false">Inputs!$F$151*(Inputs!$F$152*Q21+(1-Inputs!$F$152)*Q27*Inputs!$F$153/Q11)*Time!Q30/12*Inputs!$F$40</f>
        <v>4.71810030630188</v>
      </c>
      <c r="R60" s="13" t="n">
        <f aca="false">Inputs!$F$151*(Inputs!$F$152*R21+(1-Inputs!$F$152)*R27*Inputs!$F$153/R11)*Time!R30/12*Inputs!$F$40</f>
        <v>4.76971706197895</v>
      </c>
      <c r="S60" s="13" t="n">
        <f aca="false">Inputs!$F$151*(Inputs!$F$152*S21+(1-Inputs!$F$152)*S27*Inputs!$F$153/S11)*Time!S30/12*Inputs!$F$40</f>
        <v>4.82189851304052</v>
      </c>
      <c r="T60" s="13" t="n">
        <f aca="false">Inputs!$F$151*(Inputs!$F$152*T21+(1-Inputs!$F$152)*T27*Inputs!$F$153/T11)*Time!T30/12*Inputs!$F$40</f>
        <v>4.87465083734248</v>
      </c>
      <c r="U60" s="13" t="n">
        <f aca="false">Inputs!$F$151*(Inputs!$F$152*U21+(1-Inputs!$F$152)*U27*Inputs!$F$153/U11)*Time!U30/12*Inputs!$F$40</f>
        <v>4.92798028032741</v>
      </c>
      <c r="V60" s="13" t="n">
        <f aca="false">Inputs!$F$151*(Inputs!$F$152*V21+(1-Inputs!$F$152)*V27*Inputs!$F$153/V11)*Time!V30/12*Inputs!$F$40</f>
        <v>4.98189315576401</v>
      </c>
      <c r="W60" s="13" t="n">
        <f aca="false">Inputs!$F$151*(Inputs!$F$152*W21+(1-Inputs!$F$152)*W27*Inputs!$F$153/W11)*Time!W30/12*Inputs!$F$40</f>
        <v>5.03639584649461</v>
      </c>
      <c r="X60" s="13" t="n">
        <f aca="false">Inputs!$F$151*(Inputs!$F$152*X21+(1-Inputs!$F$152)*X27*Inputs!$F$153/X11)*Time!X30/12*Inputs!$F$40</f>
        <v>5.09149480519082</v>
      </c>
      <c r="Y60" s="13" t="n">
        <f aca="false">Inputs!$F$151*(Inputs!$F$152*Y21+(1-Inputs!$F$152)*Y27*Inputs!$F$153/Y11)*Time!Y30/12*Inputs!$F$40</f>
        <v>5.14719655511749</v>
      </c>
      <c r="Z60" s="13" t="n">
        <f aca="false">Inputs!$F$151*(Inputs!$F$152*Z21+(1-Inputs!$F$152)*Z27*Inputs!$F$153/Z11)*Time!Z30/12*Inputs!$F$40</f>
        <v>5.20350769090502</v>
      </c>
      <c r="AA60" s="13" t="n">
        <f aca="false">Inputs!$F$151*(Inputs!$F$152*AA21+(1-Inputs!$F$152)*AA27*Inputs!$F$153/AA11)*Time!AA30/12*Inputs!$F$40</f>
        <v>5.26043487933008</v>
      </c>
      <c r="AB60" s="13" t="n">
        <f aca="false">Inputs!$F$151*(Inputs!$F$152*AB21+(1-Inputs!$F$152)*AB27*Inputs!$F$153/AB11)*Time!AB30/12*Inputs!$F$40</f>
        <v>5.31798486010493</v>
      </c>
      <c r="AC60" s="13" t="n">
        <f aca="false">Inputs!$F$151*(Inputs!$F$152*AC21+(1-Inputs!$F$152)*AC27*Inputs!$F$153/AC11)*Time!AC30/12*Inputs!$F$40</f>
        <v>5.37616444667534</v>
      </c>
      <c r="AD60" s="13" t="n">
        <f aca="false">Inputs!$F$151*(Inputs!$F$152*AD21+(1-Inputs!$F$152)*AD27*Inputs!$F$153/AD11)*Time!AD30/12*Inputs!$F$40</f>
        <v>5.43498052702724</v>
      </c>
      <c r="AE60" s="13" t="n">
        <f aca="false">Inputs!$F$151*(Inputs!$F$152*AE21+(1-Inputs!$F$152)*AE27*Inputs!$F$153/AE11)*Time!AE30/12*Inputs!$F$40</f>
        <v>5.4944400645022</v>
      </c>
      <c r="AF60" s="13" t="n">
        <f aca="false">Inputs!$F$151*(Inputs!$F$152*AF21+(1-Inputs!$F$152)*AF27*Inputs!$F$153/AF11)*Time!AF30/12*Inputs!$F$40</f>
        <v>5.55455009862183</v>
      </c>
      <c r="AG60" s="13" t="n">
        <f aca="false">Inputs!$F$151*(Inputs!$F$152*AG21+(1-Inputs!$F$152)*AG27*Inputs!$F$153/AG11)*Time!AG30/12*Inputs!$F$40</f>
        <v>5.61531774592124</v>
      </c>
      <c r="AH60" s="13" t="n">
        <f aca="false">Inputs!$F$151*(Inputs!$F$152*AH21+(1-Inputs!$F$152)*AH27*Inputs!$F$153/AH11)*Time!AH30/12*Inputs!$F$40</f>
        <v>5.67675020079151</v>
      </c>
      <c r="AI60" s="13" t="n">
        <f aca="false">Inputs!$F$151*(Inputs!$F$152*AI21+(1-Inputs!$F$152)*AI27*Inputs!$F$153/AI11)*Time!AI30/12*Inputs!$F$40</f>
        <v>5.73885473633151</v>
      </c>
      <c r="AJ60" s="13" t="n">
        <f aca="false">Inputs!$F$151*(Inputs!$F$152*AJ21+(1-Inputs!$F$152)*AJ27*Inputs!$F$153/AJ11)*Time!AJ30/12*Inputs!$F$40</f>
        <v>5.80163870520893</v>
      </c>
      <c r="AK60" s="13" t="n">
        <f aca="false">Inputs!$F$151*(Inputs!$F$152*AK21+(1-Inputs!$F$152)*AK27*Inputs!$F$153/AK11)*Time!AK30/12*Inputs!$F$40</f>
        <v>5.8651095405308</v>
      </c>
      <c r="AL60" s="13" t="n">
        <f aca="false">Inputs!$F$151*(Inputs!$F$152*AL21+(1-Inputs!$F$152)*AL27*Inputs!$F$153/AL11)*Time!AL30/12*Inputs!$F$40</f>
        <v>5.92927475672352</v>
      </c>
      <c r="AM60" s="13" t="n">
        <f aca="false">Inputs!$F$151*(Inputs!$F$152*AM21+(1-Inputs!$F$152)*AM27*Inputs!$F$153/AM11)*Time!AM30/12*Inputs!$F$40</f>
        <v>5.99414195042248</v>
      </c>
      <c r="AN60" s="13" t="n">
        <f aca="false">Inputs!$F$151*(Inputs!$F$152*AN21+(1-Inputs!$F$152)*AN27*Inputs!$F$153/AN11)*Time!AN30/12*Inputs!$F$40</f>
        <v>6.05971880137144</v>
      </c>
      <c r="AO60" s="13" t="n">
        <f aca="false">Inputs!$F$151*(Inputs!$F$152*AO21+(1-Inputs!$F$152)*AO27*Inputs!$F$153/AO11)*Time!AO30/12*Inputs!$F$40</f>
        <v>6.12601307333177</v>
      </c>
      <c r="AP60" s="13" t="n">
        <f aca="false">Inputs!$F$151*(Inputs!$F$152*AP21+(1-Inputs!$F$152)*AP27*Inputs!$F$153/AP11)*Time!AP30/12*Inputs!$F$40</f>
        <v>6.19303261500161</v>
      </c>
      <c r="AQ60" s="13" t="n">
        <f aca="false">Inputs!$F$151*(Inputs!$F$152*AQ21+(1-Inputs!$F$152)*AQ27*Inputs!$F$153/AQ11)*Time!AQ30/12*Inputs!$F$40</f>
        <v>6.26078536094507</v>
      </c>
      <c r="AR60" s="13" t="n">
        <f aca="false">Inputs!$F$151*(Inputs!$F$152*AR21+(1-Inputs!$F$152)*AR27*Inputs!$F$153/AR11)*Time!AR30/12*Inputs!$F$40</f>
        <v>6.32927933253165</v>
      </c>
      <c r="AS60" s="13" t="n">
        <f aca="false">Inputs!$F$151*(Inputs!$F$152*AS21+(1-Inputs!$F$152)*AS27*Inputs!$F$153/AS11)*Time!AS30/12*Inputs!$F$40</f>
        <v>6.39852263888586</v>
      </c>
      <c r="AT60" s="13" t="n">
        <f aca="false">Inputs!$F$151*(Inputs!$F$152*AT21+(1-Inputs!$F$152)*AT27*Inputs!$F$153/AT11)*Time!AT30/12*Inputs!$F$40</f>
        <v>6.46852347784734</v>
      </c>
      <c r="AU60" s="13" t="n">
        <f aca="false">Inputs!$F$151*(Inputs!$F$152*AU21+(1-Inputs!$F$152)*AU27*Inputs!$F$153/AU11)*Time!AU30/12*Inputs!$F$40</f>
        <v>6.53929013694135</v>
      </c>
      <c r="AV60" s="13" t="n">
        <f aca="false">Inputs!$F$151*(Inputs!$F$152*AV21+(1-Inputs!$F$152)*AV27*Inputs!$F$153/AV11)*Time!AV30/12*Inputs!$F$40</f>
        <v>6.61083099435998</v>
      </c>
      <c r="AW60" s="13" t="n">
        <f aca="false">Inputs!$F$151*(Inputs!$F$152*AW21+(1-Inputs!$F$152)*AW27*Inputs!$F$153/AW11)*Time!AW30/12*Inputs!$F$40</f>
        <v>6.68315451995406</v>
      </c>
      <c r="AX60" s="13" t="n">
        <f aca="false">Inputs!$F$151*(Inputs!$F$152*AX21+(1-Inputs!$F$152)*AX27*Inputs!$F$153/AX11)*Time!AX30/12*Inputs!$F$40</f>
        <v>6.7562692762359</v>
      </c>
      <c r="AY60" s="13" t="n">
        <f aca="false">Inputs!$F$151*(Inputs!$F$152*AY21+(1-Inputs!$F$152)*AY27*Inputs!$F$153/AY11)*Time!AY30/12*Inputs!$F$40</f>
        <v>6.83018391939305</v>
      </c>
      <c r="AZ60" s="13" t="n">
        <f aca="false">Inputs!$F$151*(Inputs!$F$152*AZ21+(1-Inputs!$F$152)*AZ27*Inputs!$F$153/AZ11)*Time!AZ30/12*Inputs!$F$40</f>
        <v>6.90490720031309</v>
      </c>
      <c r="BA60" s="13" t="n">
        <f aca="false">Inputs!$F$151*(Inputs!$F$152*BA21+(1-Inputs!$F$152)*BA27*Inputs!$F$153/BA11)*Time!BA30/12*Inputs!$F$40</f>
        <v>6.98044796561969</v>
      </c>
      <c r="BB60" s="13" t="n">
        <f aca="false">Inputs!$F$151*(Inputs!$F$152*BB21+(1-Inputs!$F$152)*BB27*Inputs!$F$153/BB11)*Time!BB30/12*Inputs!$F$40</f>
        <v>7.05681515871998</v>
      </c>
      <c r="BC60" s="13" t="n">
        <f aca="false">Inputs!$F$151*(Inputs!$F$152*BC21+(1-Inputs!$F$152)*BC27*Inputs!$F$153/BC11)*Time!BC30/12*Inputs!$F$40</f>
        <v>7.13401782086333</v>
      </c>
      <c r="BD60" s="13" t="n">
        <f aca="false">Inputs!$F$151*(Inputs!$F$152*BD21+(1-Inputs!$F$152)*BD27*Inputs!$F$153/BD11)*Time!BD30/12*Inputs!$F$40</f>
        <v>7.21206509221181</v>
      </c>
      <c r="BE60" s="13" t="n">
        <f aca="false">Inputs!$F$151*(Inputs!$F$152*BE21+(1-Inputs!$F$152)*BE27*Inputs!$F$153/BE11)*Time!BE30/12*Inputs!$F$40</f>
        <v>7.29096621292232</v>
      </c>
      <c r="BF60" s="13" t="n">
        <f aca="false">Inputs!$F$151*(Inputs!$F$152*BF21+(1-Inputs!$F$152)*BF27*Inputs!$F$153/BF11)*Time!BF30/12*Inputs!$F$40</f>
        <v>7.37073052424047</v>
      </c>
      <c r="BG60" s="13" t="n">
        <f aca="false">Inputs!$F$151*(Inputs!$F$152*BG21+(1-Inputs!$F$152)*BG27*Inputs!$F$153/BG11)*Time!BG30/12*Inputs!$F$40</f>
        <v>7.45136746960661</v>
      </c>
      <c r="BH60" s="13" t="n">
        <f aca="false">Inputs!$F$151*(Inputs!$F$152*BH21+(1-Inputs!$F$152)*BH27*Inputs!$F$153/BH11)*Time!BH30/12*Inputs!$F$40</f>
        <v>7.53288659577376</v>
      </c>
      <c r="BI60" s="13" t="n">
        <f aca="false">Inputs!$F$151*(Inputs!$F$152*BI21+(1-Inputs!$F$152)*BI27*Inputs!$F$153/BI11)*Time!BI30/12*Inputs!$F$40</f>
        <v>7.61529755393795</v>
      </c>
      <c r="BJ60" s="13" t="n">
        <f aca="false">Inputs!$F$151*(Inputs!$F$152*BJ21+(1-Inputs!$F$152)*BJ27*Inputs!$F$153/BJ11)*Time!BJ30/12*Inputs!$F$40</f>
        <v>7.69861010088078</v>
      </c>
      <c r="BK60" s="13" t="n">
        <f aca="false">Inputs!$F$151*(Inputs!$F$152*BK21+(1-Inputs!$F$152)*BK27*Inputs!$F$153/BK11)*Time!BK30/12*Inputs!$F$40</f>
        <v>7.78283410012458</v>
      </c>
      <c r="BL60" s="13" t="n">
        <f aca="false">Inputs!$F$151*(Inputs!$F$152*BL21+(1-Inputs!$F$152)*BL27*Inputs!$F$153/BL11)*Time!BL30/12*Inputs!$F$40</f>
        <v>7.86797952310016</v>
      </c>
      <c r="BM60" s="13" t="n">
        <f aca="false">Inputs!$F$151*(Inputs!$F$152*BM21+(1-Inputs!$F$152)*BM27*Inputs!$F$153/BM11)*Time!BM30/12*Inputs!$F$40</f>
        <v>5.30270430021822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102.611644135199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0.513848774492185</v>
      </c>
      <c r="P62" s="13" t="n">
        <f aca="false">Inputs!$F$155*P21*Time!P30/12*Inputs!$F$40</f>
        <v>1.5584110814889</v>
      </c>
      <c r="Q62" s="13" t="n">
        <f aca="false">Inputs!$F$155*Q21*Time!Q30/12*Inputs!$F$40</f>
        <v>1.57546034259304</v>
      </c>
      <c r="R62" s="13" t="n">
        <f aca="false">Inputs!$F$155*R21*Time!R30/12*Inputs!$F$40</f>
        <v>1.59269612528166</v>
      </c>
      <c r="S62" s="13" t="n">
        <f aca="false">Inputs!$F$155*S21*Time!S30/12*Inputs!$F$40</f>
        <v>1.61012047013009</v>
      </c>
      <c r="T62" s="13" t="n">
        <f aca="false">Inputs!$F$155*T21*Time!T30/12*Inputs!$F$40</f>
        <v>1.62773544003786</v>
      </c>
      <c r="U62" s="13" t="n">
        <f aca="false">Inputs!$F$155*U21*Time!U30/12*Inputs!$F$40</f>
        <v>1.64554312047295</v>
      </c>
      <c r="V62" s="13" t="n">
        <f aca="false">Inputs!$F$155*V21*Time!V30/12*Inputs!$F$40</f>
        <v>1.66354561971869</v>
      </c>
      <c r="W62" s="13" t="n">
        <f aca="false">Inputs!$F$155*W21*Time!W30/12*Inputs!$F$40</f>
        <v>1.68174506912335</v>
      </c>
      <c r="X62" s="13" t="n">
        <f aca="false">Inputs!$F$155*X21*Time!X30/12*Inputs!$F$40</f>
        <v>1.7001436233525</v>
      </c>
      <c r="Y62" s="13" t="n">
        <f aca="false">Inputs!$F$155*Y21*Time!Y30/12*Inputs!$F$40</f>
        <v>1.71874346064407</v>
      </c>
      <c r="Z62" s="13" t="n">
        <f aca="false">Inputs!$F$155*Z21*Time!Z30/12*Inputs!$F$40</f>
        <v>1.73754678306625</v>
      </c>
      <c r="AA62" s="13" t="n">
        <f aca="false">Inputs!$F$155*AA21*Time!AA30/12*Inputs!$F$40</f>
        <v>1.75655581677823</v>
      </c>
      <c r="AB62" s="13" t="n">
        <f aca="false">Inputs!$F$155*AB21*Time!AB30/12*Inputs!$F$40</f>
        <v>1.77577281229371</v>
      </c>
      <c r="AC62" s="13" t="n">
        <f aca="false">Inputs!$F$155*AC21*Time!AC30/12*Inputs!$F$40</f>
        <v>1.79520004474736</v>
      </c>
      <c r="AD62" s="13" t="n">
        <f aca="false">Inputs!$F$155*AD21*Time!AD30/12*Inputs!$F$40</f>
        <v>1.81483981416417</v>
      </c>
      <c r="AE62" s="13" t="n">
        <f aca="false">Inputs!$F$155*AE21*Time!AE30/12*Inputs!$F$40</f>
        <v>1.8346944457318</v>
      </c>
      <c r="AF62" s="13" t="n">
        <f aca="false">Inputs!$F$155*AF21*Time!AF30/12*Inputs!$F$40</f>
        <v>1.85476629007578</v>
      </c>
      <c r="AG62" s="13" t="n">
        <f aca="false">Inputs!$F$155*AG21*Time!AG30/12*Inputs!$F$40</f>
        <v>1.8750577235379</v>
      </c>
      <c r="AH62" s="13" t="n">
        <f aca="false">Inputs!$F$155*AH21*Time!AH30/12*Inputs!$F$40</f>
        <v>1.89557114845745</v>
      </c>
      <c r="AI62" s="13" t="n">
        <f aca="false">Inputs!$F$155*AI21*Time!AI30/12*Inputs!$F$40</f>
        <v>1.91630899345573</v>
      </c>
      <c r="AJ62" s="13" t="n">
        <f aca="false">Inputs!$F$155*AJ21*Time!AJ30/12*Inputs!$F$40</f>
        <v>1.93727371372351</v>
      </c>
      <c r="AK62" s="13" t="n">
        <f aca="false">Inputs!$F$155*AK21*Time!AK30/12*Inputs!$F$40</f>
        <v>1.95846779131175</v>
      </c>
      <c r="AL62" s="13" t="n">
        <f aca="false">Inputs!$F$155*AL21*Time!AL30/12*Inputs!$F$40</f>
        <v>1.97989373542543</v>
      </c>
      <c r="AM62" s="13" t="n">
        <f aca="false">Inputs!$F$155*AM21*Time!AM30/12*Inputs!$F$40</f>
        <v>2.00155408272061</v>
      </c>
      <c r="AN62" s="13" t="n">
        <f aca="false">Inputs!$F$155*AN21*Time!AN30/12*Inputs!$F$40</f>
        <v>2.02345139760479</v>
      </c>
      <c r="AO62" s="13" t="n">
        <f aca="false">Inputs!$F$155*AO21*Time!AO30/12*Inputs!$F$40</f>
        <v>2.04558827254047</v>
      </c>
      <c r="AP62" s="13" t="n">
        <f aca="false">Inputs!$F$155*AP21*Time!AP30/12*Inputs!$F$40</f>
        <v>2.0679673283521</v>
      </c>
      <c r="AQ62" s="13" t="n">
        <f aca="false">Inputs!$F$155*AQ21*Time!AQ30/12*Inputs!$F$40</f>
        <v>2.09059121453636</v>
      </c>
      <c r="AR62" s="13" t="n">
        <f aca="false">Inputs!$F$155*AR21*Time!AR30/12*Inputs!$F$40</f>
        <v>2.11346260957584</v>
      </c>
      <c r="AS62" s="13" t="n">
        <f aca="false">Inputs!$F$155*AS21*Time!AS30/12*Inputs!$F$40</f>
        <v>2.13658422125616</v>
      </c>
      <c r="AT62" s="13" t="n">
        <f aca="false">Inputs!$F$155*AT21*Time!AT30/12*Inputs!$F$40</f>
        <v>2.15995878698651</v>
      </c>
      <c r="AU62" s="13" t="n">
        <f aca="false">Inputs!$F$155*AU21*Time!AU30/12*Inputs!$F$40</f>
        <v>2.18358907412379</v>
      </c>
      <c r="AV62" s="13" t="n">
        <f aca="false">Inputs!$F$155*AV21*Time!AV30/12*Inputs!$F$40</f>
        <v>2.20747788030021</v>
      </c>
      <c r="AW62" s="13" t="n">
        <f aca="false">Inputs!$F$155*AW21*Time!AW30/12*Inputs!$F$40</f>
        <v>2.23162803375451</v>
      </c>
      <c r="AX62" s="13" t="n">
        <f aca="false">Inputs!$F$155*AX21*Time!AX30/12*Inputs!$F$40</f>
        <v>2.25604239366682</v>
      </c>
      <c r="AY62" s="13" t="n">
        <f aca="false">Inputs!$F$155*AY21*Time!AY30/12*Inputs!$F$40</f>
        <v>2.28072385049711</v>
      </c>
      <c r="AZ62" s="13" t="n">
        <f aca="false">Inputs!$F$155*AZ21*Time!AZ30/12*Inputs!$F$40</f>
        <v>2.30567532632749</v>
      </c>
      <c r="BA62" s="13" t="n">
        <f aca="false">Inputs!$F$155*BA21*Time!BA30/12*Inputs!$F$40</f>
        <v>2.33089977520805</v>
      </c>
      <c r="BB62" s="13" t="n">
        <f aca="false">Inputs!$F$155*BB21*Time!BB30/12*Inputs!$F$40</f>
        <v>2.35640018350669</v>
      </c>
      <c r="BC62" s="13" t="n">
        <f aca="false">Inputs!$F$155*BC21*Time!BC30/12*Inputs!$F$40</f>
        <v>2.38217957026263</v>
      </c>
      <c r="BD62" s="13" t="n">
        <f aca="false">Inputs!$F$155*BD21*Time!BD30/12*Inputs!$F$40</f>
        <v>2.40824098754384</v>
      </c>
      <c r="BE62" s="13" t="n">
        <f aca="false">Inputs!$F$155*BE21*Time!BE30/12*Inputs!$F$40</f>
        <v>2.4345875208084</v>
      </c>
      <c r="BF62" s="13" t="n">
        <f aca="false">Inputs!$F$155*BF21*Time!BF30/12*Inputs!$F$40</f>
        <v>2.4612222892698</v>
      </c>
      <c r="BG62" s="13" t="n">
        <f aca="false">Inputs!$F$155*BG21*Time!BG30/12*Inputs!$F$40</f>
        <v>2.48814844626619</v>
      </c>
      <c r="BH62" s="13" t="n">
        <f aca="false">Inputs!$F$155*BH21*Time!BH30/12*Inputs!$F$40</f>
        <v>2.51536917963374</v>
      </c>
      <c r="BI62" s="13" t="n">
        <f aca="false">Inputs!$F$155*BI21*Time!BI30/12*Inputs!$F$40</f>
        <v>2.54288771208404</v>
      </c>
      <c r="BJ62" s="13" t="n">
        <f aca="false">Inputs!$F$155*BJ21*Time!BJ30/12*Inputs!$F$40</f>
        <v>2.57070730158568</v>
      </c>
      <c r="BK62" s="13" t="n">
        <f aca="false">Inputs!$F$155*BK21*Time!BK30/12*Inputs!$F$40</f>
        <v>2.59883124174989</v>
      </c>
      <c r="BL62" s="13" t="n">
        <f aca="false">Inputs!$F$155*BL21*Time!BL30/12*Inputs!$F$40</f>
        <v>2.62726286222056</v>
      </c>
      <c r="BM62" s="13" t="n">
        <f aca="false">Inputs!$F$155*BM21*Time!BM30/12*Inputs!$F$40</f>
        <v>1.77067035271226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169.853365481371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0.850575433534413</v>
      </c>
      <c r="P65" s="13" t="n">
        <f aca="false">Inputs!$F$157*P21*Time!P30/12*(1+Inputs!$F$158*Inputs!$F$46*Time!P41)*Inputs!$F$40</f>
        <v>2.5796425856464</v>
      </c>
      <c r="Q65" s="13" t="n">
        <f aca="false">Inputs!$F$157*Q21*Time!Q30/12*(1+Inputs!$F$158*Inputs!$F$46*Time!Q41)*Inputs!$F$40</f>
        <v>2.60786427921651</v>
      </c>
      <c r="R65" s="13" t="n">
        <f aca="false">Inputs!$F$157*R21*Time!R30/12*(1+Inputs!$F$158*Inputs!$F$46*Time!R41)*Inputs!$F$40</f>
        <v>2.63639472253063</v>
      </c>
      <c r="S65" s="13" t="n">
        <f aca="false">Inputs!$F$157*S21*Time!S30/12*(1+Inputs!$F$158*Inputs!$F$46*Time!S41)*Inputs!$F$40</f>
        <v>2.66523729335927</v>
      </c>
      <c r="T65" s="13" t="n">
        <f aca="false">Inputs!$F$157*T21*Time!T30/12*(1+Inputs!$F$158*Inputs!$F$46*Time!T41)*Inputs!$F$40</f>
        <v>2.6943954064263</v>
      </c>
      <c r="U65" s="13" t="n">
        <f aca="false">Inputs!$F$157*U21*Time!U30/12*(1+Inputs!$F$158*Inputs!$F$46*Time!U41)*Inputs!$F$40</f>
        <v>2.72387251381317</v>
      </c>
      <c r="V65" s="13" t="n">
        <f aca="false">Inputs!$F$157*V21*Time!V30/12*(1+Inputs!$F$158*Inputs!$F$46*Time!V41)*Inputs!$F$40</f>
        <v>2.75367210536768</v>
      </c>
      <c r="W65" s="13" t="n">
        <f aca="false">Inputs!$F$157*W21*Time!W30/12*(1+Inputs!$F$158*Inputs!$F$46*Time!W41)*Inputs!$F$40</f>
        <v>2.78379770911706</v>
      </c>
      <c r="X65" s="13" t="n">
        <f aca="false">Inputs!$F$157*X21*Time!X30/12*(1+Inputs!$F$158*Inputs!$F$46*Time!X41)*Inputs!$F$40</f>
        <v>2.81425289168576</v>
      </c>
      <c r="Y65" s="13" t="n">
        <f aca="false">Inputs!$F$157*Y21*Time!Y30/12*(1+Inputs!$F$158*Inputs!$F$46*Time!Y41)*Inputs!$F$40</f>
        <v>2.84504125871764</v>
      </c>
      <c r="Z65" s="13" t="n">
        <f aca="false">Inputs!$F$157*Z21*Time!Z30/12*(1+Inputs!$F$158*Inputs!$F$46*Time!Z41)*Inputs!$F$40</f>
        <v>2.87616645530285</v>
      </c>
      <c r="AA65" s="13" t="n">
        <f aca="false">Inputs!$F$157*AA21*Time!AA30/12*(1+Inputs!$F$158*Inputs!$F$46*Time!AA41)*Inputs!$F$40</f>
        <v>2.90763216640943</v>
      </c>
      <c r="AB65" s="13" t="n">
        <f aca="false">Inputs!$F$157*AB21*Time!AB30/12*(1+Inputs!$F$158*Inputs!$F$46*Time!AB41)*Inputs!$F$40</f>
        <v>2.93944211731951</v>
      </c>
      <c r="AC65" s="13" t="n">
        <f aca="false">Inputs!$F$157*AC21*Time!AC30/12*(1+Inputs!$F$158*Inputs!$F$46*Time!AC41)*Inputs!$F$40</f>
        <v>2.97160007407043</v>
      </c>
      <c r="AD65" s="13" t="n">
        <f aca="false">Inputs!$F$157*AD21*Time!AD30/12*(1+Inputs!$F$158*Inputs!$F$46*Time!AD41)*Inputs!$F$40</f>
        <v>3.00410984390054</v>
      </c>
      <c r="AE65" s="13" t="n">
        <f aca="false">Inputs!$F$157*AE21*Time!AE30/12*(1+Inputs!$F$158*Inputs!$F$46*Time!AE41)*Inputs!$F$40</f>
        <v>3.03697527569998</v>
      </c>
      <c r="AF65" s="13" t="n">
        <f aca="false">Inputs!$F$157*AF21*Time!AF30/12*(1+Inputs!$F$158*Inputs!$F$46*Time!AF41)*Inputs!$F$40</f>
        <v>3.07020026046635</v>
      </c>
      <c r="AG65" s="13" t="n">
        <f aca="false">Inputs!$F$157*AG21*Time!AG30/12*(1+Inputs!$F$158*Inputs!$F$46*Time!AG41)*Inputs!$F$40</f>
        <v>3.10378873176538</v>
      </c>
      <c r="AH65" s="13" t="n">
        <f aca="false">Inputs!$F$157*AH21*Time!AH30/12*(1+Inputs!$F$158*Inputs!$F$46*Time!AH41)*Inputs!$F$40</f>
        <v>3.13774466619661</v>
      </c>
      <c r="AI65" s="13" t="n">
        <f aca="false">Inputs!$F$157*AI21*Time!AI30/12*(1+Inputs!$F$158*Inputs!$F$46*Time!AI41)*Inputs!$F$40</f>
        <v>3.17207208386422</v>
      </c>
      <c r="AJ65" s="13" t="n">
        <f aca="false">Inputs!$F$157*AJ21*Time!AJ30/12*(1+Inputs!$F$158*Inputs!$F$46*Time!AJ41)*Inputs!$F$40</f>
        <v>3.20677504885294</v>
      </c>
      <c r="AK65" s="13" t="n">
        <f aca="false">Inputs!$F$157*AK21*Time!AK30/12*(1+Inputs!$F$158*Inputs!$F$46*Time!AK41)*Inputs!$F$40</f>
        <v>3.24185766970923</v>
      </c>
      <c r="AL65" s="13" t="n">
        <f aca="false">Inputs!$F$157*AL21*Time!AL30/12*(1+Inputs!$F$158*Inputs!$F$46*Time!AL41)*Inputs!$F$40</f>
        <v>3.2773240999277</v>
      </c>
      <c r="AM65" s="13" t="n">
        <f aca="false">Inputs!$F$157*AM21*Time!AM30/12*(1+Inputs!$F$158*Inputs!$F$46*Time!AM41)*Inputs!$F$40</f>
        <v>3.31317853844283</v>
      </c>
      <c r="AN65" s="13" t="n">
        <f aca="false">Inputs!$F$157*AN21*Time!AN30/12*(1+Inputs!$F$158*Inputs!$F$46*Time!AN41)*Inputs!$F$40</f>
        <v>3.34942523012611</v>
      </c>
      <c r="AO65" s="13" t="n">
        <f aca="false">Inputs!$F$157*AO21*Time!AO30/12*(1+Inputs!$F$158*Inputs!$F$46*Time!AO41)*Inputs!$F$40</f>
        <v>3.38606846628857</v>
      </c>
      <c r="AP65" s="13" t="n">
        <f aca="false">Inputs!$F$157*AP21*Time!AP30/12*(1+Inputs!$F$158*Inputs!$F$46*Time!AP41)*Inputs!$F$40</f>
        <v>3.42311258518888</v>
      </c>
      <c r="AQ65" s="13" t="n">
        <f aca="false">Inputs!$F$157*AQ21*Time!AQ30/12*(1+Inputs!$F$158*Inputs!$F$46*Time!AQ41)*Inputs!$F$40</f>
        <v>3.46056197254692</v>
      </c>
      <c r="AR65" s="13" t="n">
        <f aca="false">Inputs!$F$157*AR21*Time!AR30/12*(1+Inputs!$F$158*Inputs!$F$46*Time!AR41)*Inputs!$F$40</f>
        <v>3.49842106206304</v>
      </c>
      <c r="AS65" s="13" t="n">
        <f aca="false">Inputs!$F$157*AS21*Time!AS30/12*(1+Inputs!$F$158*Inputs!$F$46*Time!AS41)*Inputs!$F$40</f>
        <v>3.53669433594295</v>
      </c>
      <c r="AT65" s="13" t="n">
        <f aca="false">Inputs!$F$157*AT21*Time!AT30/12*(1+Inputs!$F$158*Inputs!$F$46*Time!AT41)*Inputs!$F$40</f>
        <v>3.57538632542843</v>
      </c>
      <c r="AU65" s="13" t="n">
        <f aca="false">Inputs!$F$157*AU21*Time!AU30/12*(1+Inputs!$F$158*Inputs!$F$46*Time!AU41)*Inputs!$F$40</f>
        <v>3.6145016113337</v>
      </c>
      <c r="AV65" s="13" t="n">
        <f aca="false">Inputs!$F$157*AV21*Time!AV30/12*(1+Inputs!$F$158*Inputs!$F$46*Time!AV41)*Inputs!$F$40</f>
        <v>3.65404482458785</v>
      </c>
      <c r="AW65" s="13" t="n">
        <f aca="false">Inputs!$F$157*AW21*Time!AW30/12*(1+Inputs!$F$158*Inputs!$F$46*Time!AW41)*Inputs!$F$40</f>
        <v>3.69402064678304</v>
      </c>
      <c r="AX65" s="13" t="n">
        <f aca="false">Inputs!$F$157*AX21*Time!AX30/12*(1+Inputs!$F$158*Inputs!$F$46*Time!AX41)*Inputs!$F$40</f>
        <v>3.73443381072878</v>
      </c>
      <c r="AY65" s="13" t="n">
        <f aca="false">Inputs!$F$157*AY21*Time!AY30/12*(1+Inputs!$F$158*Inputs!$F$46*Time!AY41)*Inputs!$F$40</f>
        <v>3.77528910101227</v>
      </c>
      <c r="AZ65" s="13" t="n">
        <f aca="false">Inputs!$F$157*AZ21*Time!AZ30/12*(1+Inputs!$F$158*Inputs!$F$46*Time!AZ41)*Inputs!$F$40</f>
        <v>3.81659135456481</v>
      </c>
      <c r="BA65" s="13" t="n">
        <f aca="false">Inputs!$F$157*BA21*Time!BA30/12*(1+Inputs!$F$158*Inputs!$F$46*Time!BA41)*Inputs!$F$40</f>
        <v>3.85834546123453</v>
      </c>
      <c r="BB65" s="13" t="n">
        <f aca="false">Inputs!$F$157*BB21*Time!BB30/12*(1+Inputs!$F$158*Inputs!$F$46*Time!BB41)*Inputs!$F$40</f>
        <v>3.90055636436524</v>
      </c>
      <c r="BC65" s="13" t="n">
        <f aca="false">Inputs!$F$157*BC21*Time!BC30/12*(1+Inputs!$F$158*Inputs!$F$46*Time!BC41)*Inputs!$F$40</f>
        <v>3.94322906138169</v>
      </c>
      <c r="BD65" s="13" t="n">
        <f aca="false">Inputs!$F$157*BD21*Time!BD30/12*(1+Inputs!$F$158*Inputs!$F$46*Time!BD41)*Inputs!$F$40</f>
        <v>3.98636860438127</v>
      </c>
      <c r="BE65" s="13" t="n">
        <f aca="false">Inputs!$F$157*BE21*Time!BE30/12*(1+Inputs!$F$158*Inputs!$F$46*Time!BE41)*Inputs!$F$40</f>
        <v>4.02998010073209</v>
      </c>
      <c r="BF65" s="13" t="n">
        <f aca="false">Inputs!$F$157*BF21*Time!BF30/12*(1+Inputs!$F$158*Inputs!$F$46*Time!BF41)*Inputs!$F$40</f>
        <v>4.07406871367766</v>
      </c>
      <c r="BG65" s="13" t="n">
        <f aca="false">Inputs!$F$157*BG21*Time!BG30/12*(1+Inputs!$F$158*Inputs!$F$46*Time!BG41)*Inputs!$F$40</f>
        <v>4.11863966294819</v>
      </c>
      <c r="BH65" s="13" t="n">
        <f aca="false">Inputs!$F$157*BH21*Time!BH30/12*(1+Inputs!$F$158*Inputs!$F$46*Time!BH41)*Inputs!$F$40</f>
        <v>4.16369822537857</v>
      </c>
      <c r="BI65" s="13" t="n">
        <f aca="false">Inputs!$F$157*BI21*Time!BI30/12*(1+Inputs!$F$158*Inputs!$F$46*Time!BI41)*Inputs!$F$40</f>
        <v>4.20924973553306</v>
      </c>
      <c r="BJ65" s="13" t="n">
        <f aca="false">Inputs!$F$157*BJ21*Time!BJ30/12*(1+Inputs!$F$158*Inputs!$F$46*Time!BJ41)*Inputs!$F$40</f>
        <v>4.2552995863369</v>
      </c>
      <c r="BK65" s="13" t="n">
        <f aca="false">Inputs!$F$157*BK21*Time!BK30/12*(1+Inputs!$F$158*Inputs!$F$46*Time!BK41)*Inputs!$F$40</f>
        <v>4.30185322971478</v>
      </c>
      <c r="BL65" s="13" t="n">
        <f aca="false">Inputs!$F$157*BL21*Time!BL30/12*(1+Inputs!$F$158*Inputs!$F$46*Time!BL41)*Inputs!$F$40</f>
        <v>4.34891617723631</v>
      </c>
      <c r="BM65" s="13" t="n">
        <f aca="false">Inputs!$F$157*BM21*Time!BM30/12*(1+Inputs!$F$158*Inputs!$F$46*Time!BM41)*Inputs!$F$40</f>
        <v>2.93099600051234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123.291031601221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0.617405032616886</v>
      </c>
      <c r="P66" s="13" t="n">
        <f aca="false">Inputs!$F$159*(Inputs!$F$218*P21+(1-Inputs!$F$218)*P27*Inputs!$F$153/P11)*Time!P30/12*Inputs!$F$40</f>
        <v>1.8724786208706</v>
      </c>
      <c r="Q66" s="13" t="n">
        <f aca="false">Inputs!$F$159*(Inputs!$F$218*Q21+(1-Inputs!$F$218)*Q27*Inputs!$F$153/Q11)*Time!Q30/12*Inputs!$F$40</f>
        <v>1.89296383000337</v>
      </c>
      <c r="R66" s="13" t="n">
        <f aca="false">Inputs!$F$159*(Inputs!$F$218*R21+(1-Inputs!$F$218)*R27*Inputs!$F$153/R11)*Time!R30/12*Inputs!$F$40</f>
        <v>1.91367315052975</v>
      </c>
      <c r="S66" s="13" t="n">
        <f aca="false">Inputs!$F$159*(Inputs!$F$218*S21+(1-Inputs!$F$218)*S27*Inputs!$F$153/S11)*Time!S30/12*Inputs!$F$40</f>
        <v>1.93460903426345</v>
      </c>
      <c r="T66" s="13" t="n">
        <f aca="false">Inputs!$F$159*(Inputs!$F$218*T21+(1-Inputs!$F$218)*T27*Inputs!$F$153/T11)*Time!T30/12*Inputs!$F$40</f>
        <v>1.9557739598414</v>
      </c>
      <c r="U66" s="13" t="n">
        <f aca="false">Inputs!$F$159*(Inputs!$F$218*U21+(1-Inputs!$F$218)*U27*Inputs!$F$153/U11)*Time!U30/12*Inputs!$F$40</f>
        <v>1.97717043301724</v>
      </c>
      <c r="V66" s="13" t="n">
        <f aca="false">Inputs!$F$159*(Inputs!$F$218*V21+(1-Inputs!$F$218)*V27*Inputs!$F$153/V11)*Time!V30/12*Inputs!$F$40</f>
        <v>1.99880098695791</v>
      </c>
      <c r="W66" s="13" t="n">
        <f aca="false">Inputs!$F$159*(Inputs!$F$218*W21+(1-Inputs!$F$218)*W27*Inputs!$F$153/W11)*Time!W30/12*Inputs!$F$40</f>
        <v>2.02066818254362</v>
      </c>
      <c r="X66" s="13" t="n">
        <f aca="false">Inputs!$F$159*(Inputs!$F$218*X21+(1-Inputs!$F$218)*X27*Inputs!$F$153/X11)*Time!X30/12*Inputs!$F$40</f>
        <v>2.04277460867099</v>
      </c>
      <c r="Y66" s="13" t="n">
        <f aca="false">Inputs!$F$159*(Inputs!$F$218*Y21+(1-Inputs!$F$218)*Y27*Inputs!$F$153/Y11)*Time!Y30/12*Inputs!$F$40</f>
        <v>2.06512288255958</v>
      </c>
      <c r="Z66" s="13" t="n">
        <f aca="false">Inputs!$F$159*(Inputs!$F$218*Z21+(1-Inputs!$F$218)*Z27*Inputs!$F$153/Z11)*Time!Z30/12*Inputs!$F$40</f>
        <v>2.08771565006175</v>
      </c>
      <c r="AA66" s="13" t="n">
        <f aca="false">Inputs!$F$159*(Inputs!$F$218*AA21+(1-Inputs!$F$218)*AA27*Inputs!$F$153/AA11)*Time!AA30/12*Inputs!$F$40</f>
        <v>2.11055558597589</v>
      </c>
      <c r="AB66" s="13" t="n">
        <f aca="false">Inputs!$F$159*(Inputs!$F$218*AB21+(1-Inputs!$F$218)*AB27*Inputs!$F$153/AB11)*Time!AB30/12*Inputs!$F$40</f>
        <v>2.13364539436311</v>
      </c>
      <c r="AC66" s="13" t="n">
        <f aca="false">Inputs!$F$159*(Inputs!$F$218*AC21+(1-Inputs!$F$218)*AC27*Inputs!$F$153/AC11)*Time!AC30/12*Inputs!$F$40</f>
        <v>2.15698780886736</v>
      </c>
      <c r="AD66" s="13" t="n">
        <f aca="false">Inputs!$F$159*(Inputs!$F$218*AD21+(1-Inputs!$F$218)*AD27*Inputs!$F$153/AD11)*Time!AD30/12*Inputs!$F$40</f>
        <v>2.1805855930391</v>
      </c>
      <c r="AE66" s="13" t="n">
        <f aca="false">Inputs!$F$159*(Inputs!$F$218*AE21+(1-Inputs!$F$218)*AE27*Inputs!$F$153/AE11)*Time!AE30/12*Inputs!$F$40</f>
        <v>2.20444154066244</v>
      </c>
      <c r="AF66" s="13" t="n">
        <f aca="false">Inputs!$F$159*(Inputs!$F$218*AF21+(1-Inputs!$F$218)*AF27*Inputs!$F$153/AF11)*Time!AF30/12*Inputs!$F$40</f>
        <v>2.22855847608596</v>
      </c>
      <c r="AG66" s="13" t="n">
        <f aca="false">Inputs!$F$159*(Inputs!$F$218*AG21+(1-Inputs!$F$218)*AG27*Inputs!$F$153/AG11)*Time!AG30/12*Inputs!$F$40</f>
        <v>2.25293925455702</v>
      </c>
      <c r="AH66" s="13" t="n">
        <f aca="false">Inputs!$F$159*(Inputs!$F$218*AH21+(1-Inputs!$F$218)*AH27*Inputs!$F$153/AH11)*Time!AH30/12*Inputs!$F$40</f>
        <v>2.27758676255985</v>
      </c>
      <c r="AI66" s="13" t="n">
        <f aca="false">Inputs!$F$159*(Inputs!$F$218*AI21+(1-Inputs!$F$218)*AI27*Inputs!$F$153/AI11)*Time!AI30/12*Inputs!$F$40</f>
        <v>2.30250391815727</v>
      </c>
      <c r="AJ66" s="13" t="n">
        <f aca="false">Inputs!$F$159*(Inputs!$F$218*AJ21+(1-Inputs!$F$218)*AJ27*Inputs!$F$153/AJ11)*Time!AJ30/12*Inputs!$F$40</f>
        <v>2.32769367133616</v>
      </c>
      <c r="AK66" s="13" t="n">
        <f aca="false">Inputs!$F$159*(Inputs!$F$218*AK21+(1-Inputs!$F$218)*AK27*Inputs!$F$153/AK11)*Time!AK30/12*Inputs!$F$40</f>
        <v>2.35315900435673</v>
      </c>
      <c r="AL66" s="13" t="n">
        <f aca="false">Inputs!$F$159*(Inputs!$F$218*AL21+(1-Inputs!$F$218)*AL27*Inputs!$F$153/AL11)*Time!AL30/12*Inputs!$F$40</f>
        <v>2.37890293210556</v>
      </c>
      <c r="AM66" s="13" t="n">
        <f aca="false">Inputs!$F$159*(Inputs!$F$218*AM21+(1-Inputs!$F$218)*AM27*Inputs!$F$153/AM11)*Time!AM30/12*Inputs!$F$40</f>
        <v>2.40492850245258</v>
      </c>
      <c r="AN66" s="13" t="n">
        <f aca="false">Inputs!$F$159*(Inputs!$F$218*AN21+(1-Inputs!$F$218)*AN27*Inputs!$F$153/AN11)*Time!AN30/12*Inputs!$F$40</f>
        <v>2.43123879661188</v>
      </c>
      <c r="AO66" s="13" t="n">
        <f aca="false">Inputs!$F$159*(Inputs!$F$218*AO21+(1-Inputs!$F$218)*AO27*Inputs!$F$153/AO11)*Time!AO30/12*Inputs!$F$40</f>
        <v>2.45783692950653</v>
      </c>
      <c r="AP66" s="13" t="n">
        <f aca="false">Inputs!$F$159*(Inputs!$F$218*AP21+(1-Inputs!$F$218)*AP27*Inputs!$F$153/AP11)*Time!AP30/12*Inputs!$F$40</f>
        <v>2.48472605013734</v>
      </c>
      <c r="AQ66" s="13" t="n">
        <f aca="false">Inputs!$F$159*(Inputs!$F$218*AQ21+(1-Inputs!$F$218)*AQ27*Inputs!$F$153/AQ11)*Time!AQ30/12*Inputs!$F$40</f>
        <v>2.51190934195568</v>
      </c>
      <c r="AR66" s="13" t="n">
        <f aca="false">Inputs!$F$159*(Inputs!$F$218*AR21+(1-Inputs!$F$218)*AR27*Inputs!$F$153/AR11)*Time!AR30/12*Inputs!$F$40</f>
        <v>2.53939002324036</v>
      </c>
      <c r="AS66" s="13" t="n">
        <f aca="false">Inputs!$F$159*(Inputs!$F$218*AS21+(1-Inputs!$F$218)*AS27*Inputs!$F$153/AS11)*Time!AS30/12*Inputs!$F$40</f>
        <v>2.5671713474787</v>
      </c>
      <c r="AT66" s="13" t="n">
        <f aca="false">Inputs!$F$159*(Inputs!$F$218*AT21+(1-Inputs!$F$218)*AT27*Inputs!$F$153/AT11)*Time!AT30/12*Inputs!$F$40</f>
        <v>2.59525660375165</v>
      </c>
      <c r="AU66" s="13" t="n">
        <f aca="false">Inputs!$F$159*(Inputs!$F$218*AU21+(1-Inputs!$F$218)*AU27*Inputs!$F$153/AU11)*Time!AU30/12*Inputs!$F$40</f>
        <v>2.62364911712323</v>
      </c>
      <c r="AV66" s="13" t="n">
        <f aca="false">Inputs!$F$159*(Inputs!$F$218*AV21+(1-Inputs!$F$218)*AV27*Inputs!$F$153/AV11)*Time!AV30/12*Inputs!$F$40</f>
        <v>2.65235224903419</v>
      </c>
      <c r="AW66" s="13" t="n">
        <f aca="false">Inputs!$F$159*(Inputs!$F$218*AW21+(1-Inputs!$F$218)*AW27*Inputs!$F$153/AW11)*Time!AW30/12*Inputs!$F$40</f>
        <v>2.68136939769994</v>
      </c>
      <c r="AX66" s="13" t="n">
        <f aca="false">Inputs!$F$159*(Inputs!$F$218*AX21+(1-Inputs!$F$218)*AX27*Inputs!$F$153/AX11)*Time!AX30/12*Inputs!$F$40</f>
        <v>2.71070399851294</v>
      </c>
      <c r="AY66" s="13" t="n">
        <f aca="false">Inputs!$F$159*(Inputs!$F$218*AY21+(1-Inputs!$F$218)*AY27*Inputs!$F$153/AY11)*Time!AY30/12*Inputs!$F$40</f>
        <v>2.74035952444934</v>
      </c>
      <c r="AZ66" s="13" t="n">
        <f aca="false">Inputs!$F$159*(Inputs!$F$218*AZ21+(1-Inputs!$F$218)*AZ27*Inputs!$F$153/AZ11)*Time!AZ30/12*Inputs!$F$40</f>
        <v>2.77033948648022</v>
      </c>
      <c r="BA66" s="13" t="n">
        <f aca="false">Inputs!$F$159*(Inputs!$F$218*BA21+(1-Inputs!$F$218)*BA27*Inputs!$F$153/BA11)*Time!BA30/12*Inputs!$F$40</f>
        <v>2.80064743398723</v>
      </c>
      <c r="BB66" s="13" t="n">
        <f aca="false">Inputs!$F$159*(Inputs!$F$218*BB21+(1-Inputs!$F$218)*BB27*Inputs!$F$153/BB11)*Time!BB30/12*Inputs!$F$40</f>
        <v>2.83128695518279</v>
      </c>
      <c r="BC66" s="13" t="n">
        <f aca="false">Inputs!$F$159*(Inputs!$F$218*BC21+(1-Inputs!$F$218)*BC27*Inputs!$F$153/BC11)*Time!BC30/12*Inputs!$F$40</f>
        <v>2.86226167753495</v>
      </c>
      <c r="BD66" s="13" t="n">
        <f aca="false">Inputs!$F$159*(Inputs!$F$218*BD21+(1-Inputs!$F$218)*BD27*Inputs!$F$153/BD11)*Time!BD30/12*Inputs!$F$40</f>
        <v>2.89357526819681</v>
      </c>
      <c r="BE66" s="13" t="n">
        <f aca="false">Inputs!$F$159*(Inputs!$F$218*BE21+(1-Inputs!$F$218)*BE27*Inputs!$F$153/BE11)*Time!BE30/12*Inputs!$F$40</f>
        <v>2.92523143444072</v>
      </c>
      <c r="BF66" s="13" t="n">
        <f aca="false">Inputs!$F$159*(Inputs!$F$218*BF21+(1-Inputs!$F$218)*BF27*Inputs!$F$153/BF11)*Time!BF30/12*Inputs!$F$40</f>
        <v>2.95723392409714</v>
      </c>
      <c r="BG66" s="13" t="n">
        <f aca="false">Inputs!$F$159*(Inputs!$F$218*BG21+(1-Inputs!$F$218)*BG27*Inputs!$F$153/BG11)*Time!BG30/12*Inputs!$F$40</f>
        <v>2.98958652599841</v>
      </c>
      <c r="BH66" s="13" t="n">
        <f aca="false">Inputs!$F$159*(Inputs!$F$218*BH21+(1-Inputs!$F$218)*BH27*Inputs!$F$153/BH11)*Time!BH30/12*Inputs!$F$40</f>
        <v>3.02229307042728</v>
      </c>
      <c r="BI66" s="13" t="n">
        <f aca="false">Inputs!$F$159*(Inputs!$F$218*BI21+(1-Inputs!$F$218)*BI27*Inputs!$F$153/BI11)*Time!BI30/12*Inputs!$F$40</f>
        <v>3.05535742957037</v>
      </c>
      <c r="BJ66" s="13" t="n">
        <f aca="false">Inputs!$F$159*(Inputs!$F$218*BJ21+(1-Inputs!$F$218)*BJ27*Inputs!$F$153/BJ11)*Time!BJ30/12*Inputs!$F$40</f>
        <v>3.08878351797668</v>
      </c>
      <c r="BK66" s="13" t="n">
        <f aca="false">Inputs!$F$159*(Inputs!$F$218*BK21+(1-Inputs!$F$218)*BK27*Inputs!$F$153/BK11)*Time!BK30/12*Inputs!$F$40</f>
        <v>3.12257529302092</v>
      </c>
      <c r="BL66" s="13" t="n">
        <f aca="false">Inputs!$F$159*(Inputs!$F$218*BL21+(1-Inputs!$F$218)*BL27*Inputs!$F$153/BL11)*Time!BL30/12*Inputs!$F$40</f>
        <v>3.15673675537216</v>
      </c>
      <c r="BM66" s="13" t="n">
        <f aca="false">Inputs!$F$159*(Inputs!$F$218*BM21+(1-Inputs!$F$218)*BM27*Inputs!$F$153/BM11)*Time!BM30/12*Inputs!$F$40</f>
        <v>2.12751463297826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27.5383929605207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0.137904129628829</v>
      </c>
      <c r="P67" s="13" t="n">
        <f aca="false">Inputs!$F$160*P27/P11*Time!P30/12*Inputs!$F$40</f>
        <v>0.418238467161933</v>
      </c>
      <c r="Q67" s="13" t="n">
        <f aca="false">Inputs!$F$160*Q27/Q11*Time!Q30/12*Inputs!$F$40</f>
        <v>0.422814061441989</v>
      </c>
      <c r="R67" s="13" t="n">
        <f aca="false">Inputs!$F$160*R27/R11*Time!R30/12*Inputs!$F$40</f>
        <v>0.427439713439496</v>
      </c>
      <c r="S67" s="13" t="n">
        <f aca="false">Inputs!$F$160*S27/S11*Time!S30/12*Inputs!$F$40</f>
        <v>0.432115970793713</v>
      </c>
      <c r="T67" s="13" t="n">
        <f aca="false">Inputs!$F$160*T27/T11*Time!T30/12*Inputs!$F$40</f>
        <v>0.436843387135164</v>
      </c>
      <c r="U67" s="13" t="n">
        <f aca="false">Inputs!$F$160*U27/U11*Time!U30/12*Inputs!$F$40</f>
        <v>0.441622522151175</v>
      </c>
      <c r="V67" s="13" t="n">
        <f aca="false">Inputs!$F$160*V27/V11*Time!V30/12*Inputs!$F$40</f>
        <v>0.446453941652138</v>
      </c>
      <c r="W67" s="13" t="n">
        <f aca="false">Inputs!$F$160*W27/W11*Time!W30/12*Inputs!$F$40</f>
        <v>0.451338217638501</v>
      </c>
      <c r="X67" s="13" t="n">
        <f aca="false">Inputs!$F$160*X27/X11*Time!X30/12*Inputs!$F$40</f>
        <v>0.456275928368485</v>
      </c>
      <c r="Y67" s="13" t="n">
        <f aca="false">Inputs!$F$160*Y27/Y11*Time!Y30/12*Inputs!$F$40</f>
        <v>0.461267658426548</v>
      </c>
      <c r="Z67" s="13" t="n">
        <f aca="false">Inputs!$F$160*Z27/Z11*Time!Z30/12*Inputs!$F$40</f>
        <v>0.466313998792592</v>
      </c>
      <c r="AA67" s="13" t="n">
        <f aca="false">Inputs!$F$160*AA27/AA11*Time!AA30/12*Inputs!$F$40</f>
        <v>0.471415546911932</v>
      </c>
      <c r="AB67" s="13" t="n">
        <f aca="false">Inputs!$F$160*AB27/AB11*Time!AB30/12*Inputs!$F$40</f>
        <v>0.476572906766029</v>
      </c>
      <c r="AC67" s="13" t="n">
        <f aca="false">Inputs!$F$160*AC27/AC11*Time!AC30/12*Inputs!$F$40</f>
        <v>0.481786688943994</v>
      </c>
      <c r="AD67" s="13" t="n">
        <f aca="false">Inputs!$F$160*AD27/AD11*Time!AD30/12*Inputs!$F$40</f>
        <v>0.487057510714881</v>
      </c>
      <c r="AE67" s="13" t="n">
        <f aca="false">Inputs!$F$160*AE27/AE11*Time!AE30/12*Inputs!$F$40</f>
        <v>0.492385996100762</v>
      </c>
      <c r="AF67" s="13" t="n">
        <f aca="false">Inputs!$F$160*AF27/AF11*Time!AF30/12*Inputs!$F$40</f>
        <v>0.497772775950609</v>
      </c>
      <c r="AG67" s="13" t="n">
        <f aca="false">Inputs!$F$160*AG27/AG11*Time!AG30/12*Inputs!$F$40</f>
        <v>0.503218488014979</v>
      </c>
      <c r="AH67" s="13" t="n">
        <f aca="false">Inputs!$F$160*AH27/AH11*Time!AH30/12*Inputs!$F$40</f>
        <v>0.508723777021522</v>
      </c>
      <c r="AI67" s="13" t="n">
        <f aca="false">Inputs!$F$160*AI27/AI11*Time!AI30/12*Inputs!$F$40</f>
        <v>0.514289294751309</v>
      </c>
      <c r="AJ67" s="13" t="n">
        <f aca="false">Inputs!$F$160*AJ27/AJ11*Time!AJ30/12*Inputs!$F$40</f>
        <v>0.519915700115996</v>
      </c>
      <c r="AK67" s="13" t="n">
        <f aca="false">Inputs!$F$160*AK27/AK11*Time!AK30/12*Inputs!$F$40</f>
        <v>0.525603659235837</v>
      </c>
      <c r="AL67" s="13" t="n">
        <f aca="false">Inputs!$F$160*AL27/AL11*Time!AL30/12*Inputs!$F$40</f>
        <v>0.531353845518548</v>
      </c>
      <c r="AM67" s="13" t="n">
        <f aca="false">Inputs!$F$160*AM27/AM11*Time!AM30/12*Inputs!$F$40</f>
        <v>0.537166939739026</v>
      </c>
      <c r="AN67" s="13" t="n">
        <f aca="false">Inputs!$F$160*AN27/AN11*Time!AN30/12*Inputs!$F$40</f>
        <v>0.543043630119956</v>
      </c>
      <c r="AO67" s="13" t="n">
        <f aca="false">Inputs!$F$160*AO27/AO11*Time!AO30/12*Inputs!$F$40</f>
        <v>0.548984612413284</v>
      </c>
      <c r="AP67" s="13" t="n">
        <f aca="false">Inputs!$F$160*AP27/AP11*Time!AP30/12*Inputs!$F$40</f>
        <v>0.554990589982595</v>
      </c>
      <c r="AQ67" s="13" t="n">
        <f aca="false">Inputs!$F$160*AQ27/AQ11*Time!AQ30/12*Inputs!$F$40</f>
        <v>0.561062273886377</v>
      </c>
      <c r="AR67" s="13" t="n">
        <f aca="false">Inputs!$F$160*AR27/AR11*Time!AR30/12*Inputs!$F$40</f>
        <v>0.567200382962212</v>
      </c>
      <c r="AS67" s="13" t="n">
        <f aca="false">Inputs!$F$160*AS27/AS11*Time!AS30/12*Inputs!$F$40</f>
        <v>0.573405643911877</v>
      </c>
      <c r="AT67" s="13" t="n">
        <f aca="false">Inputs!$F$160*AT27/AT11*Time!AT30/12*Inputs!$F$40</f>
        <v>0.57967879138738</v>
      </c>
      <c r="AU67" s="13" t="n">
        <f aca="false">Inputs!$F$160*AU27/AU11*Time!AU30/12*Inputs!$F$40</f>
        <v>0.586020568077938</v>
      </c>
      <c r="AV67" s="13" t="n">
        <f aca="false">Inputs!$F$160*AV27/AV11*Time!AV30/12*Inputs!$F$40</f>
        <v>0.592431724797903</v>
      </c>
      <c r="AW67" s="13" t="n">
        <f aca="false">Inputs!$F$160*AW27/AW11*Time!AW30/12*Inputs!$F$40</f>
        <v>0.598913020575653</v>
      </c>
      <c r="AX67" s="13" t="n">
        <f aca="false">Inputs!$F$160*AX27/AX11*Time!AX30/12*Inputs!$F$40</f>
        <v>0.605465222743457</v>
      </c>
      <c r="AY67" s="13" t="n">
        <f aca="false">Inputs!$F$160*AY27/AY11*Time!AY30/12*Inputs!$F$40</f>
        <v>0.612089107028317</v>
      </c>
      <c r="AZ67" s="13" t="n">
        <f aca="false">Inputs!$F$160*AZ27/AZ11*Time!AZ30/12*Inputs!$F$40</f>
        <v>0.618785457643813</v>
      </c>
      <c r="BA67" s="13" t="n">
        <f aca="false">Inputs!$F$160*BA27/BA11*Time!BA30/12*Inputs!$F$40</f>
        <v>0.62555506738294</v>
      </c>
      <c r="BB67" s="13" t="n">
        <f aca="false">Inputs!$F$160*BB27/BB11*Time!BB30/12*Inputs!$F$40</f>
        <v>0.632398737711976</v>
      </c>
      <c r="BC67" s="13" t="n">
        <f aca="false">Inputs!$F$160*BC27/BC11*Time!BC30/12*Inputs!$F$40</f>
        <v>0.639317278865365</v>
      </c>
      <c r="BD67" s="13" t="n">
        <f aca="false">Inputs!$F$160*BD27/BD11*Time!BD30/12*Inputs!$F$40</f>
        <v>0.64631150994164</v>
      </c>
      <c r="BE67" s="13" t="n">
        <f aca="false">Inputs!$F$160*BE27/BE11*Time!BE30/12*Inputs!$F$40</f>
        <v>0.653382259000403</v>
      </c>
      <c r="BF67" s="13" t="n">
        <f aca="false">Inputs!$F$160*BF27/BF11*Time!BF30/12*Inputs!$F$40</f>
        <v>0.660530363160356</v>
      </c>
      <c r="BG67" s="13" t="n">
        <f aca="false">Inputs!$F$160*BG27/BG11*Time!BG30/12*Inputs!$F$40</f>
        <v>0.667756668698412</v>
      </c>
      <c r="BH67" s="13" t="n">
        <f aca="false">Inputs!$F$160*BH27/BH11*Time!BH30/12*Inputs!$F$40</f>
        <v>0.675062031149884</v>
      </c>
      <c r="BI67" s="13" t="n">
        <f aca="false">Inputs!$F$160*BI27/BI11*Time!BI30/12*Inputs!$F$40</f>
        <v>0.682447315409777</v>
      </c>
      <c r="BJ67" s="13" t="n">
        <f aca="false">Inputs!$F$160*BJ27/BJ11*Time!BJ30/12*Inputs!$F$40</f>
        <v>0.689913395835181</v>
      </c>
      <c r="BK67" s="13" t="n">
        <f aca="false">Inputs!$F$160*BK27/BK11*Time!BK30/12*Inputs!$F$40</f>
        <v>0.697461156348792</v>
      </c>
      <c r="BL67" s="13" t="n">
        <f aca="false">Inputs!$F$160*BL27/BL11*Time!BL30/12*Inputs!$F$40</f>
        <v>0.705091490543555</v>
      </c>
      <c r="BM67" s="13" t="n">
        <f aca="false">Inputs!$F$160*BM27/BM11*Time!BM30/12*Inputs!$F$40</f>
        <v>0.475203534525644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1194.5772845175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6.09096207058998</v>
      </c>
      <c r="P72" s="13" t="n">
        <f aca="false">P60+P61+P62+P64+P65+P66+P67+P68+P69+P70+P71</f>
        <v>18.4661761563198</v>
      </c>
      <c r="Q72" s="13" t="n">
        <f aca="false">Q60+Q61+Q62+Q64+Q65+Q66+Q67+Q68+Q69+Q70+Q71</f>
        <v>18.6214944268034</v>
      </c>
      <c r="R72" s="13" t="n">
        <f aca="false">R60+R61+R62+R64+R65+R66+R67+R68+R69+R70+R71</f>
        <v>18.7381166614321</v>
      </c>
      <c r="S72" s="13" t="n">
        <f aca="false">S60+S61+S62+S64+S65+S66+S67+S68+S69+S70+S71</f>
        <v>18.9763055715266</v>
      </c>
      <c r="T72" s="13" t="n">
        <f aca="false">T60+T61+T62+T64+T65+T66+T67+T68+T69+T70+T71</f>
        <v>19.2583368341248</v>
      </c>
      <c r="U72" s="13" t="n">
        <f aca="false">U60+U61+U62+U64+U65+U66+U67+U68+U69+U70+U71</f>
        <v>19.3150576029779</v>
      </c>
      <c r="V72" s="13" t="n">
        <f aca="false">V60+V61+V62+V64+V65+V66+V67+V68+V69+V70+V71</f>
        <v>19.2225096458005</v>
      </c>
      <c r="W72" s="13" t="n">
        <f aca="false">W60+W61+W62+W64+W65+W66+W67+W68+W69+W70+W71</f>
        <v>19.5754871143286</v>
      </c>
      <c r="X72" s="13" t="n">
        <f aca="false">X60+X61+X62+X64+X65+X66+X67+X68+X69+X70+X71</f>
        <v>20.0854347705409</v>
      </c>
      <c r="Y72" s="13" t="n">
        <f aca="false">Y60+Y61+Y62+Y64+Y65+Y66+Y67+Y68+Y69+Y70+Y71</f>
        <v>20.2547697299564</v>
      </c>
      <c r="Z72" s="13" t="n">
        <f aca="false">Z60+Z61+Z62+Z64+Z65+Z66+Z67+Z68+Z69+Z70+Z71</f>
        <v>20.3819349152024</v>
      </c>
      <c r="AA72" s="13" t="n">
        <f aca="false">AA60+AA61+AA62+AA64+AA65+AA66+AA67+AA68+AA69+AA70+AA71</f>
        <v>20.6415829721431</v>
      </c>
      <c r="AB72" s="13" t="n">
        <f aca="false">AB60+AB61+AB62+AB64+AB65+AB66+AB67+AB68+AB69+AB70+AB71</f>
        <v>20.9490107152439</v>
      </c>
      <c r="AC72" s="13" t="n">
        <f aca="false">AC60+AC61+AC62+AC64+AC65+AC66+AC67+AC68+AC69+AC70+AC71</f>
        <v>20.9159617429166</v>
      </c>
      <c r="AD72" s="13" t="n">
        <f aca="false">AD60+AD61+AD62+AD64+AD65+AD66+AD67+AD68+AD69+AD70+AD71</f>
        <v>20.6546621190511</v>
      </c>
      <c r="AE72" s="13" t="n">
        <f aca="false">AE60+AE61+AE62+AE64+AE65+AE66+AE67+AE68+AE69+AE70+AE71</f>
        <v>21.1008630174322</v>
      </c>
      <c r="AF72" s="13" t="n">
        <f aca="false">AF60+AF61+AF62+AF64+AF65+AF66+AF67+AF68+AF69+AF70+AF71</f>
        <v>21.8506733605622</v>
      </c>
      <c r="AG72" s="13" t="n">
        <f aca="false">AG60+AG61+AG62+AG64+AG65+AG66+AG67+AG68+AG69+AG70+AG71</f>
        <v>22.0352898677298</v>
      </c>
      <c r="AH72" s="13" t="n">
        <f aca="false">AH60+AH61+AH62+AH64+AH65+AH66+AH67+AH68+AH69+AH70+AH71</f>
        <v>22.1739510789604</v>
      </c>
      <c r="AI72" s="13" t="n">
        <f aca="false">AI60+AI61+AI62+AI64+AI65+AI66+AI67+AI68+AI69+AI70+AI71</f>
        <v>22.4569914274109</v>
      </c>
      <c r="AJ72" s="13" t="n">
        <f aca="false">AJ60+AJ61+AJ62+AJ64+AJ65+AJ66+AJ67+AJ68+AJ69+AJ70+AJ71</f>
        <v>22.7921023373227</v>
      </c>
      <c r="AK72" s="13" t="n">
        <f aca="false">AK60+AK61+AK62+AK64+AK65+AK66+AK67+AK68+AK69+AK70+AK71</f>
        <v>22.859627332066</v>
      </c>
      <c r="AL72" s="13" t="n">
        <f aca="false">AL60+AL61+AL62+AL64+AL65+AL66+AL67+AL68+AL69+AL70+AL71</f>
        <v>22.7498768118758</v>
      </c>
      <c r="AM72" s="13" t="n">
        <f aca="false">AM60+AM61+AM62+AM64+AM65+AM66+AM67+AM68+AM69+AM70+AM71</f>
        <v>23.1692513586069</v>
      </c>
      <c r="AN72" s="13" t="n">
        <f aca="false">AN60+AN61+AN62+AN64+AN65+AN66+AN67+AN68+AN69+AN70+AN71</f>
        <v>23.7750513427846</v>
      </c>
      <c r="AO72" s="13" t="n">
        <f aca="false">AO60+AO61+AO62+AO64+AO65+AO66+AO67+AO68+AO69+AO70+AO71</f>
        <v>23.976328389723</v>
      </c>
      <c r="AP72" s="13" t="n">
        <f aca="false">AP60+AP61+AP62+AP64+AP65+AP66+AP67+AP68+AP69+AP70+AP71</f>
        <v>24.1275248564917</v>
      </c>
      <c r="AQ72" s="13" t="n">
        <f aca="false">AQ60+AQ61+AQ62+AQ64+AQ65+AQ66+AQ67+AQ68+AQ69+AQ70+AQ71</f>
        <v>24.4360647722775</v>
      </c>
      <c r="AR72" s="13" t="n">
        <f aca="false">AR60+AR61+AR62+AR64+AR65+AR66+AR67+AR68+AR69+AR70+AR71</f>
        <v>24.8013514064839</v>
      </c>
      <c r="AS72" s="13" t="n">
        <f aca="false">AS60+AS61+AS62+AS64+AS65+AS66+AS67+AS68+AS69+AS70+AS71</f>
        <v>24.7622772789594</v>
      </c>
      <c r="AT72" s="13" t="n">
        <f aca="false">AT60+AT61+AT62+AT64+AT65+AT66+AT67+AT68+AT69+AT70+AT71</f>
        <v>24.4528212230199</v>
      </c>
      <c r="AU72" s="13" t="n">
        <f aca="false">AU60+AU61+AU62+AU64+AU65+AU66+AU67+AU68+AU69+AU70+AU71</f>
        <v>24.9822308375229</v>
      </c>
      <c r="AV72" s="13" t="n">
        <f aca="false">AV60+AV61+AV62+AV64+AV65+AV66+AV67+AV68+AV69+AV70+AV71</f>
        <v>25.8729143000697</v>
      </c>
      <c r="AW72" s="13" t="n">
        <f aca="false">AW60+AW61+AW62+AW64+AW65+AW66+AW67+AW68+AW69+AW70+AW71</f>
        <v>26.0923553100415</v>
      </c>
      <c r="AX72" s="13" t="n">
        <f aca="false">AX60+AX61+AX62+AX64+AX65+AX66+AX67+AX68+AX69+AX70+AX71</f>
        <v>26.2572202037918</v>
      </c>
      <c r="AY72" s="13" t="n">
        <f aca="false">AY60+AY61+AY62+AY64+AY65+AY66+AY67+AY68+AY69+AY70+AY71</f>
        <v>26.5935567775844</v>
      </c>
      <c r="AZ72" s="13" t="n">
        <f aca="false">AZ60+AZ61+AZ62+AZ64+AZ65+AZ66+AZ67+AZ68+AZ69+AZ70+AZ71</f>
        <v>26.9917360974788</v>
      </c>
      <c r="BA72" s="13" t="n">
        <f aca="false">BA60+BA61+BA62+BA64+BA65+BA66+BA67+BA68+BA69+BA70+BA71</f>
        <v>27.0721233116523</v>
      </c>
      <c r="BB72" s="13" t="n">
        <f aca="false">BB60+BB61+BB62+BB64+BB65+BB66+BB67+BB68+BB69+BB70+BB71</f>
        <v>26.9419743641717</v>
      </c>
      <c r="BC72" s="13" t="n">
        <f aca="false">BC60+BC61+BC62+BC64+BC65+BC66+BC67+BC68+BC69+BC70+BC71</f>
        <v>27.4402341619802</v>
      </c>
      <c r="BD72" s="13" t="n">
        <f aca="false">BD60+BD61+BD62+BD64+BD65+BD66+BD67+BD68+BD69+BD70+BD71</f>
        <v>28.1599008920775</v>
      </c>
      <c r="BE72" s="13" t="n">
        <f aca="false">BE60+BE61+BE62+BE64+BE65+BE66+BE67+BE68+BE69+BE70+BE71</f>
        <v>28.3991449467511</v>
      </c>
      <c r="BF72" s="13" t="n">
        <f aca="false">BF60+BF61+BF62+BF64+BF65+BF66+BF67+BF68+BF69+BF70+BF71</f>
        <v>28.5789138724442</v>
      </c>
      <c r="BG72" s="13" t="n">
        <f aca="false">BG60+BG61+BG62+BG64+BG65+BG66+BG67+BG68+BG69+BG70+BG71</f>
        <v>28.9455511059135</v>
      </c>
      <c r="BH72" s="13" t="n">
        <f aca="false">BH60+BH61+BH62+BH64+BH65+BH66+BH67+BH68+BH69+BH70+BH71</f>
        <v>29.3795846776916</v>
      </c>
      <c r="BI72" s="13" t="n">
        <f aca="false">BI60+BI61+BI62+BI64+BI65+BI66+BI67+BI68+BI69+BI70+BI71</f>
        <v>29.3333889886534</v>
      </c>
      <c r="BJ72" s="13" t="n">
        <f aca="false">BJ60+BJ61+BJ62+BJ64+BJ65+BJ66+BJ67+BJ68+BJ69+BJ70+BJ71</f>
        <v>28.9667939538026</v>
      </c>
      <c r="BK72" s="13" t="n">
        <f aca="false">BK60+BK61+BK62+BK64+BK65+BK66+BK67+BK68+BK69+BK70+BK71</f>
        <v>29.5950397321077</v>
      </c>
      <c r="BL72" s="13" t="n">
        <f aca="false">BL60+BL61+BL62+BL64+BL65+BL66+BL67+BL68+BL69+BL70+BL71</f>
        <v>30.6530594007466</v>
      </c>
      <c r="BM72" s="13" t="n">
        <f aca="false">BM60+BM61+BM62+BM64+BM65+BM66+BM67+BM68+BM69+BM70+BM71</f>
        <v>20.6537126723536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6992.78586244317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36.4603562697022</v>
      </c>
      <c r="P83" s="13" t="n">
        <f aca="false">P72+P74+P75+P76+P79+P82</f>
        <v>109.727577409911</v>
      </c>
      <c r="Q83" s="13" t="n">
        <f aca="false">Q72+Q74+Q75+Q76+Q79+Q82</f>
        <v>111.087816665622</v>
      </c>
      <c r="R83" s="13" t="n">
        <f aca="false">R72+R74+R75+R76+R79+R82</f>
        <v>110.850425000411</v>
      </c>
      <c r="S83" s="13" t="n">
        <f aca="false">S72+S74+S75+S76+S79+S82</f>
        <v>112.9189696011</v>
      </c>
      <c r="T83" s="13" t="n">
        <f aca="false">T72+T74+T75+T76+T79+T82</f>
        <v>113.911288370084</v>
      </c>
      <c r="U83" s="13" t="n">
        <f aca="false">U72+U74+U75+U76+U79+U82</f>
        <v>114.685113878368</v>
      </c>
      <c r="V83" s="13" t="n">
        <f aca="false">V72+V74+V75+V76+V79+V82</f>
        <v>115.288229316892</v>
      </c>
      <c r="W83" s="13" t="n">
        <f aca="false">W72+W74+W75+W76+W79+W82</f>
        <v>115.708877928134</v>
      </c>
      <c r="X83" s="13" t="n">
        <f aca="false">X72+X74+X75+X76+X79+X82</f>
        <v>118.362035680286</v>
      </c>
      <c r="Y83" s="13" t="n">
        <f aca="false">Y72+Y74+Y75+Y76+Y79+Y82</f>
        <v>119.925967863615</v>
      </c>
      <c r="Z83" s="13" t="n">
        <f aca="false">Z72+Z74+Z75+Z76+Z79+Z82</f>
        <v>119.68014263715</v>
      </c>
      <c r="AA83" s="13" t="n">
        <f aca="false">AA72+AA74+AA75+AA76+AA79+AA82</f>
        <v>121.917304113857</v>
      </c>
      <c r="AB83" s="13" t="n">
        <f aca="false">AB72+AB74+AB75+AB76+AB79+AB82</f>
        <v>122.987796378808</v>
      </c>
      <c r="AC83" s="13" t="n">
        <f aca="false">AC72+AC74+AC75+AC76+AC79+AC82</f>
        <v>123.112350166373</v>
      </c>
      <c r="AD83" s="13" t="n">
        <f aca="false">AD72+AD74+AD75+AD76+AD79+AD82</f>
        <v>131.506092632557</v>
      </c>
      <c r="AE83" s="13" t="n">
        <f aca="false">AE72+AE74+AE75+AE76+AE79+AE82</f>
        <v>123.478839503728</v>
      </c>
      <c r="AF83" s="13" t="n">
        <f aca="false">AF72+AF74+AF75+AF76+AF79+AF82</f>
        <v>127.795453375187</v>
      </c>
      <c r="AG83" s="13" t="n">
        <f aca="false">AG72+AG74+AG75+AG76+AG79+AG82</f>
        <v>129.486705918808</v>
      </c>
      <c r="AH83" s="13" t="n">
        <f aca="false">AH72+AH74+AH75+AH76+AH79+AH82</f>
        <v>129.217849098941</v>
      </c>
      <c r="AI83" s="13" t="n">
        <f aca="false">AI72+AI74+AI75+AI76+AI79+AI82</f>
        <v>131.637273988888</v>
      </c>
      <c r="AJ83" s="13" t="n">
        <f aca="false">AJ72+AJ74+AJ75+AJ76+AJ79+AJ82</f>
        <v>132.792159909335</v>
      </c>
      <c r="AK83" s="13" t="n">
        <f aca="false">AK72+AK74+AK75+AK76+AK79+AK82</f>
        <v>133.693906844919</v>
      </c>
      <c r="AL83" s="13" t="n">
        <f aca="false">AL72+AL74+AL75+AL76+AL79+AL82</f>
        <v>134.446681598864</v>
      </c>
      <c r="AM83" s="13" t="n">
        <f aca="false">AM72+AM74+AM75+AM76+AM79+AM82</f>
        <v>134.887582583069</v>
      </c>
      <c r="AN83" s="13" t="n">
        <f aca="false">AN72+AN74+AN75+AN76+AN79+AN82</f>
        <v>137.98535014177</v>
      </c>
      <c r="AO83" s="13" t="n">
        <f aca="false">AO72+AO74+AO75+AO76+AO79+AO82</f>
        <v>139.814208167224</v>
      </c>
      <c r="AP83" s="13" t="n">
        <f aca="false">AP72+AP74+AP75+AP76+AP79+AP82</f>
        <v>139.520320891353</v>
      </c>
      <c r="AQ83" s="13" t="n">
        <f aca="false">AQ72+AQ74+AQ75+AQ76+AQ79+AQ82</f>
        <v>142.136751775817</v>
      </c>
      <c r="AR83" s="13" t="n">
        <f aca="false">AR72+AR74+AR75+AR76+AR79+AR82</f>
        <v>143.382750157225</v>
      </c>
      <c r="AS83" s="13" t="n">
        <f aca="false">AS72+AS74+AS75+AS76+AS79+AS82</f>
        <v>143.524608599235</v>
      </c>
      <c r="AT83" s="13" t="n">
        <f aca="false">AT72+AT74+AT75+AT76+AT79+AT82</f>
        <v>153.582241535107</v>
      </c>
      <c r="AU83" s="13" t="n">
        <f aca="false">AU72+AU74+AU75+AU76+AU79+AU82</f>
        <v>143.949112679135</v>
      </c>
      <c r="AV83" s="13" t="n">
        <f aca="false">AV72+AV74+AV75+AV76+AV79+AV82</f>
        <v>148.992389397685</v>
      </c>
      <c r="AW83" s="13" t="n">
        <f aca="false">AW72+AW74+AW75+AW76+AW79+AW82</f>
        <v>150.969962075045</v>
      </c>
      <c r="AX83" s="13" t="n">
        <f aca="false">AX72+AX74+AX75+AX76+AX79+AX82</f>
        <v>150.648881247526</v>
      </c>
      <c r="AY83" s="13" t="n">
        <f aca="false">AY72+AY74+AY75+AY76+AY79+AY82</f>
        <v>153.47824405573</v>
      </c>
      <c r="AZ83" s="13" t="n">
        <f aca="false">AZ72+AZ74+AZ75+AZ76+AZ79+AZ82</f>
        <v>154.822612541559</v>
      </c>
      <c r="BA83" s="13" t="n">
        <f aca="false">BA72+BA74+BA75+BA76+BA79+BA82</f>
        <v>155.873319713678</v>
      </c>
      <c r="BB83" s="13" t="n">
        <f aca="false">BB72+BB74+BB75+BB76+BB79+BB82</f>
        <v>156.810942140517</v>
      </c>
      <c r="BC83" s="13" t="n">
        <f aca="false">BC72+BC74+BC75+BC76+BC79+BC82</f>
        <v>157.265190802059</v>
      </c>
      <c r="BD83" s="13" t="n">
        <f aca="false">BD72+BD74+BD75+BD76+BD79+BD82</f>
        <v>160.882091846293</v>
      </c>
      <c r="BE83" s="13" t="n">
        <f aca="false">BE72+BE74+BE75+BE76+BE79+BE82</f>
        <v>163.020377831652</v>
      </c>
      <c r="BF83" s="13" t="n">
        <f aca="false">BF72+BF74+BF75+BF76+BF79+BF82</f>
        <v>162.669763253107</v>
      </c>
      <c r="BG83" s="13" t="n">
        <f aca="false">BG72+BG74+BG75+BG76+BG79+BG82</f>
        <v>165.72926145668</v>
      </c>
      <c r="BH83" s="13" t="n">
        <f aca="false">BH72+BH74+BH75+BH76+BH79+BH82</f>
        <v>167.179839972427</v>
      </c>
      <c r="BI83" s="13" t="n">
        <f aca="false">BI72+BI74+BI75+BI76+BI79+BI82</f>
        <v>167.341316971921</v>
      </c>
      <c r="BJ83" s="13" t="n">
        <f aca="false">BJ72+BJ74+BJ75+BJ76+BJ79+BJ82</f>
        <v>179.391753971148</v>
      </c>
      <c r="BK83" s="13" t="n">
        <f aca="false">BK72+BK74+BK75+BK76+BK79+BK82</f>
        <v>167.833209721818</v>
      </c>
      <c r="BL83" s="13" t="n">
        <f aca="false">BL72+BL74+BL75+BL76+BL79+BL82</f>
        <v>173.725223307795</v>
      </c>
      <c r="BM83" s="13" t="n">
        <f aca="false">BM72+BM74+BM75+BM76+BM79+BM82</f>
        <v>136.68934145506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2551.43649970451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16.5523212779918</v>
      </c>
      <c r="P84" s="13" t="n">
        <f aca="false">P56-P83+P58</f>
        <v>49.6539257804251</v>
      </c>
      <c r="Q84" s="13" t="n">
        <f aca="false">Q56-Q83+Q58</f>
        <v>49.8496278435432</v>
      </c>
      <c r="R84" s="13" t="n">
        <f aca="false">R56-R83+R58</f>
        <v>49.9855261309871</v>
      </c>
      <c r="S84" s="13" t="n">
        <f aca="false">S56-S83+S58</f>
        <v>50.0683403618542</v>
      </c>
      <c r="T84" s="13" t="n">
        <f aca="false">T56-T83+T58</f>
        <v>50.1342780766878</v>
      </c>
      <c r="U84" s="13" t="n">
        <f aca="false">U56-U83+U58</f>
        <v>50.2873669910437</v>
      </c>
      <c r="V84" s="13" t="n">
        <f aca="false">V56-V83+V58</f>
        <v>47.9982048838494</v>
      </c>
      <c r="W84" s="13" t="n">
        <f aca="false">W56-W83+W58</f>
        <v>50.5429067435296</v>
      </c>
      <c r="X84" s="13" t="n">
        <f aca="false">X56-X83+X58</f>
        <v>50.5312101782456</v>
      </c>
      <c r="Y84" s="13" t="n">
        <f aca="false">Y56-Y83+Y58</f>
        <v>50.6497606175813</v>
      </c>
      <c r="Z84" s="13" t="n">
        <f aca="false">Z56-Z83+Z58</f>
        <v>50.7845551226955</v>
      </c>
      <c r="AA84" s="13" t="n">
        <f aca="false">AA56-AA83+AA58</f>
        <v>50.8729674087152</v>
      </c>
      <c r="AB84" s="13" t="n">
        <f aca="false">AB56-AB83+AB58</f>
        <v>50.9439836399245</v>
      </c>
      <c r="AC84" s="13" t="n">
        <f aca="false">AC56-AC83+AC58</f>
        <v>51.1464809099471</v>
      </c>
      <c r="AD84" s="13" t="n">
        <f aca="false">AD56-AD83+AD58</f>
        <v>38.659991944834</v>
      </c>
      <c r="AE84" s="13" t="n">
        <f aca="false">AE56-AE83+AE58</f>
        <v>51.462474595561</v>
      </c>
      <c r="AF84" s="13" t="n">
        <f aca="false">AF56-AF83+AF58</f>
        <v>51.3732395284939</v>
      </c>
      <c r="AG84" s="13" t="n">
        <f aca="false">AG56-AG83+AG58</f>
        <v>51.5012459115863</v>
      </c>
      <c r="AH84" s="13" t="n">
        <f aca="false">AH56-AH83+AH58</f>
        <v>51.6487727622894</v>
      </c>
      <c r="AI84" s="13" t="n">
        <f aca="false">AI56-AI83+AI58</f>
        <v>51.7431611362602</v>
      </c>
      <c r="AJ84" s="13" t="n">
        <f aca="false">AJ56-AJ83+AJ58</f>
        <v>51.8196452036536</v>
      </c>
      <c r="AK84" s="13" t="n">
        <f aca="false">AK56-AK83+AK58</f>
        <v>52.0010024208087</v>
      </c>
      <c r="AL84" s="13" t="n">
        <f aca="false">AL56-AL83+AL58</f>
        <v>49.28137515465</v>
      </c>
      <c r="AM84" s="13" t="n">
        <f aca="false">AM56-AM83+AM58</f>
        <v>52.3038051568255</v>
      </c>
      <c r="AN84" s="13" t="n">
        <f aca="false">AN56-AN83+AN58</f>
        <v>52.2838954097963</v>
      </c>
      <c r="AO84" s="13" t="n">
        <f aca="false">AO56-AO83+AO58</f>
        <v>52.4221306844942</v>
      </c>
      <c r="AP84" s="13" t="n">
        <f aca="false">AP56-AP83+AP58</f>
        <v>52.5835744072127</v>
      </c>
      <c r="AQ84" s="13" t="n">
        <f aca="false">AQ56-AQ83+AQ58</f>
        <v>52.6843425998417</v>
      </c>
      <c r="AR84" s="13" t="n">
        <f aca="false">AR56-AR83+AR58</f>
        <v>52.7667134135945</v>
      </c>
      <c r="AS84" s="13" t="n">
        <f aca="false">AS56-AS83+AS58</f>
        <v>53.0085353837365</v>
      </c>
      <c r="AT84" s="13" t="n">
        <f aca="false">AT56-AT83+AT58</f>
        <v>38.2669512783856</v>
      </c>
      <c r="AU84" s="13" t="n">
        <f aca="false">AU56-AU83+AU58</f>
        <v>53.3849584066187</v>
      </c>
      <c r="AV84" s="13" t="n">
        <f aca="false">AV56-AV83+AV58</f>
        <v>53.2688521893509</v>
      </c>
      <c r="AW84" s="13" t="n">
        <f aca="false">AW56-AW83+AW58</f>
        <v>53.4181541054966</v>
      </c>
      <c r="AX84" s="13" t="n">
        <f aca="false">AX56-AX83+AX58</f>
        <v>53.5948081578694</v>
      </c>
      <c r="AY84" s="13" t="n">
        <f aca="false">AY56-AY83+AY58</f>
        <v>53.7023873765837</v>
      </c>
      <c r="AZ84" s="13" t="n">
        <f aca="false">AZ56-AZ83+AZ58</f>
        <v>53.7910956541367</v>
      </c>
      <c r="BA84" s="13" t="n">
        <f aca="false">BA56-BA83+BA58</f>
        <v>54.0060069280155</v>
      </c>
      <c r="BB84" s="13" t="n">
        <f aca="false">BB56-BB83+BB58</f>
        <v>50.7747418357152</v>
      </c>
      <c r="BC84" s="13" t="n">
        <f aca="false">BC56-BC83+BC58</f>
        <v>54.3648657475741</v>
      </c>
      <c r="BD84" s="13" t="n">
        <f aca="false">BD56-BD83+BD58</f>
        <v>54.334259954828</v>
      </c>
      <c r="BE84" s="13" t="n">
        <f aca="false">BE56-BE83+BE58</f>
        <v>54.4955366303577</v>
      </c>
      <c r="BF84" s="13" t="n">
        <f aca="false">BF56-BF83+BF58</f>
        <v>54.68881332903</v>
      </c>
      <c r="BG84" s="13" t="n">
        <f aca="false">BG56-BG83+BG58</f>
        <v>54.8036641640375</v>
      </c>
      <c r="BH84" s="13" t="n">
        <f aca="false">BH56-BH83+BH58</f>
        <v>54.8991948092379</v>
      </c>
      <c r="BI84" s="13" t="n">
        <f aca="false">BI56-BI83+BI58</f>
        <v>55.1879788679709</v>
      </c>
      <c r="BJ84" s="13" t="n">
        <f aca="false">BJ56-BJ83+BJ58</f>
        <v>37.7636995154369</v>
      </c>
      <c r="BK84" s="13" t="n">
        <f aca="false">BK56-BK83+BK58</f>
        <v>55.6363755214916</v>
      </c>
      <c r="BL84" s="13" t="n">
        <f aca="false">BL56-BL83+BL58</f>
        <v>55.4867849036399</v>
      </c>
      <c r="BM84" s="13" t="n">
        <f aca="false">BM56-BM83+BM58</f>
        <v>18.0220086480719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40.0120718392951</v>
      </c>
      <c r="R88" s="13" t="n">
        <f aca="false">(1-R86)*(R56/MAX(Time!R31,1)*Inputs!$F$168+R55/MAX(Time!R31,1)*R87)</f>
        <v>39.3348793527876</v>
      </c>
      <c r="S88" s="13" t="n">
        <f aca="false">(1-S86)*(S56/MAX(Time!S31,1)*Inputs!$F$168+S55/MAX(Time!S31,1)*S87)</f>
        <v>40.521706896867</v>
      </c>
      <c r="T88" s="13" t="n">
        <f aca="false">(1-T86)*(T56/MAX(Time!T31,1)*Inputs!$F$168+T55/MAX(Time!T31,1)*T87)</f>
        <v>40.1198396201344</v>
      </c>
      <c r="U88" s="13" t="n">
        <f aca="false">(1-U86)*(U56/MAX(Time!U31,1)*Inputs!$F$168+U55/MAX(Time!U31,1)*U87)</f>
        <v>40.7898991160633</v>
      </c>
      <c r="V88" s="13" t="n">
        <f aca="false">(1-V86)*(V56/MAX(Time!V31,1)*Inputs!$F$168+V55/MAX(Time!V31,1)*V87)</f>
        <v>39.9341822773552</v>
      </c>
      <c r="W88" s="13" t="n">
        <f aca="false">(1-W86)*(W56/MAX(Time!W31,1)*Inputs!$F$168+W55/MAX(Time!W31,1)*W87)</f>
        <v>41.3333166310765</v>
      </c>
      <c r="X88" s="13" t="n">
        <f aca="false">(1-X86)*(X56/MAX(Time!X31,1)*Inputs!$F$168+X55/MAX(Time!X31,1)*X87)</f>
        <v>41.3054133893148</v>
      </c>
      <c r="Y88" s="13" t="n">
        <f aca="false">(1-Y86)*(Y56/MAX(Time!Y31,1)*Inputs!$F$168+Y55/MAX(Time!Y31,1)*Y87)</f>
        <v>42.4083302853802</v>
      </c>
      <c r="Z88" s="13" t="n">
        <f aca="false">(1-Z86)*(Z56/MAX(Time!Z31,1)*Inputs!$F$168+Z55/MAX(Time!Z31,1)*Z87)</f>
        <v>41.6897358651796</v>
      </c>
      <c r="AA88" s="13" t="n">
        <f aca="false">(1-AA86)*(AA56/MAX(Time!AA31,1)*Inputs!$F$168+AA55/MAX(Time!AA31,1)*AA87)</f>
        <v>42.9589072846173</v>
      </c>
      <c r="AB88" s="13" t="n">
        <f aca="false">(1-AB86)*(AB56/MAX(Time!AB31,1)*Inputs!$F$168+AB55/MAX(Time!AB31,1)*AB87)</f>
        <v>42.5376635915379</v>
      </c>
      <c r="AC88" s="13" t="n">
        <f aca="false">(1-AC86)*(AC56/MAX(Time!AC31,1)*Inputs!$F$168+AC55/MAX(Time!AC31,1)*AC87)</f>
        <v>43.0859747166726</v>
      </c>
      <c r="AD88" s="13" t="n">
        <f aca="false">(1-AD86)*(AD56/MAX(Time!AD31,1)*Inputs!$F$168+AD55/MAX(Time!AD31,1)*AD87)</f>
        <v>41.6167054672967</v>
      </c>
      <c r="AE88" s="13" t="n">
        <f aca="false">(1-AE86)*(AE56/MAX(Time!AE31,1)*Inputs!$F$168+AE55/MAX(Time!AE31,1)*AE87)</f>
        <v>43.4936968755139</v>
      </c>
      <c r="AF88" s="13" t="n">
        <f aca="false">(1-AF86)*(AF56/MAX(Time!AF31,1)*Inputs!$F$168+AF55/MAX(Time!AF31,1)*AF87)</f>
        <v>43.8184303297045</v>
      </c>
      <c r="AG88" s="13" t="n">
        <f aca="false">(1-AG86)*(AG56/MAX(Time!AG31,1)*Inputs!$F$168+AG55/MAX(Time!AG31,1)*AG87)</f>
        <v>44.9970045987169</v>
      </c>
      <c r="AH88" s="13" t="n">
        <f aca="false">(1-AH86)*(AH56/MAX(Time!AH31,1)*Inputs!$F$168+AH55/MAX(Time!AH31,1)*AH87)</f>
        <v>44.2336846943227</v>
      </c>
      <c r="AI88" s="13" t="n">
        <f aca="false">(1-AI86)*(AI56/MAX(Time!AI31,1)*Inputs!$F$168+AI55/MAX(Time!AI31,1)*AI87)</f>
        <v>45.5918208874678</v>
      </c>
      <c r="AJ88" s="13" t="n">
        <f aca="false">(1-AJ86)*(AJ56/MAX(Time!AJ31,1)*Inputs!$F$168+AJ55/MAX(Time!AJ31,1)*AJ87)</f>
        <v>45.149626250459</v>
      </c>
      <c r="AK88" s="13" t="n">
        <f aca="false">(1-AK86)*(AK56/MAX(Time!AK31,1)*Inputs!$F$168+AK55/MAX(Time!AK31,1)*AK87)</f>
        <v>45.9135764668008</v>
      </c>
      <c r="AL88" s="13" t="n">
        <f aca="false">(1-AL86)*(AL56/MAX(Time!AL31,1)*Inputs!$F$168+AL55/MAX(Time!AL31,1)*AL87)</f>
        <v>44.9334921408051</v>
      </c>
      <c r="AM88" s="13" t="n">
        <f aca="false">(1-AM86)*(AM56/MAX(Time!AM31,1)*Inputs!$F$168+AM55/MAX(Time!AM31,1)*AM87)</f>
        <v>46.5392952944488</v>
      </c>
      <c r="AN88" s="13" t="n">
        <f aca="false">(1-AN86)*(AN56/MAX(Time!AN31,1)*Inputs!$F$168+AN55/MAX(Time!AN31,1)*AN87)</f>
        <v>46.5332394011983</v>
      </c>
      <c r="AO88" s="13" t="n">
        <f aca="false">(1-AO86)*(AO56/MAX(Time!AO31,1)*Inputs!$F$168+AO55/MAX(Time!AO31,1)*AO87)</f>
        <v>47.7935649078857</v>
      </c>
      <c r="AP88" s="13" t="n">
        <f aca="false">(1-AP86)*(AP56/MAX(Time!AP31,1)*Inputs!$F$168+AP55/MAX(Time!AP31,1)*AP87)</f>
        <v>46.9819309154102</v>
      </c>
      <c r="AQ88" s="13" t="n">
        <f aca="false">(1-AQ86)*(AQ56/MAX(Time!AQ31,1)*Inputs!$F$168+AQ55/MAX(Time!AQ31,1)*AQ87)</f>
        <v>48.436183684556</v>
      </c>
      <c r="AR88" s="13" t="n">
        <f aca="false">(1-AR86)*(AR56/MAX(Time!AR31,1)*Inputs!$F$168+AR55/MAX(Time!AR31,1)*AR87)</f>
        <v>47.9713361993852</v>
      </c>
      <c r="AS88" s="13" t="n">
        <f aca="false">(1-AS86)*(AS56/MAX(Time!AS31,1)*Inputs!$F$168+AS55/MAX(Time!AS31,1)*AS87)</f>
        <v>48.5933597760093</v>
      </c>
      <c r="AT88" s="13" t="n">
        <f aca="false">(1-AT86)*(AT56/MAX(Time!AT31,1)*Inputs!$F$168+AT55/MAX(Time!AT31,1)*AT87)</f>
        <v>46.919639546778</v>
      </c>
      <c r="AU88" s="13" t="n">
        <f aca="false">(1-AU86)*(AU56/MAX(Time!AU31,1)*Inputs!$F$168+AU55/MAX(Time!AU31,1)*AU87)</f>
        <v>49.0609568997731</v>
      </c>
      <c r="AV88" s="13" t="n">
        <f aca="false">(1-AV86)*(AV56/MAX(Time!AV31,1)*Inputs!$F$168+AV55/MAX(Time!AV31,1)*AV87)</f>
        <v>49.4660645185685</v>
      </c>
      <c r="AW88" s="13" t="n">
        <f aca="false">(1-AW86)*(AW56/MAX(Time!AW31,1)*Inputs!$F$168+AW55/MAX(Time!AW31,1)*AW87)</f>
        <v>50.8147250172617</v>
      </c>
      <c r="AX88" s="13" t="n">
        <f aca="false">(1-AX86)*(AX56/MAX(Time!AX31,1)*Inputs!$F$168+AX55/MAX(Time!AX31,1)*AX87)</f>
        <v>49.9509023002326</v>
      </c>
      <c r="AY88" s="13" t="n">
        <f aca="false">(1-AY86)*(AY56/MAX(Time!AY31,1)*Inputs!$F$168+AY55/MAX(Time!AY31,1)*AY87)</f>
        <v>51.5089967649398</v>
      </c>
      <c r="AZ88" s="13" t="n">
        <f aca="false">(1-AZ86)*(AZ56/MAX(Time!AZ31,1)*Inputs!$F$168+AZ55/MAX(Time!AZ31,1)*AZ87)</f>
        <v>51.0196568956865</v>
      </c>
      <c r="BA88" s="13" t="n">
        <f aca="false">(1-BA86)*(BA56/MAX(Time!BA31,1)*Inputs!$F$168+BA55/MAX(Time!BA31,1)*BA87)</f>
        <v>51.8932401037153</v>
      </c>
      <c r="BB88" s="13" t="n">
        <f aca="false">(1-BB86)*(BB56/MAX(Time!BB31,1)*Inputs!$F$168+BB55/MAX(Time!BB31,1)*BB87)</f>
        <v>50.7682379289699</v>
      </c>
      <c r="BC88" s="13" t="n">
        <f aca="false">(1-BC86)*(BC56/MAX(Time!BC31,1)*Inputs!$F$168+BC55/MAX(Time!BC31,1)*BC87)</f>
        <v>52.6152074294667</v>
      </c>
      <c r="BD88" s="13" t="n">
        <f aca="false">(1-BD86)*(BD56/MAX(Time!BD31,1)*Inputs!$F$168+BD55/MAX(Time!BD31,1)*BD87)</f>
        <v>52.6344338644045</v>
      </c>
      <c r="BE88" s="13" t="n">
        <f aca="false">(1-BE86)*(BE56/MAX(Time!BE31,1)*Inputs!$F$168+BE55/MAX(Time!BE31,1)*BE87)</f>
        <v>54.0785422695604</v>
      </c>
      <c r="BF88" s="13" t="n">
        <f aca="false">(1-BF86)*(BF56/MAX(Time!BF31,1)*Inputs!$F$168+BF55/MAX(Time!BF31,1)*BF87)</f>
        <v>53.1583475336749</v>
      </c>
      <c r="BG88" s="13" t="n">
        <f aca="false">(1-BG86)*(BG56/MAX(Time!BG31,1)*Inputs!$F$168+BG55/MAX(Time!BG31,1)*BG87)</f>
        <v>54.8286279167531</v>
      </c>
      <c r="BH88" s="13" t="n">
        <f aca="false">(1-BH86)*(BH56/MAX(Time!BH31,1)*Inputs!$F$168+BH55/MAX(Time!BH31,1)*BH87)</f>
        <v>54.3128074194288</v>
      </c>
      <c r="BI88" s="13" t="n">
        <f aca="false">(1-BI86)*(BI56/MAX(Time!BI31,1)*Inputs!$F$168+BI55/MAX(Time!BI31,1)*BI87)</f>
        <v>55.0209797406327</v>
      </c>
      <c r="BJ88" s="13" t="n">
        <f aca="false">(1-BJ86)*(BJ56/MAX(Time!BJ31,1)*Inputs!$F$168+BJ55/MAX(Time!BJ31,1)*BJ87)</f>
        <v>53.108670689654</v>
      </c>
      <c r="BK88" s="13" t="n">
        <f aca="false">(1-BK86)*(BK56/MAX(Time!BK31,1)*Inputs!$F$168+BK55/MAX(Time!BK31,1)*BK87)</f>
        <v>55.5587366627012</v>
      </c>
      <c r="BL88" s="13" t="n">
        <f aca="false">(1-BL86)*(BL56/MAX(Time!BL31,1)*Inputs!$F$168+BL55/MAX(Time!BL31,1)*BL87)</f>
        <v>56.0572846169271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1.75466759050047</v>
      </c>
      <c r="P92" s="13" t="n">
        <f aca="false">(1-P86)*(P60+P61+P62+P64)/MAX(Time!P31,1)*Inputs!$F$171</f>
        <v>1.76422336369604</v>
      </c>
      <c r="Q92" s="13" t="n">
        <f aca="false">(1-Q86)*(Q60+Q61+Q62+Q64)/MAX(Time!Q31,1)*Inputs!$F$171</f>
        <v>1.80769025290166</v>
      </c>
      <c r="R92" s="13" t="n">
        <f aca="false">(1-R86)*(R60+R61+R62+R64)/MAX(Time!R31,1)*Inputs!$F$171</f>
        <v>1.78694048951067</v>
      </c>
      <c r="S92" s="13" t="n">
        <f aca="false">(1-S86)*(S60+S61+S62+S64)/MAX(Time!S31,1)*Inputs!$F$171</f>
        <v>1.84194557904082</v>
      </c>
      <c r="T92" s="13" t="n">
        <f aca="false">(1-T86)*(T60+T61+T62+T64)/MAX(Time!T31,1)*Inputs!$F$171</f>
        <v>1.84270307580669</v>
      </c>
      <c r="U92" s="13" t="n">
        <f aca="false">(1-U86)*(U60+U61+U62+U64)/MAX(Time!U31,1)*Inputs!$F$171</f>
        <v>1.86340750152737</v>
      </c>
      <c r="V92" s="13" t="n">
        <f aca="false">(1-V86)*(V60+V61+V62+V64)/MAX(Time!V31,1)*Inputs!$F$171</f>
        <v>1.82346727866241</v>
      </c>
      <c r="W92" s="13" t="n">
        <f aca="false">(1-W86)*(W60+W61+W62+W64)/MAX(Time!W31,1)*Inputs!$F$171</f>
        <v>1.89444709222591</v>
      </c>
      <c r="X92" s="13" t="n">
        <f aca="false">(1-X86)*(X60+X61+X62+X64)/MAX(Time!X31,1)*Inputs!$F$171</f>
        <v>1.92467387943088</v>
      </c>
      <c r="Y92" s="13" t="n">
        <f aca="false">(1-Y86)*(Y60+Y61+Y62+Y64)/MAX(Time!Y31,1)*Inputs!$F$171</f>
        <v>1.97209394425697</v>
      </c>
      <c r="Z92" s="13" t="n">
        <f aca="false">(1-Z86)*(Z60+Z61+Z62+Z64)/MAX(Time!Z31,1)*Inputs!$F$171</f>
        <v>1.94945705574</v>
      </c>
      <c r="AA92" s="13" t="n">
        <f aca="false">(1-AA86)*(AA60+AA61+AA62+AA64)/MAX(Time!AA31,1)*Inputs!$F$171</f>
        <v>2.00946468359086</v>
      </c>
      <c r="AB92" s="13" t="n">
        <f aca="false">(1-AB86)*(AB60+AB61+AB62+AB64)/MAX(Time!AB31,1)*Inputs!$F$171</f>
        <v>2.01029107228348</v>
      </c>
      <c r="AC92" s="13" t="n">
        <f aca="false">(1-AC86)*(AC60+AC61+AC62+AC64)/MAX(Time!AC31,1)*Inputs!$F$171</f>
        <v>2.01997140658409</v>
      </c>
      <c r="AD92" s="13" t="n">
        <f aca="false">(1-AD86)*(AD60+AD61+AD62+AD64)/MAX(Time!AD31,1)*Inputs!$F$171</f>
        <v>1.95670002272078</v>
      </c>
      <c r="AE92" s="13" t="n">
        <f aca="false">(1-AE86)*(AE60+AE61+AE62+AE64)/MAX(Time!AE31,1)*Inputs!$F$171</f>
        <v>2.04021318676345</v>
      </c>
      <c r="AF92" s="13" t="n">
        <f aca="false">(1-AF86)*(AF60+AF61+AF62+AF64)/MAX(Time!AF31,1)*Inputs!$F$171</f>
        <v>2.09971686034294</v>
      </c>
      <c r="AG92" s="13" t="n">
        <f aca="false">(1-AG86)*(AG60+AG61+AG62+AG64)/MAX(Time!AG31,1)*Inputs!$F$171</f>
        <v>2.15144962956582</v>
      </c>
      <c r="AH92" s="13" t="n">
        <f aca="false">(1-AH86)*(AH60+AH61+AH62+AH64)/MAX(Time!AH31,1)*Inputs!$F$171</f>
        <v>2.12675398788192</v>
      </c>
      <c r="AI92" s="13" t="n">
        <f aca="false">(1-AI86)*(AI60+AI61+AI62+AI64)/MAX(Time!AI31,1)*Inputs!$F$171</f>
        <v>2.19221911903696</v>
      </c>
      <c r="AJ92" s="13" t="n">
        <f aca="false">(1-AJ86)*(AJ60+AJ61+AJ62+AJ64)/MAX(Time!AJ31,1)*Inputs!$F$171</f>
        <v>2.19312066515843</v>
      </c>
      <c r="AK92" s="13" t="n">
        <f aca="false">(1-AK86)*(AK60+AK61+AK62+AK64)/MAX(Time!AK31,1)*Inputs!$F$171</f>
        <v>2.21776234753495</v>
      </c>
      <c r="AL92" s="13" t="n">
        <f aca="false">(1-AL86)*(AL60+AL61+AL62+AL64)/MAX(Time!AL31,1)*Inputs!$F$171</f>
        <v>2.17022689307882</v>
      </c>
      <c r="AM92" s="13" t="n">
        <f aca="false">(1-AM86)*(AM60+AM61+AM62+AM64)/MAX(Time!AM31,1)*Inputs!$F$171</f>
        <v>2.25470458130705</v>
      </c>
      <c r="AN92" s="13" t="n">
        <f aca="false">(1-AN86)*(AN60+AN61+AN62+AN64)/MAX(Time!AN31,1)*Inputs!$F$171</f>
        <v>2.29067944482734</v>
      </c>
      <c r="AO92" s="13" t="n">
        <f aca="false">(1-AO86)*(AO60+AO61+AO62+AO64)/MAX(Time!AO31,1)*Inputs!$F$171</f>
        <v>2.34711714522448</v>
      </c>
      <c r="AP92" s="13" t="n">
        <f aca="false">(1-AP86)*(AP60+AP61+AP62+AP64)/MAX(Time!AP31,1)*Inputs!$F$171</f>
        <v>2.32017551330707</v>
      </c>
      <c r="AQ92" s="13" t="n">
        <f aca="false">(1-AQ86)*(AQ60+AQ61+AQ62+AQ64)/MAX(Time!AQ31,1)*Inputs!$F$171</f>
        <v>2.3915944903711</v>
      </c>
      <c r="AR92" s="13" t="n">
        <f aca="false">(1-AR86)*(AR60+AR61+AR62+AR64)/MAX(Time!AR31,1)*Inputs!$F$171</f>
        <v>2.39257802925104</v>
      </c>
      <c r="AS92" s="13" t="n">
        <f aca="false">(1-AS86)*(AS60+AS61+AS62+AS64)/MAX(Time!AS31,1)*Inputs!$F$171</f>
        <v>2.40409922410823</v>
      </c>
      <c r="AT92" s="13" t="n">
        <f aca="false">(1-AT86)*(AT60+AT61+AT62+AT64)/MAX(Time!AT31,1)*Inputs!$F$171</f>
        <v>2.32879583894236</v>
      </c>
      <c r="AU92" s="13" t="n">
        <f aca="false">(1-AU86)*(AU60+AU61+AU62+AU64)/MAX(Time!AU31,1)*Inputs!$F$171</f>
        <v>2.42819028196437</v>
      </c>
      <c r="AV92" s="13" t="n">
        <f aca="false">(1-AV86)*(AV60+AV61+AV62+AV64)/MAX(Time!AV31,1)*Inputs!$F$171</f>
        <v>2.49900947030424</v>
      </c>
      <c r="AW92" s="13" t="n">
        <f aca="false">(1-AW86)*(AW60+AW61+AW62+AW64)/MAX(Time!AW31,1)*Inputs!$F$171</f>
        <v>2.56058000043368</v>
      </c>
      <c r="AX92" s="13" t="n">
        <f aca="false">(1-AX86)*(AX60+AX61+AX62+AX64)/MAX(Time!AX31,1)*Inputs!$F$171</f>
        <v>2.53118811259923</v>
      </c>
      <c r="AY92" s="13" t="n">
        <f aca="false">(1-AY86)*(AY60+AY61+AY62+AY64)/MAX(Time!AY31,1)*Inputs!$F$171</f>
        <v>2.60910241896168</v>
      </c>
      <c r="AZ92" s="13" t="n">
        <f aca="false">(1-AZ86)*(AZ60+AZ61+AZ62+AZ64)/MAX(Time!AZ31,1)*Inputs!$F$171</f>
        <v>2.61017540758125</v>
      </c>
      <c r="BA92" s="13" t="n">
        <f aca="false">(1-BA86)*(BA60+BA61+BA62+BA64)/MAX(Time!BA31,1)*Inputs!$F$171</f>
        <v>2.63950307493784</v>
      </c>
      <c r="BB92" s="13" t="n">
        <f aca="false">(1-BB86)*(BB60+BB61+BB62+BB64)/MAX(Time!BB31,1)*Inputs!$F$171</f>
        <v>2.58292804184424</v>
      </c>
      <c r="BC92" s="13" t="n">
        <f aca="false">(1-BC86)*(BC60+BC61+BC62+BC64)/MAX(Time!BC31,1)*Inputs!$F$171</f>
        <v>2.68347042777206</v>
      </c>
      <c r="BD92" s="13" t="n">
        <f aca="false">(1-BD86)*(BD60+BD61+BD62+BD64)/MAX(Time!BD31,1)*Inputs!$F$171</f>
        <v>2.7262864504121</v>
      </c>
      <c r="BE92" s="13" t="n">
        <f aca="false">(1-BE86)*(BE60+BE61+BE62+BE64)/MAX(Time!BE31,1)*Inputs!$F$171</f>
        <v>2.79345662484771</v>
      </c>
      <c r="BF92" s="13" t="n">
        <f aca="false">(1-BF86)*(BF60+BF61+BF62+BF64)/MAX(Time!BF31,1)*Inputs!$F$171</f>
        <v>2.76139163809705</v>
      </c>
      <c r="BG92" s="13" t="n">
        <f aca="false">(1-BG86)*(BG60+BG61+BG62+BG64)/MAX(Time!BG31,1)*Inputs!$F$171</f>
        <v>2.8463920033431</v>
      </c>
      <c r="BH92" s="13" t="n">
        <f aca="false">(1-BH86)*(BH60+BH61+BH62+BH64)/MAX(Time!BH31,1)*Inputs!$F$171</f>
        <v>2.84756257687223</v>
      </c>
      <c r="BI92" s="13" t="n">
        <f aca="false">(1-BI86)*(BI60+BI61+BI62+BI64)/MAX(Time!BI31,1)*Inputs!$F$171</f>
        <v>2.86127469949273</v>
      </c>
      <c r="BJ92" s="13" t="n">
        <f aca="false">(1-BJ86)*(BJ60+BJ61+BJ62+BJ64)/MAX(Time!BJ31,1)*Inputs!$F$171</f>
        <v>2.77165124776469</v>
      </c>
      <c r="BK92" s="13" t="n">
        <f aca="false">(1-BK86)*(BK60+BK61+BK62+BK64)/MAX(Time!BK31,1)*Inputs!$F$171</f>
        <v>2.88994703282928</v>
      </c>
      <c r="BL92" s="13" t="n">
        <f aca="false">(1-BL86)*(BL60+BL61+BL62+BL64)/MAX(Time!BL31,1)*Inputs!$F$171</f>
        <v>2.97423355054181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1.24088752618313</v>
      </c>
      <c r="P93" s="13" t="n">
        <f aca="false">(1-P86)*(P65+P66+P67+P68+P69+P70+P71)/MAX(Time!P31,1)*Inputs!$F$172</f>
        <v>1.24656622700827</v>
      </c>
      <c r="Q93" s="13" t="n">
        <f aca="false">(1-Q86)*(Q65+Q66+Q67+Q68+Q69+Q70+Q71)/MAX(Time!Q31,1)*Inputs!$F$172</f>
        <v>1.27874528745249</v>
      </c>
      <c r="R93" s="13" t="n">
        <f aca="false">(1-R86)*(R65+R66+R67+R68+R69+R70+R71)/MAX(Time!R31,1)*Inputs!$F$172</f>
        <v>1.26818722702717</v>
      </c>
      <c r="S93" s="13" t="n">
        <f aca="false">(1-S86)*(S65+S66+S67+S68+S69+S70+S71)/MAX(Time!S31,1)*Inputs!$F$172</f>
        <v>1.30329843833927</v>
      </c>
      <c r="T93" s="13" t="n">
        <f aca="false">(1-T86)*(T65+T66+T67+T68+T69+T70+T71)/MAX(Time!T31,1)*Inputs!$F$172</f>
        <v>1.29724314714844</v>
      </c>
      <c r="U93" s="13" t="n">
        <f aca="false">(1-U86)*(U65+U66+U67+U68+U69+U70+U71)/MAX(Time!U31,1)*Inputs!$F$172</f>
        <v>1.32039320226019</v>
      </c>
      <c r="V93" s="13" t="n">
        <f aca="false">(1-V86)*(V65+V66+V67+V68+V69+V70+V71)/MAX(Time!V31,1)*Inputs!$F$172</f>
        <v>1.31063755489201</v>
      </c>
      <c r="W93" s="13" t="n">
        <f aca="false">(1-W86)*(W65+W66+W67+W68+W69+W70+W71)/MAX(Time!W31,1)*Inputs!$F$172</f>
        <v>1.35010878307717</v>
      </c>
      <c r="X93" s="13" t="n">
        <f aca="false">(1-X86)*(X65+X66+X67+X68+X69+X70+X71)/MAX(Time!X31,1)*Inputs!$F$172</f>
        <v>1.35012526793992</v>
      </c>
      <c r="Y93" s="13" t="n">
        <f aca="false">(1-Y86)*(Y65+Y66+Y67+Y68+Y69+Y70+Y71)/MAX(Time!Y31,1)*Inputs!$F$172</f>
        <v>1.38505020987945</v>
      </c>
      <c r="Z93" s="13" t="n">
        <f aca="false">(1-Z86)*(Z65+Z66+Z67+Z68+Z69+Z70+Z71)/MAX(Time!Z31,1)*Inputs!$F$172</f>
        <v>1.37368450652126</v>
      </c>
      <c r="AA93" s="13" t="n">
        <f aca="false">(1-AA86)*(AA65+AA66+AA67+AA68+AA69+AA70+AA71)/MAX(Time!AA31,1)*Inputs!$F$172</f>
        <v>1.4117921626207</v>
      </c>
      <c r="AB93" s="13" t="n">
        <f aca="false">(1-AB86)*(AB65+AB66+AB67+AB68+AB69+AB70+AB71)/MAX(Time!AB31,1)*Inputs!$F$172</f>
        <v>1.40530850085411</v>
      </c>
      <c r="AC93" s="13" t="n">
        <f aca="false">(1-AC86)*(AC65+AC66+AC67+AC68+AC69+AC70+AC71)/MAX(Time!AC31,1)*Inputs!$F$172</f>
        <v>1.42771459499557</v>
      </c>
      <c r="AD93" s="13" t="n">
        <f aca="false">(1-AD86)*(AD65+AD66+AD67+AD68+AD69+AD70+AD71)/MAX(Time!AD31,1)*Inputs!$F$172</f>
        <v>1.41090793147233</v>
      </c>
      <c r="AE93" s="13" t="n">
        <f aca="false">(1-AE86)*(AE65+AE66+AE67+AE68+AE69+AE70+AE71)/MAX(Time!AE31,1)*Inputs!$F$172</f>
        <v>1.45716742386068</v>
      </c>
      <c r="AF93" s="13" t="n">
        <f aca="false">(1-AF86)*(AF65+AF66+AF67+AF68+AF69+AF70+AF71)/MAX(Time!AF31,1)*Inputs!$F$172</f>
        <v>1.46289292670524</v>
      </c>
      <c r="AG93" s="13" t="n">
        <f aca="false">(1-AG86)*(AG65+AG66+AG67+AG68+AG69+AG70+AG71)/MAX(Time!AG31,1)*Inputs!$F$172</f>
        <v>1.50080835956067</v>
      </c>
      <c r="AH93" s="13" t="n">
        <f aca="false">(1-AH86)*(AH65+AH66+AH67+AH68+AH69+AH70+AH71)/MAX(Time!AH31,1)*Inputs!$F$172</f>
        <v>1.48856412281814</v>
      </c>
      <c r="AI93" s="13" t="n">
        <f aca="false">(1-AI86)*(AI65+AI66+AI67+AI68+AI69+AI70+AI71)/MAX(Time!AI31,1)*Inputs!$F$172</f>
        <v>1.52993415622452</v>
      </c>
      <c r="AJ93" s="13" t="n">
        <f aca="false">(1-AJ86)*(AJ65+AJ66+AJ67+AJ68+AJ69+AJ70+AJ71)/MAX(Time!AJ31,1)*Inputs!$F$172</f>
        <v>1.52298297679635</v>
      </c>
      <c r="AK93" s="13" t="n">
        <f aca="false">(1-AK86)*(AK65+AK66+AK67+AK68+AK69+AK70+AK71)/MAX(Time!AK31,1)*Inputs!$F$172</f>
        <v>1.55030809181658</v>
      </c>
      <c r="AL93" s="13" t="n">
        <f aca="false">(1-AL86)*(AL65+AL66+AL67+AL68+AL69+AL70+AL71)/MAX(Time!AL31,1)*Inputs!$F$172</f>
        <v>1.53899215233571</v>
      </c>
      <c r="AM93" s="13" t="n">
        <f aca="false">(1-AM86)*(AM65+AM66+AM67+AM68+AM69+AM70+AM71)/MAX(Time!AM31,1)*Inputs!$F$172</f>
        <v>1.58550282619686</v>
      </c>
      <c r="AN93" s="13" t="n">
        <f aca="false">(1-AN86)*(AN65+AN66+AN67+AN68+AN69+AN70+AN71)/MAX(Time!AN31,1)*Inputs!$F$172</f>
        <v>1.58568762193101</v>
      </c>
      <c r="AO93" s="13" t="n">
        <f aca="false">(1-AO86)*(AO65+AO66+AO67+AO68+AO69+AO70+AO71)/MAX(Time!AO31,1)*Inputs!$F$172</f>
        <v>1.62685993594508</v>
      </c>
      <c r="AP93" s="13" t="n">
        <f aca="false">(1-AP86)*(AP65+AP66+AP67+AP68+AP69+AP70+AP71)/MAX(Time!AP31,1)*Inputs!$F$172</f>
        <v>1.61366006112092</v>
      </c>
      <c r="AQ93" s="13" t="n">
        <f aca="false">(1-AQ86)*(AQ65+AQ66+AQ67+AQ68+AQ69+AQ70+AQ71)/MAX(Time!AQ31,1)*Inputs!$F$172</f>
        <v>1.65858199122185</v>
      </c>
      <c r="AR93" s="13" t="n">
        <f aca="false">(1-AR86)*(AR65+AR66+AR67+AR68+AR69+AR70+AR71)/MAX(Time!AR31,1)*Inputs!$F$172</f>
        <v>1.65112056963221</v>
      </c>
      <c r="AS93" s="13" t="n">
        <f aca="false">(1-AS86)*(AS65+AS66+AS67+AS68+AS69+AS70+AS71)/MAX(Time!AS31,1)*Inputs!$F$172</f>
        <v>1.6775948328631</v>
      </c>
      <c r="AT93" s="13" t="n">
        <f aca="false">(1-AT86)*(AT65+AT66+AT67+AT68+AT69+AT70+AT71)/MAX(Time!AT31,1)*Inputs!$F$172</f>
        <v>1.65807718655002</v>
      </c>
      <c r="AU93" s="13" t="n">
        <f aca="false">(1-AU86)*(AU65+AU66+AU67+AU68+AU69+AU70+AU71)/MAX(Time!AU31,1)*Inputs!$F$172</f>
        <v>1.71251096182396</v>
      </c>
      <c r="AV93" s="13" t="n">
        <f aca="false">(1-AV86)*(AV65+AV66+AV67+AV68+AV69+AV70+AV71)/MAX(Time!AV31,1)*Inputs!$F$172</f>
        <v>1.71940046992452</v>
      </c>
      <c r="AW93" s="13" t="n">
        <f aca="false">(1-AW86)*(AW65+AW66+AW67+AW68+AW69+AW70+AW71)/MAX(Time!AW31,1)*Inputs!$F$172</f>
        <v>1.76411977471132</v>
      </c>
      <c r="AX93" s="13" t="n">
        <f aca="false">(1-AX86)*(AX65+AX66+AX67+AX68+AX69+AX70+AX71)/MAX(Time!AX31,1)*Inputs!$F$172</f>
        <v>1.74988039888856</v>
      </c>
      <c r="AY93" s="13" t="n">
        <f aca="false">(1-AY86)*(AY65+AY66+AY67+AY68+AY69+AY70+AY71)/MAX(Time!AY31,1)*Inputs!$F$172</f>
        <v>1.79866942262689</v>
      </c>
      <c r="AZ93" s="13" t="n">
        <f aca="false">(1-AZ86)*(AZ65+AZ66+AZ67+AZ68+AZ69+AZ70+AZ71)/MAX(Time!AZ31,1)*Inputs!$F$172</f>
        <v>1.79065113005115</v>
      </c>
      <c r="BA93" s="13" t="n">
        <f aca="false">(1-BA86)*(BA65+BA66+BA67+BA68+BA69+BA70+BA71)/MAX(Time!BA31,1)*Inputs!$F$172</f>
        <v>1.82293483357627</v>
      </c>
      <c r="BB93" s="13" t="n">
        <f aca="false">(1-BB86)*(BB65+BB66+BB67+BB68+BB69+BB70+BB71)/MAX(Time!BB31,1)*Inputs!$F$172</f>
        <v>1.80978516970549</v>
      </c>
      <c r="BC93" s="13" t="n">
        <f aca="false">(1-BC86)*(BC65+BC66+BC67+BC68+BC69+BC70+BC71)/MAX(Time!BC31,1)*Inputs!$F$172</f>
        <v>1.86463468194842</v>
      </c>
      <c r="BD93" s="13" t="n">
        <f aca="false">(1-BD86)*(BD65+BD66+BD67+BD68+BD69+BD70+BD71)/MAX(Time!BD31,1)*Inputs!$F$172</f>
        <v>1.86500173851359</v>
      </c>
      <c r="BE93" s="13" t="n">
        <f aca="false">(1-BE86)*(BE65+BE66+BE67+BE68+BE69+BE70+BE71)/MAX(Time!BE31,1)*Inputs!$F$172</f>
        <v>1.91358397406131</v>
      </c>
      <c r="BF93" s="13" t="n">
        <f aca="false">(1-BF86)*(BF65+BF66+BF67+BF68+BF69+BF70+BF71)/MAX(Time!BF31,1)*Inputs!$F$172</f>
        <v>1.89821388458407</v>
      </c>
      <c r="BG93" s="13" t="n">
        <f aca="false">(1-BG86)*(BG65+BG66+BG67+BG68+BG69+BG70+BG71)/MAX(Time!BG31,1)*Inputs!$F$172</f>
        <v>1.95121315233318</v>
      </c>
      <c r="BH93" s="13" t="n">
        <f aca="false">(1-BH86)*(BH65+BH66+BH67+BH68+BH69+BH70+BH71)/MAX(Time!BH31,1)*Inputs!$F$172</f>
        <v>1.94258709883836</v>
      </c>
      <c r="BI93" s="13" t="n">
        <f aca="false">(1-BI86)*(BI65+BI66+BI67+BI68+BI69+BI70+BI71)/MAX(Time!BI31,1)*Inputs!$F$172</f>
        <v>1.97389930962597</v>
      </c>
      <c r="BJ93" s="13" t="n">
        <f aca="false">(1-BJ86)*(BJ65+BJ66+BJ67+BJ68+BJ69+BJ70+BJ71)/MAX(Time!BJ31,1)*Inputs!$F$172</f>
        <v>1.95119559252922</v>
      </c>
      <c r="BK93" s="13" t="n">
        <f aca="false">(1-BK86)*(BK65+BK66+BK67+BK68+BK69+BK70+BK71)/MAX(Time!BK31,1)*Inputs!$F$172</f>
        <v>2.01530817138747</v>
      </c>
      <c r="BL93" s="13" t="n">
        <f aca="false">(1-BL86)*(BL65+BL66+BL67+BL68+BL69+BL70+BL71)/MAX(Time!BL31,1)*Inputs!$F$172</f>
        <v>2.02354787349296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14.8490993335396</v>
      </c>
      <c r="P95" s="13" t="n">
        <f aca="false">P88+P89-P90-P91-P92-P93-P94</f>
        <v>14.812617425715</v>
      </c>
      <c r="Q95" s="13" t="n">
        <f aca="false">Q88+Q89-Q90-Q91-Q92-Q93-Q94</f>
        <v>15.0991954631663</v>
      </c>
      <c r="R95" s="13" t="n">
        <f aca="false">R88+R89-R90-R91-R92-R93-R94</f>
        <v>14.9068321036233</v>
      </c>
      <c r="S95" s="13" t="n">
        <f aca="false">S88+S89-S90-S91-S92-S93-S94</f>
        <v>15.1964572046035</v>
      </c>
      <c r="T95" s="13" t="n">
        <f aca="false">T88+T89-T90-T91-T92-T93-T94</f>
        <v>15.0048621049099</v>
      </c>
      <c r="U95" s="13" t="n">
        <f aca="false">U88+U89-U90-U91-U92-U93-U94</f>
        <v>15.2168460138086</v>
      </c>
      <c r="V95" s="13" t="n">
        <f aca="false">V88+V89-V90-V91-V92-V93-V94</f>
        <v>15.1007374027577</v>
      </c>
      <c r="W95" s="13" t="n">
        <f aca="false">W88+W89-W90-W91-W92-W93-W94</f>
        <v>15.3959652864817</v>
      </c>
      <c r="X95" s="13" t="n">
        <f aca="false">X88+X89-X90-X91-X92-X93-X94</f>
        <v>15.2047088213932</v>
      </c>
      <c r="Y95" s="13" t="n">
        <f aca="false">Y88+Y89-Y90-Y91-Y92-Y93-Y94</f>
        <v>15.5011708843685</v>
      </c>
      <c r="Z95" s="13" t="n">
        <f aca="false">Z88+Z89-Z90-Z91-Z92-Z93-Z94</f>
        <v>15.3068328671949</v>
      </c>
      <c r="AA95" s="13" t="n">
        <f aca="false">AA88+AA89-AA90-AA91-AA92-AA93-AA94</f>
        <v>15.6063877479015</v>
      </c>
      <c r="AB95" s="13" t="n">
        <f aca="false">AB88+AB89-AB90-AB91-AB92-AB93-AB94</f>
        <v>15.4124646265206</v>
      </c>
      <c r="AC95" s="13" t="n">
        <f aca="false">AC88+AC89-AC90-AC91-AC92-AC93-AC94</f>
        <v>15.6325033188066</v>
      </c>
      <c r="AD95" s="13" t="n">
        <f aca="false">AD88+AD89-AD90-AD91-AD92-AD93-AD94</f>
        <v>15.2855233891793</v>
      </c>
      <c r="AE95" s="13" t="n">
        <f aca="false">AE88+AE89-AE90-AE91-AE92-AE93-AE94</f>
        <v>15.8217220337375</v>
      </c>
      <c r="AF95" s="13" t="n">
        <f aca="false">AF88+AF89-AF90-AF91-AF92-AF93-AF94</f>
        <v>15.6284492047053</v>
      </c>
      <c r="AG95" s="13" t="n">
        <f aca="false">AG88+AG89-AG90-AG91-AG92-AG93-AG94</f>
        <v>15.9356046420195</v>
      </c>
      <c r="AH95" s="13" t="n">
        <f aca="false">AH88+AH89-AH90-AH91-AH92-AH93-AH94</f>
        <v>15.7391592866354</v>
      </c>
      <c r="AI95" s="13" t="n">
        <f aca="false">AI88+AI89-AI90-AI91-AI92-AI93-AI94</f>
        <v>16.0494412385915</v>
      </c>
      <c r="AJ95" s="13" t="n">
        <f aca="false">AJ88+AJ89-AJ90-AJ91-AJ92-AJ93-AJ94</f>
        <v>15.8529954012674</v>
      </c>
      <c r="AK95" s="13" t="n">
        <f aca="false">AK88+AK89-AK90-AK91-AK92-AK93-AK94</f>
        <v>16.0827517413122</v>
      </c>
      <c r="AL95" s="13" t="n">
        <f aca="false">AL88+AL89-AL90-AL91-AL92-AL93-AL94</f>
        <v>15.9674617457883</v>
      </c>
      <c r="AM95" s="13" t="n">
        <f aca="false">AM88+AM89-AM90-AM91-AM92-AM93-AM94</f>
        <v>16.2837299949409</v>
      </c>
      <c r="AN95" s="13" t="n">
        <f aca="false">AN88+AN89-AN90-AN91-AN92-AN93-AN94</f>
        <v>16.0864497726137</v>
      </c>
      <c r="AO95" s="13" t="n">
        <f aca="false">AO88+AO89-AO90-AO91-AO92-AO93-AO94</f>
        <v>16.405175634045</v>
      </c>
      <c r="AP95" s="13" t="n">
        <f aca="false">AP88+AP89-AP90-AP91-AP92-AP93-AP94</f>
        <v>16.2064813174056</v>
      </c>
      <c r="AQ95" s="13" t="n">
        <f aca="false">AQ88+AQ89-AQ90-AQ91-AQ92-AQ93-AQ94</f>
        <v>16.5283530995288</v>
      </c>
      <c r="AR95" s="13" t="n">
        <f aca="false">AR88+AR89-AR90-AR91-AR92-AR93-AR94</f>
        <v>16.3291731597034</v>
      </c>
      <c r="AS95" s="13" t="n">
        <f aca="false">AS88+AS89-AS90-AS91-AS92-AS93-AS94</f>
        <v>16.5689316461976</v>
      </c>
      <c r="AT95" s="13" t="n">
        <f aca="false">AT88+AT89-AT90-AT91-AT92-AT93-AT94</f>
        <v>16.2072443780136</v>
      </c>
      <c r="AU95" s="13" t="n">
        <f aca="false">AU88+AU89-AU90-AU91-AU92-AU93-AU94</f>
        <v>16.7823822315999</v>
      </c>
      <c r="AV95" s="13" t="n">
        <f aca="false">AV88+AV89-AV90-AV91-AV92-AV93-AV94</f>
        <v>16.5815412857921</v>
      </c>
      <c r="AW95" s="13" t="n">
        <f aca="false">AW88+AW89-AW90-AW91-AW92-AW93-AW94</f>
        <v>16.9127880917969</v>
      </c>
      <c r="AX95" s="13" t="n">
        <f aca="false">AX88+AX89-AX90-AX91-AX92-AX93-AX94</f>
        <v>16.7116936391023</v>
      </c>
      <c r="AY95" s="13" t="n">
        <f aca="false">AY88+AY89-AY90-AY91-AY92-AY93-AY94</f>
        <v>17.046088964332</v>
      </c>
      <c r="AZ95" s="13" t="n">
        <f aca="false">AZ88+AZ89-AZ90-AZ91-AZ92-AZ93-AZ94</f>
        <v>16.8439453794947</v>
      </c>
      <c r="BA95" s="13" t="n">
        <f aca="false">BA88+BA89-BA90-BA91-BA92-BA93-BA94</f>
        <v>17.0945915930339</v>
      </c>
      <c r="BB95" s="13" t="n">
        <f aca="false">BB88+BB89-BB90-BB91-BB92-BB93-BB94</f>
        <v>16.9806084766722</v>
      </c>
      <c r="BC95" s="13" t="n">
        <f aca="false">BC88+BC89-BC90-BC91-BC92-BC93-BC94</f>
        <v>17.3213477822828</v>
      </c>
      <c r="BD95" s="13" t="n">
        <f aca="false">BD88+BD89-BD90-BD91-BD92-BD93-BD94</f>
        <v>17.1167928242471</v>
      </c>
      <c r="BE95" s="13" t="n">
        <f aca="false">BE88+BE89-BE90-BE91-BE92-BE93-BE94</f>
        <v>17.4615908351219</v>
      </c>
      <c r="BF95" s="13" t="n">
        <f aca="false">BF88+BF89-BF90-BF91-BF92-BF93-BF94</f>
        <v>17.2579348681029</v>
      </c>
      <c r="BG95" s="13" t="n">
        <f aca="false">BG88+BG89-BG90-BG91-BG92-BG93-BG94</f>
        <v>17.6058643580662</v>
      </c>
      <c r="BH95" s="13" t="n">
        <f aca="false">BH88+BH89-BH90-BH91-BH92-BH93-BH94</f>
        <v>17.4005078352967</v>
      </c>
      <c r="BI95" s="13" t="n">
        <f aca="false">BI88+BI89-BI90-BI91-BI92-BI93-BI94</f>
        <v>17.6635364282377</v>
      </c>
      <c r="BJ95" s="13" t="n">
        <f aca="false">BJ88+BJ89-BJ90-BJ91-BJ92-BJ93-BJ94</f>
        <v>17.2848566411904</v>
      </c>
      <c r="BK95" s="13" t="n">
        <f aca="false">BK88+BK89-BK90-BK91-BK92-BK93-BK94</f>
        <v>17.9056561229142</v>
      </c>
      <c r="BL95" s="13" t="n">
        <f aca="false">BL88+BL89-BL90-BL91-BL92-BL93-BL94</f>
        <v>17.6955321654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14.8490993335396</v>
      </c>
      <c r="P96" s="13" t="n">
        <f aca="false">P95-O95</f>
        <v>-0.0364819078246192</v>
      </c>
      <c r="Q96" s="13" t="n">
        <f aca="false">Q95-P95</f>
        <v>0.286578037451354</v>
      </c>
      <c r="R96" s="13" t="n">
        <f aca="false">R95-Q95</f>
        <v>-0.192363359543045</v>
      </c>
      <c r="S96" s="13" t="n">
        <f aca="false">S95-R95</f>
        <v>0.289625100980267</v>
      </c>
      <c r="T96" s="13" t="n">
        <f aca="false">T95-S95</f>
        <v>-0.19159509969364</v>
      </c>
      <c r="U96" s="13" t="n">
        <f aca="false">U95-T95</f>
        <v>0.211983908898659</v>
      </c>
      <c r="V96" s="13" t="n">
        <f aca="false">V95-U95</f>
        <v>-0.116108611050844</v>
      </c>
      <c r="W96" s="13" t="n">
        <f aca="false">W95-V95</f>
        <v>0.295227883724026</v>
      </c>
      <c r="X96" s="13" t="n">
        <f aca="false">X95-W95</f>
        <v>-0.191256465088566</v>
      </c>
      <c r="Y96" s="13" t="n">
        <f aca="false">Y95-X95</f>
        <v>0.296462062975291</v>
      </c>
      <c r="Z96" s="13" t="n">
        <f aca="false">Z95-Y95</f>
        <v>-0.194338017173557</v>
      </c>
      <c r="AA96" s="13" t="n">
        <f aca="false">AA95-Z95</f>
        <v>0.299554880706555</v>
      </c>
      <c r="AB96" s="13" t="n">
        <f aca="false">AB95-AA95</f>
        <v>-0.193923121380903</v>
      </c>
      <c r="AC96" s="13" t="n">
        <f aca="false">AC95-AB95</f>
        <v>0.220038692286087</v>
      </c>
      <c r="AD96" s="13" t="n">
        <f aca="false">AD95-AC95</f>
        <v>-0.346979929627327</v>
      </c>
      <c r="AE96" s="13" t="n">
        <f aca="false">AE95-AD95</f>
        <v>0.536198644558228</v>
      </c>
      <c r="AF96" s="13" t="n">
        <f aca="false">AF95-AE95</f>
        <v>-0.193272829032223</v>
      </c>
      <c r="AG96" s="13" t="n">
        <f aca="false">AG95-AF95</f>
        <v>0.30715543731419</v>
      </c>
      <c r="AH96" s="13" t="n">
        <f aca="false">AH95-AG95</f>
        <v>-0.196445355384149</v>
      </c>
      <c r="AI96" s="13" t="n">
        <f aca="false">AI95-AH95</f>
        <v>0.310281951956132</v>
      </c>
      <c r="AJ96" s="13" t="n">
        <f aca="false">AJ95-AI95</f>
        <v>-0.196445837324099</v>
      </c>
      <c r="AK96" s="13" t="n">
        <f aca="false">AK95-AJ95</f>
        <v>0.22975634004478</v>
      </c>
      <c r="AL96" s="13" t="n">
        <f aca="false">AL95-AK95</f>
        <v>-0.115289995523828</v>
      </c>
      <c r="AM96" s="13" t="n">
        <f aca="false">AM95-AL95</f>
        <v>0.316268249152568</v>
      </c>
      <c r="AN96" s="13" t="n">
        <f aca="false">AN95-AM95</f>
        <v>-0.197280222327176</v>
      </c>
      <c r="AO96" s="13" t="n">
        <f aca="false">AO95-AN95</f>
        <v>0.318725861431247</v>
      </c>
      <c r="AP96" s="13" t="n">
        <f aca="false">AP95-AO95</f>
        <v>-0.198694316639347</v>
      </c>
      <c r="AQ96" s="13" t="n">
        <f aca="false">AQ95-AP95</f>
        <v>0.321871782123143</v>
      </c>
      <c r="AR96" s="13" t="n">
        <f aca="false">AR95-AQ95</f>
        <v>-0.199179939825424</v>
      </c>
      <c r="AS96" s="13" t="n">
        <f aca="false">AS95-AR95</f>
        <v>0.239758486494253</v>
      </c>
      <c r="AT96" s="13" t="n">
        <f aca="false">AT95-AS95</f>
        <v>-0.361687268183964</v>
      </c>
      <c r="AU96" s="13" t="n">
        <f aca="false">AU95-AT95</f>
        <v>0.575137853586256</v>
      </c>
      <c r="AV96" s="13" t="n">
        <f aca="false">AV95-AU95</f>
        <v>-0.200840945807826</v>
      </c>
      <c r="AW96" s="13" t="n">
        <f aca="false">AW95-AV95</f>
        <v>0.331246806004831</v>
      </c>
      <c r="AX96" s="13" t="n">
        <f aca="false">AX95-AW95</f>
        <v>-0.201094452694583</v>
      </c>
      <c r="AY96" s="13" t="n">
        <f aca="false">AY95-AX95</f>
        <v>0.334395325229661</v>
      </c>
      <c r="AZ96" s="13" t="n">
        <f aca="false">AZ95-AY95</f>
        <v>-0.202143584837284</v>
      </c>
      <c r="BA96" s="13" t="n">
        <f aca="false">BA95-AZ95</f>
        <v>0.25064621353922</v>
      </c>
      <c r="BB96" s="13" t="n">
        <f aca="false">BB95-BA95</f>
        <v>-0.113983116361727</v>
      </c>
      <c r="BC96" s="13" t="n">
        <f aca="false">BC95-BB95</f>
        <v>0.340739305610637</v>
      </c>
      <c r="BD96" s="13" t="n">
        <f aca="false">BD95-BC95</f>
        <v>-0.204554958035779</v>
      </c>
      <c r="BE96" s="13" t="n">
        <f aca="false">BE95-BD95</f>
        <v>0.34479801087485</v>
      </c>
      <c r="BF96" s="13" t="n">
        <f aca="false">BF95-BE95</f>
        <v>-0.203655967019031</v>
      </c>
      <c r="BG96" s="13" t="n">
        <f aca="false">BG95-BF95</f>
        <v>0.347929489963292</v>
      </c>
      <c r="BH96" s="13" t="n">
        <f aca="false">BH95-BG95</f>
        <v>-0.205356522769481</v>
      </c>
      <c r="BI96" s="13" t="n">
        <f aca="false">BI95-BH95</f>
        <v>0.263028592940987</v>
      </c>
      <c r="BJ96" s="13" t="n">
        <f aca="false">BJ95-BI95</f>
        <v>-0.378679787047233</v>
      </c>
      <c r="BK96" s="13" t="n">
        <f aca="false">BK95-BJ95</f>
        <v>0.620799481723747</v>
      </c>
      <c r="BL96" s="13" t="n">
        <f aca="false">BL95-BK95</f>
        <v>-0.210123957514188</v>
      </c>
      <c r="BM96" s="13" t="n">
        <f aca="false">BM95-BL95</f>
        <v>-17.6955321654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-3.72751256902261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0.04813688569633</v>
      </c>
      <c r="P98" s="13" t="n">
        <f aca="false">P51-P73</f>
        <v>0.13924387126356</v>
      </c>
      <c r="Q98" s="13" t="n">
        <f aca="false">Q51-Q73</f>
        <v>0.133704318025423</v>
      </c>
      <c r="R98" s="13" t="n">
        <f aca="false">R51-R73</f>
        <v>0.125038232402176</v>
      </c>
      <c r="S98" s="13" t="n">
        <f aca="false">S51-S73</f>
        <v>0.119972742447899</v>
      </c>
      <c r="T98" s="13" t="n">
        <f aca="false">T51-T73</f>
        <v>0.112727557672486</v>
      </c>
      <c r="U98" s="13" t="n">
        <f aca="false">U51-U73</f>
        <v>0.105601703217786</v>
      </c>
      <c r="V98" s="13" t="n">
        <f aca="false">V51-V73</f>
        <v>0.0952969437480391</v>
      </c>
      <c r="W98" s="13" t="n">
        <f aca="false">W51-W73</f>
        <v>0.090231949645343</v>
      </c>
      <c r="X98" s="13" t="n">
        <f aca="false">X51-X73</f>
        <v>0.0840401048287873</v>
      </c>
      <c r="Y98" s="13" t="n">
        <f aca="false">Y51-Y73</f>
        <v>0.077028795327621</v>
      </c>
      <c r="Z98" s="13" t="n">
        <f aca="false">Z51-Z73</f>
        <v>0.0681831031688631</v>
      </c>
      <c r="AA98" s="13" t="n">
        <f aca="false">AA51-AA73</f>
        <v>0.0612382596646768</v>
      </c>
      <c r="AB98" s="13" t="n">
        <f aca="false">AB51-AB73</f>
        <v>0.053057388892654</v>
      </c>
      <c r="AC98" s="13" t="n">
        <f aca="false">AC51-AC73</f>
        <v>0.0445625568965653</v>
      </c>
      <c r="AD98" s="13" t="n">
        <f aca="false">AD51-AD73</f>
        <v>0.0346713372844079</v>
      </c>
      <c r="AE98" s="13" t="n">
        <f aca="false">AE51-AE73</f>
        <v>0.0274832499905529</v>
      </c>
      <c r="AF98" s="13" t="n">
        <f aca="false">AF51-AF73</f>
        <v>0.0196491246886268</v>
      </c>
      <c r="AG98" s="13" t="n">
        <f aca="false">AG51-AG73</f>
        <v>0.0109754563655429</v>
      </c>
      <c r="AH98" s="13" t="n">
        <f aca="false">AH51-AH73</f>
        <v>0.00197382187869266</v>
      </c>
      <c r="AI98" s="13" t="n">
        <f aca="false">AI51-AI73</f>
        <v>-0.00710555380713629</v>
      </c>
      <c r="AJ98" s="13" t="n">
        <f aca="false">AJ51-AJ73</f>
        <v>-0.016321416441869</v>
      </c>
      <c r="AK98" s="13" t="n">
        <f aca="false">AK51-AK73</f>
        <v>-0.0256915865349043</v>
      </c>
      <c r="AL98" s="13" t="n">
        <f aca="false">AL51-AL73</f>
        <v>-0.034107425356396</v>
      </c>
      <c r="AM98" s="13" t="n">
        <f aca="false">AM51-AM73</f>
        <v>-0.0444801224216747</v>
      </c>
      <c r="AN98" s="13" t="n">
        <f aca="false">AN51-AN73</f>
        <v>-0.0549977009996212</v>
      </c>
      <c r="AO98" s="13" t="n">
        <f aca="false">AO51-AO73</f>
        <v>-0.0655445669033554</v>
      </c>
      <c r="AP98" s="13" t="n">
        <f aca="false">AP51-AP73</f>
        <v>-0.0746738202714283</v>
      </c>
      <c r="AQ98" s="13" t="n">
        <f aca="false">AQ51-AQ73</f>
        <v>-0.0861705379228113</v>
      </c>
      <c r="AR98" s="13" t="n">
        <f aca="false">AR51-AR73</f>
        <v>-0.0965302404039647</v>
      </c>
      <c r="AS98" s="13" t="n">
        <f aca="false">AS51-AS73</f>
        <v>-0.106481016184247</v>
      </c>
      <c r="AT98" s="13" t="n">
        <f aca="false">AT51-AT73</f>
        <v>-0.11197821370628</v>
      </c>
      <c r="AU98" s="13" t="n">
        <f aca="false">AU51-AU73</f>
        <v>-0.126192634539024</v>
      </c>
      <c r="AV98" s="13" t="n">
        <f aca="false">AV51-AV73</f>
        <v>-0.141076911310606</v>
      </c>
      <c r="AW98" s="13" t="n">
        <f aca="false">AW51-AW73</f>
        <v>-0.153729993003424</v>
      </c>
      <c r="AX98" s="13" t="n">
        <f aca="false">AX51-AX73</f>
        <v>-0.162953313355615</v>
      </c>
      <c r="AY98" s="13" t="n">
        <f aca="false">AY51-AY73</f>
        <v>-0.177180497817389</v>
      </c>
      <c r="AZ98" s="13" t="n">
        <f aca="false">AZ51-AZ73</f>
        <v>-0.188803289717114</v>
      </c>
      <c r="BA98" s="13" t="n">
        <f aca="false">BA51-BA73</f>
        <v>-0.200943082710793</v>
      </c>
      <c r="BB98" s="13" t="n">
        <f aca="false">BB51-BB73</f>
        <v>-0.206615137567667</v>
      </c>
      <c r="BC98" s="13" t="n">
        <f aca="false">BC51-BC73</f>
        <v>-0.223836270371649</v>
      </c>
      <c r="BD98" s="13" t="n">
        <f aca="false">BD51-BD73</f>
        <v>-0.23988299942225</v>
      </c>
      <c r="BE98" s="13" t="n">
        <f aca="false">BE51-BE73</f>
        <v>-0.254899612615105</v>
      </c>
      <c r="BF98" s="13" t="n">
        <f aca="false">BF51-BF73</f>
        <v>-0.264177591353615</v>
      </c>
      <c r="BG98" s="13" t="n">
        <f aca="false">BG51-BG73</f>
        <v>-0.281481609828901</v>
      </c>
      <c r="BH98" s="13" t="n">
        <f aca="false">BH51-BH73</f>
        <v>-0.294498075429743</v>
      </c>
      <c r="BI98" s="13" t="n">
        <f aca="false">BI51-BI73</f>
        <v>-0.306147458957526</v>
      </c>
      <c r="BJ98" s="13" t="n">
        <f aca="false">BJ51-BJ73</f>
        <v>-0.305618454834388</v>
      </c>
      <c r="BK98" s="13" t="n">
        <f aca="false">BK51-BK73</f>
        <v>-0.32888650448524</v>
      </c>
      <c r="BL98" s="13" t="n">
        <f aca="false">BL51-BL73</f>
        <v>-0.352839342908581</v>
      </c>
      <c r="BM98" s="13" t="n">
        <f aca="false">BM51-BM73</f>
        <v>-0.246484990946328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836.452563962178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7.5280730756596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22.5842192269788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22.5842192269788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22.5842192269788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22.5842192269788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22.5842192269788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22.5842192269788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22.5842192269788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22.5842192269788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22.5842192269788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21.7477666630166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20.0748615350923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20.0748615350923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20.0748615350923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20.0748615350923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20.0748615350923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20.0748615350923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20.0748615350923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20.0748615350923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20.0748615350923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20.0748615350923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20.0748615350923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20.0748615350923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20.0748615350923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20.0748615350923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20.0748615350923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20.0748615350923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20.0748615350923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20.0748615350923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20.0748615350923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20.0748615350923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20.0748615350923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20.0748615350923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20.0748615350923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20.0748615350923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20.0748615350923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20.0748615350923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20.0748615350923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20.0748615350923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20.0748615350923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13.6620585447156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0.836452563962178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0.836452563962178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0.836452563962178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0.836452563962178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0.836452563962178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0.836452563962178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0.836452563962178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0.836452563962178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0.836452563962178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0.557635042641452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225.842192269788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7.5280730756596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22.5842192269788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22.5842192269788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22.5842192269788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22.5842192269788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22.5842192269788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22.5842192269788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22.5842192269788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22.5842192269788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22.5842192269788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15.0561461513192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610.61037169239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6.69162051169743</v>
      </c>
      <c r="Z12" s="13" t="n">
        <f aca="false">Z10-Z11</f>
        <v>20.0748615350923</v>
      </c>
      <c r="AA12" s="13" t="n">
        <f aca="false">AA10-AA11</f>
        <v>20.0748615350923</v>
      </c>
      <c r="AB12" s="13" t="n">
        <f aca="false">AB10-AB11</f>
        <v>20.0748615350923</v>
      </c>
      <c r="AC12" s="13" t="n">
        <f aca="false">AC10-AC11</f>
        <v>20.0748615350923</v>
      </c>
      <c r="AD12" s="13" t="n">
        <f aca="false">AD10-AD11</f>
        <v>20.0748615350923</v>
      </c>
      <c r="AE12" s="13" t="n">
        <f aca="false">AE10-AE11</f>
        <v>20.0748615350923</v>
      </c>
      <c r="AF12" s="13" t="n">
        <f aca="false">AF10-AF11</f>
        <v>20.0748615350923</v>
      </c>
      <c r="AG12" s="13" t="n">
        <f aca="false">AG10-AG11</f>
        <v>20.0748615350923</v>
      </c>
      <c r="AH12" s="13" t="n">
        <f aca="false">AH10-AH11</f>
        <v>20.0748615350923</v>
      </c>
      <c r="AI12" s="13" t="n">
        <f aca="false">AI10-AI11</f>
        <v>20.0748615350923</v>
      </c>
      <c r="AJ12" s="13" t="n">
        <f aca="false">AJ10-AJ11</f>
        <v>20.0748615350923</v>
      </c>
      <c r="AK12" s="13" t="n">
        <f aca="false">AK10-AK11</f>
        <v>20.0748615350923</v>
      </c>
      <c r="AL12" s="13" t="n">
        <f aca="false">AL10-AL11</f>
        <v>20.0748615350923</v>
      </c>
      <c r="AM12" s="13" t="n">
        <f aca="false">AM10-AM11</f>
        <v>20.0748615350923</v>
      </c>
      <c r="AN12" s="13" t="n">
        <f aca="false">AN10-AN11</f>
        <v>20.0748615350923</v>
      </c>
      <c r="AO12" s="13" t="n">
        <f aca="false">AO10-AO11</f>
        <v>20.0748615350923</v>
      </c>
      <c r="AP12" s="13" t="n">
        <f aca="false">AP10-AP11</f>
        <v>20.0748615350923</v>
      </c>
      <c r="AQ12" s="13" t="n">
        <f aca="false">AQ10-AQ11</f>
        <v>20.0748615350923</v>
      </c>
      <c r="AR12" s="13" t="n">
        <f aca="false">AR10-AR11</f>
        <v>20.0748615350923</v>
      </c>
      <c r="AS12" s="13" t="n">
        <f aca="false">AS10-AS11</f>
        <v>20.0748615350923</v>
      </c>
      <c r="AT12" s="13" t="n">
        <f aca="false">AT10-AT11</f>
        <v>20.0748615350923</v>
      </c>
      <c r="AU12" s="13" t="n">
        <f aca="false">AU10-AU11</f>
        <v>20.0748615350923</v>
      </c>
      <c r="AV12" s="13" t="n">
        <f aca="false">AV10-AV11</f>
        <v>20.0748615350923</v>
      </c>
      <c r="AW12" s="13" t="n">
        <f aca="false">AW10-AW11</f>
        <v>20.0748615350923</v>
      </c>
      <c r="AX12" s="13" t="n">
        <f aca="false">AX10-AX11</f>
        <v>20.0748615350923</v>
      </c>
      <c r="AY12" s="13" t="n">
        <f aca="false">AY10-AY11</f>
        <v>20.0748615350923</v>
      </c>
      <c r="AZ12" s="13" t="n">
        <f aca="false">AZ10-AZ11</f>
        <v>20.0748615350923</v>
      </c>
      <c r="BA12" s="13" t="n">
        <f aca="false">BA10-BA11</f>
        <v>20.0748615350923</v>
      </c>
      <c r="BB12" s="13" t="n">
        <f aca="false">BB10-BB11</f>
        <v>20.0748615350923</v>
      </c>
      <c r="BC12" s="13" t="n">
        <f aca="false">BC10-BC11</f>
        <v>13.6620585447156</v>
      </c>
      <c r="BD12" s="13" t="n">
        <f aca="false">BD10-BD11</f>
        <v>0.836452563962178</v>
      </c>
      <c r="BE12" s="13" t="n">
        <f aca="false">BE10-BE11</f>
        <v>0.836452563962178</v>
      </c>
      <c r="BF12" s="13" t="n">
        <f aca="false">BF10-BF11</f>
        <v>0.836452563962178</v>
      </c>
      <c r="BG12" s="13" t="n">
        <f aca="false">BG10-BG11</f>
        <v>0.836452563962178</v>
      </c>
      <c r="BH12" s="13" t="n">
        <f aca="false">BH10-BH11</f>
        <v>0.836452563962178</v>
      </c>
      <c r="BI12" s="13" t="n">
        <f aca="false">BI10-BI11</f>
        <v>0.836452563962178</v>
      </c>
      <c r="BJ12" s="13" t="n">
        <f aca="false">BJ10-BJ11</f>
        <v>0.836452563962178</v>
      </c>
      <c r="BK12" s="13" t="n">
        <f aca="false">BK10-BK11</f>
        <v>0.836452563962178</v>
      </c>
      <c r="BL12" s="13" t="n">
        <f aca="false">BL10-BL11</f>
        <v>0.836452563962178</v>
      </c>
      <c r="BM12" s="13" t="n">
        <f aca="false">BM10-BM11</f>
        <v>0.557635042641452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222.687206434865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3.24168077909851</v>
      </c>
      <c r="P13" s="13" t="n">
        <f aca="false">IF(Time!P20&gt;=Time!$F$12,Waterfall!P33*Inputs!$F$104/100*Time!P31/Inputs!$F$248,0)</f>
        <v>9.9334300698582</v>
      </c>
      <c r="Q13" s="13" t="n">
        <f aca="false">IF(Time!Q20&gt;=Time!$F$12,Waterfall!Q33*Inputs!$F$104/100*Time!Q31/Inputs!$F$248,0)</f>
        <v>9.58836101176085</v>
      </c>
      <c r="R13" s="13" t="n">
        <f aca="false">IF(Time!R20&gt;=Time!$F$12,Waterfall!R33*Inputs!$F$104/100*Time!R31/Inputs!$F$248,0)</f>
        <v>9.65468152827641</v>
      </c>
      <c r="S13" s="13" t="n">
        <f aca="false">IF(Time!S20&gt;=Time!$F$12,Waterfall!S33*Inputs!$F$104/100*Time!S31/Inputs!$F$248,0)</f>
        <v>9.36660380646785</v>
      </c>
      <c r="T13" s="13" t="n">
        <f aca="false">IF(Time!T20&gt;=Time!$F$12,Waterfall!T33*Inputs!$F$104/100*Time!T31/Inputs!$F$248,0)</f>
        <v>9.4143553519184</v>
      </c>
      <c r="U13" s="13" t="n">
        <f aca="false">IF(Time!U20&gt;=Time!$F$12,Waterfall!U33*Inputs!$F$104/100*Time!U31/Inputs!$F$248,0)</f>
        <v>9.17348954898508</v>
      </c>
      <c r="V13" s="13" t="n">
        <f aca="false">IF(Time!V20&gt;=Time!$F$12,Waterfall!V33*Inputs!$F$104/100*Time!V31/Inputs!$F$248,0)</f>
        <v>9.16904813102051</v>
      </c>
      <c r="W13" s="13" t="n">
        <f aca="false">IF(Time!W20&gt;=Time!$F$12,Waterfall!W33*Inputs!$F$104/100*Time!W31/Inputs!$F$248,0)</f>
        <v>8.85845458074445</v>
      </c>
      <c r="X13" s="13" t="n">
        <f aca="false">IF(Time!X20&gt;=Time!$F$12,Waterfall!X33*Inputs!$F$104/100*Time!X31/Inputs!$F$248,0)</f>
        <v>8.79157222629175</v>
      </c>
      <c r="Y13" s="13" t="n">
        <f aca="false">IF(Time!Y20&gt;=Time!$F$12,Waterfall!Y33*Inputs!$F$104/100*Time!Y31/Inputs!$F$248,0)</f>
        <v>8.48863540145283</v>
      </c>
      <c r="Z13" s="13" t="n">
        <f aca="false">IF(Time!Z20&gt;=Time!$F$12,Waterfall!Z33*Inputs!$F$104/100*Time!Z31/Inputs!$F$248,0)</f>
        <v>8.49032853936827</v>
      </c>
      <c r="AA13" s="13" t="n">
        <f aca="false">IF(Time!AA20&gt;=Time!$F$12,Waterfall!AA33*Inputs!$F$104/100*Time!AA31/Inputs!$F$248,0)</f>
        <v>8.18296224979341</v>
      </c>
      <c r="AB13" s="13" t="n">
        <f aca="false">IF(Time!AB20&gt;=Time!$F$12,Waterfall!AB33*Inputs!$F$104/100*Time!AB31/Inputs!$F$248,0)</f>
        <v>8.44136498504642</v>
      </c>
      <c r="AC13" s="13" t="n">
        <f aca="false">IF(Time!AC20&gt;=Time!$F$12,Waterfall!AC33*Inputs!$F$104/100*Time!AC31/Inputs!$F$248,0)</f>
        <v>8.44018717912392</v>
      </c>
      <c r="AD13" s="13" t="n">
        <f aca="false">IF(Time!AD20&gt;=Time!$F$12,Waterfall!AD33*Inputs!$F$104/100*Time!AD31/Inputs!$F$248,0)</f>
        <v>8.64294525707508</v>
      </c>
      <c r="AE13" s="13" t="n">
        <f aca="false">IF(Time!AE20&gt;=Time!$F$12,Waterfall!AE33*Inputs!$F$104/100*Time!AE31/Inputs!$F$248,0)</f>
        <v>8.55928406301542</v>
      </c>
      <c r="AF13" s="13" t="n">
        <f aca="false">IF(Time!AF20&gt;=Time!$F$12,Waterfall!AF33*Inputs!$F$104/100*Time!AF31/Inputs!$F$248,0)</f>
        <v>8.72912728887178</v>
      </c>
      <c r="AG13" s="13" t="n">
        <f aca="false">IF(Time!AG20&gt;=Time!$F$12,Waterfall!AG33*Inputs!$F$104/100*Time!AG31/Inputs!$F$248,0)</f>
        <v>8.58403925498575</v>
      </c>
      <c r="AH13" s="13" t="n">
        <f aca="false">IF(Time!AH20&gt;=Time!$F$12,Waterfall!AH33*Inputs!$F$104/100*Time!AH31/Inputs!$F$248,0)</f>
        <v>8.69944809539578</v>
      </c>
      <c r="AI13" s="13" t="n">
        <f aca="false">IF(Time!AI20&gt;=Time!$F$12,Waterfall!AI33*Inputs!$F$104/100*Time!AI31/Inputs!$F$248,0)</f>
        <v>8.47583743977899</v>
      </c>
      <c r="AJ13" s="13" t="n">
        <f aca="false">IF(Time!AJ20&gt;=Time!$F$12,Waterfall!AJ33*Inputs!$F$104/100*Time!AJ31/Inputs!$F$248,0)</f>
        <v>8.48501032127537</v>
      </c>
      <c r="AK13" s="13" t="n">
        <f aca="false">IF(Time!AK20&gt;=Time!$F$12,Waterfall!AK33*Inputs!$F$104/100*Time!AK31/Inputs!$F$248,0)</f>
        <v>8.17968348429156</v>
      </c>
      <c r="AL13" s="13" t="n">
        <f aca="false">IF(Time!AL20&gt;=Time!$F$12,Waterfall!AL33*Inputs!$F$104/100*Time!AL31/Inputs!$F$248,0)</f>
        <v>7.69293875659369</v>
      </c>
      <c r="AM13" s="13" t="n">
        <f aca="false">IF(Time!AM20&gt;=Time!$F$12,Waterfall!AM33*Inputs!$F$104/100*Time!AM31/Inputs!$F$248,0)</f>
        <v>6.36730296802051</v>
      </c>
      <c r="AN13" s="13" t="n">
        <f aca="false">IF(Time!AN20&gt;=Time!$F$12,Waterfall!AN33*Inputs!$F$104/100*Time!AN31/Inputs!$F$248,0)</f>
        <v>5.20795219765936</v>
      </c>
      <c r="AO13" s="13" t="n">
        <f aca="false">IF(Time!AO20&gt;=Time!$F$12,Waterfall!AO33*Inputs!$F$104/100*Time!AO31/Inputs!$F$248,0)</f>
        <v>3.87361983263749</v>
      </c>
      <c r="AP13" s="13" t="n">
        <f aca="false">IF(Time!AP20&gt;=Time!$F$12,Waterfall!AP33*Inputs!$F$104/100*Time!AP31/Inputs!$F$248,0)</f>
        <v>1.91967888359488</v>
      </c>
      <c r="AQ13" s="13" t="n">
        <f aca="false">IF(Time!AQ20&gt;=Time!$F$12,Waterfall!AQ33*Inputs!$F$104/100*Time!AQ31/Inputs!$F$248,0)</f>
        <v>0.0351832024624517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0.660017763342715</v>
      </c>
      <c r="P14" s="3" t="n">
        <f aca="false">IF(Waterfall!P33&gt;0,MIN(1,Inputs!$F$183*(Waterfall!$F$32+MAX(0,Waterfall!O43))/Waterfall!P33),1)</f>
        <v>0.785762705984293</v>
      </c>
      <c r="Q14" s="3" t="n">
        <f aca="false">IF(Waterfall!Q33&gt;0,MIN(1,Inputs!$F$183*(Waterfall!$F$32+MAX(0,Waterfall!P43))/Waterfall!Q33),1)</f>
        <v>0.894624133994208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218.446599529407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2.13956689729167</v>
      </c>
      <c r="P15" s="13" t="n">
        <f aca="false">P13*P14</f>
        <v>7.80531889139752</v>
      </c>
      <c r="Q15" s="13" t="n">
        <f aca="false">Q13*Q14</f>
        <v>8.57797916657038</v>
      </c>
      <c r="R15" s="13" t="n">
        <f aca="false">R13*R14</f>
        <v>9.65468152827641</v>
      </c>
      <c r="S15" s="13" t="n">
        <f aca="false">S13*S14</f>
        <v>9.36660380646785</v>
      </c>
      <c r="T15" s="13" t="n">
        <f aca="false">T13*T14</f>
        <v>9.4143553519184</v>
      </c>
      <c r="U15" s="13" t="n">
        <f aca="false">U13*U14</f>
        <v>9.17348954898508</v>
      </c>
      <c r="V15" s="13" t="n">
        <f aca="false">V13*V14</f>
        <v>9.16904813102051</v>
      </c>
      <c r="W15" s="13" t="n">
        <f aca="false">W13*W14</f>
        <v>8.85845458074445</v>
      </c>
      <c r="X15" s="13" t="n">
        <f aca="false">X13*X14</f>
        <v>8.79157222629175</v>
      </c>
      <c r="Y15" s="13" t="n">
        <f aca="false">Y13*Y14</f>
        <v>8.48863540145283</v>
      </c>
      <c r="Z15" s="13" t="n">
        <f aca="false">Z13*Z14</f>
        <v>8.49032853936827</v>
      </c>
      <c r="AA15" s="13" t="n">
        <f aca="false">AA13*AA14</f>
        <v>8.18296224979341</v>
      </c>
      <c r="AB15" s="13" t="n">
        <f aca="false">AB13*AB14</f>
        <v>8.44136498504642</v>
      </c>
      <c r="AC15" s="13" t="n">
        <f aca="false">AC13*AC14</f>
        <v>8.44018717912392</v>
      </c>
      <c r="AD15" s="13" t="n">
        <f aca="false">AD13*AD14</f>
        <v>8.64294525707508</v>
      </c>
      <c r="AE15" s="13" t="n">
        <f aca="false">AE13*AE14</f>
        <v>8.55928406301542</v>
      </c>
      <c r="AF15" s="13" t="n">
        <f aca="false">AF13*AF14</f>
        <v>8.72912728887178</v>
      </c>
      <c r="AG15" s="13" t="n">
        <f aca="false">AG13*AG14</f>
        <v>8.58403925498575</v>
      </c>
      <c r="AH15" s="13" t="n">
        <f aca="false">AH13*AH14</f>
        <v>8.69944809539578</v>
      </c>
      <c r="AI15" s="13" t="n">
        <f aca="false">AI13*AI14</f>
        <v>8.47583743977899</v>
      </c>
      <c r="AJ15" s="13" t="n">
        <f aca="false">AJ13*AJ14</f>
        <v>8.48501032127537</v>
      </c>
      <c r="AK15" s="13" t="n">
        <f aca="false">AK13*AK14</f>
        <v>8.17968348429156</v>
      </c>
      <c r="AL15" s="13" t="n">
        <f aca="false">AL13*AL14</f>
        <v>7.69293875659369</v>
      </c>
      <c r="AM15" s="13" t="n">
        <f aca="false">AM13*AM14</f>
        <v>6.36730296802051</v>
      </c>
      <c r="AN15" s="13" t="n">
        <f aca="false">AN13*AN14</f>
        <v>5.20795219765936</v>
      </c>
      <c r="AO15" s="13" t="n">
        <f aca="false">AO13*AO14</f>
        <v>3.87361983263749</v>
      </c>
      <c r="AP15" s="13" t="n">
        <f aca="false">AP13*AP14</f>
        <v>1.91967888359488</v>
      </c>
      <c r="AQ15" s="13" t="n">
        <f aca="false">AQ13*AQ14</f>
        <v>0.0351832024624517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318.507538182379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21.6425891669588</v>
      </c>
      <c r="Q16" s="13" t="n">
        <f aca="false">Debt!Q112+Debt!Q110+Debt!Q104-Debt!Q103</f>
        <v>20.9409358208775</v>
      </c>
      <c r="R16" s="13" t="n">
        <f aca="false">Debt!R112+Debt!R110+Debt!R104-Debt!R103</f>
        <v>20.6534417915168</v>
      </c>
      <c r="S16" s="13" t="n">
        <f aca="false">Debt!S112+Debt!S110+Debt!S104-Debt!S103</f>
        <v>19.8998085813131</v>
      </c>
      <c r="T16" s="13" t="n">
        <f aca="false">Debt!T112+Debt!T110+Debt!T104-Debt!T103</f>
        <v>19.5529478768634</v>
      </c>
      <c r="U16" s="13" t="n">
        <f aca="false">Debt!U112+Debt!U110+Debt!U104-Debt!U103</f>
        <v>18.8232169322933</v>
      </c>
      <c r="V16" s="13" t="n">
        <f aca="false">Debt!V112+Debt!V110+Debt!V104-Debt!V103</f>
        <v>18.3440147032268</v>
      </c>
      <c r="W16" s="13" t="n">
        <f aca="false">Debt!W112+Debt!W110+Debt!W104-Debt!W103</f>
        <v>17.490197474483</v>
      </c>
      <c r="X16" s="13" t="n">
        <f aca="false">Debt!X112+Debt!X110+Debt!X104-Debt!X103</f>
        <v>16.994691507521</v>
      </c>
      <c r="Y16" s="13" t="n">
        <f aca="false">Debt!Y112+Debt!Y110+Debt!Y104-Debt!Y103</f>
        <v>16.6753563344659</v>
      </c>
      <c r="Z16" s="13" t="n">
        <f aca="false">Debt!Z112+Debt!Z110+Debt!Z104-Debt!Z103</f>
        <v>16.1801527753508</v>
      </c>
      <c r="AA16" s="13" t="n">
        <f aca="false">Debt!AA112+Debt!AA110+Debt!AA104-Debt!AA103</f>
        <v>15.2964590748274</v>
      </c>
      <c r="AB16" s="13" t="n">
        <f aca="false">Debt!AB112+Debt!AB110+Debt!AB104-Debt!AB103</f>
        <v>14.4535418243481</v>
      </c>
      <c r="AC16" s="13" t="n">
        <f aca="false">Debt!AC112+Debt!AC110+Debt!AC104-Debt!AC103</f>
        <v>13.2717733484512</v>
      </c>
      <c r="AD16" s="13" t="n">
        <f aca="false">Debt!AD112+Debt!AD110+Debt!AD104-Debt!AD103</f>
        <v>12.2896606384303</v>
      </c>
      <c r="AE16" s="13" t="n">
        <f aca="false">Debt!AE112+Debt!AE110+Debt!AE104-Debt!AE103</f>
        <v>10.9681378839627</v>
      </c>
      <c r="AF16" s="13" t="n">
        <f aca="false">Debt!AF112+Debt!AF110+Debt!AF104-Debt!AF103</f>
        <v>9.83821573391481</v>
      </c>
      <c r="AG16" s="13" t="n">
        <f aca="false">Debt!AG112+Debt!AG110+Debt!AG104-Debt!AG103</f>
        <v>8.69109129188484</v>
      </c>
      <c r="AH16" s="13" t="n">
        <f aca="false">Debt!AH112+Debt!AH110+Debt!AH104-Debt!AH103</f>
        <v>7.45127640159834</v>
      </c>
      <c r="AI16" s="13" t="n">
        <f aca="false">Debt!AI112+Debt!AI110+Debt!AI104-Debt!AI103</f>
        <v>6.00452732108751</v>
      </c>
      <c r="AJ16" s="13" t="n">
        <f aca="false">Debt!AJ112+Debt!AJ110+Debt!AJ104-Debt!AJ103</f>
        <v>4.67146658376109</v>
      </c>
      <c r="AK16" s="13" t="n">
        <f aca="false">Debt!AK112+Debt!AK110+Debt!AK104-Debt!AK103</f>
        <v>3.22775809159181</v>
      </c>
      <c r="AL16" s="13" t="n">
        <f aca="false">Debt!AL112+Debt!AL110+Debt!AL104-Debt!AL103</f>
        <v>2.11935205908034</v>
      </c>
      <c r="AM16" s="13" t="n">
        <f aca="false">Debt!AM112+Debt!AM110+Debt!AM104-Debt!AM103</f>
        <v>1.55397310986932</v>
      </c>
      <c r="AN16" s="13" t="n">
        <f aca="false">Debt!AN112+Debt!AN110+Debt!AN104-Debt!AN103</f>
        <v>0.98674880028185</v>
      </c>
      <c r="AO16" s="13" t="n">
        <f aca="false">Debt!AO112+Debt!AO110+Debt!AO104-Debt!AO103</f>
        <v>0.48620305441918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1178.57068342842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1.80363578219008</v>
      </c>
      <c r="Z18" s="13" t="n">
        <f aca="false">(Operations!Z84-Z16-Z15)*Z17-Z12</f>
        <v>6.03921227288408</v>
      </c>
      <c r="AA18" s="13" t="n">
        <f aca="false">(Operations!AA84-AA16-AA15)*AA17-AA12</f>
        <v>7.31868454900213</v>
      </c>
      <c r="AB18" s="13" t="n">
        <f aca="false">(Operations!AB84-AB16-AB15)*AB17-AB12</f>
        <v>7.9742152954377</v>
      </c>
      <c r="AC18" s="13" t="n">
        <f aca="false">(Operations!AC84-AC16-AC15)*AC17-AC12</f>
        <v>9.35965884727965</v>
      </c>
      <c r="AD18" s="13" t="n">
        <f aca="false">(Operations!AD84-AD16-AD15)*AD17-AD12</f>
        <v>-2.34747548576366</v>
      </c>
      <c r="AE18" s="13" t="n">
        <f aca="false">(Operations!AE84-AE16-AE15)*AE17-AE12</f>
        <v>11.8601911134905</v>
      </c>
      <c r="AF18" s="13" t="n">
        <f aca="false">(Operations!AF84-AF16-AF15)*AF17-AF12</f>
        <v>12.7310349706151</v>
      </c>
      <c r="AG18" s="13" t="n">
        <f aca="false">(Operations!AG84-AG16-AG15)*AG17-AG12</f>
        <v>14.1512538296234</v>
      </c>
      <c r="AH18" s="13" t="n">
        <f aca="false">(Operations!AH84-AH16-AH15)*AH17-AH12</f>
        <v>15.423186730203</v>
      </c>
      <c r="AI18" s="13" t="n">
        <f aca="false">(Operations!AI84-AI16-AI15)*AI17-AI12</f>
        <v>17.1879348403014</v>
      </c>
      <c r="AJ18" s="13" t="n">
        <f aca="false">(Operations!AJ84-AJ16-AJ15)*AJ17-AJ12</f>
        <v>18.5883067635248</v>
      </c>
      <c r="AK18" s="13" t="n">
        <f aca="false">(Operations!AK84-AK16-AK15)*AK17-AK12</f>
        <v>20.5186993098331</v>
      </c>
      <c r="AL18" s="13" t="n">
        <f aca="false">(Operations!AL84-AL16-AL15)*AL17-AL12</f>
        <v>19.3942228038837</v>
      </c>
      <c r="AM18" s="13" t="n">
        <f aca="false">(Operations!AM84-AM16-AM15)*AM17-AM12</f>
        <v>24.3076675438434</v>
      </c>
      <c r="AN18" s="13" t="n">
        <f aca="false">(Operations!AN84-AN16-AN15)*AN17-AN12</f>
        <v>26.0143328767628</v>
      </c>
      <c r="AO18" s="13" t="n">
        <f aca="false">(Operations!AO84-AO16-AO15)*AO17-AO12</f>
        <v>27.9874462623452</v>
      </c>
      <c r="AP18" s="13" t="n">
        <f aca="false">(Operations!AP84-AP16-AP15)*AP17-AP12</f>
        <v>30.5890339885255</v>
      </c>
      <c r="AQ18" s="13" t="n">
        <f aca="false">(Operations!AQ84-AQ16-AQ15)*AQ17-AQ12</f>
        <v>32.574297862287</v>
      </c>
      <c r="AR18" s="13" t="n">
        <f aca="false">(Operations!AR84-AR16-AR15)*AR17-AR12</f>
        <v>32.6918518785022</v>
      </c>
      <c r="AS18" s="13" t="n">
        <f aca="false">(Operations!AS84-AS16-AS15)*AS17-AS12</f>
        <v>32.9336738486443</v>
      </c>
      <c r="AT18" s="13" t="n">
        <f aca="false">(Operations!AT84-AT16-AT15)*AT17-AT12</f>
        <v>18.1920897432933</v>
      </c>
      <c r="AU18" s="13" t="n">
        <f aca="false">(Operations!AU84-AU16-AU15)*AU17-AU12</f>
        <v>33.3100968715264</v>
      </c>
      <c r="AV18" s="13" t="n">
        <f aca="false">(Operations!AV84-AV16-AV15)*AV17-AV12</f>
        <v>33.1939906542586</v>
      </c>
      <c r="AW18" s="13" t="n">
        <f aca="false">(Operations!AW84-AW16-AW15)*AW17-AW12</f>
        <v>33.3432925704043</v>
      </c>
      <c r="AX18" s="13" t="n">
        <f aca="false">(Operations!AX84-AX16-AX15)*AX17-AX12</f>
        <v>33.5199466227771</v>
      </c>
      <c r="AY18" s="13" t="n">
        <f aca="false">(Operations!AY84-AY16-AY15)*AY17-AY12</f>
        <v>33.6275258414914</v>
      </c>
      <c r="AZ18" s="13" t="n">
        <f aca="false">(Operations!AZ84-AZ16-AZ15)*AZ17-AZ12</f>
        <v>33.7162341190444</v>
      </c>
      <c r="BA18" s="13" t="n">
        <f aca="false">(Operations!BA84-BA16-BA15)*BA17-BA12</f>
        <v>33.9311453929232</v>
      </c>
      <c r="BB18" s="13" t="n">
        <f aca="false">(Operations!BB84-BB16-BB15)*BB17-BB12</f>
        <v>30.6998803006229</v>
      </c>
      <c r="BC18" s="13" t="n">
        <f aca="false">(Operations!BC84-BC16-BC15)*BC17-BC12</f>
        <v>40.7028072028586</v>
      </c>
      <c r="BD18" s="13" t="n">
        <f aca="false">(Operations!BD84-BD16-BD15)*BD17-BD12</f>
        <v>53.4978073908658</v>
      </c>
      <c r="BE18" s="13" t="n">
        <f aca="false">(Operations!BE84-BE16-BE15)*BE17-BE12</f>
        <v>53.6590840663955</v>
      </c>
      <c r="BF18" s="13" t="n">
        <f aca="false">(Operations!BF84-BF16-BF15)*BF17-BF12</f>
        <v>53.8523607650678</v>
      </c>
      <c r="BG18" s="13" t="n">
        <f aca="false">(Operations!BG84-BG16-BG15)*BG17-BG12</f>
        <v>53.9672116000754</v>
      </c>
      <c r="BH18" s="13" t="n">
        <f aca="false">(Operations!BH84-BH16-BH15)*BH17-BH12</f>
        <v>54.0627422452758</v>
      </c>
      <c r="BI18" s="13" t="n">
        <f aca="false">(Operations!BI84-BI16-BI15)*BI17-BI12</f>
        <v>54.3515263040087</v>
      </c>
      <c r="BJ18" s="13" t="n">
        <f aca="false">(Operations!BJ84-BJ16-BJ15)*BJ17-BJ12</f>
        <v>36.9272469514747</v>
      </c>
      <c r="BK18" s="13" t="n">
        <f aca="false">(Operations!BK84-BK16-BK15)*BK17-BK12</f>
        <v>54.7999229575294</v>
      </c>
      <c r="BL18" s="13" t="n">
        <f aca="false">(Operations!BL84-BL16-BL15)*BL17-BL12</f>
        <v>54.6503323396777</v>
      </c>
      <c r="BM18" s="13" t="n">
        <f aca="false">(Operations!BM84-BM16-BM15)*BM17-BM12</f>
        <v>17.4643736054304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2.34747548576366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2.34747548576366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225.842192269788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1.80363578219008</v>
      </c>
      <c r="Z20" s="13" t="n">
        <f aca="false">MIN(Y21,MAX(0,Z18-Z19))</f>
        <v>6.03921227288408</v>
      </c>
      <c r="AA20" s="13" t="n">
        <f aca="false">MIN(Z21,MAX(0,AA18-AA19))</f>
        <v>7.31868454900213</v>
      </c>
      <c r="AB20" s="13" t="n">
        <f aca="false">MIN(AA21,MAX(0,AB18-AB19))</f>
        <v>7.9742152954377</v>
      </c>
      <c r="AC20" s="13" t="n">
        <f aca="false">MIN(AB21,MAX(0,AC18-AC19))</f>
        <v>9.35965884727965</v>
      </c>
      <c r="AD20" s="13" t="n">
        <f aca="false">MIN(AC21,MAX(0,AD18-AD19))</f>
        <v>0</v>
      </c>
      <c r="AE20" s="13" t="n">
        <f aca="false">MIN(AD21,MAX(0,AE18-AE19))</f>
        <v>9.51271562772688</v>
      </c>
      <c r="AF20" s="13" t="n">
        <f aca="false">MIN(AE21,MAX(0,AF18-AF19))</f>
        <v>12.7310349706151</v>
      </c>
      <c r="AG20" s="13" t="n">
        <f aca="false">MIN(AF21,MAX(0,AG18-AG19))</f>
        <v>14.1512538296234</v>
      </c>
      <c r="AH20" s="13" t="n">
        <f aca="false">MIN(AG21,MAX(0,AH18-AH19))</f>
        <v>15.423186730203</v>
      </c>
      <c r="AI20" s="13" t="n">
        <f aca="false">MIN(AH21,MAX(0,AI18-AI19))</f>
        <v>17.1879348403014</v>
      </c>
      <c r="AJ20" s="13" t="n">
        <f aca="false">MIN(AI21,MAX(0,AJ18-AJ19))</f>
        <v>18.5883067635248</v>
      </c>
      <c r="AK20" s="13" t="n">
        <f aca="false">MIN(AJ21,MAX(0,AK18-AK19))</f>
        <v>20.5186993098331</v>
      </c>
      <c r="AL20" s="13" t="n">
        <f aca="false">MIN(AK21,MAX(0,AL18-AL19))</f>
        <v>19.3942228038837</v>
      </c>
      <c r="AM20" s="13" t="n">
        <f aca="false">MIN(AL21,MAX(0,AM18-AM19))</f>
        <v>24.3076675438434</v>
      </c>
      <c r="AN20" s="13" t="n">
        <f aca="false">MIN(AM21,MAX(0,AN18-AN19))</f>
        <v>26.0143328767628</v>
      </c>
      <c r="AO20" s="13" t="n">
        <f aca="false">MIN(AN21,MAX(0,AO18-AO19))</f>
        <v>15.5174302266769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7.5280730756596</v>
      </c>
      <c r="P21" s="13" t="n">
        <f aca="false">O21+P11-P20</f>
        <v>30.1122923026384</v>
      </c>
      <c r="Q21" s="13" t="n">
        <f aca="false">P21+Q11-Q20</f>
        <v>52.6965115296172</v>
      </c>
      <c r="R21" s="13" t="n">
        <f aca="false">Q21+R11-R20</f>
        <v>75.280730756596</v>
      </c>
      <c r="S21" s="13" t="n">
        <f aca="false">R21+S11-S20</f>
        <v>97.8649499835749</v>
      </c>
      <c r="T21" s="13" t="n">
        <f aca="false">S21+T11-T20</f>
        <v>120.449169210554</v>
      </c>
      <c r="U21" s="13" t="n">
        <f aca="false">T21+U11-U20</f>
        <v>143.033388437533</v>
      </c>
      <c r="V21" s="13" t="n">
        <f aca="false">U21+V11-V20</f>
        <v>165.617607664511</v>
      </c>
      <c r="W21" s="13" t="n">
        <f aca="false">V21+W11-W20</f>
        <v>188.20182689149</v>
      </c>
      <c r="X21" s="13" t="n">
        <f aca="false">W21+X11-X20</f>
        <v>210.786046118469</v>
      </c>
      <c r="Y21" s="13" t="n">
        <f aca="false">X21+Y11-Y20</f>
        <v>224.038556487598</v>
      </c>
      <c r="Z21" s="13" t="n">
        <f aca="false">Y21+Z11-Z20</f>
        <v>217.999344214714</v>
      </c>
      <c r="AA21" s="13" t="n">
        <f aca="false">Z21+AA11-AA20</f>
        <v>210.680659665712</v>
      </c>
      <c r="AB21" s="13" t="n">
        <f aca="false">AA21+AB11-AB20</f>
        <v>202.706444370274</v>
      </c>
      <c r="AC21" s="13" t="n">
        <f aca="false">AB21+AC11-AC20</f>
        <v>193.346785522994</v>
      </c>
      <c r="AD21" s="13" t="n">
        <f aca="false">AC21+AD11-AD20</f>
        <v>193.346785522994</v>
      </c>
      <c r="AE21" s="13" t="n">
        <f aca="false">AD21+AE11-AE20</f>
        <v>183.834069895268</v>
      </c>
      <c r="AF21" s="13" t="n">
        <f aca="false">AE21+AF11-AF20</f>
        <v>171.103034924653</v>
      </c>
      <c r="AG21" s="13" t="n">
        <f aca="false">AF21+AG11-AG20</f>
        <v>156.951781095029</v>
      </c>
      <c r="AH21" s="13" t="n">
        <f aca="false">AG21+AH11-AH20</f>
        <v>141.528594364826</v>
      </c>
      <c r="AI21" s="13" t="n">
        <f aca="false">AH21+AI11-AI20</f>
        <v>124.340659524525</v>
      </c>
      <c r="AJ21" s="13" t="n">
        <f aca="false">AI21+AJ11-AJ20</f>
        <v>105.752352761</v>
      </c>
      <c r="AK21" s="13" t="n">
        <f aca="false">AJ21+AK11-AK20</f>
        <v>85.2336534511668</v>
      </c>
      <c r="AL21" s="13" t="n">
        <f aca="false">AK21+AL11-AL20</f>
        <v>65.8394306472831</v>
      </c>
      <c r="AM21" s="13" t="n">
        <f aca="false">AL21+AM11-AM20</f>
        <v>41.5317631034396</v>
      </c>
      <c r="AN21" s="13" t="n">
        <f aca="false">AM21+AN11-AN20</f>
        <v>15.5174302266769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2.34747548576366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952.728491158629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12.4700160356684</v>
      </c>
      <c r="AP23" s="13" t="n">
        <f aca="false">MAX(0,AP18-AP19-AP20)</f>
        <v>30.5890339885255</v>
      </c>
      <c r="AQ23" s="13" t="n">
        <f aca="false">MAX(0,AQ18-AQ19-AQ20)</f>
        <v>32.574297862287</v>
      </c>
      <c r="AR23" s="13" t="n">
        <f aca="false">MAX(0,AR18-AR19-AR20)</f>
        <v>32.6918518785022</v>
      </c>
      <c r="AS23" s="13" t="n">
        <f aca="false">MAX(0,AS18-AS19-AS20)</f>
        <v>32.9336738486443</v>
      </c>
      <c r="AT23" s="13" t="n">
        <f aca="false">MAX(0,AT18-AT19-AT20)</f>
        <v>18.1920897432933</v>
      </c>
      <c r="AU23" s="13" t="n">
        <f aca="false">MAX(0,AU18-AU19-AU20)</f>
        <v>33.3100968715264</v>
      </c>
      <c r="AV23" s="13" t="n">
        <f aca="false">MAX(0,AV18-AV19-AV20)</f>
        <v>33.1939906542586</v>
      </c>
      <c r="AW23" s="13" t="n">
        <f aca="false">MAX(0,AW18-AW19-AW20)</f>
        <v>33.3432925704043</v>
      </c>
      <c r="AX23" s="13" t="n">
        <f aca="false">MAX(0,AX18-AX19-AX20)</f>
        <v>33.5199466227771</v>
      </c>
      <c r="AY23" s="13" t="n">
        <f aca="false">MAX(0,AY18-AY19-AY20)</f>
        <v>33.6275258414914</v>
      </c>
      <c r="AZ23" s="13" t="n">
        <f aca="false">MAX(0,AZ18-AZ19-AZ20)</f>
        <v>33.7162341190444</v>
      </c>
      <c r="BA23" s="13" t="n">
        <f aca="false">MAX(0,BA18-BA19-BA20)</f>
        <v>33.9311453929232</v>
      </c>
      <c r="BB23" s="13" t="n">
        <f aca="false">MAX(0,BB18-BB19-BB20)</f>
        <v>30.6998803006229</v>
      </c>
      <c r="BC23" s="13" t="n">
        <f aca="false">MAX(0,BC18-BC19-BC20)</f>
        <v>40.7028072028586</v>
      </c>
      <c r="BD23" s="13" t="n">
        <f aca="false">MAX(0,BD18-BD19-BD20)</f>
        <v>53.4978073908658</v>
      </c>
      <c r="BE23" s="13" t="n">
        <f aca="false">MAX(0,BE18-BE19-BE20)</f>
        <v>53.6590840663955</v>
      </c>
      <c r="BF23" s="13" t="n">
        <f aca="false">MAX(0,BF18-BF19-BF20)</f>
        <v>53.8523607650678</v>
      </c>
      <c r="BG23" s="13" t="n">
        <f aca="false">MAX(0,BG18-BG19-BG20)</f>
        <v>53.9672116000754</v>
      </c>
      <c r="BH23" s="13" t="n">
        <f aca="false">MAX(0,BH18-BH19-BH20)</f>
        <v>54.0627422452758</v>
      </c>
      <c r="BI23" s="13" t="n">
        <f aca="false">MAX(0,BI18-BI19-BI20)</f>
        <v>54.3515263040087</v>
      </c>
      <c r="BJ23" s="13" t="n">
        <f aca="false">MAX(0,BJ18-BJ19-BJ20)</f>
        <v>36.9272469514747</v>
      </c>
      <c r="BK23" s="13" t="n">
        <f aca="false">MAX(0,BK18-BK19-BK20)</f>
        <v>54.7999229575294</v>
      </c>
      <c r="BL23" s="13" t="n">
        <f aca="false">MAX(0,BL18-BL19-BL20)</f>
        <v>54.6503323396777</v>
      </c>
      <c r="BM23" s="13" t="n">
        <f aca="false">MAX(0,BM18-BM19-BM20)</f>
        <v>17.4643736054304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285.818547347589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3.74100481070051</v>
      </c>
      <c r="AP25" s="13" t="n">
        <f aca="false">AP23*AP24</f>
        <v>9.17671019655766</v>
      </c>
      <c r="AQ25" s="13" t="n">
        <f aca="false">AQ23*AQ24</f>
        <v>9.77228935868609</v>
      </c>
      <c r="AR25" s="13" t="n">
        <f aca="false">AR23*AR24</f>
        <v>9.80755556355066</v>
      </c>
      <c r="AS25" s="13" t="n">
        <f aca="false">AS23*AS24</f>
        <v>9.88010215459327</v>
      </c>
      <c r="AT25" s="13" t="n">
        <f aca="false">AT23*AT24</f>
        <v>5.45762692298799</v>
      </c>
      <c r="AU25" s="13" t="n">
        <f aca="false">AU23*AU24</f>
        <v>9.99302906145793</v>
      </c>
      <c r="AV25" s="13" t="n">
        <f aca="false">AV23*AV24</f>
        <v>9.95819719627759</v>
      </c>
      <c r="AW25" s="13" t="n">
        <f aca="false">AW23*AW24</f>
        <v>10.0029877711213</v>
      </c>
      <c r="AX25" s="13" t="n">
        <f aca="false">AX23*AX24</f>
        <v>10.0559839868331</v>
      </c>
      <c r="AY25" s="13" t="n">
        <f aca="false">AY23*AY24</f>
        <v>10.0882577524474</v>
      </c>
      <c r="AZ25" s="13" t="n">
        <f aca="false">AZ23*AZ24</f>
        <v>10.1148702357133</v>
      </c>
      <c r="BA25" s="13" t="n">
        <f aca="false">BA23*BA24</f>
        <v>10.179343617877</v>
      </c>
      <c r="BB25" s="13" t="n">
        <f aca="false">BB23*BB24</f>
        <v>9.20996409018687</v>
      </c>
      <c r="BC25" s="13" t="n">
        <f aca="false">BC23*BC24</f>
        <v>12.2108421608576</v>
      </c>
      <c r="BD25" s="13" t="n">
        <f aca="false">BD23*BD24</f>
        <v>16.0493422172598</v>
      </c>
      <c r="BE25" s="13" t="n">
        <f aca="false">BE23*BE24</f>
        <v>16.0977252199186</v>
      </c>
      <c r="BF25" s="13" t="n">
        <f aca="false">BF23*BF24</f>
        <v>16.1557082295204</v>
      </c>
      <c r="BG25" s="13" t="n">
        <f aca="false">BG23*BG24</f>
        <v>16.1901634800226</v>
      </c>
      <c r="BH25" s="13" t="n">
        <f aca="false">BH23*BH24</f>
        <v>16.2188226735827</v>
      </c>
      <c r="BI25" s="13" t="n">
        <f aca="false">BI23*BI24</f>
        <v>16.3054578912026</v>
      </c>
      <c r="BJ25" s="13" t="n">
        <f aca="false">BJ23*BJ24</f>
        <v>11.0781740854424</v>
      </c>
      <c r="BK25" s="13" t="n">
        <f aca="false">BK23*BK24</f>
        <v>16.4399768872588</v>
      </c>
      <c r="BL25" s="13" t="n">
        <f aca="false">BL23*BL24</f>
        <v>16.3950997019033</v>
      </c>
      <c r="BM25" s="13" t="n">
        <f aca="false">BM23*BM24</f>
        <v>5.23931208162913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291.441609979526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0.380569722267902</v>
      </c>
      <c r="AO27" s="13" t="n">
        <f aca="false">MAX(AO25,AO26)</f>
        <v>3.74100481070051</v>
      </c>
      <c r="AP27" s="13" t="n">
        <f aca="false">MAX(AP25,AP26)</f>
        <v>9.17671019655766</v>
      </c>
      <c r="AQ27" s="13" t="n">
        <f aca="false">MAX(AQ25,AQ26)</f>
        <v>9.77228935868609</v>
      </c>
      <c r="AR27" s="13" t="n">
        <f aca="false">MAX(AR25,AR26)</f>
        <v>9.80755556355066</v>
      </c>
      <c r="AS27" s="13" t="n">
        <f aca="false">MAX(AS25,AS26)</f>
        <v>9.88010215459327</v>
      </c>
      <c r="AT27" s="13" t="n">
        <f aca="false">MAX(AT25,AT26)</f>
        <v>5.45762692298799</v>
      </c>
      <c r="AU27" s="13" t="n">
        <f aca="false">MAX(AU25,AU26)</f>
        <v>9.99302906145793</v>
      </c>
      <c r="AV27" s="13" t="n">
        <f aca="false">MAX(AV25,AV26)</f>
        <v>9.95819719627759</v>
      </c>
      <c r="AW27" s="13" t="n">
        <f aca="false">MAX(AW25,AW26)</f>
        <v>10.0029877711213</v>
      </c>
      <c r="AX27" s="13" t="n">
        <f aca="false">MAX(AX25,AX26)</f>
        <v>10.0559839868331</v>
      </c>
      <c r="AY27" s="13" t="n">
        <f aca="false">MAX(AY25,AY26)</f>
        <v>10.0882577524474</v>
      </c>
      <c r="AZ27" s="13" t="n">
        <f aca="false">MAX(AZ25,AZ26)</f>
        <v>10.1148702357133</v>
      </c>
      <c r="BA27" s="13" t="n">
        <f aca="false">MAX(BA25,BA26)</f>
        <v>10.179343617877</v>
      </c>
      <c r="BB27" s="13" t="n">
        <f aca="false">MAX(BB25,BB26)</f>
        <v>9.20996409018687</v>
      </c>
      <c r="BC27" s="13" t="n">
        <f aca="false">MAX(BC25,BC26)</f>
        <v>12.2108421608576</v>
      </c>
      <c r="BD27" s="13" t="n">
        <f aca="false">MAX(BD25,BD26)</f>
        <v>16.0493422172598</v>
      </c>
      <c r="BE27" s="13" t="n">
        <f aca="false">MAX(BE25,BE26)</f>
        <v>16.0977252199186</v>
      </c>
      <c r="BF27" s="13" t="n">
        <f aca="false">MAX(BF25,BF26)</f>
        <v>16.1557082295204</v>
      </c>
      <c r="BG27" s="13" t="n">
        <f aca="false">MAX(BG25,BG26)</f>
        <v>16.1901634800226</v>
      </c>
      <c r="BH27" s="13" t="n">
        <f aca="false">MAX(BH25,BH26)</f>
        <v>16.2188226735827</v>
      </c>
      <c r="BI27" s="13" t="n">
        <f aca="false">MAX(BI25,BI26)</f>
        <v>16.3054578912026</v>
      </c>
      <c r="BJ27" s="13" t="n">
        <f aca="false">MAX(BJ25,BJ26)</f>
        <v>11.0781740854424</v>
      </c>
      <c r="BK27" s="13" t="n">
        <f aca="false">MAX(BK25,BK26)</f>
        <v>16.4399768872588</v>
      </c>
      <c r="BL27" s="13" t="n">
        <f aca="false">MAX(BL25,BL26)</f>
        <v>16.3950997019033</v>
      </c>
      <c r="BM27" s="13" t="n">
        <f aca="false">MAX(BM25,BM26)</f>
        <v>5.23931208162913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4.24060690545799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1.10211388180684</v>
      </c>
      <c r="P28" s="13" t="n">
        <f aca="false">P13-P15</f>
        <v>2.12811117846068</v>
      </c>
      <c r="Q28" s="13" t="n">
        <f aca="false">Q13-Q15</f>
        <v>1.01038184519047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J79+Construction!J14*(Construction!J32+Construction!J38+Inputs!$F$107/12+Inputs!J309*(Inputs!$F$97/100/12-Construction!J17/100*Construction!J11/Inputs!$F$247)+Inputs!$F$99*Inputs!$F$100/100*Construction!J11/Inputs!$F$247+Construction!J15*$F$17)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K79+Construction!K14*(Construction!K32+Construction!K38+Inputs!$F$107/12+Inputs!K309*(Inputs!$F$97/100/12-Construction!K17/100*Construction!K11/Inputs!$F$247)+Inputs!$F$99*Inputs!$F$100/100*Construction!K11/Inputs!$F$247+Construction!K15*$F$17)</f>
        <v>1.51002625517172</v>
      </c>
      <c r="L21" s="13" t="n">
        <f aca="false">L79+Construction!L14*(Construction!L32+Construction!L38+Inputs!$F$107/12+Inputs!L309*(Inputs!$F$97/100/12-Construction!L17/100*Construction!L11/Inputs!$F$247)+Inputs!$F$99*Inputs!$F$100/100*Construction!L11/Inputs!$F$247+Construction!L15*$F$17)</f>
        <v>2.14062706031037</v>
      </c>
      <c r="M21" s="13" t="n">
        <f aca="false">M79+Construction!M14*(Construction!M32+Construction!M38+Inputs!$F$107/12+Inputs!M309*(Inputs!$F$97/100/12-Construction!M17/100*Construction!M11/Inputs!$F$247)+Inputs!$F$99*Inputs!$F$100/100*Construction!M11/Inputs!$F$247+Construction!M15*$F$17)</f>
        <v>3.44745782588311</v>
      </c>
      <c r="N21" s="13" t="n">
        <f aca="false">N79+Construction!N14*(Construction!N32+Construction!N38+Inputs!$F$107/12+Inputs!N309*(Inputs!$F$97/100/12-Construction!N17/100*Construction!N11/Inputs!$F$247)+Inputs!$F$99*Inputs!$F$100/100*Construction!N11/Inputs!$F$247+Construction!N15*$F$17)</f>
        <v>5.33410794934764</v>
      </c>
      <c r="O21" s="13" t="n">
        <f aca="false">O79+Construction!O14*(Construction!O32+Construction!O38+Inputs!$F$107/12+Inputs!O309*(Inputs!$F$97/100/12-Construction!O17/100*Construction!O11/Inputs!$F$247)+Inputs!$F$99*Inputs!$F$100/100*Construction!O11/Inputs!$F$247+Construction!O15*$F$17)</f>
        <v>7.67964360693815</v>
      </c>
      <c r="P21" s="13" t="n">
        <f aca="false">P79+Construction!P14*(Construction!P32+Construction!P38+Inputs!$F$107/12+Inputs!P309*(Inputs!$F$97/100/12-Construction!P17/100*Construction!P11/Inputs!$F$247)+Inputs!$F$99*Inputs!$F$100/100*Construction!P11/Inputs!$F$247+Construction!P15*$F$17)</f>
        <v>10.4071551792036</v>
      </c>
      <c r="Q21" s="13" t="n">
        <f aca="false">Q79+Construction!Q14*(Construction!Q32+Construction!Q38+Inputs!$F$107/12+Inputs!Q309*(Inputs!$F$97/100/12-Construction!Q17/100*Construction!Q11/Inputs!$F$247)+Inputs!$F$99*Inputs!$F$100/100*Construction!Q11/Inputs!$F$247+Construction!Q15*$F$17)</f>
        <v>13.325841006207</v>
      </c>
      <c r="R21" s="13" t="n">
        <f aca="false">R79+Construction!R14*(Construction!R32+Construction!R38+Inputs!$F$107/12+Inputs!R309*(Inputs!$F$97/100/12-Construction!R17/100*Construction!R11/Inputs!$F$247)+Inputs!$F$99*Inputs!$F$100/100*Construction!R11/Inputs!$F$247+Construction!R15*$F$17)</f>
        <v>16.364372892976</v>
      </c>
      <c r="S21" s="13" t="n">
        <f aca="false">S79+Construction!S14*(Construction!S32+Construction!S38+Inputs!$F$107/12+Inputs!S309*(Inputs!$F$97/100/12-Construction!S17/100*Construction!S11/Inputs!$F$247)+Inputs!$F$99*Inputs!$F$100/100*Construction!S11/Inputs!$F$247+Construction!S15*$F$17)</f>
        <v>19.3723699912657</v>
      </c>
      <c r="T21" s="13" t="n">
        <f aca="false">T79+Construction!T14*(Construction!T32+Construction!T38+Inputs!$F$107/12+Inputs!T309*(Inputs!$F$97/100/12-Construction!T17/100*Construction!T11/Inputs!$F$247)+Inputs!$F$99*Inputs!$F$100/100*Construction!T11/Inputs!$F$247+Construction!T15*$F$17)</f>
        <v>22.2491036708912</v>
      </c>
      <c r="U21" s="13" t="n">
        <f aca="false">U79+Construction!U14*(Construction!U32+Construction!U38+Inputs!$F$107/12+Inputs!U309*(Inputs!$F$97/100/12-Construction!U17/100*Construction!U11/Inputs!$F$247)+Inputs!$F$99*Inputs!$F$100/100*Construction!U11/Inputs!$F$247+Construction!U15*$F$17)</f>
        <v>24.8877559827669</v>
      </c>
      <c r="V21" s="13" t="n">
        <f aca="false">V79+Construction!V14*(Construction!V32+Construction!V38+Inputs!$F$107/12+Inputs!V309*(Inputs!$F$97/100/12-Construction!V17/100*Construction!V11/Inputs!$F$247)+Inputs!$F$99*Inputs!$F$100/100*Construction!V11/Inputs!$F$247+Construction!V15*$F$17)</f>
        <v>27.2421289293623</v>
      </c>
      <c r="W21" s="13" t="n">
        <f aca="false">W79+Construction!W14*(Construction!W32+Construction!W38+Inputs!$F$107/12+Inputs!W309*(Inputs!$F$97/100/12-Construction!W17/100*Construction!W11/Inputs!$F$247)+Inputs!$F$99*Inputs!$F$100/100*Construction!W11/Inputs!$F$247+Construction!W15*$F$17)</f>
        <v>29.226503031434</v>
      </c>
      <c r="X21" s="13" t="n">
        <f aca="false">X79+Construction!X14*(Construction!X32+Construction!X38+Inputs!$F$107/12+Inputs!X309*(Inputs!$F$97/100/12-Construction!X17/100*Construction!X11/Inputs!$F$247)+Inputs!$F$99*Inputs!$F$100/100*Construction!X11/Inputs!$F$247+Construction!X15*$F$17)</f>
        <v>30.7476696759807</v>
      </c>
      <c r="Y21" s="13" t="n">
        <f aca="false">Y79+Construction!Y14*(Construction!Y32+Construction!Y38+Inputs!$F$107/12+Inputs!Y309*(Inputs!$F$97/100/12-Construction!Y17/100*Construction!Y11/Inputs!$F$247)+Inputs!$F$99*Inputs!$F$100/100*Construction!Y11/Inputs!$F$247+Construction!Y15*$F$17)</f>
        <v>31.8103196422269</v>
      </c>
      <c r="Z21" s="13" t="n">
        <f aca="false">Z79+Construction!Z14*(Construction!Z32+Construction!Z38+Inputs!$F$107/12+Inputs!Z309*(Inputs!$F$97/100/12-Construction!Z17/100*Construction!Z11/Inputs!$F$247)+Inputs!$F$99*Inputs!$F$100/100*Construction!Z11/Inputs!$F$247+Construction!Z15*$F$17)</f>
        <v>32.3291122287791</v>
      </c>
      <c r="AA21" s="13" t="n">
        <f aca="false">AA79+Construction!AA14*(Construction!AA32+Construction!AA38+Inputs!$F$107/12+Inputs!AA309*(Inputs!$F$97/100/12-Construction!AA17/100*Construction!AA11/Inputs!$F$247)+Inputs!$F$99*Inputs!$F$100/100*Construction!AA11/Inputs!$F$247+Construction!AA15*$F$17)</f>
        <v>33.4586851862891</v>
      </c>
      <c r="AB21" s="13" t="n">
        <f aca="false">AB79+Construction!AB14*(Construction!AB32+Construction!AB38+Inputs!$F$107/12+Inputs!AB309*(Inputs!$F$97/100/12-Construction!AB17/100*Construction!AB11/Inputs!$F$247)+Inputs!$F$99*Inputs!$F$100/100*Construction!AB11/Inputs!$F$247+Construction!AB15*$F$17)</f>
        <v>31.8281340999287</v>
      </c>
      <c r="AC21" s="13" t="n">
        <f aca="false">AC79+Construction!AC14*(Construction!AC32+Construction!AC38+Inputs!$F$107/12+Inputs!AC309*(Inputs!$F$97/100/12-Construction!AC17/100*Construction!AC11/Inputs!$F$247)+Inputs!$F$99*Inputs!$F$100/100*Construction!AC11/Inputs!$F$247+Construction!AC15*$F$17)</f>
        <v>30.7462748283309</v>
      </c>
      <c r="AD21" s="13" t="n">
        <f aca="false">AD79+Construction!AD14*(Construction!AD32+Construction!AD38+Inputs!$F$107/12+Inputs!AD309*(Inputs!$F$97/100/12-Construction!AD17/100*Construction!AD11/Inputs!$F$247)+Inputs!$F$99*Inputs!$F$100/100*Construction!AD11/Inputs!$F$247+Construction!AD15*$F$17)</f>
        <v>29.2412827344445</v>
      </c>
      <c r="AE21" s="13" t="n">
        <f aca="false">AE79+Construction!AE14*(Construction!AE32+Construction!AE38+Inputs!$F$107/12+Inputs!AE309*(Inputs!$F$97/100/12-Construction!AE17/100*Construction!AE11/Inputs!$F$247)+Inputs!$F$99*Inputs!$F$100/100*Construction!AE11/Inputs!$F$247+Construction!AE15*$F$17)</f>
        <v>27.2499270232917</v>
      </c>
      <c r="AF21" s="13" t="n">
        <f aca="false">AF79+Construction!AF14*(Construction!AF32+Construction!AF38+Inputs!$F$107/12+Inputs!AF309*(Inputs!$F$97/100/12-Construction!AF17/100*Construction!AF11/Inputs!$F$247)+Inputs!$F$99*Inputs!$F$100/100*Construction!AF11/Inputs!$F$247+Construction!AF15*$F$17)</f>
        <v>24.9245397583223</v>
      </c>
      <c r="AG21" s="13" t="n">
        <f aca="false">AG79+Construction!AG14*(Construction!AG32+Construction!AG38+Inputs!$F$107/12+Inputs!AG309*(Inputs!$F$97/100/12-Construction!AG17/100*Construction!AG11/Inputs!$F$247)+Inputs!$F$99*Inputs!$F$100/100*Construction!AG11/Inputs!$F$247+Construction!AG15*$F$17)</f>
        <v>22.2238443449102</v>
      </c>
      <c r="AH21" s="13" t="n">
        <f aca="false">AH79+Construction!AH14*(Construction!AH32+Construction!AH38+Inputs!$F$107/12+Inputs!AH309*(Inputs!$F$97/100/12-Construction!AH17/100*Construction!AH11/Inputs!$F$247)+Inputs!$F$99*Inputs!$F$100/100*Construction!AH11/Inputs!$F$247+Construction!AH15*$F$17)</f>
        <v>19.3366237349415</v>
      </c>
      <c r="AI21" s="13" t="n">
        <f aca="false">AI79+Construction!AI14*(Construction!AI32+Construction!AI38+Inputs!$F$107/12+Inputs!AI309*(Inputs!$F$97/100/12-Construction!AI17/100*Construction!AI11/Inputs!$F$247)+Inputs!$F$99*Inputs!$F$100/100*Construction!AI11/Inputs!$F$247+Construction!AI15*$F$17)</f>
        <v>16.3518820802236</v>
      </c>
      <c r="AJ21" s="13" t="n">
        <f aca="false">AJ79+Construction!AJ14*(Construction!AJ32+Construction!AJ38+Inputs!$F$107/12+Inputs!AJ309*(Inputs!$F$97/100/12-Construction!AJ17/100*Construction!AJ11/Inputs!$F$247)+Inputs!$F$99*Inputs!$F$100/100*Construction!AJ11/Inputs!$F$247+Construction!AJ15*$F$17)</f>
        <v>13.2859039634098</v>
      </c>
      <c r="AK21" s="13" t="n">
        <f aca="false">AK79+Construction!AK14*(Construction!AK32+Construction!AK38+Inputs!$F$107/12+Inputs!AK309*(Inputs!$F$97/100/12-Construction!AK17/100*Construction!AK11/Inputs!$F$247)+Inputs!$F$99*Inputs!$F$100/100*Construction!AK11/Inputs!$F$247+Construction!AK15*$F$17)</f>
        <v>10.3800534644947</v>
      </c>
      <c r="AL21" s="13" t="n">
        <f aca="false">AL79+Construction!AL14*(Construction!AL32+Construction!AL38+Inputs!$F$107/12+Inputs!AL309*(Inputs!$F$97/100/12-Construction!AL17/100*Construction!AL11/Inputs!$F$247)+Inputs!$F$99*Inputs!$F$100/100*Construction!AL11/Inputs!$F$247+Construction!AL15*$F$17)</f>
        <v>7.6295049130782</v>
      </c>
      <c r="AM21" s="13" t="n">
        <f aca="false">AM79+Construction!AM14*(Construction!AM32+Construction!AM38+Inputs!$F$107/12+Inputs!AM309*(Inputs!$F$97/100/12-Construction!AM17/100*Construction!AM11/Inputs!$F$247)+Inputs!$F$99*Inputs!$F$100/100*Construction!AM11/Inputs!$F$247+Construction!AM15*$F$17)</f>
        <v>5.24803521023919</v>
      </c>
      <c r="AN21" s="13" t="n">
        <f aca="false">AN79+Construction!AN14*(Construction!AN32+Construction!AN38+Inputs!$F$107/12+Inputs!AN309*(Inputs!$F$97/100/12-Construction!AN17/100*Construction!AN11/Inputs!$F$247)+Inputs!$F$99*Inputs!$F$100/100*Construction!AN11/Inputs!$F$247+Construction!AN15*$F$17)</f>
        <v>3.45750254279185</v>
      </c>
      <c r="AO21" s="13" t="n">
        <f aca="false">AO79+Construction!AO14*(Construction!AO32+Construction!AO38+Inputs!$F$107/12+Inputs!AO309*(Inputs!$F$97/100/12-Construction!AO17/100*Construction!AO11/Inputs!$F$247)+Inputs!$F$99*Inputs!$F$100/100*Construction!AO11/Inputs!$F$247+Construction!AO15*$F$17)</f>
        <v>2.04064566872095</v>
      </c>
      <c r="AP21" s="13" t="n">
        <f aca="false">AP79+Construction!AP14*(Construction!AP32+Construction!AP38+Inputs!$F$107/12+Inputs!AP309*(Inputs!$F$97/100/12-Construction!AP17/100*Construction!AP11/Inputs!$F$247)+Inputs!$F$99*Inputs!$F$100/100*Construction!AP11/Inputs!$F$247+Construction!AP15*$F$17)</f>
        <v>49.6741456937634</v>
      </c>
      <c r="AQ21" s="13" t="n">
        <f aca="false">AQ79+Construction!AQ14*(Construction!AQ32+Construction!AQ38+Inputs!$F$107/12+Inputs!AQ309*(Inputs!$F$97/100/12-Construction!AQ17/100*Construction!AQ11/Inputs!$F$247)+Inputs!$F$99*Inputs!$F$100/100*Construction!AQ11/Inputs!$F$247+Construction!AQ15*$F$17)</f>
        <v>-0.554061941775933</v>
      </c>
      <c r="AR21" s="13" t="n">
        <f aca="false">AR79+Construction!AR14*(Construction!AR32+Construction!AR38+Inputs!$F$107/12+Inputs!AR309*(Inputs!$F$97/100/12-Construction!AR17/100*Construction!AR11/Inputs!$F$247)+Inputs!$F$99*Inputs!$F$100/100*Construction!AR11/Inputs!$F$247+Construction!AR15*$F$17)</f>
        <v>0.0104723626025187</v>
      </c>
      <c r="AS21" s="13" t="n">
        <f aca="false">AS79+Construction!AS14*(Construction!AS32+Construction!AS38+Inputs!$F$107/12+Inputs!AS309*(Inputs!$F$97/100/12-Construction!AS17/100*Construction!AS11/Inputs!$F$247)+Inputs!$F$99*Inputs!$F$100/100*Construction!AS11/Inputs!$F$247+Construction!AS15*$F$17)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AT79+Construction!AT14*(Construction!AT32+Construction!AT38+Inputs!$F$107/12+Inputs!AT309*(Inputs!$F$97/100/12-Construction!AT17/100*Construction!AT11/Inputs!$F$247)+Inputs!$F$99*Inputs!$F$100/100*Construction!AT11/Inputs!$F$247+Construction!AT15*$F$17)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AU79+Construction!AU14*(Construction!AU32+Construction!AU38+Inputs!$F$107/12+Inputs!AU309*(Inputs!$F$97/100/12-Construction!AU17/100*Construction!AU11/Inputs!$F$247)+Inputs!$F$99*Inputs!$F$100/100*Construction!AU11/Inputs!$F$247+Construction!AU15*$F$17)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AV79+Construction!AV14*(Construction!AV32+Construction!AV38+Inputs!$F$107/12+Inputs!AV309*(Inputs!$F$97/100/12-Construction!AV17/100*Construction!AV11/Inputs!$F$247)+Inputs!$F$99*Inputs!$F$100/100*Construction!AV11/Inputs!$F$247+Construction!AV15*$F$17)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AW79+Construction!AW14*(Construction!AW32+Construction!AW38+Inputs!$F$107/12+Inputs!AW309*(Inputs!$F$97/100/12-Construction!AW17/100*Construction!AW11/Inputs!$F$247)+Inputs!$F$99*Inputs!$F$100/100*Construction!AW11/Inputs!$F$247+Construction!AW15*$F$17)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AX79+Construction!AX14*(Construction!AX32+Construction!AX38+Inputs!$F$107/12+Inputs!AX309*(Inputs!$F$97/100/12-Construction!AX17/100*Construction!AX11/Inputs!$F$247)+Inputs!$F$99*Inputs!$F$100/100*Construction!AX11/Inputs!$F$247+Construction!AX15*$F$17)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AY79+Construction!AY14*(Construction!AY32+Construction!AY38+Inputs!$F$107/12+Inputs!AY309*(Inputs!$F$97/100/12-Construction!AY17/100*Construction!AY11/Inputs!$F$247)+Inputs!$F$99*Inputs!$F$100/100*Construction!AY11/Inputs!$F$247+Construction!AY15*$F$17)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AZ79+Construction!AZ14*(Construction!AZ32+Construction!AZ38+Inputs!$F$107/12+Inputs!AZ309*(Inputs!$F$97/100/12-Construction!AZ17/100*Construction!AZ11/Inputs!$F$247)+Inputs!$F$99*Inputs!$F$100/100*Construction!AZ11/Inputs!$F$247+Construction!AZ15*$F$17)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BA79+Construction!BA14*(Construction!BA32+Construction!BA38+Inputs!$F$107/12+Inputs!BA309*(Inputs!$F$97/100/12-Construction!BA17/100*Construction!BA11/Inputs!$F$247)+Inputs!$F$99*Inputs!$F$100/100*Construction!BA11/Inputs!$F$247+Construction!BA15*$F$17)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BB79+Construction!BB14*(Construction!BB32+Construction!BB38+Inputs!$F$107/12+Inputs!BB309*(Inputs!$F$97/100/12-Construction!BB17/100*Construction!BB11/Inputs!$F$247)+Inputs!$F$99*Inputs!$F$100/100*Construction!BB11/Inputs!$F$247+Construction!BB15*$F$17)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BC79+Construction!BC14*(Construction!BC32+Construction!BC38+Inputs!$F$107/12+Inputs!BC309*(Inputs!$F$97/100/12-Construction!BC17/100*Construction!BC11/Inputs!$F$247)+Inputs!$F$99*Inputs!$F$100/100*Construction!BC11/Inputs!$F$247+Construction!BC15*$F$17)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BD79+Construction!BD14*(Construction!BD32+Construction!BD38+Inputs!$F$107/12+Inputs!BD309*(Inputs!$F$97/100/12-Construction!BD17/100*Construction!BD11/Inputs!$F$247)+Inputs!$F$99*Inputs!$F$100/100*Construction!BD11/Inputs!$F$247+Construction!BD15*$F$17)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BE79+Construction!BE14*(Construction!BE32+Construction!BE38+Inputs!$F$107/12+Inputs!BE309*(Inputs!$F$97/100/12-Construction!BE17/100*Construction!BE11/Inputs!$F$247)+Inputs!$F$99*Inputs!$F$100/100*Construction!BE11/Inputs!$F$247+Construction!BE15*$F$17)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BF79+Construction!BF14*(Construction!BF32+Construction!BF38+Inputs!$F$107/12+Inputs!BF309*(Inputs!$F$97/100/12-Construction!BF17/100*Construction!BF11/Inputs!$F$247)+Inputs!$F$99*Inputs!$F$100/100*Construction!BF11/Inputs!$F$247+Construction!BF15*$F$17)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BG79+Construction!BG14*(Construction!BG32+Construction!BG38+Inputs!$F$107/12+Inputs!BG309*(Inputs!$F$97/100/12-Construction!BG17/100*Construction!BG11/Inputs!$F$247)+Inputs!$F$99*Inputs!$F$100/100*Construction!BG11/Inputs!$F$247+Construction!BG15*$F$17)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BH79+Construction!BH14*(Construction!BH32+Construction!BH38+Inputs!$F$107/12+Inputs!BH309*(Inputs!$F$97/100/12-Construction!BH17/100*Construction!BH11/Inputs!$F$247)+Inputs!$F$99*Inputs!$F$100/100*Construction!BH11/Inputs!$F$247+Construction!BH15*$F$17)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BI79+Construction!BI14*(Construction!BI32+Construction!BI38+Inputs!$F$107/12+Inputs!BI309*(Inputs!$F$97/100/12-Construction!BI17/100*Construction!BI11/Inputs!$F$247)+Inputs!$F$99*Inputs!$F$100/100*Construction!BI11/Inputs!$F$247+Construction!BI15*$F$17)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BJ79+Construction!BJ14*(Construction!BJ32+Construction!BJ38+Inputs!$F$107/12+Inputs!BJ309*(Inputs!$F$97/100/12-Construction!BJ17/100*Construction!BJ11/Inputs!$F$247)+Inputs!$F$99*Inputs!$F$100/100*Construction!BJ11/Inputs!$F$247+Construction!BJ15*$F$17)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84.5896854095922</v>
      </c>
      <c r="L22" s="13" t="n">
        <f aca="false">K22+Construction!L14*$F$9/$F$10*(L21+(L19-L20)*K22)</f>
        <v>86.531291347942</v>
      </c>
      <c r="M22" s="13" t="n">
        <f aca="false">L22+Construction!M14*$F$9/$F$10*(M21+(M19-M20)*L22)</f>
        <v>89.4745733449277</v>
      </c>
      <c r="N22" s="13" t="n">
        <f aca="false">M22+Construction!N14*$F$9/$F$10*(N21+(N19-N20)*M22)</f>
        <v>93.8883149078812</v>
      </c>
      <c r="O22" s="13" t="n">
        <f aca="false">N22+Construction!O14*$F$9/$F$10*(O21+(O19-O20)*N22)</f>
        <v>100.138160889131</v>
      </c>
      <c r="P22" s="13" t="n">
        <f aca="false">O22+Construction!P14*$F$9/$F$10*(P21+(P19-P20)*O22)</f>
        <v>108.472149096942</v>
      </c>
      <c r="Q22" s="13" t="n">
        <f aca="false">P22+Construction!Q14*$F$9/$F$10*(Q21+(Q19-Q20)*P22)</f>
        <v>119.11635083998</v>
      </c>
      <c r="R22" s="13" t="n">
        <f aca="false">Q22+Construction!R14*$F$9/$F$10*(R21+(R19-R20)*Q22)</f>
        <v>132.121542162023</v>
      </c>
      <c r="S22" s="13" t="n">
        <f aca="false">R22+Construction!S14*$F$9/$F$10*(S21+(S19-S20)*R22)</f>
        <v>147.501268838778</v>
      </c>
      <c r="T22" s="13" t="n">
        <f aca="false">S22+Construction!T14*$F$9/$F$10*(T21+(T19-T20)*S22)</f>
        <v>165.131676430101</v>
      </c>
      <c r="U22" s="13" t="n">
        <f aca="false">T22+Construction!U14*$F$9/$F$10*(U21+(U19-U20)*T22)</f>
        <v>184.890187331836</v>
      </c>
      <c r="V22" s="13" t="n">
        <f aca="false">U22+Construction!V14*$F$9/$F$10*(V21+(V19-V20)*U22)</f>
        <v>206.533520120704</v>
      </c>
      <c r="W22" s="13" t="n">
        <f aca="false">V22+Construction!W14*$F$9/$F$10*(W21+(W19-W20)*V22)</f>
        <v>229.759131640423</v>
      </c>
      <c r="X22" s="13" t="n">
        <f aca="false">W22+Construction!X14*$F$9/$F$10*(X21+(X19-X20)*W22)</f>
        <v>254.267399249958</v>
      </c>
      <c r="Y22" s="13" t="n">
        <f aca="false">X22+Construction!Y14*$F$9/$F$10*(Y21+(Y19-Y20)*X22)</f>
        <v>279.65437434536</v>
      </c>
      <c r="Z22" s="13" t="n">
        <f aca="false">Y22+Construction!Z14*$F$9/$F$10*(Z21+(Z19-Z20)*Y22)</f>
        <v>305.567435001255</v>
      </c>
      <c r="AA22" s="13" t="n">
        <f aca="false">Z22+Construction!AA14*$F$9/$F$10*(AA21+(AA19-AA20)*Z22)</f>
        <v>332.463913963228</v>
      </c>
      <c r="AB22" s="13" t="n">
        <f aca="false">AA22+Construction!AB14*$F$9/$F$10*(AB21+(AB19-AB20)*AA22)</f>
        <v>358.127815889949</v>
      </c>
      <c r="AC22" s="13" t="n">
        <f aca="false">AB22+Construction!AC14*$F$9/$F$10*(AC21+(AC19-AC20)*AB22)</f>
        <v>383.14111132012</v>
      </c>
      <c r="AD22" s="13" t="n">
        <f aca="false">AC22+Construction!AD14*$F$9/$F$10*(AD21+(AD19-AD20)*AC22)</f>
        <v>407.046056259641</v>
      </c>
      <c r="AE22" s="13" t="n">
        <f aca="false">AD22+Construction!AE14*$F$9/$F$10*(AE21+(AE19-AE20)*AD22)</f>
        <v>429.559502982512</v>
      </c>
      <c r="AF22" s="13" t="n">
        <f aca="false">AE22+Construction!AF14*$F$9/$F$10*(AF21+(AF19-AF20)*AE22)</f>
        <v>450.318541698837</v>
      </c>
      <c r="AG22" s="13" t="n">
        <f aca="false">AF22+Construction!AG14*$F$9/$F$10*(AG21+(AG19-AG20)*AF22)</f>
        <v>469.14685607825</v>
      </c>
      <c r="AH22" s="13" t="n">
        <f aca="false">AG22+Construction!AH14*$F$9/$F$10*(AH21+(AH19-AH20)*AG22)</f>
        <v>485.828460124566</v>
      </c>
      <c r="AI22" s="13" t="n">
        <f aca="false">AH22+Construction!AI14*$F$9/$F$10*(AI21+(AI19-AI20)*AH22)</f>
        <v>500.219400659652</v>
      </c>
      <c r="AJ22" s="13" t="n">
        <f aca="false">AI22+Construction!AJ14*$F$9/$F$10*(AJ21+(AJ19-AJ20)*AI22)</f>
        <v>512.369700711054</v>
      </c>
      <c r="AK22" s="13" t="n">
        <f aca="false">AJ22+Construction!AK14*$F$9/$F$10*(AK21+(AK19-AK20)*AJ22)</f>
        <v>522.269129373934</v>
      </c>
      <c r="AL22" s="13" t="n">
        <f aca="false">AK22+Construction!AL14*$F$9/$F$10*(AL21+(AL19-AL20)*AK22)</f>
        <v>530.15633584987</v>
      </c>
      <c r="AM22" s="13" t="n">
        <f aca="false">AL22+Construction!AM14*$F$9/$F$10*(AM21+(AM19-AM20)*AL22)</f>
        <v>536.254253290161</v>
      </c>
      <c r="AN22" s="13" t="n">
        <f aca="false">AM22+Construction!AN14*$F$9/$F$10*(AN21+(AN19-AN20)*AM22)</f>
        <v>540.797420284993</v>
      </c>
      <c r="AO22" s="13" t="n">
        <f aca="false">AN22+Construction!AO14*$F$9/$F$10*(AO21+(AO19-AO20)*AN22)</f>
        <v>544.471016465894</v>
      </c>
      <c r="AP22" s="13" t="n">
        <f aca="false">AO22+Construction!AP14*$F$9/$F$10*(AP21+(AP19-AP20)*AO22)</f>
        <v>584.709640559661</v>
      </c>
      <c r="AQ22" s="13" t="n">
        <f aca="false">AP22+Construction!AQ14*$F$9/$F$10*(AQ21+(AQ19-AQ20)*AP22)</f>
        <v>586.559418596172</v>
      </c>
      <c r="AR22" s="13" t="n">
        <f aca="false">AQ22+Construction!AR14*$F$9/$F$10*(AR21+(AR19-AR20)*AQ22)</f>
        <v>588.776749064848</v>
      </c>
      <c r="AS22" s="13" t="n">
        <f aca="false">AR22+Construction!AS14*$F$9/$F$10*(AS21+(AS19-AS20)*AR22)</f>
        <v>588.776749064848</v>
      </c>
      <c r="AT22" s="13" t="n">
        <f aca="false">AS22+Construction!AT14*$F$9/$F$10*(AT21+(AT19-AT20)*AS22)</f>
        <v>588.776749064848</v>
      </c>
      <c r="AU22" s="13" t="n">
        <f aca="false">AT22+Construction!AU14*$F$9/$F$10*(AU21+(AU19-AU20)*AT22)</f>
        <v>588.776749064848</v>
      </c>
      <c r="AV22" s="13" t="n">
        <f aca="false">AU22+Construction!AV14*$F$9/$F$10*(AV21+(AV19-AV20)*AU22)</f>
        <v>588.776749064848</v>
      </c>
      <c r="AW22" s="13" t="n">
        <f aca="false">AV22+Construction!AW14*$F$9/$F$10*(AW21+(AW19-AW20)*AV22)</f>
        <v>588.776749064848</v>
      </c>
      <c r="AX22" s="13" t="n">
        <f aca="false">AW22+Construction!AX14*$F$9/$F$10*(AX21+(AX19-AX20)*AW22)</f>
        <v>588.776749064848</v>
      </c>
      <c r="AY22" s="13" t="n">
        <f aca="false">AX22+Construction!AY14*$F$9/$F$10*(AY21+(AY19-AY20)*AX22)</f>
        <v>588.776749064848</v>
      </c>
      <c r="AZ22" s="13" t="n">
        <f aca="false">AY22+Construction!AZ14*$F$9/$F$10*(AZ21+(AZ19-AZ20)*AY22)</f>
        <v>588.776749064848</v>
      </c>
      <c r="BA22" s="13" t="n">
        <f aca="false">AZ22+Construction!BA14*$F$9/$F$10*(BA21+(BA19-BA20)*AZ22)</f>
        <v>588.776749064848</v>
      </c>
      <c r="BB22" s="13" t="n">
        <f aca="false">BA22+Construction!BB14*$F$9/$F$10*(BB21+(BB19-BB20)*BA22)</f>
        <v>588.776749064848</v>
      </c>
      <c r="BC22" s="13" t="n">
        <f aca="false">BB22+Construction!BC14*$F$9/$F$10*(BC21+(BC19-BC20)*BB22)</f>
        <v>588.776749064848</v>
      </c>
      <c r="BD22" s="13" t="n">
        <f aca="false">BC22+Construction!BD14*$F$9/$F$10*(BD21+(BD19-BD20)*BC22)</f>
        <v>588.776749064848</v>
      </c>
      <c r="BE22" s="13" t="n">
        <f aca="false">BD22+Construction!BE14*$F$9/$F$10*(BE21+(BE19-BE20)*BD22)</f>
        <v>588.776749064848</v>
      </c>
      <c r="BF22" s="13" t="n">
        <f aca="false">BE22+Construction!BF14*$F$9/$F$10*(BF21+(BF19-BF20)*BE22)</f>
        <v>588.776749064848</v>
      </c>
      <c r="BG22" s="13" t="n">
        <f aca="false">BF22+Construction!BG14*$F$9/$F$10*(BG21+(BG19-BG20)*BF22)</f>
        <v>588.776749064848</v>
      </c>
      <c r="BH22" s="13" t="n">
        <f aca="false">BG22+Construction!BH14*$F$9/$F$10*(BH21+(BH19-BH20)*BG22)</f>
        <v>588.776749064848</v>
      </c>
      <c r="BI22" s="13" t="n">
        <f aca="false">BH22+Construction!BI14*$F$9/$F$10*(BI21+(BI19-BI20)*BH22)</f>
        <v>588.776749064848</v>
      </c>
      <c r="BJ22" s="13" t="n">
        <f aca="false">BI22+Construction!BJ14*$F$9/$F$10*(BJ21+(BJ19-BJ20)*BI22)</f>
        <v>588.776749064848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857.441822157784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27.4262292883657</v>
      </c>
      <c r="M28" s="13" t="n">
        <f aca="false">L61</f>
        <v>28.1294678983684</v>
      </c>
      <c r="N28" s="13" t="n">
        <f aca="false">M61</f>
        <v>29.1241191608456</v>
      </c>
      <c r="O28" s="13" t="n">
        <f aca="false">N61</f>
        <v>30.5567980886864</v>
      </c>
      <c r="P28" s="13" t="n">
        <f aca="false">O61</f>
        <v>32.5314641226389</v>
      </c>
      <c r="Q28" s="13" t="n">
        <f aca="false">P61</f>
        <v>35.1079098400082</v>
      </c>
      <c r="R28" s="13" t="n">
        <f aca="false">Q61</f>
        <v>38.378412674755</v>
      </c>
      <c r="S28" s="13" t="n">
        <f aca="false">R61</f>
        <v>42.3407709468494</v>
      </c>
      <c r="T28" s="13" t="n">
        <f aca="false">S61</f>
        <v>47.0075300697603</v>
      </c>
      <c r="U28" s="13" t="n">
        <f aca="false">T61</f>
        <v>52.3335304542721</v>
      </c>
      <c r="V28" s="13" t="n">
        <f aca="false">U61</f>
        <v>58.2915086492807</v>
      </c>
      <c r="W28" s="13" t="n">
        <f aca="false">V61</f>
        <v>64.8051356326372</v>
      </c>
      <c r="X28" s="13" t="n">
        <f aca="false">W61</f>
        <v>71.780863771057</v>
      </c>
      <c r="Y28" s="13" t="n">
        <f aca="false">X61</f>
        <v>79.1390131357357</v>
      </c>
      <c r="Z28" s="13" t="n">
        <f aca="false">Y61</f>
        <v>86.7518345721194</v>
      </c>
      <c r="AA28" s="13" t="n">
        <f aca="false">Z61</f>
        <v>94.5240439044738</v>
      </c>
      <c r="AB28" s="13" t="n">
        <f aca="false">AA61</f>
        <v>102.586255982479</v>
      </c>
      <c r="AC28" s="13" t="n">
        <f aca="false">AB61</f>
        <v>110.27646220834</v>
      </c>
      <c r="AD28" s="13" t="n">
        <f aca="false">AC61</f>
        <v>117.783562361957</v>
      </c>
      <c r="AE28" s="13" t="n">
        <f aca="false">AD61</f>
        <v>124.959653598004</v>
      </c>
      <c r="AF28" s="13" t="n">
        <f aca="false">AE61</f>
        <v>131.729973331462</v>
      </c>
      <c r="AG28" s="13" t="n">
        <f aca="false">AF61</f>
        <v>137.978911284829</v>
      </c>
      <c r="AH28" s="13" t="n">
        <f aca="false">AG61</f>
        <v>143.66328881369</v>
      </c>
      <c r="AI28" s="13" t="n">
        <f aca="false">AH61</f>
        <v>148.71507784579</v>
      </c>
      <c r="AJ28" s="13" t="n">
        <f aca="false">AI61</f>
        <v>153.087531376783</v>
      </c>
      <c r="AK28" s="13" t="n">
        <f aca="false">AJ61</f>
        <v>156.804146102918</v>
      </c>
      <c r="AL28" s="13" t="n">
        <f aca="false">AK61</f>
        <v>159.853230288654</v>
      </c>
      <c r="AM28" s="13" t="n">
        <f aca="false">AL61</f>
        <v>162.313907207868</v>
      </c>
      <c r="AN28" s="13" t="n">
        <f aca="false">AM61</f>
        <v>164.24763202117</v>
      </c>
      <c r="AO28" s="13" t="n">
        <f aca="false">AN61</f>
        <v>165.710266099846</v>
      </c>
      <c r="AP28" s="13" t="n">
        <f aca="false">AO61</f>
        <v>166.930222618908</v>
      </c>
      <c r="AQ28" s="13" t="n">
        <f aca="false">AP61</f>
        <v>178.923426929643</v>
      </c>
      <c r="AR28" s="13" t="n">
        <f aca="false">AQ61</f>
        <v>188.166297974259</v>
      </c>
      <c r="AS28" s="13" t="n">
        <f aca="false">AR61</f>
        <v>188.98490243353</v>
      </c>
      <c r="AT28" s="13" t="n">
        <f aca="false">AS61</f>
        <v>188.98490243353</v>
      </c>
      <c r="AU28" s="13" t="n">
        <f aca="false">AT61</f>
        <v>188.98490243353</v>
      </c>
      <c r="AV28" s="13" t="n">
        <f aca="false">AU61</f>
        <v>188.98490243353</v>
      </c>
      <c r="AW28" s="13" t="n">
        <f aca="false">AV61</f>
        <v>188.98490243353</v>
      </c>
      <c r="AX28" s="13" t="n">
        <f aca="false">AW61</f>
        <v>188.98490243353</v>
      </c>
      <c r="AY28" s="13" t="n">
        <f aca="false">AX61</f>
        <v>188.98490243353</v>
      </c>
      <c r="AZ28" s="13" t="n">
        <f aca="false">AY61</f>
        <v>188.98490243353</v>
      </c>
      <c r="BA28" s="13" t="n">
        <f aca="false">AZ61</f>
        <v>188.98490243353</v>
      </c>
      <c r="BB28" s="13" t="n">
        <f aca="false">BA61</f>
        <v>188.98490243353</v>
      </c>
      <c r="BC28" s="13" t="n">
        <f aca="false">BB61</f>
        <v>188.98490243353</v>
      </c>
      <c r="BD28" s="13" t="n">
        <f aca="false">BC61</f>
        <v>188.98490243353</v>
      </c>
      <c r="BE28" s="13" t="n">
        <f aca="false">BD61</f>
        <v>188.98490243353</v>
      </c>
      <c r="BF28" s="13" t="n">
        <f aca="false">BE61</f>
        <v>188.98490243353</v>
      </c>
      <c r="BG28" s="13" t="n">
        <f aca="false">BF61</f>
        <v>188.98490243353</v>
      </c>
      <c r="BH28" s="13" t="n">
        <f aca="false">BG61</f>
        <v>188.98490243353</v>
      </c>
      <c r="BI28" s="13" t="n">
        <f aca="false">BH61</f>
        <v>188.98490243353</v>
      </c>
      <c r="BJ28" s="13" t="n">
        <f aca="false">BI61</f>
        <v>188.98490243353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20.1125681448015</v>
      </c>
      <c r="M29" s="13" t="n">
        <f aca="false">L62</f>
        <v>20.6282764588035</v>
      </c>
      <c r="N29" s="13" t="n">
        <f aca="false">M62</f>
        <v>21.3576873846201</v>
      </c>
      <c r="O29" s="13" t="n">
        <f aca="false">N62</f>
        <v>22.40831859837</v>
      </c>
      <c r="P29" s="13" t="n">
        <f aca="false">O62</f>
        <v>23.8564070232685</v>
      </c>
      <c r="Q29" s="13" t="n">
        <f aca="false">P62</f>
        <v>25.7458005493393</v>
      </c>
      <c r="R29" s="13" t="n">
        <f aca="false">Q62</f>
        <v>28.1441692948204</v>
      </c>
      <c r="S29" s="13" t="n">
        <f aca="false">R62</f>
        <v>31.0498986943562</v>
      </c>
      <c r="T29" s="13" t="n">
        <f aca="false">S62</f>
        <v>34.4721887178242</v>
      </c>
      <c r="U29" s="13" t="n">
        <f aca="false">T62</f>
        <v>38.3779223331329</v>
      </c>
      <c r="V29" s="13" t="n">
        <f aca="false">U62</f>
        <v>42.7471063428058</v>
      </c>
      <c r="W29" s="13" t="n">
        <f aca="false">V62</f>
        <v>47.5237661306006</v>
      </c>
      <c r="X29" s="13" t="n">
        <f aca="false">W62</f>
        <v>52.6393000987751</v>
      </c>
      <c r="Y29" s="13" t="n">
        <f aca="false">X62</f>
        <v>58.0352762995395</v>
      </c>
      <c r="Z29" s="13" t="n">
        <f aca="false">Y62</f>
        <v>63.6180120195542</v>
      </c>
      <c r="AA29" s="13" t="n">
        <f aca="false">Z62</f>
        <v>69.3176321966141</v>
      </c>
      <c r="AB29" s="13" t="n">
        <f aca="false">AA62</f>
        <v>75.2299210538178</v>
      </c>
      <c r="AC29" s="13" t="n">
        <f aca="false">AB62</f>
        <v>80.8694056194494</v>
      </c>
      <c r="AD29" s="13" t="n">
        <f aca="false">AC62</f>
        <v>86.3746123987684</v>
      </c>
      <c r="AE29" s="13" t="n">
        <f aca="false">AD62</f>
        <v>91.6370793052029</v>
      </c>
      <c r="AF29" s="13" t="n">
        <f aca="false">AE62</f>
        <v>96.601980443072</v>
      </c>
      <c r="AG29" s="13" t="n">
        <f aca="false">AF62</f>
        <v>101.184534942208</v>
      </c>
      <c r="AH29" s="13" t="n">
        <f aca="false">AG62</f>
        <v>105.353078463373</v>
      </c>
      <c r="AI29" s="13" t="n">
        <f aca="false">AH62</f>
        <v>109.057723753579</v>
      </c>
      <c r="AJ29" s="13" t="n">
        <f aca="false">AI62</f>
        <v>112.264189676307</v>
      </c>
      <c r="AK29" s="13" t="n">
        <f aca="false">AJ62</f>
        <v>114.98970714214</v>
      </c>
      <c r="AL29" s="13" t="n">
        <f aca="false">AK62</f>
        <v>117.225702211679</v>
      </c>
      <c r="AM29" s="13" t="n">
        <f aca="false">AL62</f>
        <v>119.030198619104</v>
      </c>
      <c r="AN29" s="13" t="n">
        <f aca="false">AM62</f>
        <v>120.448263482191</v>
      </c>
      <c r="AO29" s="13" t="n">
        <f aca="false">AN62</f>
        <v>121.520861806554</v>
      </c>
      <c r="AP29" s="13" t="n">
        <f aca="false">AO62</f>
        <v>122.415496587199</v>
      </c>
      <c r="AQ29" s="13" t="n">
        <f aca="false">AP62</f>
        <v>131.210513081738</v>
      </c>
      <c r="AR29" s="13" t="n">
        <f aca="false">AQ62</f>
        <v>137.988618514457</v>
      </c>
      <c r="AS29" s="13" t="n">
        <f aca="false">AR62</f>
        <v>138.588928451255</v>
      </c>
      <c r="AT29" s="13" t="n">
        <f aca="false">AS62</f>
        <v>138.588928451255</v>
      </c>
      <c r="AU29" s="13" t="n">
        <f aca="false">AT62</f>
        <v>138.588928451255</v>
      </c>
      <c r="AV29" s="13" t="n">
        <f aca="false">AU62</f>
        <v>138.588928451255</v>
      </c>
      <c r="AW29" s="13" t="n">
        <f aca="false">AV62</f>
        <v>138.588928451255</v>
      </c>
      <c r="AX29" s="13" t="n">
        <f aca="false">AW62</f>
        <v>138.588928451255</v>
      </c>
      <c r="AY29" s="13" t="n">
        <f aca="false">AX62</f>
        <v>138.588928451255</v>
      </c>
      <c r="AZ29" s="13" t="n">
        <f aca="false">AY62</f>
        <v>138.588928451255</v>
      </c>
      <c r="BA29" s="13" t="n">
        <f aca="false">AZ62</f>
        <v>138.588928451255</v>
      </c>
      <c r="BB29" s="13" t="n">
        <f aca="false">BA62</f>
        <v>138.588928451255</v>
      </c>
      <c r="BC29" s="13" t="n">
        <f aca="false">BB62</f>
        <v>138.588928451255</v>
      </c>
      <c r="BD29" s="13" t="n">
        <f aca="false">BC62</f>
        <v>138.588928451255</v>
      </c>
      <c r="BE29" s="13" t="n">
        <f aca="false">BD62</f>
        <v>138.588928451255</v>
      </c>
      <c r="BF29" s="13" t="n">
        <f aca="false">BE62</f>
        <v>138.588928451255</v>
      </c>
      <c r="BG29" s="13" t="n">
        <f aca="false">BF62</f>
        <v>138.588928451255</v>
      </c>
      <c r="BH29" s="13" t="n">
        <f aca="false">BG62</f>
        <v>138.588928451255</v>
      </c>
      <c r="BI29" s="13" t="n">
        <f aca="false">BH62</f>
        <v>138.588928451255</v>
      </c>
      <c r="BJ29" s="13" t="n">
        <f aca="false">BI62</f>
        <v>138.588928451255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9.14207642945523</v>
      </c>
      <c r="M30" s="13" t="n">
        <f aca="false">L63</f>
        <v>9.37648929945613</v>
      </c>
      <c r="N30" s="13" t="n">
        <f aca="false">M63</f>
        <v>9.70803972028188</v>
      </c>
      <c r="O30" s="13" t="n">
        <f aca="false">N63</f>
        <v>10.1855993628955</v>
      </c>
      <c r="P30" s="13" t="n">
        <f aca="false">O63</f>
        <v>10.843821374213</v>
      </c>
      <c r="Q30" s="13" t="n">
        <f aca="false">P63</f>
        <v>11.7026366133361</v>
      </c>
      <c r="R30" s="13" t="n">
        <f aca="false">Q63</f>
        <v>12.7928042249184</v>
      </c>
      <c r="S30" s="13" t="n">
        <f aca="false">R63</f>
        <v>14.1135903156165</v>
      </c>
      <c r="T30" s="13" t="n">
        <f aca="false">S63</f>
        <v>15.6691766899201</v>
      </c>
      <c r="U30" s="13" t="n">
        <f aca="false">T63</f>
        <v>17.444510151424</v>
      </c>
      <c r="V30" s="13" t="n">
        <f aca="false">U63</f>
        <v>19.4305028830936</v>
      </c>
      <c r="W30" s="13" t="n">
        <f aca="false">V63</f>
        <v>21.6017118775457</v>
      </c>
      <c r="X30" s="13" t="n">
        <f aca="false">W63</f>
        <v>23.9269545903523</v>
      </c>
      <c r="Y30" s="13" t="n">
        <f aca="false">X63</f>
        <v>26.3796710452452</v>
      </c>
      <c r="Z30" s="13" t="n">
        <f aca="false">Y63</f>
        <v>28.9172781907065</v>
      </c>
      <c r="AA30" s="13" t="n">
        <f aca="false">Z63</f>
        <v>31.5080146348246</v>
      </c>
      <c r="AB30" s="13" t="n">
        <f aca="false">AA63</f>
        <v>34.1954186608262</v>
      </c>
      <c r="AC30" s="13" t="n">
        <f aca="false">AB63</f>
        <v>36.7588207361134</v>
      </c>
      <c r="AD30" s="13" t="n">
        <f aca="false">AC63</f>
        <v>39.2611874539856</v>
      </c>
      <c r="AE30" s="13" t="n">
        <f aca="false">AD63</f>
        <v>41.6532178660013</v>
      </c>
      <c r="AF30" s="13" t="n">
        <f aca="false">AE63</f>
        <v>43.9099911104873</v>
      </c>
      <c r="AG30" s="13" t="n">
        <f aca="false">AF63</f>
        <v>45.9929704282762</v>
      </c>
      <c r="AH30" s="13" t="n">
        <f aca="false">AG63</f>
        <v>47.8877629378968</v>
      </c>
      <c r="AI30" s="13" t="n">
        <f aca="false">AH63</f>
        <v>49.5716926152633</v>
      </c>
      <c r="AJ30" s="13" t="n">
        <f aca="false">AI63</f>
        <v>51.0291771255943</v>
      </c>
      <c r="AK30" s="13" t="n">
        <f aca="false">AJ63</f>
        <v>52.2680487009725</v>
      </c>
      <c r="AL30" s="13" t="n">
        <f aca="false">AK63</f>
        <v>53.2844100962179</v>
      </c>
      <c r="AM30" s="13" t="n">
        <f aca="false">AL63</f>
        <v>54.1046357359561</v>
      </c>
      <c r="AN30" s="13" t="n">
        <f aca="false">AM63</f>
        <v>54.7492106737234</v>
      </c>
      <c r="AO30" s="13" t="n">
        <f aca="false">AN63</f>
        <v>55.2367553666154</v>
      </c>
      <c r="AP30" s="13" t="n">
        <f aca="false">AO63</f>
        <v>55.6434075396361</v>
      </c>
      <c r="AQ30" s="13" t="n">
        <f aca="false">AP63</f>
        <v>59.6411423098811</v>
      </c>
      <c r="AR30" s="13" t="n">
        <f aca="false">AQ63</f>
        <v>62.722099324753</v>
      </c>
      <c r="AS30" s="13" t="n">
        <f aca="false">AR63</f>
        <v>62.9949674778433</v>
      </c>
      <c r="AT30" s="13" t="n">
        <f aca="false">AS63</f>
        <v>62.9949674778433</v>
      </c>
      <c r="AU30" s="13" t="n">
        <f aca="false">AT63</f>
        <v>62.9949674778433</v>
      </c>
      <c r="AV30" s="13" t="n">
        <f aca="false">AU63</f>
        <v>62.9949674778433</v>
      </c>
      <c r="AW30" s="13" t="n">
        <f aca="false">AV63</f>
        <v>62.9949674778433</v>
      </c>
      <c r="AX30" s="13" t="n">
        <f aca="false">AW63</f>
        <v>62.9949674778433</v>
      </c>
      <c r="AY30" s="13" t="n">
        <f aca="false">AX63</f>
        <v>62.9949674778433</v>
      </c>
      <c r="AZ30" s="13" t="n">
        <f aca="false">AY63</f>
        <v>62.9949674778433</v>
      </c>
      <c r="BA30" s="13" t="n">
        <f aca="false">AZ63</f>
        <v>62.9949674778433</v>
      </c>
      <c r="BB30" s="13" t="n">
        <f aca="false">BA63</f>
        <v>62.9949674778433</v>
      </c>
      <c r="BC30" s="13" t="n">
        <f aca="false">BB63</f>
        <v>62.9949674778433</v>
      </c>
      <c r="BD30" s="13" t="n">
        <f aca="false">BC63</f>
        <v>62.9949674778433</v>
      </c>
      <c r="BE30" s="13" t="n">
        <f aca="false">BD63</f>
        <v>62.9949674778433</v>
      </c>
      <c r="BF30" s="13" t="n">
        <f aca="false">BE63</f>
        <v>62.9949674778433</v>
      </c>
      <c r="BG30" s="13" t="n">
        <f aca="false">BF63</f>
        <v>62.9949674778433</v>
      </c>
      <c r="BH30" s="13" t="n">
        <f aca="false">BG63</f>
        <v>62.9949674778433</v>
      </c>
      <c r="BI30" s="13" t="n">
        <f aca="false">BH63</f>
        <v>62.9949674778433</v>
      </c>
      <c r="BJ30" s="13" t="n">
        <f aca="false">BI63</f>
        <v>62.9949674778433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34.7398904319299</v>
      </c>
      <c r="M31" s="13" t="n">
        <f aca="false">L64</f>
        <v>35.6306593379333</v>
      </c>
      <c r="N31" s="13" t="n">
        <f aca="false">M64</f>
        <v>36.8905509370711</v>
      </c>
      <c r="O31" s="13" t="n">
        <f aca="false">N64</f>
        <v>38.7052775790027</v>
      </c>
      <c r="P31" s="13" t="n">
        <f aca="false">O64</f>
        <v>41.2065212220093</v>
      </c>
      <c r="Q31" s="13" t="n">
        <f aca="false">P64</f>
        <v>44.470019130677</v>
      </c>
      <c r="R31" s="13" t="n">
        <f aca="false">Q64</f>
        <v>48.6126560546897</v>
      </c>
      <c r="S31" s="13" t="n">
        <f aca="false">R64</f>
        <v>53.6316431993426</v>
      </c>
      <c r="T31" s="13" t="n">
        <f aca="false">S64</f>
        <v>59.5428714216964</v>
      </c>
      <c r="U31" s="13" t="n">
        <f aca="false">T64</f>
        <v>66.2891385754113</v>
      </c>
      <c r="V31" s="13" t="n">
        <f aca="false">U64</f>
        <v>73.8359109557555</v>
      </c>
      <c r="W31" s="13" t="n">
        <f aca="false">V64</f>
        <v>82.0865051346738</v>
      </c>
      <c r="X31" s="13" t="n">
        <f aca="false">W64</f>
        <v>90.9224274433389</v>
      </c>
      <c r="Y31" s="13" t="n">
        <f aca="false">X64</f>
        <v>100.242749971932</v>
      </c>
      <c r="Z31" s="13" t="n">
        <f aca="false">Y64</f>
        <v>109.885657124685</v>
      </c>
      <c r="AA31" s="13" t="n">
        <f aca="false">Z64</f>
        <v>119.730455612333</v>
      </c>
      <c r="AB31" s="13" t="n">
        <f aca="false">AA64</f>
        <v>129.94259091114</v>
      </c>
      <c r="AC31" s="13" t="n">
        <f aca="false">AB64</f>
        <v>139.683518797231</v>
      </c>
      <c r="AD31" s="13" t="n">
        <f aca="false">AC64</f>
        <v>149.192512325145</v>
      </c>
      <c r="AE31" s="13" t="n">
        <f aca="false">AD64</f>
        <v>158.282227890805</v>
      </c>
      <c r="AF31" s="13" t="n">
        <f aca="false">AE64</f>
        <v>166.857966219852</v>
      </c>
      <c r="AG31" s="13" t="n">
        <f aca="false">AF64</f>
        <v>174.77328762745</v>
      </c>
      <c r="AH31" s="13" t="n">
        <f aca="false">AG64</f>
        <v>181.973499164008</v>
      </c>
      <c r="AI31" s="13" t="n">
        <f aca="false">AH64</f>
        <v>188.372431938001</v>
      </c>
      <c r="AJ31" s="13" t="n">
        <f aca="false">AI64</f>
        <v>193.910873077258</v>
      </c>
      <c r="AK31" s="13" t="n">
        <f aca="false">AJ64</f>
        <v>198.618585063696</v>
      </c>
      <c r="AL31" s="13" t="n">
        <f aca="false">AK64</f>
        <v>202.480758365628</v>
      </c>
      <c r="AM31" s="13" t="n">
        <f aca="false">AL64</f>
        <v>205.597615796633</v>
      </c>
      <c r="AN31" s="13" t="n">
        <f aca="false">AM64</f>
        <v>208.047000560149</v>
      </c>
      <c r="AO31" s="13" t="n">
        <f aca="false">AN64</f>
        <v>209.899670393138</v>
      </c>
      <c r="AP31" s="13" t="n">
        <f aca="false">AO64</f>
        <v>211.444948650617</v>
      </c>
      <c r="AQ31" s="13" t="n">
        <f aca="false">AP64</f>
        <v>226.636340777548</v>
      </c>
      <c r="AR31" s="13" t="n">
        <f aca="false">AQ64</f>
        <v>238.343977434061</v>
      </c>
      <c r="AS31" s="13" t="n">
        <f aca="false">AR64</f>
        <v>239.380876415805</v>
      </c>
      <c r="AT31" s="13" t="n">
        <f aca="false">AS64</f>
        <v>239.380876415805</v>
      </c>
      <c r="AU31" s="13" t="n">
        <f aca="false">AT64</f>
        <v>239.380876415805</v>
      </c>
      <c r="AV31" s="13" t="n">
        <f aca="false">AU64</f>
        <v>239.380876415805</v>
      </c>
      <c r="AW31" s="13" t="n">
        <f aca="false">AV64</f>
        <v>239.380876415805</v>
      </c>
      <c r="AX31" s="13" t="n">
        <f aca="false">AW64</f>
        <v>239.380876415805</v>
      </c>
      <c r="AY31" s="13" t="n">
        <f aca="false">AX64</f>
        <v>239.380876415805</v>
      </c>
      <c r="AZ31" s="13" t="n">
        <f aca="false">AY64</f>
        <v>239.380876415805</v>
      </c>
      <c r="BA31" s="13" t="n">
        <f aca="false">AZ64</f>
        <v>239.380876415805</v>
      </c>
      <c r="BB31" s="13" t="n">
        <f aca="false">BA64</f>
        <v>239.380876415805</v>
      </c>
      <c r="BC31" s="13" t="n">
        <f aca="false">BB64</f>
        <v>239.380876415805</v>
      </c>
      <c r="BD31" s="13" t="n">
        <f aca="false">BC64</f>
        <v>239.380876415805</v>
      </c>
      <c r="BE31" s="13" t="n">
        <f aca="false">BD64</f>
        <v>239.380876415805</v>
      </c>
      <c r="BF31" s="13" t="n">
        <f aca="false">BE64</f>
        <v>239.380876415805</v>
      </c>
      <c r="BG31" s="13" t="n">
        <f aca="false">BF64</f>
        <v>239.380876415805</v>
      </c>
      <c r="BH31" s="13" t="n">
        <f aca="false">BG64</f>
        <v>239.380876415805</v>
      </c>
      <c r="BI31" s="13" t="n">
        <f aca="false">BH64</f>
        <v>239.380876415805</v>
      </c>
      <c r="BJ31" s="13" t="n">
        <f aca="false">BI64</f>
        <v>239.380876415805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1.63349334059149E-011</v>
      </c>
      <c r="AT32" s="13" t="n">
        <f aca="false">AS65</f>
        <v>1.63349334059149E-011</v>
      </c>
      <c r="AU32" s="13" t="n">
        <f aca="false">AT65</f>
        <v>1.63349334059149E-011</v>
      </c>
      <c r="AV32" s="13" t="n">
        <f aca="false">AU65</f>
        <v>1.63349334059149E-011</v>
      </c>
      <c r="AW32" s="13" t="n">
        <f aca="false">AV65</f>
        <v>1.63349334059149E-011</v>
      </c>
      <c r="AX32" s="13" t="n">
        <f aca="false">AW65</f>
        <v>1.63349334059149E-011</v>
      </c>
      <c r="AY32" s="13" t="n">
        <f aca="false">AX65</f>
        <v>1.63349334059149E-011</v>
      </c>
      <c r="AZ32" s="13" t="n">
        <f aca="false">AY65</f>
        <v>1.63349334059149E-011</v>
      </c>
      <c r="BA32" s="13" t="n">
        <f aca="false">AZ65</f>
        <v>1.63349334059149E-011</v>
      </c>
      <c r="BB32" s="13" t="n">
        <f aca="false">BA65</f>
        <v>1.63349334059149E-011</v>
      </c>
      <c r="BC32" s="13" t="n">
        <f aca="false">BB65</f>
        <v>1.63349334059149E-011</v>
      </c>
      <c r="BD32" s="13" t="n">
        <f aca="false">BC65</f>
        <v>1.63349334059149E-011</v>
      </c>
      <c r="BE32" s="13" t="n">
        <f aca="false">BD65</f>
        <v>1.63349334059149E-011</v>
      </c>
      <c r="BF32" s="13" t="n">
        <f aca="false">BE65</f>
        <v>1.63349334059149E-011</v>
      </c>
      <c r="BG32" s="13" t="n">
        <f aca="false">BF65</f>
        <v>1.63349334059149E-011</v>
      </c>
      <c r="BH32" s="13" t="n">
        <f aca="false">BG65</f>
        <v>1.63349334059149E-011</v>
      </c>
      <c r="BI32" s="13" t="n">
        <f aca="false">BH65</f>
        <v>1.63349334059149E-011</v>
      </c>
      <c r="BJ32" s="13" t="n">
        <f aca="false">BI65</f>
        <v>1.63349334059149E-011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12.3698124591525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0.0913979091034787</v>
      </c>
      <c r="M33" s="13" t="n">
        <f aca="false">Construction!M14*M28*(Construction!M17+Inputs!$F$79)/100*Construction!M11/Inputs!$F$247*1</f>
        <v>0.0907175339722381</v>
      </c>
      <c r="N33" s="13" t="n">
        <f aca="false">Construction!N14*N28*(Construction!N17+Inputs!$F$79)/100*Construction!N11/Inputs!$F$247*1</f>
        <v>0.097056127103518</v>
      </c>
      <c r="O33" s="13" t="n">
        <f aca="false">Construction!O14*O28*(Construction!O17+Inputs!$F$79)/100*Construction!O11/Inputs!$F$247*1</f>
        <v>0.108934985186167</v>
      </c>
      <c r="P33" s="13" t="n">
        <f aca="false">Construction!P14*P28*(Construction!P17+Inputs!$F$79)/100*Construction!P11/Inputs!$F$247*1</f>
        <v>0.104751314474897</v>
      </c>
      <c r="Q33" s="13" t="n">
        <f aca="false">Construction!Q14*Q28*(Construction!Q17+Inputs!$F$79)/100*Construction!Q11/Inputs!$F$247*1</f>
        <v>0.125159698579629</v>
      </c>
      <c r="R33" s="13" t="n">
        <f aca="false">Construction!R14*R28*(Construction!R17+Inputs!$F$79)/100*Construction!R11/Inputs!$F$247*1</f>
        <v>0.132405523727905</v>
      </c>
      <c r="S33" s="13" t="n">
        <f aca="false">Construction!S14*S28*(Construction!S17+Inputs!$F$79)/100*Construction!S11/Inputs!$F$247*1</f>
        <v>0.150944848425518</v>
      </c>
      <c r="T33" s="13" t="n">
        <f aca="false">Construction!T14*T28*(Construction!T17+Inputs!$F$79)/100*Construction!T11/Inputs!$F$247*1</f>
        <v>0.162175978740673</v>
      </c>
      <c r="U33" s="13" t="n">
        <f aca="false">Construction!U14*U28*(Construction!U17+Inputs!$F$79)/100*Construction!U11/Inputs!$F$247*1</f>
        <v>0.193328783753157</v>
      </c>
      <c r="V33" s="13" t="n">
        <f aca="false">Construction!V14*V28*(Construction!V17+Inputs!$F$79)/100*Construction!V11/Inputs!$F$247*1</f>
        <v>0.215338548201884</v>
      </c>
      <c r="W33" s="13" t="n">
        <f aca="false">Construction!W14*W28*(Construction!W17+Inputs!$F$79)/100*Construction!W11/Inputs!$F$247*1</f>
        <v>0.231678359886678</v>
      </c>
      <c r="X33" s="13" t="n">
        <f aca="false">Construction!X14*X28*(Construction!X17+Inputs!$F$79)/100*Construction!X11/Inputs!$F$247*1</f>
        <v>0.26517047424758</v>
      </c>
      <c r="Y33" s="13" t="n">
        <f aca="false">Construction!Y14*Y28*(Construction!Y17+Inputs!$F$79)/100*Construction!Y11/Inputs!$F$247*1</f>
        <v>0.282921971960255</v>
      </c>
      <c r="Z33" s="13" t="n">
        <f aca="false">Construction!Z14*Z28*(Construction!Z17+Inputs!$F$79)/100*Construction!Z11/Inputs!$F$247*1</f>
        <v>0.320475735548504</v>
      </c>
      <c r="AA33" s="13" t="n">
        <f aca="false">Construction!AA14*AA28*(Construction!AA17+Inputs!$F$79)/100*Construction!AA11/Inputs!$F$247*1</f>
        <v>0.355699228548307</v>
      </c>
      <c r="AB33" s="13" t="n">
        <f aca="false">Construction!AB14*AB28*(Construction!AB17+Inputs!$F$79)/100*Construction!AB11/Inputs!$F$247*1</f>
        <v>0.361132117240542</v>
      </c>
      <c r="AC33" s="13" t="n">
        <f aca="false">Construction!AC14*AC28*(Construction!AC17+Inputs!$F$79)/100*Construction!AC11/Inputs!$F$247*1</f>
        <v>0.414976453760107</v>
      </c>
      <c r="AD33" s="13" t="n">
        <f aca="false">Construction!AD14*AD28*(Construction!AD17+Inputs!$F$79)/100*Construction!AD11/Inputs!$F$247*1</f>
        <v>0.428928472934793</v>
      </c>
      <c r="AE33" s="13" t="n">
        <f aca="false">Construction!AE14*AE28*(Construction!AE17+Inputs!$F$79)/100*Construction!AE11/Inputs!$F$247*1</f>
        <v>0.470230118692267</v>
      </c>
      <c r="AF33" s="13" t="n">
        <f aca="false">Construction!AF14*AF28*(Construction!AF17+Inputs!$F$79)/100*Construction!AF11/Inputs!$F$247*1</f>
        <v>0.479716652882073</v>
      </c>
      <c r="AG33" s="13" t="n">
        <f aca="false">Construction!AG14*AG28*(Construction!AG17+Inputs!$F$79)/100*Construction!AG11/Inputs!$F$247*1</f>
        <v>0.523974915604137</v>
      </c>
      <c r="AH33" s="13" t="n">
        <f aca="false">Construction!AH14*AH28*(Construction!AH17+Inputs!$F$79)/100*Construction!AH11/Inputs!$F$247*1</f>
        <v>0.545561339269989</v>
      </c>
      <c r="AI33" s="13" t="n">
        <f aca="false">Construction!AI14*AI28*(Construction!AI17+Inputs!$F$79)/100*Construction!AI11/Inputs!$F$247*1</f>
        <v>0.546527911083278</v>
      </c>
      <c r="AJ33" s="13" t="n">
        <f aca="false">Construction!AJ14*AJ28*(Construction!AJ17+Inputs!$F$79)/100*Construction!AJ11/Inputs!$F$247*1</f>
        <v>0.581349900403333</v>
      </c>
      <c r="AK33" s="13" t="n">
        <f aca="false">Construction!AK14*AK28*(Construction!AK17+Inputs!$F$79)/100*Construction!AK11/Inputs!$F$247*1</f>
        <v>0.576255236928222</v>
      </c>
      <c r="AL33" s="13" t="n">
        <f aca="false">Construction!AL14*AL28*(Construction!AL17+Inputs!$F$79)/100*Construction!AL11/Inputs!$F$247*1</f>
        <v>0.607042642021162</v>
      </c>
      <c r="AM33" s="13" t="n">
        <f aca="false">Construction!AM14*AM28*(Construction!AM17+Inputs!$F$79)/100*Construction!AM11/Inputs!$F$247*1</f>
        <v>0.620580171891417</v>
      </c>
      <c r="AN33" s="13" t="n">
        <f aca="false">Construction!AN14*AN28*(Construction!AN17+Inputs!$F$79)/100*Construction!AN11/Inputs!$F$247*1</f>
        <v>0.567201822579774</v>
      </c>
      <c r="AO33" s="13" t="n">
        <f aca="false">Construction!AO14*AO28*(Construction!AO17+Inputs!$F$79)/100*Construction!AO11/Inputs!$F$247*1</f>
        <v>0.633565584055078</v>
      </c>
      <c r="AP33" s="13" t="n">
        <f aca="false">Construction!AP14*AP28*(Construction!AP17+Inputs!$F$79)/100*Construction!AP11/Inputs!$F$247*1</f>
        <v>0.617641823689961</v>
      </c>
      <c r="AQ33" s="13" t="n">
        <f aca="false">Construction!AQ14*AQ28*(Construction!AQ17+Inputs!$F$79)/100*Construction!AQ11/Inputs!$F$247*1</f>
        <v>0.684083902294336</v>
      </c>
      <c r="AR33" s="13" t="n">
        <f aca="false">Construction!AR14*AR28*(Construction!AR17+Inputs!$F$79)/100*Construction!AR11/Inputs!$F$247*1</f>
        <v>0.696215302504758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13.8563561263673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0.106859191918227</v>
      </c>
      <c r="M34" s="13" t="n">
        <f aca="false">Construction!M14*M29*(Construction!M17+Inputs!$F$80)/100*Construction!M11/Inputs!$F$247*1</f>
        <v>0.106063721459015</v>
      </c>
      <c r="N34" s="13" t="n">
        <f aca="false">Construction!N14*N29*(Construction!N17+Inputs!$F$80)/100*Construction!N11/Inputs!$F$247*1</f>
        <v>0.113474579612675</v>
      </c>
      <c r="O34" s="13" t="n">
        <f aca="false">Construction!O14*O29*(Construction!O17+Inputs!$F$80)/100*Construction!O11/Inputs!$F$247*1</f>
        <v>0.12426657569385</v>
      </c>
      <c r="P34" s="13" t="n">
        <f aca="false">Construction!P14*P29*(Construction!P17+Inputs!$F$80)/100*Construction!P11/Inputs!$F$247*1</f>
        <v>0.119494092067661</v>
      </c>
      <c r="Q34" s="13" t="n">
        <f aca="false">Construction!Q14*Q29*(Construction!Q17+Inputs!$F$80)/100*Construction!Q11/Inputs!$F$247*1</f>
        <v>0.142774767268614</v>
      </c>
      <c r="R34" s="13" t="n">
        <f aca="false">Construction!R14*R29*(Construction!R17+Inputs!$F$80)/100*Construction!R11/Inputs!$F$247*1</f>
        <v>0.151040375215536</v>
      </c>
      <c r="S34" s="13" t="n">
        <f aca="false">Construction!S14*S29*(Construction!S17+Inputs!$F$80)/100*Construction!S11/Inputs!$F$247*1</f>
        <v>0.172188938203924</v>
      </c>
      <c r="T34" s="13" t="n">
        <f aca="false">Construction!T14*T29*(Construction!T17+Inputs!$F$80)/100*Construction!T11/Inputs!$F$247*1</f>
        <v>0.18500074611899</v>
      </c>
      <c r="U34" s="13" t="n">
        <f aca="false">Construction!U14*U29*(Construction!U17+Inputs!$F$80)/100*Construction!U11/Inputs!$F$247*1</f>
        <v>0.217784048706548</v>
      </c>
      <c r="V34" s="13" t="n">
        <f aca="false">Construction!V14*V29*(Construction!V17+Inputs!$F$80)/100*Construction!V11/Inputs!$F$247*1</f>
        <v>0.242577954299217</v>
      </c>
      <c r="W34" s="13" t="n">
        <f aca="false">Construction!W14*W29*(Construction!W17+Inputs!$F$80)/100*Construction!W11/Inputs!$F$247*1</f>
        <v>0.260984682333882</v>
      </c>
      <c r="X34" s="13" t="n">
        <f aca="false">Construction!X14*X29*(Construction!X17+Inputs!$F$80)/100*Construction!X11/Inputs!$F$247*1</f>
        <v>0.298713406032744</v>
      </c>
      <c r="Y34" s="13" t="n">
        <f aca="false">Construction!Y14*Y29*(Construction!Y17+Inputs!$F$80)/100*Construction!Y11/Inputs!$F$247*1</f>
        <v>0.318710392344971</v>
      </c>
      <c r="Z34" s="13" t="n">
        <f aca="false">Construction!Z14*Z29*(Construction!Z17+Inputs!$F$80)/100*Construction!Z11/Inputs!$F$247*1</f>
        <v>0.361014546540965</v>
      </c>
      <c r="AA34" s="13" t="n">
        <f aca="false">Construction!AA14*AA29*(Construction!AA17+Inputs!$F$80)/100*Construction!AA11/Inputs!$F$247*1</f>
        <v>0.398133522480386</v>
      </c>
      <c r="AB34" s="13" t="n">
        <f aca="false">Construction!AB14*AB29*(Construction!AB17+Inputs!$F$80)/100*Construction!AB11/Inputs!$F$247*1</f>
        <v>0.404214545262221</v>
      </c>
      <c r="AC34" s="13" t="n">
        <f aca="false">Construction!AC14*AC29*(Construction!AC17+Inputs!$F$80)/100*Construction!AC11/Inputs!$F$247*1</f>
        <v>0.464482416664821</v>
      </c>
      <c r="AD34" s="13" t="n">
        <f aca="false">Construction!AD14*AD29*(Construction!AD17+Inputs!$F$80)/100*Construction!AD11/Inputs!$F$247*1</f>
        <v>0.480098887249821</v>
      </c>
      <c r="AE34" s="13" t="n">
        <f aca="false">Construction!AE14*AE29*(Construction!AE17+Inputs!$F$80)/100*Construction!AE11/Inputs!$F$247*1</f>
        <v>0.526327746887134</v>
      </c>
      <c r="AF34" s="13" t="n">
        <f aca="false">Construction!AF14*AF29*(Construction!AF17+Inputs!$F$80)/100*Construction!AF11/Inputs!$F$247*1</f>
        <v>0.536946007962742</v>
      </c>
      <c r="AG34" s="13" t="n">
        <f aca="false">Construction!AG14*AG29*(Construction!AG17+Inputs!$F$80)/100*Construction!AG11/Inputs!$F$247*1</f>
        <v>0.584649864259128</v>
      </c>
      <c r="AH34" s="13" t="n">
        <f aca="false">Construction!AH14*AH29*(Construction!AH17+Inputs!$F$80)/100*Construction!AH11/Inputs!$F$247*1</f>
        <v>0.608735940310172</v>
      </c>
      <c r="AI34" s="13" t="n">
        <f aca="false">Construction!AI14*AI29*(Construction!AI17+Inputs!$F$80)/100*Construction!AI11/Inputs!$F$247*1</f>
        <v>0.609814438655431</v>
      </c>
      <c r="AJ34" s="13" t="n">
        <f aca="false">Construction!AJ14*AJ29*(Construction!AJ17+Inputs!$F$80)/100*Construction!AJ11/Inputs!$F$247*1</f>
        <v>0.648668724849131</v>
      </c>
      <c r="AK34" s="13" t="n">
        <f aca="false">Construction!AK14*AK29*(Construction!AK17+Inputs!$F$80)/100*Construction!AK11/Inputs!$F$247*1</f>
        <v>0.642984112436464</v>
      </c>
      <c r="AL34" s="13" t="n">
        <f aca="false">Construction!AL14*AL29*(Construction!AL17+Inputs!$F$80)/100*Construction!AL11/Inputs!$F$247*1</f>
        <v>0.677336619918095</v>
      </c>
      <c r="AM34" s="13" t="n">
        <f aca="false">Construction!AM14*AM29*(Construction!AM17+Inputs!$F$80)/100*Construction!AM11/Inputs!$F$247*1</f>
        <v>0.690838047207652</v>
      </c>
      <c r="AN34" s="13" t="n">
        <f aca="false">Construction!AN14*AN29*(Construction!AN17+Inputs!$F$80)/100*Construction!AN11/Inputs!$F$247*1</f>
        <v>0.631416563454422</v>
      </c>
      <c r="AO34" s="13" t="n">
        <f aca="false">Construction!AO14*AO29*(Construction!AO17+Inputs!$F$80)/100*Construction!AO11/Inputs!$F$247*1</f>
        <v>0.70529357960726</v>
      </c>
      <c r="AP34" s="13" t="n">
        <f aca="false">Construction!AP14*AP29*(Construction!AP17+Inputs!$F$80)/100*Construction!AP11/Inputs!$F$247*1</f>
        <v>0.68756703916477</v>
      </c>
      <c r="AQ34" s="13" t="n">
        <f aca="false">Construction!AQ14*AQ29*(Construction!AQ17+Inputs!$F$80)/100*Construction!AQ11/Inputs!$F$247*1</f>
        <v>0.761531238980511</v>
      </c>
      <c r="AR34" s="13" t="n">
        <f aca="false">Construction!AR14*AR29*(Construction!AR17+Inputs!$F$80)/100*Construction!AR11/Inputs!$F$247*1</f>
        <v>0.775036073989532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6.06192272922878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0.0466042740648229</v>
      </c>
      <c r="M35" s="13" t="n">
        <f aca="false">Construction!M14*M30*(Construction!M17+Inputs!$F$81)/100*Construction!M11/Inputs!$F$247*1</f>
        <v>0.0462573472106503</v>
      </c>
      <c r="N35" s="13" t="n">
        <f aca="false">Construction!N14*N30*(Construction!N17+Inputs!$F$81)/100*Construction!N11/Inputs!$F$247*1</f>
        <v>0.049489429151837</v>
      </c>
      <c r="O35" s="13" t="n">
        <f aca="false">Construction!O14*O30*(Construction!O17+Inputs!$F$81)/100*Construction!O11/Inputs!$F$247*1</f>
        <v>0.0542920739373891</v>
      </c>
      <c r="P35" s="13" t="n">
        <f aca="false">Construction!P14*P30*(Construction!P17+Inputs!$F$81)/100*Construction!P11/Inputs!$F$247*1</f>
        <v>0.0522069755716276</v>
      </c>
      <c r="Q35" s="13" t="n">
        <f aca="false">Construction!Q14*Q30*(Construction!Q17+Inputs!$F$81)/100*Construction!Q11/Inputs!$F$247*1</f>
        <v>0.0623783038814738</v>
      </c>
      <c r="R35" s="13" t="n">
        <f aca="false">Construction!R14*R30*(Construction!R17+Inputs!$F$81)/100*Construction!R11/Inputs!$F$247*1</f>
        <v>0.0659895484602038</v>
      </c>
      <c r="S35" s="13" t="n">
        <f aca="false">Construction!S14*S30*(Construction!S17+Inputs!$F$81)/100*Construction!S11/Inputs!$F$247*1</f>
        <v>0.0752293568239902</v>
      </c>
      <c r="T35" s="13" t="n">
        <f aca="false">Construction!T14*T30*(Construction!T17+Inputs!$F$81)/100*Construction!T11/Inputs!$F$247*1</f>
        <v>0.0808268364255045</v>
      </c>
      <c r="U35" s="13" t="n">
        <f aca="false">Construction!U14*U30*(Construction!U17+Inputs!$F$81)/100*Construction!U11/Inputs!$F$247*1</f>
        <v>0.0952373340322466</v>
      </c>
      <c r="V35" s="13" t="n">
        <f aca="false">Construction!V14*V30*(Construction!V17+Inputs!$F$81)/100*Construction!V11/Inputs!$F$247*1</f>
        <v>0.106079751017867</v>
      </c>
      <c r="W35" s="13" t="n">
        <f aca="false">Construction!W14*W30*(Construction!W17+Inputs!$F$81)/100*Construction!W11/Inputs!$F$247*1</f>
        <v>0.1141290444197</v>
      </c>
      <c r="X35" s="13" t="n">
        <f aca="false">Construction!X14*X30*(Construction!X17+Inputs!$F$81)/100*Construction!X11/Inputs!$F$247*1</f>
        <v>0.130627879310774</v>
      </c>
      <c r="Y35" s="13" t="n">
        <f aca="false">Construction!Y14*Y30*(Construction!Y17+Inputs!$F$81)/100*Construction!Y11/Inputs!$F$247*1</f>
        <v>0.139372595355712</v>
      </c>
      <c r="Z35" s="13" t="n">
        <f aca="false">Construction!Z14*Z30*(Construction!Z17+Inputs!$F$81)/100*Construction!Z11/Inputs!$F$247*1</f>
        <v>0.157872273766707</v>
      </c>
      <c r="AA35" s="13" t="n">
        <f aca="false">Construction!AA14*AA30*(Construction!AA17+Inputs!$F$81)/100*Construction!AA11/Inputs!$F$247*1</f>
        <v>0.174186807572855</v>
      </c>
      <c r="AB35" s="13" t="n">
        <f aca="false">Construction!AB14*AB30*(Construction!AB17+Inputs!$F$81)/100*Construction!AB11/Inputs!$F$247*1</f>
        <v>0.176847306840906</v>
      </c>
      <c r="AC35" s="13" t="n">
        <f aca="false">Construction!AC14*AC30*(Construction!AC17+Inputs!$F$81)/100*Construction!AC11/Inputs!$F$247*1</f>
        <v>0.20321501396948</v>
      </c>
      <c r="AD35" s="13" t="n">
        <f aca="false">Construction!AD14*AD30*(Construction!AD17+Inputs!$F$81)/100*Construction!AD11/Inputs!$F$247*1</f>
        <v>0.210047352878823</v>
      </c>
      <c r="AE35" s="13" t="n">
        <f aca="false">Construction!AE14*AE30*(Construction!AE17+Inputs!$F$81)/100*Construction!AE11/Inputs!$F$247*1</f>
        <v>0.230272872769211</v>
      </c>
      <c r="AF35" s="13" t="n">
        <f aca="false">Construction!AF14*AF30*(Construction!AF17+Inputs!$F$81)/100*Construction!AF11/Inputs!$F$247*1</f>
        <v>0.234918452441107</v>
      </c>
      <c r="AG35" s="13" t="n">
        <f aca="false">Construction!AG14*AG30*(Construction!AG17+Inputs!$F$81)/100*Construction!AG11/Inputs!$F$247*1</f>
        <v>0.255848673832405</v>
      </c>
      <c r="AH35" s="13" t="n">
        <f aca="false">Construction!AH14*AH30*(Construction!AH17+Inputs!$F$81)/100*Construction!AH11/Inputs!$F$247*1</f>
        <v>0.266388983498423</v>
      </c>
      <c r="AI35" s="13" t="n">
        <f aca="false">Construction!AI14*AI30*(Construction!AI17+Inputs!$F$81)/100*Construction!AI11/Inputs!$F$247*1</f>
        <v>0.266860945245501</v>
      </c>
      <c r="AJ35" s="13" t="n">
        <f aca="false">Construction!AJ14*AJ30*(Construction!AJ17+Inputs!$F$81)/100*Construction!AJ11/Inputs!$F$247*1</f>
        <v>0.283863972532542</v>
      </c>
      <c r="AK35" s="13" t="n">
        <f aca="false">Construction!AK14*AK30*(Construction!AK17+Inputs!$F$81)/100*Construction!AK11/Inputs!$F$247*1</f>
        <v>0.281376328840235</v>
      </c>
      <c r="AL35" s="13" t="n">
        <f aca="false">Construction!AL14*AL30*(Construction!AL17+Inputs!$F$81)/100*Construction!AL11/Inputs!$F$247*1</f>
        <v>0.296409332385239</v>
      </c>
      <c r="AM35" s="13" t="n">
        <f aca="false">Construction!AM14*AM30*(Construction!AM17+Inputs!$F$81)/100*Construction!AM11/Inputs!$F$247*1</f>
        <v>0.302369768436584</v>
      </c>
      <c r="AN35" s="13" t="n">
        <f aca="false">Construction!AN14*AN30*(Construction!AN17+Inputs!$F$81)/100*Construction!AN11/Inputs!$F$247*1</f>
        <v>0.276361848989695</v>
      </c>
      <c r="AO35" s="13" t="n">
        <f aca="false">Construction!AO14*AO30*(Construction!AO17+Inputs!$F$81)/100*Construction!AO11/Inputs!$F$247*1</f>
        <v>0.308696744783593</v>
      </c>
      <c r="AP35" s="13" t="n">
        <f aca="false">Construction!AP14*AP30*(Construction!AP17+Inputs!$F$81)/100*Construction!AP11/Inputs!$F$247*1</f>
        <v>0.300938095776865</v>
      </c>
      <c r="AQ35" s="13" t="n">
        <f aca="false">Construction!AQ14*AQ30*(Construction!AQ17+Inputs!$F$81)/100*Construction!AQ11/Inputs!$F$247*1</f>
        <v>0.33331115059236</v>
      </c>
      <c r="AR35" s="13" t="n">
        <f aca="false">Construction!AR14*AR30*(Construction!AR17+Inputs!$F$81)/100*Construction!AR11/Inputs!$F$247*1</f>
        <v>0.339222020514706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28.3898060379361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0.220040750445699</v>
      </c>
      <c r="M36" s="13" t="n">
        <f aca="false">Construction!M14*M31*(Construction!M17+Inputs!$F$82)/100*Construction!M11/Inputs!$F$247*(1/(1-Inputs!$F$93/100))</f>
        <v>0.218402745201036</v>
      </c>
      <c r="N36" s="13" t="n">
        <f aca="false">Construction!N14*N31*(Construction!N17+Inputs!$F$82)/100*Construction!N11/Inputs!$F$247*(1/(1-Inputs!$F$93/100))</f>
        <v>0.233662927879807</v>
      </c>
      <c r="O36" s="13" t="n">
        <f aca="false">Construction!O14*O31*(Construction!O17+Inputs!$F$82)/100*Construction!O11/Inputs!$F$247*(1/(1-Inputs!$F$93/100))</f>
        <v>0.255156180188247</v>
      </c>
      <c r="P36" s="13" t="n">
        <f aca="false">Construction!P14*P31*(Construction!P17+Inputs!$F$82)/100*Construction!P11/Inputs!$F$247*(1/(1-Inputs!$F$93/100))</f>
        <v>0.245356854140433</v>
      </c>
      <c r="Q36" s="13" t="n">
        <f aca="false">Construction!Q14*Q31*(Construction!Q17+Inputs!$F$82)/100*Construction!Q11/Inputs!$F$247*(1/(1-Inputs!$F$93/100))</f>
        <v>0.293158993398806</v>
      </c>
      <c r="R36" s="13" t="n">
        <f aca="false">Construction!R14*R31*(Construction!R17+Inputs!$F$82)/100*Construction!R11/Inputs!$F$247*(1/(1-Inputs!$F$93/100))</f>
        <v>0.310130740941493</v>
      </c>
      <c r="S36" s="13" t="n">
        <f aca="false">Construction!S14*S31*(Construction!S17+Inputs!$F$82)/100*Construction!S11/Inputs!$F$247*(1/(1-Inputs!$F$93/100))</f>
        <v>0.353555020708259</v>
      </c>
      <c r="T36" s="13" t="n">
        <f aca="false">Construction!T14*T31*(Construction!T17+Inputs!$F$82)/100*Construction!T11/Inputs!$F$247*(1/(1-Inputs!$F$93/100))</f>
        <v>0.379861466755081</v>
      </c>
      <c r="U36" s="13" t="n">
        <f aca="false">Construction!U14*U31*(Construction!U17+Inputs!$F$82)/100*Construction!U11/Inputs!$F$247*(1/(1-Inputs!$F$93/100))</f>
        <v>0.446510543293141</v>
      </c>
      <c r="V36" s="13" t="n">
        <f aca="false">Construction!V14*V31*(Construction!V17+Inputs!$F$82)/100*Construction!V11/Inputs!$F$247*(1/(1-Inputs!$F$93/100))</f>
        <v>0.497344111326669</v>
      </c>
      <c r="W36" s="13" t="n">
        <f aca="false">Construction!W14*W31*(Construction!W17+Inputs!$F$82)/100*Construction!W11/Inputs!$F$247*(1/(1-Inputs!$F$93/100))</f>
        <v>0.535082403840837</v>
      </c>
      <c r="X36" s="13" t="n">
        <f aca="false">Construction!X14*X31*(Construction!X17+Inputs!$F$82)/100*Construction!X11/Inputs!$F$247*(1/(1-Inputs!$F$93/100))</f>
        <v>0.612435511272663</v>
      </c>
      <c r="Y36" s="13" t="n">
        <f aca="false">Construction!Y14*Y31*(Construction!Y17+Inputs!$F$82)/100*Construction!Y11/Inputs!$F$247*(1/(1-Inputs!$F$93/100))</f>
        <v>0.65343422203926</v>
      </c>
      <c r="Z36" s="13" t="n">
        <f aca="false">Construction!Z14*Z31*(Construction!Z17+Inputs!$F$82)/100*Construction!Z11/Inputs!$F$247*(1/(1-Inputs!$F$93/100))</f>
        <v>0.740168080583061</v>
      </c>
      <c r="AA36" s="13" t="n">
        <f aca="false">Construction!AA14*AA31*(Construction!AA17+Inputs!$F$82)/100*Construction!AA11/Inputs!$F$247*(1/(1-Inputs!$F$93/100))</f>
        <v>0.815645251936859</v>
      </c>
      <c r="AB36" s="13" t="n">
        <f aca="false">Construction!AB14*AB31*(Construction!AB17+Inputs!$F$82)/100*Construction!AB11/Inputs!$F$247*(1/(1-Inputs!$F$93/100))</f>
        <v>0.828103276892967</v>
      </c>
      <c r="AC36" s="13" t="n">
        <f aca="false">Construction!AC14*AC31*(Construction!AC17+Inputs!$F$82)/100*Construction!AC11/Inputs!$F$247*(1/(1-Inputs!$F$93/100))</f>
        <v>0.951572415707555</v>
      </c>
      <c r="AD36" s="13" t="n">
        <f aca="false">Construction!AD14*AD31*(Construction!AD17+Inputs!$F$82)/100*Construction!AD11/Inputs!$F$247*(1/(1-Inputs!$F$93/100))</f>
        <v>0.983565451625033</v>
      </c>
      <c r="AE36" s="13" t="n">
        <f aca="false">Construction!AE14*AE31*(Construction!AE17+Inputs!$F$82)/100*Construction!AE11/Inputs!$F$247*(1/(1-Inputs!$F$93/100))</f>
        <v>1.07827325123637</v>
      </c>
      <c r="AF36" s="13" t="n">
        <f aca="false">Construction!AF14*AF31*(Construction!AF17+Inputs!$F$82)/100*Construction!AF11/Inputs!$F$247*(1/(1-Inputs!$F$93/100))</f>
        <v>1.10002659211606</v>
      </c>
      <c r="AG36" s="13" t="n">
        <f aca="false">Construction!AG14*AG31*(Construction!AG17+Inputs!$F$82)/100*Construction!AG11/Inputs!$F$247*(1/(1-Inputs!$F$93/100))</f>
        <v>1.19730490499348</v>
      </c>
      <c r="AH36" s="13" t="n">
        <f aca="false">Construction!AH14*AH31*(Construction!AH17+Inputs!$F$82)/100*Construction!AH11/Inputs!$F$247*(1/(1-Inputs!$F$93/100))</f>
        <v>1.24663079859393</v>
      </c>
      <c r="AI36" s="13" t="n">
        <f aca="false">Construction!AI14*AI31*(Construction!AI17+Inputs!$F$82)/100*Construction!AI11/Inputs!$F$247*(1/(1-Inputs!$F$93/100))</f>
        <v>1.24883945618156</v>
      </c>
      <c r="AJ36" s="13" t="n">
        <f aca="false">Construction!AJ14*AJ31*(Construction!AJ17+Inputs!$F$82)/100*Construction!AJ11/Inputs!$F$247*(1/(1-Inputs!$F$93/100))</f>
        <v>1.32840917864902</v>
      </c>
      <c r="AK36" s="13" t="n">
        <f aca="false">Construction!AK14*AK31*(Construction!AK17+Inputs!$F$82)/100*Construction!AK11/Inputs!$F$247*(1/(1-Inputs!$F$93/100))</f>
        <v>1.31676765653339</v>
      </c>
      <c r="AL36" s="13" t="n">
        <f aca="false">Construction!AL14*AL31*(Construction!AL17+Inputs!$F$82)/100*Construction!AL11/Inputs!$F$247*(1/(1-Inputs!$F$93/100))</f>
        <v>1.387118182927</v>
      </c>
      <c r="AM36" s="13" t="n">
        <f aca="false">Construction!AM14*AM31*(Construction!AM17+Inputs!$F$82)/100*Construction!AM11/Inputs!$F$247*(1/(1-Inputs!$F$93/100))</f>
        <v>1.41437199336147</v>
      </c>
      <c r="AN36" s="13" t="n">
        <f aca="false">Construction!AN14*AN31*(Construction!AN17+Inputs!$F$82)/100*Construction!AN11/Inputs!$F$247*(1/(1-Inputs!$F$93/100))</f>
        <v>1.29271673311016</v>
      </c>
      <c r="AO36" s="13" t="n">
        <f aca="false">Construction!AO14*AO31*(Construction!AO17+Inputs!$F$82)/100*Construction!AO11/Inputs!$F$247*(1/(1-Inputs!$F$93/100))</f>
        <v>1.44396720783724</v>
      </c>
      <c r="AP36" s="13" t="n">
        <f aca="false">Construction!AP14*AP31*(Construction!AP17+Inputs!$F$82)/100*Construction!AP11/Inputs!$F$247*(1/(1-Inputs!$F$93/100))</f>
        <v>1.4076751674055</v>
      </c>
      <c r="AQ36" s="13" t="n">
        <f aca="false">Construction!AQ14*AQ31*(Construction!AQ17+Inputs!$F$82)/100*Construction!AQ11/Inputs!$F$247*(1/(1-Inputs!$F$93/100))</f>
        <v>1.55910413567616</v>
      </c>
      <c r="AR36" s="13" t="n">
        <f aca="false">Construction!AR14*AR31*(Construction!AR17+Inputs!$F$82)/100*Construction!AR11/Inputs!$F$247*(1/(1-Inputs!$F$93/100))</f>
        <v>1.58675296088047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3.66842427749926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0.0305377913563964</v>
      </c>
      <c r="M38" s="13" t="n">
        <f aca="false">Construction!M14*(Inputs!$F$95/100*Inputs!$F$96/100)*M31*Construction!M11/Inputs!$F$248</f>
        <v>0.0303104649984337</v>
      </c>
      <c r="N38" s="13" t="n">
        <f aca="false">Construction!N14*(Inputs!$F$95/100*Inputs!$F$96/100)*N31*Construction!N11/Inputs!$F$248</f>
        <v>0.032428310323724</v>
      </c>
      <c r="O38" s="13" t="n">
        <f aca="false">Construction!O14*(Inputs!$F$95/100*Inputs!$F$96/100)*O31*Construction!O11/Inputs!$F$248</f>
        <v>0.0340235296197891</v>
      </c>
      <c r="P38" s="13" t="n">
        <f aca="false">Construction!P14*(Inputs!$F$95/100*Inputs!$F$96/100)*P31*Construction!P11/Inputs!$F$248</f>
        <v>0.0327168489044885</v>
      </c>
      <c r="Q38" s="13" t="n">
        <f aca="false">Construction!Q14*(Inputs!$F$95/100*Inputs!$F$96/100)*Q31*Construction!Q11/Inputs!$F$248</f>
        <v>0.0390909743508979</v>
      </c>
      <c r="R38" s="13" t="n">
        <f aca="false">Construction!R14*(Inputs!$F$95/100*Inputs!$F$96/100)*R31*Construction!R11/Inputs!$F$248</f>
        <v>0.0413540539862497</v>
      </c>
      <c r="S38" s="13" t="n">
        <f aca="false">Construction!S14*(Inputs!$F$95/100*Inputs!$F$96/100)*S31*Construction!S11/Inputs!$F$248</f>
        <v>0.0471444184123536</v>
      </c>
      <c r="T38" s="13" t="n">
        <f aca="false">Construction!T14*(Inputs!$F$95/100*Inputs!$F$96/100)*T31*Construction!T11/Inputs!$F$248</f>
        <v>0.0506522234970869</v>
      </c>
      <c r="U38" s="13" t="n">
        <f aca="false">Construction!U14*(Inputs!$F$95/100*Inputs!$F$96/100)*U31*Construction!U11/Inputs!$F$248</f>
        <v>0.0582708770189608</v>
      </c>
      <c r="V38" s="13" t="n">
        <f aca="false">Construction!V14*(Inputs!$F$95/100*Inputs!$F$96/100)*V31*Construction!V11/Inputs!$F$248</f>
        <v>0.0649048000826141</v>
      </c>
      <c r="W38" s="13" t="n">
        <f aca="false">Construction!W14*(Inputs!$F$95/100*Inputs!$F$96/100)*W31*Construction!W11/Inputs!$F$248</f>
        <v>0.0698297529981266</v>
      </c>
      <c r="X38" s="13" t="n">
        <f aca="false">Construction!X14*(Inputs!$F$95/100*Inputs!$F$96/100)*X31*Construction!X11/Inputs!$F$248</f>
        <v>0.079924550260809</v>
      </c>
      <c r="Y38" s="13" t="n">
        <f aca="false">Construction!Y14*(Inputs!$F$95/100*Inputs!$F$96/100)*Y31*Construction!Y11/Inputs!$F$248</f>
        <v>0.0852749968939311</v>
      </c>
      <c r="Z38" s="13" t="n">
        <f aca="false">Construction!Z14*(Inputs!$F$95/100*Inputs!$F$96/100)*Z31*Construction!Z11/Inputs!$F$248</f>
        <v>0.0965940084615207</v>
      </c>
      <c r="AA38" s="13" t="n">
        <f aca="false">Construction!AA14*(Inputs!$F$95/100*Inputs!$F$96/100)*AA31*Construction!AA11/Inputs!$F$248</f>
        <v>0.105247990912924</v>
      </c>
      <c r="AB38" s="13" t="n">
        <f aca="false">Construction!AB14*(Inputs!$F$95/100*Inputs!$F$96/100)*AB31*Construction!AB11/Inputs!$F$248</f>
        <v>0.106855530580763</v>
      </c>
      <c r="AC38" s="13" t="n">
        <f aca="false">Construction!AC14*(Inputs!$F$95/100*Inputs!$F$96/100)*AC31*Construction!AC11/Inputs!$F$248</f>
        <v>0.122787553441347</v>
      </c>
      <c r="AD38" s="13" t="n">
        <f aca="false">Construction!AD14*(Inputs!$F$95/100*Inputs!$F$96/100)*AD31*Construction!AD11/Inputs!$F$248</f>
        <v>0.126915822128651</v>
      </c>
      <c r="AE38" s="13" t="n">
        <f aca="false">Construction!AE14*(Inputs!$F$95/100*Inputs!$F$96/100)*AE31*Construction!AE11/Inputs!$F$248</f>
        <v>0.139136583065109</v>
      </c>
      <c r="AF38" s="13" t="n">
        <f aca="false">Construction!AF14*(Inputs!$F$95/100*Inputs!$F$96/100)*AF31*Construction!AF11/Inputs!$F$248</f>
        <v>0.141943557565107</v>
      </c>
      <c r="AG38" s="13" t="n">
        <f aca="false">Construction!AG14*(Inputs!$F$95/100*Inputs!$F$96/100)*AG31*Construction!AG11/Inputs!$F$248</f>
        <v>0.153632902288403</v>
      </c>
      <c r="AH38" s="13" t="n">
        <f aca="false">Construction!AH14*(Inputs!$F$95/100*Inputs!$F$96/100)*AH31*Construction!AH11/Inputs!$F$248</f>
        <v>0.159962184128142</v>
      </c>
      <c r="AI38" s="13" t="n">
        <f aca="false">Construction!AI14*(Inputs!$F$95/100*Inputs!$F$96/100)*AI31*Construction!AI11/Inputs!$F$248</f>
        <v>0.160245589360957</v>
      </c>
      <c r="AJ38" s="13" t="n">
        <f aca="false">Construction!AJ14*(Inputs!$F$95/100*Inputs!$F$96/100)*AJ31*Construction!AJ11/Inputs!$F$248</f>
        <v>0.170455626374899</v>
      </c>
      <c r="AK38" s="13" t="n">
        <f aca="false">Construction!AK14*(Inputs!$F$95/100*Inputs!$F$96/100)*AK31*Construction!AK11/Inputs!$F$248</f>
        <v>0.168961837430897</v>
      </c>
      <c r="AL38" s="13" t="n">
        <f aca="false">Construction!AL14*(Inputs!$F$95/100*Inputs!$F$96/100)*AL31*Construction!AL11/Inputs!$F$248</f>
        <v>0.177988907730443</v>
      </c>
      <c r="AM38" s="13" t="n">
        <f aca="false">Construction!AM14*(Inputs!$F$95/100*Inputs!$F$96/100)*AM31*Construction!AM11/Inputs!$F$248</f>
        <v>0.180728753502328</v>
      </c>
      <c r="AN38" s="13" t="n">
        <f aca="false">Construction!AN14*(Inputs!$F$95/100*Inputs!$F$96/100)*AN31*Construction!AN11/Inputs!$F$248</f>
        <v>0.165183618526935</v>
      </c>
      <c r="AO38" s="13" t="n">
        <f aca="false">Construction!AO14*(Inputs!$F$95/100*Inputs!$F$96/100)*AO31*Construction!AO11/Inputs!$F$248</f>
        <v>0.184510436289421</v>
      </c>
      <c r="AP38" s="13" t="n">
        <f aca="false">Construction!AP14*(Inputs!$F$95/100*Inputs!$F$96/100)*AP31*Construction!AP11/Inputs!$F$248</f>
        <v>0.179873031660319</v>
      </c>
      <c r="AQ38" s="13" t="n">
        <f aca="false">Construction!AQ14*(Inputs!$F$95/100*Inputs!$F$96/100)*AQ31*Construction!AQ11/Inputs!$F$248</f>
        <v>0.199222657365688</v>
      </c>
      <c r="AR38" s="13" t="n">
        <f aca="false">Construction!AR14*(Inputs!$F$95/100*Inputs!$F$96/100)*AR31*Construction!AR11/Inputs!$F$248</f>
        <v>0.202755630118565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9.25444184477304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0.467535840945703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0.45048458082875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0.462622304866772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0.458476264705057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0.408946109457512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0.445305768695968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0.421781841596658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0.424374538362131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0.397615518936535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0.39545641760316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0.378214580371452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0.347772335801834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0.339177635663395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0.307629515527878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0.29585303236612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0.273360978207299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0.233898735667273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0.22777493819316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0.199403308500444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0.185283141866231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0.160345609779737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0.147606615607384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0.13115655337011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0.112777880970443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0.103883668007573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0.0901239959236763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0.0843043618102219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0.0771833906464697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0.0646595600771067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0.0673546424907613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0.0617653560808379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0.0291169784901462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0.0022925472662138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Construction!J14*(Construction!J32+Construction!J38)+J33+J34+J35+J36+J37+J38+J39+J40+J41+J42+J43+J44+J79</f>
        <v>118.606330363224</v>
      </c>
      <c r="K45" s="13" t="n">
        <f aca="false">Construction!K14*(Construction!K32+Construction!K38)+K33+K34+K35+K36+K37+K38+K39+K40+K41+K42+K43+K44+K79</f>
        <v>2.43384191930603</v>
      </c>
      <c r="L45" s="13" t="n">
        <f aca="false">Construction!L14*(Construction!L32+Construction!L38)+L33+L34+L35+L36+L37+L38+L39+L40+L41+L42+L43+L44+L79</f>
        <v>3.1036028181447</v>
      </c>
      <c r="M45" s="13" t="n">
        <f aca="false">Construction!M14*(Construction!M32+Construction!M38)+M33+M34+M35+M36+M37+M38+M39+M40+M41+M42+M43+M44+M79</f>
        <v>4.38969421955323</v>
      </c>
      <c r="N45" s="13" t="n">
        <f aca="false">Construction!N14*(Construction!N32+Construction!N38)+N33+N34+N35+N36+N37+N38+N39+N40+N41+N42+N43+N44+N79</f>
        <v>6.32284162828597</v>
      </c>
      <c r="O45" s="13" t="n">
        <f aca="false">Construction!O14*(Construction!O32+Construction!O38)+O33+O34+O35+O36+O37+O38+O39+O40+O41+O42+O43+O44+O79</f>
        <v>8.71479321626865</v>
      </c>
      <c r="P45" s="13" t="n">
        <f aca="false">Construction!P14*(Construction!P32+Construction!P38)+P33+P34+P35+P36+P37+P38+P39+P40+P41+P42+P43+P44+P79</f>
        <v>11.3706273738202</v>
      </c>
      <c r="Q45" s="13" t="n">
        <f aca="false">Construction!Q14*(Construction!Q32+Construction!Q38)+Q33+Q34+Q35+Q36+Q37+Q38+Q39+Q40+Q41+Q42+Q43+Q44+Q79</f>
        <v>14.4337095123824</v>
      </c>
      <c r="R45" s="13" t="n">
        <f aca="false">Construction!R14*(Construction!R32+Construction!R38)+R33+R34+R35+R36+R37+R38+R39+R40+R41+R42+R43+R44+R79</f>
        <v>17.4870749769041</v>
      </c>
      <c r="S45" s="13" t="n">
        <f aca="false">Construction!S14*(Construction!S32+Construction!S38)+S33+S34+S35+S36+S37+S38+S39+S40+S41+S42+S43+S44+S79</f>
        <v>20.5958071122019</v>
      </c>
      <c r="T45" s="13" t="n">
        <f aca="false">Construction!T14*(Construction!T32+Construction!T38)+T33+T34+T35+T36+T37+T38+T39+T40+T41+T42+T43+T44+T79</f>
        <v>23.5052364413651</v>
      </c>
      <c r="U45" s="13" t="n">
        <f aca="false">Construction!U14*(Construction!U32+Construction!U38)+U33+U34+U35+U36+U37+U38+U39+U40+U41+U42+U43+U44+U79</f>
        <v>26.2943439871741</v>
      </c>
      <c r="V45" s="13" t="n">
        <f aca="false">Construction!V14*(Construction!V32+Construction!V38)+V33+V34+V35+V36+V37+V38+V39+V40+V41+V42+V43+V44+V79</f>
        <v>28.746588674662</v>
      </c>
      <c r="W45" s="13" t="n">
        <f aca="false">Construction!W14*(Construction!W32+Construction!W38)+W33+W34+W35+W36+W37+W38+W39+W40+W41+W42+W43+W44+W79</f>
        <v>30.785979610715</v>
      </c>
      <c r="X45" s="13" t="n">
        <f aca="false">Construction!X14*(Construction!X32+Construction!X38)+X33+X34+X35+X36+X37+X38+X39+X40+X41+X42+X43+X44+X79</f>
        <v>32.4737191327687</v>
      </c>
      <c r="Y45" s="13" t="n">
        <f aca="false">Construction!Y14*(Construction!Y32+Construction!Y38)+Y33+Y34+Y35+Y36+Y37+Y38+Y39+Y40+Y41+Y42+Y43+Y44+Y79</f>
        <v>33.5976633363489</v>
      </c>
      <c r="Z45" s="13" t="n">
        <f aca="false">Construction!Z14*(Construction!Z32+Construction!Z38)+Z33+Z34+Z35+Z36+Z37+Z38+Z39+Z40+Z41+Z42+Z43+Z44+Z79</f>
        <v>34.301089906046</v>
      </c>
      <c r="AA45" s="13" t="n">
        <f aca="false">Construction!AA14*(Construction!AA32+Construction!AA38)+AA33+AA34+AA35+AA36+AA37+AA38+AA39+AA40+AA41+AA42+AA43+AA44+AA79</f>
        <v>35.5809589659477</v>
      </c>
      <c r="AB45" s="13" t="n">
        <f aca="false">Construction!AB14*(Construction!AB32+Construction!AB38)+AB33+AB34+AB35+AB36+AB37+AB38+AB39+AB40+AB41+AB42+AB43+AB44+AB79</f>
        <v>33.9391856124134</v>
      </c>
      <c r="AC45" s="13" t="n">
        <f aca="false">Construction!AC14*(Construction!AC32+Construction!AC38)+AC33+AC34+AC35+AC36+AC37+AC38+AC39+AC40+AC41+AC42+AC43+AC44+AC79</f>
        <v>33.1310836200673</v>
      </c>
      <c r="AD45" s="13" t="n">
        <f aca="false">Construction!AD14*(Construction!AD32+Construction!AD38)+AD33+AD34+AD35+AD36+AD37+AD38+AD39+AD40+AD41+AD42+AD43+AD44+AD79</f>
        <v>31.6702420297621</v>
      </c>
      <c r="AE45" s="13" t="n">
        <f aca="false">Construction!AE14*(Construction!AE32+Construction!AE38)+AE33+AE34+AE35+AE36+AE37+AE38+AE39+AE40+AE41+AE42+AE43+AE44+AE79</f>
        <v>29.879450737808</v>
      </c>
      <c r="AF45" s="13" t="n">
        <f aca="false">Construction!AF14*(Construction!AF32+Construction!AF38)+AF33+AF34+AF35+AF36+AF37+AF38+AF39+AF40+AF41+AF42+AF43+AF44+AF79</f>
        <v>27.5784366310691</v>
      </c>
      <c r="AG45" s="13" t="n">
        <f aca="false">Construction!AG14*(Construction!AG32+Construction!AG38)+AG33+AG34+AG35+AG36+AG37+AG38+AG39+AG40+AG41+AG42+AG43+AG44+AG79</f>
        <v>25.0868622214952</v>
      </c>
      <c r="AH45" s="13" t="n">
        <f aca="false">Construction!AH14*(Construction!AH32+Construction!AH38)+AH33+AH34+AH35+AH36+AH37+AH38+AH39+AH40+AH41+AH42+AH43+AH44+AH79</f>
        <v>22.2950595341123</v>
      </c>
      <c r="AI45" s="13" t="n">
        <f aca="false">Construction!AI14*(Construction!AI32+Construction!AI38)+AI33+AI34+AI35+AI36+AI37+AI38+AI39+AI40+AI41+AI42+AI43+AI44+AI79</f>
        <v>19.2969483017208</v>
      </c>
      <c r="AJ45" s="13" t="n">
        <f aca="false">Construction!AJ14*(Construction!AJ32+Construction!AJ38)+AJ33+AJ34+AJ35+AJ36+AJ37+AJ38+AJ39+AJ40+AJ41+AJ42+AJ43+AJ44+AJ79</f>
        <v>16.4025350342263</v>
      </c>
      <c r="AK45" s="13" t="n">
        <f aca="false">Construction!AK14*(Construction!AK32+Construction!AK38)+AK33+AK34+AK35+AK36+AK37+AK38+AK39+AK40+AK41+AK42+AK43+AK44+AK79</f>
        <v>13.4565226325876</v>
      </c>
      <c r="AL45" s="13" t="n">
        <f aca="false">Construction!AL14*(Construction!AL32+Construction!AL38)+AL33+AL34+AL35+AL36+AL37+AL38+AL39+AL40+AL41+AL42+AL43+AL44+AL79</f>
        <v>10.8597049598704</v>
      </c>
      <c r="AM45" s="13" t="n">
        <f aca="false">Construction!AM14*(Construction!AM32+Construction!AM38)+AM33+AM34+AM35+AM36+AM37+AM38+AM39+AM40+AM41+AM42+AM43+AM44+AM79</f>
        <v>8.53410733528511</v>
      </c>
      <c r="AN45" s="13" t="n">
        <f aca="false">Construction!AN14*(Construction!AN32+Construction!AN38)+AN33+AN34+AN35+AN36+AN37+AN38+AN39+AN40+AN41+AN42+AN43+AN44+AN79</f>
        <v>6.45504268952994</v>
      </c>
      <c r="AO45" s="13" t="n">
        <f aca="false">Construction!AO14*(Construction!AO32+Construction!AO38)+AO33+AO34+AO35+AO36+AO37+AO38+AO39+AO40+AO41+AO42+AO43+AO44+AO79</f>
        <v>5.3840338637843</v>
      </c>
      <c r="AP45" s="13" t="n">
        <f aca="false">Construction!AP14*(Construction!AP32+Construction!AP38)+AP33+AP34+AP35+AP36+AP37+AP38+AP39+AP40+AP41+AP42+AP43+AP44+AP79</f>
        <v>52.9296062075416</v>
      </c>
      <c r="AQ45" s="13" t="n">
        <f aca="false">Construction!AQ14*(Construction!AQ32+Construction!AQ38)+AQ33+AQ34+AQ35+AQ36+AQ37+AQ38+AQ39+AQ40+AQ41+AQ42+AQ43+AQ44+AQ79</f>
        <v>40.7915609492879</v>
      </c>
      <c r="AR45" s="13" t="n">
        <f aca="false">Construction!AR14*(Construction!AR32+Construction!AR38)+AR33+AR34+AR35+AR36+AR37+AR38+AR39+AR40+AR41+AR42+AR43+AR44+AR79</f>
        <v>3.61274689787676</v>
      </c>
      <c r="AS45" s="13" t="n">
        <f aca="false">Construction!AS14*(Construction!AS32+Construction!AS38)+AS33+AS34+AS35+AS36+AS37+AS38+AS39+AS40+AS41+AS42+AS43+AS44+AS79</f>
        <v>0</v>
      </c>
      <c r="AT45" s="13" t="n">
        <f aca="false">Construction!AT14*(Construction!AT32+Construction!AT38)+AT33+AT34+AT35+AT36+AT37+AT38+AT39+AT40+AT41+AT42+AT43+AT44+AT79</f>
        <v>0</v>
      </c>
      <c r="AU45" s="13" t="n">
        <f aca="false">Construction!AU14*(Construction!AU32+Construction!AU38)+AU33+AU34+AU35+AU36+AU37+AU38+AU39+AU40+AU41+AU42+AU43+AU44+AU79</f>
        <v>0</v>
      </c>
      <c r="AV45" s="13" t="n">
        <f aca="false">Construction!AV14*(Construction!AV32+Construction!AV38)+AV33+AV34+AV35+AV36+AV37+AV38+AV39+AV40+AV41+AV42+AV43+AV44+AV79</f>
        <v>0</v>
      </c>
      <c r="AW45" s="13" t="n">
        <f aca="false">Construction!AW14*(Construction!AW32+Construction!AW38)+AW33+AW34+AW35+AW36+AW37+AW38+AW39+AW40+AW41+AW42+AW43+AW44+AW79</f>
        <v>0</v>
      </c>
      <c r="AX45" s="13" t="n">
        <f aca="false">Construction!AX14*(Construction!AX32+Construction!AX38)+AX33+AX34+AX35+AX36+AX37+AX38+AX39+AX40+AX41+AX42+AX43+AX44+AX79</f>
        <v>0</v>
      </c>
      <c r="AY45" s="13" t="n">
        <f aca="false">Construction!AY14*(Construction!AY32+Construction!AY38)+AY33+AY34+AY35+AY36+AY37+AY38+AY39+AY40+AY41+AY42+AY43+AY44+AY79</f>
        <v>0</v>
      </c>
      <c r="AZ45" s="13" t="n">
        <f aca="false">Construction!AZ14*(Construction!AZ32+Construction!AZ38)+AZ33+AZ34+AZ35+AZ36+AZ37+AZ38+AZ39+AZ40+AZ41+AZ42+AZ43+AZ44+AZ79</f>
        <v>0</v>
      </c>
      <c r="BA45" s="13" t="n">
        <f aca="false">Construction!BA14*(Construction!BA32+Construction!BA38)+BA33+BA34+BA35+BA36+BA37+BA38+BA39+BA40+BA41+BA42+BA43+BA44+BA79</f>
        <v>0</v>
      </c>
      <c r="BB45" s="13" t="n">
        <f aca="false">Construction!BB14*(Construction!BB32+Construction!BB38)+BB33+BB34+BB35+BB36+BB37+BB38+BB39+BB40+BB41+BB42+BB43+BB44+BB79</f>
        <v>0</v>
      </c>
      <c r="BC45" s="13" t="n">
        <f aca="false">Construction!BC14*(Construction!BC32+Construction!BC38)+BC33+BC34+BC35+BC36+BC37+BC38+BC39+BC40+BC41+BC42+BC43+BC44+BC79</f>
        <v>0</v>
      </c>
      <c r="BD45" s="13" t="n">
        <f aca="false">Construction!BD14*(Construction!BD32+Construction!BD38)+BD33+BD34+BD35+BD36+BD37+BD38+BD39+BD40+BD41+BD42+BD43+BD44+BD79</f>
        <v>0</v>
      </c>
      <c r="BE45" s="13" t="n">
        <f aca="false">Construction!BE14*(Construction!BE32+Construction!BE38)+BE33+BE34+BE35+BE36+BE37+BE38+BE39+BE40+BE41+BE42+BE43+BE44+BE79</f>
        <v>0</v>
      </c>
      <c r="BF45" s="13" t="n">
        <f aca="false">Construction!BF14*(Construction!BF32+Construction!BF38)+BF33+BF34+BF35+BF36+BF37+BF38+BF39+BF40+BF41+BF42+BF43+BF44+BF79</f>
        <v>0</v>
      </c>
      <c r="BG45" s="13" t="n">
        <f aca="false">Construction!BG14*(Construction!BG32+Construction!BG38)+BG33+BG34+BG35+BG36+BG37+BG38+BG39+BG40+BG41+BG42+BG43+BG44+BG79</f>
        <v>0</v>
      </c>
      <c r="BH45" s="13" t="n">
        <f aca="false">Construction!BH14*(Construction!BH32+Construction!BH38)+BH33+BH34+BH35+BH36+BH37+BH38+BH39+BH40+BH41+BH42+BH43+BH44+BH79</f>
        <v>0</v>
      </c>
      <c r="BI45" s="13" t="n">
        <f aca="false">Construction!BI14*(Construction!BI32+Construction!BI38)+BI33+BI34+BI35+BI36+BI37+BI38+BI39+BI40+BI41+BI42+BI43+BI44+BI79</f>
        <v>0</v>
      </c>
      <c r="BJ45" s="13" t="n">
        <f aca="false">Construction!BJ14*(Construction!BJ32+Construction!BJ38)+BJ33+BJ34+BJ35+BJ36+BJ37+BJ38+BJ39+BJ40+BJ41+BJ42+BJ43+BJ44+BJ79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538.528910483881</v>
      </c>
      <c r="M46" s="13" t="n">
        <f aca="false">$F$25-M28-M29-M30-M31</f>
        <v>536.184781783872</v>
      </c>
      <c r="N46" s="13" t="n">
        <f aca="false">$F$25-N28-N29-N30-N31</f>
        <v>532.869277575615</v>
      </c>
      <c r="O46" s="13" t="n">
        <f aca="false">$F$25-O28-O29-O30-O31</f>
        <v>528.093681149479</v>
      </c>
      <c r="P46" s="13" t="n">
        <f aca="false">$F$25-P28-P29-P30-P31</f>
        <v>521.511461036304</v>
      </c>
      <c r="Q46" s="13" t="n">
        <f aca="false">$F$25-Q28-Q29-Q30-Q31</f>
        <v>512.923308645073</v>
      </c>
      <c r="R46" s="13" t="n">
        <f aca="false">$F$25-R28-R29-R30-R31</f>
        <v>502.02163252925</v>
      </c>
      <c r="S46" s="13" t="n">
        <f aca="false">$F$25-S28-S29-S30-S31</f>
        <v>488.813771622269</v>
      </c>
      <c r="T46" s="13" t="n">
        <f aca="false">$F$25-T28-T29-T30-T31</f>
        <v>473.257907879232</v>
      </c>
      <c r="U46" s="13" t="n">
        <f aca="false">$F$25-U28-U29-U30-U31</f>
        <v>455.504573264193</v>
      </c>
      <c r="V46" s="13" t="n">
        <f aca="false">$F$25-V28-V29-V30-V31</f>
        <v>435.644645947498</v>
      </c>
      <c r="W46" s="13" t="n">
        <f aca="false">$F$25-W28-W29-W30-W31</f>
        <v>413.932556002976</v>
      </c>
      <c r="X46" s="13" t="n">
        <f aca="false">$F$25-X28-X29-X30-X31</f>
        <v>390.68012887491</v>
      </c>
      <c r="Y46" s="13" t="n">
        <f aca="false">$F$25-Y28-Y29-Y30-Y31</f>
        <v>366.152964325981</v>
      </c>
      <c r="Z46" s="13" t="n">
        <f aca="false">$F$25-Z28-Z29-Z30-Z31</f>
        <v>340.776892871369</v>
      </c>
      <c r="AA46" s="13" t="n">
        <f aca="false">$F$25-AA28-AA29-AA30-AA31</f>
        <v>314.869528430187</v>
      </c>
      <c r="AB46" s="13" t="n">
        <f aca="false">$F$25-AB28-AB29-AB30-AB31</f>
        <v>287.995488170171</v>
      </c>
      <c r="AC46" s="13" t="n">
        <f aca="false">$F$25-AC28-AC29-AC30-AC31</f>
        <v>262.3614674173</v>
      </c>
      <c r="AD46" s="13" t="n">
        <f aca="false">$F$25-AD28-AD29-AD30-AD31</f>
        <v>237.337800238577</v>
      </c>
      <c r="AE46" s="13" t="n">
        <f aca="false">$F$25-AE28-AE29-AE30-AE31</f>
        <v>213.41749611842</v>
      </c>
      <c r="AF46" s="13" t="n">
        <f aca="false">$F$25-AF28-AF29-AF30-AF31</f>
        <v>190.849763673561</v>
      </c>
      <c r="AG46" s="13" t="n">
        <f aca="false">$F$25-AG28-AG29-AG30-AG31</f>
        <v>170.019970495671</v>
      </c>
      <c r="AH46" s="13" t="n">
        <f aca="false">$F$25-AH28-AH29-AH30-AH31</f>
        <v>151.072045399465</v>
      </c>
      <c r="AI46" s="13" t="n">
        <f aca="false">$F$25-AI28-AI29-AI30-AI31</f>
        <v>134.2327486258</v>
      </c>
      <c r="AJ46" s="13" t="n">
        <f aca="false">$F$25-AJ28-AJ29-AJ30-AJ31</f>
        <v>119.657903522491</v>
      </c>
      <c r="AK46" s="13" t="n">
        <f aca="false">$F$25-AK28-AK29-AK30-AK31</f>
        <v>107.269187768708</v>
      </c>
      <c r="AL46" s="13" t="n">
        <f aca="false">$F$25-AL28-AL29-AL30-AL31</f>
        <v>97.1055738162547</v>
      </c>
      <c r="AM46" s="13" t="n">
        <f aca="false">$F$25-AM28-AM29-AM30-AM31</f>
        <v>88.9033174188719</v>
      </c>
      <c r="AN46" s="13" t="n">
        <f aca="false">$F$25-AN28-AN29-AN30-AN31</f>
        <v>82.4575680411994</v>
      </c>
      <c r="AO46" s="13" t="n">
        <f aca="false">$F$25-AO28-AO29-AO30-AO31</f>
        <v>77.5821211122795</v>
      </c>
      <c r="AP46" s="13" t="n">
        <f aca="false">$F$25-AP28-AP29-AP30-AP31</f>
        <v>73.5155993820724</v>
      </c>
      <c r="AQ46" s="13" t="n">
        <f aca="false">$F$25-AQ28-AQ29-AQ30-AQ31</f>
        <v>33.5382516796226</v>
      </c>
      <c r="AR46" s="13" t="n">
        <f aca="false">$F$25-AR28-AR29-AR30-AR31</f>
        <v>2.72868153090315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629.949674778433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1.83826315048291</v>
      </c>
      <c r="L47" s="13" t="n">
        <f aca="false">MIN($F$26*L45/(1-Inputs!$F$94/100*Inputs!$F$75*$F$26),L46)</f>
        <v>2.34412870000902</v>
      </c>
      <c r="M47" s="13" t="n">
        <f aca="false">MIN($F$26*M45/(1-Inputs!$F$94/100*Inputs!$F$75*$F$26),M46)</f>
        <v>3.31550420825744</v>
      </c>
      <c r="N47" s="13" t="n">
        <f aca="false">MIN($F$26*N45/(1-Inputs!$F$94/100*Inputs!$F$75*$F$26),N46)</f>
        <v>4.77559642613582</v>
      </c>
      <c r="O47" s="13" t="n">
        <f aca="false">MIN($F$26*O45/(1-Inputs!$F$94/100*Inputs!$F$75*$F$26),O46)</f>
        <v>6.58222011317518</v>
      </c>
      <c r="P47" s="13" t="n">
        <f aca="false">MIN($F$26*P45/(1-Inputs!$F$94/100*Inputs!$F$75*$F$26),P46)</f>
        <v>8.58815239123082</v>
      </c>
      <c r="Q47" s="13" t="n">
        <f aca="false">MIN($F$26*Q45/(1-Inputs!$F$94/100*Inputs!$F$75*$F$26),Q46)</f>
        <v>10.9016761158229</v>
      </c>
      <c r="R47" s="13" t="n">
        <f aca="false">MIN($F$26*R45/(1-Inputs!$F$94/100*Inputs!$F$75*$F$26),R46)</f>
        <v>13.2078609069813</v>
      </c>
      <c r="S47" s="13" t="n">
        <f aca="false">MIN($F$26*S45/(1-Inputs!$F$94/100*Inputs!$F$75*$F$26),S46)</f>
        <v>15.5558637430362</v>
      </c>
      <c r="T47" s="13" t="n">
        <f aca="false">MIN($F$26*T45/(1-Inputs!$F$94/100*Inputs!$F$75*$F$26),T46)</f>
        <v>17.7533346150393</v>
      </c>
      <c r="U47" s="13" t="n">
        <f aca="false">MIN($F$26*U45/(1-Inputs!$F$94/100*Inputs!$F$75*$F$26),U46)</f>
        <v>19.8599273166953</v>
      </c>
      <c r="V47" s="13" t="n">
        <f aca="false">MIN($F$26*V45/(1-Inputs!$F$94/100*Inputs!$F$75*$F$26),V46)</f>
        <v>21.7120899445219</v>
      </c>
      <c r="W47" s="13" t="n">
        <f aca="false">MIN($F$26*W45/(1-Inputs!$F$94/100*Inputs!$F$75*$F$26),W46)</f>
        <v>23.2524271280659</v>
      </c>
      <c r="X47" s="13" t="n">
        <f aca="false">MIN($F$26*X45/(1-Inputs!$F$94/100*Inputs!$F$75*$F$26),X46)</f>
        <v>24.5271645489291</v>
      </c>
      <c r="Y47" s="13" t="n">
        <f aca="false">MIN($F$26*Y45/(1-Inputs!$F$94/100*Inputs!$F$75*$F$26),Y46)</f>
        <v>25.3760714546124</v>
      </c>
      <c r="Z47" s="13" t="n">
        <f aca="false">MIN($F$26*Z45/(1-Inputs!$F$94/100*Inputs!$F$75*$F$26),Z46)</f>
        <v>25.9073644411813</v>
      </c>
      <c r="AA47" s="13" t="n">
        <f aca="false">MIN($F$26*AA45/(1-Inputs!$F$94/100*Inputs!$F$75*$F$26),AA46)</f>
        <v>26.8740402600165</v>
      </c>
      <c r="AB47" s="13" t="n">
        <f aca="false">MIN($F$26*AB45/(1-Inputs!$F$94/100*Inputs!$F$75*$F$26),AB46)</f>
        <v>25.6340207528713</v>
      </c>
      <c r="AC47" s="13" t="n">
        <f aca="false">MIN($F$26*AC45/(1-Inputs!$F$94/100*Inputs!$F$75*$F$26),AC46)</f>
        <v>25.0236671787226</v>
      </c>
      <c r="AD47" s="13" t="n">
        <f aca="false">MIN($F$26*AD45/(1-Inputs!$F$94/100*Inputs!$F$75*$F$26),AD46)</f>
        <v>23.9203041201569</v>
      </c>
      <c r="AE47" s="13" t="n">
        <f aca="false">MIN($F$26*AE45/(1-Inputs!$F$94/100*Inputs!$F$75*$F$26),AE46)</f>
        <v>22.5677324448594</v>
      </c>
      <c r="AF47" s="13" t="n">
        <f aca="false">MIN($F$26*AF45/(1-Inputs!$F$94/100*Inputs!$F$75*$F$26),AF46)</f>
        <v>20.8297931778895</v>
      </c>
      <c r="AG47" s="13" t="n">
        <f aca="false">MIN($F$26*AG45/(1-Inputs!$F$94/100*Inputs!$F$75*$F$26),AG46)</f>
        <v>18.9479250962057</v>
      </c>
      <c r="AH47" s="13" t="n">
        <f aca="false">MIN($F$26*AH45/(1-Inputs!$F$94/100*Inputs!$F$75*$F$26),AH46)</f>
        <v>16.8392967736652</v>
      </c>
      <c r="AI47" s="13" t="n">
        <f aca="false">MIN($F$26*AI45/(1-Inputs!$F$94/100*Inputs!$F$75*$F$26),AI46)</f>
        <v>14.5748451033096</v>
      </c>
      <c r="AJ47" s="13" t="n">
        <f aca="false">MIN($F$26*AJ45/(1-Inputs!$F$94/100*Inputs!$F$75*$F$26),AJ46)</f>
        <v>12.3887157537825</v>
      </c>
      <c r="AK47" s="13" t="n">
        <f aca="false">MIN($F$26*AK45/(1-Inputs!$F$94/100*Inputs!$F$75*$F$26),AK46)</f>
        <v>10.1636139524535</v>
      </c>
      <c r="AL47" s="13" t="n">
        <f aca="false">MIN($F$26*AL45/(1-Inputs!$F$94/100*Inputs!$F$75*$F$26),AL46)</f>
        <v>8.20225639738271</v>
      </c>
      <c r="AM47" s="13" t="n">
        <f aca="false">MIN($F$26*AM45/(1-Inputs!$F$94/100*Inputs!$F$75*$F$26),AM46)</f>
        <v>6.44574937767265</v>
      </c>
      <c r="AN47" s="13" t="n">
        <f aca="false">MIN($F$26*AN45/(1-Inputs!$F$94/100*Inputs!$F$75*$F$26),AN46)</f>
        <v>4.87544692891983</v>
      </c>
      <c r="AO47" s="13" t="n">
        <f aca="false">MIN($F$26*AO45/(1-Inputs!$F$94/100*Inputs!$F$75*$F$26),AO46)</f>
        <v>4.06652173020704</v>
      </c>
      <c r="AP47" s="13" t="n">
        <f aca="false">MIN($F$26*AP45/(1-Inputs!$F$94/100*Inputs!$F$75*$F$26),AP46)</f>
        <v>39.9773477024498</v>
      </c>
      <c r="AQ47" s="13" t="n">
        <f aca="false">MIN($F$26*AQ45/(1-Inputs!$F$94/100*Inputs!$F$75*$F$26),AQ46)</f>
        <v>30.8095701487195</v>
      </c>
      <c r="AR47" s="13" t="n">
        <f aca="false">MIN($F$26*AR45/(1-Inputs!$F$94/100*Inputs!$F$75*$F$26),AR46)</f>
        <v>2.72868153090315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20.504861914038</v>
      </c>
      <c r="J48" s="13" t="n">
        <f aca="false">Inputs!$F$94/100*Inputs!$F$75*J47</f>
        <v>2.91591041223946</v>
      </c>
      <c r="K48" s="13" t="n">
        <f aca="false">Inputs!$F$94/100*Inputs!$F$75*K47</f>
        <v>0.0598354655482186</v>
      </c>
      <c r="L48" s="13" t="n">
        <f aca="false">Inputs!$F$94/100*Inputs!$F$75*L47</f>
        <v>0.0763013891852935</v>
      </c>
      <c r="M48" s="13" t="n">
        <f aca="false">Inputs!$F$94/100*Inputs!$F$75*M47</f>
        <v>0.10791966197878</v>
      </c>
      <c r="N48" s="13" t="n">
        <f aca="false">Inputs!$F$94/100*Inputs!$F$75*N47</f>
        <v>0.155445663670721</v>
      </c>
      <c r="O48" s="13" t="n">
        <f aca="false">Inputs!$F$94/100*Inputs!$F$75*O47</f>
        <v>0.214251264683852</v>
      </c>
      <c r="P48" s="13" t="n">
        <f aca="false">Inputs!$F$94/100*Inputs!$F$75*P47</f>
        <v>0.279544360334563</v>
      </c>
      <c r="Q48" s="13" t="n">
        <f aca="false">Inputs!$F$94/100*Inputs!$F$75*Q47</f>
        <v>0.354849557570036</v>
      </c>
      <c r="R48" s="13" t="n">
        <f aca="false">Inputs!$F$94/100*Inputs!$F$75*R47</f>
        <v>0.429915872522241</v>
      </c>
      <c r="S48" s="13" t="n">
        <f aca="false">Inputs!$F$94/100*Inputs!$F$75*S47</f>
        <v>0.506343364835829</v>
      </c>
      <c r="T48" s="13" t="n">
        <f aca="false">Inputs!$F$94/100*Inputs!$F$75*T47</f>
        <v>0.577871041719529</v>
      </c>
      <c r="U48" s="13" t="n">
        <f aca="false">Inputs!$F$94/100*Inputs!$F$75*U47</f>
        <v>0.646440634158431</v>
      </c>
      <c r="V48" s="13" t="n">
        <f aca="false">Inputs!$F$94/100*Inputs!$F$75*V47</f>
        <v>0.706728527694187</v>
      </c>
      <c r="W48" s="13" t="n">
        <f aca="false">Inputs!$F$94/100*Inputs!$F$75*W47</f>
        <v>0.756866503018544</v>
      </c>
      <c r="X48" s="13" t="n">
        <f aca="false">Inputs!$F$94/100*Inputs!$F$75*X47</f>
        <v>0.79835920606764</v>
      </c>
      <c r="Y48" s="13" t="n">
        <f aca="false">Inputs!$F$94/100*Inputs!$F$75*Y47</f>
        <v>0.825991125847633</v>
      </c>
      <c r="Z48" s="13" t="n">
        <f aca="false">Inputs!$F$94/100*Inputs!$F$75*Z47</f>
        <v>0.843284712560451</v>
      </c>
      <c r="AA48" s="13" t="n">
        <f aca="false">Inputs!$F$94/100*Inputs!$F$75*AA47</f>
        <v>0.874750010463536</v>
      </c>
      <c r="AB48" s="13" t="n">
        <f aca="false">Inputs!$F$94/100*Inputs!$F$75*AB47</f>
        <v>0.834387375505962</v>
      </c>
      <c r="AC48" s="13" t="n">
        <f aca="false">Inputs!$F$94/100*Inputs!$F$75*AC47</f>
        <v>0.81452036666742</v>
      </c>
      <c r="AD48" s="13" t="n">
        <f aca="false">Inputs!$F$94/100*Inputs!$F$75*AD47</f>
        <v>0.778605899111105</v>
      </c>
      <c r="AE48" s="13" t="n">
        <f aca="false">Inputs!$F$94/100*Inputs!$F$75*AE47</f>
        <v>0.734579691080174</v>
      </c>
      <c r="AF48" s="13" t="n">
        <f aca="false">Inputs!$F$94/100*Inputs!$F$75*AF47</f>
        <v>0.678009767940303</v>
      </c>
      <c r="AG48" s="13" t="n">
        <f aca="false">Inputs!$F$94/100*Inputs!$F$75*AG47</f>
        <v>0.616754961881496</v>
      </c>
      <c r="AH48" s="13" t="n">
        <f aca="false">Inputs!$F$94/100*Inputs!$F$75*AH47</f>
        <v>0.548119109982802</v>
      </c>
      <c r="AI48" s="13" t="n">
        <f aca="false">Inputs!$F$94/100*Inputs!$F$75*AI47</f>
        <v>0.474411208112726</v>
      </c>
      <c r="AJ48" s="13" t="n">
        <f aca="false">Inputs!$F$94/100*Inputs!$F$75*AJ47</f>
        <v>0.403252697785621</v>
      </c>
      <c r="AK48" s="13" t="n">
        <f aca="false">Inputs!$F$94/100*Inputs!$F$75*AK47</f>
        <v>0.33082563415236</v>
      </c>
      <c r="AL48" s="13" t="n">
        <f aca="false">Inputs!$F$94/100*Inputs!$F$75*AL47</f>
        <v>0.266983445734807</v>
      </c>
      <c r="AM48" s="13" t="n">
        <f aca="false">Inputs!$F$94/100*Inputs!$F$75*AM47</f>
        <v>0.209809142243245</v>
      </c>
      <c r="AN48" s="13" t="n">
        <f aca="false">Inputs!$F$94/100*Inputs!$F$75*AN47</f>
        <v>0.158695797536341</v>
      </c>
      <c r="AO48" s="13" t="n">
        <f aca="false">Inputs!$F$94/100*Inputs!$F$75*AO47</f>
        <v>0.132365282318239</v>
      </c>
      <c r="AP48" s="13" t="n">
        <f aca="false">Inputs!$F$94/100*Inputs!$F$75*AP47</f>
        <v>1.30126266771474</v>
      </c>
      <c r="AQ48" s="13" t="n">
        <f aca="false">Inputs!$F$94/100*Inputs!$F$75*AQ47</f>
        <v>1.00285150834082</v>
      </c>
      <c r="AR48" s="13" t="n">
        <f aca="false">Inputs!$F$94/100*Inputs!$F$75*AR47</f>
        <v>0.0888185838308974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854.551894367595</v>
      </c>
      <c r="J49" s="13" t="n">
        <f aca="false">J45+J48</f>
        <v>121.522240775464</v>
      </c>
      <c r="K49" s="13" t="n">
        <f aca="false">K45+K48</f>
        <v>2.49367738485425</v>
      </c>
      <c r="L49" s="13" t="n">
        <f aca="false">L45+L48</f>
        <v>3.17990420732999</v>
      </c>
      <c r="M49" s="13" t="n">
        <f aca="false">M45+M48</f>
        <v>4.49761388153201</v>
      </c>
      <c r="N49" s="13" t="n">
        <f aca="false">N45+N48</f>
        <v>6.47828729195669</v>
      </c>
      <c r="O49" s="13" t="n">
        <f aca="false">O45+O48</f>
        <v>8.9290444809525</v>
      </c>
      <c r="P49" s="13" t="n">
        <f aca="false">P45+P48</f>
        <v>11.6501717341548</v>
      </c>
      <c r="Q49" s="13" t="n">
        <f aca="false">Q45+Q48</f>
        <v>14.7885590699524</v>
      </c>
      <c r="R49" s="13" t="n">
        <f aca="false">R45+R48</f>
        <v>17.9169908494263</v>
      </c>
      <c r="S49" s="13" t="n">
        <f aca="false">S45+S48</f>
        <v>21.1021504770377</v>
      </c>
      <c r="T49" s="13" t="n">
        <f aca="false">T45+T48</f>
        <v>24.0831074830847</v>
      </c>
      <c r="U49" s="13" t="n">
        <f aca="false">U45+U48</f>
        <v>26.9407846213326</v>
      </c>
      <c r="V49" s="13" t="n">
        <f aca="false">V45+V48</f>
        <v>29.4533172023562</v>
      </c>
      <c r="W49" s="13" t="n">
        <f aca="false">W45+W48</f>
        <v>31.5428461137336</v>
      </c>
      <c r="X49" s="13" t="n">
        <f aca="false">X45+X48</f>
        <v>33.2720783388363</v>
      </c>
      <c r="Y49" s="13" t="n">
        <f aca="false">Y45+Y48</f>
        <v>34.4236544621966</v>
      </c>
      <c r="Z49" s="13" t="n">
        <f aca="false">Z45+Z48</f>
        <v>35.1443746186065</v>
      </c>
      <c r="AA49" s="13" t="n">
        <f aca="false">AA45+AA48</f>
        <v>36.4557089764113</v>
      </c>
      <c r="AB49" s="13" t="n">
        <f aca="false">AB45+AB48</f>
        <v>34.7735729879193</v>
      </c>
      <c r="AC49" s="13" t="n">
        <f aca="false">AC45+AC48</f>
        <v>33.9456039867348</v>
      </c>
      <c r="AD49" s="13" t="n">
        <f aca="false">AD45+AD48</f>
        <v>32.4488479288732</v>
      </c>
      <c r="AE49" s="13" t="n">
        <f aca="false">AE45+AE48</f>
        <v>30.6140304288882</v>
      </c>
      <c r="AF49" s="13" t="n">
        <f aca="false">AF45+AF48</f>
        <v>28.2564463990094</v>
      </c>
      <c r="AG49" s="13" t="n">
        <f aca="false">AG45+AG48</f>
        <v>25.7036171833767</v>
      </c>
      <c r="AH49" s="13" t="n">
        <f aca="false">AH45+AH48</f>
        <v>22.8431786440951</v>
      </c>
      <c r="AI49" s="13" t="n">
        <f aca="false">AI45+AI48</f>
        <v>19.7713595098335</v>
      </c>
      <c r="AJ49" s="13" t="n">
        <f aca="false">AJ45+AJ48</f>
        <v>16.8057877320119</v>
      </c>
      <c r="AK49" s="13" t="n">
        <f aca="false">AK45+AK48</f>
        <v>13.7873482667399</v>
      </c>
      <c r="AL49" s="13" t="n">
        <f aca="false">AL45+AL48</f>
        <v>11.1266884056052</v>
      </c>
      <c r="AM49" s="13" t="n">
        <f aca="false">AM45+AM48</f>
        <v>8.74391647752835</v>
      </c>
      <c r="AN49" s="13" t="n">
        <f aca="false">AN45+AN48</f>
        <v>6.61373848706628</v>
      </c>
      <c r="AO49" s="13" t="n">
        <f aca="false">AO45+AO48</f>
        <v>5.51639914610254</v>
      </c>
      <c r="AP49" s="13" t="n">
        <f aca="false">AP45+AP48</f>
        <v>54.2308688752564</v>
      </c>
      <c r="AQ49" s="13" t="n">
        <f aca="false">AQ45+AQ48</f>
        <v>41.7944124576287</v>
      </c>
      <c r="AR49" s="13" t="n">
        <f aca="false">AR45+AR48</f>
        <v>3.70156548170766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854.551894367573</v>
      </c>
      <c r="J50" s="13" t="n">
        <f aca="false">J47/$F$26</f>
        <v>121.522240775464</v>
      </c>
      <c r="K50" s="13" t="n">
        <f aca="false">K47/$F$26</f>
        <v>2.49367738485425</v>
      </c>
      <c r="L50" s="13" t="n">
        <f aca="false">L47/$F$26</f>
        <v>3.17990420732999</v>
      </c>
      <c r="M50" s="13" t="n">
        <f aca="false">M47/$F$26</f>
        <v>4.49761388153201</v>
      </c>
      <c r="N50" s="13" t="n">
        <f aca="false">N47/$F$26</f>
        <v>6.47828729195669</v>
      </c>
      <c r="O50" s="13" t="n">
        <f aca="false">O47/$F$26</f>
        <v>8.9290444809525</v>
      </c>
      <c r="P50" s="13" t="n">
        <f aca="false">P47/$F$26</f>
        <v>11.6501717341548</v>
      </c>
      <c r="Q50" s="13" t="n">
        <f aca="false">Q47/$F$26</f>
        <v>14.7885590699524</v>
      </c>
      <c r="R50" s="13" t="n">
        <f aca="false">R47/$F$26</f>
        <v>17.9169908494263</v>
      </c>
      <c r="S50" s="13" t="n">
        <f aca="false">S47/$F$26</f>
        <v>21.1021504770377</v>
      </c>
      <c r="T50" s="13" t="n">
        <f aca="false">T47/$F$26</f>
        <v>24.0831074830847</v>
      </c>
      <c r="U50" s="13" t="n">
        <f aca="false">U47/$F$26</f>
        <v>26.9407846213326</v>
      </c>
      <c r="V50" s="13" t="n">
        <f aca="false">V47/$F$26</f>
        <v>29.4533172023562</v>
      </c>
      <c r="W50" s="13" t="n">
        <f aca="false">W47/$F$26</f>
        <v>31.5428461137336</v>
      </c>
      <c r="X50" s="13" t="n">
        <f aca="false">X47/$F$26</f>
        <v>33.2720783388363</v>
      </c>
      <c r="Y50" s="13" t="n">
        <f aca="false">Y47/$F$26</f>
        <v>34.4236544621966</v>
      </c>
      <c r="Z50" s="13" t="n">
        <f aca="false">Z47/$F$26</f>
        <v>35.1443746186065</v>
      </c>
      <c r="AA50" s="13" t="n">
        <f aca="false">AA47/$F$26</f>
        <v>36.4557089764113</v>
      </c>
      <c r="AB50" s="13" t="n">
        <f aca="false">AB47/$F$26</f>
        <v>34.7735729879193</v>
      </c>
      <c r="AC50" s="13" t="n">
        <f aca="false">AC47/$F$26</f>
        <v>33.9456039867348</v>
      </c>
      <c r="AD50" s="13" t="n">
        <f aca="false">AD47/$F$26</f>
        <v>32.4488479288732</v>
      </c>
      <c r="AE50" s="13" t="n">
        <f aca="false">AE47/$F$26</f>
        <v>30.6140304288882</v>
      </c>
      <c r="AF50" s="13" t="n">
        <f aca="false">AF47/$F$26</f>
        <v>28.2564463990094</v>
      </c>
      <c r="AG50" s="13" t="n">
        <f aca="false">AG47/$F$26</f>
        <v>25.7036171833766</v>
      </c>
      <c r="AH50" s="13" t="n">
        <f aca="false">AH47/$F$26</f>
        <v>22.8431786440951</v>
      </c>
      <c r="AI50" s="13" t="n">
        <f aca="false">AI47/$F$26</f>
        <v>19.7713595098335</v>
      </c>
      <c r="AJ50" s="13" t="n">
        <f aca="false">AJ47/$F$26</f>
        <v>16.8057877320119</v>
      </c>
      <c r="AK50" s="13" t="n">
        <f aca="false">AK47/$F$26</f>
        <v>13.7873482667399</v>
      </c>
      <c r="AL50" s="13" t="n">
        <f aca="false">AL47/$F$26</f>
        <v>11.1266884056052</v>
      </c>
      <c r="AM50" s="13" t="n">
        <f aca="false">AM47/$F$26</f>
        <v>8.74391647752835</v>
      </c>
      <c r="AN50" s="13" t="n">
        <f aca="false">AN47/$F$26</f>
        <v>6.61373848706628</v>
      </c>
      <c r="AO50" s="13" t="n">
        <f aca="false">AO47/$F$26</f>
        <v>5.51639914610254</v>
      </c>
      <c r="AP50" s="13" t="n">
        <f aca="false">AP47/$F$26</f>
        <v>54.2308688752564</v>
      </c>
      <c r="AQ50" s="13" t="n">
        <f aca="false">AQ47/$F$26</f>
        <v>41.7944124576287</v>
      </c>
      <c r="AR50" s="13" t="n">
        <f aca="false">AR47/$F$26</f>
        <v>3.70156548168588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2.17799112078865E-011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1.63349334059149E-011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1.63349334059149E-011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5.44497780197162E-012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5.44497780197162E-012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188.98490243353</v>
      </c>
      <c r="J57" s="13" t="n">
        <f aca="false">Inputs!$F$75*J47</f>
        <v>26.8747503432208</v>
      </c>
      <c r="K57" s="13" t="n">
        <f aca="false">Inputs!$F$75*K47</f>
        <v>0.551478945144872</v>
      </c>
      <c r="L57" s="13" t="n">
        <f aca="false">Inputs!$F$75*L47</f>
        <v>0.703238610002705</v>
      </c>
      <c r="M57" s="13" t="n">
        <f aca="false">Inputs!$F$75*M47</f>
        <v>0.994651262477232</v>
      </c>
      <c r="N57" s="13" t="n">
        <f aca="false">Inputs!$F$75*N47</f>
        <v>1.43267892784075</v>
      </c>
      <c r="O57" s="13" t="n">
        <f aca="false">Inputs!$F$75*O47</f>
        <v>1.97466603395255</v>
      </c>
      <c r="P57" s="13" t="n">
        <f aca="false">Inputs!$F$75*P47</f>
        <v>2.57644571736924</v>
      </c>
      <c r="Q57" s="13" t="n">
        <f aca="false">Inputs!$F$75*Q47</f>
        <v>3.27050283474687</v>
      </c>
      <c r="R57" s="13" t="n">
        <f aca="false">Inputs!$F$75*R47</f>
        <v>3.96235827209439</v>
      </c>
      <c r="S57" s="13" t="n">
        <f aca="false">Inputs!$F$75*S47</f>
        <v>4.66675912291087</v>
      </c>
      <c r="T57" s="13" t="n">
        <f aca="false">Inputs!$F$75*T47</f>
        <v>5.32600038451179</v>
      </c>
      <c r="U57" s="13" t="n">
        <f aca="false">Inputs!$F$75*U47</f>
        <v>5.95797819500858</v>
      </c>
      <c r="V57" s="13" t="n">
        <f aca="false">Inputs!$F$75*V47</f>
        <v>6.51362698335656</v>
      </c>
      <c r="W57" s="13" t="n">
        <f aca="false">Inputs!$F$75*W47</f>
        <v>6.97572813841976</v>
      </c>
      <c r="X57" s="13" t="n">
        <f aca="false">Inputs!$F$75*X47</f>
        <v>7.35814936467872</v>
      </c>
      <c r="Y57" s="13" t="n">
        <f aca="false">Inputs!$F$75*Y47</f>
        <v>7.61282143638371</v>
      </c>
      <c r="Z57" s="13" t="n">
        <f aca="false">Inputs!$F$75*Z47</f>
        <v>7.77220933235438</v>
      </c>
      <c r="AA57" s="13" t="n">
        <f aca="false">Inputs!$F$75*AA47</f>
        <v>8.06221207800494</v>
      </c>
      <c r="AB57" s="13" t="n">
        <f aca="false">Inputs!$F$75*AB47</f>
        <v>7.6902062258614</v>
      </c>
      <c r="AC57" s="13" t="n">
        <f aca="false">Inputs!$F$75*AC47</f>
        <v>7.50710015361678</v>
      </c>
      <c r="AD57" s="13" t="n">
        <f aca="false">Inputs!$F$75*AD47</f>
        <v>7.17609123604705</v>
      </c>
      <c r="AE57" s="13" t="n">
        <f aca="false">Inputs!$F$75*AE47</f>
        <v>6.77031973345783</v>
      </c>
      <c r="AF57" s="13" t="n">
        <f aca="false">Inputs!$F$75*AF47</f>
        <v>6.24893795336685</v>
      </c>
      <c r="AG57" s="13" t="n">
        <f aca="false">Inputs!$F$75*AG47</f>
        <v>5.68437752886171</v>
      </c>
      <c r="AH57" s="13" t="n">
        <f aca="false">Inputs!$F$75*AH47</f>
        <v>5.05178903209956</v>
      </c>
      <c r="AI57" s="13" t="n">
        <f aca="false">Inputs!$F$75*AI47</f>
        <v>4.37245353099287</v>
      </c>
      <c r="AJ57" s="13" t="n">
        <f aca="false">Inputs!$F$75*AJ47</f>
        <v>3.71661472613476</v>
      </c>
      <c r="AK57" s="13" t="n">
        <f aca="false">Inputs!$F$75*AK47</f>
        <v>3.04908418573604</v>
      </c>
      <c r="AL57" s="13" t="n">
        <f aca="false">Inputs!$F$75*AL47</f>
        <v>2.46067691921481</v>
      </c>
      <c r="AM57" s="13" t="n">
        <f aca="false">Inputs!$F$75*AM47</f>
        <v>1.9337248133018</v>
      </c>
      <c r="AN57" s="13" t="n">
        <f aca="false">Inputs!$F$75*AN47</f>
        <v>1.46263407867595</v>
      </c>
      <c r="AO57" s="13" t="n">
        <f aca="false">Inputs!$F$75*AO47</f>
        <v>1.21995651906211</v>
      </c>
      <c r="AP57" s="13" t="n">
        <f aca="false">Inputs!$F$75*AP47</f>
        <v>11.9932043107349</v>
      </c>
      <c r="AQ57" s="13" t="n">
        <f aca="false">Inputs!$F$75*AQ47</f>
        <v>9.24287104461585</v>
      </c>
      <c r="AR57" s="13" t="n">
        <f aca="false">Inputs!$F$75*AR47</f>
        <v>0.818604459270944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138.588928451255</v>
      </c>
      <c r="J58" s="13" t="n">
        <f aca="false">Inputs!$F$76*J47</f>
        <v>19.7081502516953</v>
      </c>
      <c r="K58" s="13" t="n">
        <f aca="false">Inputs!$F$76*K47</f>
        <v>0.404417893106239</v>
      </c>
      <c r="L58" s="13" t="n">
        <f aca="false">Inputs!$F$76*L47</f>
        <v>0.515708314001984</v>
      </c>
      <c r="M58" s="13" t="n">
        <f aca="false">Inputs!$F$76*M47</f>
        <v>0.729410925816637</v>
      </c>
      <c r="N58" s="13" t="n">
        <f aca="false">Inputs!$F$76*N47</f>
        <v>1.05063121374988</v>
      </c>
      <c r="O58" s="13" t="n">
        <f aca="false">Inputs!$F$76*O47</f>
        <v>1.44808842489854</v>
      </c>
      <c r="P58" s="13" t="n">
        <f aca="false">Inputs!$F$76*P47</f>
        <v>1.88939352607078</v>
      </c>
      <c r="Q58" s="13" t="n">
        <f aca="false">Inputs!$F$76*Q47</f>
        <v>2.39836874548104</v>
      </c>
      <c r="R58" s="13" t="n">
        <f aca="false">Inputs!$F$76*R47</f>
        <v>2.90572939953588</v>
      </c>
      <c r="S58" s="13" t="n">
        <f aca="false">Inputs!$F$76*S47</f>
        <v>3.42229002346797</v>
      </c>
      <c r="T58" s="13" t="n">
        <f aca="false">Inputs!$F$76*T47</f>
        <v>3.90573361530864</v>
      </c>
      <c r="U58" s="13" t="n">
        <f aca="false">Inputs!$F$76*U47</f>
        <v>4.36918400967296</v>
      </c>
      <c r="V58" s="13" t="n">
        <f aca="false">Inputs!$F$76*V47</f>
        <v>4.77665978779481</v>
      </c>
      <c r="W58" s="13" t="n">
        <f aca="false">Inputs!$F$76*W47</f>
        <v>5.11553396817449</v>
      </c>
      <c r="X58" s="13" t="n">
        <f aca="false">Inputs!$F$76*X47</f>
        <v>5.39597620076439</v>
      </c>
      <c r="Y58" s="13" t="n">
        <f aca="false">Inputs!$F$76*Y47</f>
        <v>5.58273572001472</v>
      </c>
      <c r="Z58" s="13" t="n">
        <f aca="false">Inputs!$F$76*Z47</f>
        <v>5.69962017705988</v>
      </c>
      <c r="AA58" s="13" t="n">
        <f aca="false">Inputs!$F$76*AA47</f>
        <v>5.91228885720362</v>
      </c>
      <c r="AB58" s="13" t="n">
        <f aca="false">Inputs!$F$76*AB47</f>
        <v>5.63948456563169</v>
      </c>
      <c r="AC58" s="13" t="n">
        <f aca="false">Inputs!$F$76*AC47</f>
        <v>5.50520677931897</v>
      </c>
      <c r="AD58" s="13" t="n">
        <f aca="false">Inputs!$F$76*AD47</f>
        <v>5.26246690643451</v>
      </c>
      <c r="AE58" s="13" t="n">
        <f aca="false">Inputs!$F$76*AE47</f>
        <v>4.96490113786907</v>
      </c>
      <c r="AF58" s="13" t="n">
        <f aca="false">Inputs!$F$76*AF47</f>
        <v>4.58255449913569</v>
      </c>
      <c r="AG58" s="13" t="n">
        <f aca="false">Inputs!$F$76*AG47</f>
        <v>4.16854352116526</v>
      </c>
      <c r="AH58" s="13" t="n">
        <f aca="false">Inputs!$F$76*AH47</f>
        <v>3.70464529020634</v>
      </c>
      <c r="AI58" s="13" t="n">
        <f aca="false">Inputs!$F$76*AI47</f>
        <v>3.2064659227281</v>
      </c>
      <c r="AJ58" s="13" t="n">
        <f aca="false">Inputs!$F$76*AJ47</f>
        <v>2.72551746583216</v>
      </c>
      <c r="AK58" s="13" t="n">
        <f aca="false">Inputs!$F$76*AK47</f>
        <v>2.23599506953976</v>
      </c>
      <c r="AL58" s="13" t="n">
        <f aca="false">Inputs!$F$76*AL47</f>
        <v>1.8044964074242</v>
      </c>
      <c r="AM58" s="13" t="n">
        <f aca="false">Inputs!$F$76*AM47</f>
        <v>1.41806486308798</v>
      </c>
      <c r="AN58" s="13" t="n">
        <f aca="false">Inputs!$F$76*AN47</f>
        <v>1.07259832436236</v>
      </c>
      <c r="AO58" s="13" t="n">
        <f aca="false">Inputs!$F$76*AO47</f>
        <v>0.894634780645548</v>
      </c>
      <c r="AP58" s="13" t="n">
        <f aca="false">Inputs!$F$76*AP47</f>
        <v>8.79501649453895</v>
      </c>
      <c r="AQ58" s="13" t="n">
        <f aca="false">Inputs!$F$76*AQ47</f>
        <v>6.77810543271829</v>
      </c>
      <c r="AR58" s="13" t="n">
        <f aca="false">Inputs!$F$76*AR47</f>
        <v>0.600309936798692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62.9949674778433</v>
      </c>
      <c r="J59" s="13" t="n">
        <f aca="false">Inputs!$F$77*J47</f>
        <v>8.95825011440694</v>
      </c>
      <c r="K59" s="13" t="n">
        <f aca="false">Inputs!$F$77*K47</f>
        <v>0.183826315048291</v>
      </c>
      <c r="L59" s="13" t="n">
        <f aca="false">Inputs!$F$77*L47</f>
        <v>0.234412870000902</v>
      </c>
      <c r="M59" s="13" t="n">
        <f aca="false">Inputs!$F$77*M47</f>
        <v>0.331550420825744</v>
      </c>
      <c r="N59" s="13" t="n">
        <f aca="false">Inputs!$F$77*N47</f>
        <v>0.477559642613582</v>
      </c>
      <c r="O59" s="13" t="n">
        <f aca="false">Inputs!$F$77*O47</f>
        <v>0.658222011317518</v>
      </c>
      <c r="P59" s="13" t="n">
        <f aca="false">Inputs!$F$77*P47</f>
        <v>0.858815239123082</v>
      </c>
      <c r="Q59" s="13" t="n">
        <f aca="false">Inputs!$F$77*Q47</f>
        <v>1.09016761158229</v>
      </c>
      <c r="R59" s="13" t="n">
        <f aca="false">Inputs!$F$77*R47</f>
        <v>1.32078609069813</v>
      </c>
      <c r="S59" s="13" t="n">
        <f aca="false">Inputs!$F$77*S47</f>
        <v>1.55558637430362</v>
      </c>
      <c r="T59" s="13" t="n">
        <f aca="false">Inputs!$F$77*T47</f>
        <v>1.77533346150393</v>
      </c>
      <c r="U59" s="13" t="n">
        <f aca="false">Inputs!$F$77*U47</f>
        <v>1.98599273166953</v>
      </c>
      <c r="V59" s="13" t="n">
        <f aca="false">Inputs!$F$77*V47</f>
        <v>2.17120899445219</v>
      </c>
      <c r="W59" s="13" t="n">
        <f aca="false">Inputs!$F$77*W47</f>
        <v>2.32524271280659</v>
      </c>
      <c r="X59" s="13" t="n">
        <f aca="false">Inputs!$F$77*X47</f>
        <v>2.45271645489291</v>
      </c>
      <c r="Y59" s="13" t="n">
        <f aca="false">Inputs!$F$77*Y47</f>
        <v>2.53760714546124</v>
      </c>
      <c r="Z59" s="13" t="n">
        <f aca="false">Inputs!$F$77*Z47</f>
        <v>2.59073644411813</v>
      </c>
      <c r="AA59" s="13" t="n">
        <f aca="false">Inputs!$F$77*AA47</f>
        <v>2.68740402600165</v>
      </c>
      <c r="AB59" s="13" t="n">
        <f aca="false">Inputs!$F$77*AB47</f>
        <v>2.56340207528713</v>
      </c>
      <c r="AC59" s="13" t="n">
        <f aca="false">Inputs!$F$77*AC47</f>
        <v>2.50236671787226</v>
      </c>
      <c r="AD59" s="13" t="n">
        <f aca="false">Inputs!$F$77*AD47</f>
        <v>2.39203041201569</v>
      </c>
      <c r="AE59" s="13" t="n">
        <f aca="false">Inputs!$F$77*AE47</f>
        <v>2.25677324448594</v>
      </c>
      <c r="AF59" s="13" t="n">
        <f aca="false">Inputs!$F$77*AF47</f>
        <v>2.08297931778895</v>
      </c>
      <c r="AG59" s="13" t="n">
        <f aca="false">Inputs!$F$77*AG47</f>
        <v>1.89479250962057</v>
      </c>
      <c r="AH59" s="13" t="n">
        <f aca="false">Inputs!$F$77*AH47</f>
        <v>1.68392967736652</v>
      </c>
      <c r="AI59" s="13" t="n">
        <f aca="false">Inputs!$F$77*AI47</f>
        <v>1.45748451033096</v>
      </c>
      <c r="AJ59" s="13" t="n">
        <f aca="false">Inputs!$F$77*AJ47</f>
        <v>1.23887157537825</v>
      </c>
      <c r="AK59" s="13" t="n">
        <f aca="false">Inputs!$F$77*AK47</f>
        <v>1.01636139524535</v>
      </c>
      <c r="AL59" s="13" t="n">
        <f aca="false">Inputs!$F$77*AL47</f>
        <v>0.820225639738271</v>
      </c>
      <c r="AM59" s="13" t="n">
        <f aca="false">Inputs!$F$77*AM47</f>
        <v>0.644574937767265</v>
      </c>
      <c r="AN59" s="13" t="n">
        <f aca="false">Inputs!$F$77*AN47</f>
        <v>0.487544692891983</v>
      </c>
      <c r="AO59" s="13" t="n">
        <f aca="false">Inputs!$F$77*AO47</f>
        <v>0.406652173020704</v>
      </c>
      <c r="AP59" s="13" t="n">
        <f aca="false">Inputs!$F$77*AP47</f>
        <v>3.99773477024498</v>
      </c>
      <c r="AQ59" s="13" t="n">
        <f aca="false">Inputs!$F$77*AQ47</f>
        <v>3.08095701487195</v>
      </c>
      <c r="AR59" s="13" t="n">
        <f aca="false">Inputs!$F$77*AR47</f>
        <v>0.272868153090315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239.380876415805</v>
      </c>
      <c r="J60" s="13" t="n">
        <f aca="false">Inputs!$F$78*J47</f>
        <v>34.0413504347464</v>
      </c>
      <c r="K60" s="13" t="n">
        <f aca="false">Inputs!$F$78*K47</f>
        <v>0.698539997183504</v>
      </c>
      <c r="L60" s="13" t="n">
        <f aca="false">Inputs!$F$78*L47</f>
        <v>0.890768906003426</v>
      </c>
      <c r="M60" s="13" t="n">
        <f aca="false">Inputs!$F$78*M47</f>
        <v>1.25989159913783</v>
      </c>
      <c r="N60" s="13" t="n">
        <f aca="false">Inputs!$F$78*N47</f>
        <v>1.81472664193161</v>
      </c>
      <c r="O60" s="13" t="n">
        <f aca="false">Inputs!$F$78*O47</f>
        <v>2.50124364300657</v>
      </c>
      <c r="P60" s="13" t="n">
        <f aca="false">Inputs!$F$78*P47</f>
        <v>3.26349790866771</v>
      </c>
      <c r="Q60" s="13" t="n">
        <f aca="false">Inputs!$F$78*Q47</f>
        <v>4.14263692401271</v>
      </c>
      <c r="R60" s="13" t="n">
        <f aca="false">Inputs!$F$78*R47</f>
        <v>5.01898714465289</v>
      </c>
      <c r="S60" s="13" t="n">
        <f aca="false">Inputs!$F$78*S47</f>
        <v>5.91122822235377</v>
      </c>
      <c r="T60" s="13" t="n">
        <f aca="false">Inputs!$F$78*T47</f>
        <v>6.74626715371493</v>
      </c>
      <c r="U60" s="13" t="n">
        <f aca="false">Inputs!$F$78*U47</f>
        <v>7.5467723803442</v>
      </c>
      <c r="V60" s="13" t="n">
        <f aca="false">Inputs!$F$78*V47</f>
        <v>8.25059417891831</v>
      </c>
      <c r="W60" s="13" t="n">
        <f aca="false">Inputs!$F$78*W47</f>
        <v>8.83592230866503</v>
      </c>
      <c r="X60" s="13" t="n">
        <f aca="false">Inputs!$F$78*X47</f>
        <v>9.32032252859304</v>
      </c>
      <c r="Y60" s="13" t="n">
        <f aca="false">Inputs!$F$78*Y47</f>
        <v>9.6429071527527</v>
      </c>
      <c r="Z60" s="13" t="n">
        <f aca="false">Inputs!$F$78*Z47</f>
        <v>9.84479848764889</v>
      </c>
      <c r="AA60" s="13" t="n">
        <f aca="false">Inputs!$F$78*AA47</f>
        <v>10.2121352988063</v>
      </c>
      <c r="AB60" s="13" t="n">
        <f aca="false">Inputs!$F$78*AB47</f>
        <v>9.74092788609111</v>
      </c>
      <c r="AC60" s="13" t="n">
        <f aca="false">Inputs!$F$78*AC47</f>
        <v>9.50899352791458</v>
      </c>
      <c r="AD60" s="13" t="n">
        <f aca="false">Inputs!$F$78*AD47</f>
        <v>9.0897155656596</v>
      </c>
      <c r="AE60" s="13" t="n">
        <f aca="false">Inputs!$F$78*AE47</f>
        <v>8.57573832904658</v>
      </c>
      <c r="AF60" s="13" t="n">
        <f aca="false">Inputs!$F$78*AF47</f>
        <v>7.91532140759801</v>
      </c>
      <c r="AG60" s="13" t="n">
        <f aca="false">Inputs!$F$78*AG47</f>
        <v>7.20021153655817</v>
      </c>
      <c r="AH60" s="13" t="n">
        <f aca="false">Inputs!$F$78*AH47</f>
        <v>6.39893277399277</v>
      </c>
      <c r="AI60" s="13" t="n">
        <f aca="false">Inputs!$F$78*AI47</f>
        <v>5.53844113925763</v>
      </c>
      <c r="AJ60" s="13" t="n">
        <f aca="false">Inputs!$F$78*AJ47</f>
        <v>4.70771198643736</v>
      </c>
      <c r="AK60" s="13" t="n">
        <f aca="false">Inputs!$F$78*AK47</f>
        <v>3.86217330193232</v>
      </c>
      <c r="AL60" s="13" t="n">
        <f aca="false">Inputs!$F$78*AL47</f>
        <v>3.11685743100543</v>
      </c>
      <c r="AM60" s="13" t="n">
        <f aca="false">Inputs!$F$78*AM47</f>
        <v>2.44938476351561</v>
      </c>
      <c r="AN60" s="13" t="n">
        <f aca="false">Inputs!$F$78*AN47</f>
        <v>1.85266983298954</v>
      </c>
      <c r="AO60" s="13" t="n">
        <f aca="false">Inputs!$F$78*AO47</f>
        <v>1.54527825747867</v>
      </c>
      <c r="AP60" s="13" t="n">
        <f aca="false">Inputs!$F$78*AP47</f>
        <v>15.1913921269309</v>
      </c>
      <c r="AQ60" s="13" t="n">
        <f aca="false">Inputs!$F$78*AQ47</f>
        <v>11.7076366565134</v>
      </c>
      <c r="AR60" s="13" t="n">
        <f aca="false">Inputs!$F$78*AR47</f>
        <v>1.0368989817432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27.4262292883657</v>
      </c>
      <c r="L61" s="13" t="n">
        <f aca="false">L28+L57</f>
        <v>28.1294678983684</v>
      </c>
      <c r="M61" s="13" t="n">
        <f aca="false">M28+M57</f>
        <v>29.1241191608456</v>
      </c>
      <c r="N61" s="13" t="n">
        <f aca="false">N28+N57</f>
        <v>30.5567980886864</v>
      </c>
      <c r="O61" s="13" t="n">
        <f aca="false">O28+O57</f>
        <v>32.5314641226389</v>
      </c>
      <c r="P61" s="13" t="n">
        <f aca="false">P28+P57</f>
        <v>35.1079098400082</v>
      </c>
      <c r="Q61" s="13" t="n">
        <f aca="false">Q28+Q57</f>
        <v>38.378412674755</v>
      </c>
      <c r="R61" s="13" t="n">
        <f aca="false">R28+R57</f>
        <v>42.3407709468494</v>
      </c>
      <c r="S61" s="13" t="n">
        <f aca="false">S28+S57</f>
        <v>47.0075300697603</v>
      </c>
      <c r="T61" s="13" t="n">
        <f aca="false">T28+T57</f>
        <v>52.3335304542721</v>
      </c>
      <c r="U61" s="13" t="n">
        <f aca="false">U28+U57</f>
        <v>58.2915086492807</v>
      </c>
      <c r="V61" s="13" t="n">
        <f aca="false">V28+V57</f>
        <v>64.8051356326372</v>
      </c>
      <c r="W61" s="13" t="n">
        <f aca="false">W28+W57</f>
        <v>71.780863771057</v>
      </c>
      <c r="X61" s="13" t="n">
        <f aca="false">X28+X57</f>
        <v>79.1390131357357</v>
      </c>
      <c r="Y61" s="13" t="n">
        <f aca="false">Y28+Y57</f>
        <v>86.7518345721194</v>
      </c>
      <c r="Z61" s="13" t="n">
        <f aca="false">Z28+Z57</f>
        <v>94.5240439044738</v>
      </c>
      <c r="AA61" s="13" t="n">
        <f aca="false">AA28+AA57</f>
        <v>102.586255982479</v>
      </c>
      <c r="AB61" s="13" t="n">
        <f aca="false">AB28+AB57</f>
        <v>110.27646220834</v>
      </c>
      <c r="AC61" s="13" t="n">
        <f aca="false">AC28+AC57</f>
        <v>117.783562361957</v>
      </c>
      <c r="AD61" s="13" t="n">
        <f aca="false">AD28+AD57</f>
        <v>124.959653598004</v>
      </c>
      <c r="AE61" s="13" t="n">
        <f aca="false">AE28+AE57</f>
        <v>131.729973331462</v>
      </c>
      <c r="AF61" s="13" t="n">
        <f aca="false">AF28+AF57</f>
        <v>137.978911284829</v>
      </c>
      <c r="AG61" s="13" t="n">
        <f aca="false">AG28+AG57</f>
        <v>143.66328881369</v>
      </c>
      <c r="AH61" s="13" t="n">
        <f aca="false">AH28+AH57</f>
        <v>148.71507784579</v>
      </c>
      <c r="AI61" s="13" t="n">
        <f aca="false">AI28+AI57</f>
        <v>153.087531376783</v>
      </c>
      <c r="AJ61" s="13" t="n">
        <f aca="false">AJ28+AJ57</f>
        <v>156.804146102918</v>
      </c>
      <c r="AK61" s="13" t="n">
        <f aca="false">AK28+AK57</f>
        <v>159.853230288654</v>
      </c>
      <c r="AL61" s="13" t="n">
        <f aca="false">AL28+AL57</f>
        <v>162.313907207868</v>
      </c>
      <c r="AM61" s="13" t="n">
        <f aca="false">AM28+AM57</f>
        <v>164.24763202117</v>
      </c>
      <c r="AN61" s="13" t="n">
        <f aca="false">AN28+AN57</f>
        <v>165.710266099846</v>
      </c>
      <c r="AO61" s="13" t="n">
        <f aca="false">AO28+AO57</f>
        <v>166.930222618908</v>
      </c>
      <c r="AP61" s="13" t="n">
        <f aca="false">AP28+AP57</f>
        <v>178.923426929643</v>
      </c>
      <c r="AQ61" s="13" t="n">
        <f aca="false">AQ28+AQ57</f>
        <v>188.166297974259</v>
      </c>
      <c r="AR61" s="13" t="n">
        <f aca="false">AR28+AR57</f>
        <v>188.98490243353</v>
      </c>
      <c r="AS61" s="13" t="n">
        <f aca="false">AS28+AS57</f>
        <v>188.98490243353</v>
      </c>
      <c r="AT61" s="13" t="n">
        <f aca="false">AT28+AT57</f>
        <v>188.98490243353</v>
      </c>
      <c r="AU61" s="13" t="n">
        <f aca="false">AU28+AU57</f>
        <v>188.98490243353</v>
      </c>
      <c r="AV61" s="13" t="n">
        <f aca="false">AV28+AV57</f>
        <v>188.98490243353</v>
      </c>
      <c r="AW61" s="13" t="n">
        <f aca="false">AW28+AW57</f>
        <v>188.98490243353</v>
      </c>
      <c r="AX61" s="13" t="n">
        <f aca="false">AX28+AX57</f>
        <v>188.98490243353</v>
      </c>
      <c r="AY61" s="13" t="n">
        <f aca="false">AY28+AY57</f>
        <v>188.98490243353</v>
      </c>
      <c r="AZ61" s="13" t="n">
        <f aca="false">AZ28+AZ57</f>
        <v>188.98490243353</v>
      </c>
      <c r="BA61" s="13" t="n">
        <f aca="false">BA28+BA57</f>
        <v>188.98490243353</v>
      </c>
      <c r="BB61" s="13" t="n">
        <f aca="false">BB28+BB57</f>
        <v>188.98490243353</v>
      </c>
      <c r="BC61" s="13" t="n">
        <f aca="false">BC28+BC57</f>
        <v>188.98490243353</v>
      </c>
      <c r="BD61" s="13" t="n">
        <f aca="false">BD28+BD57</f>
        <v>188.98490243353</v>
      </c>
      <c r="BE61" s="13" t="n">
        <f aca="false">BE28+BE57</f>
        <v>188.98490243353</v>
      </c>
      <c r="BF61" s="13" t="n">
        <f aca="false">BF28+BF57</f>
        <v>188.98490243353</v>
      </c>
      <c r="BG61" s="13" t="n">
        <f aca="false">BG28+BG57</f>
        <v>188.98490243353</v>
      </c>
      <c r="BH61" s="13" t="n">
        <f aca="false">BH28+BH57</f>
        <v>188.98490243353</v>
      </c>
      <c r="BI61" s="13" t="n">
        <f aca="false">BI28+BI57</f>
        <v>188.98490243353</v>
      </c>
      <c r="BJ61" s="13" t="n">
        <f aca="false">BJ28+BJ57</f>
        <v>188.98490243353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20.1125681448015</v>
      </c>
      <c r="L62" s="13" t="n">
        <f aca="false">L29+L58</f>
        <v>20.6282764588035</v>
      </c>
      <c r="M62" s="13" t="n">
        <f aca="false">M29+M58</f>
        <v>21.3576873846201</v>
      </c>
      <c r="N62" s="13" t="n">
        <f aca="false">N29+N58</f>
        <v>22.40831859837</v>
      </c>
      <c r="O62" s="13" t="n">
        <f aca="false">O29+O58</f>
        <v>23.8564070232685</v>
      </c>
      <c r="P62" s="13" t="n">
        <f aca="false">P29+P58</f>
        <v>25.7458005493393</v>
      </c>
      <c r="Q62" s="13" t="n">
        <f aca="false">Q29+Q58</f>
        <v>28.1441692948204</v>
      </c>
      <c r="R62" s="13" t="n">
        <f aca="false">R29+R58</f>
        <v>31.0498986943562</v>
      </c>
      <c r="S62" s="13" t="n">
        <f aca="false">S29+S58</f>
        <v>34.4721887178242</v>
      </c>
      <c r="T62" s="13" t="n">
        <f aca="false">T29+T58</f>
        <v>38.3779223331329</v>
      </c>
      <c r="U62" s="13" t="n">
        <f aca="false">U29+U58</f>
        <v>42.7471063428058</v>
      </c>
      <c r="V62" s="13" t="n">
        <f aca="false">V29+V58</f>
        <v>47.5237661306006</v>
      </c>
      <c r="W62" s="13" t="n">
        <f aca="false">W29+W58</f>
        <v>52.6393000987751</v>
      </c>
      <c r="X62" s="13" t="n">
        <f aca="false">X29+X58</f>
        <v>58.0352762995395</v>
      </c>
      <c r="Y62" s="13" t="n">
        <f aca="false">Y29+Y58</f>
        <v>63.6180120195542</v>
      </c>
      <c r="Z62" s="13" t="n">
        <f aca="false">Z29+Z58</f>
        <v>69.3176321966141</v>
      </c>
      <c r="AA62" s="13" t="n">
        <f aca="false">AA29+AA58</f>
        <v>75.2299210538178</v>
      </c>
      <c r="AB62" s="13" t="n">
        <f aca="false">AB29+AB58</f>
        <v>80.8694056194494</v>
      </c>
      <c r="AC62" s="13" t="n">
        <f aca="false">AC29+AC58</f>
        <v>86.3746123987684</v>
      </c>
      <c r="AD62" s="13" t="n">
        <f aca="false">AD29+AD58</f>
        <v>91.6370793052029</v>
      </c>
      <c r="AE62" s="13" t="n">
        <f aca="false">AE29+AE58</f>
        <v>96.601980443072</v>
      </c>
      <c r="AF62" s="13" t="n">
        <f aca="false">AF29+AF58</f>
        <v>101.184534942208</v>
      </c>
      <c r="AG62" s="13" t="n">
        <f aca="false">AG29+AG58</f>
        <v>105.353078463373</v>
      </c>
      <c r="AH62" s="13" t="n">
        <f aca="false">AH29+AH58</f>
        <v>109.057723753579</v>
      </c>
      <c r="AI62" s="13" t="n">
        <f aca="false">AI29+AI58</f>
        <v>112.264189676307</v>
      </c>
      <c r="AJ62" s="13" t="n">
        <f aca="false">AJ29+AJ58</f>
        <v>114.98970714214</v>
      </c>
      <c r="AK62" s="13" t="n">
        <f aca="false">AK29+AK58</f>
        <v>117.225702211679</v>
      </c>
      <c r="AL62" s="13" t="n">
        <f aca="false">AL29+AL58</f>
        <v>119.030198619104</v>
      </c>
      <c r="AM62" s="13" t="n">
        <f aca="false">AM29+AM58</f>
        <v>120.448263482191</v>
      </c>
      <c r="AN62" s="13" t="n">
        <f aca="false">AN29+AN58</f>
        <v>121.520861806554</v>
      </c>
      <c r="AO62" s="13" t="n">
        <f aca="false">AO29+AO58</f>
        <v>122.415496587199</v>
      </c>
      <c r="AP62" s="13" t="n">
        <f aca="false">AP29+AP58</f>
        <v>131.210513081738</v>
      </c>
      <c r="AQ62" s="13" t="n">
        <f aca="false">AQ29+AQ58</f>
        <v>137.988618514457</v>
      </c>
      <c r="AR62" s="13" t="n">
        <f aca="false">AR29+AR58</f>
        <v>138.588928451255</v>
      </c>
      <c r="AS62" s="13" t="n">
        <f aca="false">AS29+AS58</f>
        <v>138.588928451255</v>
      </c>
      <c r="AT62" s="13" t="n">
        <f aca="false">AT29+AT58</f>
        <v>138.588928451255</v>
      </c>
      <c r="AU62" s="13" t="n">
        <f aca="false">AU29+AU58</f>
        <v>138.588928451255</v>
      </c>
      <c r="AV62" s="13" t="n">
        <f aca="false">AV29+AV58</f>
        <v>138.588928451255</v>
      </c>
      <c r="AW62" s="13" t="n">
        <f aca="false">AW29+AW58</f>
        <v>138.588928451255</v>
      </c>
      <c r="AX62" s="13" t="n">
        <f aca="false">AX29+AX58</f>
        <v>138.588928451255</v>
      </c>
      <c r="AY62" s="13" t="n">
        <f aca="false">AY29+AY58</f>
        <v>138.588928451255</v>
      </c>
      <c r="AZ62" s="13" t="n">
        <f aca="false">AZ29+AZ58</f>
        <v>138.588928451255</v>
      </c>
      <c r="BA62" s="13" t="n">
        <f aca="false">BA29+BA58</f>
        <v>138.588928451255</v>
      </c>
      <c r="BB62" s="13" t="n">
        <f aca="false">BB29+BB58</f>
        <v>138.588928451255</v>
      </c>
      <c r="BC62" s="13" t="n">
        <f aca="false">BC29+BC58</f>
        <v>138.588928451255</v>
      </c>
      <c r="BD62" s="13" t="n">
        <f aca="false">BD29+BD58</f>
        <v>138.588928451255</v>
      </c>
      <c r="BE62" s="13" t="n">
        <f aca="false">BE29+BE58</f>
        <v>138.588928451255</v>
      </c>
      <c r="BF62" s="13" t="n">
        <f aca="false">BF29+BF58</f>
        <v>138.588928451255</v>
      </c>
      <c r="BG62" s="13" t="n">
        <f aca="false">BG29+BG58</f>
        <v>138.588928451255</v>
      </c>
      <c r="BH62" s="13" t="n">
        <f aca="false">BH29+BH58</f>
        <v>138.588928451255</v>
      </c>
      <c r="BI62" s="13" t="n">
        <f aca="false">BI29+BI58</f>
        <v>138.588928451255</v>
      </c>
      <c r="BJ62" s="13" t="n">
        <f aca="false">BJ29+BJ58</f>
        <v>138.588928451255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9.14207642945523</v>
      </c>
      <c r="L63" s="13" t="n">
        <f aca="false">L30+L59</f>
        <v>9.37648929945613</v>
      </c>
      <c r="M63" s="13" t="n">
        <f aca="false">M30+M59</f>
        <v>9.70803972028188</v>
      </c>
      <c r="N63" s="13" t="n">
        <f aca="false">N30+N59</f>
        <v>10.1855993628955</v>
      </c>
      <c r="O63" s="13" t="n">
        <f aca="false">O30+O59</f>
        <v>10.843821374213</v>
      </c>
      <c r="P63" s="13" t="n">
        <f aca="false">P30+P59</f>
        <v>11.7026366133361</v>
      </c>
      <c r="Q63" s="13" t="n">
        <f aca="false">Q30+Q59</f>
        <v>12.7928042249184</v>
      </c>
      <c r="R63" s="13" t="n">
        <f aca="false">R30+R59</f>
        <v>14.1135903156165</v>
      </c>
      <c r="S63" s="13" t="n">
        <f aca="false">S30+S59</f>
        <v>15.6691766899201</v>
      </c>
      <c r="T63" s="13" t="n">
        <f aca="false">T30+T59</f>
        <v>17.444510151424</v>
      </c>
      <c r="U63" s="13" t="n">
        <f aca="false">U30+U59</f>
        <v>19.4305028830936</v>
      </c>
      <c r="V63" s="13" t="n">
        <f aca="false">V30+V59</f>
        <v>21.6017118775457</v>
      </c>
      <c r="W63" s="13" t="n">
        <f aca="false">W30+W59</f>
        <v>23.9269545903523</v>
      </c>
      <c r="X63" s="13" t="n">
        <f aca="false">X30+X59</f>
        <v>26.3796710452452</v>
      </c>
      <c r="Y63" s="13" t="n">
        <f aca="false">Y30+Y59</f>
        <v>28.9172781907065</v>
      </c>
      <c r="Z63" s="13" t="n">
        <f aca="false">Z30+Z59</f>
        <v>31.5080146348246</v>
      </c>
      <c r="AA63" s="13" t="n">
        <f aca="false">AA30+AA59</f>
        <v>34.1954186608262</v>
      </c>
      <c r="AB63" s="13" t="n">
        <f aca="false">AB30+AB59</f>
        <v>36.7588207361134</v>
      </c>
      <c r="AC63" s="13" t="n">
        <f aca="false">AC30+AC59</f>
        <v>39.2611874539856</v>
      </c>
      <c r="AD63" s="13" t="n">
        <f aca="false">AD30+AD59</f>
        <v>41.6532178660013</v>
      </c>
      <c r="AE63" s="13" t="n">
        <f aca="false">AE30+AE59</f>
        <v>43.9099911104873</v>
      </c>
      <c r="AF63" s="13" t="n">
        <f aca="false">AF30+AF59</f>
        <v>45.9929704282762</v>
      </c>
      <c r="AG63" s="13" t="n">
        <f aca="false">AG30+AG59</f>
        <v>47.8877629378968</v>
      </c>
      <c r="AH63" s="13" t="n">
        <f aca="false">AH30+AH59</f>
        <v>49.5716926152633</v>
      </c>
      <c r="AI63" s="13" t="n">
        <f aca="false">AI30+AI59</f>
        <v>51.0291771255943</v>
      </c>
      <c r="AJ63" s="13" t="n">
        <f aca="false">AJ30+AJ59</f>
        <v>52.2680487009725</v>
      </c>
      <c r="AK63" s="13" t="n">
        <f aca="false">AK30+AK59</f>
        <v>53.2844100962179</v>
      </c>
      <c r="AL63" s="13" t="n">
        <f aca="false">AL30+AL59</f>
        <v>54.1046357359561</v>
      </c>
      <c r="AM63" s="13" t="n">
        <f aca="false">AM30+AM59</f>
        <v>54.7492106737234</v>
      </c>
      <c r="AN63" s="13" t="n">
        <f aca="false">AN30+AN59</f>
        <v>55.2367553666154</v>
      </c>
      <c r="AO63" s="13" t="n">
        <f aca="false">AO30+AO59</f>
        <v>55.6434075396361</v>
      </c>
      <c r="AP63" s="13" t="n">
        <f aca="false">AP30+AP59</f>
        <v>59.6411423098811</v>
      </c>
      <c r="AQ63" s="13" t="n">
        <f aca="false">AQ30+AQ59</f>
        <v>62.722099324753</v>
      </c>
      <c r="AR63" s="13" t="n">
        <f aca="false">AR30+AR59</f>
        <v>62.9949674778433</v>
      </c>
      <c r="AS63" s="13" t="n">
        <f aca="false">AS30+AS59</f>
        <v>62.9949674778433</v>
      </c>
      <c r="AT63" s="13" t="n">
        <f aca="false">AT30+AT59</f>
        <v>62.9949674778433</v>
      </c>
      <c r="AU63" s="13" t="n">
        <f aca="false">AU30+AU59</f>
        <v>62.9949674778433</v>
      </c>
      <c r="AV63" s="13" t="n">
        <f aca="false">AV30+AV59</f>
        <v>62.9949674778433</v>
      </c>
      <c r="AW63" s="13" t="n">
        <f aca="false">AW30+AW59</f>
        <v>62.9949674778433</v>
      </c>
      <c r="AX63" s="13" t="n">
        <f aca="false">AX30+AX59</f>
        <v>62.9949674778433</v>
      </c>
      <c r="AY63" s="13" t="n">
        <f aca="false">AY30+AY59</f>
        <v>62.9949674778433</v>
      </c>
      <c r="AZ63" s="13" t="n">
        <f aca="false">AZ30+AZ59</f>
        <v>62.9949674778433</v>
      </c>
      <c r="BA63" s="13" t="n">
        <f aca="false">BA30+BA59</f>
        <v>62.9949674778433</v>
      </c>
      <c r="BB63" s="13" t="n">
        <f aca="false">BB30+BB59</f>
        <v>62.9949674778433</v>
      </c>
      <c r="BC63" s="13" t="n">
        <f aca="false">BC30+BC59</f>
        <v>62.9949674778433</v>
      </c>
      <c r="BD63" s="13" t="n">
        <f aca="false">BD30+BD59</f>
        <v>62.9949674778433</v>
      </c>
      <c r="BE63" s="13" t="n">
        <f aca="false">BE30+BE59</f>
        <v>62.9949674778433</v>
      </c>
      <c r="BF63" s="13" t="n">
        <f aca="false">BF30+BF59</f>
        <v>62.9949674778433</v>
      </c>
      <c r="BG63" s="13" t="n">
        <f aca="false">BG30+BG59</f>
        <v>62.9949674778433</v>
      </c>
      <c r="BH63" s="13" t="n">
        <f aca="false">BH30+BH59</f>
        <v>62.9949674778433</v>
      </c>
      <c r="BI63" s="13" t="n">
        <f aca="false">BI30+BI59</f>
        <v>62.9949674778433</v>
      </c>
      <c r="BJ63" s="13" t="n">
        <f aca="false">BJ30+BJ59</f>
        <v>62.9949674778433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34.7398904319299</v>
      </c>
      <c r="L64" s="13" t="n">
        <f aca="false">L31+L60</f>
        <v>35.6306593379333</v>
      </c>
      <c r="M64" s="13" t="n">
        <f aca="false">M31+M60</f>
        <v>36.8905509370711</v>
      </c>
      <c r="N64" s="13" t="n">
        <f aca="false">N31+N60</f>
        <v>38.7052775790027</v>
      </c>
      <c r="O64" s="13" t="n">
        <f aca="false">O31+O60</f>
        <v>41.2065212220093</v>
      </c>
      <c r="P64" s="13" t="n">
        <f aca="false">P31+P60</f>
        <v>44.470019130677</v>
      </c>
      <c r="Q64" s="13" t="n">
        <f aca="false">Q31+Q60</f>
        <v>48.6126560546897</v>
      </c>
      <c r="R64" s="13" t="n">
        <f aca="false">R31+R60</f>
        <v>53.6316431993426</v>
      </c>
      <c r="S64" s="13" t="n">
        <f aca="false">S31+S60</f>
        <v>59.5428714216964</v>
      </c>
      <c r="T64" s="13" t="n">
        <f aca="false">T31+T60</f>
        <v>66.2891385754113</v>
      </c>
      <c r="U64" s="13" t="n">
        <f aca="false">U31+U60</f>
        <v>73.8359109557555</v>
      </c>
      <c r="V64" s="13" t="n">
        <f aca="false">V31+V60</f>
        <v>82.0865051346738</v>
      </c>
      <c r="W64" s="13" t="n">
        <f aca="false">W31+W60</f>
        <v>90.9224274433389</v>
      </c>
      <c r="X64" s="13" t="n">
        <f aca="false">X31+X60</f>
        <v>100.242749971932</v>
      </c>
      <c r="Y64" s="13" t="n">
        <f aca="false">Y31+Y60</f>
        <v>109.885657124685</v>
      </c>
      <c r="Z64" s="13" t="n">
        <f aca="false">Z31+Z60</f>
        <v>119.730455612333</v>
      </c>
      <c r="AA64" s="13" t="n">
        <f aca="false">AA31+AA60</f>
        <v>129.94259091114</v>
      </c>
      <c r="AB64" s="13" t="n">
        <f aca="false">AB31+AB60</f>
        <v>139.683518797231</v>
      </c>
      <c r="AC64" s="13" t="n">
        <f aca="false">AC31+AC60</f>
        <v>149.192512325145</v>
      </c>
      <c r="AD64" s="13" t="n">
        <f aca="false">AD31+AD60</f>
        <v>158.282227890805</v>
      </c>
      <c r="AE64" s="13" t="n">
        <f aca="false">AE31+AE60</f>
        <v>166.857966219852</v>
      </c>
      <c r="AF64" s="13" t="n">
        <f aca="false">AF31+AF60</f>
        <v>174.77328762745</v>
      </c>
      <c r="AG64" s="13" t="n">
        <f aca="false">AG31+AG60</f>
        <v>181.973499164008</v>
      </c>
      <c r="AH64" s="13" t="n">
        <f aca="false">AH31+AH60</f>
        <v>188.372431938001</v>
      </c>
      <c r="AI64" s="13" t="n">
        <f aca="false">AI31+AI60</f>
        <v>193.910873077258</v>
      </c>
      <c r="AJ64" s="13" t="n">
        <f aca="false">AJ31+AJ60</f>
        <v>198.618585063696</v>
      </c>
      <c r="AK64" s="13" t="n">
        <f aca="false">AK31+AK60</f>
        <v>202.480758365628</v>
      </c>
      <c r="AL64" s="13" t="n">
        <f aca="false">AL31+AL60</f>
        <v>205.597615796633</v>
      </c>
      <c r="AM64" s="13" t="n">
        <f aca="false">AM31+AM60</f>
        <v>208.047000560149</v>
      </c>
      <c r="AN64" s="13" t="n">
        <f aca="false">AN31+AN60</f>
        <v>209.899670393138</v>
      </c>
      <c r="AO64" s="13" t="n">
        <f aca="false">AO31+AO60</f>
        <v>211.444948650617</v>
      </c>
      <c r="AP64" s="13" t="n">
        <f aca="false">AP31+AP60</f>
        <v>226.636340777548</v>
      </c>
      <c r="AQ64" s="13" t="n">
        <f aca="false">AQ31+AQ60</f>
        <v>238.343977434061</v>
      </c>
      <c r="AR64" s="13" t="n">
        <f aca="false">AR31+AR60</f>
        <v>239.380876415805</v>
      </c>
      <c r="AS64" s="13" t="n">
        <f aca="false">AS31+AS60</f>
        <v>239.380876415805</v>
      </c>
      <c r="AT64" s="13" t="n">
        <f aca="false">AT31+AT60</f>
        <v>239.380876415805</v>
      </c>
      <c r="AU64" s="13" t="n">
        <f aca="false">AU31+AU60</f>
        <v>239.380876415805</v>
      </c>
      <c r="AV64" s="13" t="n">
        <f aca="false">AV31+AV60</f>
        <v>239.380876415805</v>
      </c>
      <c r="AW64" s="13" t="n">
        <f aca="false">AW31+AW60</f>
        <v>239.380876415805</v>
      </c>
      <c r="AX64" s="13" t="n">
        <f aca="false">AX31+AX60</f>
        <v>239.380876415805</v>
      </c>
      <c r="AY64" s="13" t="n">
        <f aca="false">AY31+AY60</f>
        <v>239.380876415805</v>
      </c>
      <c r="AZ64" s="13" t="n">
        <f aca="false">AZ31+AZ60</f>
        <v>239.380876415805</v>
      </c>
      <c r="BA64" s="13" t="n">
        <f aca="false">BA31+BA60</f>
        <v>239.380876415805</v>
      </c>
      <c r="BB64" s="13" t="n">
        <f aca="false">BB31+BB60</f>
        <v>239.380876415805</v>
      </c>
      <c r="BC64" s="13" t="n">
        <f aca="false">BC31+BC60</f>
        <v>239.380876415805</v>
      </c>
      <c r="BD64" s="13" t="n">
        <f aca="false">BD31+BD60</f>
        <v>239.380876415805</v>
      </c>
      <c r="BE64" s="13" t="n">
        <f aca="false">BE31+BE60</f>
        <v>239.380876415805</v>
      </c>
      <c r="BF64" s="13" t="n">
        <f aca="false">BF31+BF60</f>
        <v>239.380876415805</v>
      </c>
      <c r="BG64" s="13" t="n">
        <f aca="false">BG31+BG60</f>
        <v>239.380876415805</v>
      </c>
      <c r="BH64" s="13" t="n">
        <f aca="false">BH31+BH60</f>
        <v>239.380876415805</v>
      </c>
      <c r="BI64" s="13" t="n">
        <f aca="false">BI31+BI60</f>
        <v>239.380876415805</v>
      </c>
      <c r="BJ64" s="13" t="n">
        <f aca="false">BJ31+BJ60</f>
        <v>239.380876415805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1.63349334059149E-011</v>
      </c>
      <c r="AS65" s="13" t="n">
        <f aca="false">AS32+AS55</f>
        <v>1.63349334059149E-011</v>
      </c>
      <c r="AT65" s="13" t="n">
        <f aca="false">AT32+AT55</f>
        <v>1.63349334059149E-011</v>
      </c>
      <c r="AU65" s="13" t="n">
        <f aca="false">AU32+AU55</f>
        <v>1.63349334059149E-011</v>
      </c>
      <c r="AV65" s="13" t="n">
        <f aca="false">AV32+AV55</f>
        <v>1.63349334059149E-011</v>
      </c>
      <c r="AW65" s="13" t="n">
        <f aca="false">AW32+AW55</f>
        <v>1.63349334059149E-011</v>
      </c>
      <c r="AX65" s="13" t="n">
        <f aca="false">AX32+AX55</f>
        <v>1.63349334059149E-011</v>
      </c>
      <c r="AY65" s="13" t="n">
        <f aca="false">AY32+AY55</f>
        <v>1.63349334059149E-011</v>
      </c>
      <c r="AZ65" s="13" t="n">
        <f aca="false">AZ32+AZ55</f>
        <v>1.63349334059149E-011</v>
      </c>
      <c r="BA65" s="13" t="n">
        <f aca="false">BA32+BA55</f>
        <v>1.63349334059149E-011</v>
      </c>
      <c r="BB65" s="13" t="n">
        <f aca="false">BB32+BB55</f>
        <v>1.63349334059149E-011</v>
      </c>
      <c r="BC65" s="13" t="n">
        <f aca="false">BC32+BC55</f>
        <v>1.63349334059149E-011</v>
      </c>
      <c r="BD65" s="13" t="n">
        <f aca="false">BD32+BD55</f>
        <v>1.63349334059149E-011</v>
      </c>
      <c r="BE65" s="13" t="n">
        <f aca="false">BE32+BE55</f>
        <v>1.63349334059149E-011</v>
      </c>
      <c r="BF65" s="13" t="n">
        <f aca="false">BF32+BF55</f>
        <v>1.63349334059149E-011</v>
      </c>
      <c r="BG65" s="13" t="n">
        <f aca="false">BG32+BG55</f>
        <v>1.63349334059149E-011</v>
      </c>
      <c r="BH65" s="13" t="n">
        <f aca="false">BH32+BH55</f>
        <v>1.63349334059149E-011</v>
      </c>
      <c r="BI65" s="13" t="n">
        <f aca="false">BI32+BI55</f>
        <v>1.63349334059149E-011</v>
      </c>
      <c r="BJ65" s="13" t="n">
        <f aca="false">BJ32+BJ55</f>
        <v>1.63349334059149E-011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224.602219589145</v>
      </c>
      <c r="J67" s="13" t="n">
        <f aca="false">J50-J47+J56</f>
        <v>31.9397396313942</v>
      </c>
      <c r="K67" s="13" t="n">
        <f aca="false">K50-K47+K56</f>
        <v>0.655414234371347</v>
      </c>
      <c r="L67" s="13" t="n">
        <f aca="false">L50-L47+L56</f>
        <v>0.835775507320978</v>
      </c>
      <c r="M67" s="13" t="n">
        <f aca="false">M50-M47+M56</f>
        <v>1.18210967327457</v>
      </c>
      <c r="N67" s="13" t="n">
        <f aca="false">N50-N47+N56</f>
        <v>1.70269086582087</v>
      </c>
      <c r="O67" s="13" t="n">
        <f aca="false">O50-O47+O56</f>
        <v>2.34682436777732</v>
      </c>
      <c r="P67" s="13" t="n">
        <f aca="false">P50-P47+P56</f>
        <v>3.06201934292396</v>
      </c>
      <c r="Q67" s="13" t="n">
        <f aca="false">Q50-Q47+Q56</f>
        <v>3.88688295412954</v>
      </c>
      <c r="R67" s="13" t="n">
        <f aca="false">R50-R47+R56</f>
        <v>4.70912994244503</v>
      </c>
      <c r="S67" s="13" t="n">
        <f aca="false">S50-S47+S56</f>
        <v>5.54628673400146</v>
      </c>
      <c r="T67" s="13" t="n">
        <f aca="false">T50-T47+T56</f>
        <v>6.32977286804537</v>
      </c>
      <c r="U67" s="13" t="n">
        <f aca="false">U50-U47+U56</f>
        <v>7.08085730463728</v>
      </c>
      <c r="V67" s="13" t="n">
        <f aca="false">V50-V47+V56</f>
        <v>7.7412272578343</v>
      </c>
      <c r="W67" s="13" t="n">
        <f aca="false">W50-W47+W56</f>
        <v>8.29041898566771</v>
      </c>
      <c r="X67" s="13" t="n">
        <f aca="false">X50-X47+X56</f>
        <v>8.74491378990728</v>
      </c>
      <c r="Y67" s="13" t="n">
        <f aca="false">Y50-Y47+Y56</f>
        <v>9.04758300758421</v>
      </c>
      <c r="Z67" s="13" t="n">
        <f aca="false">Z50-Z47+Z56</f>
        <v>9.23701017742518</v>
      </c>
      <c r="AA67" s="13" t="n">
        <f aca="false">AA50-AA47+AA56</f>
        <v>9.58166871639481</v>
      </c>
      <c r="AB67" s="13" t="n">
        <f aca="false">AB50-AB47+AB56</f>
        <v>9.13955223504797</v>
      </c>
      <c r="AC67" s="13" t="n">
        <f aca="false">AC50-AC47+AC56</f>
        <v>8.92193680801217</v>
      </c>
      <c r="AD67" s="13" t="n">
        <f aca="false">AD50-AD47+AD56</f>
        <v>8.52854380871634</v>
      </c>
      <c r="AE67" s="13" t="n">
        <f aca="false">AE50-AE47+AE56</f>
        <v>8.04629798402875</v>
      </c>
      <c r="AF67" s="13" t="n">
        <f aca="false">AF50-AF47+AF56</f>
        <v>7.42665322111993</v>
      </c>
      <c r="AG67" s="13" t="n">
        <f aca="false">AG50-AG47+AG56</f>
        <v>6.75569208717094</v>
      </c>
      <c r="AH67" s="13" t="n">
        <f aca="false">AH50-AH47+AH56</f>
        <v>6.00388187042989</v>
      </c>
      <c r="AI67" s="13" t="n">
        <f aca="false">AI50-AI47+AI56</f>
        <v>5.19651440652399</v>
      </c>
      <c r="AJ67" s="13" t="n">
        <f aca="false">AJ50-AJ47+AJ56</f>
        <v>4.41707197822934</v>
      </c>
      <c r="AK67" s="13" t="n">
        <f aca="false">AK50-AK47+AK56</f>
        <v>3.62373431428645</v>
      </c>
      <c r="AL67" s="13" t="n">
        <f aca="false">AL50-AL47+AL56</f>
        <v>2.92443200822246</v>
      </c>
      <c r="AM67" s="13" t="n">
        <f aca="false">AM50-AM47+AM56</f>
        <v>2.2981670998557</v>
      </c>
      <c r="AN67" s="13" t="n">
        <f aca="false">AN50-AN47+AN56</f>
        <v>1.73829155814645</v>
      </c>
      <c r="AO67" s="13" t="n">
        <f aca="false">AO50-AO47+AO56</f>
        <v>1.44987741589551</v>
      </c>
      <c r="AP67" s="13" t="n">
        <f aca="false">AP50-AP47+AP56</f>
        <v>14.2535211728066</v>
      </c>
      <c r="AQ67" s="13" t="n">
        <f aca="false">AQ50-AQ47+AQ56</f>
        <v>10.9848423089092</v>
      </c>
      <c r="AR67" s="13" t="n">
        <f aca="false">AR50-AR47+AR56</f>
        <v>0.972883950788176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210.402219589145</v>
      </c>
      <c r="J68" s="13" t="n">
        <f aca="false">J67-IF(Construction!J8=1,Inputs!$F$68,0)</f>
        <v>17.7397396313942</v>
      </c>
      <c r="K68" s="13" t="n">
        <f aca="false">K67-IF(Construction!K8=1,Inputs!$F$68,0)</f>
        <v>0.655414234371347</v>
      </c>
      <c r="L68" s="13" t="n">
        <f aca="false">L67-IF(Construction!L8=1,Inputs!$F$68,0)</f>
        <v>0.835775507320978</v>
      </c>
      <c r="M68" s="13" t="n">
        <f aca="false">M67-IF(Construction!M8=1,Inputs!$F$68,0)</f>
        <v>1.18210967327457</v>
      </c>
      <c r="N68" s="13" t="n">
        <f aca="false">N67-IF(Construction!N8=1,Inputs!$F$68,0)</f>
        <v>1.70269086582087</v>
      </c>
      <c r="O68" s="13" t="n">
        <f aca="false">O67-IF(Construction!O8=1,Inputs!$F$68,0)</f>
        <v>2.34682436777732</v>
      </c>
      <c r="P68" s="13" t="n">
        <f aca="false">P67-IF(Construction!P8=1,Inputs!$F$68,0)</f>
        <v>3.06201934292396</v>
      </c>
      <c r="Q68" s="13" t="n">
        <f aca="false">Q67-IF(Construction!Q8=1,Inputs!$F$68,0)</f>
        <v>3.88688295412954</v>
      </c>
      <c r="R68" s="13" t="n">
        <f aca="false">R67-IF(Construction!R8=1,Inputs!$F$68,0)</f>
        <v>4.70912994244503</v>
      </c>
      <c r="S68" s="13" t="n">
        <f aca="false">S67-IF(Construction!S8=1,Inputs!$F$68,0)</f>
        <v>5.54628673400146</v>
      </c>
      <c r="T68" s="13" t="n">
        <f aca="false">T67-IF(Construction!T8=1,Inputs!$F$68,0)</f>
        <v>6.32977286804537</v>
      </c>
      <c r="U68" s="13" t="n">
        <f aca="false">U67-IF(Construction!U8=1,Inputs!$F$68,0)</f>
        <v>7.08085730463728</v>
      </c>
      <c r="V68" s="13" t="n">
        <f aca="false">V67-IF(Construction!V8=1,Inputs!$F$68,0)</f>
        <v>7.7412272578343</v>
      </c>
      <c r="W68" s="13" t="n">
        <f aca="false">W67-IF(Construction!W8=1,Inputs!$F$68,0)</f>
        <v>8.29041898566771</v>
      </c>
      <c r="X68" s="13" t="n">
        <f aca="false">X67-IF(Construction!X8=1,Inputs!$F$68,0)</f>
        <v>8.74491378990728</v>
      </c>
      <c r="Y68" s="13" t="n">
        <f aca="false">Y67-IF(Construction!Y8=1,Inputs!$F$68,0)</f>
        <v>9.04758300758421</v>
      </c>
      <c r="Z68" s="13" t="n">
        <f aca="false">Z67-IF(Construction!Z8=1,Inputs!$F$68,0)</f>
        <v>9.23701017742518</v>
      </c>
      <c r="AA68" s="13" t="n">
        <f aca="false">AA67-IF(Construction!AA8=1,Inputs!$F$68,0)</f>
        <v>9.58166871639481</v>
      </c>
      <c r="AB68" s="13" t="n">
        <f aca="false">AB67-IF(Construction!AB8=1,Inputs!$F$68,0)</f>
        <v>9.13955223504797</v>
      </c>
      <c r="AC68" s="13" t="n">
        <f aca="false">AC67-IF(Construction!AC8=1,Inputs!$F$68,0)</f>
        <v>8.92193680801217</v>
      </c>
      <c r="AD68" s="13" t="n">
        <f aca="false">AD67-IF(Construction!AD8=1,Inputs!$F$68,0)</f>
        <v>8.52854380871634</v>
      </c>
      <c r="AE68" s="13" t="n">
        <f aca="false">AE67-IF(Construction!AE8=1,Inputs!$F$68,0)</f>
        <v>8.04629798402875</v>
      </c>
      <c r="AF68" s="13" t="n">
        <f aca="false">AF67-IF(Construction!AF8=1,Inputs!$F$68,0)</f>
        <v>7.42665322111993</v>
      </c>
      <c r="AG68" s="13" t="n">
        <f aca="false">AG67-IF(Construction!AG8=1,Inputs!$F$68,0)</f>
        <v>6.75569208717094</v>
      </c>
      <c r="AH68" s="13" t="n">
        <f aca="false">AH67-IF(Construction!AH8=1,Inputs!$F$68,0)</f>
        <v>6.00388187042989</v>
      </c>
      <c r="AI68" s="13" t="n">
        <f aca="false">AI67-IF(Construction!AI8=1,Inputs!$F$68,0)</f>
        <v>5.19651440652399</v>
      </c>
      <c r="AJ68" s="13" t="n">
        <f aca="false">AJ67-IF(Construction!AJ8=1,Inputs!$F$68,0)</f>
        <v>4.41707197822934</v>
      </c>
      <c r="AK68" s="13" t="n">
        <f aca="false">AK67-IF(Construction!AK8=1,Inputs!$F$68,0)</f>
        <v>3.62373431428645</v>
      </c>
      <c r="AL68" s="13" t="n">
        <f aca="false">AL67-IF(Construction!AL8=1,Inputs!$F$68,0)</f>
        <v>2.92443200822246</v>
      </c>
      <c r="AM68" s="13" t="n">
        <f aca="false">AM67-IF(Construction!AM8=1,Inputs!$F$68,0)</f>
        <v>2.2981670998557</v>
      </c>
      <c r="AN68" s="13" t="n">
        <f aca="false">AN67-IF(Construction!AN8=1,Inputs!$F$68,0)</f>
        <v>1.73829155814645</v>
      </c>
      <c r="AO68" s="13" t="n">
        <f aca="false">AO67-IF(Construction!AO8=1,Inputs!$F$68,0)</f>
        <v>1.44987741589551</v>
      </c>
      <c r="AP68" s="13" t="n">
        <f aca="false">AP67-IF(Construction!AP8=1,Inputs!$F$68,0)</f>
        <v>14.2535211728066</v>
      </c>
      <c r="AQ68" s="13" t="n">
        <f aca="false">AQ67-IF(Construction!AQ8=1,Inputs!$F$68,0)</f>
        <v>10.9848423089092</v>
      </c>
      <c r="AR68" s="13" t="n">
        <f aca="false">AR67-IF(Construction!AR8=1,Inputs!$F$68,0)</f>
        <v>0.972883950788176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44.920443917829</v>
      </c>
      <c r="J69" s="13" t="n">
        <f aca="false">(1-Inputs!$F$53)*J67</f>
        <v>6.38794792627885</v>
      </c>
      <c r="K69" s="13" t="n">
        <f aca="false">(1-Inputs!$F$53)*K67</f>
        <v>0.131082846874269</v>
      </c>
      <c r="L69" s="13" t="n">
        <f aca="false">(1-Inputs!$F$53)*L67</f>
        <v>0.167155101464196</v>
      </c>
      <c r="M69" s="13" t="n">
        <f aca="false">(1-Inputs!$F$53)*M67</f>
        <v>0.236421934654914</v>
      </c>
      <c r="N69" s="13" t="n">
        <f aca="false">(1-Inputs!$F$53)*N67</f>
        <v>0.340538173164175</v>
      </c>
      <c r="O69" s="13" t="n">
        <f aca="false">(1-Inputs!$F$53)*O67</f>
        <v>0.469364873555464</v>
      </c>
      <c r="P69" s="13" t="n">
        <f aca="false">(1-Inputs!$F$53)*P67</f>
        <v>0.612403868584792</v>
      </c>
      <c r="Q69" s="13" t="n">
        <f aca="false">(1-Inputs!$F$53)*Q67</f>
        <v>0.777376590825907</v>
      </c>
      <c r="R69" s="13" t="n">
        <f aca="false">(1-Inputs!$F$53)*R67</f>
        <v>0.941825988489005</v>
      </c>
      <c r="S69" s="13" t="n">
        <f aca="false">(1-Inputs!$F$53)*S67</f>
        <v>1.10925734680029</v>
      </c>
      <c r="T69" s="13" t="n">
        <f aca="false">(1-Inputs!$F$53)*T67</f>
        <v>1.26595457360907</v>
      </c>
      <c r="U69" s="13" t="n">
        <f aca="false">(1-Inputs!$F$53)*U67</f>
        <v>1.41617146092746</v>
      </c>
      <c r="V69" s="13" t="n">
        <f aca="false">(1-Inputs!$F$53)*V67</f>
        <v>1.54824545156686</v>
      </c>
      <c r="W69" s="13" t="n">
        <f aca="false">(1-Inputs!$F$53)*W67</f>
        <v>1.65808379713354</v>
      </c>
      <c r="X69" s="13" t="n">
        <f aca="false">(1-Inputs!$F$53)*X67</f>
        <v>1.74898275798146</v>
      </c>
      <c r="Y69" s="13" t="n">
        <f aca="false">(1-Inputs!$F$53)*Y67</f>
        <v>1.80951660151684</v>
      </c>
      <c r="Z69" s="13" t="n">
        <f aca="false">(1-Inputs!$F$53)*Z67</f>
        <v>1.84740203548504</v>
      </c>
      <c r="AA69" s="13" t="n">
        <f aca="false">(1-Inputs!$F$53)*AA67</f>
        <v>1.91633374327896</v>
      </c>
      <c r="AB69" s="13" t="n">
        <f aca="false">(1-Inputs!$F$53)*AB67</f>
        <v>1.82791044700959</v>
      </c>
      <c r="AC69" s="13" t="n">
        <f aca="false">(1-Inputs!$F$53)*AC67</f>
        <v>1.78438736160243</v>
      </c>
      <c r="AD69" s="13" t="n">
        <f aca="false">(1-Inputs!$F$53)*AD67</f>
        <v>1.70570876174327</v>
      </c>
      <c r="AE69" s="13" t="n">
        <f aca="false">(1-Inputs!$F$53)*AE67</f>
        <v>1.60925959680575</v>
      </c>
      <c r="AF69" s="13" t="n">
        <f aca="false">(1-Inputs!$F$53)*AF67</f>
        <v>1.48533064422399</v>
      </c>
      <c r="AG69" s="13" t="n">
        <f aca="false">(1-Inputs!$F$53)*AG67</f>
        <v>1.35113841743419</v>
      </c>
      <c r="AH69" s="13" t="n">
        <f aca="false">(1-Inputs!$F$53)*AH67</f>
        <v>1.20077637408598</v>
      </c>
      <c r="AI69" s="13" t="n">
        <f aca="false">(1-Inputs!$F$53)*AI67</f>
        <v>1.0393028813048</v>
      </c>
      <c r="AJ69" s="13" t="n">
        <f aca="false">(1-Inputs!$F$53)*AJ67</f>
        <v>0.883414395645867</v>
      </c>
      <c r="AK69" s="13" t="n">
        <f aca="false">(1-Inputs!$F$53)*AK67</f>
        <v>0.72474686285729</v>
      </c>
      <c r="AL69" s="13" t="n">
        <f aca="false">(1-Inputs!$F$53)*AL67</f>
        <v>0.584886401644491</v>
      </c>
      <c r="AM69" s="13" t="n">
        <f aca="false">(1-Inputs!$F$53)*AM67</f>
        <v>0.45963341997114</v>
      </c>
      <c r="AN69" s="13" t="n">
        <f aca="false">(1-Inputs!$F$53)*AN67</f>
        <v>0.347658311629289</v>
      </c>
      <c r="AO69" s="13" t="n">
        <f aca="false">(1-Inputs!$F$53)*AO67</f>
        <v>0.289975483179101</v>
      </c>
      <c r="AP69" s="13" t="n">
        <f aca="false">(1-Inputs!$F$53)*AP67</f>
        <v>2.85070423456132</v>
      </c>
      <c r="AQ69" s="13" t="n">
        <f aca="false">(1-Inputs!$F$53)*AQ67</f>
        <v>2.19696846178183</v>
      </c>
      <c r="AR69" s="13" t="n">
        <f aca="false">(1-Inputs!$F$53)*AR67</f>
        <v>0.194576790157635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179.681775671316</v>
      </c>
      <c r="J70" s="13" t="n">
        <f aca="false">Inputs!$F$53*J67</f>
        <v>25.5517917051154</v>
      </c>
      <c r="K70" s="13" t="n">
        <f aca="false">Inputs!$F$53*K67</f>
        <v>0.524331387497077</v>
      </c>
      <c r="L70" s="13" t="n">
        <f aca="false">Inputs!$F$53*L67</f>
        <v>0.668620405856782</v>
      </c>
      <c r="M70" s="13" t="n">
        <f aca="false">Inputs!$F$53*M67</f>
        <v>0.945687738619655</v>
      </c>
      <c r="N70" s="13" t="n">
        <f aca="false">Inputs!$F$53*N67</f>
        <v>1.3621526926567</v>
      </c>
      <c r="O70" s="13" t="n">
        <f aca="false">Inputs!$F$53*O67</f>
        <v>1.87745949422186</v>
      </c>
      <c r="P70" s="13" t="n">
        <f aca="false">Inputs!$F$53*P67</f>
        <v>2.44961547433917</v>
      </c>
      <c r="Q70" s="13" t="n">
        <f aca="false">Inputs!$F$53*Q67</f>
        <v>3.10950636330363</v>
      </c>
      <c r="R70" s="13" t="n">
        <f aca="false">Inputs!$F$53*R67</f>
        <v>3.76730395395602</v>
      </c>
      <c r="S70" s="13" t="n">
        <f aca="false">Inputs!$F$53*S67</f>
        <v>4.43702938720117</v>
      </c>
      <c r="T70" s="13" t="n">
        <f aca="false">Inputs!$F$53*T67</f>
        <v>5.06381829443629</v>
      </c>
      <c r="U70" s="13" t="n">
        <f aca="false">Inputs!$F$53*U67</f>
        <v>5.66468584370983</v>
      </c>
      <c r="V70" s="13" t="n">
        <f aca="false">Inputs!$F$53*V67</f>
        <v>6.19298180626744</v>
      </c>
      <c r="W70" s="13" t="n">
        <f aca="false">Inputs!$F$53*W67</f>
        <v>6.63233518853417</v>
      </c>
      <c r="X70" s="13" t="n">
        <f aca="false">Inputs!$F$53*X67</f>
        <v>6.99593103192582</v>
      </c>
      <c r="Y70" s="13" t="n">
        <f aca="false">Inputs!$F$53*Y67</f>
        <v>7.23806640606736</v>
      </c>
      <c r="Z70" s="13" t="n">
        <f aca="false">Inputs!$F$53*Z67</f>
        <v>7.38960814194015</v>
      </c>
      <c r="AA70" s="13" t="n">
        <f aca="false">Inputs!$F$53*AA67</f>
        <v>7.66533497311585</v>
      </c>
      <c r="AB70" s="13" t="n">
        <f aca="false">Inputs!$F$53*AB67</f>
        <v>7.31164178803838</v>
      </c>
      <c r="AC70" s="13" t="n">
        <f aca="false">Inputs!$F$53*AC67</f>
        <v>7.13754944640974</v>
      </c>
      <c r="AD70" s="13" t="n">
        <f aca="false">Inputs!$F$53*AD67</f>
        <v>6.82283504697307</v>
      </c>
      <c r="AE70" s="13" t="n">
        <f aca="false">Inputs!$F$53*AE67</f>
        <v>6.437038387223</v>
      </c>
      <c r="AF70" s="13" t="n">
        <f aca="false">Inputs!$F$53*AF67</f>
        <v>5.94132257689595</v>
      </c>
      <c r="AG70" s="13" t="n">
        <f aca="false">Inputs!$F$53*AG67</f>
        <v>5.40455366973675</v>
      </c>
      <c r="AH70" s="13" t="n">
        <f aca="false">Inputs!$F$53*AH67</f>
        <v>4.80310549634392</v>
      </c>
      <c r="AI70" s="13" t="n">
        <f aca="false">Inputs!$F$53*AI67</f>
        <v>4.15721152521919</v>
      </c>
      <c r="AJ70" s="13" t="n">
        <f aca="false">Inputs!$F$53*AJ67</f>
        <v>3.53365758258347</v>
      </c>
      <c r="AK70" s="13" t="n">
        <f aca="false">Inputs!$F$53*AK67</f>
        <v>2.89898745142916</v>
      </c>
      <c r="AL70" s="13" t="n">
        <f aca="false">Inputs!$F$53*AL67</f>
        <v>2.33954560657797</v>
      </c>
      <c r="AM70" s="13" t="n">
        <f aca="false">Inputs!$F$53*AM67</f>
        <v>1.83853367988456</v>
      </c>
      <c r="AN70" s="13" t="n">
        <f aca="false">Inputs!$F$53*AN67</f>
        <v>1.39063324651716</v>
      </c>
      <c r="AO70" s="13" t="n">
        <f aca="false">Inputs!$F$53*AO67</f>
        <v>1.15990193271641</v>
      </c>
      <c r="AP70" s="13" t="n">
        <f aca="false">Inputs!$F$53*AP67</f>
        <v>11.4028169382453</v>
      </c>
      <c r="AQ70" s="13" t="n">
        <f aca="false">Inputs!$F$53*AQ67</f>
        <v>8.78787384712734</v>
      </c>
      <c r="AR70" s="13" t="n">
        <f aca="false">Inputs!$F$53*AR67</f>
        <v>0.778307160630541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24.4965650311781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0.212004797831154</v>
      </c>
      <c r="M71" s="13" t="n">
        <f aca="false">IF(Construction!M8&lt;=Time!$F$11,L72*Inputs!$F$104/100*Construction!M11/Inputs!$F$248,0)</f>
        <v>0.212042047989126</v>
      </c>
      <c r="N71" s="13" t="n">
        <f aca="false">IF(Construction!N8&lt;=Time!$F$11,M72*Inputs!$F$104/100*Construction!N11/Inputs!$F$248,0)</f>
        <v>0.228451251109027</v>
      </c>
      <c r="O71" s="13" t="n">
        <f aca="false">IF(Construction!O8&lt;=Time!$F$11,N72*Inputs!$F$104/100*Construction!O11/Inputs!$F$248,0)</f>
        <v>0.241285028134753</v>
      </c>
      <c r="P71" s="13" t="n">
        <f aca="false">IF(Construction!P8&lt;=Time!$F$11,O72*Inputs!$F$104/100*Construction!P11/Inputs!$F$248,0)</f>
        <v>0.233375577627106</v>
      </c>
      <c r="Q71" s="13" t="n">
        <f aca="false">IF(Construction!Q8&lt;=Time!$F$11,P72*Inputs!$F$104/100*Construction!Q11/Inputs!$F$248,0)</f>
        <v>0.280027798727578</v>
      </c>
      <c r="R71" s="13" t="n">
        <f aca="false">IF(Construction!R8&lt;=Time!$F$11,Q72*Inputs!$F$104/100*Construction!R11/Inputs!$F$248,0)</f>
        <v>0.297460869578651</v>
      </c>
      <c r="S71" s="13" t="n">
        <f aca="false">IF(Construction!S8&lt;=Time!$F$11,R72*Inputs!$F$104/100*Construction!S11/Inputs!$F$248,0)</f>
        <v>0.340172759035774</v>
      </c>
      <c r="T71" s="13" t="n">
        <f aca="false">IF(Construction!T8&lt;=Time!$F$11,S72*Inputs!$F$104/100*Construction!T11/Inputs!$F$248,0)</f>
        <v>0.366500885643991</v>
      </c>
      <c r="U71" s="13" t="n">
        <f aca="false">IF(Construction!U8&lt;=Time!$F$11,T72*Inputs!$F$104/100*Construction!U11/Inputs!$F$248,0)</f>
        <v>0.422532074942635</v>
      </c>
      <c r="V71" s="13" t="n">
        <f aca="false">IF(Construction!V8&lt;=Time!$F$11,U72*Inputs!$F$104/100*Construction!V11/Inputs!$F$248,0)</f>
        <v>0.471646751026009</v>
      </c>
      <c r="W71" s="13" t="n">
        <f aca="false">IF(Construction!W8&lt;=Time!$F$11,V72*Inputs!$F$104/100*Construction!W11/Inputs!$F$248,0)</f>
        <v>0.508471220218442</v>
      </c>
      <c r="X71" s="13" t="n">
        <f aca="false">IF(Construction!X8&lt;=Time!$F$11,W72*Inputs!$F$104/100*Construction!X11/Inputs!$F$248,0)</f>
        <v>0.583035808491777</v>
      </c>
      <c r="Y71" s="13" t="n">
        <f aca="false">IF(Construction!Y8&lt;=Time!$F$11,X72*Inputs!$F$104/100*Construction!Y11/Inputs!$F$248,0)</f>
        <v>0.623406435999634</v>
      </c>
      <c r="Z71" s="13" t="n">
        <f aca="false">IF(Construction!Z8&lt;=Time!$F$11,Y72*Inputs!$F$104/100*Construction!Z11/Inputs!$F$248,0)</f>
        <v>0.707616890313468</v>
      </c>
      <c r="AA71" s="13" t="n">
        <f aca="false">IF(Construction!AA8&lt;=Time!$F$11,Z72*Inputs!$F$104/100*Construction!AA11/Inputs!$F$248,0)</f>
        <v>0.772949295025761</v>
      </c>
      <c r="AB71" s="13" t="n">
        <f aca="false">IF(Construction!AB8&lt;=Time!$F$11,AA72*Inputs!$F$104/100*Construction!AB11/Inputs!$F$248,0)</f>
        <v>0.786773305856678</v>
      </c>
      <c r="AC71" s="13" t="n">
        <f aca="false">IF(Construction!AC8&lt;=Time!$F$11,AB72*Inputs!$F$104/100*Construction!AC11/Inputs!$F$248,0)</f>
        <v>0.906375540563289</v>
      </c>
      <c r="AD71" s="13" t="n">
        <f aca="false">IF(Construction!AD8&lt;=Time!$F$11,AC72*Inputs!$F$104/100*Construction!AD11/Inputs!$F$248,0)</f>
        <v>0.939946349250295</v>
      </c>
      <c r="AE71" s="13" t="n">
        <f aca="false">IF(Construction!AE8&lt;=Time!$F$11,AD72*Inputs!$F$104/100*Construction!AE11/Inputs!$F$248,0)</f>
        <v>1.033911842751</v>
      </c>
      <c r="AF71" s="13" t="n">
        <f aca="false">IF(Construction!AF8&lt;=Time!$F$11,AE72*Inputs!$F$104/100*Construction!AF11/Inputs!$F$248,0)</f>
        <v>1.05889466468773</v>
      </c>
      <c r="AG71" s="13" t="n">
        <f aca="false">IF(Construction!AG8&lt;=Time!$F$11,AF72*Inputs!$F$104/100*Construction!AG11/Inputs!$F$248,0)</f>
        <v>1.15067235837767</v>
      </c>
      <c r="AH71" s="13" t="n">
        <f aca="false">IF(Construction!AH8&lt;=Time!$F$11,AG72*Inputs!$F$104/100*Construction!AH11/Inputs!$F$248,0)</f>
        <v>1.20356315468671</v>
      </c>
      <c r="AI71" s="13" t="n">
        <f aca="false">IF(Construction!AI8&lt;=Time!$F$11,AH72*Inputs!$F$104/100*Construction!AI11/Inputs!$F$248,0)</f>
        <v>1.21163992215095</v>
      </c>
      <c r="AJ71" s="13" t="n">
        <f aca="false">IF(Construction!AJ8&lt;=Time!$F$11,AI72*Inputs!$F$104/100*Construction!AJ11/Inputs!$F$248,0)</f>
        <v>1.29534646068613</v>
      </c>
      <c r="AK71" s="13" t="n">
        <f aca="false">IF(Construction!AK8&lt;=Time!$F$11,AJ72*Inputs!$F$104/100*Construction!AK11/Inputs!$F$248,0)</f>
        <v>1.29126701296827</v>
      </c>
      <c r="AL71" s="13" t="n">
        <f aca="false">IF(Construction!AL8&lt;=Time!$F$11,AK72*Inputs!$F$104/100*Construction!AL11/Inputs!$F$248,0)</f>
        <v>1.3681182861795</v>
      </c>
      <c r="AM71" s="13" t="n">
        <f aca="false">IF(Construction!AM8&lt;=Time!$F$11,AL72*Inputs!$F$104/100*Construction!AM11/Inputs!$F$248,0)</f>
        <v>1.39803354690326</v>
      </c>
      <c r="AN71" s="13" t="n">
        <f aca="false">IF(Construction!AN8&lt;=Time!$F$11,AM72*Inputs!$F$104/100*Construction!AN11/Inputs!$F$248,0)</f>
        <v>1.28632701572004</v>
      </c>
      <c r="AO71" s="13" t="n">
        <f aca="false">IF(Construction!AO8&lt;=Time!$F$11,AN72*Inputs!$F$104/100*Construction!AO11/Inputs!$F$248,0)</f>
        <v>1.44574680294484</v>
      </c>
      <c r="AP71" s="13" t="n">
        <f aca="false">IF(Construction!AP8&lt;=Time!$F$11,AO72*Inputs!$F$104/100*Construction!AP11/Inputs!$F$248,0)</f>
        <v>1.4194552857306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26.2756370826387</v>
      </c>
      <c r="L72" s="13" t="n">
        <f aca="false">K72+L71+L70</f>
        <v>27.1562622863267</v>
      </c>
      <c r="M72" s="13" t="n">
        <f aca="false">L72+M71+M70</f>
        <v>28.3139920729354</v>
      </c>
      <c r="N72" s="13" t="n">
        <f aca="false">M72+N71+N70</f>
        <v>29.9045960167012</v>
      </c>
      <c r="O72" s="13" t="n">
        <f aca="false">N72+O71+O70</f>
        <v>32.0233405390578</v>
      </c>
      <c r="P72" s="13" t="n">
        <f aca="false">O72+P71+P70</f>
        <v>34.706331591024</v>
      </c>
      <c r="Q72" s="13" t="n">
        <f aca="false">P72+Q71+Q70</f>
        <v>38.0958657530553</v>
      </c>
      <c r="R72" s="13" t="n">
        <f aca="false">Q72+R71+R70</f>
        <v>42.1606305765899</v>
      </c>
      <c r="S72" s="13" t="n">
        <f aca="false">R72+S71+S70</f>
        <v>46.9378327228269</v>
      </c>
      <c r="T72" s="13" t="n">
        <f aca="false">S72+T71+T70</f>
        <v>52.3681519029072</v>
      </c>
      <c r="U72" s="13" t="n">
        <f aca="false">T72+U71+U70</f>
        <v>58.4553698215596</v>
      </c>
      <c r="V72" s="13" t="n">
        <f aca="false">U72+V71+V70</f>
        <v>65.1199983788531</v>
      </c>
      <c r="W72" s="13" t="n">
        <f aca="false">V72+W71+W70</f>
        <v>72.2608047876057</v>
      </c>
      <c r="X72" s="13" t="n">
        <f aca="false">W72+X71+X70</f>
        <v>79.8397716280233</v>
      </c>
      <c r="Y72" s="13" t="n">
        <f aca="false">X72+Y71+Y70</f>
        <v>87.7012444700903</v>
      </c>
      <c r="Z72" s="13" t="n">
        <f aca="false">Y72+Z71+Z70</f>
        <v>95.7984695023439</v>
      </c>
      <c r="AA72" s="13" t="n">
        <f aca="false">Z72+AA71+AA70</f>
        <v>104.236753770485</v>
      </c>
      <c r="AB72" s="13" t="n">
        <f aca="false">AA72+AB71+AB70</f>
        <v>112.335168864381</v>
      </c>
      <c r="AC72" s="13" t="n">
        <f aca="false">AB72+AC71+AC70</f>
        <v>120.379093851354</v>
      </c>
      <c r="AD72" s="13" t="n">
        <f aca="false">AC72+AD71+AD70</f>
        <v>128.141875247577</v>
      </c>
      <c r="AE72" s="13" t="n">
        <f aca="false">AD72+AE71+AE70</f>
        <v>135.612825477551</v>
      </c>
      <c r="AF72" s="13" t="n">
        <f aca="false">AE72+AF71+AF70</f>
        <v>142.613042719135</v>
      </c>
      <c r="AG72" s="13" t="n">
        <f aca="false">AF72+AG71+AG70</f>
        <v>149.168268747249</v>
      </c>
      <c r="AH72" s="13" t="n">
        <f aca="false">AG72+AH71+AH70</f>
        <v>155.17493739828</v>
      </c>
      <c r="AI72" s="13" t="n">
        <f aca="false">AH72+AI71+AI70</f>
        <v>160.54378884565</v>
      </c>
      <c r="AJ72" s="13" t="n">
        <f aca="false">AI72+AJ71+AJ70</f>
        <v>165.372792888919</v>
      </c>
      <c r="AK72" s="13" t="n">
        <f aca="false">AJ72+AK71+AK70</f>
        <v>169.563047353317</v>
      </c>
      <c r="AL72" s="13" t="n">
        <f aca="false">AK72+AL71+AL70</f>
        <v>173.270711246074</v>
      </c>
      <c r="AM72" s="13" t="n">
        <f aca="false">AL72+AM71+AM70</f>
        <v>176.507278472862</v>
      </c>
      <c r="AN72" s="13" t="n">
        <f aca="false">AM72+AN71+AN70</f>
        <v>179.184238735099</v>
      </c>
      <c r="AO72" s="13" t="n">
        <f aca="false">AN72+AO71+AO70</f>
        <v>181.789887470761</v>
      </c>
      <c r="AP72" s="13" t="n">
        <f aca="false">AO72+AP71+AP70</f>
        <v>194.612159694736</v>
      </c>
      <c r="AQ72" s="13" t="n">
        <f aca="false">AP72+AQ71+AQ70</f>
        <v>203.400033541864</v>
      </c>
      <c r="AR72" s="13" t="n">
        <f aca="false">AQ72+AR71+AR70</f>
        <v>204.178340702494</v>
      </c>
      <c r="AS72" s="13" t="n">
        <f aca="false">AR72+AS71+AS70</f>
        <v>204.178340702494</v>
      </c>
      <c r="AT72" s="13" t="n">
        <f aca="false">AS72+AT71+AT70</f>
        <v>204.178340702494</v>
      </c>
      <c r="AU72" s="13" t="n">
        <f aca="false">AT72+AU71+AU70</f>
        <v>204.178340702494</v>
      </c>
      <c r="AV72" s="13" t="n">
        <f aca="false">AU72+AV71+AV70</f>
        <v>204.178340702494</v>
      </c>
      <c r="AW72" s="13" t="n">
        <f aca="false">AV72+AW71+AW70</f>
        <v>204.178340702494</v>
      </c>
      <c r="AX72" s="13" t="n">
        <f aca="false">AW72+AX71+AX70</f>
        <v>204.178340702494</v>
      </c>
      <c r="AY72" s="13" t="n">
        <f aca="false">AX72+AY71+AY70</f>
        <v>204.178340702494</v>
      </c>
      <c r="AZ72" s="13" t="n">
        <f aca="false">AY72+AZ71+AZ70</f>
        <v>204.178340702494</v>
      </c>
      <c r="BA72" s="13" t="n">
        <f aca="false">AZ72+BA71+BA70</f>
        <v>204.178340702494</v>
      </c>
      <c r="BB72" s="13" t="n">
        <f aca="false">BA72+BB71+BB70</f>
        <v>204.178340702494</v>
      </c>
      <c r="BC72" s="13" t="n">
        <f aca="false">BB72+BC71+BC70</f>
        <v>204.178340702494</v>
      </c>
      <c r="BD72" s="13" t="n">
        <f aca="false">BC72+BD71+BD70</f>
        <v>204.178340702494</v>
      </c>
      <c r="BE72" s="13" t="n">
        <f aca="false">BD72+BE71+BE70</f>
        <v>204.178340702494</v>
      </c>
      <c r="BF72" s="13" t="n">
        <f aca="false">BE72+BF71+BF70</f>
        <v>204.178340702494</v>
      </c>
      <c r="BG72" s="13" t="n">
        <f aca="false">BF72+BG71+BG70</f>
        <v>204.178340702494</v>
      </c>
      <c r="BH72" s="13" t="n">
        <f aca="false">BG72+BH71+BH70</f>
        <v>204.178340702494</v>
      </c>
      <c r="BI72" s="13" t="n">
        <f aca="false">BH72+BI71+BI70</f>
        <v>204.178340702494</v>
      </c>
      <c r="BJ72" s="13" t="n">
        <f aca="false">BI72+BJ71+BJ70</f>
        <v>204.178340702494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629.94967477845</v>
      </c>
      <c r="J73" s="13" t="n">
        <f aca="false">J47+J55</f>
        <v>89.5825011440694</v>
      </c>
      <c r="K73" s="13" t="n">
        <f aca="false">K47+K55</f>
        <v>1.83826315048291</v>
      </c>
      <c r="L73" s="13" t="n">
        <f aca="false">L47+L55</f>
        <v>2.34412870000902</v>
      </c>
      <c r="M73" s="13" t="n">
        <f aca="false">M47+M55</f>
        <v>3.31550420825744</v>
      </c>
      <c r="N73" s="13" t="n">
        <f aca="false">N47+N55</f>
        <v>4.77559642613582</v>
      </c>
      <c r="O73" s="13" t="n">
        <f aca="false">O47+O55</f>
        <v>6.58222011317518</v>
      </c>
      <c r="P73" s="13" t="n">
        <f aca="false">P47+P55</f>
        <v>8.58815239123082</v>
      </c>
      <c r="Q73" s="13" t="n">
        <f aca="false">Q47+Q55</f>
        <v>10.9016761158229</v>
      </c>
      <c r="R73" s="13" t="n">
        <f aca="false">R47+R55</f>
        <v>13.2078609069813</v>
      </c>
      <c r="S73" s="13" t="n">
        <f aca="false">S47+S55</f>
        <v>15.5558637430362</v>
      </c>
      <c r="T73" s="13" t="n">
        <f aca="false">T47+T55</f>
        <v>17.7533346150393</v>
      </c>
      <c r="U73" s="13" t="n">
        <f aca="false">U47+U55</f>
        <v>19.8599273166953</v>
      </c>
      <c r="V73" s="13" t="n">
        <f aca="false">V47+V55</f>
        <v>21.7120899445219</v>
      </c>
      <c r="W73" s="13" t="n">
        <f aca="false">W47+W55</f>
        <v>23.2524271280659</v>
      </c>
      <c r="X73" s="13" t="n">
        <f aca="false">X47+X55</f>
        <v>24.5271645489291</v>
      </c>
      <c r="Y73" s="13" t="n">
        <f aca="false">Y47+Y55</f>
        <v>25.3760714546124</v>
      </c>
      <c r="Z73" s="13" t="n">
        <f aca="false">Z47+Z55</f>
        <v>25.9073644411813</v>
      </c>
      <c r="AA73" s="13" t="n">
        <f aca="false">AA47+AA55</f>
        <v>26.8740402600165</v>
      </c>
      <c r="AB73" s="13" t="n">
        <f aca="false">AB47+AB55</f>
        <v>25.6340207528713</v>
      </c>
      <c r="AC73" s="13" t="n">
        <f aca="false">AC47+AC55</f>
        <v>25.0236671787226</v>
      </c>
      <c r="AD73" s="13" t="n">
        <f aca="false">AD47+AD55</f>
        <v>23.9203041201569</v>
      </c>
      <c r="AE73" s="13" t="n">
        <f aca="false">AE47+AE55</f>
        <v>22.5677324448594</v>
      </c>
      <c r="AF73" s="13" t="n">
        <f aca="false">AF47+AF55</f>
        <v>20.8297931778895</v>
      </c>
      <c r="AG73" s="13" t="n">
        <f aca="false">AG47+AG55</f>
        <v>18.9479250962057</v>
      </c>
      <c r="AH73" s="13" t="n">
        <f aca="false">AH47+AH55</f>
        <v>16.8392967736652</v>
      </c>
      <c r="AI73" s="13" t="n">
        <f aca="false">AI47+AI55</f>
        <v>14.5748451033096</v>
      </c>
      <c r="AJ73" s="13" t="n">
        <f aca="false">AJ47+AJ55</f>
        <v>12.3887157537825</v>
      </c>
      <c r="AK73" s="13" t="n">
        <f aca="false">AK47+AK55</f>
        <v>10.1636139524535</v>
      </c>
      <c r="AL73" s="13" t="n">
        <f aca="false">AL47+AL55</f>
        <v>8.20225639738271</v>
      </c>
      <c r="AM73" s="13" t="n">
        <f aca="false">AM47+AM55</f>
        <v>6.44574937767265</v>
      </c>
      <c r="AN73" s="13" t="n">
        <f aca="false">AN47+AN55</f>
        <v>4.87544692891983</v>
      </c>
      <c r="AO73" s="13" t="n">
        <f aca="false">AO47+AO55</f>
        <v>4.06652173020704</v>
      </c>
      <c r="AP73" s="13" t="n">
        <f aca="false">AP47+AP55</f>
        <v>39.9773477024498</v>
      </c>
      <c r="AQ73" s="13" t="n">
        <f aca="false">AQ47+AQ55</f>
        <v>30.8095701487195</v>
      </c>
      <c r="AR73" s="13" t="n">
        <f aca="false">AR47+AR55</f>
        <v>2.72868153091948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106.315998931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1.07284800576334</v>
      </c>
      <c r="L74" s="13" t="n">
        <f aca="false">L33+L34+L35+L36+L37+L38+L39+L40+L41+L42+L43+L48+Construction!L14*Construction!L38</f>
        <v>1.12522973732999</v>
      </c>
      <c r="M74" s="13" t="n">
        <f aca="false">M33+M34+M35+M36+M37+M38+M39+M40+M41+M42+M43+M48+Construction!M14*Construction!M38</f>
        <v>1.14061964425928</v>
      </c>
      <c r="N74" s="13" t="n">
        <f aca="false">N33+N34+N35+N36+N37+N38+N39+N40+N41+N42+N43+N48+Construction!N14*Construction!N38</f>
        <v>1.2321254910476</v>
      </c>
      <c r="O74" s="13" t="n">
        <f aca="false">O33+O34+O35+O36+O37+O38+O39+O40+O41+O42+O43+O48+Construction!O14*Construction!O38</f>
        <v>1.32065024367977</v>
      </c>
      <c r="P74" s="13" t="n">
        <f aca="false">P33+P34+P35+P36+P37+P38+P39+P40+P41+P42+P43+P48+Construction!P14*Construction!P38</f>
        <v>1.33201243506387</v>
      </c>
      <c r="Q74" s="13" t="n">
        <f aca="false">Q33+Q34+Q35+Q36+Q37+Q38+Q39+Q40+Q41+Q42+Q43+Q48+Construction!Q14*Construction!Q38</f>
        <v>1.53925271631608</v>
      </c>
      <c r="R74" s="13" t="n">
        <f aca="false">R33+R34+R35+R36+R37+R38+R39+R40+R41+R42+R43+R48+Construction!R14*Construction!R38</f>
        <v>1.63945092488086</v>
      </c>
      <c r="S74" s="13" t="n">
        <f aca="false">S33+S34+S35+S36+S37+S38+S39+S40+S41+S42+S43+S48+Construction!S14*Construction!S38</f>
        <v>1.81554693067405</v>
      </c>
      <c r="T74" s="13" t="n">
        <f aca="false">T33+T34+T35+T36+T37+T38+T39+T40+T41+T42+T43+T48+Construction!T14*Construction!T38</f>
        <v>1.91482771853919</v>
      </c>
      <c r="U74" s="13" t="n">
        <f aca="false">U33+U34+U35+U36+U37+U38+U39+U40+U41+U42+U43+U48+Construction!U14*Construction!U38</f>
        <v>2.11468417315073</v>
      </c>
      <c r="V74" s="13" t="n">
        <f aca="false">V33+V34+V35+V36+V37+V38+V39+V40+V41+V42+V43+V48+Construction!V14*Construction!V38</f>
        <v>2.27858879781072</v>
      </c>
      <c r="W74" s="13" t="n">
        <f aca="false">W33+W34+W35+W36+W37+W38+W39+W40+W41+W42+W43+W48+Construction!W14*Construction!W38</f>
        <v>2.40165196373358</v>
      </c>
      <c r="X74" s="13" t="n">
        <f aca="false">X33+X34+X35+X36+X37+X38+X39+X40+X41+X42+X43+X48+Construction!X14*Construction!X38</f>
        <v>2.60347211610906</v>
      </c>
      <c r="Y74" s="13" t="n">
        <f aca="false">Y33+Y34+Y35+Y36+Y37+Y38+Y39+Y40+Y41+Y42+Y43+Y48+Construction!Y14*Construction!Y38</f>
        <v>2.71245036310567</v>
      </c>
      <c r="Z74" s="13" t="n">
        <f aca="false">Z33+Z34+Z35+Z36+Z37+Z38+Z39+Z40+Z41+Z42+Z43+Z48+Construction!Z14*Construction!Z38</f>
        <v>2.90445095587918</v>
      </c>
      <c r="AA74" s="13" t="n">
        <f aca="false">AA33+AA34+AA35+AA36+AA37+AA38+AA39+AA40+AA41+AA42+AA43+AA48+Construction!AA14*Construction!AA38</f>
        <v>3.072785313684</v>
      </c>
      <c r="AB74" s="13" t="n">
        <f aca="false">AB33+AB34+AB35+AB36+AB37+AB38+AB39+AB40+AB41+AB42+AB43+AB48+Construction!AB14*Construction!AB38</f>
        <v>3.0623688888284</v>
      </c>
      <c r="AC74" s="13" t="n">
        <f aca="false">AC33+AC34+AC35+AC36+AC37+AC38+AC39+AC40+AC41+AC42+AC43+AC48+Construction!AC14*Construction!AC38</f>
        <v>3.27699776400748</v>
      </c>
      <c r="AD74" s="13" t="n">
        <f aca="false">AD33+AD34+AD35+AD36+AD37+AD38+AD39+AD40+AD41+AD42+AD43+AD48+Construction!AD14*Construction!AD38</f>
        <v>3.30765377887319</v>
      </c>
      <c r="AE74" s="13" t="n">
        <f aca="false">AE33+AE34+AE35+AE36+AE37+AE38+AE39+AE40+AE41+AE42+AE43+AE48+Construction!AE14*Construction!AE38</f>
        <v>3.4393020243427</v>
      </c>
      <c r="AF74" s="13" t="n">
        <f aca="false">AF33+AF34+AF35+AF36+AF37+AF38+AF39+AF40+AF41+AF42+AF43+AF48+Construction!AF14*Construction!AF38</f>
        <v>3.43034595082761</v>
      </c>
      <c r="AG74" s="13" t="n">
        <f aca="false">AG33+AG34+AG35+AG36+AG37+AG38+AG39+AG40+AG41+AG42+AG43+AG48+Construction!AG14*Construction!AG38</f>
        <v>3.53533741883119</v>
      </c>
      <c r="AH74" s="13" t="n">
        <f aca="false">AH33+AH34+AH35+AH36+AH37+AH38+AH39+AH40+AH41+AH42+AH43+AH48+Construction!AH14*Construction!AH38</f>
        <v>3.55657509773144</v>
      </c>
      <c r="AI74" s="13" t="n">
        <f aca="false">AI33+AI34+AI35+AI36+AI37+AI38+AI39+AI40+AI41+AI42+AI43+AI48+Construction!AI14*Construction!AI38</f>
        <v>3.49381958528808</v>
      </c>
      <c r="AJ74" s="13" t="n">
        <f aca="false">AJ33+AJ34+AJ35+AJ36+AJ37+AJ38+AJ39+AJ40+AJ41+AJ42+AJ43+AJ48+Construction!AJ14*Construction!AJ38</f>
        <v>3.55648137837551</v>
      </c>
      <c r="AK74" s="13" t="n">
        <f aca="false">AK33+AK34+AK35+AK36+AK37+AK38+AK39+AK40+AK41+AK42+AK43+AK48+Construction!AK14*Construction!AK38</f>
        <v>3.46918896764901</v>
      </c>
      <c r="AL74" s="13" t="n">
        <f aca="false">AL33+AL34+AL35+AL36+AL37+AL38+AL39+AL40+AL41+AL42+AL43+AL48+Construction!AL14*Construction!AL38</f>
        <v>3.51829416833244</v>
      </c>
      <c r="AM74" s="13" t="n">
        <f aca="false">AM33+AM34+AM35+AM36+AM37+AM38+AM39+AM40+AM41+AM42+AM43+AM48+Construction!AM14*Construction!AM38</f>
        <v>3.49775467661926</v>
      </c>
      <c r="AN74" s="13" t="n">
        <f aca="false">AN33+AN34+AN35+AN36+AN37+AN38+AN39+AN40+AN41+AN42+AN43+AN48+Construction!AN14*Construction!AN38</f>
        <v>3.25674424979355</v>
      </c>
      <c r="AO74" s="13" t="n">
        <f aca="false">AO33+AO34+AO35+AO36+AO37+AO38+AO39+AO40+AO41+AO42+AO43+AO48+Construction!AO14*Construction!AO38</f>
        <v>3.46172467610254</v>
      </c>
      <c r="AP74" s="13" t="n">
        <f aca="false">AP33+AP34+AP35+AP36+AP37+AP38+AP39+AP40+AP41+AP42+AP43+AP48+Construction!AP14*Construction!AP38</f>
        <v>4.57203949616543</v>
      </c>
      <c r="AQ74" s="13" t="n">
        <f aca="false">AQ33+AQ34+AQ35+AQ36+AQ37+AQ38+AQ39+AQ40+AQ41+AQ42+AQ43+AQ48+Construction!AQ14*Construction!AQ38</f>
        <v>4.5485170210339</v>
      </c>
      <c r="AR74" s="13" t="n">
        <f aca="false">AR33+AR34+AR35+AR36+AR37+AR38+AR39+AR40+AR41+AR42+AR43+AR48+Construction!AR14*Construction!AR38</f>
        <v>3.70156548170766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854.551894367595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SUM($J$49:$BJ$49)-SUM($J$44:$BJ$44)-SUM(Construction!$J$28:$BJ$28)-SUM($J$79:$BJ$79)+SUM($J$71:$BJ$71)-SUM($J$52:$BJ$52)-Inputs!$F$48*Inputs!$F$267</f>
        <v>836.452563962178</v>
      </c>
    </row>
    <row r="78" customFormat="false" ht="15" hidden="false" customHeight="false" outlineLevel="0" collapsed="false">
      <c r="D78" s="0" t="s">
        <v>1763</v>
      </c>
      <c r="E78" s="0" t="s">
        <v>151</v>
      </c>
      <c r="F78" s="17" t="n">
        <f aca="false">MAX(0,-(INDEX(Operations!$J$84:$BN$84,1,Time!$F$12)-INDEX(Operations!$J$96:$BN$96,1,Time!$F$12)+INDEX(Operations!$J$97:$BN$97,1,Time!$F$12)-INDEX(Reserves!$J$7:$BN$7,1,Time!$F$12)+INDEX(Operations!$J$79:$BN$79,1,Time!$F$12)))</f>
        <v>0</v>
      </c>
    </row>
    <row r="79" customFormat="false" ht="15" hidden="false" customHeight="false" outlineLevel="0" collapsed="false">
      <c r="D79" s="0" t="s">
        <v>1764</v>
      </c>
      <c r="E79" s="0" t="s">
        <v>151</v>
      </c>
      <c r="G79" s="13" t="n">
        <f aca="false">SUM(J79:BJ79)</f>
        <v>0</v>
      </c>
      <c r="J79" s="13" t="n">
        <f aca="false">IF(Construction!J8=Time!$F$14,$F$78,0)</f>
        <v>0</v>
      </c>
      <c r="K79" s="13" t="n">
        <f aca="false">IF(Construction!K8=Time!$F$14,$F$78,0)</f>
        <v>0</v>
      </c>
      <c r="L79" s="13" t="n">
        <f aca="false">IF(Construction!L8=Time!$F$14,$F$78,0)</f>
        <v>0</v>
      </c>
      <c r="M79" s="13" t="n">
        <f aca="false">IF(Construction!M8=Time!$F$14,$F$78,0)</f>
        <v>0</v>
      </c>
      <c r="N79" s="13" t="n">
        <f aca="false">IF(Construction!N8=Time!$F$14,$F$78,0)</f>
        <v>0</v>
      </c>
      <c r="O79" s="13" t="n">
        <f aca="false">IF(Construction!O8=Time!$F$14,$F$78,0)</f>
        <v>0</v>
      </c>
      <c r="P79" s="13" t="n">
        <f aca="false">IF(Construction!P8=Time!$F$14,$F$78,0)</f>
        <v>0</v>
      </c>
      <c r="Q79" s="13" t="n">
        <f aca="false">IF(Construction!Q8=Time!$F$14,$F$78,0)</f>
        <v>0</v>
      </c>
      <c r="R79" s="13" t="n">
        <f aca="false">IF(Construction!R8=Time!$F$14,$F$78,0)</f>
        <v>0</v>
      </c>
      <c r="S79" s="13" t="n">
        <f aca="false">IF(Construction!S8=Time!$F$14,$F$78,0)</f>
        <v>0</v>
      </c>
      <c r="T79" s="13" t="n">
        <f aca="false">IF(Construction!T8=Time!$F$14,$F$78,0)</f>
        <v>0</v>
      </c>
      <c r="U79" s="13" t="n">
        <f aca="false">IF(Construction!U8=Time!$F$14,$F$78,0)</f>
        <v>0</v>
      </c>
      <c r="V79" s="13" t="n">
        <f aca="false">IF(Construction!V8=Time!$F$14,$F$78,0)</f>
        <v>0</v>
      </c>
      <c r="W79" s="13" t="n">
        <f aca="false">IF(Construction!W8=Time!$F$14,$F$78,0)</f>
        <v>0</v>
      </c>
      <c r="X79" s="13" t="n">
        <f aca="false">IF(Construction!X8=Time!$F$14,$F$78,0)</f>
        <v>0</v>
      </c>
      <c r="Y79" s="13" t="n">
        <f aca="false">IF(Construction!Y8=Time!$F$14,$F$78,0)</f>
        <v>0</v>
      </c>
      <c r="Z79" s="13" t="n">
        <f aca="false">IF(Construction!Z8=Time!$F$14,$F$78,0)</f>
        <v>0</v>
      </c>
      <c r="AA79" s="13" t="n">
        <f aca="false">IF(Construction!AA8=Time!$F$14,$F$78,0)</f>
        <v>0</v>
      </c>
      <c r="AB79" s="13" t="n">
        <f aca="false">IF(Construction!AB8=Time!$F$14,$F$78,0)</f>
        <v>0</v>
      </c>
      <c r="AC79" s="13" t="n">
        <f aca="false">IF(Construction!AC8=Time!$F$14,$F$78,0)</f>
        <v>0</v>
      </c>
      <c r="AD79" s="13" t="n">
        <f aca="false">IF(Construction!AD8=Time!$F$14,$F$78,0)</f>
        <v>0</v>
      </c>
      <c r="AE79" s="13" t="n">
        <f aca="false">IF(Construction!AE8=Time!$F$14,$F$78,0)</f>
        <v>0</v>
      </c>
      <c r="AF79" s="13" t="n">
        <f aca="false">IF(Construction!AF8=Time!$F$14,$F$78,0)</f>
        <v>0</v>
      </c>
      <c r="AG79" s="13" t="n">
        <f aca="false">IF(Construction!AG8=Time!$F$14,$F$78,0)</f>
        <v>0</v>
      </c>
      <c r="AH79" s="13" t="n">
        <f aca="false">IF(Construction!AH8=Time!$F$14,$F$78,0)</f>
        <v>0</v>
      </c>
      <c r="AI79" s="13" t="n">
        <f aca="false">IF(Construction!AI8=Time!$F$14,$F$78,0)</f>
        <v>0</v>
      </c>
      <c r="AJ79" s="13" t="n">
        <f aca="false">IF(Construction!AJ8=Time!$F$14,$F$78,0)</f>
        <v>0</v>
      </c>
      <c r="AK79" s="13" t="n">
        <f aca="false">IF(Construction!AK8=Time!$F$14,$F$78,0)</f>
        <v>0</v>
      </c>
      <c r="AL79" s="13" t="n">
        <f aca="false">IF(Construction!AL8=Time!$F$14,$F$78,0)</f>
        <v>0</v>
      </c>
      <c r="AM79" s="13" t="n">
        <f aca="false">IF(Construction!AM8=Time!$F$14,$F$78,0)</f>
        <v>0</v>
      </c>
      <c r="AN79" s="13" t="n">
        <f aca="false">IF(Construction!AN8=Time!$F$14,$F$78,0)</f>
        <v>0</v>
      </c>
      <c r="AO79" s="13" t="n">
        <f aca="false">IF(Construction!AO8=Time!$F$14,$F$78,0)</f>
        <v>0</v>
      </c>
      <c r="AP79" s="13" t="n">
        <f aca="false">IF(Construction!AP8=Time!$F$14,$F$78,0)</f>
        <v>0</v>
      </c>
      <c r="AQ79" s="13" t="n">
        <f aca="false">IF(Construction!AQ8=Time!$F$14,$F$78,0)</f>
        <v>0</v>
      </c>
      <c r="AR79" s="13" t="n">
        <f aca="false">IF(Construction!AR8=Time!$F$14,$F$78,0)</f>
        <v>0</v>
      </c>
      <c r="AS79" s="13" t="n">
        <f aca="false">IF(Construction!AS8=Time!$F$14,$F$78,0)</f>
        <v>0</v>
      </c>
      <c r="AT79" s="13" t="n">
        <f aca="false">IF(Construction!AT8=Time!$F$14,$F$78,0)</f>
        <v>0</v>
      </c>
      <c r="AU79" s="13" t="n">
        <f aca="false">IF(Construction!AU8=Time!$F$14,$F$78,0)</f>
        <v>0</v>
      </c>
      <c r="AV79" s="13" t="n">
        <f aca="false">IF(Construction!AV8=Time!$F$14,$F$78,0)</f>
        <v>0</v>
      </c>
      <c r="AW79" s="13" t="n">
        <f aca="false">IF(Construction!AW8=Time!$F$14,$F$78,0)</f>
        <v>0</v>
      </c>
      <c r="AX79" s="13" t="n">
        <f aca="false">IF(Construction!AX8=Time!$F$14,$F$78,0)</f>
        <v>0</v>
      </c>
      <c r="AY79" s="13" t="n">
        <f aca="false">IF(Construction!AY8=Time!$F$14,$F$78,0)</f>
        <v>0</v>
      </c>
      <c r="AZ79" s="13" t="n">
        <f aca="false">IF(Construction!AZ8=Time!$F$14,$F$78,0)</f>
        <v>0</v>
      </c>
      <c r="BA79" s="13" t="n">
        <f aca="false">IF(Construction!BA8=Time!$F$14,$F$78,0)</f>
        <v>0</v>
      </c>
      <c r="BB79" s="13" t="n">
        <f aca="false">IF(Construction!BB8=Time!$F$14,$F$78,0)</f>
        <v>0</v>
      </c>
      <c r="BC79" s="13" t="n">
        <f aca="false">IF(Construction!BC8=Time!$F$14,$F$78,0)</f>
        <v>0</v>
      </c>
      <c r="BD79" s="13" t="n">
        <f aca="false">IF(Construction!BD8=Time!$F$14,$F$78,0)</f>
        <v>0</v>
      </c>
      <c r="BE79" s="13" t="n">
        <f aca="false">IF(Construction!BE8=Time!$F$14,$F$78,0)</f>
        <v>0</v>
      </c>
      <c r="BF79" s="13" t="n">
        <f aca="false">IF(Construction!BF8=Time!$F$14,$F$78,0)</f>
        <v>0</v>
      </c>
      <c r="BG79" s="13" t="n">
        <f aca="false">IF(Construction!BG8=Time!$F$14,$F$78,0)</f>
        <v>0</v>
      </c>
      <c r="BH79" s="13" t="n">
        <f aca="false">IF(Construction!BH8=Time!$F$14,$F$78,0)</f>
        <v>0</v>
      </c>
      <c r="BI79" s="13" t="n">
        <f aca="false">IF(Construction!BI8=Time!$F$14,$F$78,0)</f>
        <v>0</v>
      </c>
      <c r="BJ79" s="13" t="n">
        <f aca="false">IF(Construction!BJ8=Time!$F$14,$F$78,0)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1766</v>
      </c>
    </row>
    <row r="8" customFormat="false" ht="15" hidden="false" customHeight="false" outlineLevel="0" collapsed="false">
      <c r="D8" s="0" t="s">
        <v>1767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1768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1769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1770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1771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1772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1773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1774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1775</v>
      </c>
    </row>
    <row r="17" customFormat="false" ht="15" hidden="false" customHeight="false" outlineLevel="0" collapsed="false">
      <c r="D17" s="0" t="s">
        <v>1776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1777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1778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1779</v>
      </c>
    </row>
    <row r="21" customFormat="false" ht="15" hidden="false" customHeight="false" outlineLevel="0" collapsed="false">
      <c r="D21" s="0" t="s">
        <v>1780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188.98490243353</v>
      </c>
      <c r="Q21" s="13" t="n">
        <f aca="false">Time!Q35*P33</f>
        <v>181.716252339933</v>
      </c>
      <c r="R21" s="13" t="n">
        <f aca="false">Time!R35*Q33</f>
        <v>174.447602246335</v>
      </c>
      <c r="S21" s="13" t="n">
        <f aca="false">Time!S35*R33</f>
        <v>167.178952152738</v>
      </c>
      <c r="T21" s="13" t="n">
        <f aca="false">Time!T35*S33</f>
        <v>159.910302059141</v>
      </c>
      <c r="U21" s="13" t="n">
        <f aca="false">Time!U35*T33</f>
        <v>152.641651965544</v>
      </c>
      <c r="V21" s="13" t="n">
        <f aca="false">Time!V35*U33</f>
        <v>145.373001871946</v>
      </c>
      <c r="W21" s="13" t="n">
        <f aca="false">Time!W35*V33</f>
        <v>138.104351778349</v>
      </c>
      <c r="X21" s="13" t="n">
        <f aca="false">Time!X35*W33</f>
        <v>130.835701684752</v>
      </c>
      <c r="Y21" s="13" t="n">
        <f aca="false">Time!Y35*X33</f>
        <v>123.567051591154</v>
      </c>
      <c r="Z21" s="13" t="n">
        <f aca="false">Time!Z35*Y33</f>
        <v>116.298401497557</v>
      </c>
      <c r="AA21" s="13" t="n">
        <f aca="false">Time!AA35*Z33</f>
        <v>109.02975140396</v>
      </c>
      <c r="AB21" s="13" t="n">
        <f aca="false">Time!AB35*AA33</f>
        <v>101.761101310362</v>
      </c>
      <c r="AC21" s="13" t="n">
        <f aca="false">Time!AC35*AB33</f>
        <v>94.492451216765</v>
      </c>
      <c r="AD21" s="13" t="n">
        <f aca="false">Time!AD35*AC33</f>
        <v>87.2238011231677</v>
      </c>
      <c r="AE21" s="13" t="n">
        <f aca="false">Time!AE35*AD33</f>
        <v>79.9551510295704</v>
      </c>
      <c r="AF21" s="13" t="n">
        <f aca="false">Time!AF35*AE33</f>
        <v>72.6865009359731</v>
      </c>
      <c r="AG21" s="13" t="n">
        <f aca="false">Time!AG35*AF33</f>
        <v>65.4178508423758</v>
      </c>
      <c r="AH21" s="13" t="n">
        <f aca="false">Time!AH35*AG33</f>
        <v>58.1492007487785</v>
      </c>
      <c r="AI21" s="13" t="n">
        <f aca="false">Time!AI35*AH33</f>
        <v>50.8805506551812</v>
      </c>
      <c r="AJ21" s="13" t="n">
        <f aca="false">Time!AJ35*AI33</f>
        <v>43.6119005615839</v>
      </c>
      <c r="AK21" s="13" t="n">
        <f aca="false">Time!AK35*AJ33</f>
        <v>36.3432504679866</v>
      </c>
      <c r="AL21" s="13" t="n">
        <f aca="false">Time!AL35*AK33</f>
        <v>29.0746003743892</v>
      </c>
      <c r="AM21" s="13" t="n">
        <f aca="false">Time!AM35*AL33</f>
        <v>21.8059502807919</v>
      </c>
      <c r="AN21" s="13" t="n">
        <f aca="false">Time!AN35*AM33</f>
        <v>14.5373001871946</v>
      </c>
      <c r="AO21" s="13" t="n">
        <f aca="false">Time!AO35*AN33</f>
        <v>7.26865009359731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1781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1782</v>
      </c>
      <c r="E23" s="0" t="s">
        <v>151</v>
      </c>
      <c r="G23" s="13" t="n">
        <f aca="false">SUM(J23:BN23)</f>
        <v>57.8192020154597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4.28869738589157</v>
      </c>
      <c r="Q23" s="13" t="n">
        <f aca="false">Q21*Q10</f>
        <v>4.07478505177595</v>
      </c>
      <c r="R23" s="13" t="n">
        <f aca="false">R21*R10</f>
        <v>3.9766300085398</v>
      </c>
      <c r="S23" s="13" t="n">
        <f aca="false">S21*S10</f>
        <v>3.75720763383933</v>
      </c>
      <c r="T23" s="13" t="n">
        <f aca="false">T21*T10</f>
        <v>3.65341736771117</v>
      </c>
      <c r="U23" s="13" t="n">
        <f aca="false">U21*U10</f>
        <v>3.44944693166801</v>
      </c>
      <c r="V23" s="13" t="n">
        <f aca="false">V21*V10</f>
        <v>3.32128851610106</v>
      </c>
      <c r="W23" s="13" t="n">
        <f aca="false">W21*W10</f>
        <v>3.10378021925858</v>
      </c>
      <c r="X23" s="13" t="n">
        <f aca="false">X21*X10</f>
        <v>2.98915966449096</v>
      </c>
      <c r="Y23" s="13" t="n">
        <f aca="false">Y21*Y10</f>
        <v>2.7770665119682</v>
      </c>
      <c r="Z23" s="13" t="n">
        <f aca="false">Z21*Z10</f>
        <v>2.65703081288085</v>
      </c>
      <c r="AA23" s="13" t="n">
        <f aca="false">AA21*AA10</f>
        <v>2.45035280467782</v>
      </c>
      <c r="AB23" s="13" t="n">
        <f aca="false">AB21*AB10</f>
        <v>2.32490196127075</v>
      </c>
      <c r="AC23" s="13" t="n">
        <f aca="false">AC21*AC10</f>
        <v>2.1353719100802</v>
      </c>
      <c r="AD23" s="13" t="n">
        <f aca="false">AD21*AD10</f>
        <v>1.99277310966064</v>
      </c>
      <c r="AE23" s="13" t="n">
        <f aca="false">AE21*AE10</f>
        <v>1.79692539009707</v>
      </c>
      <c r="AF23" s="13" t="n">
        <f aca="false">AF21*AF10</f>
        <v>1.66064425805053</v>
      </c>
      <c r="AG23" s="13" t="n">
        <f aca="false">AG21*AG10</f>
        <v>1.47021168280669</v>
      </c>
      <c r="AH23" s="13" t="n">
        <f aca="false">AH21*AH10</f>
        <v>1.32851540644043</v>
      </c>
      <c r="AI23" s="13" t="n">
        <f aca="false">AI21*AI10</f>
        <v>1.14349797551632</v>
      </c>
      <c r="AJ23" s="13" t="n">
        <f aca="false">AJ21*AJ10</f>
        <v>0.996386554830319</v>
      </c>
      <c r="AK23" s="13" t="n">
        <f aca="false">AK21*AK10</f>
        <v>0.821296888492383</v>
      </c>
      <c r="AL23" s="13" t="n">
        <f aca="false">AL21*AL10</f>
        <v>0.664257703220213</v>
      </c>
      <c r="AM23" s="13" t="n">
        <f aca="false">AM21*AM10</f>
        <v>0.490070560935565</v>
      </c>
      <c r="AN23" s="13" t="n">
        <f aca="false">AN21*AN10</f>
        <v>0.332128851610106</v>
      </c>
      <c r="AO23" s="13" t="n">
        <f aca="false">AO21*AO10</f>
        <v>0.163356853645188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1783</v>
      </c>
      <c r="E24" s="0" t="s">
        <v>151</v>
      </c>
      <c r="G24" s="13" t="n">
        <f aca="false">SUM(J24:BN24)</f>
        <v>188.98490243353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7.26865009359731</v>
      </c>
      <c r="Q24" s="13" t="n">
        <f aca="false">Time!Q35*(Q21-Q22)*Q147</f>
        <v>7.26865009359731</v>
      </c>
      <c r="R24" s="13" t="n">
        <f aca="false">Time!R35*(R21-R22)*R147</f>
        <v>7.26865009359731</v>
      </c>
      <c r="S24" s="13" t="n">
        <f aca="false">Time!S35*(S21-S22)*S147</f>
        <v>7.26865009359731</v>
      </c>
      <c r="T24" s="13" t="n">
        <f aca="false">Time!T35*(T21-T22)*T147</f>
        <v>7.26865009359731</v>
      </c>
      <c r="U24" s="13" t="n">
        <f aca="false">Time!U35*(U21-U22)*U147</f>
        <v>7.26865009359731</v>
      </c>
      <c r="V24" s="13" t="n">
        <f aca="false">Time!V35*(V21-V22)*V147</f>
        <v>7.26865009359731</v>
      </c>
      <c r="W24" s="13" t="n">
        <f aca="false">Time!W35*(W21-W22)*W147</f>
        <v>7.26865009359731</v>
      </c>
      <c r="X24" s="13" t="n">
        <f aca="false">Time!X35*(X21-X22)*X147</f>
        <v>7.26865009359731</v>
      </c>
      <c r="Y24" s="13" t="n">
        <f aca="false">Time!Y35*(Y21-Y22)*Y147</f>
        <v>7.26865009359731</v>
      </c>
      <c r="Z24" s="13" t="n">
        <f aca="false">Time!Z35*(Z21-Z22)*Z147</f>
        <v>7.26865009359731</v>
      </c>
      <c r="AA24" s="13" t="n">
        <f aca="false">Time!AA35*(AA21-AA22)*AA147</f>
        <v>7.26865009359731</v>
      </c>
      <c r="AB24" s="13" t="n">
        <f aca="false">Time!AB35*(AB21-AB22)*AB147</f>
        <v>7.26865009359731</v>
      </c>
      <c r="AC24" s="13" t="n">
        <f aca="false">Time!AC35*(AC21-AC22)*AC147</f>
        <v>7.26865009359731</v>
      </c>
      <c r="AD24" s="13" t="n">
        <f aca="false">Time!AD35*(AD21-AD22)*AD147</f>
        <v>7.26865009359731</v>
      </c>
      <c r="AE24" s="13" t="n">
        <f aca="false">Time!AE35*(AE21-AE22)*AE147</f>
        <v>7.26865009359731</v>
      </c>
      <c r="AF24" s="13" t="n">
        <f aca="false">Time!AF35*(AF21-AF22)*AF147</f>
        <v>7.26865009359731</v>
      </c>
      <c r="AG24" s="13" t="n">
        <f aca="false">Time!AG35*(AG21-AG22)*AG147</f>
        <v>7.26865009359731</v>
      </c>
      <c r="AH24" s="13" t="n">
        <f aca="false">Time!AH35*(AH21-AH22)*AH147</f>
        <v>7.26865009359731</v>
      </c>
      <c r="AI24" s="13" t="n">
        <f aca="false">Time!AI35*(AI21-AI22)*AI147</f>
        <v>7.26865009359731</v>
      </c>
      <c r="AJ24" s="13" t="n">
        <f aca="false">Time!AJ35*(AJ21-AJ22)*AJ147</f>
        <v>7.26865009359731</v>
      </c>
      <c r="AK24" s="13" t="n">
        <f aca="false">Time!AK35*(AK21-AK22)*AK147</f>
        <v>7.26865009359731</v>
      </c>
      <c r="AL24" s="13" t="n">
        <f aca="false">Time!AL35*(AL21-AL22)*AL147</f>
        <v>7.26865009359731</v>
      </c>
      <c r="AM24" s="13" t="n">
        <f aca="false">Time!AM35*(AM21-AM22)*AM147</f>
        <v>7.26865009359731</v>
      </c>
      <c r="AN24" s="13" t="n">
        <f aca="false">Time!AN35*(AN21-AN22)*AN147</f>
        <v>7.26865009359731</v>
      </c>
      <c r="AO24" s="13" t="n">
        <f aca="false">Time!AO35*(AO21-AO22)*AO147</f>
        <v>7.26865009359731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1784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1785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1786</v>
      </c>
      <c r="E27" s="0" t="s">
        <v>151</v>
      </c>
      <c r="G27" s="13" t="n">
        <f aca="false">SUM(J27:BN27)</f>
        <v>188.98490243353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7.26865009359731</v>
      </c>
      <c r="Q27" s="13" t="n">
        <f aca="false">Q24-Q25+Q26</f>
        <v>7.26865009359731</v>
      </c>
      <c r="R27" s="13" t="n">
        <f aca="false">R24-R25+R26</f>
        <v>7.26865009359731</v>
      </c>
      <c r="S27" s="13" t="n">
        <f aca="false">S24-S25+S26</f>
        <v>7.26865009359731</v>
      </c>
      <c r="T27" s="13" t="n">
        <f aca="false">T24-T25+T26</f>
        <v>7.26865009359731</v>
      </c>
      <c r="U27" s="13" t="n">
        <f aca="false">U24-U25+U26</f>
        <v>7.26865009359731</v>
      </c>
      <c r="V27" s="13" t="n">
        <f aca="false">V24-V25+V26</f>
        <v>7.26865009359731</v>
      </c>
      <c r="W27" s="13" t="n">
        <f aca="false">W24-W25+W26</f>
        <v>7.26865009359731</v>
      </c>
      <c r="X27" s="13" t="n">
        <f aca="false">X24-X25+X26</f>
        <v>7.26865009359731</v>
      </c>
      <c r="Y27" s="13" t="n">
        <f aca="false">Y24-Y25+Y26</f>
        <v>7.26865009359731</v>
      </c>
      <c r="Z27" s="13" t="n">
        <f aca="false">Z24-Z25+Z26</f>
        <v>7.26865009359731</v>
      </c>
      <c r="AA27" s="13" t="n">
        <f aca="false">AA24-AA25+AA26</f>
        <v>7.26865009359731</v>
      </c>
      <c r="AB27" s="13" t="n">
        <f aca="false">AB24-AB25+AB26</f>
        <v>7.26865009359731</v>
      </c>
      <c r="AC27" s="13" t="n">
        <f aca="false">AC24-AC25+AC26</f>
        <v>7.26865009359731</v>
      </c>
      <c r="AD27" s="13" t="n">
        <f aca="false">AD24-AD25+AD26</f>
        <v>7.26865009359731</v>
      </c>
      <c r="AE27" s="13" t="n">
        <f aca="false">AE24-AE25+AE26</f>
        <v>7.26865009359731</v>
      </c>
      <c r="AF27" s="13" t="n">
        <f aca="false">AF24-AF25+AF26</f>
        <v>7.26865009359731</v>
      </c>
      <c r="AG27" s="13" t="n">
        <f aca="false">AG24-AG25+AG26</f>
        <v>7.26865009359731</v>
      </c>
      <c r="AH27" s="13" t="n">
        <f aca="false">AH24-AH25+AH26</f>
        <v>7.26865009359731</v>
      </c>
      <c r="AI27" s="13" t="n">
        <f aca="false">AI24-AI25+AI26</f>
        <v>7.26865009359731</v>
      </c>
      <c r="AJ27" s="13" t="n">
        <f aca="false">AJ24-AJ25+AJ26</f>
        <v>7.26865009359731</v>
      </c>
      <c r="AK27" s="13" t="n">
        <f aca="false">AK24-AK25+AK26</f>
        <v>7.26865009359731</v>
      </c>
      <c r="AL27" s="13" t="n">
        <f aca="false">AL24-AL25+AL26</f>
        <v>7.26865009359731</v>
      </c>
      <c r="AM27" s="13" t="n">
        <f aca="false">AM24-AM25+AM26</f>
        <v>7.26865009359731</v>
      </c>
      <c r="AN27" s="13" t="n">
        <f aca="false">AN24-AN25+AN26</f>
        <v>7.26865009359731</v>
      </c>
      <c r="AO27" s="13" t="n">
        <f aca="false">AO24-AO25+AO26</f>
        <v>7.26865009359731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1787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1788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1789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1790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181.716252339933</v>
      </c>
      <c r="Q31" s="13" t="n">
        <f aca="false">Q21-Q27-Q28-Q29</f>
        <v>174.447602246335</v>
      </c>
      <c r="R31" s="13" t="n">
        <f aca="false">R21-R27-R28-R29</f>
        <v>167.178952152738</v>
      </c>
      <c r="S31" s="13" t="n">
        <f aca="false">S21-S27-S28-S29</f>
        <v>159.910302059141</v>
      </c>
      <c r="T31" s="13" t="n">
        <f aca="false">T21-T27-T28-T29</f>
        <v>152.641651965544</v>
      </c>
      <c r="U31" s="13" t="n">
        <f aca="false">U21-U27-U28-U29</f>
        <v>145.373001871946</v>
      </c>
      <c r="V31" s="13" t="n">
        <f aca="false">V21-V27-V28-V29</f>
        <v>138.104351778349</v>
      </c>
      <c r="W31" s="13" t="n">
        <f aca="false">W21-W27-W28-W29</f>
        <v>130.835701684752</v>
      </c>
      <c r="X31" s="13" t="n">
        <f aca="false">X21-X27-X28-X29</f>
        <v>123.567051591154</v>
      </c>
      <c r="Y31" s="13" t="n">
        <f aca="false">Y21-Y27-Y28-Y29</f>
        <v>116.298401497557</v>
      </c>
      <c r="Z31" s="13" t="n">
        <f aca="false">Z21-Z27-Z28-Z29</f>
        <v>109.02975140396</v>
      </c>
      <c r="AA31" s="13" t="n">
        <f aca="false">AA21-AA27-AA28-AA29</f>
        <v>101.761101310362</v>
      </c>
      <c r="AB31" s="13" t="n">
        <f aca="false">AB21-AB27-AB28-AB29</f>
        <v>94.492451216765</v>
      </c>
      <c r="AC31" s="13" t="n">
        <f aca="false">AC21-AC27-AC28-AC29</f>
        <v>87.2238011231677</v>
      </c>
      <c r="AD31" s="13" t="n">
        <f aca="false">AD21-AD27-AD28-AD29</f>
        <v>79.9551510295704</v>
      </c>
      <c r="AE31" s="13" t="n">
        <f aca="false">AE21-AE27-AE28-AE29</f>
        <v>72.6865009359731</v>
      </c>
      <c r="AF31" s="13" t="n">
        <f aca="false">AF21-AF27-AF28-AF29</f>
        <v>65.4178508423758</v>
      </c>
      <c r="AG31" s="13" t="n">
        <f aca="false">AG21-AG27-AG28-AG29</f>
        <v>58.1492007487785</v>
      </c>
      <c r="AH31" s="13" t="n">
        <f aca="false">AH21-AH27-AH28-AH29</f>
        <v>50.8805506551812</v>
      </c>
      <c r="AI31" s="13" t="n">
        <f aca="false">AI21-AI27-AI28-AI29</f>
        <v>43.6119005615839</v>
      </c>
      <c r="AJ31" s="13" t="n">
        <f aca="false">AJ21-AJ27-AJ28-AJ29</f>
        <v>36.3432504679866</v>
      </c>
      <c r="AK31" s="13" t="n">
        <f aca="false">AK21-AK27-AK28-AK29</f>
        <v>29.0746003743892</v>
      </c>
      <c r="AL31" s="13" t="n">
        <f aca="false">AL21-AL27-AL28-AL29</f>
        <v>21.8059502807919</v>
      </c>
      <c r="AM31" s="13" t="n">
        <f aca="false">AM21-AM27-AM28-AM29</f>
        <v>14.5373001871946</v>
      </c>
      <c r="AN31" s="13" t="n">
        <f aca="false">AN21-AN27-AN28-AN29</f>
        <v>7.26865009359731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1791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1792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188.98490243353</v>
      </c>
      <c r="P33" s="13" t="n">
        <f aca="false">IF(Time!P34=1,INDEX(Funding!$J$61:$BJ$61,1,Time!$F$14),Time!P35*(P31-P32))</f>
        <v>181.716252339933</v>
      </c>
      <c r="Q33" s="13" t="n">
        <f aca="false">IF(Time!Q34=1,INDEX(Funding!$J$61:$BJ$61,1,Time!$F$14),Time!Q35*(Q31-Q32))</f>
        <v>174.447602246335</v>
      </c>
      <c r="R33" s="13" t="n">
        <f aca="false">IF(Time!R34=1,INDEX(Funding!$J$61:$BJ$61,1,Time!$F$14),Time!R35*(R31-R32))</f>
        <v>167.178952152738</v>
      </c>
      <c r="S33" s="13" t="n">
        <f aca="false">IF(Time!S34=1,INDEX(Funding!$J$61:$BJ$61,1,Time!$F$14),Time!S35*(S31-S32))</f>
        <v>159.910302059141</v>
      </c>
      <c r="T33" s="13" t="n">
        <f aca="false">IF(Time!T34=1,INDEX(Funding!$J$61:$BJ$61,1,Time!$F$14),Time!T35*(T31-T32))</f>
        <v>152.641651965544</v>
      </c>
      <c r="U33" s="13" t="n">
        <f aca="false">IF(Time!U34=1,INDEX(Funding!$J$61:$BJ$61,1,Time!$F$14),Time!U35*(U31-U32))</f>
        <v>145.373001871946</v>
      </c>
      <c r="V33" s="13" t="n">
        <f aca="false">IF(Time!V34=1,INDEX(Funding!$J$61:$BJ$61,1,Time!$F$14),Time!V35*(V31-V32))</f>
        <v>138.104351778349</v>
      </c>
      <c r="W33" s="13" t="n">
        <f aca="false">IF(Time!W34=1,INDEX(Funding!$J$61:$BJ$61,1,Time!$F$14),Time!W35*(W31-W32))</f>
        <v>130.835701684752</v>
      </c>
      <c r="X33" s="13" t="n">
        <f aca="false">IF(Time!X34=1,INDEX(Funding!$J$61:$BJ$61,1,Time!$F$14),Time!X35*(X31-X32))</f>
        <v>123.567051591154</v>
      </c>
      <c r="Y33" s="13" t="n">
        <f aca="false">IF(Time!Y34=1,INDEX(Funding!$J$61:$BJ$61,1,Time!$F$14),Time!Y35*(Y31-Y32))</f>
        <v>116.298401497557</v>
      </c>
      <c r="Z33" s="13" t="n">
        <f aca="false">IF(Time!Z34=1,INDEX(Funding!$J$61:$BJ$61,1,Time!$F$14),Time!Z35*(Z31-Z32))</f>
        <v>109.02975140396</v>
      </c>
      <c r="AA33" s="13" t="n">
        <f aca="false">IF(Time!AA34=1,INDEX(Funding!$J$61:$BJ$61,1,Time!$F$14),Time!AA35*(AA31-AA32))</f>
        <v>101.761101310362</v>
      </c>
      <c r="AB33" s="13" t="n">
        <f aca="false">IF(Time!AB34=1,INDEX(Funding!$J$61:$BJ$61,1,Time!$F$14),Time!AB35*(AB31-AB32))</f>
        <v>94.492451216765</v>
      </c>
      <c r="AC33" s="13" t="n">
        <f aca="false">IF(Time!AC34=1,INDEX(Funding!$J$61:$BJ$61,1,Time!$F$14),Time!AC35*(AC31-AC32))</f>
        <v>87.2238011231677</v>
      </c>
      <c r="AD33" s="13" t="n">
        <f aca="false">IF(Time!AD34=1,INDEX(Funding!$J$61:$BJ$61,1,Time!$F$14),Time!AD35*(AD31-AD32))</f>
        <v>79.9551510295704</v>
      </c>
      <c r="AE33" s="13" t="n">
        <f aca="false">IF(Time!AE34=1,INDEX(Funding!$J$61:$BJ$61,1,Time!$F$14),Time!AE35*(AE31-AE32))</f>
        <v>72.6865009359731</v>
      </c>
      <c r="AF33" s="13" t="n">
        <f aca="false">IF(Time!AF34=1,INDEX(Funding!$J$61:$BJ$61,1,Time!$F$14),Time!AF35*(AF31-AF32))</f>
        <v>65.4178508423758</v>
      </c>
      <c r="AG33" s="13" t="n">
        <f aca="false">IF(Time!AG34=1,INDEX(Funding!$J$61:$BJ$61,1,Time!$F$14),Time!AG35*(AG31-AG32))</f>
        <v>58.1492007487785</v>
      </c>
      <c r="AH33" s="13" t="n">
        <f aca="false">IF(Time!AH34=1,INDEX(Funding!$J$61:$BJ$61,1,Time!$F$14),Time!AH35*(AH31-AH32))</f>
        <v>50.8805506551812</v>
      </c>
      <c r="AI33" s="13" t="n">
        <f aca="false">IF(Time!AI34=1,INDEX(Funding!$J$61:$BJ$61,1,Time!$F$14),Time!AI35*(AI31-AI32))</f>
        <v>43.6119005615839</v>
      </c>
      <c r="AJ33" s="13" t="n">
        <f aca="false">IF(Time!AJ34=1,INDEX(Funding!$J$61:$BJ$61,1,Time!$F$14),Time!AJ35*(AJ31-AJ32))</f>
        <v>36.3432504679866</v>
      </c>
      <c r="AK33" s="13" t="n">
        <f aca="false">IF(Time!AK34=1,INDEX(Funding!$J$61:$BJ$61,1,Time!$F$14),Time!AK35*(AK31-AK32))</f>
        <v>29.0746003743892</v>
      </c>
      <c r="AL33" s="13" t="n">
        <f aca="false">IF(Time!AL34=1,INDEX(Funding!$J$61:$BJ$61,1,Time!$F$14),Time!AL35*(AL31-AL32))</f>
        <v>21.8059502807919</v>
      </c>
      <c r="AM33" s="13" t="n">
        <f aca="false">IF(Time!AM34=1,INDEX(Funding!$J$61:$BJ$61,1,Time!$F$14),Time!AM35*(AM31-AM32))</f>
        <v>14.5373001871946</v>
      </c>
      <c r="AN33" s="13" t="n">
        <f aca="false">IF(Time!AN34=1,INDEX(Funding!$J$61:$BJ$61,1,Time!$F$14),Time!AN35*(AN31-AN32))</f>
        <v>7.26865009359731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1793</v>
      </c>
    </row>
    <row r="35" customFormat="false" ht="15" hidden="false" customHeight="false" outlineLevel="0" collapsed="false">
      <c r="D35" s="0" t="s">
        <v>1780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138.588928451255</v>
      </c>
      <c r="Q35" s="13" t="n">
        <f aca="false">Time!Q35*P47</f>
        <v>135.969465081643</v>
      </c>
      <c r="R35" s="13" t="n">
        <f aca="false">Time!R35*Q47</f>
        <v>133.157415483277</v>
      </c>
      <c r="S35" s="13" t="n">
        <f aca="false">Time!S35*R47</f>
        <v>130.107997619777</v>
      </c>
      <c r="T35" s="13" t="n">
        <f aca="false">Time!T35*S47</f>
        <v>126.913329277218</v>
      </c>
      <c r="U35" s="13" t="n">
        <f aca="false">Time!U35*T47</f>
        <v>123.478305908117</v>
      </c>
      <c r="V35" s="13" t="n">
        <f aca="false">Time!V35*U47</f>
        <v>119.870674964862</v>
      </c>
      <c r="W35" s="13" t="n">
        <f aca="false">Time!W35*V47</f>
        <v>115.887023255821</v>
      </c>
      <c r="X35" s="13" t="n">
        <f aca="false">Time!X35*W47</f>
        <v>111.718218157771</v>
      </c>
      <c r="Y35" s="13" t="n">
        <f aca="false">Time!Y35*X47</f>
        <v>107.738275637676</v>
      </c>
      <c r="Z35" s="13" t="n">
        <f aca="false">Time!Z35*Y47</f>
        <v>103.769983015457</v>
      </c>
      <c r="AA35" s="13" t="n">
        <f aca="false">Time!AA35*Z47</f>
        <v>99.5514640831488</v>
      </c>
      <c r="AB35" s="13" t="n">
        <f aca="false">Time!AB35*AA47</f>
        <v>95.1485795103663</v>
      </c>
      <c r="AC35" s="13" t="n">
        <f aca="false">Time!AC35*AB47</f>
        <v>90.4321329976979</v>
      </c>
      <c r="AD35" s="13" t="n">
        <f aca="false">Time!AD35*AC47</f>
        <v>85.4863767539215</v>
      </c>
      <c r="AE35" s="13" t="n">
        <f aca="false">Time!AE35*AD47</f>
        <v>79.8737455253932</v>
      </c>
      <c r="AF35" s="13" t="n">
        <f aca="false">Time!AF35*AE47</f>
        <v>73.9173881358826</v>
      </c>
      <c r="AG35" s="13" t="n">
        <f aca="false">Time!AG35*AF47</f>
        <v>67.6701818628436</v>
      </c>
      <c r="AH35" s="13" t="n">
        <f aca="false">Time!AH35*AG47</f>
        <v>61.2671988274812</v>
      </c>
      <c r="AI35" s="13" t="n">
        <f aca="false">Time!AI35*AH47</f>
        <v>54.4217224334144</v>
      </c>
      <c r="AJ35" s="13" t="n">
        <f aca="false">Time!AJ35*AI47</f>
        <v>47.2976935869217</v>
      </c>
      <c r="AK35" s="13" t="n">
        <f aca="false">Time!AK35*AJ47</f>
        <v>39.7086785292781</v>
      </c>
      <c r="AL35" s="13" t="n">
        <f aca="false">Time!AL35*AK47</f>
        <v>31.7853399167901</v>
      </c>
      <c r="AM35" s="13" t="n">
        <f aca="false">Time!AM35*AL47</f>
        <v>23.2285875436323</v>
      </c>
      <c r="AN35" s="13" t="n">
        <f aca="false">Time!AN35*AM47</f>
        <v>14.3299030258437</v>
      </c>
      <c r="AO35" s="13" t="n">
        <f aca="false">Time!AO35*AN47</f>
        <v>7.05948713799373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1781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1782</v>
      </c>
      <c r="E37" s="0" t="s">
        <v>151</v>
      </c>
      <c r="G37" s="13" t="n">
        <f aca="false">SUM(J37:BN37)</f>
        <v>76.1670631374144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4.77423459744747</v>
      </c>
      <c r="Q37" s="13" t="n">
        <f aca="false">Q35*Q11</f>
        <v>4.6212999637582</v>
      </c>
      <c r="R37" s="13" t="n">
        <f aca="false">R35*R11</f>
        <v>4.60073665763109</v>
      </c>
      <c r="S37" s="13" t="n">
        <f aca="false">S35*S11</f>
        <v>4.42862325120407</v>
      </c>
      <c r="T37" s="13" t="n">
        <f aca="false">T35*T11</f>
        <v>4.39148322261237</v>
      </c>
      <c r="U37" s="13" t="n">
        <f aca="false">U35*U11</f>
        <v>4.22618221782298</v>
      </c>
      <c r="V37" s="13" t="n">
        <f aca="false">V35*V11</f>
        <v>4.14779173306192</v>
      </c>
      <c r="W37" s="13" t="n">
        <f aca="false">W35*W11</f>
        <v>3.94456893574958</v>
      </c>
      <c r="X37" s="13" t="n">
        <f aca="false">X35*X11</f>
        <v>3.8656986109659</v>
      </c>
      <c r="Y37" s="13" t="n">
        <f aca="false">Y35*Y11</f>
        <v>3.66720141161496</v>
      </c>
      <c r="Z37" s="13" t="n">
        <f aca="false">Z35*Z11</f>
        <v>3.59067201229706</v>
      </c>
      <c r="AA37" s="13" t="n">
        <f aca="false">AA35*AA11</f>
        <v>3.38853826509911</v>
      </c>
      <c r="AB37" s="13" t="n">
        <f aca="false">AB35*AB11</f>
        <v>3.29235229234647</v>
      </c>
      <c r="AC37" s="13" t="n">
        <f aca="false">AC35*AC11</f>
        <v>3.09514023199399</v>
      </c>
      <c r="AD37" s="13" t="n">
        <f aca="false">AD35*AD11</f>
        <v>2.9580186054118</v>
      </c>
      <c r="AE37" s="13" t="n">
        <f aca="false">AE35*AE11</f>
        <v>2.71874698762364</v>
      </c>
      <c r="AF37" s="13" t="n">
        <f aca="false">AF35*AF11</f>
        <v>2.55770589036406</v>
      </c>
      <c r="AG37" s="13" t="n">
        <f aca="false">AG35*AG11</f>
        <v>2.30336140970202</v>
      </c>
      <c r="AH37" s="13" t="n">
        <f aca="false">AH35*AH11</f>
        <v>2.11998122876158</v>
      </c>
      <c r="AI37" s="13" t="n">
        <f aca="false">AI35*AI11</f>
        <v>1.85240961161758</v>
      </c>
      <c r="AJ37" s="13" t="n">
        <f aca="false">AJ35*AJ11</f>
        <v>1.63660530409324</v>
      </c>
      <c r="AK37" s="13" t="n">
        <f aca="false">AK35*AK11</f>
        <v>1.35907364341846</v>
      </c>
      <c r="AL37" s="13" t="n">
        <f aca="false">AL35*AL11</f>
        <v>1.09984339520964</v>
      </c>
      <c r="AM37" s="13" t="n">
        <f aca="false">AM35*AM11</f>
        <v>0.790655953287243</v>
      </c>
      <c r="AN37" s="13" t="n">
        <f aca="false">AN35*AN11</f>
        <v>0.495846488923137</v>
      </c>
      <c r="AO37" s="13" t="n">
        <f aca="false">AO35*AO11</f>
        <v>0.24029121539676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1783</v>
      </c>
      <c r="E38" s="0" t="s">
        <v>151</v>
      </c>
      <c r="G38" s="13" t="n">
        <f aca="false">SUM(J38:BN38)</f>
        <v>138.588928451255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2.61946336961237</v>
      </c>
      <c r="Q38" s="13" t="n">
        <f aca="false">Time!Q35*(Q35-Q36)*Q19</f>
        <v>2.81204959836604</v>
      </c>
      <c r="R38" s="13" t="n">
        <f aca="false">Time!R35*(R35-R36)*R19</f>
        <v>3.04941786349961</v>
      </c>
      <c r="S38" s="13" t="n">
        <f aca="false">Time!S35*(S35-S36)*S19</f>
        <v>3.19466834255894</v>
      </c>
      <c r="T38" s="13" t="n">
        <f aca="false">Time!T35*(T35-T36)*T19</f>
        <v>3.43502336910134</v>
      </c>
      <c r="U38" s="13" t="n">
        <f aca="false">Time!U35*(U35-U36)*U19</f>
        <v>3.60763094325525</v>
      </c>
      <c r="V38" s="13" t="n">
        <f aca="false">Time!V35*(V35-V36)*V19</f>
        <v>3.98365170904115</v>
      </c>
      <c r="W38" s="13" t="n">
        <f aca="false">Time!W35*(W35-W36)*W19</f>
        <v>4.16880509804934</v>
      </c>
      <c r="X38" s="13" t="n">
        <f aca="false">Time!X35*(X35-X36)*X19</f>
        <v>3.97994252009568</v>
      </c>
      <c r="Y38" s="13" t="n">
        <f aca="false">Time!Y35*(Y35-Y36)*Y19</f>
        <v>3.96829262221879</v>
      </c>
      <c r="Z38" s="13" t="n">
        <f aca="false">Time!Z35*(Z35-Z36)*Z19</f>
        <v>4.218518932308</v>
      </c>
      <c r="AA38" s="13" t="n">
        <f aca="false">Time!AA35*(AA35-AA36)*AA19</f>
        <v>4.40288457278258</v>
      </c>
      <c r="AB38" s="13" t="n">
        <f aca="false">Time!AB35*(AB35-AB36)*AB19</f>
        <v>4.71644651266835</v>
      </c>
      <c r="AC38" s="13" t="n">
        <f aca="false">Time!AC35*(AC35-AC36)*AC19</f>
        <v>4.94575624377639</v>
      </c>
      <c r="AD38" s="13" t="n">
        <f aca="false">Time!AD35*(AD35-AD36)*AD19</f>
        <v>5.61263122852827</v>
      </c>
      <c r="AE38" s="13" t="n">
        <f aca="false">Time!AE35*(AE35-AE36)*AE19</f>
        <v>5.95635738951064</v>
      </c>
      <c r="AF38" s="13" t="n">
        <f aca="false">Time!AF35*(AF35-AF36)*AF19</f>
        <v>6.24720627303903</v>
      </c>
      <c r="AG38" s="13" t="n">
        <f aca="false">Time!AG35*(AG35-AG36)*AG19</f>
        <v>6.40298303536236</v>
      </c>
      <c r="AH38" s="13" t="n">
        <f aca="false">Time!AH35*(AH35-AH36)*AH19</f>
        <v>6.84547639406682</v>
      </c>
      <c r="AI38" s="13" t="n">
        <f aca="false">Time!AI35*(AI35-AI36)*AI19</f>
        <v>7.12402884649266</v>
      </c>
      <c r="AJ38" s="13" t="n">
        <f aca="false">Time!AJ35*(AJ35-AJ36)*AJ19</f>
        <v>7.58901505764364</v>
      </c>
      <c r="AK38" s="13" t="n">
        <f aca="false">Time!AK35*(AK35-AK36)*AK19</f>
        <v>7.92333861248794</v>
      </c>
      <c r="AL38" s="13" t="n">
        <f aca="false">Time!AL35*(AL35-AL36)*AL19</f>
        <v>8.5567523731578</v>
      </c>
      <c r="AM38" s="13" t="n">
        <f aca="false">Time!AM35*(AM35-AM36)*AM19</f>
        <v>8.89868451778867</v>
      </c>
      <c r="AN38" s="13" t="n">
        <f aca="false">Time!AN35*(AN35-AN36)*AN19</f>
        <v>7.27041588784994</v>
      </c>
      <c r="AO38" s="13" t="n">
        <f aca="false">Time!AO35*(AO35-AO36)*AO19</f>
        <v>7.05948713799373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1784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1785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1786</v>
      </c>
      <c r="E41" s="0" t="s">
        <v>151</v>
      </c>
      <c r="G41" s="13" t="n">
        <f aca="false">SUM(J41:BN41)</f>
        <v>138.588928451255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2.61946336961237</v>
      </c>
      <c r="Q41" s="13" t="n">
        <f aca="false">Q38-Q39+Q40</f>
        <v>2.81204959836604</v>
      </c>
      <c r="R41" s="13" t="n">
        <f aca="false">R38-R39+R40</f>
        <v>3.04941786349961</v>
      </c>
      <c r="S41" s="13" t="n">
        <f aca="false">S38-S39+S40</f>
        <v>3.19466834255894</v>
      </c>
      <c r="T41" s="13" t="n">
        <f aca="false">T38-T39+T40</f>
        <v>3.43502336910134</v>
      </c>
      <c r="U41" s="13" t="n">
        <f aca="false">U38-U39+U40</f>
        <v>3.60763094325525</v>
      </c>
      <c r="V41" s="13" t="n">
        <f aca="false">V38-V39+V40</f>
        <v>3.98365170904115</v>
      </c>
      <c r="W41" s="13" t="n">
        <f aca="false">W38-W39+W40</f>
        <v>4.16880509804934</v>
      </c>
      <c r="X41" s="13" t="n">
        <f aca="false">X38-X39+X40</f>
        <v>3.97994252009568</v>
      </c>
      <c r="Y41" s="13" t="n">
        <f aca="false">Y38-Y39+Y40</f>
        <v>3.96829262221879</v>
      </c>
      <c r="Z41" s="13" t="n">
        <f aca="false">Z38-Z39+Z40</f>
        <v>4.218518932308</v>
      </c>
      <c r="AA41" s="13" t="n">
        <f aca="false">AA38-AA39+AA40</f>
        <v>4.40288457278258</v>
      </c>
      <c r="AB41" s="13" t="n">
        <f aca="false">AB38-AB39+AB40</f>
        <v>4.71644651266835</v>
      </c>
      <c r="AC41" s="13" t="n">
        <f aca="false">AC38-AC39+AC40</f>
        <v>4.94575624377639</v>
      </c>
      <c r="AD41" s="13" t="n">
        <f aca="false">AD38-AD39+AD40</f>
        <v>5.61263122852827</v>
      </c>
      <c r="AE41" s="13" t="n">
        <f aca="false">AE38-AE39+AE40</f>
        <v>5.95635738951064</v>
      </c>
      <c r="AF41" s="13" t="n">
        <f aca="false">AF38-AF39+AF40</f>
        <v>6.24720627303903</v>
      </c>
      <c r="AG41" s="13" t="n">
        <f aca="false">AG38-AG39+AG40</f>
        <v>6.40298303536236</v>
      </c>
      <c r="AH41" s="13" t="n">
        <f aca="false">AH38-AH39+AH40</f>
        <v>6.84547639406682</v>
      </c>
      <c r="AI41" s="13" t="n">
        <f aca="false">AI38-AI39+AI40</f>
        <v>7.12402884649266</v>
      </c>
      <c r="AJ41" s="13" t="n">
        <f aca="false">AJ38-AJ39+AJ40</f>
        <v>7.58901505764364</v>
      </c>
      <c r="AK41" s="13" t="n">
        <f aca="false">AK38-AK39+AK40</f>
        <v>7.92333861248794</v>
      </c>
      <c r="AL41" s="13" t="n">
        <f aca="false">AL38-AL39+AL40</f>
        <v>8.5567523731578</v>
      </c>
      <c r="AM41" s="13" t="n">
        <f aca="false">AM38-AM39+AM40</f>
        <v>8.89868451778867</v>
      </c>
      <c r="AN41" s="13" t="n">
        <f aca="false">AN38-AN39+AN40</f>
        <v>7.27041588784994</v>
      </c>
      <c r="AO41" s="13" t="n">
        <f aca="false">AO38-AO39+AO40</f>
        <v>7.05948713799373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1787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1788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1789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1790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135.969465081643</v>
      </c>
      <c r="Q45" s="13" t="n">
        <f aca="false">Q35-Q41-Q42-Q43</f>
        <v>133.157415483277</v>
      </c>
      <c r="R45" s="13" t="n">
        <f aca="false">R35-R41-R42-R43</f>
        <v>130.107997619777</v>
      </c>
      <c r="S45" s="13" t="n">
        <f aca="false">S35-S41-S42-S43</f>
        <v>126.913329277218</v>
      </c>
      <c r="T45" s="13" t="n">
        <f aca="false">T35-T41-T42-T43</f>
        <v>123.478305908117</v>
      </c>
      <c r="U45" s="13" t="n">
        <f aca="false">U35-U41-U42-U43</f>
        <v>119.870674964862</v>
      </c>
      <c r="V45" s="13" t="n">
        <f aca="false">V35-V41-V42-V43</f>
        <v>115.887023255821</v>
      </c>
      <c r="W45" s="13" t="n">
        <f aca="false">W35-W41-W42-W43</f>
        <v>111.718218157771</v>
      </c>
      <c r="X45" s="13" t="n">
        <f aca="false">X35-X41-X42-X43</f>
        <v>107.738275637676</v>
      </c>
      <c r="Y45" s="13" t="n">
        <f aca="false">Y35-Y41-Y42-Y43</f>
        <v>103.769983015457</v>
      </c>
      <c r="Z45" s="13" t="n">
        <f aca="false">Z35-Z41-Z42-Z43</f>
        <v>99.5514640831488</v>
      </c>
      <c r="AA45" s="13" t="n">
        <f aca="false">AA35-AA41-AA42-AA43</f>
        <v>95.1485795103663</v>
      </c>
      <c r="AB45" s="13" t="n">
        <f aca="false">AB35-AB41-AB42-AB43</f>
        <v>90.4321329976979</v>
      </c>
      <c r="AC45" s="13" t="n">
        <f aca="false">AC35-AC41-AC42-AC43</f>
        <v>85.4863767539215</v>
      </c>
      <c r="AD45" s="13" t="n">
        <f aca="false">AD35-AD41-AD42-AD43</f>
        <v>79.8737455253932</v>
      </c>
      <c r="AE45" s="13" t="n">
        <f aca="false">AE35-AE41-AE42-AE43</f>
        <v>73.9173881358826</v>
      </c>
      <c r="AF45" s="13" t="n">
        <f aca="false">AF35-AF41-AF42-AF43</f>
        <v>67.6701818628436</v>
      </c>
      <c r="AG45" s="13" t="n">
        <f aca="false">AG35-AG41-AG42-AG43</f>
        <v>61.2671988274812</v>
      </c>
      <c r="AH45" s="13" t="n">
        <f aca="false">AH35-AH41-AH42-AH43</f>
        <v>54.4217224334144</v>
      </c>
      <c r="AI45" s="13" t="n">
        <f aca="false">AI35-AI41-AI42-AI43</f>
        <v>47.2976935869217</v>
      </c>
      <c r="AJ45" s="13" t="n">
        <f aca="false">AJ35-AJ41-AJ42-AJ43</f>
        <v>39.7086785292781</v>
      </c>
      <c r="AK45" s="13" t="n">
        <f aca="false">AK35-AK41-AK42-AK43</f>
        <v>31.7853399167901</v>
      </c>
      <c r="AL45" s="13" t="n">
        <f aca="false">AL35-AL41-AL42-AL43</f>
        <v>23.2285875436323</v>
      </c>
      <c r="AM45" s="13" t="n">
        <f aca="false">AM35-AM41-AM42-AM43</f>
        <v>14.3299030258437</v>
      </c>
      <c r="AN45" s="13" t="n">
        <f aca="false">AN35-AN41-AN42-AN43</f>
        <v>7.05948713799373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1791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1792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138.588928451255</v>
      </c>
      <c r="P47" s="13" t="n">
        <f aca="false">IF(Time!P34=1,INDEX(Funding!$J$62:$BJ$62,1,Time!$F$14),Time!P35*(P45-P46))</f>
        <v>135.969465081643</v>
      </c>
      <c r="Q47" s="13" t="n">
        <f aca="false">IF(Time!Q34=1,INDEX(Funding!$J$62:$BJ$62,1,Time!$F$14),Time!Q35*(Q45-Q46))</f>
        <v>133.157415483277</v>
      </c>
      <c r="R47" s="13" t="n">
        <f aca="false">IF(Time!R34=1,INDEX(Funding!$J$62:$BJ$62,1,Time!$F$14),Time!R35*(R45-R46))</f>
        <v>130.107997619777</v>
      </c>
      <c r="S47" s="13" t="n">
        <f aca="false">IF(Time!S34=1,INDEX(Funding!$J$62:$BJ$62,1,Time!$F$14),Time!S35*(S45-S46))</f>
        <v>126.913329277218</v>
      </c>
      <c r="T47" s="13" t="n">
        <f aca="false">IF(Time!T34=1,INDEX(Funding!$J$62:$BJ$62,1,Time!$F$14),Time!T35*(T45-T46))</f>
        <v>123.478305908117</v>
      </c>
      <c r="U47" s="13" t="n">
        <f aca="false">IF(Time!U34=1,INDEX(Funding!$J$62:$BJ$62,1,Time!$F$14),Time!U35*(U45-U46))</f>
        <v>119.870674964862</v>
      </c>
      <c r="V47" s="13" t="n">
        <f aca="false">IF(Time!V34=1,INDEX(Funding!$J$62:$BJ$62,1,Time!$F$14),Time!V35*(V45-V46))</f>
        <v>115.887023255821</v>
      </c>
      <c r="W47" s="13" t="n">
        <f aca="false">IF(Time!W34=1,INDEX(Funding!$J$62:$BJ$62,1,Time!$F$14),Time!W35*(W45-W46))</f>
        <v>111.718218157771</v>
      </c>
      <c r="X47" s="13" t="n">
        <f aca="false">IF(Time!X34=1,INDEX(Funding!$J$62:$BJ$62,1,Time!$F$14),Time!X35*(X45-X46))</f>
        <v>107.738275637676</v>
      </c>
      <c r="Y47" s="13" t="n">
        <f aca="false">IF(Time!Y34=1,INDEX(Funding!$J$62:$BJ$62,1,Time!$F$14),Time!Y35*(Y45-Y46))</f>
        <v>103.769983015457</v>
      </c>
      <c r="Z47" s="13" t="n">
        <f aca="false">IF(Time!Z34=1,INDEX(Funding!$J$62:$BJ$62,1,Time!$F$14),Time!Z35*(Z45-Z46))</f>
        <v>99.5514640831488</v>
      </c>
      <c r="AA47" s="13" t="n">
        <f aca="false">IF(Time!AA34=1,INDEX(Funding!$J$62:$BJ$62,1,Time!$F$14),Time!AA35*(AA45-AA46))</f>
        <v>95.1485795103663</v>
      </c>
      <c r="AB47" s="13" t="n">
        <f aca="false">IF(Time!AB34=1,INDEX(Funding!$J$62:$BJ$62,1,Time!$F$14),Time!AB35*(AB45-AB46))</f>
        <v>90.4321329976979</v>
      </c>
      <c r="AC47" s="13" t="n">
        <f aca="false">IF(Time!AC34=1,INDEX(Funding!$J$62:$BJ$62,1,Time!$F$14),Time!AC35*(AC45-AC46))</f>
        <v>85.4863767539215</v>
      </c>
      <c r="AD47" s="13" t="n">
        <f aca="false">IF(Time!AD34=1,INDEX(Funding!$J$62:$BJ$62,1,Time!$F$14),Time!AD35*(AD45-AD46))</f>
        <v>79.8737455253932</v>
      </c>
      <c r="AE47" s="13" t="n">
        <f aca="false">IF(Time!AE34=1,INDEX(Funding!$J$62:$BJ$62,1,Time!$F$14),Time!AE35*(AE45-AE46))</f>
        <v>73.9173881358826</v>
      </c>
      <c r="AF47" s="13" t="n">
        <f aca="false">IF(Time!AF34=1,INDEX(Funding!$J$62:$BJ$62,1,Time!$F$14),Time!AF35*(AF45-AF46))</f>
        <v>67.6701818628436</v>
      </c>
      <c r="AG47" s="13" t="n">
        <f aca="false">IF(Time!AG34=1,INDEX(Funding!$J$62:$BJ$62,1,Time!$F$14),Time!AG35*(AG45-AG46))</f>
        <v>61.2671988274812</v>
      </c>
      <c r="AH47" s="13" t="n">
        <f aca="false">IF(Time!AH34=1,INDEX(Funding!$J$62:$BJ$62,1,Time!$F$14),Time!AH35*(AH45-AH46))</f>
        <v>54.4217224334144</v>
      </c>
      <c r="AI47" s="13" t="n">
        <f aca="false">IF(Time!AI34=1,INDEX(Funding!$J$62:$BJ$62,1,Time!$F$14),Time!AI35*(AI45-AI46))</f>
        <v>47.2976935869217</v>
      </c>
      <c r="AJ47" s="13" t="n">
        <f aca="false">IF(Time!AJ34=1,INDEX(Funding!$J$62:$BJ$62,1,Time!$F$14),Time!AJ35*(AJ45-AJ46))</f>
        <v>39.7086785292781</v>
      </c>
      <c r="AK47" s="13" t="n">
        <f aca="false">IF(Time!AK34=1,INDEX(Funding!$J$62:$BJ$62,1,Time!$F$14),Time!AK35*(AK45-AK46))</f>
        <v>31.7853399167901</v>
      </c>
      <c r="AL47" s="13" t="n">
        <f aca="false">IF(Time!AL34=1,INDEX(Funding!$J$62:$BJ$62,1,Time!$F$14),Time!AL35*(AL45-AL46))</f>
        <v>23.2285875436323</v>
      </c>
      <c r="AM47" s="13" t="n">
        <f aca="false">IF(Time!AM34=1,INDEX(Funding!$J$62:$BJ$62,1,Time!$F$14),Time!AM35*(AM45-AM46))</f>
        <v>14.3299030258437</v>
      </c>
      <c r="AN47" s="13" t="n">
        <f aca="false">IF(Time!AN34=1,INDEX(Funding!$J$62:$BJ$62,1,Time!$F$14),Time!AN35*(AN45-AN46))</f>
        <v>7.05948713799373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1794</v>
      </c>
    </row>
    <row r="49" customFormat="false" ht="15" hidden="false" customHeight="false" outlineLevel="0" collapsed="false">
      <c r="D49" s="0" t="s">
        <v>1780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62.9949674778433</v>
      </c>
      <c r="Q49" s="13" t="n">
        <f aca="false">Time!Q35*P61</f>
        <v>61.8043023098377</v>
      </c>
      <c r="R49" s="13" t="n">
        <f aca="false">Time!R35*Q61</f>
        <v>60.526097946944</v>
      </c>
      <c r="S49" s="13" t="n">
        <f aca="false">Time!S35*R61</f>
        <v>59.1399989180806</v>
      </c>
      <c r="T49" s="13" t="n">
        <f aca="false">Time!T35*S61</f>
        <v>57.6878769441902</v>
      </c>
      <c r="U49" s="13" t="n">
        <f aca="false">Time!U35*T61</f>
        <v>56.1265026855077</v>
      </c>
      <c r="V49" s="13" t="n">
        <f aca="false">Time!V35*U61</f>
        <v>54.4866704385735</v>
      </c>
      <c r="W49" s="13" t="n">
        <f aca="false">Time!W35*V61</f>
        <v>52.6759196617366</v>
      </c>
      <c r="X49" s="13" t="n">
        <f aca="false">Time!X35*W61</f>
        <v>50.7810082535324</v>
      </c>
      <c r="Y49" s="13" t="n">
        <f aca="false">Time!Y35*X61</f>
        <v>48.9719434716707</v>
      </c>
      <c r="Z49" s="13" t="n">
        <f aca="false">Time!Z35*Y61</f>
        <v>47.1681740979349</v>
      </c>
      <c r="AA49" s="13" t="n">
        <f aca="false">Time!AA35*Z61</f>
        <v>45.2506654923404</v>
      </c>
      <c r="AB49" s="13" t="n">
        <f aca="false">Time!AB35*AA61</f>
        <v>43.2493543228937</v>
      </c>
      <c r="AC49" s="13" t="n">
        <f aca="false">Time!AC35*AB61</f>
        <v>41.1055149989536</v>
      </c>
      <c r="AD49" s="13" t="n">
        <f aca="false">Time!AD35*AC61</f>
        <v>38.8574439790552</v>
      </c>
      <c r="AE49" s="13" t="n">
        <f aca="false">Time!AE35*AD61</f>
        <v>36.3062479660878</v>
      </c>
      <c r="AF49" s="13" t="n">
        <f aca="false">Time!AF35*AE61</f>
        <v>33.5988127890375</v>
      </c>
      <c r="AG49" s="13" t="n">
        <f aca="false">Time!AG35*AF61</f>
        <v>30.7591735740198</v>
      </c>
      <c r="AH49" s="13" t="n">
        <f aca="false">Time!AH35*AG61</f>
        <v>27.8487267397642</v>
      </c>
      <c r="AI49" s="13" t="n">
        <f aca="false">Time!AI35*AH61</f>
        <v>24.7371465606429</v>
      </c>
      <c r="AJ49" s="13" t="n">
        <f aca="false">Time!AJ35*AI61</f>
        <v>21.498951630419</v>
      </c>
      <c r="AK49" s="13" t="n">
        <f aca="false">Time!AK35*AJ61</f>
        <v>18.04939933149</v>
      </c>
      <c r="AL49" s="13" t="n">
        <f aca="false">Time!AL35*AK61</f>
        <v>14.4478817803592</v>
      </c>
      <c r="AM49" s="13" t="n">
        <f aca="false">Time!AM35*AL61</f>
        <v>10.5584488834692</v>
      </c>
      <c r="AN49" s="13" t="n">
        <f aca="false">Time!AN35*AM61</f>
        <v>6.5135922844744</v>
      </c>
      <c r="AO49" s="13" t="n">
        <f aca="false">Time!AO35*AN61</f>
        <v>3.20885778999715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1781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1782</v>
      </c>
      <c r="E51" s="0" t="s">
        <v>151</v>
      </c>
      <c r="G51" s="13" t="n">
        <f aca="false">SUM(J51:BN51)</f>
        <v>33.342320972462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2.08961306564837</v>
      </c>
      <c r="Q51" s="13" t="n">
        <f aca="false">Q49*Q12</f>
        <v>2.02290631818625</v>
      </c>
      <c r="R51" s="13" t="n">
        <f aca="false">R49*R12</f>
        <v>2.01390503235465</v>
      </c>
      <c r="S51" s="13" t="n">
        <f aca="false">S49*S12</f>
        <v>1.93867487564459</v>
      </c>
      <c r="T51" s="13" t="n">
        <f aca="false">T49*T12</f>
        <v>1.92241645034461</v>
      </c>
      <c r="U51" s="13" t="n">
        <f aca="false">U49*U12</f>
        <v>1.85005425407586</v>
      </c>
      <c r="V51" s="13" t="n">
        <f aca="false">V49*V12</f>
        <v>1.815738021993</v>
      </c>
      <c r="W51" s="13" t="n">
        <f aca="false">W49*W12</f>
        <v>1.72677517531135</v>
      </c>
      <c r="X51" s="13" t="n">
        <f aca="false">X49*X12</f>
        <v>1.69224888837772</v>
      </c>
      <c r="Y51" s="13" t="n">
        <f aca="false">Y49*Y12</f>
        <v>1.60535472027189</v>
      </c>
      <c r="Z51" s="13" t="n">
        <f aca="false">Z49*Z12</f>
        <v>1.57185319727252</v>
      </c>
      <c r="AA51" s="13" t="n">
        <f aca="false">AA49*AA12</f>
        <v>1.48336709335613</v>
      </c>
      <c r="AB51" s="13" t="n">
        <f aca="false">AB49*AB12</f>
        <v>1.44126070539137</v>
      </c>
      <c r="AC51" s="13" t="n">
        <f aca="false">AC49*AC12</f>
        <v>1.3549291199544</v>
      </c>
      <c r="AD51" s="13" t="n">
        <f aca="false">AD49*AD12</f>
        <v>1.29490273313314</v>
      </c>
      <c r="AE51" s="13" t="n">
        <f aca="false">AE49*AE12</f>
        <v>1.19015914860388</v>
      </c>
      <c r="AF51" s="13" t="n">
        <f aca="false">AF49*AF12</f>
        <v>1.11966177018757</v>
      </c>
      <c r="AG51" s="13" t="n">
        <f aca="false">AG49*AG12</f>
        <v>1.0083198866159</v>
      </c>
      <c r="AH51" s="13" t="n">
        <f aca="false">AH49*AH12</f>
        <v>0.928043347087786</v>
      </c>
      <c r="AI51" s="13" t="n">
        <f aca="false">AI49*AI12</f>
        <v>0.810911149976275</v>
      </c>
      <c r="AJ51" s="13" t="n">
        <f aca="false">AJ49*AJ12</f>
        <v>0.716440619221695</v>
      </c>
      <c r="AK51" s="13" t="n">
        <f aca="false">AK49*AK12</f>
        <v>0.594948311742204</v>
      </c>
      <c r="AL51" s="13" t="n">
        <f aca="false">AL49*AL12</f>
        <v>0.48146763372948</v>
      </c>
      <c r="AM51" s="13" t="n">
        <f aca="false">AM49*AM12</f>
        <v>0.346117686009992</v>
      </c>
      <c r="AN51" s="13" t="n">
        <f aca="false">AN49*AN12</f>
        <v>0.217061844217729</v>
      </c>
      <c r="AO51" s="13" t="n">
        <f aca="false">AO49*AO12</f>
        <v>0.105189923753651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1783</v>
      </c>
      <c r="E52" s="0" t="s">
        <v>151</v>
      </c>
      <c r="G52" s="13" t="n">
        <f aca="false">SUM(J52:BN52)</f>
        <v>62.9949674778433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1.19066516800562</v>
      </c>
      <c r="Q52" s="13" t="n">
        <f aca="false">Time!Q35*(Q49-Q50)*Q19</f>
        <v>1.27820436289365</v>
      </c>
      <c r="R52" s="13" t="n">
        <f aca="false">Time!R35*(R49-R50)*R19</f>
        <v>1.38609902886346</v>
      </c>
      <c r="S52" s="13" t="n">
        <f aca="false">Time!S35*(S49-S50)*S19</f>
        <v>1.45212197389043</v>
      </c>
      <c r="T52" s="13" t="n">
        <f aca="false">Time!T35*(T49-T50)*T19</f>
        <v>1.56137425868243</v>
      </c>
      <c r="U52" s="13" t="n">
        <f aca="false">Time!U35*(U49-U50)*U19</f>
        <v>1.6398322469342</v>
      </c>
      <c r="V52" s="13" t="n">
        <f aca="false">Time!V35*(V49-V50)*V19</f>
        <v>1.81075077683689</v>
      </c>
      <c r="W52" s="13" t="n">
        <f aca="false">Time!W35*(W49-W50)*W19</f>
        <v>1.89491140820424</v>
      </c>
      <c r="X52" s="13" t="n">
        <f aca="false">Time!X35*(X49-X50)*X19</f>
        <v>1.80906478186167</v>
      </c>
      <c r="Y52" s="13" t="n">
        <f aca="false">Time!Y35*(Y49-Y50)*Y19</f>
        <v>1.80376937373581</v>
      </c>
      <c r="Z52" s="13" t="n">
        <f aca="false">Time!Z35*(Z49-Z50)*Z19</f>
        <v>1.91750860559455</v>
      </c>
      <c r="AA52" s="13" t="n">
        <f aca="false">Time!AA35*(AA49-AA50)*AA19</f>
        <v>2.00131116944663</v>
      </c>
      <c r="AB52" s="13" t="n">
        <f aca="false">Time!AB35*(AB49-AB50)*AB19</f>
        <v>2.14383932394016</v>
      </c>
      <c r="AC52" s="13" t="n">
        <f aca="false">Time!AC35*(AC49-AC50)*AC19</f>
        <v>2.24807101989836</v>
      </c>
      <c r="AD52" s="13" t="n">
        <f aca="false">Time!AD35*(AD49-AD50)*AD19</f>
        <v>2.55119601296739</v>
      </c>
      <c r="AE52" s="13" t="n">
        <f aca="false">Time!AE35*(AE49-AE50)*AE19</f>
        <v>2.70743517705029</v>
      </c>
      <c r="AF52" s="13" t="n">
        <f aca="false">Time!AF35*(AF49-AF50)*AF19</f>
        <v>2.83963921501774</v>
      </c>
      <c r="AG52" s="13" t="n">
        <f aca="false">Time!AG35*(AG49-AG50)*AG19</f>
        <v>2.91044683425562</v>
      </c>
      <c r="AH52" s="13" t="n">
        <f aca="false">Time!AH35*(AH49-AH50)*AH19</f>
        <v>3.11158017912128</v>
      </c>
      <c r="AI52" s="13" t="n">
        <f aca="false">Time!AI35*(AI49-AI50)*AI19</f>
        <v>3.23819493022394</v>
      </c>
      <c r="AJ52" s="13" t="n">
        <f aca="false">Time!AJ35*(AJ49-AJ50)*AJ19</f>
        <v>3.44955229892893</v>
      </c>
      <c r="AK52" s="13" t="n">
        <f aca="false">Time!AK35*(AK49-AK50)*AK19</f>
        <v>3.60151755113088</v>
      </c>
      <c r="AL52" s="13" t="n">
        <f aca="false">Time!AL35*(AL49-AL50)*AL19</f>
        <v>3.88943289688991</v>
      </c>
      <c r="AM52" s="13" t="n">
        <f aca="false">Time!AM35*(AM49-AM50)*AM19</f>
        <v>4.04485659899485</v>
      </c>
      <c r="AN52" s="13" t="n">
        <f aca="false">Time!AN35*(AN49-AN50)*AN19</f>
        <v>3.30473449447725</v>
      </c>
      <c r="AO52" s="13" t="n">
        <f aca="false">Time!AO35*(AO49-AO50)*AO19</f>
        <v>3.20885778999715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1784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1785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1786</v>
      </c>
      <c r="E55" s="0" t="s">
        <v>151</v>
      </c>
      <c r="G55" s="13" t="n">
        <f aca="false">SUM(J55:BN55)</f>
        <v>62.9949674778433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1.19066516800562</v>
      </c>
      <c r="Q55" s="13" t="n">
        <f aca="false">Q52-Q53+Q54</f>
        <v>1.27820436289365</v>
      </c>
      <c r="R55" s="13" t="n">
        <f aca="false">R52-R53+R54</f>
        <v>1.38609902886346</v>
      </c>
      <c r="S55" s="13" t="n">
        <f aca="false">S52-S53+S54</f>
        <v>1.45212197389043</v>
      </c>
      <c r="T55" s="13" t="n">
        <f aca="false">T52-T53+T54</f>
        <v>1.56137425868243</v>
      </c>
      <c r="U55" s="13" t="n">
        <f aca="false">U52-U53+U54</f>
        <v>1.6398322469342</v>
      </c>
      <c r="V55" s="13" t="n">
        <f aca="false">V52-V53+V54</f>
        <v>1.81075077683689</v>
      </c>
      <c r="W55" s="13" t="n">
        <f aca="false">W52-W53+W54</f>
        <v>1.89491140820424</v>
      </c>
      <c r="X55" s="13" t="n">
        <f aca="false">X52-X53+X54</f>
        <v>1.80906478186167</v>
      </c>
      <c r="Y55" s="13" t="n">
        <f aca="false">Y52-Y53+Y54</f>
        <v>1.80376937373581</v>
      </c>
      <c r="Z55" s="13" t="n">
        <f aca="false">Z52-Z53+Z54</f>
        <v>1.91750860559455</v>
      </c>
      <c r="AA55" s="13" t="n">
        <f aca="false">AA52-AA53+AA54</f>
        <v>2.00131116944663</v>
      </c>
      <c r="AB55" s="13" t="n">
        <f aca="false">AB52-AB53+AB54</f>
        <v>2.14383932394016</v>
      </c>
      <c r="AC55" s="13" t="n">
        <f aca="false">AC52-AC53+AC54</f>
        <v>2.24807101989836</v>
      </c>
      <c r="AD55" s="13" t="n">
        <f aca="false">AD52-AD53+AD54</f>
        <v>2.55119601296739</v>
      </c>
      <c r="AE55" s="13" t="n">
        <f aca="false">AE52-AE53+AE54</f>
        <v>2.70743517705029</v>
      </c>
      <c r="AF55" s="13" t="n">
        <f aca="false">AF52-AF53+AF54</f>
        <v>2.83963921501774</v>
      </c>
      <c r="AG55" s="13" t="n">
        <f aca="false">AG52-AG53+AG54</f>
        <v>2.91044683425562</v>
      </c>
      <c r="AH55" s="13" t="n">
        <f aca="false">AH52-AH53+AH54</f>
        <v>3.11158017912128</v>
      </c>
      <c r="AI55" s="13" t="n">
        <f aca="false">AI52-AI53+AI54</f>
        <v>3.23819493022394</v>
      </c>
      <c r="AJ55" s="13" t="n">
        <f aca="false">AJ52-AJ53+AJ54</f>
        <v>3.44955229892893</v>
      </c>
      <c r="AK55" s="13" t="n">
        <f aca="false">AK52-AK53+AK54</f>
        <v>3.60151755113088</v>
      </c>
      <c r="AL55" s="13" t="n">
        <f aca="false">AL52-AL53+AL54</f>
        <v>3.88943289688991</v>
      </c>
      <c r="AM55" s="13" t="n">
        <f aca="false">AM52-AM53+AM54</f>
        <v>4.04485659899485</v>
      </c>
      <c r="AN55" s="13" t="n">
        <f aca="false">AN52-AN53+AN54</f>
        <v>3.30473449447725</v>
      </c>
      <c r="AO55" s="13" t="n">
        <f aca="false">AO52-AO53+AO54</f>
        <v>3.20885778999715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1787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1795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1789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1790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61.8043023098377</v>
      </c>
      <c r="Q59" s="13" t="n">
        <f aca="false">Q49-Q55-Q56-Q57</f>
        <v>60.526097946944</v>
      </c>
      <c r="R59" s="13" t="n">
        <f aca="false">R49-R55-R56-R57</f>
        <v>59.1399989180806</v>
      </c>
      <c r="S59" s="13" t="n">
        <f aca="false">S49-S55-S56-S57</f>
        <v>57.6878769441902</v>
      </c>
      <c r="T59" s="13" t="n">
        <f aca="false">T49-T55-T56-T57</f>
        <v>56.1265026855077</v>
      </c>
      <c r="U59" s="13" t="n">
        <f aca="false">U49-U55-U56-U57</f>
        <v>54.4866704385735</v>
      </c>
      <c r="V59" s="13" t="n">
        <f aca="false">V49-V55-V56-V57</f>
        <v>52.6759196617366</v>
      </c>
      <c r="W59" s="13" t="n">
        <f aca="false">W49-W55-W56-W57</f>
        <v>50.7810082535324</v>
      </c>
      <c r="X59" s="13" t="n">
        <f aca="false">X49-X55-X56-X57</f>
        <v>48.9719434716707</v>
      </c>
      <c r="Y59" s="13" t="n">
        <f aca="false">Y49-Y55-Y56-Y57</f>
        <v>47.1681740979349</v>
      </c>
      <c r="Z59" s="13" t="n">
        <f aca="false">Z49-Z55-Z56-Z57</f>
        <v>45.2506654923404</v>
      </c>
      <c r="AA59" s="13" t="n">
        <f aca="false">AA49-AA55-AA56-AA57</f>
        <v>43.2493543228937</v>
      </c>
      <c r="AB59" s="13" t="n">
        <f aca="false">AB49-AB55-AB56-AB57</f>
        <v>41.1055149989536</v>
      </c>
      <c r="AC59" s="13" t="n">
        <f aca="false">AC49-AC55-AC56-AC57</f>
        <v>38.8574439790552</v>
      </c>
      <c r="AD59" s="13" t="n">
        <f aca="false">AD49-AD55-AD56-AD57</f>
        <v>36.3062479660878</v>
      </c>
      <c r="AE59" s="13" t="n">
        <f aca="false">AE49-AE55-AE56-AE57</f>
        <v>33.5988127890375</v>
      </c>
      <c r="AF59" s="13" t="n">
        <f aca="false">AF49-AF55-AF56-AF57</f>
        <v>30.7591735740198</v>
      </c>
      <c r="AG59" s="13" t="n">
        <f aca="false">AG49-AG55-AG56-AG57</f>
        <v>27.8487267397642</v>
      </c>
      <c r="AH59" s="13" t="n">
        <f aca="false">AH49-AH55-AH56-AH57</f>
        <v>24.7371465606429</v>
      </c>
      <c r="AI59" s="13" t="n">
        <f aca="false">AI49-AI55-AI56-AI57</f>
        <v>21.498951630419</v>
      </c>
      <c r="AJ59" s="13" t="n">
        <f aca="false">AJ49-AJ55-AJ56-AJ57</f>
        <v>18.04939933149</v>
      </c>
      <c r="AK59" s="13" t="n">
        <f aca="false">AK49-AK55-AK56-AK57</f>
        <v>14.4478817803592</v>
      </c>
      <c r="AL59" s="13" t="n">
        <f aca="false">AL49-AL55-AL56-AL57</f>
        <v>10.5584488834692</v>
      </c>
      <c r="AM59" s="13" t="n">
        <f aca="false">AM49-AM55-AM56-AM57</f>
        <v>6.5135922844744</v>
      </c>
      <c r="AN59" s="13" t="n">
        <f aca="false">AN49-AN55-AN56-AN57</f>
        <v>3.20885778999715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1791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1792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62.9949674778433</v>
      </c>
      <c r="P61" s="13" t="n">
        <f aca="false">IF(Time!P34=1,INDEX(Funding!$J$63:$BJ$63,1,Time!$F$14),Time!P35*(P59-P60))</f>
        <v>61.8043023098377</v>
      </c>
      <c r="Q61" s="13" t="n">
        <f aca="false">IF(Time!Q34=1,INDEX(Funding!$J$63:$BJ$63,1,Time!$F$14),Time!Q35*(Q59-Q60))</f>
        <v>60.526097946944</v>
      </c>
      <c r="R61" s="13" t="n">
        <f aca="false">IF(Time!R34=1,INDEX(Funding!$J$63:$BJ$63,1,Time!$F$14),Time!R35*(R59-R60))</f>
        <v>59.1399989180806</v>
      </c>
      <c r="S61" s="13" t="n">
        <f aca="false">IF(Time!S34=1,INDEX(Funding!$J$63:$BJ$63,1,Time!$F$14),Time!S35*(S59-S60))</f>
        <v>57.6878769441902</v>
      </c>
      <c r="T61" s="13" t="n">
        <f aca="false">IF(Time!T34=1,INDEX(Funding!$J$63:$BJ$63,1,Time!$F$14),Time!T35*(T59-T60))</f>
        <v>56.1265026855077</v>
      </c>
      <c r="U61" s="13" t="n">
        <f aca="false">IF(Time!U34=1,INDEX(Funding!$J$63:$BJ$63,1,Time!$F$14),Time!U35*(U59-U60))</f>
        <v>54.4866704385735</v>
      </c>
      <c r="V61" s="13" t="n">
        <f aca="false">IF(Time!V34=1,INDEX(Funding!$J$63:$BJ$63,1,Time!$F$14),Time!V35*(V59-V60))</f>
        <v>52.6759196617366</v>
      </c>
      <c r="W61" s="13" t="n">
        <f aca="false">IF(Time!W34=1,INDEX(Funding!$J$63:$BJ$63,1,Time!$F$14),Time!W35*(W59-W60))</f>
        <v>50.7810082535324</v>
      </c>
      <c r="X61" s="13" t="n">
        <f aca="false">IF(Time!X34=1,INDEX(Funding!$J$63:$BJ$63,1,Time!$F$14),Time!X35*(X59-X60))</f>
        <v>48.9719434716707</v>
      </c>
      <c r="Y61" s="13" t="n">
        <f aca="false">IF(Time!Y34=1,INDEX(Funding!$J$63:$BJ$63,1,Time!$F$14),Time!Y35*(Y59-Y60))</f>
        <v>47.1681740979349</v>
      </c>
      <c r="Z61" s="13" t="n">
        <f aca="false">IF(Time!Z34=1,INDEX(Funding!$J$63:$BJ$63,1,Time!$F$14),Time!Z35*(Z59-Z60))</f>
        <v>45.2506654923404</v>
      </c>
      <c r="AA61" s="13" t="n">
        <f aca="false">IF(Time!AA34=1,INDEX(Funding!$J$63:$BJ$63,1,Time!$F$14),Time!AA35*(AA59-AA60))</f>
        <v>43.2493543228937</v>
      </c>
      <c r="AB61" s="13" t="n">
        <f aca="false">IF(Time!AB34=1,INDEX(Funding!$J$63:$BJ$63,1,Time!$F$14),Time!AB35*(AB59-AB60))</f>
        <v>41.1055149989536</v>
      </c>
      <c r="AC61" s="13" t="n">
        <f aca="false">IF(Time!AC34=1,INDEX(Funding!$J$63:$BJ$63,1,Time!$F$14),Time!AC35*(AC59-AC60))</f>
        <v>38.8574439790552</v>
      </c>
      <c r="AD61" s="13" t="n">
        <f aca="false">IF(Time!AD34=1,INDEX(Funding!$J$63:$BJ$63,1,Time!$F$14),Time!AD35*(AD59-AD60))</f>
        <v>36.3062479660878</v>
      </c>
      <c r="AE61" s="13" t="n">
        <f aca="false">IF(Time!AE34=1,INDEX(Funding!$J$63:$BJ$63,1,Time!$F$14),Time!AE35*(AE59-AE60))</f>
        <v>33.5988127890375</v>
      </c>
      <c r="AF61" s="13" t="n">
        <f aca="false">IF(Time!AF34=1,INDEX(Funding!$J$63:$BJ$63,1,Time!$F$14),Time!AF35*(AF59-AF60))</f>
        <v>30.7591735740198</v>
      </c>
      <c r="AG61" s="13" t="n">
        <f aca="false">IF(Time!AG34=1,INDEX(Funding!$J$63:$BJ$63,1,Time!$F$14),Time!AG35*(AG59-AG60))</f>
        <v>27.8487267397642</v>
      </c>
      <c r="AH61" s="13" t="n">
        <f aca="false">IF(Time!AH34=1,INDEX(Funding!$J$63:$BJ$63,1,Time!$F$14),Time!AH35*(AH59-AH60))</f>
        <v>24.7371465606429</v>
      </c>
      <c r="AI61" s="13" t="n">
        <f aca="false">IF(Time!AI34=1,INDEX(Funding!$J$63:$BJ$63,1,Time!$F$14),Time!AI35*(AI59-AI60))</f>
        <v>21.498951630419</v>
      </c>
      <c r="AJ61" s="13" t="n">
        <f aca="false">IF(Time!AJ34=1,INDEX(Funding!$J$63:$BJ$63,1,Time!$F$14),Time!AJ35*(AJ59-AJ60))</f>
        <v>18.04939933149</v>
      </c>
      <c r="AK61" s="13" t="n">
        <f aca="false">IF(Time!AK34=1,INDEX(Funding!$J$63:$BJ$63,1,Time!$F$14),Time!AK35*(AK59-AK60))</f>
        <v>14.4478817803592</v>
      </c>
      <c r="AL61" s="13" t="n">
        <f aca="false">IF(Time!AL34=1,INDEX(Funding!$J$63:$BJ$63,1,Time!$F$14),Time!AL35*(AL59-AL60))</f>
        <v>10.5584488834692</v>
      </c>
      <c r="AM61" s="13" t="n">
        <f aca="false">IF(Time!AM34=1,INDEX(Funding!$J$63:$BJ$63,1,Time!$F$14),Time!AM35*(AM59-AM60))</f>
        <v>6.5135922844744</v>
      </c>
      <c r="AN61" s="13" t="n">
        <f aca="false">IF(Time!AN34=1,INDEX(Funding!$J$63:$BJ$63,1,Time!$F$14),Time!AN35*(AN59-AN60))</f>
        <v>3.20885778999715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1796</v>
      </c>
    </row>
    <row r="63" customFormat="false" ht="15" hidden="false" customHeight="false" outlineLevel="0" collapsed="false">
      <c r="D63" s="0" t="s">
        <v>1780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239.380876415805</v>
      </c>
      <c r="Q63" s="13" t="n">
        <f aca="false">Time!Q35*P75</f>
        <v>234.856348777383</v>
      </c>
      <c r="R63" s="13" t="n">
        <f aca="false">Time!R35*Q75</f>
        <v>229.999172198387</v>
      </c>
      <c r="S63" s="13" t="n">
        <f aca="false">Time!S35*R75</f>
        <v>224.731995888706</v>
      </c>
      <c r="T63" s="13" t="n">
        <f aca="false">Time!T35*S75</f>
        <v>219.213932387923</v>
      </c>
      <c r="U63" s="13" t="n">
        <f aca="false">Time!U35*T75</f>
        <v>213.280710204929</v>
      </c>
      <c r="V63" s="13" t="n">
        <f aca="false">Time!V35*U75</f>
        <v>207.049347666579</v>
      </c>
      <c r="W63" s="13" t="n">
        <f aca="false">Time!W35*V75</f>
        <v>200.168494714599</v>
      </c>
      <c r="X63" s="13" t="n">
        <f aca="false">Time!X35*W75</f>
        <v>192.967831363423</v>
      </c>
      <c r="Y63" s="13" t="n">
        <f aca="false">Time!Y35*X75</f>
        <v>186.093385192349</v>
      </c>
      <c r="Z63" s="13" t="n">
        <f aca="false">Time!Z35*Y75</f>
        <v>179.239061572153</v>
      </c>
      <c r="AA63" s="13" t="n">
        <f aca="false">Time!AA35*Z75</f>
        <v>171.952528870893</v>
      </c>
      <c r="AB63" s="13" t="n">
        <f aca="false">Time!AB35*AA75</f>
        <v>158.728219030916</v>
      </c>
      <c r="AC63" s="13" t="n">
        <f aca="false">Time!AC35*AB75</f>
        <v>144.330915822262</v>
      </c>
      <c r="AD63" s="13" t="n">
        <f aca="false">Time!AD35*AC75</f>
        <v>130.294328169737</v>
      </c>
      <c r="AE63" s="13" t="n">
        <f aca="false">Time!AE35*AD75</f>
        <v>114.312260695982</v>
      </c>
      <c r="AF63" s="13" t="n">
        <f aca="false">Time!AF35*AE75</f>
        <v>97.8126453219854</v>
      </c>
      <c r="AG63" s="13" t="n">
        <f aca="false">Time!AG35*AF75</f>
        <v>80.7580793776151</v>
      </c>
      <c r="AH63" s="13" t="n">
        <f aca="false">Time!AH35*AG75</f>
        <v>63.9716423337198</v>
      </c>
      <c r="AI63" s="13" t="n">
        <f aca="false">Time!AI35*AH75</f>
        <v>46.3887674550757</v>
      </c>
      <c r="AJ63" s="13" t="n">
        <f aca="false">Time!AJ35*AI75</f>
        <v>29.0985504526161</v>
      </c>
      <c r="AK63" s="13" t="n">
        <f aca="false">Time!AK35*AJ75</f>
        <v>11.4460077086404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1781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1782</v>
      </c>
      <c r="E65" s="0" t="s">
        <v>151</v>
      </c>
      <c r="G65" s="13" t="n">
        <f aca="false">SUM(J65:BN65)</f>
        <v>141.989407519791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9.77442358836583</v>
      </c>
      <c r="Q65" s="13" t="n">
        <f aca="false">Q63*Q13</f>
        <v>9.45956431228312</v>
      </c>
      <c r="R65" s="13" t="n">
        <f aca="false">R63*R13</f>
        <v>9.41747227794039</v>
      </c>
      <c r="S65" s="13" t="n">
        <f aca="false">S63*S13</f>
        <v>9.06432922429874</v>
      </c>
      <c r="T65" s="13" t="n">
        <f aca="false">T63*T13</f>
        <v>8.98831249687369</v>
      </c>
      <c r="U65" s="13" t="n">
        <f aca="false">U63*U13</f>
        <v>8.64998100116313</v>
      </c>
      <c r="V65" s="13" t="n">
        <f aca="false">V63*V13</f>
        <v>8.48953448728696</v>
      </c>
      <c r="W65" s="13" t="n">
        <f aca="false">W63*W13</f>
        <v>8.07358618095471</v>
      </c>
      <c r="X65" s="13" t="n">
        <f aca="false">X63*X13</f>
        <v>7.91215754968149</v>
      </c>
      <c r="Y65" s="13" t="n">
        <f aca="false">Y63*Y13</f>
        <v>8.02567929003002</v>
      </c>
      <c r="Z65" s="13" t="n">
        <f aca="false">Z63*Z13</f>
        <v>7.85819451179048</v>
      </c>
      <c r="AA65" s="13" t="n">
        <f aca="false">AA63*AA13</f>
        <v>7.41582430993447</v>
      </c>
      <c r="AB65" s="13" t="n">
        <f aca="false">AB63*AB13</f>
        <v>6.95895865953814</v>
      </c>
      <c r="AC65" s="13" t="n">
        <f aca="false">AC63*AC13</f>
        <v>6.25897252984291</v>
      </c>
      <c r="AD65" s="13" t="n">
        <f aca="false">AD63*AD13</f>
        <v>5.71236071847372</v>
      </c>
      <c r="AE65" s="13" t="n">
        <f aca="false">AE63*AE13</f>
        <v>4.92996321344782</v>
      </c>
      <c r="AF65" s="13" t="n">
        <f aca="false">AF63*AF13</f>
        <v>4.28829958107944</v>
      </c>
      <c r="AG65" s="13" t="n">
        <f aca="false">AG63*AG13</f>
        <v>3.70844091541986</v>
      </c>
      <c r="AH65" s="13" t="n">
        <f aca="false">AH63*AH13</f>
        <v>2.9862910369415</v>
      </c>
      <c r="AI65" s="13" t="n">
        <f aca="false">AI63*AI13</f>
        <v>2.13018938256206</v>
      </c>
      <c r="AJ65" s="13" t="n">
        <f aca="false">AJ63*AJ13</f>
        <v>1.35836344409175</v>
      </c>
      <c r="AK65" s="13" t="n">
        <f aca="false">AK63*AK13</f>
        <v>0.528508807791186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1783</v>
      </c>
      <c r="E66" s="0" t="s">
        <v>151</v>
      </c>
      <c r="G66" s="13" t="n">
        <f aca="false">SUM(J66:BN66)</f>
        <v>143.954946174628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4.52452763842137</v>
      </c>
      <c r="Q66" s="13" t="n">
        <f aca="false">Time!Q35*(Q63-Q64)*Q19</f>
        <v>4.85717657899589</v>
      </c>
      <c r="R66" s="13" t="n">
        <f aca="false">Time!R35*(R63-R64)*R19</f>
        <v>5.26717630968115</v>
      </c>
      <c r="S66" s="13" t="n">
        <f aca="false">Time!S35*(S63-S64)*S19</f>
        <v>5.51806350078363</v>
      </c>
      <c r="T66" s="13" t="n">
        <f aca="false">Time!T35*(T63-T64)*T19</f>
        <v>5.93322218299323</v>
      </c>
      <c r="U66" s="13" t="n">
        <f aca="false">Time!U35*(U63-U64)*U19</f>
        <v>6.23136253834998</v>
      </c>
      <c r="V66" s="13" t="n">
        <f aca="false">Time!V35*(V63-V64)*V19</f>
        <v>6.88085295198016</v>
      </c>
      <c r="W66" s="13" t="n">
        <f aca="false">Time!W35*(W63-W64)*W19</f>
        <v>7.20066335117613</v>
      </c>
      <c r="X66" s="13" t="n">
        <f aca="false">Time!X35*(X63-X64)*X19</f>
        <v>6.87444617107436</v>
      </c>
      <c r="Y66" s="13" t="n">
        <f aca="false">Time!Y35*(Y63-Y64)*Y19</f>
        <v>6.85432362019609</v>
      </c>
      <c r="Z66" s="13" t="n">
        <f aca="false">Time!Z35*(Z63-Z64)*Z19</f>
        <v>7.28653270125928</v>
      </c>
      <c r="AA66" s="13" t="n">
        <f aca="false">Time!AA35*(AA63-AA64)*AA19</f>
        <v>7.60498244389718</v>
      </c>
      <c r="AB66" s="13" t="n">
        <f aca="false">Time!AB35*(AB63-AB64)*AB19</f>
        <v>7.86804342180285</v>
      </c>
      <c r="AC66" s="13" t="n">
        <f aca="false">Time!AC35*(AC63-AC64)*AC19</f>
        <v>7.89349431928235</v>
      </c>
      <c r="AD66" s="13" t="n">
        <f aca="false">Time!AD35*(AD63-AD64)*AD19</f>
        <v>8.55450941956119</v>
      </c>
      <c r="AE66" s="13" t="n">
        <f aca="false">Time!AE35*(AE63-AE64)*AE19</f>
        <v>8.52451170568572</v>
      </c>
      <c r="AF66" s="13" t="n">
        <f aca="false">Time!AF35*(AF63-AF64)*AF19</f>
        <v>8.26673921858201</v>
      </c>
      <c r="AG66" s="13" t="n">
        <f aca="false">Time!AG35*(AG63-AG64)*AG19</f>
        <v>7.64136578310635</v>
      </c>
      <c r="AH66" s="13" t="n">
        <f aca="false">Time!AH35*(AH63-AH64)*AH19</f>
        <v>7.1476479399404</v>
      </c>
      <c r="AI66" s="13" t="n">
        <f aca="false">Time!AI35*(AI63-AI64)*AI19</f>
        <v>6.07248177246758</v>
      </c>
      <c r="AJ66" s="13" t="n">
        <f aca="false">Time!AJ35*(AJ63-AJ64)*AJ19</f>
        <v>4.66892401708078</v>
      </c>
      <c r="AK66" s="13" t="n">
        <f aca="false">Time!AK35*(AK63-AK64)*AK19</f>
        <v>2.28389858831079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1784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1785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1786</v>
      </c>
      <c r="E69" s="0" t="s">
        <v>151</v>
      </c>
      <c r="G69" s="13" t="n">
        <f aca="false">SUM(J69:BN69)</f>
        <v>143.954946174628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4.52452763842137</v>
      </c>
      <c r="Q69" s="13" t="n">
        <f aca="false">Q66-Q67+Q68</f>
        <v>4.85717657899589</v>
      </c>
      <c r="R69" s="13" t="n">
        <f aca="false">R66-R67+R68</f>
        <v>5.26717630968115</v>
      </c>
      <c r="S69" s="13" t="n">
        <f aca="false">S66-S67+S68</f>
        <v>5.51806350078363</v>
      </c>
      <c r="T69" s="13" t="n">
        <f aca="false">T66-T67+T68</f>
        <v>5.93322218299323</v>
      </c>
      <c r="U69" s="13" t="n">
        <f aca="false">U66-U67+U68</f>
        <v>6.23136253834998</v>
      </c>
      <c r="V69" s="13" t="n">
        <f aca="false">V66-V67+V68</f>
        <v>6.88085295198016</v>
      </c>
      <c r="W69" s="13" t="n">
        <f aca="false">W66-W67+W68</f>
        <v>7.20066335117613</v>
      </c>
      <c r="X69" s="13" t="n">
        <f aca="false">X66-X67+X68</f>
        <v>6.87444617107436</v>
      </c>
      <c r="Y69" s="13" t="n">
        <f aca="false">Y66-Y67+Y68</f>
        <v>6.85432362019609</v>
      </c>
      <c r="Z69" s="13" t="n">
        <f aca="false">Z66-Z67+Z68</f>
        <v>7.28653270125928</v>
      </c>
      <c r="AA69" s="13" t="n">
        <f aca="false">AA66-AA67+AA68</f>
        <v>7.60498244389718</v>
      </c>
      <c r="AB69" s="13" t="n">
        <f aca="false">AB66-AB67+AB68</f>
        <v>7.86804342180285</v>
      </c>
      <c r="AC69" s="13" t="n">
        <f aca="false">AC66-AC67+AC68</f>
        <v>7.89349431928235</v>
      </c>
      <c r="AD69" s="13" t="n">
        <f aca="false">AD66-AD67+AD68</f>
        <v>8.55450941956119</v>
      </c>
      <c r="AE69" s="13" t="n">
        <f aca="false">AE66-AE67+AE68</f>
        <v>8.52451170568572</v>
      </c>
      <c r="AF69" s="13" t="n">
        <f aca="false">AF66-AF67+AF68</f>
        <v>8.26673921858201</v>
      </c>
      <c r="AG69" s="13" t="n">
        <f aca="false">AG66-AG67+AG68</f>
        <v>7.64136578310635</v>
      </c>
      <c r="AH69" s="13" t="n">
        <f aca="false">AH66-AH67+AH68</f>
        <v>7.1476479399404</v>
      </c>
      <c r="AI69" s="13" t="n">
        <f aca="false">AI66-AI67+AI68</f>
        <v>6.07248177246758</v>
      </c>
      <c r="AJ69" s="13" t="n">
        <f aca="false">AJ66-AJ67+AJ68</f>
        <v>4.66892401708078</v>
      </c>
      <c r="AK69" s="13" t="n">
        <f aca="false">AK66-AK67+AK68</f>
        <v>2.28389858831079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1787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1795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1789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1790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234.856348777383</v>
      </c>
      <c r="Q73" s="13" t="n">
        <f aca="false">Q63-Q69-Q70-Q71</f>
        <v>229.999172198387</v>
      </c>
      <c r="R73" s="13" t="n">
        <f aca="false">R63-R69-R70-R71</f>
        <v>224.731995888706</v>
      </c>
      <c r="S73" s="13" t="n">
        <f aca="false">S63-S69-S70-S71</f>
        <v>219.213932387923</v>
      </c>
      <c r="T73" s="13" t="n">
        <f aca="false">T63-T69-T70-T71</f>
        <v>213.280710204929</v>
      </c>
      <c r="U73" s="13" t="n">
        <f aca="false">U63-U69-U70-U71</f>
        <v>207.049347666579</v>
      </c>
      <c r="V73" s="13" t="n">
        <f aca="false">V63-V69-V70-V71</f>
        <v>200.168494714599</v>
      </c>
      <c r="W73" s="13" t="n">
        <f aca="false">W63-W69-W70-W71</f>
        <v>192.967831363423</v>
      </c>
      <c r="X73" s="13" t="n">
        <f aca="false">X63-X69-X70-X71</f>
        <v>186.093385192349</v>
      </c>
      <c r="Y73" s="13" t="n">
        <f aca="false">Y63-Y69-Y70-Y71</f>
        <v>179.239061572153</v>
      </c>
      <c r="Z73" s="13" t="n">
        <f aca="false">Z63-Z69-Z70-Z71</f>
        <v>171.952528870893</v>
      </c>
      <c r="AA73" s="13" t="n">
        <f aca="false">AA63-AA69-AA70-AA71</f>
        <v>164.347546426996</v>
      </c>
      <c r="AB73" s="13" t="n">
        <f aca="false">AB63-AB69-AB70-AB71</f>
        <v>150.860175609113</v>
      </c>
      <c r="AC73" s="13" t="n">
        <f aca="false">AC63-AC69-AC70-AC71</f>
        <v>136.437421502979</v>
      </c>
      <c r="AD73" s="13" t="n">
        <f aca="false">AD63-AD69-AD70-AD71</f>
        <v>121.739818750176</v>
      </c>
      <c r="AE73" s="13" t="n">
        <f aca="false">AE63-AE69-AE70-AE71</f>
        <v>105.787748990296</v>
      </c>
      <c r="AF73" s="13" t="n">
        <f aca="false">AF63-AF69-AF70-AF71</f>
        <v>89.5459061034034</v>
      </c>
      <c r="AG73" s="13" t="n">
        <f aca="false">AG63-AG69-AG70-AG71</f>
        <v>73.1167135945088</v>
      </c>
      <c r="AH73" s="13" t="n">
        <f aca="false">AH63-AH69-AH70-AH71</f>
        <v>56.8239943937794</v>
      </c>
      <c r="AI73" s="13" t="n">
        <f aca="false">AI63-AI69-AI70-AI71</f>
        <v>40.3162856826081</v>
      </c>
      <c r="AJ73" s="13" t="n">
        <f aca="false">AJ63-AJ69-AJ70-AJ71</f>
        <v>24.4296264355353</v>
      </c>
      <c r="AK73" s="13" t="n">
        <f aca="false">AK63-AK69-AK70-AK71</f>
        <v>9.16210912032963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1791</v>
      </c>
      <c r="E74" s="0" t="s">
        <v>151</v>
      </c>
      <c r="G74" s="13" t="n">
        <f aca="false">SUM(J74:BN74)</f>
        <v>95.4259302411762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5.61932739608009</v>
      </c>
      <c r="AB74" s="13" t="n">
        <f aca="false">Waterfall!AB28*AB73/(AB31+AB45+AB59+AB73+AB87+Inputs!$F$253)+Waterfall!AB29</f>
        <v>6.52925978685174</v>
      </c>
      <c r="AC74" s="13" t="n">
        <f aca="false">Waterfall!AC28*AC73/(AC31+AC45+AC59+AC73+AC87+Inputs!$F$253)+Waterfall!AC29</f>
        <v>6.14309333324187</v>
      </c>
      <c r="AD74" s="13" t="n">
        <f aca="false">Waterfall!AD28*AD73/(AD31+AD45+AD59+AD73+AD87+Inputs!$F$253)+Waterfall!AD29</f>
        <v>7.42755805419442</v>
      </c>
      <c r="AE74" s="13" t="n">
        <f aca="false">Waterfall!AE28*AE73/(AE31+AE45+AE59+AE73+AE87+Inputs!$F$253)+Waterfall!AE29</f>
        <v>7.97510366831061</v>
      </c>
      <c r="AF74" s="13" t="n">
        <f aca="false">Waterfall!AF28*AF73/(AF31+AF45+AF59+AF73+AF87+Inputs!$F$253)+Waterfall!AF29</f>
        <v>8.78782672578827</v>
      </c>
      <c r="AG74" s="13" t="n">
        <f aca="false">Waterfall!AG28*AG73/(AG31+AG45+AG59+AG73+AG87+Inputs!$F$253)+Waterfall!AG29</f>
        <v>9.14507126078897</v>
      </c>
      <c r="AH74" s="13" t="n">
        <f aca="false">Waterfall!AH28*AH73/(AH31+AH45+AH59+AH73+AH87+Inputs!$F$253)+Waterfall!AH29</f>
        <v>10.4352269387038</v>
      </c>
      <c r="AI74" s="13" t="n">
        <f aca="false">Waterfall!AI28*AI73/(AI31+AI45+AI59+AI73+AI87+Inputs!$F$253)+Waterfall!AI29</f>
        <v>11.217735229992</v>
      </c>
      <c r="AJ74" s="13" t="n">
        <f aca="false">Waterfall!AJ28*AJ73/(AJ31+AJ45+AJ59+AJ73+AJ87+Inputs!$F$253)+Waterfall!AJ29</f>
        <v>12.9836187268949</v>
      </c>
      <c r="AK74" s="13" t="n">
        <f aca="false">Waterfall!AK28*AK73/(AK31+AK45+AK59+AK73+AK87+Inputs!$F$253)+Waterfall!AK29</f>
        <v>9.16210912032963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1792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239.380876415805</v>
      </c>
      <c r="P75" s="13" t="n">
        <f aca="false">IF(Time!P34=1,INDEX(Funding!$J$64:$BJ$64,1,Time!$F$14),Time!P35*(P73-P74))</f>
        <v>234.856348777383</v>
      </c>
      <c r="Q75" s="13" t="n">
        <f aca="false">IF(Time!Q34=1,INDEX(Funding!$J$64:$BJ$64,1,Time!$F$14),Time!Q35*(Q73-Q74))</f>
        <v>229.999172198387</v>
      </c>
      <c r="R75" s="13" t="n">
        <f aca="false">IF(Time!R34=1,INDEX(Funding!$J$64:$BJ$64,1,Time!$F$14),Time!R35*(R73-R74))</f>
        <v>224.731995888706</v>
      </c>
      <c r="S75" s="13" t="n">
        <f aca="false">IF(Time!S34=1,INDEX(Funding!$J$64:$BJ$64,1,Time!$F$14),Time!S35*(S73-S74))</f>
        <v>219.213932387923</v>
      </c>
      <c r="T75" s="13" t="n">
        <f aca="false">IF(Time!T34=1,INDEX(Funding!$J$64:$BJ$64,1,Time!$F$14),Time!T35*(T73-T74))</f>
        <v>213.280710204929</v>
      </c>
      <c r="U75" s="13" t="n">
        <f aca="false">IF(Time!U34=1,INDEX(Funding!$J$64:$BJ$64,1,Time!$F$14),Time!U35*(U73-U74))</f>
        <v>207.049347666579</v>
      </c>
      <c r="V75" s="13" t="n">
        <f aca="false">IF(Time!V34=1,INDEX(Funding!$J$64:$BJ$64,1,Time!$F$14),Time!V35*(V73-V74))</f>
        <v>200.168494714599</v>
      </c>
      <c r="W75" s="13" t="n">
        <f aca="false">IF(Time!W34=1,INDEX(Funding!$J$64:$BJ$64,1,Time!$F$14),Time!W35*(W73-W74))</f>
        <v>192.967831363423</v>
      </c>
      <c r="X75" s="13" t="n">
        <f aca="false">IF(Time!X34=1,INDEX(Funding!$J$64:$BJ$64,1,Time!$F$14),Time!X35*(X73-X74))</f>
        <v>186.093385192349</v>
      </c>
      <c r="Y75" s="13" t="n">
        <f aca="false">IF(Time!Y34=1,INDEX(Funding!$J$64:$BJ$64,1,Time!$F$14),Time!Y35*(Y73-Y74))</f>
        <v>179.239061572153</v>
      </c>
      <c r="Z75" s="13" t="n">
        <f aca="false">IF(Time!Z34=1,INDEX(Funding!$J$64:$BJ$64,1,Time!$F$14),Time!Z35*(Z73-Z74))</f>
        <v>171.952528870893</v>
      </c>
      <c r="AA75" s="13" t="n">
        <f aca="false">IF(Time!AA34=1,INDEX(Funding!$J$64:$BJ$64,1,Time!$F$14),Time!AA35*(AA73-AA74))</f>
        <v>158.728219030916</v>
      </c>
      <c r="AB75" s="13" t="n">
        <f aca="false">IF(Time!AB34=1,INDEX(Funding!$J$64:$BJ$64,1,Time!$F$14),Time!AB35*(AB73-AB74))</f>
        <v>144.330915822262</v>
      </c>
      <c r="AC75" s="13" t="n">
        <f aca="false">IF(Time!AC34=1,INDEX(Funding!$J$64:$BJ$64,1,Time!$F$14),Time!AC35*(AC73-AC74))</f>
        <v>130.294328169737</v>
      </c>
      <c r="AD75" s="13" t="n">
        <f aca="false">IF(Time!AD34=1,INDEX(Funding!$J$64:$BJ$64,1,Time!$F$14),Time!AD35*(AD73-AD74))</f>
        <v>114.312260695982</v>
      </c>
      <c r="AE75" s="13" t="n">
        <f aca="false">IF(Time!AE34=1,INDEX(Funding!$J$64:$BJ$64,1,Time!$F$14),Time!AE35*(AE73-AE74))</f>
        <v>97.8126453219854</v>
      </c>
      <c r="AF75" s="13" t="n">
        <f aca="false">IF(Time!AF34=1,INDEX(Funding!$J$64:$BJ$64,1,Time!$F$14),Time!AF35*(AF73-AF74))</f>
        <v>80.7580793776151</v>
      </c>
      <c r="AG75" s="13" t="n">
        <f aca="false">IF(Time!AG34=1,INDEX(Funding!$J$64:$BJ$64,1,Time!$F$14),Time!AG35*(AG73-AG74))</f>
        <v>63.9716423337198</v>
      </c>
      <c r="AH75" s="13" t="n">
        <f aca="false">IF(Time!AH34=1,INDEX(Funding!$J$64:$BJ$64,1,Time!$F$14),Time!AH35*(AH73-AH74))</f>
        <v>46.3887674550757</v>
      </c>
      <c r="AI75" s="13" t="n">
        <f aca="false">IF(Time!AI34=1,INDEX(Funding!$J$64:$BJ$64,1,Time!$F$14),Time!AI35*(AI73-AI74))</f>
        <v>29.0985504526161</v>
      </c>
      <c r="AJ75" s="13" t="n">
        <f aca="false">IF(Time!AJ34=1,INDEX(Funding!$J$64:$BJ$64,1,Time!$F$14),Time!AJ35*(AJ73-AJ74))</f>
        <v>11.4460077086404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1780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1.63349334059149E-011</v>
      </c>
      <c r="Q77" s="13" t="n">
        <f aca="false">Time!Q35*P89</f>
        <v>1.60261875329218E-011</v>
      </c>
      <c r="R77" s="13" t="n">
        <f aca="false">Time!R35*Q89</f>
        <v>1.56947422765311E-011</v>
      </c>
      <c r="S77" s="13" t="n">
        <f aca="false">Time!S35*R89</f>
        <v>1.53353193537643E-011</v>
      </c>
      <c r="T77" s="13" t="n">
        <f aca="false">Time!T35*S89</f>
        <v>1.49587763267501E-011</v>
      </c>
      <c r="U77" s="13" t="n">
        <f aca="false">Time!U35*T89</f>
        <v>1.45539035955076E-011</v>
      </c>
      <c r="V77" s="13" t="n">
        <f aca="false">Time!V35*U89</f>
        <v>1.41286862865224E-011</v>
      </c>
      <c r="W77" s="13" t="n">
        <f aca="false">Time!W35*V89</f>
        <v>1.36591488847491E-011</v>
      </c>
      <c r="X77" s="13" t="n">
        <f aca="false">Time!X35*W89</f>
        <v>1.31677881792449E-011</v>
      </c>
      <c r="Y77" s="13" t="n">
        <f aca="false">Time!Y35*X89</f>
        <v>1.2698687965024E-011</v>
      </c>
      <c r="Z77" s="13" t="n">
        <f aca="false">Time!Z35*Y89</f>
        <v>1.22309608785712E-011</v>
      </c>
      <c r="AA77" s="13" t="n">
        <f aca="false">Time!AA35*Z89</f>
        <v>1.17337405984167E-011</v>
      </c>
      <c r="AB77" s="13" t="n">
        <f aca="false">Time!AB35*AA89</f>
        <v>1.12147898633612E-011</v>
      </c>
      <c r="AC77" s="13" t="n">
        <f aca="false">Time!AC35*AB89</f>
        <v>1.06588808123428E-011</v>
      </c>
      <c r="AD77" s="13" t="n">
        <f aca="false">Time!AD35*AC89</f>
        <v>1.00759439227456E-011</v>
      </c>
      <c r="AE77" s="13" t="n">
        <f aca="false">Time!AE35*AD89</f>
        <v>9.41440509439533E-012</v>
      </c>
      <c r="AF77" s="13" t="n">
        <f aca="false">Time!AF35*AE89</f>
        <v>8.71235261165529E-012</v>
      </c>
      <c r="AG77" s="13" t="n">
        <f aca="false">Time!AG35*AF89</f>
        <v>7.97601891181723E-012</v>
      </c>
      <c r="AH77" s="13" t="n">
        <f aca="false">Time!AH35*AG89</f>
        <v>7.22132441601099E-012</v>
      </c>
      <c r="AI77" s="13" t="n">
        <f aca="false">Time!AI35*AH89</f>
        <v>6.41447496361643E-012</v>
      </c>
      <c r="AJ77" s="13" t="n">
        <f aca="false">Time!AJ35*AI89</f>
        <v>5.57479362622732E-012</v>
      </c>
      <c r="AK77" s="13" t="n">
        <f aca="false">Time!AK35*AJ89</f>
        <v>4.68030618795627E-012</v>
      </c>
      <c r="AL77" s="13" t="n">
        <f aca="false">Time!AL35*AK89</f>
        <v>3.74641334360091E-012</v>
      </c>
      <c r="AM77" s="13" t="n">
        <f aca="false">Time!AM35*AL89</f>
        <v>2.73786250372918E-012</v>
      </c>
      <c r="AN77" s="13" t="n">
        <f aca="false">Time!AN35*AM89</f>
        <v>1.68900946313835E-012</v>
      </c>
      <c r="AO77" s="13" t="n">
        <f aca="false">Time!AO35*AN89</f>
        <v>8.32074059361814E-013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1781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1782</v>
      </c>
      <c r="E79" s="0" t="s">
        <v>151</v>
      </c>
      <c r="G79" s="13" t="n">
        <f aca="false">SUM(J79:BN79)</f>
        <v>1.06125379782798E-011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6.47545800092075E-013</v>
      </c>
      <c r="Q79" s="13" t="n">
        <f aca="false">Q77*Q14</f>
        <v>6.26667262599832E-013</v>
      </c>
      <c r="R79" s="13" t="n">
        <f aca="false">R77*R14</f>
        <v>6.23878793800634E-013</v>
      </c>
      <c r="S79" s="13" t="n">
        <f aca="false">S77*S14</f>
        <v>6.00474876389113E-013</v>
      </c>
      <c r="T79" s="13" t="n">
        <f aca="false">T77*T14</f>
        <v>5.95439077945064E-013</v>
      </c>
      <c r="U79" s="13" t="n">
        <f aca="false">U77*U14</f>
        <v>5.73025994964723E-013</v>
      </c>
      <c r="V79" s="13" t="n">
        <f aca="false">V77*V14</f>
        <v>5.62397067197119E-013</v>
      </c>
      <c r="W79" s="13" t="n">
        <f aca="false">W77*W14</f>
        <v>5.34842186780864E-013</v>
      </c>
      <c r="X79" s="13" t="n">
        <f aca="false">X77*X14</f>
        <v>5.24148197737571E-013</v>
      </c>
      <c r="Y79" s="13" t="n">
        <f aca="false">Y77*Y14</f>
        <v>5.18516119240296E-013</v>
      </c>
      <c r="Z79" s="13" t="n">
        <f aca="false">Z77*Z14</f>
        <v>5.07695408107162E-013</v>
      </c>
      <c r="AA79" s="13" t="n">
        <f aca="false">AA77*AA14</f>
        <v>4.79115138195446E-013</v>
      </c>
      <c r="AB79" s="13" t="n">
        <f aca="false">AB77*AB14</f>
        <v>4.65515127800847E-013</v>
      </c>
      <c r="AC79" s="13" t="n">
        <f aca="false">AC77*AC14</f>
        <v>4.37630749299716E-013</v>
      </c>
      <c r="AD79" s="13" t="n">
        <f aca="false">AD77*AD14</f>
        <v>4.18242729472357E-013</v>
      </c>
      <c r="AE79" s="13" t="n">
        <f aca="false">AE77*AE14</f>
        <v>3.84411429586041E-013</v>
      </c>
      <c r="AF79" s="13" t="n">
        <f aca="false">AF77*AF14</f>
        <v>3.61641367236926E-013</v>
      </c>
      <c r="AG79" s="13" t="n">
        <f aca="false">AG77*AG14</f>
        <v>3.39046088944066E-013</v>
      </c>
      <c r="AH79" s="13" t="n">
        <f aca="false">AH77*AH14</f>
        <v>3.12053219793864E-013</v>
      </c>
      <c r="AI79" s="13" t="n">
        <f aca="false">AI77*AI14</f>
        <v>2.72667689619141E-013</v>
      </c>
      <c r="AJ79" s="13" t="n">
        <f aca="false">AJ77*AJ14</f>
        <v>2.40902111653295E-013</v>
      </c>
      <c r="AK79" s="13" t="n">
        <f aca="false">AK77*AK14</f>
        <v>2.00050500736488E-013</v>
      </c>
      <c r="AL79" s="13" t="n">
        <f aca="false">AL77*AL14</f>
        <v>1.61892788524678E-013</v>
      </c>
      <c r="AM79" s="13" t="n">
        <f aca="false">AM77*AM14</f>
        <v>1.16381566320095E-013</v>
      </c>
      <c r="AN79" s="13" t="n">
        <f aca="false">AN77*AN14</f>
        <v>7.29867280392552E-014</v>
      </c>
      <c r="AO79" s="13" t="n">
        <f aca="false">AO77*AO14</f>
        <v>3.53699582031407E-014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1783</v>
      </c>
      <c r="E80" s="0" t="s">
        <v>151</v>
      </c>
      <c r="G80" s="13" t="n">
        <f aca="false">SUM(J80:BN80)</f>
        <v>1.63349334059149E-011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3.0874587299303E-013</v>
      </c>
      <c r="Q80" s="13" t="n">
        <f aca="false">Time!Q35*(Q77-Q78)*Q19</f>
        <v>3.31445256390701E-013</v>
      </c>
      <c r="R80" s="13" t="n">
        <f aca="false">Time!R35*(R77-R78)*R19</f>
        <v>3.5942292276683E-013</v>
      </c>
      <c r="S80" s="13" t="n">
        <f aca="false">Time!S35*(S77-S78)*S19</f>
        <v>3.76543027014161E-013</v>
      </c>
      <c r="T80" s="13" t="n">
        <f aca="false">Time!T35*(T77-T78)*T19</f>
        <v>4.04872731242504E-013</v>
      </c>
      <c r="U80" s="13" t="n">
        <f aca="false">Time!U35*(U77-U78)*U19</f>
        <v>4.25217308985251E-013</v>
      </c>
      <c r="V80" s="13" t="n">
        <f aca="false">Time!V35*(V77-V78)*V19</f>
        <v>4.69537401773284E-013</v>
      </c>
      <c r="W80" s="13" t="n">
        <f aca="false">Time!W35*(W77-W78)*W19</f>
        <v>4.91360705504159E-013</v>
      </c>
      <c r="X80" s="13" t="n">
        <f aca="false">Time!X35*(X77-X78)*X19</f>
        <v>4.69100214220922E-013</v>
      </c>
      <c r="Y80" s="13" t="n">
        <f aca="false">Time!Y35*(Y77-Y78)*Y19</f>
        <v>4.67727086452843E-013</v>
      </c>
      <c r="Z80" s="13" t="n">
        <f aca="false">Time!Z35*(Z77-Z78)*Z19</f>
        <v>4.97220280154479E-013</v>
      </c>
      <c r="AA80" s="13" t="n">
        <f aca="false">Time!AA35*(AA77-AA78)*AA19</f>
        <v>5.18950735055502E-013</v>
      </c>
      <c r="AB80" s="13" t="n">
        <f aca="false">Time!AB35*(AB77-AB78)*AB19</f>
        <v>5.55909051018418E-013</v>
      </c>
      <c r="AC80" s="13" t="n">
        <f aca="false">Time!AC35*(AC77-AC78)*AC19</f>
        <v>5.82936889597136E-013</v>
      </c>
      <c r="AD80" s="13" t="n">
        <f aca="false">Time!AD35*(AD77-AD78)*AD19</f>
        <v>6.61538828350302E-013</v>
      </c>
      <c r="AE80" s="13" t="n">
        <f aca="false">Time!AE35*(AE77-AE78)*AE19</f>
        <v>7.02052482740036E-013</v>
      </c>
      <c r="AF80" s="13" t="n">
        <f aca="false">Time!AF35*(AF77-AF78)*AF19</f>
        <v>7.36333699838068E-013</v>
      </c>
      <c r="AG80" s="13" t="n">
        <f aca="false">Time!AG35*(AG77-AG78)*AG19</f>
        <v>7.54694495806236E-013</v>
      </c>
      <c r="AH80" s="13" t="n">
        <f aca="false">Time!AH35*(AH77-AH78)*AH19</f>
        <v>8.06849452394556E-013</v>
      </c>
      <c r="AI80" s="13" t="n">
        <f aca="false">Time!AI35*(AI77-AI78)*AI19</f>
        <v>8.39681337389112E-013</v>
      </c>
      <c r="AJ80" s="13" t="n">
        <f aca="false">Time!AJ35*(AJ77-AJ78)*AJ19</f>
        <v>8.94487438271056E-013</v>
      </c>
      <c r="AK80" s="13" t="n">
        <f aca="false">Time!AK35*(AK77-AK78)*AK19</f>
        <v>9.3389284435536E-013</v>
      </c>
      <c r="AL80" s="13" t="n">
        <f aca="false">Time!AL35*(AL77-AL78)*AL19</f>
        <v>1.00855083987173E-012</v>
      </c>
      <c r="AM80" s="13" t="n">
        <f aca="false">Time!AM35*(AM77-AM78)*AM19</f>
        <v>1.04885304059083E-012</v>
      </c>
      <c r="AN80" s="13" t="n">
        <f aca="false">Time!AN35*(AN77-AN78)*AN19</f>
        <v>8.56935403776537E-013</v>
      </c>
      <c r="AO80" s="13" t="n">
        <f aca="false">Time!AO35*(AO77-AO78)*AO19</f>
        <v>8.32074059361814E-013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1784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1785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1786</v>
      </c>
      <c r="E83" s="0" t="s">
        <v>151</v>
      </c>
      <c r="G83" s="13" t="n">
        <f aca="false">SUM(J83:BN83)</f>
        <v>1.63349334059149E-011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3.0874587299303E-013</v>
      </c>
      <c r="Q83" s="13" t="n">
        <f aca="false">Q80-Q81+Q82</f>
        <v>3.31445256390701E-013</v>
      </c>
      <c r="R83" s="13" t="n">
        <f aca="false">R80-R81+R82</f>
        <v>3.5942292276683E-013</v>
      </c>
      <c r="S83" s="13" t="n">
        <f aca="false">S80-S81+S82</f>
        <v>3.76543027014161E-013</v>
      </c>
      <c r="T83" s="13" t="n">
        <f aca="false">T80-T81+T82</f>
        <v>4.04872731242504E-013</v>
      </c>
      <c r="U83" s="13" t="n">
        <f aca="false">U80-U81+U82</f>
        <v>4.25217308985251E-013</v>
      </c>
      <c r="V83" s="13" t="n">
        <f aca="false">V80-V81+V82</f>
        <v>4.69537401773284E-013</v>
      </c>
      <c r="W83" s="13" t="n">
        <f aca="false">W80-W81+W82</f>
        <v>4.91360705504159E-013</v>
      </c>
      <c r="X83" s="13" t="n">
        <f aca="false">X80-X81+X82</f>
        <v>4.69100214220922E-013</v>
      </c>
      <c r="Y83" s="13" t="n">
        <f aca="false">Y80-Y81+Y82</f>
        <v>4.67727086452843E-013</v>
      </c>
      <c r="Z83" s="13" t="n">
        <f aca="false">Z80-Z81+Z82</f>
        <v>4.97220280154479E-013</v>
      </c>
      <c r="AA83" s="13" t="n">
        <f aca="false">AA80-AA81+AA82</f>
        <v>5.18950735055502E-013</v>
      </c>
      <c r="AB83" s="13" t="n">
        <f aca="false">AB80-AB81+AB82</f>
        <v>5.55909051018418E-013</v>
      </c>
      <c r="AC83" s="13" t="n">
        <f aca="false">AC80-AC81+AC82</f>
        <v>5.82936889597136E-013</v>
      </c>
      <c r="AD83" s="13" t="n">
        <f aca="false">AD80-AD81+AD82</f>
        <v>6.61538828350302E-013</v>
      </c>
      <c r="AE83" s="13" t="n">
        <f aca="false">AE80-AE81+AE82</f>
        <v>7.02052482740036E-013</v>
      </c>
      <c r="AF83" s="13" t="n">
        <f aca="false">AF80-AF81+AF82</f>
        <v>7.36333699838068E-013</v>
      </c>
      <c r="AG83" s="13" t="n">
        <f aca="false">AG80-AG81+AG82</f>
        <v>7.54694495806236E-013</v>
      </c>
      <c r="AH83" s="13" t="n">
        <f aca="false">AH80-AH81+AH82</f>
        <v>8.06849452394556E-013</v>
      </c>
      <c r="AI83" s="13" t="n">
        <f aca="false">AI80-AI81+AI82</f>
        <v>8.39681337389112E-013</v>
      </c>
      <c r="AJ83" s="13" t="n">
        <f aca="false">AJ80-AJ81+AJ82</f>
        <v>8.94487438271056E-013</v>
      </c>
      <c r="AK83" s="13" t="n">
        <f aca="false">AK80-AK81+AK82</f>
        <v>9.3389284435536E-013</v>
      </c>
      <c r="AL83" s="13" t="n">
        <f aca="false">AL80-AL81+AL82</f>
        <v>1.00855083987173E-012</v>
      </c>
      <c r="AM83" s="13" t="n">
        <f aca="false">AM80-AM81+AM82</f>
        <v>1.04885304059083E-012</v>
      </c>
      <c r="AN83" s="13" t="n">
        <f aca="false">AN80-AN81+AN82</f>
        <v>8.56935403776537E-013</v>
      </c>
      <c r="AO83" s="13" t="n">
        <f aca="false">AO80-AO81+AO82</f>
        <v>8.32074059361814E-013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1787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1795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1789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1790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1.60261875329218E-011</v>
      </c>
      <c r="Q87" s="13" t="n">
        <f aca="false">Q77-Q83-Q84-Q85</f>
        <v>1.56947422765311E-011</v>
      </c>
      <c r="R87" s="13" t="n">
        <f aca="false">R77-R83-R84-R85</f>
        <v>1.53353193537643E-011</v>
      </c>
      <c r="S87" s="13" t="n">
        <f aca="false">S77-S83-S84-S85</f>
        <v>1.49587763267501E-011</v>
      </c>
      <c r="T87" s="13" t="n">
        <f aca="false">T77-T83-T84-T85</f>
        <v>1.45539035955076E-011</v>
      </c>
      <c r="U87" s="13" t="n">
        <f aca="false">U77-U83-U84-U85</f>
        <v>1.41286862865224E-011</v>
      </c>
      <c r="V87" s="13" t="n">
        <f aca="false">V77-V83-V84-V85</f>
        <v>1.36591488847491E-011</v>
      </c>
      <c r="W87" s="13" t="n">
        <f aca="false">W77-W83-W84-W85</f>
        <v>1.31677881792449E-011</v>
      </c>
      <c r="X87" s="13" t="n">
        <f aca="false">X77-X83-X84-X85</f>
        <v>1.2698687965024E-011</v>
      </c>
      <c r="Y87" s="13" t="n">
        <f aca="false">Y77-Y83-Y84-Y85</f>
        <v>1.22309608785712E-011</v>
      </c>
      <c r="Z87" s="13" t="n">
        <f aca="false">Z77-Z83-Z84-Z85</f>
        <v>1.17337405984167E-011</v>
      </c>
      <c r="AA87" s="13" t="n">
        <f aca="false">AA77-AA83-AA84-AA85</f>
        <v>1.12147898633612E-011</v>
      </c>
      <c r="AB87" s="13" t="n">
        <f aca="false">AB77-AB83-AB84-AB85</f>
        <v>1.06588808123428E-011</v>
      </c>
      <c r="AC87" s="13" t="n">
        <f aca="false">AC77-AC83-AC84-AC85</f>
        <v>1.00759439227456E-011</v>
      </c>
      <c r="AD87" s="13" t="n">
        <f aca="false">AD77-AD83-AD84-AD85</f>
        <v>9.41440509439533E-012</v>
      </c>
      <c r="AE87" s="13" t="n">
        <f aca="false">AE77-AE83-AE84-AE85</f>
        <v>8.71235261165529E-012</v>
      </c>
      <c r="AF87" s="13" t="n">
        <f aca="false">AF77-AF83-AF84-AF85</f>
        <v>7.97601891181723E-012</v>
      </c>
      <c r="AG87" s="13" t="n">
        <f aca="false">AG77-AG83-AG84-AG85</f>
        <v>7.22132441601099E-012</v>
      </c>
      <c r="AH87" s="13" t="n">
        <f aca="false">AH77-AH83-AH84-AH85</f>
        <v>6.41447496361643E-012</v>
      </c>
      <c r="AI87" s="13" t="n">
        <f aca="false">AI77-AI83-AI84-AI85</f>
        <v>5.57479362622732E-012</v>
      </c>
      <c r="AJ87" s="13" t="n">
        <f aca="false">AJ77-AJ83-AJ84-AJ85</f>
        <v>4.68030618795627E-012</v>
      </c>
      <c r="AK87" s="13" t="n">
        <f aca="false">AK77-AK83-AK84-AK85</f>
        <v>3.74641334360091E-012</v>
      </c>
      <c r="AL87" s="13" t="n">
        <f aca="false">AL77-AL83-AL84-AL85</f>
        <v>2.73786250372918E-012</v>
      </c>
      <c r="AM87" s="13" t="n">
        <f aca="false">AM77-AM83-AM84-AM85</f>
        <v>1.68900946313835E-012</v>
      </c>
      <c r="AN87" s="13" t="n">
        <f aca="false">AN77-AN83-AN84-AN85</f>
        <v>8.32074059361814E-013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1791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1792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1.63349334059149E-011</v>
      </c>
      <c r="P89" s="13" t="n">
        <f aca="false">IF(Time!P34=1,INDEX(Funding!$J$65:$BJ$65,1,Time!$F$14),Time!P35*(P87-P88))</f>
        <v>1.60261875329218E-011</v>
      </c>
      <c r="Q89" s="13" t="n">
        <f aca="false">IF(Time!Q34=1,INDEX(Funding!$J$65:$BJ$65,1,Time!$F$14),Time!Q35*(Q87-Q88))</f>
        <v>1.56947422765311E-011</v>
      </c>
      <c r="R89" s="13" t="n">
        <f aca="false">IF(Time!R34=1,INDEX(Funding!$J$65:$BJ$65,1,Time!$F$14),Time!R35*(R87-R88))</f>
        <v>1.53353193537643E-011</v>
      </c>
      <c r="S89" s="13" t="n">
        <f aca="false">IF(Time!S34=1,INDEX(Funding!$J$65:$BJ$65,1,Time!$F$14),Time!S35*(S87-S88))</f>
        <v>1.49587763267501E-011</v>
      </c>
      <c r="T89" s="13" t="n">
        <f aca="false">IF(Time!T34=1,INDEX(Funding!$J$65:$BJ$65,1,Time!$F$14),Time!T35*(T87-T88))</f>
        <v>1.45539035955076E-011</v>
      </c>
      <c r="U89" s="13" t="n">
        <f aca="false">IF(Time!U34=1,INDEX(Funding!$J$65:$BJ$65,1,Time!$F$14),Time!U35*(U87-U88))</f>
        <v>1.41286862865224E-011</v>
      </c>
      <c r="V89" s="13" t="n">
        <f aca="false">IF(Time!V34=1,INDEX(Funding!$J$65:$BJ$65,1,Time!$F$14),Time!V35*(V87-V88))</f>
        <v>1.36591488847491E-011</v>
      </c>
      <c r="W89" s="13" t="n">
        <f aca="false">IF(Time!W34=1,INDEX(Funding!$J$65:$BJ$65,1,Time!$F$14),Time!W35*(W87-W88))</f>
        <v>1.31677881792449E-011</v>
      </c>
      <c r="X89" s="13" t="n">
        <f aca="false">IF(Time!X34=1,INDEX(Funding!$J$65:$BJ$65,1,Time!$F$14),Time!X35*(X87-X88))</f>
        <v>1.2698687965024E-011</v>
      </c>
      <c r="Y89" s="13" t="n">
        <f aca="false">IF(Time!Y34=1,INDEX(Funding!$J$65:$BJ$65,1,Time!$F$14),Time!Y35*(Y87-Y88))</f>
        <v>1.22309608785712E-011</v>
      </c>
      <c r="Z89" s="13" t="n">
        <f aca="false">IF(Time!Z34=1,INDEX(Funding!$J$65:$BJ$65,1,Time!$F$14),Time!Z35*(Z87-Z88))</f>
        <v>1.17337405984167E-011</v>
      </c>
      <c r="AA89" s="13" t="n">
        <f aca="false">IF(Time!AA34=1,INDEX(Funding!$J$65:$BJ$65,1,Time!$F$14),Time!AA35*(AA87-AA88))</f>
        <v>1.12147898633612E-011</v>
      </c>
      <c r="AB89" s="13" t="n">
        <f aca="false">IF(Time!AB34=1,INDEX(Funding!$J$65:$BJ$65,1,Time!$F$14),Time!AB35*(AB87-AB88))</f>
        <v>1.06588808123428E-011</v>
      </c>
      <c r="AC89" s="13" t="n">
        <f aca="false">IF(Time!AC34=1,INDEX(Funding!$J$65:$BJ$65,1,Time!$F$14),Time!AC35*(AC87-AC88))</f>
        <v>1.00759439227456E-011</v>
      </c>
      <c r="AD89" s="13" t="n">
        <f aca="false">IF(Time!AD34=1,INDEX(Funding!$J$65:$BJ$65,1,Time!$F$14),Time!AD35*(AD87-AD88))</f>
        <v>9.41440509439533E-012</v>
      </c>
      <c r="AE89" s="13" t="n">
        <f aca="false">IF(Time!AE34=1,INDEX(Funding!$J$65:$BJ$65,1,Time!$F$14),Time!AE35*(AE87-AE88))</f>
        <v>8.71235261165529E-012</v>
      </c>
      <c r="AF89" s="13" t="n">
        <f aca="false">IF(Time!AF34=1,INDEX(Funding!$J$65:$BJ$65,1,Time!$F$14),Time!AF35*(AF87-AF88))</f>
        <v>7.97601891181723E-012</v>
      </c>
      <c r="AG89" s="13" t="n">
        <f aca="false">IF(Time!AG34=1,INDEX(Funding!$J$65:$BJ$65,1,Time!$F$14),Time!AG35*(AG87-AG88))</f>
        <v>7.22132441601099E-012</v>
      </c>
      <c r="AH89" s="13" t="n">
        <f aca="false">IF(Time!AH34=1,INDEX(Funding!$J$65:$BJ$65,1,Time!$F$14),Time!AH35*(AH87-AH88))</f>
        <v>6.41447496361643E-012</v>
      </c>
      <c r="AI89" s="13" t="n">
        <f aca="false">IF(Time!AI34=1,INDEX(Funding!$J$65:$BJ$65,1,Time!$F$14),Time!AI35*(AI87-AI88))</f>
        <v>5.57479362622732E-012</v>
      </c>
      <c r="AJ89" s="13" t="n">
        <f aca="false">IF(Time!AJ34=1,INDEX(Funding!$J$65:$BJ$65,1,Time!$F$14),Time!AJ35*(AJ87-AJ88))</f>
        <v>4.68030618795627E-012</v>
      </c>
      <c r="AK89" s="13" t="n">
        <f aca="false">IF(Time!AK34=1,INDEX(Funding!$J$65:$BJ$65,1,Time!$F$14),Time!AK35*(AK87-AK88))</f>
        <v>3.74641334360091E-012</v>
      </c>
      <c r="AL89" s="13" t="n">
        <f aca="false">IF(Time!AL34=1,INDEX(Funding!$J$65:$BJ$65,1,Time!$F$14),Time!AL35*(AL87-AL88))</f>
        <v>2.73786250372918E-012</v>
      </c>
      <c r="AM89" s="13" t="n">
        <f aca="false">IF(Time!AM34=1,INDEX(Funding!$J$65:$BJ$65,1,Time!$F$14),Time!AM35*(AM87-AM88))</f>
        <v>1.68900946313835E-012</v>
      </c>
      <c r="AN89" s="13" t="n">
        <f aca="false">IF(Time!AN34=1,INDEX(Funding!$J$65:$BJ$65,1,Time!$F$14),Time!AN35*(AN87-AN88))</f>
        <v>8.32074059361814E-013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1797</v>
      </c>
    </row>
    <row r="91" customFormat="false" ht="15" hidden="false" customHeight="false" outlineLevel="0" collapsed="false">
      <c r="D91" s="0" t="s">
        <v>1780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1782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1786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1798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1799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1800</v>
      </c>
    </row>
    <row r="97" customFormat="false" ht="15" hidden="false" customHeight="false" outlineLevel="0" collapsed="false">
      <c r="D97" s="0" t="s">
        <v>1801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1802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1803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1804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1805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1806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1807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1808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1809</v>
      </c>
    </row>
    <row r="106" customFormat="false" ht="15" hidden="false" customHeight="false" outlineLevel="0" collapsed="false">
      <c r="D106" s="0" t="s">
        <v>1810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1811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1812</v>
      </c>
      <c r="E108" s="0" t="s">
        <v>151</v>
      </c>
      <c r="G108" s="13" t="n">
        <f aca="false">SUM(J108:BN108)</f>
        <v>17.4867338348679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1.24897792067468</v>
      </c>
      <c r="Q108" s="13" t="n">
        <f aca="false">(Inputs!$F$95/100*Inputs!$F$96/100)*Q63*Time!Q25/Inputs!$F$248</f>
        <v>1.20539216707428</v>
      </c>
      <c r="R108" s="13" t="n">
        <f aca="false">(Inputs!$F$95/100*Inputs!$F$96/100)*R63*Time!R25/Inputs!$F$248</f>
        <v>1.20002855762907</v>
      </c>
      <c r="S108" s="13" t="n">
        <f aca="false">(Inputs!$F$95/100*Inputs!$F$96/100)*S63*Time!S25/Inputs!$F$248</f>
        <v>1.15342927259756</v>
      </c>
      <c r="T108" s="13" t="n">
        <f aca="false">(Inputs!$F$95/100*Inputs!$F$96/100)*T63*Time!T25/Inputs!$F$248</f>
        <v>1.14375619956044</v>
      </c>
      <c r="U108" s="13" t="n">
        <f aca="false">(Inputs!$F$95/100*Inputs!$F$96/100)*U63*Time!U25/Inputs!$F$248</f>
        <v>1.1007037638713</v>
      </c>
      <c r="V108" s="13" t="n">
        <f aca="false">(Inputs!$F$95/100*Inputs!$F$96/100)*V63*Time!V25/Inputs!$F$248</f>
        <v>1.08028706218146</v>
      </c>
      <c r="W108" s="13" t="n">
        <f aca="false">(Inputs!$F$95/100*Inputs!$F$96/100)*W63*Time!W25/Inputs!$F$248</f>
        <v>1.02735794403725</v>
      </c>
      <c r="X108" s="13" t="n">
        <f aca="false">(Inputs!$F$95/100*Inputs!$F$96/100)*X63*Time!X25/Inputs!$F$248</f>
        <v>1.00681626862604</v>
      </c>
      <c r="Y108" s="13" t="n">
        <f aca="false">(Inputs!$F$95/100*Inputs!$F$96/100)*Y63*Time!Y25/Inputs!$F$248</f>
        <v>0.955117926438593</v>
      </c>
      <c r="Z108" s="13" t="n">
        <f aca="false">(Inputs!$F$95/100*Inputs!$F$96/100)*Z63*Time!Z25/Inputs!$F$248</f>
        <v>0.935185942076733</v>
      </c>
      <c r="AA108" s="13" t="n">
        <f aca="false">(Inputs!$F$95/100*Inputs!$F$96/100)*AA63*Time!AA25/Inputs!$F$248</f>
        <v>0.882540465644625</v>
      </c>
      <c r="AB108" s="13" t="n">
        <f aca="false">(Inputs!$F$95/100*Inputs!$F$96/100)*AB63*Time!AB25/Inputs!$F$248</f>
        <v>0.828169918691717</v>
      </c>
      <c r="AC108" s="13" t="n">
        <f aca="false">(Inputs!$F$95/100*Inputs!$F$96/100)*AC63*Time!AC25/Inputs!$F$248</f>
        <v>0.744866153792861</v>
      </c>
      <c r="AD108" s="13" t="n">
        <f aca="false">(Inputs!$F$95/100*Inputs!$F$96/100)*AD63*Time!AD25/Inputs!$F$248</f>
        <v>0.679815119360131</v>
      </c>
      <c r="AE108" s="13" t="n">
        <f aca="false">(Inputs!$F$95/100*Inputs!$F$96/100)*AE63*Time!AE25/Inputs!$F$248</f>
        <v>0.586703763218678</v>
      </c>
      <c r="AF108" s="13" t="n">
        <f aca="false">(Inputs!$F$95/100*Inputs!$F$96/100)*AF63*Time!AF25/Inputs!$F$248</f>
        <v>0.510340826715586</v>
      </c>
      <c r="AG108" s="13" t="n">
        <f aca="false">(Inputs!$F$95/100*Inputs!$F$96/100)*AG63*Time!AG25/Inputs!$F$248</f>
        <v>0.41448807671796</v>
      </c>
      <c r="AH108" s="13" t="n">
        <f aca="false">(Inputs!$F$95/100*Inputs!$F$96/100)*AH63*Time!AH25/Inputs!$F$248</f>
        <v>0.333774234685852</v>
      </c>
      <c r="AI108" s="13" t="n">
        <f aca="false">(Inputs!$F$95/100*Inputs!$F$96/100)*AI63*Time!AI25/Inputs!$F$248</f>
        <v>0.238088760306756</v>
      </c>
      <c r="AJ108" s="13" t="n">
        <f aca="false">(Inputs!$F$95/100*Inputs!$F$96/100)*AJ63*Time!AJ25/Inputs!$F$248</f>
        <v>0.151822683512225</v>
      </c>
      <c r="AK108" s="13" t="n">
        <f aca="false">(Inputs!$F$95/100*Inputs!$F$96/100)*AK63*Time!AK25/Inputs!$F$248</f>
        <v>0.0590708074541533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1813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1814</v>
      </c>
      <c r="E111" s="0" t="s">
        <v>151</v>
      </c>
      <c r="G111" s="13" t="n">
        <f aca="false">SUM(J111:BN111)</f>
        <v>309.317993645138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20.9269686373539</v>
      </c>
      <c r="Q111" s="13" t="n">
        <f aca="false">Q23+Q37+Q51+Q65+Q79+Q92</f>
        <v>20.1785556460041</v>
      </c>
      <c r="R111" s="13" t="n">
        <f aca="false">R23+R37+R51+R65+R79+R92</f>
        <v>20.0087439764665</v>
      </c>
      <c r="S111" s="13" t="n">
        <f aca="false">S23+S37+S51+S65+S79+S92</f>
        <v>19.1888349849873</v>
      </c>
      <c r="T111" s="13" t="n">
        <f aca="false">T23+T37+T51+T65+T79+T92</f>
        <v>18.9556295375424</v>
      </c>
      <c r="U111" s="13" t="n">
        <f aca="false">U23+U37+U51+U65+U79+U92</f>
        <v>18.1756644047306</v>
      </c>
      <c r="V111" s="13" t="n">
        <f aca="false">V23+V37+V51+V65+V79+V92</f>
        <v>17.7743527584435</v>
      </c>
      <c r="W111" s="13" t="n">
        <f aca="false">W23+W37+W51+W65+W79+W92</f>
        <v>16.8487105112748</v>
      </c>
      <c r="X111" s="13" t="n">
        <f aca="false">X23+X37+X51+X65+X79+X92</f>
        <v>16.4592647135166</v>
      </c>
      <c r="Y111" s="13" t="n">
        <f aca="false">Y23+Y37+Y51+Y65+Y79+Y92</f>
        <v>16.0753019338856</v>
      </c>
      <c r="Z111" s="13" t="n">
        <f aca="false">Z23+Z37+Z51+Z65+Z79+Z92</f>
        <v>15.6777505342414</v>
      </c>
      <c r="AA111" s="13" t="n">
        <f aca="false">AA23+AA37+AA51+AA65+AA79+AA92</f>
        <v>14.738082473068</v>
      </c>
      <c r="AB111" s="13" t="n">
        <f aca="false">AB23+AB37+AB51+AB65+AB79+AB92</f>
        <v>14.0174736185472</v>
      </c>
      <c r="AC111" s="13" t="n">
        <f aca="false">AC23+AC37+AC51+AC65+AC79+AC92</f>
        <v>12.8444137918719</v>
      </c>
      <c r="AD111" s="13" t="n">
        <f aca="false">AD23+AD37+AD51+AD65+AD79+AD92</f>
        <v>11.9580551666797</v>
      </c>
      <c r="AE111" s="13" t="n">
        <f aca="false">AE23+AE37+AE51+AE65+AE79+AE92</f>
        <v>10.6357947397728</v>
      </c>
      <c r="AF111" s="13" t="n">
        <f aca="false">AF23+AF37+AF51+AF65+AF79+AF92</f>
        <v>9.62631149968197</v>
      </c>
      <c r="AG111" s="13" t="n">
        <f aca="false">AG23+AG37+AG51+AG65+AG79+AG92</f>
        <v>8.4903338945448</v>
      </c>
      <c r="AH111" s="13" t="n">
        <f aca="false">AH23+AH37+AH51+AH65+AH79+AH92</f>
        <v>7.3628310192316</v>
      </c>
      <c r="AI111" s="13" t="n">
        <f aca="false">AI23+AI37+AI51+AI65+AI79+AI92</f>
        <v>5.9370081196725</v>
      </c>
      <c r="AJ111" s="13" t="n">
        <f aca="false">AJ23+AJ37+AJ51+AJ65+AJ79+AJ92</f>
        <v>4.70779592223725</v>
      </c>
      <c r="AK111" s="13" t="n">
        <f aca="false">AK23+AK37+AK51+AK65+AK79+AK92</f>
        <v>3.30382765144444</v>
      </c>
      <c r="AL111" s="13" t="n">
        <f aca="false">AL23+AL37+AL51+AL65+AL79+AL92</f>
        <v>2.2455687321595</v>
      </c>
      <c r="AM111" s="13" t="n">
        <f aca="false">AM23+AM37+AM51+AM65+AM79+AM92</f>
        <v>1.62684420023292</v>
      </c>
      <c r="AN111" s="13" t="n">
        <f aca="false">AN23+AN37+AN51+AN65+AN79+AN92</f>
        <v>1.04503718475105</v>
      </c>
      <c r="AO111" s="13" t="n">
        <f aca="false">AO23+AO37+AO51+AO65+AO79+AO92</f>
        <v>0.508837992795635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1815</v>
      </c>
      <c r="E112" s="0" t="s">
        <v>151</v>
      </c>
      <c r="G112" s="13" t="n">
        <f aca="false">SUM(J112:BN112)</f>
        <v>318.507538182379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21.6425891669588</v>
      </c>
      <c r="Q112" s="13" t="n">
        <f aca="false">Q111+Q107+Q108+Q109</f>
        <v>20.9409358208775</v>
      </c>
      <c r="R112" s="13" t="n">
        <f aca="false">R111+R107+R108+R109</f>
        <v>20.6534417915168</v>
      </c>
      <c r="S112" s="13" t="n">
        <f aca="false">S111+S107+S108+S109</f>
        <v>19.8998085813131</v>
      </c>
      <c r="T112" s="13" t="n">
        <f aca="false">T111+T107+T108+T109</f>
        <v>19.5529478768634</v>
      </c>
      <c r="U112" s="13" t="n">
        <f aca="false">U111+U107+U108+U109</f>
        <v>18.8232169322933</v>
      </c>
      <c r="V112" s="13" t="n">
        <f aca="false">V111+V107+V108+V109</f>
        <v>18.3440147032268</v>
      </c>
      <c r="W112" s="13" t="n">
        <f aca="false">W111+W107+W108+W109</f>
        <v>17.490197474483</v>
      </c>
      <c r="X112" s="13" t="n">
        <f aca="false">X111+X107+X108+X109</f>
        <v>16.994691507521</v>
      </c>
      <c r="Y112" s="13" t="n">
        <f aca="false">Y111+Y107+Y108+Y109</f>
        <v>16.6753563344659</v>
      </c>
      <c r="Z112" s="13" t="n">
        <f aca="false">Z111+Z107+Z108+Z109</f>
        <v>16.1801527753508</v>
      </c>
      <c r="AA112" s="13" t="n">
        <f aca="false">AA111+AA107+AA108+AA109</f>
        <v>15.2964590748274</v>
      </c>
      <c r="AB112" s="13" t="n">
        <f aca="false">AB111+AB107+AB108+AB109</f>
        <v>14.4535418243481</v>
      </c>
      <c r="AC112" s="13" t="n">
        <f aca="false">AC111+AC107+AC108+AC109</f>
        <v>13.2717733484512</v>
      </c>
      <c r="AD112" s="13" t="n">
        <f aca="false">AD111+AD107+AD108+AD109</f>
        <v>12.2896606384303</v>
      </c>
      <c r="AE112" s="13" t="n">
        <f aca="false">AE111+AE107+AE108+AE109</f>
        <v>10.9681378839627</v>
      </c>
      <c r="AF112" s="13" t="n">
        <f aca="false">AF111+AF107+AF108+AF109</f>
        <v>9.83821573391481</v>
      </c>
      <c r="AG112" s="13" t="n">
        <f aca="false">AG111+AG107+AG108+AG109</f>
        <v>8.69109129188484</v>
      </c>
      <c r="AH112" s="13" t="n">
        <f aca="false">AH111+AH107+AH108+AH109</f>
        <v>7.45127640159834</v>
      </c>
      <c r="AI112" s="13" t="n">
        <f aca="false">AI111+AI107+AI108+AI109</f>
        <v>6.00452732108751</v>
      </c>
      <c r="AJ112" s="13" t="n">
        <f aca="false">AJ111+AJ107+AJ108+AJ109</f>
        <v>4.67146658376109</v>
      </c>
      <c r="AK112" s="13" t="n">
        <f aca="false">AK111+AK107+AK108+AK109</f>
        <v>3.22775809159181</v>
      </c>
      <c r="AL112" s="13" t="n">
        <f aca="false">AL111+AL107+AL108+AL109</f>
        <v>2.11935205908034</v>
      </c>
      <c r="AM112" s="13" t="n">
        <f aca="false">AM111+AM107+AM108+AM109</f>
        <v>1.55397310986932</v>
      </c>
      <c r="AN112" s="13" t="n">
        <f aca="false">AN111+AN107+AN108+AN109</f>
        <v>0.98674880028185</v>
      </c>
      <c r="AO112" s="13" t="n">
        <f aca="false">AO111+AO107+AO108+AO109</f>
        <v>0.48620305441918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1816</v>
      </c>
      <c r="E113" s="0" t="s">
        <v>151</v>
      </c>
      <c r="G113" s="13" t="n">
        <f aca="false">SUM(J113:BN113)</f>
        <v>534.523744537274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15.603306269637</v>
      </c>
      <c r="Q113" s="13" t="n">
        <f aca="false">Q27+Q41+Q55+Q69+Q83+Q93</f>
        <v>16.2160806338532</v>
      </c>
      <c r="R113" s="13" t="n">
        <f aca="false">R27+R41+R55+R69+R83+R93</f>
        <v>16.9713432956419</v>
      </c>
      <c r="S113" s="13" t="n">
        <f aca="false">S27+S41+S55+S69+S83+S93</f>
        <v>17.4335039108307</v>
      </c>
      <c r="T113" s="13" t="n">
        <f aca="false">T27+T41+T55+T69+T83+T93</f>
        <v>18.1982699043747</v>
      </c>
      <c r="U113" s="13" t="n">
        <f aca="false">U27+U41+U55+U69+U83+U93</f>
        <v>18.7474758221372</v>
      </c>
      <c r="V113" s="13" t="n">
        <f aca="false">V27+V41+V55+V69+V83+V93</f>
        <v>19.943905531456</v>
      </c>
      <c r="W113" s="13" t="n">
        <f aca="false">W27+W41+W55+W69+W83+W93</f>
        <v>20.5330299510275</v>
      </c>
      <c r="X113" s="13" t="n">
        <f aca="false">X27+X41+X55+X69+X83+X93</f>
        <v>19.9321035666295</v>
      </c>
      <c r="Y113" s="13" t="n">
        <f aca="false">Y27+Y41+Y55+Y69+Y83+Y93</f>
        <v>19.8950357097485</v>
      </c>
      <c r="Z113" s="13" t="n">
        <f aca="false">Z27+Z41+Z55+Z69+Z83+Z93</f>
        <v>20.6912103327596</v>
      </c>
      <c r="AA113" s="13" t="n">
        <f aca="false">AA27+AA41+AA55+AA69+AA83+AA93</f>
        <v>21.2778282797242</v>
      </c>
      <c r="AB113" s="13" t="n">
        <f aca="false">AB27+AB41+AB55+AB69+AB83+AB93</f>
        <v>21.9969793520092</v>
      </c>
      <c r="AC113" s="13" t="n">
        <f aca="false">AC27+AC41+AC55+AC69+AC83+AC93</f>
        <v>22.355971676555</v>
      </c>
      <c r="AD113" s="13" t="n">
        <f aca="false">AD27+AD41+AD55+AD69+AD83+AD93</f>
        <v>23.9869867546548</v>
      </c>
      <c r="AE113" s="13" t="n">
        <f aca="false">AE27+AE41+AE55+AE69+AE83+AE93</f>
        <v>24.4569543658447</v>
      </c>
      <c r="AF113" s="13" t="n">
        <f aca="false">AF27+AF41+AF55+AF69+AF83+AF93</f>
        <v>24.6222348002368</v>
      </c>
      <c r="AG113" s="13" t="n">
        <f aca="false">AG27+AG41+AG55+AG69+AG83+AG93</f>
        <v>24.2234457463224</v>
      </c>
      <c r="AH113" s="13" t="n">
        <f aca="false">AH27+AH41+AH55+AH69+AH83+AH93</f>
        <v>24.3733546067266</v>
      </c>
      <c r="AI113" s="13" t="n">
        <f aca="false">AI27+AI41+AI55+AI69+AI83+AI93</f>
        <v>23.7033556427823</v>
      </c>
      <c r="AJ113" s="13" t="n">
        <f aca="false">AJ27+AJ41+AJ55+AJ69+AJ83+AJ93</f>
        <v>22.9761414672516</v>
      </c>
      <c r="AK113" s="13" t="n">
        <f aca="false">AK27+AK41+AK55+AK69+AK83+AK93</f>
        <v>21.0774048455279</v>
      </c>
      <c r="AL113" s="13" t="n">
        <f aca="false">AL27+AL41+AL55+AL69+AL83+AL93</f>
        <v>19.714835363646</v>
      </c>
      <c r="AM113" s="13" t="n">
        <f aca="false">AM27+AM41+AM55+AM69+AM83+AM93</f>
        <v>20.2121912103819</v>
      </c>
      <c r="AN113" s="13" t="n">
        <f aca="false">AN27+AN41+AN55+AN69+AN83+AN93</f>
        <v>17.8438004759254</v>
      </c>
      <c r="AO113" s="13" t="n">
        <f aca="false">AO27+AO41+AO55+AO69+AO83+AO93</f>
        <v>17.536995021589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1817</v>
      </c>
      <c r="E114" s="0" t="s">
        <v>151</v>
      </c>
      <c r="G114" s="13" t="n">
        <f aca="false">SUM(J114:BN114)</f>
        <v>853.031282719653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37.2458954365957</v>
      </c>
      <c r="Q114" s="13" t="n">
        <f aca="false">Q112+Q113</f>
        <v>37.1570164547307</v>
      </c>
      <c r="R114" s="13" t="n">
        <f aca="false">R112+R113</f>
        <v>37.6247850871586</v>
      </c>
      <c r="S114" s="13" t="n">
        <f aca="false">S112+S113</f>
        <v>37.3333124921438</v>
      </c>
      <c r="T114" s="13" t="n">
        <f aca="false">T112+T113</f>
        <v>37.7512177812382</v>
      </c>
      <c r="U114" s="13" t="n">
        <f aca="false">U112+U113</f>
        <v>37.5706927544304</v>
      </c>
      <c r="V114" s="13" t="n">
        <f aca="false">V112+V113</f>
        <v>38.2879202346828</v>
      </c>
      <c r="W114" s="13" t="n">
        <f aca="false">W112+W113</f>
        <v>38.0232274255105</v>
      </c>
      <c r="X114" s="13" t="n">
        <f aca="false">X112+X113</f>
        <v>36.9267950741505</v>
      </c>
      <c r="Y114" s="13" t="n">
        <f aca="false">Y112+Y113</f>
        <v>36.5703920442144</v>
      </c>
      <c r="Z114" s="13" t="n">
        <f aca="false">Z112+Z113</f>
        <v>36.8713631081105</v>
      </c>
      <c r="AA114" s="13" t="n">
        <f aca="false">AA112+AA113</f>
        <v>36.5742873545516</v>
      </c>
      <c r="AB114" s="13" t="n">
        <f aca="false">AB112+AB113</f>
        <v>36.4505211763574</v>
      </c>
      <c r="AC114" s="13" t="n">
        <f aca="false">AC112+AC113</f>
        <v>35.6277450250062</v>
      </c>
      <c r="AD114" s="13" t="n">
        <f aca="false">AD112+AD113</f>
        <v>36.2766473930851</v>
      </c>
      <c r="AE114" s="13" t="n">
        <f aca="false">AE112+AE113</f>
        <v>35.4250922498074</v>
      </c>
      <c r="AF114" s="13" t="n">
        <f aca="false">AF112+AF113</f>
        <v>34.4604505341516</v>
      </c>
      <c r="AG114" s="13" t="n">
        <f aca="false">AG112+AG113</f>
        <v>32.9145370382072</v>
      </c>
      <c r="AH114" s="13" t="n">
        <f aca="false">AH112+AH113</f>
        <v>31.824631008325</v>
      </c>
      <c r="AI114" s="13" t="n">
        <f aca="false">AI112+AI113</f>
        <v>29.7078829638698</v>
      </c>
      <c r="AJ114" s="13" t="n">
        <f aca="false">AJ112+AJ113</f>
        <v>27.6476080510126</v>
      </c>
      <c r="AK114" s="13" t="n">
        <f aca="false">AK112+AK113</f>
        <v>24.3051629371197</v>
      </c>
      <c r="AL114" s="13" t="n">
        <f aca="false">AL112+AL113</f>
        <v>21.8341874227264</v>
      </c>
      <c r="AM114" s="13" t="n">
        <f aca="false">AM112+AM113</f>
        <v>21.7661643202512</v>
      </c>
      <c r="AN114" s="13" t="n">
        <f aca="false">AN112+AN113</f>
        <v>18.8305492762072</v>
      </c>
      <c r="AO114" s="13" t="n">
        <f aca="false">AO112+AO113</f>
        <v>18.0231980760082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1818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629.94967477845</v>
      </c>
      <c r="Q115" s="13" t="n">
        <f aca="false">Q21+Q35+Q49+Q63+Q77+Q91</f>
        <v>614.346368508813</v>
      </c>
      <c r="R115" s="13" t="n">
        <f aca="false">R21+R35+R49+R63+R77+R91</f>
        <v>598.130287874959</v>
      </c>
      <c r="S115" s="13" t="n">
        <f aca="false">S21+S35+S49+S63+S77+S91</f>
        <v>581.158944579318</v>
      </c>
      <c r="T115" s="13" t="n">
        <f aca="false">T21+T35+T49+T63+T77+T91</f>
        <v>563.725440668487</v>
      </c>
      <c r="U115" s="13" t="n">
        <f aca="false">U21+U35+U49+U63+U77+U91</f>
        <v>545.527170764112</v>
      </c>
      <c r="V115" s="13" t="n">
        <f aca="false">V21+V35+V49+V63+V77+V91</f>
        <v>526.779694941975</v>
      </c>
      <c r="W115" s="13" t="n">
        <f aca="false">W21+W35+W49+W63+W77+W91</f>
        <v>506.835789410519</v>
      </c>
      <c r="X115" s="13" t="n">
        <f aca="false">X21+X35+X49+X63+X77+X91</f>
        <v>486.302759459492</v>
      </c>
      <c r="Y115" s="13" t="n">
        <f aca="false">Y21+Y35+Y49+Y63+Y77+Y91</f>
        <v>466.370655892862</v>
      </c>
      <c r="Z115" s="13" t="n">
        <f aca="false">Z21+Z35+Z49+Z63+Z77+Z91</f>
        <v>446.475620183114</v>
      </c>
      <c r="AA115" s="13" t="n">
        <f aca="false">AA21+AA35+AA49+AA63+AA77+AA91</f>
        <v>425.784409850354</v>
      </c>
      <c r="AB115" s="13" t="n">
        <f aca="false">AB21+AB35+AB49+AB63+AB77+AB91</f>
        <v>398.88725417455</v>
      </c>
      <c r="AC115" s="13" t="n">
        <f aca="false">AC21+AC35+AC49+AC63+AC77+AC91</f>
        <v>370.361015035689</v>
      </c>
      <c r="AD115" s="13" t="n">
        <f aca="false">AD21+AD35+AD49+AD63+AD77+AD91</f>
        <v>341.861950025892</v>
      </c>
      <c r="AE115" s="13" t="n">
        <f aca="false">AE21+AE35+AE49+AE63+AE77+AE91</f>
        <v>310.447405217043</v>
      </c>
      <c r="AF115" s="13" t="n">
        <f aca="false">AF21+AF35+AF49+AF63+AF77+AF91</f>
        <v>278.015347182887</v>
      </c>
      <c r="AG115" s="13" t="n">
        <f aca="false">AG21+AG35+AG49+AG63+AG77+AG91</f>
        <v>244.605285656862</v>
      </c>
      <c r="AH115" s="13" t="n">
        <f aca="false">AH21+AH35+AH49+AH63+AH77+AH91</f>
        <v>211.236768649751</v>
      </c>
      <c r="AI115" s="13" t="n">
        <f aca="false">AI21+AI35+AI49+AI63+AI77+AI91</f>
        <v>176.428187104321</v>
      </c>
      <c r="AJ115" s="13" t="n">
        <f aca="false">AJ21+AJ35+AJ49+AJ63+AJ77+AJ91</f>
        <v>141.507096231546</v>
      </c>
      <c r="AK115" s="13" t="n">
        <f aca="false">AK21+AK35+AK49+AK63+AK77+AK91</f>
        <v>105.5473360374</v>
      </c>
      <c r="AL115" s="13" t="n">
        <f aca="false">AL21+AL35+AL49+AL63+AL77+AL91</f>
        <v>75.3078220715423</v>
      </c>
      <c r="AM115" s="13" t="n">
        <f aca="false">AM21+AM35+AM49+AM63+AM77+AM91</f>
        <v>55.5929867078963</v>
      </c>
      <c r="AN115" s="13" t="n">
        <f aca="false">AN21+AN35+AN49+AN63+AN77+AN91</f>
        <v>35.3807954975144</v>
      </c>
      <c r="AO115" s="13" t="n">
        <f aca="false">AO21+AO35+AO49+AO63+AO77+AO91</f>
        <v>17.536995021589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1819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629.94967477845</v>
      </c>
      <c r="P116" s="13" t="n">
        <f aca="false">P33+P47+P61+P75+P89+P95</f>
        <v>614.346368508813</v>
      </c>
      <c r="Q116" s="13" t="n">
        <f aca="false">Q33+Q47+Q61+Q75+Q89+Q95</f>
        <v>598.130287874959</v>
      </c>
      <c r="R116" s="13" t="n">
        <f aca="false">R33+R47+R61+R75+R89+R95</f>
        <v>581.158944579318</v>
      </c>
      <c r="S116" s="13" t="n">
        <f aca="false">S33+S47+S61+S75+S89+S95</f>
        <v>563.725440668487</v>
      </c>
      <c r="T116" s="13" t="n">
        <f aca="false">T33+T47+T61+T75+T89+T95</f>
        <v>545.527170764112</v>
      </c>
      <c r="U116" s="13" t="n">
        <f aca="false">U33+U47+U61+U75+U89+U95</f>
        <v>526.779694941975</v>
      </c>
      <c r="V116" s="13" t="n">
        <f aca="false">V33+V47+V61+V75+V89+V95</f>
        <v>506.835789410519</v>
      </c>
      <c r="W116" s="13" t="n">
        <f aca="false">W33+W47+W61+W75+W89+W95</f>
        <v>486.302759459492</v>
      </c>
      <c r="X116" s="13" t="n">
        <f aca="false">X33+X47+X61+X75+X89+X95</f>
        <v>466.370655892862</v>
      </c>
      <c r="Y116" s="13" t="n">
        <f aca="false">Y33+Y47+Y61+Y75+Y89+Y95</f>
        <v>446.475620183114</v>
      </c>
      <c r="Z116" s="13" t="n">
        <f aca="false">Z33+Z47+Z61+Z75+Z89+Z95</f>
        <v>425.784409850354</v>
      </c>
      <c r="AA116" s="13" t="n">
        <f aca="false">AA33+AA47+AA61+AA75+AA89+AA95</f>
        <v>398.88725417455</v>
      </c>
      <c r="AB116" s="13" t="n">
        <f aca="false">AB33+AB47+AB61+AB75+AB89+AB95</f>
        <v>370.361015035689</v>
      </c>
      <c r="AC116" s="13" t="n">
        <f aca="false">AC33+AC47+AC61+AC75+AC89+AC95</f>
        <v>341.861950025892</v>
      </c>
      <c r="AD116" s="13" t="n">
        <f aca="false">AD33+AD47+AD61+AD75+AD89+AD95</f>
        <v>310.447405217043</v>
      </c>
      <c r="AE116" s="13" t="n">
        <f aca="false">AE33+AE47+AE61+AE75+AE89+AE95</f>
        <v>278.015347182887</v>
      </c>
      <c r="AF116" s="13" t="n">
        <f aca="false">AF33+AF47+AF61+AF75+AF89+AF95</f>
        <v>244.605285656862</v>
      </c>
      <c r="AG116" s="13" t="n">
        <f aca="false">AG33+AG47+AG61+AG75+AG89+AG95</f>
        <v>211.236768649751</v>
      </c>
      <c r="AH116" s="13" t="n">
        <f aca="false">AH33+AH47+AH61+AH75+AH89+AH95</f>
        <v>176.428187104321</v>
      </c>
      <c r="AI116" s="13" t="n">
        <f aca="false">AI33+AI47+AI61+AI75+AI89+AI95</f>
        <v>141.507096231546</v>
      </c>
      <c r="AJ116" s="13" t="n">
        <f aca="false">AJ33+AJ47+AJ61+AJ75+AJ89+AJ95</f>
        <v>105.5473360374</v>
      </c>
      <c r="AK116" s="13" t="n">
        <f aca="false">AK33+AK47+AK61+AK75+AK89+AK95</f>
        <v>75.3078220715423</v>
      </c>
      <c r="AL116" s="13" t="n">
        <f aca="false">AL33+AL47+AL61+AL75+AL89+AL95</f>
        <v>55.5929867078963</v>
      </c>
      <c r="AM116" s="13" t="n">
        <f aca="false">AM33+AM47+AM61+AM75+AM89+AM95</f>
        <v>35.3807954975144</v>
      </c>
      <c r="AN116" s="13" t="n">
        <f aca="false">AN33+AN47+AN61+AN75+AN89+AN95</f>
        <v>17.536995021589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1820</v>
      </c>
    </row>
    <row r="118" customFormat="false" ht="15" hidden="false" customHeight="false" outlineLevel="0" collapsed="false">
      <c r="D118" s="0" t="s">
        <v>1821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239.380876415805</v>
      </c>
      <c r="P118" s="13" t="n">
        <f aca="false">IF(Time!P34=1,P75,P73)</f>
        <v>234.856348777383</v>
      </c>
      <c r="Q118" s="13" t="n">
        <f aca="false">IF(Time!Q34=1,Q75,Q73)</f>
        <v>229.999172198387</v>
      </c>
      <c r="R118" s="13" t="n">
        <f aca="false">IF(Time!R34=1,R75,R73)</f>
        <v>224.731995888706</v>
      </c>
      <c r="S118" s="13" t="n">
        <f aca="false">IF(Time!S34=1,S75,S73)</f>
        <v>219.213932387923</v>
      </c>
      <c r="T118" s="13" t="n">
        <f aca="false">IF(Time!T34=1,T75,T73)</f>
        <v>213.280710204929</v>
      </c>
      <c r="U118" s="13" t="n">
        <f aca="false">IF(Time!U34=1,U75,U73)</f>
        <v>207.049347666579</v>
      </c>
      <c r="V118" s="13" t="n">
        <f aca="false">IF(Time!V34=1,V75,V73)</f>
        <v>200.168494714599</v>
      </c>
      <c r="W118" s="13" t="n">
        <f aca="false">IF(Time!W34=1,W75,W73)</f>
        <v>192.967831363423</v>
      </c>
      <c r="X118" s="13" t="n">
        <f aca="false">IF(Time!X34=1,X75,X73)</f>
        <v>186.093385192349</v>
      </c>
      <c r="Y118" s="13" t="n">
        <f aca="false">IF(Time!Y34=1,Y75,Y73)</f>
        <v>179.239061572153</v>
      </c>
      <c r="Z118" s="13" t="n">
        <f aca="false">IF(Time!Z34=1,Z75,Z73)</f>
        <v>171.952528870893</v>
      </c>
      <c r="AA118" s="13" t="n">
        <f aca="false">IF(Time!AA34=1,AA75,AA73)</f>
        <v>164.347546426996</v>
      </c>
      <c r="AB118" s="13" t="n">
        <f aca="false">IF(Time!AB34=1,AB75,AB73)</f>
        <v>150.860175609113</v>
      </c>
      <c r="AC118" s="13" t="n">
        <f aca="false">IF(Time!AC34=1,AC75,AC73)</f>
        <v>136.437421502979</v>
      </c>
      <c r="AD118" s="13" t="n">
        <f aca="false">IF(Time!AD34=1,AD75,AD73)</f>
        <v>121.739818750176</v>
      </c>
      <c r="AE118" s="13" t="n">
        <f aca="false">IF(Time!AE34=1,AE75,AE73)</f>
        <v>105.787748990296</v>
      </c>
      <c r="AF118" s="13" t="n">
        <f aca="false">IF(Time!AF34=1,AF75,AF73)</f>
        <v>89.5459061034034</v>
      </c>
      <c r="AG118" s="13" t="n">
        <f aca="false">IF(Time!AG34=1,AG75,AG73)</f>
        <v>73.1167135945088</v>
      </c>
      <c r="AH118" s="13" t="n">
        <f aca="false">IF(Time!AH34=1,AH75,AH73)</f>
        <v>56.8239943937794</v>
      </c>
      <c r="AI118" s="13" t="n">
        <f aca="false">IF(Time!AI34=1,AI75,AI73)</f>
        <v>40.3162856826081</v>
      </c>
      <c r="AJ118" s="13" t="n">
        <f aca="false">IF(Time!AJ34=1,AJ75,AJ73)</f>
        <v>24.4296264355353</v>
      </c>
      <c r="AK118" s="13" t="n">
        <f aca="false">IF(Time!AK34=1,AK75,AK73)</f>
        <v>9.16210912032963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1822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11.5573474794889</v>
      </c>
      <c r="P119" s="13" t="n">
        <f aca="false">IF(AND(Time!P20&gt;=Time!$F$12,Time!Q20&gt;0),(IF(Time!P34=1,P33,P31)-P30)*Q147+IF(Time!Q46&gt;0,Time!Q45*P30/Time!Q46,0)+IF(Time!P34=1,P33,P31)*Q10,0)</f>
        <v>11.3434351453733</v>
      </c>
      <c r="Q119" s="13" t="n">
        <f aca="false">IF(AND(Time!Q20&gt;=Time!$F$12,Time!R20&gt;0),(IF(Time!Q34=1,Q33,Q31)-Q30)*R147+IF(Time!R46&gt;0,Time!R45*Q30/Time!R46,0)+IF(Time!Q34=1,Q33,Q31)*R10,0)</f>
        <v>11.2452801021371</v>
      </c>
      <c r="R119" s="13" t="n">
        <f aca="false">IF(AND(Time!R20&gt;=Time!$F$12,Time!S20&gt;0),(IF(Time!R34=1,R33,R31)-R30)*S147+IF(Time!S46&gt;0,Time!S45*R30/Time!S46,0)+IF(Time!R34=1,R33,R31)*S10,0)</f>
        <v>11.0258577274366</v>
      </c>
      <c r="S119" s="13" t="n">
        <f aca="false">IF(AND(Time!S20&gt;=Time!$F$12,Time!T20&gt;0),(IF(Time!S34=1,S33,S31)-S30)*T147+IF(Time!T46&gt;0,Time!T45*S30/Time!T46,0)+IF(Time!S34=1,S33,S31)*T10,0)</f>
        <v>10.9220674613085</v>
      </c>
      <c r="T119" s="13" t="n">
        <f aca="false">IF(AND(Time!T20&gt;=Time!$F$12,Time!U20&gt;0),(IF(Time!T34=1,T33,T31)-T30)*U147+IF(Time!U46&gt;0,Time!U45*T30/Time!U46,0)+IF(Time!T34=1,T33,T31)*U10,0)</f>
        <v>10.7180970252653</v>
      </c>
      <c r="U119" s="13" t="n">
        <f aca="false">IF(AND(Time!U20&gt;=Time!$F$12,Time!V20&gt;0),(IF(Time!U34=1,U33,U31)-U30)*V147+IF(Time!V46&gt;0,Time!V45*U30/Time!V46,0)+IF(Time!U34=1,U33,U31)*V10,0)</f>
        <v>10.5899386096984</v>
      </c>
      <c r="V119" s="13" t="n">
        <f aca="false">IF(AND(Time!V20&gt;=Time!$F$12,Time!W20&gt;0),(IF(Time!V34=1,V33,V31)-V30)*W147+IF(Time!W46&gt;0,Time!W45*V30/Time!W46,0)+IF(Time!V34=1,V33,V31)*W10,0)</f>
        <v>10.3724303128559</v>
      </c>
      <c r="W119" s="13" t="n">
        <f aca="false">IF(AND(Time!W20&gt;=Time!$F$12,Time!X20&gt;0),(IF(Time!W34=1,W33,W31)-W30)*X147+IF(Time!X46&gt;0,Time!X45*W30/Time!X46,0)+IF(Time!W34=1,W33,W31)*X10,0)</f>
        <v>10.2578097580883</v>
      </c>
      <c r="X119" s="13" t="n">
        <f aca="false">IF(AND(Time!X20&gt;=Time!$F$12,Time!Y20&gt;0),(IF(Time!X34=1,X33,X31)-X30)*Y147+IF(Time!Y46&gt;0,Time!Y45*X30/Time!Y46,0)+IF(Time!X34=1,X33,X31)*Y10,0)</f>
        <v>10.0457166055655</v>
      </c>
      <c r="Y119" s="13" t="n">
        <f aca="false">IF(AND(Time!Y20&gt;=Time!$F$12,Time!Z20&gt;0),(IF(Time!Y34=1,Y33,Y31)-Y30)*Z147+IF(Time!Z46&gt;0,Time!Z45*Y30/Time!Z46,0)+IF(Time!Y34=1,Y33,Y31)*Z10,0)</f>
        <v>9.92568090647816</v>
      </c>
      <c r="Z119" s="13" t="n">
        <f aca="false">IF(AND(Time!Z20&gt;=Time!$F$12,Time!AA20&gt;0),(IF(Time!Z34=1,Z33,Z31)-Z30)*AA147+IF(Time!AA46&gt;0,Time!AA45*Z30/Time!AA46,0)+IF(Time!Z34=1,Z33,Z31)*AA10,0)</f>
        <v>9.71900289827513</v>
      </c>
      <c r="AA119" s="13" t="n">
        <f aca="false">IF(AND(Time!AA20&gt;=Time!$F$12,Time!AB20&gt;0),(IF(Time!AA34=1,AA33,AA31)-AA30)*AB147+IF(Time!AB46&gt;0,Time!AB45*AA30/Time!AB46,0)+IF(Time!AA34=1,AA33,AA31)*AB10,0)</f>
        <v>9.59355205486806</v>
      </c>
      <c r="AB119" s="13" t="n">
        <f aca="false">IF(AND(Time!AB20&gt;=Time!$F$12,Time!AC20&gt;0),(IF(Time!AB34=1,AB33,AB31)-AB30)*AC147+IF(Time!AC46&gt;0,Time!AC45*AB30/Time!AC46,0)+IF(Time!AB34=1,AB33,AB31)*AC10,0)</f>
        <v>9.4040220036775</v>
      </c>
      <c r="AC119" s="13" t="n">
        <f aca="false">IF(AND(Time!AC20&gt;=Time!$F$12,Time!AD20&gt;0),(IF(Time!AC34=1,AC33,AC31)-AC30)*AD147+IF(Time!AD46&gt;0,Time!AD45*AC30/Time!AD46,0)+IF(Time!AC34=1,AC33,AC31)*AD10,0)</f>
        <v>9.26142320325795</v>
      </c>
      <c r="AD119" s="13" t="n">
        <f aca="false">IF(AND(Time!AD20&gt;=Time!$F$12,Time!AE20&gt;0),(IF(Time!AD34=1,AD33,AD31)-AD30)*AE147+IF(Time!AE46&gt;0,Time!AE45*AD30/Time!AE46,0)+IF(Time!AD34=1,AD33,AD31)*AE10,0)</f>
        <v>9.06557548369438</v>
      </c>
      <c r="AE119" s="13" t="n">
        <f aca="false">IF(AND(Time!AE20&gt;=Time!$F$12,Time!AF20&gt;0),(IF(Time!AE34=1,AE33,AE31)-AE30)*AF147+IF(Time!AF46&gt;0,Time!AF45*AE30/Time!AF46,0)+IF(Time!AE34=1,AE33,AE31)*AF10,0)</f>
        <v>8.92929435164784</v>
      </c>
      <c r="AF119" s="13" t="n">
        <f aca="false">IF(AND(Time!AF20&gt;=Time!$F$12,Time!AG20&gt;0),(IF(Time!AF34=1,AF33,AF31)-AF30)*AG147+IF(Time!AG46&gt;0,Time!AG45*AF30/Time!AG46,0)+IF(Time!AF34=1,AF33,AF31)*AG10,0)</f>
        <v>8.738861776404</v>
      </c>
      <c r="AG119" s="13" t="n">
        <f aca="false">IF(AND(Time!AG20&gt;=Time!$F$12,Time!AH20&gt;0),(IF(Time!AG34=1,AG33,AG31)-AG30)*AH147+IF(Time!AH46&gt;0,Time!AH45*AG30/Time!AH46,0)+IF(Time!AG34=1,AG33,AG31)*AH10,0)</f>
        <v>8.59716550003774</v>
      </c>
      <c r="AH119" s="13" t="n">
        <f aca="false">IF(AND(Time!AH20&gt;=Time!$F$12,Time!AI20&gt;0),(IF(Time!AH34=1,AH33,AH31)-AH30)*AI147+IF(Time!AI46&gt;0,Time!AI45*AH30/Time!AI46,0)+IF(Time!AH34=1,AH33,AH31)*AI10,0)</f>
        <v>8.41214806911363</v>
      </c>
      <c r="AI119" s="13" t="n">
        <f aca="false">IF(AND(Time!AI20&gt;=Time!$F$12,Time!AJ20&gt;0),(IF(Time!AI34=1,AI33,AI31)-AI30)*AJ147+IF(Time!AJ46&gt;0,Time!AJ45*AI30/Time!AJ46,0)+IF(Time!AI34=1,AI33,AI31)*AJ10,0)</f>
        <v>8.26503664842763</v>
      </c>
      <c r="AJ119" s="13" t="n">
        <f aca="false">IF(AND(Time!AJ20&gt;=Time!$F$12,Time!AK20&gt;0),(IF(Time!AJ34=1,AJ33,AJ31)-AJ30)*AK147+IF(Time!AK46&gt;0,Time!AK45*AJ30/Time!AK46,0)+IF(Time!AJ34=1,AJ33,AJ31)*AK10,0)</f>
        <v>8.08994698208969</v>
      </c>
      <c r="AK119" s="13" t="n">
        <f aca="false">IF(AND(Time!AK20&gt;=Time!$F$12,Time!AL20&gt;0),(IF(Time!AK34=1,AK33,AK31)-AK30)*AL147+IF(Time!AL46&gt;0,Time!AL45*AK30/Time!AL46,0)+IF(Time!AK34=1,AK33,AK31)*AL10,0)</f>
        <v>7.93290779681752</v>
      </c>
      <c r="AL119" s="13" t="n">
        <f aca="false">IF(AND(Time!AL20&gt;=Time!$F$12,Time!AM20&gt;0),(IF(Time!AL34=1,AL33,AL31)-AL30)*AM147+IF(Time!AM46&gt;0,Time!AM45*AL30/Time!AM46,0)+IF(Time!AL34=1,AL33,AL31)*AM10,0)</f>
        <v>7.75872065453288</v>
      </c>
      <c r="AM119" s="13" t="n">
        <f aca="false">IF(AND(Time!AM20&gt;=Time!$F$12,Time!AN20&gt;0),(IF(Time!AM34=1,AM33,AM31)-AM30)*AN147+IF(Time!AN46&gt;0,Time!AN45*AM30/Time!AN46,0)+IF(Time!AM34=1,AM33,AM31)*AN10,0)</f>
        <v>7.60077894520742</v>
      </c>
      <c r="AN119" s="13" t="n">
        <f aca="false">IF(AND(Time!AN20&gt;=Time!$F$12,Time!AO20&gt;0),(IF(Time!AN34=1,AN33,AN31)-AN30)*AO147+IF(Time!AO46&gt;0,Time!AO45*AN30/Time!AO46,0)+IF(Time!AN34=1,AN33,AN31)*AO10,0)</f>
        <v>7.4320069472425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1823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7.39369796705984</v>
      </c>
      <c r="P120" s="13" t="n">
        <f aca="false">IF(AND(Time!P20&gt;=Time!$F$12,Time!Q20&gt;0),(IF(Time!P34=1,P47,P45)-P44)*Q19+IF(Time!Q46&gt;0,Time!Q45*P44/Time!Q46,0)+IF(Time!P34=1,P47,P45)*Q11,0)</f>
        <v>7.43334956212424</v>
      </c>
      <c r="Q120" s="13" t="n">
        <f aca="false">IF(AND(Time!Q20&gt;=Time!$F$12,Time!R20&gt;0),(IF(Time!Q34=1,Q47,Q45)-Q44)*R19+IF(Time!R46&gt;0,Time!R45*Q44/Time!R46,0)+IF(Time!Q34=1,Q47,Q45)*R11,0)</f>
        <v>7.6501545211307</v>
      </c>
      <c r="R120" s="13" t="n">
        <f aca="false">IF(AND(Time!R20&gt;=Time!$F$12,Time!S20&gt;0),(IF(Time!R34=1,R47,R45)-R44)*S19+IF(Time!S46&gt;0,Time!S45*R44/Time!S46,0)+IF(Time!R34=1,R47,R45)*S11,0)</f>
        <v>7.62329159376301</v>
      </c>
      <c r="S120" s="13" t="n">
        <f aca="false">IF(AND(Time!S20&gt;=Time!$F$12,Time!T20&gt;0),(IF(Time!S34=1,S47,S45)-S44)*T19+IF(Time!T46&gt;0,Time!T45*S44/Time!T46,0)+IF(Time!S34=1,S47,S45)*T11,0)</f>
        <v>7.82650659171371</v>
      </c>
      <c r="T120" s="13" t="n">
        <f aca="false">IF(AND(Time!T20&gt;=Time!$F$12,Time!U20&gt;0),(IF(Time!T34=1,T47,T45)-T44)*U19+IF(Time!U46&gt;0,Time!U45*T44/Time!U46,0)+IF(Time!T34=1,T47,T45)*U11,0)</f>
        <v>7.83381316107823</v>
      </c>
      <c r="U120" s="13" t="n">
        <f aca="false">IF(AND(Time!U20&gt;=Time!$F$12,Time!V20&gt;0),(IF(Time!U34=1,U47,U45)-U44)*V19+IF(Time!V46&gt;0,Time!V45*U44/Time!V46,0)+IF(Time!U34=1,U47,U45)*V11,0)</f>
        <v>8.13144344210306</v>
      </c>
      <c r="V120" s="13" t="n">
        <f aca="false">IF(AND(Time!V20&gt;=Time!$F$12,Time!W20&gt;0),(IF(Time!V34=1,V47,V45)-V44)*W19+IF(Time!W46&gt;0,Time!W45*V44/Time!W46,0)+IF(Time!V34=1,V47,V45)*W11,0)</f>
        <v>8.11337403379892</v>
      </c>
      <c r="W120" s="13" t="n">
        <f aca="false">IF(AND(Time!W20&gt;=Time!$F$12,Time!X20&gt;0),(IF(Time!W34=1,W47,W45)-W44)*X19+IF(Time!X46&gt;0,Time!X45*W44/Time!X46,0)+IF(Time!W34=1,W47,W45)*X11,0)</f>
        <v>7.84564113106159</v>
      </c>
      <c r="X120" s="13" t="n">
        <f aca="false">IF(AND(Time!X20&gt;=Time!$F$12,Time!Y20&gt;0),(IF(Time!X34=1,X47,X45)-X44)*Y19+IF(Time!Y46&gt;0,Time!Y45*X44/Time!Y46,0)+IF(Time!X34=1,X47,X45)*Y11,0)</f>
        <v>7.63549403383375</v>
      </c>
      <c r="Y120" s="13" t="n">
        <f aca="false">IF(AND(Time!Y20&gt;=Time!$F$12,Time!Z20&gt;0),(IF(Time!Y34=1,Y47,Y45)-Y44)*Z19+IF(Time!Z46&gt;0,Time!Z45*Y44/Time!Z46,0)+IF(Time!Y34=1,Y47,Y45)*Z11,0)</f>
        <v>7.80919094460507</v>
      </c>
      <c r="Z120" s="13" t="n">
        <f aca="false">IF(AND(Time!Z20&gt;=Time!$F$12,Time!AA20&gt;0),(IF(Time!Z34=1,Z47,Z45)-Z44)*AA19+IF(Time!AA46&gt;0,Time!AA45*Z44/Time!AA46,0)+IF(Time!Z34=1,Z47,Z45)*AA11,0)</f>
        <v>7.79142283788169</v>
      </c>
      <c r="AA120" s="13" t="n">
        <f aca="false">IF(AND(Time!AA20&gt;=Time!$F$12,Time!AB20&gt;0),(IF(Time!AA34=1,AA47,AA45)-AA44)*AB19+IF(Time!AB46&gt;0,Time!AB45*AA44/Time!AB46,0)+IF(Time!AA34=1,AA47,AA45)*AB11,0)</f>
        <v>8.00879880501482</v>
      </c>
      <c r="AB120" s="13" t="n">
        <f aca="false">IF(AND(Time!AB20&gt;=Time!$F$12,Time!AC20&gt;0),(IF(Time!AB34=1,AB47,AB45)-AB44)*AC19+IF(Time!AC46&gt;0,Time!AC45*AB44/Time!AC46,0)+IF(Time!AB34=1,AB47,AB45)*AC11,0)</f>
        <v>8.04089647577037</v>
      </c>
      <c r="AC120" s="13" t="n">
        <f aca="false">IF(AND(Time!AC20&gt;=Time!$F$12,Time!AD20&gt;0),(IF(Time!AC34=1,AC47,AC45)-AC44)*AD19+IF(Time!AD46&gt;0,Time!AD45*AC44/Time!AD46,0)+IF(Time!AC34=1,AC47,AC45)*AD11,0)</f>
        <v>8.57064983394007</v>
      </c>
      <c r="AD120" s="13" t="n">
        <f aca="false">IF(AND(Time!AD20&gt;=Time!$F$12,Time!AE20&gt;0),(IF(Time!AD34=1,AD47,AD45)-AD44)*AE19+IF(Time!AE46&gt;0,Time!AE45*AD44/Time!AE46,0)+IF(Time!AD34=1,AD47,AD45)*AE11,0)</f>
        <v>8.67510437713428</v>
      </c>
      <c r="AE120" s="13" t="n">
        <f aca="false">IF(AND(Time!AE20&gt;=Time!$F$12,Time!AF20&gt;0),(IF(Time!AE34=1,AE47,AE45)-AE44)*AF19+IF(Time!AF46&gt;0,Time!AF45*AE44/Time!AF46,0)+IF(Time!AE34=1,AE47,AE45)*AF11,0)</f>
        <v>8.80491216340309</v>
      </c>
      <c r="AF120" s="13" t="n">
        <f aca="false">IF(AND(Time!AF20&gt;=Time!$F$12,Time!AG20&gt;0),(IF(Time!AF34=1,AF47,AF45)-AF44)*AG19+IF(Time!AG46&gt;0,Time!AG45*AF44/Time!AG46,0)+IF(Time!AF34=1,AF47,AF45)*AG11,0)</f>
        <v>8.70634444506438</v>
      </c>
      <c r="AG120" s="13" t="n">
        <f aca="false">IF(AND(Time!AG20&gt;=Time!$F$12,Time!AH20&gt;0),(IF(Time!AG34=1,AG47,AG45)-AG44)*AH19+IF(Time!AH46&gt;0,Time!AH45*AG44/Time!AH46,0)+IF(Time!AG34=1,AG47,AG45)*AH11,0)</f>
        <v>8.9654576228284</v>
      </c>
      <c r="AH120" s="13" t="n">
        <f aca="false">IF(AND(Time!AH20&gt;=Time!$F$12,Time!AI20&gt;0),(IF(Time!AH34=1,AH47,AH45)-AH44)*AI19+IF(Time!AI46&gt;0,Time!AI45*AH44/Time!AI46,0)+IF(Time!AH34=1,AH47,AH45)*AI11,0)</f>
        <v>8.97643845811024</v>
      </c>
      <c r="AI120" s="13" t="n">
        <f aca="false">IF(AND(Time!AI20&gt;=Time!$F$12,Time!AJ20&gt;0),(IF(Time!AI34=1,AI47,AI45)-AI44)*AJ19+IF(Time!AJ46&gt;0,Time!AJ45*AI44/Time!AJ46,0)+IF(Time!AI34=1,AI47,AI45)*AJ11,0)</f>
        <v>9.22562036173688</v>
      </c>
      <c r="AJ120" s="13" t="n">
        <f aca="false">IF(AND(Time!AJ20&gt;=Time!$F$12,Time!AK20&gt;0),(IF(Time!AJ34=1,AJ47,AJ45)-AJ44)*AK19+IF(Time!AK46&gt;0,Time!AK45*AJ44/Time!AK46,0)+IF(Time!AJ34=1,AJ47,AJ45)*AK11,0)</f>
        <v>9.2824122559064</v>
      </c>
      <c r="AK120" s="13" t="n">
        <f aca="false">IF(AND(Time!AK20&gt;=Time!$F$12,Time!AL20&gt;0),(IF(Time!AK34=1,AK47,AK45)-AK44)*AL19+IF(Time!AL46&gt;0,Time!AL45*AK44/Time!AL46,0)+IF(Time!AK34=1,AK47,AK45)*AL11,0)</f>
        <v>9.65659576836744</v>
      </c>
      <c r="AL120" s="13" t="n">
        <f aca="false">IF(AND(Time!AL20&gt;=Time!$F$12,Time!AM20&gt;0),(IF(Time!AL34=1,AL47,AL45)-AL44)*AM19+IF(Time!AM46&gt;0,Time!AM45*AL44/Time!AM46,0)+IF(Time!AL34=1,AL47,AL45)*AM11,0)</f>
        <v>9.68934047107591</v>
      </c>
      <c r="AM120" s="13" t="n">
        <f aca="false">IF(AND(Time!AM20&gt;=Time!$F$12,Time!AN20&gt;0),(IF(Time!AM34=1,AM47,AM45)-AM44)*AN19+IF(Time!AN46&gt;0,Time!AN45*AM44/Time!AN46,0)+IF(Time!AM34=1,AM47,AM45)*AN11,0)</f>
        <v>7.76626237677308</v>
      </c>
      <c r="AN120" s="13" t="n">
        <f aca="false">IF(AND(Time!AN20&gt;=Time!$F$12,Time!AO20&gt;0),(IF(Time!AN34=1,AN47,AN45)-AN44)*AO19+IF(Time!AO46&gt;0,Time!AO45*AN44/Time!AO46,0)+IF(Time!AN34=1,AN47,AN45)*AO11,0)</f>
        <v>7.29977835339049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1824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3.28027823365399</v>
      </c>
      <c r="P121" s="13" t="n">
        <f aca="false">IF(AND(Time!P20&gt;=Time!$F$12,Time!Q20&gt;0),(IF(Time!P34=1,P61,P59)-P58)*Q19+IF(Time!Q46&gt;0,Time!Q45*P58/Time!Q46,0)+IF(Time!P34=1,P61,P59)*Q12,0)</f>
        <v>3.3011106810799</v>
      </c>
      <c r="Q121" s="13" t="n">
        <f aca="false">IF(AND(Time!Q20&gt;=Time!$F$12,Time!R20&gt;0),(IF(Time!Q34=1,Q61,Q59)-Q58)*R19+IF(Time!R46&gt;0,Time!R45*Q58/Time!R46,0)+IF(Time!Q34=1,Q61,Q59)*R12,0)</f>
        <v>3.40000406121811</v>
      </c>
      <c r="R121" s="13" t="n">
        <f aca="false">IF(AND(Time!R20&gt;=Time!$F$12,Time!S20&gt;0),(IF(Time!R34=1,R61,R59)-R58)*S19+IF(Time!S46&gt;0,Time!S45*R58/Time!S46,0)+IF(Time!R34=1,R61,R59)*S12,0)</f>
        <v>3.39079684953502</v>
      </c>
      <c r="S121" s="13" t="n">
        <f aca="false">IF(AND(Time!S20&gt;=Time!$F$12,Time!T20&gt;0),(IF(Time!S34=1,S61,S59)-S58)*T19+IF(Time!T46&gt;0,Time!T45*S58/Time!T46,0)+IF(Time!S34=1,S61,S59)*T12,0)</f>
        <v>3.48379070902704</v>
      </c>
      <c r="T121" s="13" t="n">
        <f aca="false">IF(AND(Time!T20&gt;=Time!$F$12,Time!U20&gt;0),(IF(Time!T34=1,T61,T59)-T58)*U19+IF(Time!U46&gt;0,Time!U45*T58/Time!U46,0)+IF(Time!T34=1,T61,T59)*U12,0)</f>
        <v>3.48988650101006</v>
      </c>
      <c r="U121" s="13" t="n">
        <f aca="false">IF(AND(Time!U20&gt;=Time!$F$12,Time!V20&gt;0),(IF(Time!U34=1,U61,U59)-U58)*V19+IF(Time!V46&gt;0,Time!V45*U58/Time!V46,0)+IF(Time!U34=1,U61,U59)*V12,0)</f>
        <v>3.62648879882988</v>
      </c>
      <c r="V121" s="13" t="n">
        <f aca="false">IF(AND(Time!V20&gt;=Time!$F$12,Time!W20&gt;0),(IF(Time!V34=1,V61,V59)-V58)*W19+IF(Time!W46&gt;0,Time!W45*V58/Time!W46,0)+IF(Time!V34=1,V61,V59)*W12,0)</f>
        <v>3.62168658351559</v>
      </c>
      <c r="W121" s="13" t="n">
        <f aca="false">IF(AND(Time!W20&gt;=Time!$F$12,Time!X20&gt;0),(IF(Time!W34=1,W61,W59)-W58)*X19+IF(Time!X46&gt;0,Time!X45*W58/Time!X46,0)+IF(Time!W34=1,W61,W59)*X12,0)</f>
        <v>3.50131367023939</v>
      </c>
      <c r="X121" s="13" t="n">
        <f aca="false">IF(AND(Time!X20&gt;=Time!$F$12,Time!Y20&gt;0),(IF(Time!X34=1,X61,X59)-X58)*Y19+IF(Time!Y46&gt;0,Time!Y45*X58/Time!Y46,0)+IF(Time!X34=1,X61,X59)*Y12,0)</f>
        <v>3.4091240940077</v>
      </c>
      <c r="Y121" s="13" t="n">
        <f aca="false">IF(AND(Time!Y20&gt;=Time!$F$12,Time!Z20&gt;0),(IF(Time!Y34=1,Y61,Y59)-Y58)*Z19+IF(Time!Z46&gt;0,Time!Z45*Y58/Time!Z46,0)+IF(Time!Y34=1,Y61,Y59)*Z12,0)</f>
        <v>3.48936180286706</v>
      </c>
      <c r="Z121" s="13" t="n">
        <f aca="false">IF(AND(Time!Z20&gt;=Time!$F$12,Time!AA20&gt;0),(IF(Time!Z34=1,Z61,Z59)-Z58)*AA19+IF(Time!AA46&gt;0,Time!AA45*Z58/Time!AA46,0)+IF(Time!Z34=1,Z61,Z59)*AA12,0)</f>
        <v>3.48467826280276</v>
      </c>
      <c r="AA121" s="13" t="n">
        <f aca="false">IF(AND(Time!AA20&gt;=Time!$F$12,Time!AB20&gt;0),(IF(Time!AA34=1,AA61,AA59)-AA58)*AB19+IF(Time!AB46&gt;0,Time!AB45*AA58/Time!AB46,0)+IF(Time!AA34=1,AA61,AA59)*AB12,0)</f>
        <v>3.58510002933152</v>
      </c>
      <c r="AB121" s="13" t="n">
        <f aca="false">IF(AND(Time!AB20&gt;=Time!$F$12,Time!AC20&gt;0),(IF(Time!AB34=1,AB61,AB59)-AB58)*AC19+IF(Time!AC46&gt;0,Time!AC45*AB58/Time!AC46,0)+IF(Time!AB34=1,AB61,AB59)*AC12,0)</f>
        <v>3.60300013985275</v>
      </c>
      <c r="AC121" s="13" t="n">
        <f aca="false">IF(AND(Time!AC20&gt;=Time!$F$12,Time!AD20&gt;0),(IF(Time!AC34=1,AC61,AC59)-AC58)*AD19+IF(Time!AD46&gt;0,Time!AD45*AC58/Time!AD46,0)+IF(Time!AC34=1,AC61,AC59)*AD12,0)</f>
        <v>3.84609874610053</v>
      </c>
      <c r="AD121" s="13" t="n">
        <f aca="false">IF(AND(Time!AD20&gt;=Time!$F$12,Time!AE20&gt;0),(IF(Time!AD34=1,AD61,AD59)-AD58)*AE19+IF(Time!AE46&gt;0,Time!AE45*AD58/Time!AE46,0)+IF(Time!AD34=1,AD61,AD59)*AE12,0)</f>
        <v>3.89759432565417</v>
      </c>
      <c r="AE121" s="13" t="n">
        <f aca="false">IF(AND(Time!AE20&gt;=Time!$F$12,Time!AF20&gt;0),(IF(Time!AE34=1,AE61,AE59)-AE58)*AF19+IF(Time!AF46&gt;0,Time!AF45*AE58/Time!AF46,0)+IF(Time!AE34=1,AE61,AE59)*AF12,0)</f>
        <v>3.95930098520531</v>
      </c>
      <c r="AF121" s="13" t="n">
        <f aca="false">IF(AND(Time!AF20&gt;=Time!$F$12,Time!AG20&gt;0),(IF(Time!AF34=1,AF61,AF59)-AF58)*AG19+IF(Time!AG46&gt;0,Time!AG45*AF58/Time!AG46,0)+IF(Time!AF34=1,AF61,AF59)*AG12,0)</f>
        <v>3.91876672087151</v>
      </c>
      <c r="AG121" s="13" t="n">
        <f aca="false">IF(AND(Time!AG20&gt;=Time!$F$12,Time!AH20&gt;0),(IF(Time!AG34=1,AG61,AG59)-AG58)*AH19+IF(Time!AH46&gt;0,Time!AH45*AG58/Time!AH46,0)+IF(Time!AG34=1,AG61,AG59)*AH12,0)</f>
        <v>4.03962352620907</v>
      </c>
      <c r="AH121" s="13" t="n">
        <f aca="false">IF(AND(Time!AH20&gt;=Time!$F$12,Time!AI20&gt;0),(IF(Time!AH34=1,AH61,AH59)-AH58)*AI19+IF(Time!AI46&gt;0,Time!AI45*AH58/Time!AI46,0)+IF(Time!AH34=1,AH61,AH59)*AI12,0)</f>
        <v>4.04910608020021</v>
      </c>
      <c r="AI121" s="13" t="n">
        <f aca="false">IF(AND(Time!AI20&gt;=Time!$F$12,Time!AJ20&gt;0),(IF(Time!AI34=1,AI61,AI59)-AI58)*AJ19+IF(Time!AJ46&gt;0,Time!AJ45*AI58/Time!AJ46,0)+IF(Time!AI34=1,AI61,AI59)*AJ12,0)</f>
        <v>4.16599291815062</v>
      </c>
      <c r="AJ121" s="13" t="n">
        <f aca="false">IF(AND(Time!AJ20&gt;=Time!$F$12,Time!AK20&gt;0),(IF(Time!AJ34=1,AJ61,AJ59)-AJ58)*AK19+IF(Time!AK46&gt;0,Time!AK45*AJ58/Time!AK46,0)+IF(Time!AJ34=1,AJ61,AJ59)*AK12,0)</f>
        <v>4.19646586287308</v>
      </c>
      <c r="AK121" s="13" t="n">
        <f aca="false">IF(AND(Time!AK20&gt;=Time!$F$12,Time!AL20&gt;0),(IF(Time!AK34=1,AK61,AK59)-AK58)*AL19+IF(Time!AL46&gt;0,Time!AL45*AK58/Time!AL46,0)+IF(Time!AK34=1,AK61,AK59)*AL12,0)</f>
        <v>4.37090053061939</v>
      </c>
      <c r="AL121" s="13" t="n">
        <f aca="false">IF(AND(Time!AL20&gt;=Time!$F$12,Time!AM20&gt;0),(IF(Time!AL34=1,AL61,AL59)-AL58)*AM19+IF(Time!AM46&gt;0,Time!AM45*AL58/Time!AM46,0)+IF(Time!AL34=1,AL61,AL59)*AM12,0)</f>
        <v>4.39097428500484</v>
      </c>
      <c r="AM121" s="13" t="n">
        <f aca="false">IF(AND(Time!AM20&gt;=Time!$F$12,Time!AN20&gt;0),(IF(Time!AM34=1,AM61,AM59)-AM58)*AN19+IF(Time!AN46&gt;0,Time!AN45*AM58/Time!AN46,0)+IF(Time!AM34=1,AM61,AM59)*AN12,0)</f>
        <v>3.52179633869498</v>
      </c>
      <c r="AN121" s="13" t="n">
        <f aca="false">IF(AND(Time!AN20&gt;=Time!$F$12,Time!AO20&gt;0),(IF(Time!AN34=1,AN61,AN59)-AN58)*AO19+IF(Time!AO46&gt;0,Time!AO45*AN58/Time!AO46,0)+IF(Time!AN34=1,AN61,AN59)*AO12,0)</f>
        <v>3.3140477137508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1825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14.2989512267872</v>
      </c>
      <c r="P122" s="13" t="n">
        <f aca="false">IF(AND(Time!P20&gt;=Time!$F$12,Time!Q20&gt;0),(IF(Time!P34=1,P75,P73)-P72)*Q19+IF(Time!Q46&gt;0,Time!Q45*P72/Time!Q46,0)+IF(Time!P34=1,P75,P73)*Q13,0)</f>
        <v>14.316740891279</v>
      </c>
      <c r="Q122" s="13" t="n">
        <f aca="false">IF(AND(Time!Q20&gt;=Time!$F$12,Time!R20&gt;0),(IF(Time!Q34=1,Q75,Q73)-Q72)*R19+IF(Time!R46&gt;0,Time!R45*Q72/Time!R46,0)+IF(Time!Q34=1,Q75,Q73)*R13,0)</f>
        <v>14.6846485876215</v>
      </c>
      <c r="R122" s="13" t="n">
        <f aca="false">IF(AND(Time!R20&gt;=Time!$F$12,Time!S20&gt;0),(IF(Time!R34=1,R75,R73)-R72)*S19+IF(Time!S46&gt;0,Time!S45*R72/Time!S46,0)+IF(Time!R34=1,R75,R73)*S13,0)</f>
        <v>14.5823927250824</v>
      </c>
      <c r="S122" s="13" t="n">
        <f aca="false">IF(AND(Time!S20&gt;=Time!$F$12,Time!T20&gt;0),(IF(Time!S34=1,S75,S73)-S72)*T19+IF(Time!T46&gt;0,Time!T45*S72/Time!T46,0)+IF(Time!S34=1,S75,S73)*T13,0)</f>
        <v>14.9215346798669</v>
      </c>
      <c r="T122" s="13" t="n">
        <f aca="false">IF(AND(Time!T20&gt;=Time!$F$12,Time!U20&gt;0),(IF(Time!T34=1,T75,T73)-T72)*U19+IF(Time!U46&gt;0,Time!U45*T72/Time!U46,0)+IF(Time!T34=1,T75,T73)*U13,0)</f>
        <v>14.8813435395131</v>
      </c>
      <c r="U122" s="13" t="n">
        <f aca="false">IF(AND(Time!U20&gt;=Time!$F$12,Time!V20&gt;0),(IF(Time!U34=1,U75,U73)-U72)*V19+IF(Time!V46&gt;0,Time!V45*U72/Time!V46,0)+IF(Time!U34=1,U75,U73)*V13,0)</f>
        <v>15.3703874392671</v>
      </c>
      <c r="V122" s="13" t="n">
        <f aca="false">IF(AND(Time!V20&gt;=Time!$F$12,Time!W20&gt;0),(IF(Time!V34=1,V75,V73)-V72)*W19+IF(Time!W46&gt;0,Time!W45*V72/Time!W46,0)+IF(Time!V34=1,V75,V73)*W13,0)</f>
        <v>15.2742495321308</v>
      </c>
      <c r="W122" s="13" t="n">
        <f aca="false">IF(AND(Time!W20&gt;=Time!$F$12,Time!X20&gt;0),(IF(Time!W34=1,W75,W73)-W72)*X19+IF(Time!X46&gt;0,Time!X45*W72/Time!X46,0)+IF(Time!W34=1,W75,W73)*X13,0)</f>
        <v>14.7866037207559</v>
      </c>
      <c r="X122" s="13" t="n">
        <f aca="false">IF(AND(Time!X20&gt;=Time!$F$12,Time!Y20&gt;0),(IF(Time!X34=1,X75,X73)-X72)*Y19+IF(Time!Y46&gt;0,Time!Y45*X72/Time!Y46,0)+IF(Time!X34=1,X75,X73)*Y13,0)</f>
        <v>14.8800029102261</v>
      </c>
      <c r="Y122" s="13" t="n">
        <f aca="false">IF(AND(Time!Y20&gt;=Time!$F$12,Time!Z20&gt;0),(IF(Time!Y34=1,Y75,Y73)-Y72)*Z19+IF(Time!Z46&gt;0,Time!Z45*Y72/Time!Z46,0)+IF(Time!Y34=1,Y75,Y73)*Z13,0)</f>
        <v>15.1447272130498</v>
      </c>
      <c r="Z122" s="13" t="n">
        <f aca="false">IF(AND(Time!Z20&gt;=Time!$F$12,Time!AA20&gt;0),(IF(Time!Z34=1,Z75,Z73)-Z72)*AA19+IF(Time!AA46&gt;0,Time!AA45*Z72/Time!AA46,0)+IF(Time!Z34=1,Z75,Z73)*AA13,0)</f>
        <v>15.0208067538316</v>
      </c>
      <c r="AA122" s="13" t="n">
        <f aca="false">IF(AND(Time!AA20&gt;=Time!$F$12,Time!AB20&gt;0),(IF(Time!AA34=1,AA75,AA73)-AA72)*AB19+IF(Time!AB46&gt;0,Time!AB45*AA72/Time!AB46,0)+IF(Time!AA34=1,AA75,AA73)*AB13,0)</f>
        <v>15.3519105034609</v>
      </c>
      <c r="AB122" s="13" t="n">
        <f aca="false">IF(AND(Time!AB20&gt;=Time!$F$12,Time!AC20&gt;0),(IF(Time!AB34=1,AB75,AB73)-AB72)*AC19+IF(Time!AC46&gt;0,Time!AC45*AB72/Time!AC46,0)+IF(Time!AB34=1,AB75,AB73)*AC13,0)</f>
        <v>14.7926978914928</v>
      </c>
      <c r="AC122" s="13" t="n">
        <f aca="false">IF(AND(Time!AC20&gt;=Time!$F$12,Time!AD20&gt;0),(IF(Time!AC34=1,AC75,AC73)-AC72)*AD19+IF(Time!AD46&gt;0,Time!AD45*AC72/Time!AD46,0)+IF(Time!AC34=1,AC75,AC73)*AD13,0)</f>
        <v>14.9395219415502</v>
      </c>
      <c r="AD122" s="13" t="n">
        <f aca="false">IF(AND(Time!AD20&gt;=Time!$F$12,Time!AE20&gt;0),(IF(Time!AD34=1,AD75,AD73)-AD72)*AE19+IF(Time!AE46&gt;0,Time!AE45*AD72/Time!AE46,0)+IF(Time!AD34=1,AD75,AD73)*AE13,0)</f>
        <v>14.3286934232741</v>
      </c>
      <c r="AE122" s="13" t="n">
        <f aca="false">IF(AND(Time!AE20&gt;=Time!$F$12,Time!AF20&gt;0),(IF(Time!AE34=1,AE75,AE73)-AE72)*AF19+IF(Time!AF46&gt;0,Time!AF45*AE72/Time!AF46,0)+IF(Time!AE34=1,AE75,AE73)*AF13,0)</f>
        <v>13.5787074230522</v>
      </c>
      <c r="AF122" s="13" t="n">
        <f aca="false">IF(AND(Time!AF20&gt;=Time!$F$12,Time!AG20&gt;0),(IF(Time!AF34=1,AF75,AF73)-AF72)*AG19+IF(Time!AG46&gt;0,Time!AG45*AF72/Time!AG46,0)+IF(Time!AF34=1,AF75,AF73)*AG13,0)</f>
        <v>12.5848550727138</v>
      </c>
      <c r="AG122" s="13" t="n">
        <f aca="false">IF(AND(Time!AG20&gt;=Time!$F$12,Time!AH20&gt;0),(IF(Time!AG34=1,AG75,AG73)-AG72)*AH19+IF(Time!AH46&gt;0,Time!AH45*AG72/Time!AH46,0)+IF(Time!AG34=1,AG75,AG73)*AH13,0)</f>
        <v>11.5826370361347</v>
      </c>
      <c r="AH122" s="13" t="n">
        <f aca="false">IF(AND(Time!AH20&gt;=Time!$F$12,Time!AI20&gt;0),(IF(Time!AH34=1,AH75,AH73)-AH72)*AI19+IF(Time!AI46&gt;0,Time!AI45*AH72/Time!AI46,0)+IF(Time!AH34=1,AH75,AH73)*AI13,0)</f>
        <v>10.0478750632643</v>
      </c>
      <c r="AI122" s="13" t="n">
        <f aca="false">IF(AND(Time!AI20&gt;=Time!$F$12,Time!AJ20&gt;0),(IF(Time!AI34=1,AI75,AI73)-AI72)*AJ19+IF(Time!AJ46&gt;0,Time!AJ45*AI72/Time!AJ46,0)+IF(Time!AI34=1,AI75,AI73)*AJ13,0)</f>
        <v>8.35085732437188</v>
      </c>
      <c r="AJ122" s="13" t="n">
        <f aca="false">IF(AND(Time!AJ20&gt;=Time!$F$12,Time!AK20&gt;0),(IF(Time!AJ34=1,AJ75,AJ73)-AJ72)*AK19+IF(Time!AK46&gt;0,Time!AK45*AJ72/Time!AK46,0)+IF(Time!AJ34=1,AJ75,AJ73)*AK13,0)</f>
        <v>6.00262238329987</v>
      </c>
      <c r="AK122" s="13" t="n">
        <f aca="false">IF(AND(Time!AK20&gt;=Time!$F$12,Time!AL20&gt;0),(IF(Time!AK34=1,AK75,AK73)-AK72)*AL19+IF(Time!AL46&gt;0,Time!AL45*AK72/Time!AL46,0)+IF(Time!AK34=1,AK75,AK73)*AL13,0)</f>
        <v>2.89418063093226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1826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9.56291673085105E-013</v>
      </c>
      <c r="P123" s="13" t="n">
        <f aca="false">IF(AND(Time!P20&gt;=Time!$F$12,Time!Q20&gt;0),(IF(Time!P34=1,P89,P87)-P86)*Q19+IF(Time!Q46&gt;0,Time!Q45*P86/Time!Q46,0)+IF(Time!P34=1,P89,P87)*Q14,0)</f>
        <v>9.58112518990533E-013</v>
      </c>
      <c r="Q123" s="13" t="n">
        <f aca="false">IF(AND(Time!Q20&gt;=Time!$F$12,Time!R20&gt;0),(IF(Time!Q34=1,Q89,Q87)-Q86)*R19+IF(Time!R46&gt;0,Time!R45*Q86/Time!R46,0)+IF(Time!Q34=1,Q89,Q87)*R14,0)</f>
        <v>9.83301716567464E-013</v>
      </c>
      <c r="R123" s="13" t="n">
        <f aca="false">IF(AND(Time!R20&gt;=Time!$F$12,Time!S20&gt;0),(IF(Time!R34=1,R89,R87)-R86)*S19+IF(Time!S46&gt;0,Time!S45*R86/Time!S46,0)+IF(Time!R34=1,R89,R87)*S14,0)</f>
        <v>9.77017903403274E-013</v>
      </c>
      <c r="S123" s="13" t="n">
        <f aca="false">IF(AND(Time!S20&gt;=Time!$F$12,Time!T20&gt;0),(IF(Time!S34=1,S89,S87)-S86)*T19+IF(Time!T46&gt;0,Time!T45*S86/Time!T46,0)+IF(Time!S34=1,S89,S87)*T14,0)</f>
        <v>1.00031180918757E-012</v>
      </c>
      <c r="T123" s="13" t="n">
        <f aca="false">IF(AND(Time!T20&gt;=Time!$F$12,Time!U20&gt;0),(IF(Time!T34=1,T89,T87)-T86)*U19+IF(Time!U46&gt;0,Time!U45*T86/Time!U46,0)+IF(Time!T34=1,T89,T87)*U14,0)</f>
        <v>9.98243303949974E-013</v>
      </c>
      <c r="U123" s="13" t="n">
        <f aca="false">IF(AND(Time!U20&gt;=Time!$F$12,Time!V20&gt;0),(IF(Time!U34=1,U89,U87)-U86)*V19+IF(Time!V46&gt;0,Time!V45*U86/Time!V46,0)+IF(Time!U34=1,U89,U87)*V14,0)</f>
        <v>1.0319344689704E-012</v>
      </c>
      <c r="V123" s="13" t="n">
        <f aca="false">IF(AND(Time!V20&gt;=Time!$F$12,Time!W20&gt;0),(IF(Time!V34=1,V89,V87)-V86)*W19+IF(Time!W46&gt;0,Time!W45*V86/Time!W46,0)+IF(Time!V34=1,V89,V87)*W14,0)</f>
        <v>1.02620289228502E-012</v>
      </c>
      <c r="W123" s="13" t="n">
        <f aca="false">IF(AND(Time!W20&gt;=Time!$F$12,Time!X20&gt;0),(IF(Time!W34=1,W89,W87)-W86)*X19+IF(Time!X46&gt;0,Time!X45*W86/Time!X46,0)+IF(Time!W34=1,W89,W87)*X14,0)</f>
        <v>9.93248411958493E-013</v>
      </c>
      <c r="X123" s="13" t="n">
        <f aca="false">IF(AND(Time!X20&gt;=Time!$F$12,Time!Y20&gt;0),(IF(Time!X34=1,X89,X87)-X86)*Y19+IF(Time!Y46&gt;0,Time!Y45*X86/Time!Y46,0)+IF(Time!X34=1,X89,X87)*Y14,0)</f>
        <v>9.86243205693138E-013</v>
      </c>
      <c r="Y123" s="13" t="n">
        <f aca="false">IF(AND(Time!Y20&gt;=Time!$F$12,Time!Z20&gt;0),(IF(Time!Y34=1,Y89,Y87)-Y86)*Z19+IF(Time!Z46&gt;0,Time!Z45*Y86/Time!Z46,0)+IF(Time!Y34=1,Y89,Y87)*Z14,0)</f>
        <v>1.00491568826164E-012</v>
      </c>
      <c r="Z123" s="13" t="n">
        <f aca="false">IF(AND(Time!Z20&gt;=Time!$F$12,Time!AA20&gt;0),(IF(Time!Z34=1,Z89,Z87)-Z86)*AA19+IF(Time!AA46&gt;0,Time!AA45*Z86/Time!AA46,0)+IF(Time!Z34=1,Z89,Z87)*AA14,0)</f>
        <v>9.98065873250947E-013</v>
      </c>
      <c r="AA123" s="13" t="n">
        <f aca="false">IF(AND(Time!AA20&gt;=Time!$F$12,Time!AB20&gt;0),(IF(Time!AA34=1,AA89,AA87)-AA86)*AB19+IF(Time!AB46&gt;0,Time!AB45*AA86/Time!AB46,0)+IF(Time!AA34=1,AA89,AA87)*AB14,0)</f>
        <v>1.02142417881927E-012</v>
      </c>
      <c r="AB123" s="13" t="n">
        <f aca="false">IF(AND(Time!AB20&gt;=Time!$F$12,Time!AC20&gt;0),(IF(Time!AB34=1,AB89,AB87)-AB86)*AC19+IF(Time!AC46&gt;0,Time!AC45*AB86/Time!AC46,0)+IF(Time!AB34=1,AB89,AB87)*AC14,0)</f>
        <v>1.02056763889685E-012</v>
      </c>
      <c r="AC123" s="13" t="n">
        <f aca="false">IF(AND(Time!AC20&gt;=Time!$F$12,Time!AD20&gt;0),(IF(Time!AC34=1,AC89,AC87)-AC86)*AD19+IF(Time!AD46&gt;0,Time!AD45*AC86/Time!AD46,0)+IF(Time!AC34=1,AC89,AC87)*AD14,0)</f>
        <v>1.07978155782266E-012</v>
      </c>
      <c r="AD123" s="13" t="n">
        <f aca="false">IF(AND(Time!AD20&gt;=Time!$F$12,Time!AE20&gt;0),(IF(Time!AD34=1,AD89,AD87)-AD86)*AE19+IF(Time!AE46&gt;0,Time!AE45*AD86/Time!AE46,0)+IF(Time!AD34=1,AD89,AD87)*AE14,0)</f>
        <v>1.08646391232608E-012</v>
      </c>
      <c r="AE123" s="13" t="n">
        <f aca="false">IF(AND(Time!AE20&gt;=Time!$F$12,Time!AF20&gt;0),(IF(Time!AE34=1,AE89,AE87)-AE86)*AF19+IF(Time!AF46&gt;0,Time!AF45*AE86/Time!AF46,0)+IF(Time!AE34=1,AE89,AE87)*AF14,0)</f>
        <v>1.09797506707499E-012</v>
      </c>
      <c r="AF123" s="13" t="n">
        <f aca="false">IF(AND(Time!AF20&gt;=Time!$F$12,Time!AG20&gt;0),(IF(Time!AF34=1,AF89,AF87)-AF86)*AG19+IF(Time!AG46&gt;0,Time!AG45*AF86/Time!AG46,0)+IF(Time!AF34=1,AF89,AF87)*AG14,0)</f>
        <v>1.0937405847503E-012</v>
      </c>
      <c r="AG123" s="13" t="n">
        <f aca="false">IF(AND(Time!AG20&gt;=Time!$F$12,Time!AH20&gt;0),(IF(Time!AG34=1,AG89,AG87)-AG86)*AH19+IF(Time!AH46&gt;0,Time!AH45*AG86/Time!AH46,0)+IF(Time!AG34=1,AG89,AG87)*AH14,0)</f>
        <v>1.11890267218842E-012</v>
      </c>
      <c r="AH123" s="13" t="n">
        <f aca="false">IF(AND(Time!AH20&gt;=Time!$F$12,Time!AI20&gt;0),(IF(Time!AH34=1,AH89,AH87)-AH86)*AI19+IF(Time!AI46&gt;0,Time!AI45*AH86/Time!AI46,0)+IF(Time!AH34=1,AH89,AH87)*AI14,0)</f>
        <v>1.11234902700825E-012</v>
      </c>
      <c r="AI123" s="13" t="n">
        <f aca="false">IF(AND(Time!AI20&gt;=Time!$F$12,Time!AJ20&gt;0),(IF(Time!AI34=1,AI89,AI87)-AI86)*AJ19+IF(Time!AJ46&gt;0,Time!AJ45*AI86/Time!AJ46,0)+IF(Time!AI34=1,AI89,AI87)*AJ14,0)</f>
        <v>1.13538954992435E-012</v>
      </c>
      <c r="AJ123" s="13" t="n">
        <f aca="false">IF(AND(Time!AJ20&gt;=Time!$F$12,Time!AK20&gt;0),(IF(Time!AJ34=1,AJ89,AJ87)-AJ86)*AK19+IF(Time!AK46&gt;0,Time!AK45*AJ86/Time!AK46,0)+IF(Time!AJ34=1,AJ89,AJ87)*AK14,0)</f>
        <v>1.13394334509185E-012</v>
      </c>
      <c r="AK123" s="13" t="n">
        <f aca="false">IF(AND(Time!AK20&gt;=Time!$F$12,Time!AL20&gt;0),(IF(Time!AK34=1,AK89,AK87)-AK86)*AL19+IF(Time!AL46&gt;0,Time!AL45*AK86/Time!AL46,0)+IF(Time!AK34=1,AK89,AK87)*AL14,0)</f>
        <v>1.17044362839641E-012</v>
      </c>
      <c r="AL123" s="13" t="n">
        <f aca="false">IF(AND(Time!AL20&gt;=Time!$F$12,Time!AM20&gt;0),(IF(Time!AL34=1,AL89,AL87)-AL86)*AM19+IF(Time!AM46&gt;0,Time!AM45*AL86/Time!AM46,0)+IF(Time!AL34=1,AL89,AL87)*AM14,0)</f>
        <v>1.16523460691092E-012</v>
      </c>
      <c r="AM123" s="13" t="n">
        <f aca="false">IF(AND(Time!AM20&gt;=Time!$F$12,Time!AN20&gt;0),(IF(Time!AM34=1,AM89,AM87)-AM86)*AN19+IF(Time!AN46&gt;0,Time!AN45*AM86/Time!AN46,0)+IF(Time!AM34=1,AM89,AM87)*AN14,0)</f>
        <v>9.29922131815792E-013</v>
      </c>
      <c r="AN123" s="13" t="n">
        <f aca="false">IF(AND(Time!AN20&gt;=Time!$F$12,Time!AO20&gt;0),(IF(Time!AN34=1,AN89,AN87)-AN86)*AO19+IF(Time!AO46&gt;0,Time!AO45*AN86/Time!AO46,0)+IF(Time!AN34=1,AN89,AN87)*AO14,0)</f>
        <v>8.67444017564954E-013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1827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1828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37.2458954365957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37.1570164547307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37.6247850871586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37.3333124921438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37.7512177812382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37.5706927544304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38.2879202346828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38.0232274255105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36.9267950741505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36.5703920442144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36.8713631081105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36.5742873545516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37.004748631609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36.3016724143888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36.9813509964465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36.3374324412927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35.5257295340518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34.194688632112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33.3210437900683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31.6066453169966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30.0297068319435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27.5623840684158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24.7761716717648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21.7661643202512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18.8305492762072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18.0231980760082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1829</v>
      </c>
    </row>
    <row r="127" customFormat="false" ht="15" hidden="false" customHeight="false" outlineLevel="0" collapsed="false">
      <c r="D127" s="0" t="s">
        <v>1830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1831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791.785803015949</v>
      </c>
      <c r="Q128" s="13" t="n">
        <f aca="false">IF(Time!Q53=1,(Waterfall!Q7+R128)/(1+Q127),0)</f>
        <v>773.959201964423</v>
      </c>
      <c r="R128" s="13" t="n">
        <f aca="false">IF(Time!R53=1,(Waterfall!R7+S128)/(1+R127),0)</f>
        <v>755.219758879381</v>
      </c>
      <c r="S128" s="13" t="n">
        <f aca="false">IF(Time!S53=1,(Waterfall!S7+T128)/(1+S127),0)</f>
        <v>735.473470635155</v>
      </c>
      <c r="T128" s="13" t="n">
        <f aca="false">IF(Time!T53=1,(Waterfall!T7+U128)/(1+T127),0)</f>
        <v>715.015959238007</v>
      </c>
      <c r="U128" s="13" t="n">
        <f aca="false">IF(Time!U53=1,(Waterfall!U7+V128)/(1+U127),0)</f>
        <v>693.533347313834</v>
      </c>
      <c r="V128" s="13" t="n">
        <f aca="false">IF(Time!V53=1,(Waterfall!V7+W128)/(1+V127),0)</f>
        <v>671.236295406438</v>
      </c>
      <c r="W128" s="13" t="n">
        <f aca="false">IF(Time!W53=1,(Waterfall!W7+X128)/(1+W127),0)</f>
        <v>647.310810616966</v>
      </c>
      <c r="X128" s="13" t="n">
        <f aca="false">IF(Time!X53=1,(Waterfall!X7+Y128)/(1+X127),0)</f>
        <v>622.503175505903</v>
      </c>
      <c r="Y128" s="13" t="n">
        <f aca="false">IF(Time!Y53=1,(Waterfall!Y7+Z128)/(1+Y127),0)</f>
        <v>598.502400227098</v>
      </c>
      <c r="Z128" s="13" t="n">
        <f aca="false">IF(Time!Z53=1,(Waterfall!Z7+AA128)/(1+Z127),0)</f>
        <v>574.66922584111</v>
      </c>
      <c r="AA128" s="13" t="n">
        <f aca="false">IF(Time!AA53=1,(Waterfall!AA7+AB128)/(1+AA127),0)</f>
        <v>549.75159604144</v>
      </c>
      <c r="AB128" s="13" t="n">
        <f aca="false">IF(Time!AB53=1,(Waterfall!AB7+AC128)/(1+AB127),0)</f>
        <v>523.947645383733</v>
      </c>
      <c r="AC128" s="13" t="n">
        <f aca="false">IF(Time!AC53=1,(Waterfall!AC7+AD128)/(1+AC127),0)</f>
        <v>496.77998031158</v>
      </c>
      <c r="AD128" s="13" t="n">
        <f aca="false">IF(Time!AD53=1,(Waterfall!AD7+AE128)/(1+AD127),0)</f>
        <v>468.543332443909</v>
      </c>
      <c r="AE128" s="13" t="n">
        <f aca="false">IF(Time!AE53=1,(Waterfall!AE7+AF128)/(1+AE127),0)</f>
        <v>437.405666903977</v>
      </c>
      <c r="AF128" s="13" t="n">
        <f aca="false">IF(Time!AF53=1,(Waterfall!AF7+AG128)/(1+AF127),0)</f>
        <v>404.69584977318</v>
      </c>
      <c r="AG128" s="13" t="n">
        <f aca="false">IF(Time!AG53=1,(Waterfall!AG7+AH128)/(1+AG127),0)</f>
        <v>370.704155028848</v>
      </c>
      <c r="AH128" s="13" t="n">
        <f aca="false">IF(Time!AH53=1,(Waterfall!AH7+AI128)/(1+AH127),0)</f>
        <v>336.066418778367</v>
      </c>
      <c r="AI128" s="13" t="n">
        <f aca="false">IF(Time!AI53=1,(Waterfall!AI7+AJ128)/(1+AI127),0)</f>
        <v>299.482830217582</v>
      </c>
      <c r="AJ128" s="13" t="n">
        <f aca="false">IF(Time!AJ53=1,(Waterfall!AJ7+AK128)/(1+AJ127),0)</f>
        <v>261.594647709326</v>
      </c>
      <c r="AK128" s="13" t="n">
        <f aca="false">IF(Time!AK53=1,(Waterfall!AK7+AL128)/(1+AK127),0)</f>
        <v>221.653849383686</v>
      </c>
      <c r="AL128" s="13" t="n">
        <f aca="false">IF(Time!AL53=1,(Waterfall!AL7+AM128)/(1+AL127),0)</f>
        <v>180.173308915546</v>
      </c>
      <c r="AM128" s="13" t="n">
        <f aca="false">IF(Time!AM53=1,(Waterfall!AM7+AN128)/(1+AM127),0)</f>
        <v>135.89789691165</v>
      </c>
      <c r="AN128" s="13" t="n">
        <f aca="false">IF(Time!AN53=1,(Waterfall!AN7+AO128)/(1+AN127),0)</f>
        <v>90.0410158100242</v>
      </c>
      <c r="AO128" s="13" t="n">
        <f aca="false">IF(Time!AO53=1,(Waterfall!AO7+AP128)/(1+AO127),0)</f>
        <v>44.1456594443754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1832</v>
      </c>
      <c r="E129" s="0" t="s">
        <v>204</v>
      </c>
      <c r="F129" s="11" t="n">
        <f aca="false">INDEX($J$128:$BN$128,1,Time!$F$13)/(Funding!$F$25*(1-Inputs!$F$75)+INDEX($J$150:$BN$150,1,Time!$F$13))</f>
        <v>1.3274474821559</v>
      </c>
    </row>
    <row r="130" customFormat="false" ht="15" hidden="false" customHeight="false" outlineLevel="0" collapsed="false">
      <c r="D130" s="0" t="s">
        <v>1833</v>
      </c>
      <c r="E130" s="0" t="s">
        <v>151</v>
      </c>
      <c r="F130" s="17" t="n">
        <f aca="false">Funding!$F$25*$F$129/Inputs!$F$106</f>
        <v>619.426007162637</v>
      </c>
    </row>
    <row r="131" customFormat="false" ht="15" hidden="false" customHeight="false" outlineLevel="0" collapsed="false">
      <c r="D131" s="0" t="s">
        <v>1834</v>
      </c>
      <c r="E131" s="0" t="s">
        <v>151</v>
      </c>
      <c r="F131" s="17" t="n">
        <f aca="false">Inputs!$F$105*Funding!$F$24</f>
        <v>643.081366618338</v>
      </c>
    </row>
    <row r="132" customFormat="false" ht="15" hidden="false" customHeight="false" outlineLevel="0" collapsed="false">
      <c r="D132" s="0" t="s">
        <v>1835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37.1194642712109</v>
      </c>
      <c r="Q132" s="13" t="n">
        <f aca="false">IF(Time!Q53=1,(Waterfall!Q7)/$F$129,0)</f>
        <v>37.0235223346222</v>
      </c>
      <c r="R132" s="13" t="n">
        <f aca="false">IF(Time!R53=1,(Waterfall!R7)/$F$129,0)</f>
        <v>37.4866967296195</v>
      </c>
      <c r="S132" s="13" t="n">
        <f aca="false">IF(Time!S53=1,(Waterfall!S7)/$F$129,0)</f>
        <v>37.1859886149693</v>
      </c>
      <c r="T132" s="13" t="n">
        <f aca="false">IF(Time!T53=1,(Waterfall!T7)/$F$129,0)</f>
        <v>37.5981766094946</v>
      </c>
      <c r="U132" s="13" t="n">
        <f aca="false">IF(Time!U53=1,(Waterfall!U7)/$F$129,0)</f>
        <v>37.4094760412209</v>
      </c>
      <c r="V132" s="13" t="n">
        <f aca="false">IF(Time!V53=1,(Waterfall!V7)/$F$129,0)</f>
        <v>38.1272509760091</v>
      </c>
      <c r="W132" s="13" t="n">
        <f aca="false">IF(Time!W53=1,(Waterfall!W7)/$F$129,0)</f>
        <v>37.8528563542104</v>
      </c>
      <c r="X132" s="13" t="n">
        <f aca="false">IF(Time!X53=1,(Waterfall!X7)/$F$129,0)</f>
        <v>36.7244088787049</v>
      </c>
      <c r="Y132" s="13" t="n">
        <f aca="false">IF(Time!Y53=1,(Waterfall!Y7)/$F$129,0)</f>
        <v>36.3573782193396</v>
      </c>
      <c r="Z132" s="13" t="n">
        <f aca="false">IF(Time!Z53=1,(Waterfall!Z7)/$F$129,0)</f>
        <v>36.6497806621687</v>
      </c>
      <c r="AA132" s="13" t="n">
        <f aca="false">IF(Time!AA53=1,(Waterfall!AA7)/$F$129,0)</f>
        <v>36.3429846169261</v>
      </c>
      <c r="AB132" s="13" t="n">
        <f aca="false">IF(Time!AB53=1,(Waterfall!AB7)/$F$129,0)</f>
        <v>36.766776229501</v>
      </c>
      <c r="AC132" s="13" t="n">
        <f aca="false">IF(Time!AC53=1,(Waterfall!AC7)/$F$129,0)</f>
        <v>36.606804357056</v>
      </c>
      <c r="AD132" s="13" t="n">
        <f aca="false">IF(Time!AD53=1,(Waterfall!AD7)/$F$129,0)</f>
        <v>38.0337795845023</v>
      </c>
      <c r="AE132" s="13" t="n">
        <f aca="false">IF(Time!AE53=1,(Waterfall!AE7)/$F$129,0)</f>
        <v>38.0908452943597</v>
      </c>
      <c r="AF132" s="13" t="n">
        <f aca="false">IF(Time!AF53=1,(Waterfall!AF7)/$F$129,0)</f>
        <v>38.1974155402657</v>
      </c>
      <c r="AG132" s="13" t="n">
        <f aca="false">IF(Time!AG53=1,(Waterfall!AG7)/$F$129,0)</f>
        <v>37.9156504451679</v>
      </c>
      <c r="AH132" s="13" t="n">
        <f aca="false">IF(Time!AH53=1,(Waterfall!AH7)/$F$129,0)</f>
        <v>38.4050496143646</v>
      </c>
      <c r="AI132" s="13" t="n">
        <f aca="false">IF(Time!AI53=1,(Waterfall!AI7)/$F$129,0)</f>
        <v>38.0929683611106</v>
      </c>
      <c r="AJ132" s="13" t="n">
        <f aca="false">IF(Time!AJ53=1,(Waterfall!AJ7)/$F$129,0)</f>
        <v>38.5307316702324</v>
      </c>
      <c r="AK132" s="13" t="n">
        <f aca="false">IF(Time!AK53=1,(Waterfall!AK7)/$F$129,0)</f>
        <v>38.3453109847195</v>
      </c>
      <c r="AL132" s="13" t="n">
        <f aca="false">IF(Time!AL53=1,(Waterfall!AL7)/$F$129,0)</f>
        <v>39.1684371268829</v>
      </c>
      <c r="AM132" s="13" t="n">
        <f aca="false">IF(Time!AM53=1,(Waterfall!AM7)/$F$129,0)</f>
        <v>38.8790893185953</v>
      </c>
      <c r="AN132" s="13" t="n">
        <f aca="false">IF(Time!AN53=1,(Waterfall!AN7)/$F$129,0)</f>
        <v>37.4799888456343</v>
      </c>
      <c r="AO132" s="13" t="n">
        <f aca="false">IF(Time!AO53=1,(Waterfall!AO7)/$F$129,0)</f>
        <v>34.6639031264299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1836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432.756547334248</v>
      </c>
      <c r="R133" s="13" t="n">
        <f aca="false">IF(Time!R53=1,IF(Time!R20=Time!$F$13,Funding!$F$25*(1-Inputs!$F$75),Q133-Q134),0)</f>
        <v>423.94757814651</v>
      </c>
      <c r="S133" s="13" t="n">
        <f aca="false">IF(Time!S53=1,IF(Time!S20=Time!$F$13,Funding!$F$25*(1-Inputs!$F$75),R133-R134),0)</f>
        <v>414.393501147742</v>
      </c>
      <c r="T133" s="13" t="n">
        <f aca="false">IF(Time!T53=1,IF(Time!T20=Time!$F$13,Funding!$F$25*(1-Inputs!$F$75),S133-S134),0)</f>
        <v>404.392222566048</v>
      </c>
      <c r="U133" s="13" t="n">
        <f aca="false">IF(Time!U53=1,IF(Time!U20=Time!$F$13,Funding!$F$25*(1-Inputs!$F$75),T133-T134),0)</f>
        <v>393.638587137381</v>
      </c>
      <c r="V133" s="13" t="n">
        <f aca="false">IF(Time!V53=1,IF(Time!V20=Time!$F$13,Funding!$F$25*(1-Inputs!$F$75),U133-U134),0)</f>
        <v>382.350689026816</v>
      </c>
      <c r="W133" s="13" t="n">
        <f aca="false">IF(Time!W53=1,IF(Time!W20=Time!$F$13,Funding!$F$25*(1-Inputs!$F$75),V133-V134),0)</f>
        <v>369.873633431475</v>
      </c>
      <c r="X133" s="13" t="n">
        <f aca="false">IF(Time!X53=1,IF(Time!X20=Time!$F$13,Funding!$F$25*(1-Inputs!$F$75),W133-W134),0)</f>
        <v>356.824514226405</v>
      </c>
      <c r="Y133" s="13" t="n">
        <f aca="false">IF(Time!Y53=1,IF(Time!Y20=Time!$F$13,Funding!$F$25*(1-Inputs!$F$75),X133-X134),0)</f>
        <v>344.417415541382</v>
      </c>
      <c r="Z133" s="13" t="n">
        <f aca="false">IF(Time!Z53=1,IF(Time!Z20=Time!$F$13,Funding!$F$25*(1-Inputs!$F$75),Y133-Y134),0)</f>
        <v>332.069915393493</v>
      </c>
      <c r="AA133" s="13" t="n">
        <f aca="false">IF(Time!AA53=1,IF(Time!AA20=Time!$F$13,Funding!$F$25*(1-Inputs!$F$75),Z133-Z134),0)</f>
        <v>318.947103307315</v>
      </c>
      <c r="AB133" s="13" t="n">
        <f aca="false">IF(Time!AB53=1,IF(Time!AB20=Time!$F$13,Funding!$F$25*(1-Inputs!$F$75),AA133-AA134),0)</f>
        <v>305.258717845297</v>
      </c>
      <c r="AC133" s="13" t="n">
        <f aca="false">IF(Time!AC53=1,IF(Time!AC20=Time!$F$13,Funding!$F$25*(1-Inputs!$F$75),AB133-AB134),0)</f>
        <v>290.593608150686</v>
      </c>
      <c r="AD133" s="13" t="n">
        <f aca="false">IF(Time!AD53=1,IF(Time!AD20=Time!$F$13,Funding!$F$25*(1-Inputs!$F$75),AC133-AC134),0)</f>
        <v>275.220227684677</v>
      </c>
      <c r="AE133" s="13" t="n">
        <f aca="false">IF(Time!AE53=1,IF(Time!AE20=Time!$F$13,Funding!$F$25*(1-Inputs!$F$75),AD133-AD134),0)</f>
        <v>257.729529956644</v>
      </c>
      <c r="AF133" s="13" t="n">
        <f aca="false">IF(Time!AF53=1,IF(Time!AF20=Time!$F$13,Funding!$F$25*(1-Inputs!$F$75),AE133-AE134),0)</f>
        <v>239.16324724009</v>
      </c>
      <c r="AG133" s="13" t="n">
        <f aca="false">IF(Time!AG53=1,IF(Time!AG20=Time!$F$13,Funding!$F$25*(1-Inputs!$F$75),AF133-AF134),0)</f>
        <v>219.701773709788</v>
      </c>
      <c r="AH133" s="13" t="n">
        <f aca="false">IF(Time!AH53=1,IF(Time!AH20=Time!$F$13,Funding!$F$25*(1-Inputs!$F$75),AG133-AG134),0)</f>
        <v>199.775981069377</v>
      </c>
      <c r="AI133" s="13" t="n">
        <f aca="false">IF(Time!AI53=1,IF(Time!AI20=Time!$F$13,Funding!$F$25*(1-Inputs!$F$75),AH133-AH134),0)</f>
        <v>178.470141439174</v>
      </c>
      <c r="AJ133" s="13" t="n">
        <f aca="false">IF(Time!AJ53=1,IF(Time!AJ20=Time!$F$13,Funding!$F$25*(1-Inputs!$F$75),AI133-AI134),0)</f>
        <v>156.305895133454</v>
      </c>
      <c r="AK133" s="13" t="n">
        <f aca="false">IF(Time!AK53=1,IF(Time!AK20=Time!$F$13,Funding!$F$25*(1-Inputs!$F$75),AJ133-AJ134),0)</f>
        <v>132.694075990746</v>
      </c>
      <c r="AL133" s="13" t="n">
        <f aca="false">IF(Time!AL53=1,IF(Time!AL20=Time!$F$13,Funding!$F$25*(1-Inputs!$F$75),AK133-AK134),0)</f>
        <v>108.04835481229</v>
      </c>
      <c r="AM133" s="13" t="n">
        <f aca="false">IF(Time!AM53=1,IF(Time!AM20=Time!$F$13,Funding!$F$25*(1-Inputs!$F$75),AL133-AL134),0)</f>
        <v>81.4134380327697</v>
      </c>
      <c r="AN133" s="13" t="n">
        <f aca="false">IF(Time!AN53=1,IF(Time!AN20=Time!$F$13,Funding!$F$25*(1-Inputs!$F$75),AM133-AM134),0)</f>
        <v>53.7230042214174</v>
      </c>
      <c r="AO133" s="13" t="n">
        <f aca="false">IF(Time!AO53=1,IF(Time!AO20=Time!$F$13,Funding!$F$25*(1-Inputs!$F$75),AN133-AN134),0)</f>
        <v>26.1311983258527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1837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8.20822501065548</v>
      </c>
      <c r="Q134" s="13" t="n">
        <f aca="false">Q132-Q149-Q133*Q127</f>
        <v>8.80896918773745</v>
      </c>
      <c r="R134" s="13" t="n">
        <f aca="false">R132-R149-R133*R127</f>
        <v>9.55407699876885</v>
      </c>
      <c r="S134" s="13" t="n">
        <f aca="false">S132-S149-S133*S127</f>
        <v>10.001278581694</v>
      </c>
      <c r="T134" s="13" t="n">
        <f aca="false">T132-T149-T133*T127</f>
        <v>10.7536354286669</v>
      </c>
      <c r="U134" s="13" t="n">
        <f aca="false">U132-U149-U133*U127</f>
        <v>11.2878981105648</v>
      </c>
      <c r="V134" s="13" t="n">
        <f aca="false">V132-V149-V133*V127</f>
        <v>12.4770555953407</v>
      </c>
      <c r="W134" s="13" t="n">
        <f aca="false">W132-W149-W133*W127</f>
        <v>13.0491192050705</v>
      </c>
      <c r="X134" s="13" t="n">
        <f aca="false">X132-X149-X133*X127</f>
        <v>12.4070986850224</v>
      </c>
      <c r="Y134" s="13" t="n">
        <f aca="false">Y132-Y149-Y133*Y127</f>
        <v>12.3475001478891</v>
      </c>
      <c r="Z134" s="13" t="n">
        <f aca="false">Z132-Z149-Z133*Z127</f>
        <v>13.1228120861782</v>
      </c>
      <c r="AA134" s="13" t="n">
        <f aca="false">AA132-AA149-AA133*AA127</f>
        <v>13.6883854620183</v>
      </c>
      <c r="AB134" s="13" t="n">
        <f aca="false">AB132-AB149-AB133*AB127</f>
        <v>14.6651096946104</v>
      </c>
      <c r="AC134" s="13" t="n">
        <f aca="false">AC132-AC149-AC133*AC127</f>
        <v>15.3733804660096</v>
      </c>
      <c r="AD134" s="13" t="n">
        <f aca="false">AD132-AD149-AD133*AD127</f>
        <v>17.4906977280326</v>
      </c>
      <c r="AE134" s="13" t="n">
        <f aca="false">AE132-AE149-AE133*AE127</f>
        <v>18.5662827165545</v>
      </c>
      <c r="AF134" s="13" t="n">
        <f aca="false">AF132-AF149-AF133*AF127</f>
        <v>19.4614735303012</v>
      </c>
      <c r="AG134" s="13" t="n">
        <f aca="false">AG132-AG149-AG133*AG127</f>
        <v>19.9257926404112</v>
      </c>
      <c r="AH134" s="13" t="n">
        <f aca="false">AH132-AH149-AH133*AH127</f>
        <v>21.3058396302035</v>
      </c>
      <c r="AI134" s="13" t="n">
        <f aca="false">AI132-AI149-AI133*AI127</f>
        <v>22.1642463057197</v>
      </c>
      <c r="AJ134" s="13" t="n">
        <f aca="false">AJ132-AJ149-AJ133*AJ127</f>
        <v>23.6118191427076</v>
      </c>
      <c r="AK134" s="13" t="n">
        <f aca="false">AK132-AK149-AK133*AK127</f>
        <v>24.6457211784562</v>
      </c>
      <c r="AL134" s="13" t="n">
        <f aca="false">AL132-AL149-AL133*AL127</f>
        <v>26.6349167795204</v>
      </c>
      <c r="AM134" s="13" t="n">
        <f aca="false">AM132-AM149-AM133*AM127</f>
        <v>27.6904338113523</v>
      </c>
      <c r="AN134" s="13" t="n">
        <f aca="false">AN132-AN149-AN133*AN127</f>
        <v>27.5918058955647</v>
      </c>
      <c r="AO134" s="13" t="n">
        <f aca="false">AO132-AO149-AO133*AO127</f>
        <v>26.1311983258521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1838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</v>
      </c>
      <c r="Q135" s="13" t="n">
        <f aca="false">IF(Inputs!$F$8=1,Q134-Time!Q53*Inputs!Q298*Funding!$F$25*(1-Inputs!$F$75),0)</f>
        <v>0</v>
      </c>
      <c r="R135" s="13" t="n">
        <f aca="false">IF(Inputs!$F$8=1,R134-Time!R53*Inputs!R298*Funding!$F$25*(1-Inputs!$F$75),0)</f>
        <v>0</v>
      </c>
      <c r="S135" s="13" t="n">
        <f aca="false">IF(Inputs!$F$8=1,S134-Time!S53*Inputs!S298*Funding!$F$25*(1-Inputs!$F$75),0)</f>
        <v>0</v>
      </c>
      <c r="T135" s="13" t="n">
        <f aca="false">IF(Inputs!$F$8=1,T134-Time!T53*Inputs!T298*Funding!$F$25*(1-Inputs!$F$75),0)</f>
        <v>0</v>
      </c>
      <c r="U135" s="13" t="n">
        <f aca="false">IF(Inputs!$F$8=1,U134-Time!U53*Inputs!U298*Funding!$F$25*(1-Inputs!$F$75),0)</f>
        <v>0</v>
      </c>
      <c r="V135" s="13" t="n">
        <f aca="false">IF(Inputs!$F$8=1,V134-Time!V53*Inputs!V298*Funding!$F$25*(1-Inputs!$F$75),0)</f>
        <v>0</v>
      </c>
      <c r="W135" s="13" t="n">
        <f aca="false">IF(Inputs!$F$8=1,W134-Time!W53*Inputs!W298*Funding!$F$25*(1-Inputs!$F$75),0)</f>
        <v>0</v>
      </c>
      <c r="X135" s="13" t="n">
        <f aca="false">IF(Inputs!$F$8=1,X134-Time!X53*Inputs!X298*Funding!$F$25*(1-Inputs!$F$75),0)</f>
        <v>0</v>
      </c>
      <c r="Y135" s="13" t="n">
        <f aca="false">IF(Inputs!$F$8=1,Y134-Time!Y53*Inputs!Y298*Funding!$F$25*(1-Inputs!$F$75),0)</f>
        <v>0</v>
      </c>
      <c r="Z135" s="13" t="n">
        <f aca="false">IF(Inputs!$F$8=1,Z134-Time!Z53*Inputs!Z298*Funding!$F$25*(1-Inputs!$F$75),0)</f>
        <v>0</v>
      </c>
      <c r="AA135" s="13" t="n">
        <f aca="false">IF(Inputs!$F$8=1,AA134-Time!AA53*Inputs!AA298*Funding!$F$25*(1-Inputs!$F$75),0)</f>
        <v>0</v>
      </c>
      <c r="AB135" s="13" t="n">
        <f aca="false">IF(Inputs!$F$8=1,AB134-Time!AB53*Inputs!AB298*Funding!$F$25*(1-Inputs!$F$75),0)</f>
        <v>0</v>
      </c>
      <c r="AC135" s="13" t="n">
        <f aca="false">IF(Inputs!$F$8=1,AC134-Time!AC53*Inputs!AC298*Funding!$F$25*(1-Inputs!$F$75),0)</f>
        <v>0</v>
      </c>
      <c r="AD135" s="13" t="n">
        <f aca="false">IF(Inputs!$F$8=1,AD134-Time!AD53*Inputs!AD298*Funding!$F$25*(1-Inputs!$F$75),0)</f>
        <v>0</v>
      </c>
      <c r="AE135" s="13" t="n">
        <f aca="false">IF(Inputs!$F$8=1,AE134-Time!AE53*Inputs!AE298*Funding!$F$25*(1-Inputs!$F$75),0)</f>
        <v>0</v>
      </c>
      <c r="AF135" s="13" t="n">
        <f aca="false">IF(Inputs!$F$8=1,AF134-Time!AF53*Inputs!AF298*Funding!$F$25*(1-Inputs!$F$75),0)</f>
        <v>0</v>
      </c>
      <c r="AG135" s="13" t="n">
        <f aca="false">IF(Inputs!$F$8=1,AG134-Time!AG53*Inputs!AG298*Funding!$F$25*(1-Inputs!$F$75),0)</f>
        <v>0</v>
      </c>
      <c r="AH135" s="13" t="n">
        <f aca="false">IF(Inputs!$F$8=1,AH134-Time!AH53*Inputs!AH298*Funding!$F$25*(1-Inputs!$F$75),0)</f>
        <v>0</v>
      </c>
      <c r="AI135" s="13" t="n">
        <f aca="false">IF(Inputs!$F$8=1,AI134-Time!AI53*Inputs!AI298*Funding!$F$25*(1-Inputs!$F$75),0)</f>
        <v>0</v>
      </c>
      <c r="AJ135" s="13" t="n">
        <f aca="false">IF(Inputs!$F$8=1,AJ134-Time!AJ53*Inputs!AJ298*Funding!$F$25*(1-Inputs!$F$75),0)</f>
        <v>0</v>
      </c>
      <c r="AK135" s="13" t="n">
        <f aca="false">IF(Inputs!$F$8=1,AK134-Time!AK53*Inputs!AK298*Funding!$F$25*(1-Inputs!$F$75),0)</f>
        <v>0</v>
      </c>
      <c r="AL135" s="13" t="n">
        <f aca="false">IF(Inputs!$F$8=1,AL134-Time!AL53*Inputs!AL298*Funding!$F$25*(1-Inputs!$F$75),0)</f>
        <v>0</v>
      </c>
      <c r="AM135" s="13" t="n">
        <f aca="false">IF(Inputs!$F$8=1,AM134-Time!AM53*Inputs!AM298*Funding!$F$25*(1-Inputs!$F$75),0)</f>
        <v>0</v>
      </c>
      <c r="AN135" s="13" t="n">
        <f aca="false">IF(Inputs!$F$8=1,AN134-Time!AN53*Inputs!AN298*Funding!$F$25*(1-Inputs!$F$75),0)</f>
        <v>0</v>
      </c>
      <c r="AO135" s="13" t="n">
        <f aca="false">IF(Inputs!$F$8=1,AO134-Time!AO53*Inputs!AO298*Funding!$F$25*(1-Inputs!$F$75),0)</f>
        <v>0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1839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1840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1841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1842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1843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1844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1845</v>
      </c>
    </row>
    <row r="145" customFormat="false" ht="15" hidden="false" customHeight="false" outlineLevel="0" collapsed="false">
      <c r="D145" s="0" t="s">
        <v>1846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1847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1848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1849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1850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1851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1853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1854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1855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37.2458954365957</v>
      </c>
      <c r="Q9" s="13" t="n">
        <f aca="false">IF(Time!Q34=1,SUM(Funding!$J$44:$BJ$44),P13)</f>
        <v>37.1570164547307</v>
      </c>
      <c r="R9" s="13" t="n">
        <f aca="false">IF(Time!R34=1,SUM(Funding!$J$44:$BJ$44),Q13)</f>
        <v>37.6247850871586</v>
      </c>
      <c r="S9" s="13" t="n">
        <f aca="false">IF(Time!S34=1,SUM(Funding!$J$44:$BJ$44),R13)</f>
        <v>37.3333124921438</v>
      </c>
      <c r="T9" s="13" t="n">
        <f aca="false">IF(Time!T34=1,SUM(Funding!$J$44:$BJ$44),S13)</f>
        <v>37.7512177812382</v>
      </c>
      <c r="U9" s="13" t="n">
        <f aca="false">IF(Time!U34=1,SUM(Funding!$J$44:$BJ$44),T13)</f>
        <v>37.5706927544304</v>
      </c>
      <c r="V9" s="13" t="n">
        <f aca="false">IF(Time!V34=1,SUM(Funding!$J$44:$BJ$44),U13)</f>
        <v>38.2879202346828</v>
      </c>
      <c r="W9" s="13" t="n">
        <f aca="false">IF(Time!W34=1,SUM(Funding!$J$44:$BJ$44),V13)</f>
        <v>38.0232274255105</v>
      </c>
      <c r="X9" s="13" t="n">
        <f aca="false">IF(Time!X34=1,SUM(Funding!$J$44:$BJ$44),W13)</f>
        <v>36.9267950741505</v>
      </c>
      <c r="Y9" s="13" t="n">
        <f aca="false">IF(Time!Y34=1,SUM(Funding!$J$44:$BJ$44),X13)</f>
        <v>36.5703920442144</v>
      </c>
      <c r="Z9" s="13" t="n">
        <f aca="false">IF(Time!Z34=1,SUM(Funding!$J$44:$BJ$44),Y13)</f>
        <v>36.8713631081105</v>
      </c>
      <c r="AA9" s="13" t="n">
        <f aca="false">IF(Time!AA34=1,SUM(Funding!$J$44:$BJ$44),Z13)</f>
        <v>36.5742873545516</v>
      </c>
      <c r="AB9" s="13" t="n">
        <f aca="false">IF(Time!AB34=1,SUM(Funding!$J$44:$BJ$44),AA13)</f>
        <v>37.004748631609</v>
      </c>
      <c r="AC9" s="13" t="n">
        <f aca="false">IF(Time!AC34=1,SUM(Funding!$J$44:$BJ$44),AB13)</f>
        <v>36.3016724143888</v>
      </c>
      <c r="AD9" s="13" t="n">
        <f aca="false">IF(Time!AD34=1,SUM(Funding!$J$44:$BJ$44),AC13)</f>
        <v>36.9813509964465</v>
      </c>
      <c r="AE9" s="13" t="n">
        <f aca="false">IF(Time!AE34=1,SUM(Funding!$J$44:$BJ$44),AD13)</f>
        <v>36.3374324412927</v>
      </c>
      <c r="AF9" s="13" t="n">
        <f aca="false">IF(Time!AF34=1,SUM(Funding!$J$44:$BJ$44),AE13)</f>
        <v>35.5257295340518</v>
      </c>
      <c r="AG9" s="13" t="n">
        <f aca="false">IF(Time!AG34=1,SUM(Funding!$J$44:$BJ$44),AF13)</f>
        <v>34.194688632112</v>
      </c>
      <c r="AH9" s="13" t="n">
        <f aca="false">IF(Time!AH34=1,SUM(Funding!$J$44:$BJ$44),AG13)</f>
        <v>33.3210437900683</v>
      </c>
      <c r="AI9" s="13" t="n">
        <f aca="false">IF(Time!AI34=1,SUM(Funding!$J$44:$BJ$44),AH13)</f>
        <v>31.6066453169966</v>
      </c>
      <c r="AJ9" s="13" t="n">
        <f aca="false">IF(Time!AJ34=1,SUM(Funding!$J$44:$BJ$44),AI13)</f>
        <v>30.0297068319435</v>
      </c>
      <c r="AK9" s="13" t="n">
        <f aca="false">IF(Time!AK34=1,SUM(Funding!$J$44:$BJ$44),AJ13)</f>
        <v>27.5623840684158</v>
      </c>
      <c r="AL9" s="13" t="n">
        <f aca="false">IF(Time!AL34=1,SUM(Funding!$J$44:$BJ$44),AK13)</f>
        <v>24.7761716717648</v>
      </c>
      <c r="AM9" s="13" t="n">
        <f aca="false">IF(Time!AM34=1,SUM(Funding!$J$44:$BJ$44),AL13)</f>
        <v>21.7661643202512</v>
      </c>
      <c r="AN9" s="13" t="n">
        <f aca="false">IF(Time!AN34=1,SUM(Funding!$J$44:$BJ$44),AM13)</f>
        <v>18.8305492762072</v>
      </c>
      <c r="AO9" s="13" t="n">
        <f aca="false">IF(Time!AO34=1,SUM(Funding!$J$44:$BJ$44),AN13)</f>
        <v>18.0231980760082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1856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1857</v>
      </c>
      <c r="E11" s="0" t="s">
        <v>151</v>
      </c>
      <c r="G11" s="13" t="n">
        <f aca="false">SUM(J11:BN11)</f>
        <v>3.01401232478694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9.59232693276135E-013</v>
      </c>
      <c r="P11" s="13" t="n">
        <f aca="false">MIN(Waterfall!P13,MAX(0,Debt!P125-(P9-P10)))</f>
        <v>0</v>
      </c>
      <c r="Q11" s="13" t="n">
        <f aca="false">MIN(Waterfall!Q13,MAX(0,Debt!Q125-(Q9-Q10)))</f>
        <v>0.467768632427955</v>
      </c>
      <c r="R11" s="13" t="n">
        <f aca="false">MIN(Waterfall!R13,MAX(0,Debt!R125-(R9-R10)))</f>
        <v>0</v>
      </c>
      <c r="S11" s="13" t="n">
        <f aca="false">MIN(Waterfall!S13,MAX(0,Debt!S125-(S9-S10)))</f>
        <v>0.417905289094385</v>
      </c>
      <c r="T11" s="13" t="n">
        <f aca="false">MIN(Waterfall!T13,MAX(0,Debt!T125-(T9-T10)))</f>
        <v>0</v>
      </c>
      <c r="U11" s="13" t="n">
        <f aca="false">MIN(Waterfall!U13,MAX(0,Debt!U125-(U9-U10)))</f>
        <v>0.717227480252369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0.300971063896078</v>
      </c>
      <c r="Z11" s="13" t="n">
        <f aca="false">MIN(Waterfall!Z13,MAX(0,Debt!Z125-(Z9-Z10)))</f>
        <v>0</v>
      </c>
      <c r="AA11" s="13" t="n">
        <f aca="false">MIN(Waterfall!AA13,MAX(0,Debt!AA125-(AA9-AA10)))</f>
        <v>0.430461277057447</v>
      </c>
      <c r="AB11" s="13" t="n">
        <f aca="false">MIN(Waterfall!AB13,MAX(0,Debt!AB125-(AB9-AB10)))</f>
        <v>0</v>
      </c>
      <c r="AC11" s="13" t="n">
        <f aca="false">MIN(Waterfall!AC13,MAX(0,Debt!AC125-(AC9-AC10)))</f>
        <v>0.679678582057747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1858</v>
      </c>
      <c r="E12" s="0" t="s">
        <v>151</v>
      </c>
      <c r="G12" s="13" t="n">
        <f aca="false">SUM(J12:BN12)</f>
        <v>40.2599077613817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0.0888789818650579</v>
      </c>
      <c r="Q12" s="13" t="n">
        <f aca="false">MAX(0,Q9-Q10-Debt!Q125)</f>
        <v>0</v>
      </c>
      <c r="R12" s="13" t="n">
        <f aca="false">MAX(0,R9-R10-Debt!R125)</f>
        <v>0.291472595014866</v>
      </c>
      <c r="S12" s="13" t="n">
        <f aca="false">MAX(0,S9-S10-Debt!S125)</f>
        <v>0</v>
      </c>
      <c r="T12" s="13" t="n">
        <f aca="false">MAX(0,T9-T10-Debt!T125)</f>
        <v>0.180525026807743</v>
      </c>
      <c r="U12" s="13" t="n">
        <f aca="false">MAX(0,U9-U10-Debt!U125)</f>
        <v>0</v>
      </c>
      <c r="V12" s="13" t="n">
        <f aca="false">MAX(0,V9-V10-Debt!V125)</f>
        <v>0.264692809172296</v>
      </c>
      <c r="W12" s="13" t="n">
        <f aca="false">MAX(0,W9-W10-Debt!W125)</f>
        <v>1.09643235136002</v>
      </c>
      <c r="X12" s="13" t="n">
        <f aca="false">MAX(0,X9-X10-Debt!X125)</f>
        <v>0.356403029936082</v>
      </c>
      <c r="Y12" s="13" t="n">
        <f aca="false">MAX(0,Y9-Y10-Debt!Y125)</f>
        <v>0</v>
      </c>
      <c r="Z12" s="13" t="n">
        <f aca="false">MAX(0,Z9-Z10-Debt!Z125)</f>
        <v>0.297075753558914</v>
      </c>
      <c r="AA12" s="13" t="n">
        <f aca="false">MAX(0,AA9-AA10-Debt!AA125)</f>
        <v>0</v>
      </c>
      <c r="AB12" s="13" t="n">
        <f aca="false">MAX(0,AB9-AB10-Debt!AB125)</f>
        <v>0.703076217220222</v>
      </c>
      <c r="AC12" s="13" t="n">
        <f aca="false">MAX(0,AC9-AC10-Debt!AC125)</f>
        <v>0</v>
      </c>
      <c r="AD12" s="13" t="n">
        <f aca="false">MAX(0,AD9-AD10-Debt!AD125)</f>
        <v>0.643918555153874</v>
      </c>
      <c r="AE12" s="13" t="n">
        <f aca="false">MAX(0,AE9-AE10-Debt!AE125)</f>
        <v>0.811702907240886</v>
      </c>
      <c r="AF12" s="13" t="n">
        <f aca="false">MAX(0,AF9-AF10-Debt!AF125)</f>
        <v>1.33104090193977</v>
      </c>
      <c r="AG12" s="13" t="n">
        <f aca="false">MAX(0,AG9-AG10-Debt!AG125)</f>
        <v>0.873644842043746</v>
      </c>
      <c r="AH12" s="13" t="n">
        <f aca="false">MAX(0,AH9-AH10-Debt!AH125)</f>
        <v>1.71439847307166</v>
      </c>
      <c r="AI12" s="13" t="n">
        <f aca="false">MAX(0,AI9-AI10-Debt!AI125)</f>
        <v>1.57693848505311</v>
      </c>
      <c r="AJ12" s="13" t="n">
        <f aca="false">MAX(0,AJ9-AJ10-Debt!AJ125)</f>
        <v>2.46732276352772</v>
      </c>
      <c r="AK12" s="13" t="n">
        <f aca="false">MAX(0,AK9-AK10-Debt!AK125)</f>
        <v>2.78621239665097</v>
      </c>
      <c r="AL12" s="13" t="n">
        <f aca="false">MAX(0,AL9-AL10-Debt!AL125)</f>
        <v>3.0100073515136</v>
      </c>
      <c r="AM12" s="13" t="n">
        <f aca="false">MAX(0,AM9-AM10-Debt!AM125)</f>
        <v>2.935615044044</v>
      </c>
      <c r="AN12" s="13" t="n">
        <f aca="false">MAX(0,AN9-AN10-Debt!AN125)</f>
        <v>0.807351200199008</v>
      </c>
      <c r="AO12" s="13" t="n">
        <f aca="false">MAX(0,AO9-AO10-Debt!AO125)</f>
        <v>18.0231980760082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1859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37.2458954365957</v>
      </c>
      <c r="P13" s="13" t="n">
        <f aca="false">(1-Time!P37)*(P9-P10+P11-P12)</f>
        <v>37.1570164547307</v>
      </c>
      <c r="Q13" s="13" t="n">
        <f aca="false">(1-Time!Q37)*(Q9-Q10+Q11-Q12)</f>
        <v>37.6247850871586</v>
      </c>
      <c r="R13" s="13" t="n">
        <f aca="false">(1-Time!R37)*(R9-R10+R11-R12)</f>
        <v>37.3333124921438</v>
      </c>
      <c r="S13" s="13" t="n">
        <f aca="false">(1-Time!S37)*(S9-S10+S11-S12)</f>
        <v>37.7512177812382</v>
      </c>
      <c r="T13" s="13" t="n">
        <f aca="false">(1-Time!T37)*(T9-T10+T11-T12)</f>
        <v>37.5706927544304</v>
      </c>
      <c r="U13" s="13" t="n">
        <f aca="false">(1-Time!U37)*(U9-U10+U11-U12)</f>
        <v>38.2879202346828</v>
      </c>
      <c r="V13" s="13" t="n">
        <f aca="false">(1-Time!V37)*(V9-V10+V11-V12)</f>
        <v>38.0232274255105</v>
      </c>
      <c r="W13" s="13" t="n">
        <f aca="false">(1-Time!W37)*(W9-W10+W11-W12)</f>
        <v>36.9267950741505</v>
      </c>
      <c r="X13" s="13" t="n">
        <f aca="false">(1-Time!X37)*(X9-X10+X11-X12)</f>
        <v>36.5703920442144</v>
      </c>
      <c r="Y13" s="13" t="n">
        <f aca="false">(1-Time!Y37)*(Y9-Y10+Y11-Y12)</f>
        <v>36.8713631081105</v>
      </c>
      <c r="Z13" s="13" t="n">
        <f aca="false">(1-Time!Z37)*(Z9-Z10+Z11-Z12)</f>
        <v>36.5742873545516</v>
      </c>
      <c r="AA13" s="13" t="n">
        <f aca="false">(1-Time!AA37)*(AA9-AA10+AA11-AA12)</f>
        <v>37.004748631609</v>
      </c>
      <c r="AB13" s="13" t="n">
        <f aca="false">(1-Time!AB37)*(AB9-AB10+AB11-AB12)</f>
        <v>36.3016724143888</v>
      </c>
      <c r="AC13" s="13" t="n">
        <f aca="false">(1-Time!AC37)*(AC9-AC10+AC11-AC12)</f>
        <v>36.9813509964465</v>
      </c>
      <c r="AD13" s="13" t="n">
        <f aca="false">(1-Time!AD37)*(AD9-AD10+AD11-AD12)</f>
        <v>36.3374324412927</v>
      </c>
      <c r="AE13" s="13" t="n">
        <f aca="false">(1-Time!AE37)*(AE9-AE10+AE11-AE12)</f>
        <v>35.5257295340518</v>
      </c>
      <c r="AF13" s="13" t="n">
        <f aca="false">(1-Time!AF37)*(AF9-AF10+AF11-AF12)</f>
        <v>34.194688632112</v>
      </c>
      <c r="AG13" s="13" t="n">
        <f aca="false">(1-Time!AG37)*(AG9-AG10+AG11-AG12)</f>
        <v>33.3210437900683</v>
      </c>
      <c r="AH13" s="13" t="n">
        <f aca="false">(1-Time!AH37)*(AH9-AH10+AH11-AH12)</f>
        <v>31.6066453169966</v>
      </c>
      <c r="AI13" s="13" t="n">
        <f aca="false">(1-Time!AI37)*(AI9-AI10+AI11-AI12)</f>
        <v>30.0297068319435</v>
      </c>
      <c r="AJ13" s="13" t="n">
        <f aca="false">(1-Time!AJ37)*(AJ9-AJ10+AJ11-AJ12)</f>
        <v>27.5623840684158</v>
      </c>
      <c r="AK13" s="13" t="n">
        <f aca="false">(1-Time!AK37)*(AK9-AK10+AK11-AK12)</f>
        <v>24.7761716717648</v>
      </c>
      <c r="AL13" s="13" t="n">
        <f aca="false">(1-Time!AL37)*(AL9-AL10+AL11-AL12)</f>
        <v>21.7661643202512</v>
      </c>
      <c r="AM13" s="13" t="n">
        <f aca="false">(1-Time!AM37)*(AM9-AM10+AM11-AM12)</f>
        <v>18.8305492762072</v>
      </c>
      <c r="AN13" s="13" t="n">
        <f aca="false">(1-Time!AN37)*(AN9-AN10+AN11-AN12)</f>
        <v>18.0231980760082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1860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1861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1862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1863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1865</v>
      </c>
      <c r="E7" s="0" t="s">
        <v>151</v>
      </c>
      <c r="G7" s="13" t="n">
        <f aca="false">SUM(J7:BN7)</f>
        <v>2265.34488972498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1.70322194445222</v>
      </c>
      <c r="P7" s="13" t="n">
        <f aca="false">Operations!P84-Tax!P27-Operations!P96-Reserves!P7+Operations!P79+Operations!P97</f>
        <v>49.2741393857949</v>
      </c>
      <c r="Q7" s="13" t="n">
        <f aca="false">Operations!Q84-Tax!Q27-Operations!Q96-Reserves!Q7+Operations!Q79+Operations!Q97</f>
        <v>49.146781503637</v>
      </c>
      <c r="R7" s="13" t="n">
        <f aca="false">Operations!R84-Tax!R27-Operations!R96-Reserves!R7+Operations!R79+Operations!R97</f>
        <v>49.7616211880753</v>
      </c>
      <c r="S7" s="13" t="n">
        <f aca="false">Operations!S84-Tax!S27-Operations!S96-Reserves!S7+Operations!S79+Operations!S97</f>
        <v>49.3624469584191</v>
      </c>
      <c r="T7" s="13" t="n">
        <f aca="false">Operations!T84-Tax!T27-Operations!T96-Reserves!T7+Operations!T79+Operations!T97</f>
        <v>49.9096048739266</v>
      </c>
      <c r="U7" s="13" t="n">
        <f aca="false">Operations!U84-Tax!U27-Operations!U96-Reserves!U7+Operations!U79+Operations!U97</f>
        <v>49.6591147796902</v>
      </c>
      <c r="V7" s="13" t="n">
        <f aca="false">Operations!V84-Tax!V27-Operations!V96-Reserves!V7+Operations!V79+Operations!V97</f>
        <v>50.6119233096294</v>
      </c>
      <c r="W7" s="13" t="n">
        <f aca="false">Operations!W84-Tax!W27-Operations!W96-Reserves!W7+Operations!W79+Operations!W97</f>
        <v>50.2476788598056</v>
      </c>
      <c r="X7" s="13" t="n">
        <f aca="false">Operations!X84-Tax!X27-Operations!X96-Reserves!X7+Operations!X79+Operations!X97</f>
        <v>48.7497240997007</v>
      </c>
      <c r="Y7" s="13" t="n">
        <f aca="false">Operations!Y84-Tax!Y27-Operations!Y96-Reserves!Y7+Operations!Y79+Operations!Y97</f>
        <v>48.2625101750522</v>
      </c>
      <c r="Z7" s="13" t="n">
        <f aca="false">Operations!Z84-Tax!Z27-Operations!Z96-Reserves!Z7+Operations!Z79+Operations!Z97</f>
        <v>48.6506590615619</v>
      </c>
      <c r="AA7" s="13" t="n">
        <f aca="false">Operations!AA84-Tax!AA27-Operations!AA96-Reserves!AA7+Operations!AA79+Operations!AA97</f>
        <v>48.2434034237692</v>
      </c>
      <c r="AB7" s="13" t="n">
        <f aca="false">Operations!AB84-Tax!AB27-Operations!AB96-Reserves!AB7+Operations!AB79+Operations!AB97</f>
        <v>48.8059645328406</v>
      </c>
      <c r="AC7" s="13" t="n">
        <f aca="false">Operations!AC84-Tax!AC27-Operations!AC96-Reserves!AC7+Operations!AC79+Operations!AC97</f>
        <v>48.5936102735477</v>
      </c>
      <c r="AD7" s="13" t="n">
        <f aca="false">Operations!AD84-Tax!AD27-Operations!AD96-Reserves!AD7+Operations!AD79+Operations!AD97</f>
        <v>50.4878449463201</v>
      </c>
      <c r="AE7" s="13" t="n">
        <f aca="false">Operations!AE84-Tax!AE27-Operations!AE96-Reserves!AE7+Operations!AE79+Operations!AE97</f>
        <v>50.5635966791877</v>
      </c>
      <c r="AF7" s="13" t="n">
        <f aca="false">Operations!AF84-Tax!AF27-Operations!AF96-Reserves!AF7+Operations!AF79+Operations!AF97</f>
        <v>50.7050630837884</v>
      </c>
      <c r="AG7" s="13" t="n">
        <f aca="false">Operations!AG84-Tax!AG27-Operations!AG96-Reserves!AG7+Operations!AG79+Operations!AG97</f>
        <v>50.3310347177414</v>
      </c>
      <c r="AH7" s="13" t="n">
        <f aca="false">Operations!AH84-Tax!AH27-Operations!AH96-Reserves!AH7+Operations!AH79+Operations!AH97</f>
        <v>50.9806864126608</v>
      </c>
      <c r="AI7" s="13" t="n">
        <f aca="false">Operations!AI84-Tax!AI27-Operations!AI96-Reserves!AI7+Operations!AI79+Operations!AI97</f>
        <v>50.5664149388007</v>
      </c>
      <c r="AJ7" s="13" t="n">
        <f aca="false">Operations!AJ84-Tax!AJ27-Operations!AJ96-Reserves!AJ7+Operations!AJ79+Operations!AJ97</f>
        <v>51.1475227412747</v>
      </c>
      <c r="AK7" s="13" t="n">
        <f aca="false">Operations!AK84-Tax!AK27-Operations!AK96-Reserves!AK7+Operations!AK79+Operations!AK97</f>
        <v>50.901386519151</v>
      </c>
      <c r="AL7" s="13" t="n">
        <f aca="false">Operations!AL84-Tax!AL27-Operations!AL96-Reserves!AL7+Operations!AL79+Operations!AL97</f>
        <v>51.9940432440624</v>
      </c>
      <c r="AM7" s="13" t="n">
        <f aca="false">Operations!AM84-Tax!AM27-Operations!AM96-Reserves!AM7+Operations!AM79+Operations!AM97</f>
        <v>51.6099492244837</v>
      </c>
      <c r="AN7" s="13" t="n">
        <f aca="false">Operations!AN84-Tax!AN27-Operations!AN96-Reserves!AN7+Operations!AN79+Operations!AN97</f>
        <v>49.7527168243686</v>
      </c>
      <c r="AO7" s="13" t="n">
        <f aca="false">Operations!AO84-Tax!AO27-Operations!AO96-Reserves!AO7+Operations!AO79+Operations!AO97</f>
        <v>46.0145109268755</v>
      </c>
      <c r="AP7" s="13" t="n">
        <f aca="false">Operations!AP84-Tax!AP27-Operations!AP96-Reserves!AP7+Operations!AP79+Operations!AP97</f>
        <v>41.2576694418074</v>
      </c>
      <c r="AQ7" s="13" t="n">
        <f aca="false">Operations!AQ84-Tax!AQ27-Operations!AQ96-Reserves!AQ7+Operations!AQ79+Operations!AQ97</f>
        <v>40.2422923735455</v>
      </c>
      <c r="AR7" s="13" t="n">
        <f aca="false">Operations!AR84-Tax!AR27-Operations!AR96-Reserves!AR7+Operations!AR79+Operations!AR97</f>
        <v>40.8104487043823</v>
      </c>
      <c r="AS7" s="13" t="n">
        <f aca="false">Operations!AS84-Tax!AS27-Operations!AS96-Reserves!AS7+Operations!AS79+Operations!AS97</f>
        <v>40.5407856571621</v>
      </c>
      <c r="AT7" s="13" t="n">
        <f aca="false">Operations!AT84-Tax!AT27-Operations!AT96-Reserves!AT7+Operations!AT79+Operations!AT97</f>
        <v>47.2583461365032</v>
      </c>
      <c r="AU7" s="13" t="n">
        <f aca="false">Operations!AU84-Tax!AU27-Operations!AU96-Reserves!AU7+Operations!AU79+Operations!AU97</f>
        <v>42.8167914915745</v>
      </c>
      <c r="AV7" s="13" t="n">
        <f aca="false">Operations!AV84-Tax!AV27-Operations!AV96-Reserves!AV7+Operations!AV79+Operations!AV97</f>
        <v>42.9218549379578</v>
      </c>
      <c r="AW7" s="13" t="n">
        <f aca="false">Operations!AW84-Tax!AW27-Operations!AW96-Reserves!AW7+Operations!AW79+Operations!AW97</f>
        <v>42.4942785274471</v>
      </c>
      <c r="AX7" s="13" t="n">
        <f aca="false">Operations!AX84-Tax!AX27-Operations!AX96-Reserves!AX7+Operations!AX79+Operations!AX97</f>
        <v>43.1502776228074</v>
      </c>
      <c r="AY7" s="13" t="n">
        <f aca="false">Operations!AY84-Tax!AY27-Operations!AY96-Reserves!AY7+Operations!AY79+Operations!AY97</f>
        <v>42.6900932979832</v>
      </c>
      <c r="AZ7" s="13" t="n">
        <f aca="false">Operations!AZ84-Tax!AZ27-Operations!AZ96-Reserves!AZ7+Operations!AZ79+Operations!AZ97</f>
        <v>43.2887280023373</v>
      </c>
      <c r="BA7" s="13" t="n">
        <f aca="false">Operations!BA84-Tax!BA27-Operations!BA96-Reserves!BA7+Operations!BA79+Operations!BA97</f>
        <v>42.9863760956759</v>
      </c>
      <c r="BB7" s="13" t="n">
        <f aca="false">Operations!BB84-Tax!BB27-Operations!BB96-Reserves!BB7+Operations!BB79+Operations!BB97</f>
        <v>45.2166068674304</v>
      </c>
      <c r="BC7" s="13" t="n">
        <f aca="false">Operations!BC84-Tax!BC27-Operations!BC96-Reserves!BC7+Operations!BC79+Operations!BC97</f>
        <v>41.8132842811059</v>
      </c>
      <c r="BD7" s="13" t="n">
        <f aca="false">Operations!BD84-Tax!BD27-Operations!BD96-Reserves!BD7+Operations!BD79+Operations!BD97</f>
        <v>35.6950973344911</v>
      </c>
      <c r="BE7" s="13" t="n">
        <f aca="false">Operations!BE84-Tax!BE27-Operations!BE96-Reserves!BE7+Operations!BE79+Operations!BE97</f>
        <v>35.2586380384512</v>
      </c>
      <c r="BF7" s="13" t="n">
        <f aca="false">Operations!BF84-Tax!BF27-Operations!BF96-Reserves!BF7+Operations!BF79+Operations!BF97</f>
        <v>35.9423857054157</v>
      </c>
      <c r="BG7" s="13" t="n">
        <f aca="false">Operations!BG84-Tax!BG27-Operations!BG96-Reserves!BG7+Operations!BG79+Operations!BG97</f>
        <v>35.4711958329387</v>
      </c>
      <c r="BH7" s="13" t="n">
        <f aca="false">Operations!BH84-Tax!BH27-Operations!BH96-Reserves!BH7+Operations!BH79+Operations!BH97</f>
        <v>36.0913532973117</v>
      </c>
      <c r="BI7" s="13" t="n">
        <f aca="false">Operations!BI84-Tax!BI27-Operations!BI96-Reserves!BI7+Operations!BI79+Operations!BI97</f>
        <v>35.8251170227143</v>
      </c>
      <c r="BJ7" s="13" t="n">
        <f aca="false">Operations!BJ84-Tax!BJ27-Operations!BJ96-Reserves!BJ7+Operations!BJ79+Operations!BJ97</f>
        <v>43.8304573837196</v>
      </c>
      <c r="BK7" s="13" t="n">
        <f aca="false">Operations!BK84-Tax!BK27-Operations!BK96-Reserves!BK7+Operations!BK79+Operations!BK97</f>
        <v>38.575599152509</v>
      </c>
      <c r="BL7" s="13" t="n">
        <f aca="false">Operations!BL84-Tax!BL27-Operations!BL96-Reserves!BL7+Operations!BL79+Operations!BL97</f>
        <v>39.3018091592508</v>
      </c>
      <c r="BM7" s="13" t="n">
        <f aca="false">Operations!BM84-Tax!BM27-Operations!BM96-Reserves!BM7+Operations!BM79+Operations!BM97</f>
        <v>35.8282287318427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1866</v>
      </c>
      <c r="E8" s="0" t="s">
        <v>151</v>
      </c>
      <c r="J8" s="13" t="n">
        <f aca="false">IF(Time!J34=1,INDEX(Funding!$J$54:$BJ$54,1,Time!$F$14)+SUM(Funding!$J$79:$BJ$79),0)+I30+I42</f>
        <v>0</v>
      </c>
      <c r="K8" s="13" t="n">
        <f aca="false">IF(Time!K34=1,INDEX(Funding!$J$54:$BJ$54,1,Time!$F$14)+SUM(Funding!$J$79:$BJ$79),0)+J30+J42</f>
        <v>0</v>
      </c>
      <c r="L8" s="13" t="n">
        <f aca="false">IF(Time!L34=1,INDEX(Funding!$J$54:$BJ$54,1,Time!$F$14)+SUM(Funding!$J$79:$BJ$79),0)+K30+K42</f>
        <v>0</v>
      </c>
      <c r="M8" s="13" t="n">
        <f aca="false">IF(Time!M34=1,INDEX(Funding!$J$54:$BJ$54,1,Time!$F$14)+SUM(Funding!$J$79:$BJ$79),0)+L30+L42</f>
        <v>0</v>
      </c>
      <c r="N8" s="13" t="n">
        <f aca="false">IF(Time!N34=1,INDEX(Funding!$J$54:$BJ$54,1,Time!$F$14)+SUM(Funding!$J$79:$BJ$79),0)+M30+M42</f>
        <v>0</v>
      </c>
      <c r="O8" s="13" t="n">
        <f aca="false">IF(Time!O34=1,INDEX(Funding!$J$54:$BJ$54,1,Time!$F$14)+SUM(Funding!$J$79:$BJ$79),0)+N30+N42</f>
        <v>0</v>
      </c>
      <c r="P8" s="13" t="n">
        <f aca="false">IF(Time!P34=1,INDEX(Funding!$J$54:$BJ$54,1,Time!$F$14)+SUM(Funding!$J$79:$BJ$79),0)+O30+O42</f>
        <v>1.70322194445126</v>
      </c>
      <c r="Q8" s="13" t="n">
        <f aca="false">IF(Time!Q34=1,INDEX(Funding!$J$54:$BJ$54,1,Time!$F$14)+SUM(Funding!$J$79:$BJ$79),0)+P30+P42</f>
        <v>0</v>
      </c>
      <c r="R8" s="13" t="n">
        <f aca="false">IF(Time!R34=1,INDEX(Funding!$J$54:$BJ$54,1,Time!$F$14)+SUM(Funding!$J$79:$BJ$79),0)+Q30+Q42</f>
        <v>0</v>
      </c>
      <c r="S8" s="13" t="n">
        <f aca="false">IF(Time!S34=1,INDEX(Funding!$J$54:$BJ$54,1,Time!$F$14)+SUM(Funding!$J$79:$BJ$79),0)+R30+R42</f>
        <v>0</v>
      </c>
      <c r="T8" s="13" t="n">
        <f aca="false">IF(Time!T34=1,INDEX(Funding!$J$54:$BJ$54,1,Time!$F$14)+SUM(Funding!$J$79:$BJ$79),0)+S30+S42</f>
        <v>0</v>
      </c>
      <c r="U8" s="13" t="n">
        <f aca="false">IF(Time!U34=1,INDEX(Funding!$J$54:$BJ$54,1,Time!$F$14)+SUM(Funding!$J$79:$BJ$79),0)+T30+T42</f>
        <v>0</v>
      </c>
      <c r="V8" s="13" t="n">
        <f aca="false">IF(Time!V34=1,INDEX(Funding!$J$54:$BJ$54,1,Time!$F$14)+SUM(Funding!$J$79:$BJ$79),0)+U30+U42</f>
        <v>0</v>
      </c>
      <c r="W8" s="13" t="n">
        <f aca="false">IF(Time!W34=1,INDEX(Funding!$J$54:$BJ$54,1,Time!$F$14)+SUM(Funding!$J$79:$BJ$79),0)+V30+V42</f>
        <v>0</v>
      </c>
      <c r="X8" s="13" t="n">
        <f aca="false">IF(Time!X34=1,INDEX(Funding!$J$54:$BJ$54,1,Time!$F$14)+SUM(Funding!$J$79:$BJ$79),0)+W30+W42</f>
        <v>0</v>
      </c>
      <c r="Y8" s="13" t="n">
        <f aca="false">IF(Time!Y34=1,INDEX(Funding!$J$54:$BJ$54,1,Time!$F$14)+SUM(Funding!$J$79:$BJ$79),0)+X30+X42</f>
        <v>0</v>
      </c>
      <c r="Z8" s="13" t="n">
        <f aca="false">IF(Time!Z34=1,INDEX(Funding!$J$54:$BJ$54,1,Time!$F$14)+SUM(Funding!$J$79:$BJ$79),0)+Y30+Y42</f>
        <v>0</v>
      </c>
      <c r="AA8" s="13" t="n">
        <f aca="false">IF(Time!AA34=1,INDEX(Funding!$J$54:$BJ$54,1,Time!$F$14)+SUM(Funding!$J$79:$BJ$79),0)+Z30+Z42</f>
        <v>0</v>
      </c>
      <c r="AB8" s="13" t="n">
        <f aca="false">IF(Time!AB34=1,INDEX(Funding!$J$54:$BJ$54,1,Time!$F$14)+SUM(Funding!$J$79:$BJ$79),0)+AA30+AA42</f>
        <v>0</v>
      </c>
      <c r="AC8" s="13" t="n">
        <f aca="false">IF(Time!AC34=1,INDEX(Funding!$J$54:$BJ$54,1,Time!$F$14)+SUM(Funding!$J$79:$BJ$79),0)+AB30+AB42</f>
        <v>0</v>
      </c>
      <c r="AD8" s="13" t="n">
        <f aca="false">IF(Time!AD34=1,INDEX(Funding!$J$54:$BJ$54,1,Time!$F$14)+SUM(Funding!$J$79:$BJ$79),0)+AC30+AC42</f>
        <v>0</v>
      </c>
      <c r="AE8" s="13" t="n">
        <f aca="false">IF(Time!AE34=1,INDEX(Funding!$J$54:$BJ$54,1,Time!$F$14)+SUM(Funding!$J$79:$BJ$79),0)+AD30+AD42</f>
        <v>0</v>
      </c>
      <c r="AF8" s="13" t="n">
        <f aca="false">IF(Time!AF34=1,INDEX(Funding!$J$54:$BJ$54,1,Time!$F$14)+SUM(Funding!$J$79:$BJ$79),0)+AE30+AE42</f>
        <v>0</v>
      </c>
      <c r="AG8" s="13" t="n">
        <f aca="false">IF(Time!AG34=1,INDEX(Funding!$J$54:$BJ$54,1,Time!$F$14)+SUM(Funding!$J$79:$BJ$79),0)+AF30+AF42</f>
        <v>0</v>
      </c>
      <c r="AH8" s="13" t="n">
        <f aca="false">IF(Time!AH34=1,INDEX(Funding!$J$54:$BJ$54,1,Time!$F$14)+SUM(Funding!$J$79:$BJ$79),0)+AG30+AG42</f>
        <v>0</v>
      </c>
      <c r="AI8" s="13" t="n">
        <f aca="false">IF(Time!AI34=1,INDEX(Funding!$J$54:$BJ$54,1,Time!$F$14)+SUM(Funding!$J$79:$BJ$79),0)+AH30+AH42</f>
        <v>0</v>
      </c>
      <c r="AJ8" s="13" t="n">
        <f aca="false">IF(Time!AJ34=1,INDEX(Funding!$J$54:$BJ$54,1,Time!$F$14)+SUM(Funding!$J$79:$BJ$79),0)+AI30+AI42</f>
        <v>0</v>
      </c>
      <c r="AK8" s="13" t="n">
        <f aca="false">IF(Time!AK34=1,INDEX(Funding!$J$54:$BJ$54,1,Time!$F$14)+SUM(Funding!$J$79:$BJ$79),0)+AJ30+AJ42</f>
        <v>0</v>
      </c>
      <c r="AL8" s="13" t="n">
        <f aca="false">IF(Time!AL34=1,INDEX(Funding!$J$54:$BJ$54,1,Time!$F$14)+SUM(Funding!$J$79:$BJ$79),0)+AK30+AK42</f>
        <v>0</v>
      </c>
      <c r="AM8" s="13" t="n">
        <f aca="false">IF(Time!AM34=1,INDEX(Funding!$J$54:$BJ$54,1,Time!$F$14)+SUM(Funding!$J$79:$BJ$79),0)+AL30+AL42</f>
        <v>0</v>
      </c>
      <c r="AN8" s="13" t="n">
        <f aca="false">IF(Time!AN34=1,INDEX(Funding!$J$54:$BJ$54,1,Time!$F$14)+SUM(Funding!$J$79:$BJ$79),0)+AM30+AM42</f>
        <v>0</v>
      </c>
      <c r="AO8" s="13" t="n">
        <f aca="false">IF(Time!AO34=1,INDEX(Funding!$J$54:$BJ$54,1,Time!$F$14)+SUM(Funding!$J$79:$BJ$79),0)+AN30+AN42</f>
        <v>0</v>
      </c>
      <c r="AP8" s="13" t="n">
        <f aca="false">IF(Time!AP34=1,INDEX(Funding!$J$54:$BJ$54,1,Time!$F$14)+SUM(Funding!$J$79:$BJ$79),0)+AO30+AO42</f>
        <v>0</v>
      </c>
      <c r="AQ8" s="13" t="n">
        <f aca="false">IF(Time!AQ34=1,INDEX(Funding!$J$54:$BJ$54,1,Time!$F$14)+SUM(Funding!$J$79:$BJ$79),0)+AP30+AP42</f>
        <v>0</v>
      </c>
      <c r="AR8" s="13" t="n">
        <f aca="false">IF(Time!AR34=1,INDEX(Funding!$J$54:$BJ$54,1,Time!$F$14)+SUM(Funding!$J$79:$BJ$79),0)+AQ30+AQ42</f>
        <v>0</v>
      </c>
      <c r="AS8" s="13" t="n">
        <f aca="false">IF(Time!AS34=1,INDEX(Funding!$J$54:$BJ$54,1,Time!$F$14)+SUM(Funding!$J$79:$BJ$79),0)+AR30+AR42</f>
        <v>0</v>
      </c>
      <c r="AT8" s="13" t="n">
        <f aca="false">IF(Time!AT34=1,INDEX(Funding!$J$54:$BJ$54,1,Time!$F$14)+SUM(Funding!$J$79:$BJ$79),0)+AS30+AS42</f>
        <v>0</v>
      </c>
      <c r="AU8" s="13" t="n">
        <f aca="false">IF(Time!AU34=1,INDEX(Funding!$J$54:$BJ$54,1,Time!$F$14)+SUM(Funding!$J$79:$BJ$79),0)+AT30+AT42</f>
        <v>0</v>
      </c>
      <c r="AV8" s="13" t="n">
        <f aca="false">IF(Time!AV34=1,INDEX(Funding!$J$54:$BJ$54,1,Time!$F$14)+SUM(Funding!$J$79:$BJ$79),0)+AU30+AU42</f>
        <v>0</v>
      </c>
      <c r="AW8" s="13" t="n">
        <f aca="false">IF(Time!AW34=1,INDEX(Funding!$J$54:$BJ$54,1,Time!$F$14)+SUM(Funding!$J$79:$BJ$79),0)+AV30+AV42</f>
        <v>0</v>
      </c>
      <c r="AX8" s="13" t="n">
        <f aca="false">IF(Time!AX34=1,INDEX(Funding!$J$54:$BJ$54,1,Time!$F$14)+SUM(Funding!$J$79:$BJ$79),0)+AW30+AW42</f>
        <v>0</v>
      </c>
      <c r="AY8" s="13" t="n">
        <f aca="false">IF(Time!AY34=1,INDEX(Funding!$J$54:$BJ$54,1,Time!$F$14)+SUM(Funding!$J$79:$BJ$79),0)+AX30+AX42</f>
        <v>0</v>
      </c>
      <c r="AZ8" s="13" t="n">
        <f aca="false">IF(Time!AZ34=1,INDEX(Funding!$J$54:$BJ$54,1,Time!$F$14)+SUM(Funding!$J$79:$BJ$79),0)+AY30+AY42</f>
        <v>0</v>
      </c>
      <c r="BA8" s="13" t="n">
        <f aca="false">IF(Time!BA34=1,INDEX(Funding!$J$54:$BJ$54,1,Time!$F$14)+SUM(Funding!$J$79:$BJ$79),0)+AZ30+AZ42</f>
        <v>0</v>
      </c>
      <c r="BB8" s="13" t="n">
        <f aca="false">IF(Time!BB34=1,INDEX(Funding!$J$54:$BJ$54,1,Time!$F$14)+SUM(Funding!$J$79:$BJ$79),0)+BA30+BA42</f>
        <v>0</v>
      </c>
      <c r="BC8" s="13" t="n">
        <f aca="false">IF(Time!BC34=1,INDEX(Funding!$J$54:$BJ$54,1,Time!$F$14)+SUM(Funding!$J$79:$BJ$79),0)+BB30+BB42</f>
        <v>0</v>
      </c>
      <c r="BD8" s="13" t="n">
        <f aca="false">IF(Time!BD34=1,INDEX(Funding!$J$54:$BJ$54,1,Time!$F$14)+SUM(Funding!$J$79:$BJ$79),0)+BC30+BC42</f>
        <v>0</v>
      </c>
      <c r="BE8" s="13" t="n">
        <f aca="false">IF(Time!BE34=1,INDEX(Funding!$J$54:$BJ$54,1,Time!$F$14)+SUM(Funding!$J$79:$BJ$79),0)+BD30+BD42</f>
        <v>0</v>
      </c>
      <c r="BF8" s="13" t="n">
        <f aca="false">IF(Time!BF34=1,INDEX(Funding!$J$54:$BJ$54,1,Time!$F$14)+SUM(Funding!$J$79:$BJ$79),0)+BE30+BE42</f>
        <v>0</v>
      </c>
      <c r="BG8" s="13" t="n">
        <f aca="false">IF(Time!BG34=1,INDEX(Funding!$J$54:$BJ$54,1,Time!$F$14)+SUM(Funding!$J$79:$BJ$79),0)+BF30+BF42</f>
        <v>0</v>
      </c>
      <c r="BH8" s="13" t="n">
        <f aca="false">IF(Time!BH34=1,INDEX(Funding!$J$54:$BJ$54,1,Time!$F$14)+SUM(Funding!$J$79:$BJ$79),0)+BG30+BG42</f>
        <v>0</v>
      </c>
      <c r="BI8" s="13" t="n">
        <f aca="false">IF(Time!BI34=1,INDEX(Funding!$J$54:$BJ$54,1,Time!$F$14)+SUM(Funding!$J$79:$BJ$79),0)+BH30+BH42</f>
        <v>0</v>
      </c>
      <c r="BJ8" s="13" t="n">
        <f aca="false">IF(Time!BJ34=1,INDEX(Funding!$J$54:$BJ$54,1,Time!$F$14)+SUM(Funding!$J$79:$BJ$79),0)+BI30+BI42</f>
        <v>0</v>
      </c>
      <c r="BK8" s="13" t="n">
        <f aca="false">IF(Time!BK34=1,INDEX(Funding!$J$54:$BJ$54,1,Time!$F$14)+SUM(Funding!$J$79:$BJ$79),0)+BJ30+BJ42</f>
        <v>0</v>
      </c>
      <c r="BL8" s="13" t="n">
        <f aca="false">IF(Time!BL34=1,INDEX(Funding!$J$54:$BJ$54,1,Time!$F$14)+SUM(Funding!$J$79:$BJ$79),0)+BK30+BK42</f>
        <v>0</v>
      </c>
      <c r="BM8" s="13" t="n">
        <f aca="false">IF(Time!BM34=1,INDEX(Funding!$J$54:$BJ$54,1,Time!$F$14)+SUM(Funding!$J$79:$BJ$79),0)+BL30+BL42</f>
        <v>0</v>
      </c>
      <c r="BN8" s="13" t="n">
        <f aca="false">IF(Time!BN34=1,INDEX(Funding!$J$54:$BJ$54,1,Time!$F$14)+SUM(Funding!$J$79:$BJ$79),0)+BM30+BM42</f>
        <v>0</v>
      </c>
    </row>
    <row r="9" customFormat="false" ht="15" hidden="false" customHeight="false" outlineLevel="0" collapsed="false">
      <c r="D9" s="0" t="s">
        <v>1867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1.70322194445222</v>
      </c>
      <c r="P9" s="13" t="n">
        <f aca="false">P7+P8</f>
        <v>50.9773613302461</v>
      </c>
      <c r="Q9" s="13" t="n">
        <f aca="false">Q7+Q8</f>
        <v>49.146781503637</v>
      </c>
      <c r="R9" s="13" t="n">
        <f aca="false">R7+R8</f>
        <v>49.7616211880753</v>
      </c>
      <c r="S9" s="13" t="n">
        <f aca="false">S7+S8</f>
        <v>49.3624469584191</v>
      </c>
      <c r="T9" s="13" t="n">
        <f aca="false">T7+T8</f>
        <v>49.9096048739266</v>
      </c>
      <c r="U9" s="13" t="n">
        <f aca="false">U7+U8</f>
        <v>49.6591147796902</v>
      </c>
      <c r="V9" s="13" t="n">
        <f aca="false">V7+V8</f>
        <v>50.6119233096294</v>
      </c>
      <c r="W9" s="13" t="n">
        <f aca="false">W7+W8</f>
        <v>50.2476788598056</v>
      </c>
      <c r="X9" s="13" t="n">
        <f aca="false">X7+X8</f>
        <v>48.7497240997007</v>
      </c>
      <c r="Y9" s="13" t="n">
        <f aca="false">Y7+Y8</f>
        <v>48.2625101750522</v>
      </c>
      <c r="Z9" s="13" t="n">
        <f aca="false">Z7+Z8</f>
        <v>48.6506590615619</v>
      </c>
      <c r="AA9" s="13" t="n">
        <f aca="false">AA7+AA8</f>
        <v>48.2434034237692</v>
      </c>
      <c r="AB9" s="13" t="n">
        <f aca="false">AB7+AB8</f>
        <v>48.8059645328406</v>
      </c>
      <c r="AC9" s="13" t="n">
        <f aca="false">AC7+AC8</f>
        <v>48.5936102735477</v>
      </c>
      <c r="AD9" s="13" t="n">
        <f aca="false">AD7+AD8</f>
        <v>50.4878449463201</v>
      </c>
      <c r="AE9" s="13" t="n">
        <f aca="false">AE7+AE8</f>
        <v>50.5635966791877</v>
      </c>
      <c r="AF9" s="13" t="n">
        <f aca="false">AF7+AF8</f>
        <v>50.7050630837884</v>
      </c>
      <c r="AG9" s="13" t="n">
        <f aca="false">AG7+AG8</f>
        <v>50.3310347177414</v>
      </c>
      <c r="AH9" s="13" t="n">
        <f aca="false">AH7+AH8</f>
        <v>50.9806864126608</v>
      </c>
      <c r="AI9" s="13" t="n">
        <f aca="false">AI7+AI8</f>
        <v>50.5664149388007</v>
      </c>
      <c r="AJ9" s="13" t="n">
        <f aca="false">AJ7+AJ8</f>
        <v>51.1475227412747</v>
      </c>
      <c r="AK9" s="13" t="n">
        <f aca="false">AK7+AK8</f>
        <v>50.901386519151</v>
      </c>
      <c r="AL9" s="13" t="n">
        <f aca="false">AL7+AL8</f>
        <v>51.9940432440624</v>
      </c>
      <c r="AM9" s="13" t="n">
        <f aca="false">AM7+AM8</f>
        <v>51.6099492244837</v>
      </c>
      <c r="AN9" s="13" t="n">
        <f aca="false">AN7+AN8</f>
        <v>49.7527168243686</v>
      </c>
      <c r="AO9" s="13" t="n">
        <f aca="false">AO7+AO8</f>
        <v>46.0145109268755</v>
      </c>
      <c r="AP9" s="13" t="n">
        <f aca="false">AP7+AP8</f>
        <v>41.2576694418074</v>
      </c>
      <c r="AQ9" s="13" t="n">
        <f aca="false">AQ7+AQ8</f>
        <v>40.2422923735455</v>
      </c>
      <c r="AR9" s="13" t="n">
        <f aca="false">AR7+AR8</f>
        <v>40.8104487043823</v>
      </c>
      <c r="AS9" s="13" t="n">
        <f aca="false">AS7+AS8</f>
        <v>40.5407856571621</v>
      </c>
      <c r="AT9" s="13" t="n">
        <f aca="false">AT7+AT8</f>
        <v>47.2583461365032</v>
      </c>
      <c r="AU9" s="13" t="n">
        <f aca="false">AU7+AU8</f>
        <v>42.8167914915745</v>
      </c>
      <c r="AV9" s="13" t="n">
        <f aca="false">AV7+AV8</f>
        <v>42.9218549379578</v>
      </c>
      <c r="AW9" s="13" t="n">
        <f aca="false">AW7+AW8</f>
        <v>42.4942785274471</v>
      </c>
      <c r="AX9" s="13" t="n">
        <f aca="false">AX7+AX8</f>
        <v>43.1502776228074</v>
      </c>
      <c r="AY9" s="13" t="n">
        <f aca="false">AY7+AY8</f>
        <v>42.6900932979832</v>
      </c>
      <c r="AZ9" s="13" t="n">
        <f aca="false">AZ7+AZ8</f>
        <v>43.2887280023373</v>
      </c>
      <c r="BA9" s="13" t="n">
        <f aca="false">BA7+BA8</f>
        <v>42.9863760956759</v>
      </c>
      <c r="BB9" s="13" t="n">
        <f aca="false">BB7+BB8</f>
        <v>45.2166068674304</v>
      </c>
      <c r="BC9" s="13" t="n">
        <f aca="false">BC7+BC8</f>
        <v>41.8132842811059</v>
      </c>
      <c r="BD9" s="13" t="n">
        <f aca="false">BD7+BD8</f>
        <v>35.6950973344911</v>
      </c>
      <c r="BE9" s="13" t="n">
        <f aca="false">BE7+BE8</f>
        <v>35.2586380384512</v>
      </c>
      <c r="BF9" s="13" t="n">
        <f aca="false">BF7+BF8</f>
        <v>35.9423857054157</v>
      </c>
      <c r="BG9" s="13" t="n">
        <f aca="false">BG7+BG8</f>
        <v>35.4711958329387</v>
      </c>
      <c r="BH9" s="13" t="n">
        <f aca="false">BH7+BH8</f>
        <v>36.0913532973117</v>
      </c>
      <c r="BI9" s="13" t="n">
        <f aca="false">BI7+BI8</f>
        <v>35.8251170227143</v>
      </c>
      <c r="BJ9" s="13" t="n">
        <f aca="false">BJ7+BJ8</f>
        <v>43.8304573837196</v>
      </c>
      <c r="BK9" s="13" t="n">
        <f aca="false">BK7+BK8</f>
        <v>38.575599152509</v>
      </c>
      <c r="BL9" s="13" t="n">
        <f aca="false">BL7+BL8</f>
        <v>39.3018091592508</v>
      </c>
      <c r="BM9" s="13" t="n">
        <f aca="false">BM7+BM8</f>
        <v>35.8282287318427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1868</v>
      </c>
      <c r="E10" s="0" t="s">
        <v>151</v>
      </c>
      <c r="G10" s="13" t="n">
        <f aca="false">SUM(J10:BN10)</f>
        <v>853.031282719653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37.2458954365957</v>
      </c>
      <c r="Q10" s="13" t="n">
        <f aca="false">Debt!Q114+Debt!Q110</f>
        <v>37.1570164547307</v>
      </c>
      <c r="R10" s="13" t="n">
        <f aca="false">Debt!R114+Debt!R110</f>
        <v>37.6247850871586</v>
      </c>
      <c r="S10" s="13" t="n">
        <f aca="false">Debt!S114+Debt!S110</f>
        <v>37.3333124921438</v>
      </c>
      <c r="T10" s="13" t="n">
        <f aca="false">Debt!T114+Debt!T110</f>
        <v>37.7512177812382</v>
      </c>
      <c r="U10" s="13" t="n">
        <f aca="false">Debt!U114+Debt!U110</f>
        <v>37.5706927544304</v>
      </c>
      <c r="V10" s="13" t="n">
        <f aca="false">Debt!V114+Debt!V110</f>
        <v>38.2879202346828</v>
      </c>
      <c r="W10" s="13" t="n">
        <f aca="false">Debt!W114+Debt!W110</f>
        <v>38.0232274255105</v>
      </c>
      <c r="X10" s="13" t="n">
        <f aca="false">Debt!X114+Debt!X110</f>
        <v>36.9267950741505</v>
      </c>
      <c r="Y10" s="13" t="n">
        <f aca="false">Debt!Y114+Debt!Y110</f>
        <v>36.5703920442144</v>
      </c>
      <c r="Z10" s="13" t="n">
        <f aca="false">Debt!Z114+Debt!Z110</f>
        <v>36.8713631081105</v>
      </c>
      <c r="AA10" s="13" t="n">
        <f aca="false">Debt!AA114+Debt!AA110</f>
        <v>36.5742873545516</v>
      </c>
      <c r="AB10" s="13" t="n">
        <f aca="false">Debt!AB114+Debt!AB110</f>
        <v>36.4505211763574</v>
      </c>
      <c r="AC10" s="13" t="n">
        <f aca="false">Debt!AC114+Debt!AC110</f>
        <v>35.6277450250062</v>
      </c>
      <c r="AD10" s="13" t="n">
        <f aca="false">Debt!AD114+Debt!AD110</f>
        <v>36.2766473930851</v>
      </c>
      <c r="AE10" s="13" t="n">
        <f aca="false">Debt!AE114+Debt!AE110</f>
        <v>35.4250922498074</v>
      </c>
      <c r="AF10" s="13" t="n">
        <f aca="false">Debt!AF114+Debt!AF110</f>
        <v>34.4604505341516</v>
      </c>
      <c r="AG10" s="13" t="n">
        <f aca="false">Debt!AG114+Debt!AG110</f>
        <v>32.9145370382072</v>
      </c>
      <c r="AH10" s="13" t="n">
        <f aca="false">Debt!AH114+Debt!AH110</f>
        <v>31.824631008325</v>
      </c>
      <c r="AI10" s="13" t="n">
        <f aca="false">Debt!AI114+Debt!AI110</f>
        <v>29.7078829638698</v>
      </c>
      <c r="AJ10" s="13" t="n">
        <f aca="false">Debt!AJ114+Debt!AJ110</f>
        <v>27.6476080510126</v>
      </c>
      <c r="AK10" s="13" t="n">
        <f aca="false">Debt!AK114+Debt!AK110</f>
        <v>24.3051629371197</v>
      </c>
      <c r="AL10" s="13" t="n">
        <f aca="false">Debt!AL114+Debt!AL110</f>
        <v>21.8341874227264</v>
      </c>
      <c r="AM10" s="13" t="n">
        <f aca="false">Debt!AM114+Debt!AM110</f>
        <v>21.7661643202512</v>
      </c>
      <c r="AN10" s="13" t="n">
        <f aca="false">Debt!AN114+Debt!AN110</f>
        <v>18.8305492762072</v>
      </c>
      <c r="AO10" s="13" t="n">
        <f aca="false">Debt!AO114+Debt!AO110</f>
        <v>18.0231980760082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1869</v>
      </c>
      <c r="E11" s="0" t="s">
        <v>151</v>
      </c>
      <c r="G11" s="13" t="n">
        <f aca="false">SUM(J11:BN11)</f>
        <v>0</v>
      </c>
      <c r="J11" s="13" t="n">
        <f aca="false">MIN(J10,MAX(0,J10-J9))</f>
        <v>0</v>
      </c>
      <c r="K11" s="13" t="n">
        <f aca="false">MIN(K10,MAX(0,K10-K9))</f>
        <v>0</v>
      </c>
      <c r="L11" s="13" t="n">
        <f aca="false">MIN(L10,MAX(0,L10-L9))</f>
        <v>0</v>
      </c>
      <c r="M11" s="13" t="n">
        <f aca="false">MIN(M10,MAX(0,M10-M9))</f>
        <v>0</v>
      </c>
      <c r="N11" s="13" t="n">
        <f aca="false">MIN(N10,MAX(0,N10-N9))</f>
        <v>0</v>
      </c>
      <c r="O11" s="13" t="n">
        <f aca="false">MIN(O10,MAX(0,O10-O9))</f>
        <v>0</v>
      </c>
      <c r="P11" s="13" t="n">
        <f aca="false">MIN(P10,MAX(0,P10-P9))</f>
        <v>0</v>
      </c>
      <c r="Q11" s="13" t="n">
        <f aca="false">MIN(Q10,MAX(0,Q10-Q9))</f>
        <v>0</v>
      </c>
      <c r="R11" s="13" t="n">
        <f aca="false">MIN(R10,MAX(0,R10-R9))</f>
        <v>0</v>
      </c>
      <c r="S11" s="13" t="n">
        <f aca="false">MIN(S10,MAX(0,S10-S9))</f>
        <v>0</v>
      </c>
      <c r="T11" s="13" t="n">
        <f aca="false">MIN(T10,MAX(0,T10-T9))</f>
        <v>0</v>
      </c>
      <c r="U11" s="13" t="n">
        <f aca="false">MIN(U10,MAX(0,U10-U9))</f>
        <v>0</v>
      </c>
      <c r="V11" s="13" t="n">
        <f aca="false">MIN(V10,MAX(0,V10-V9))</f>
        <v>0</v>
      </c>
      <c r="W11" s="13" t="n">
        <f aca="false">MIN(W10,MAX(0,W10-W9))</f>
        <v>0</v>
      </c>
      <c r="X11" s="13" t="n">
        <f aca="false">MIN(X10,MAX(0,X10-X9))</f>
        <v>0</v>
      </c>
      <c r="Y11" s="13" t="n">
        <f aca="false">MIN(Y10,MAX(0,Y10-Y9))</f>
        <v>0</v>
      </c>
      <c r="Z11" s="13" t="n">
        <f aca="false">MIN(Z10,MAX(0,Z10-Z9))</f>
        <v>0</v>
      </c>
      <c r="AA11" s="13" t="n">
        <f aca="false">MIN(AA10,MAX(0,AA10-AA9))</f>
        <v>0</v>
      </c>
      <c r="AB11" s="13" t="n">
        <f aca="false">MIN(AB10,MAX(0,AB10-AB9))</f>
        <v>0</v>
      </c>
      <c r="AC11" s="13" t="n">
        <f aca="false">MIN(AC10,MAX(0,AC10-AC9))</f>
        <v>0</v>
      </c>
      <c r="AD11" s="13" t="n">
        <f aca="false">MIN(AD10,MAX(0,AD10-AD9))</f>
        <v>0</v>
      </c>
      <c r="AE11" s="13" t="n">
        <f aca="false">MIN(AE10,MAX(0,AE10-AE9))</f>
        <v>0</v>
      </c>
      <c r="AF11" s="13" t="n">
        <f aca="false">MIN(AF10,MAX(0,AF10-AF9))</f>
        <v>0</v>
      </c>
      <c r="AG11" s="13" t="n">
        <f aca="false">MIN(AG10,MAX(0,AG10-AG9))</f>
        <v>0</v>
      </c>
      <c r="AH11" s="13" t="n">
        <f aca="false">MIN(AH10,MAX(0,AH10-AH9))</f>
        <v>0</v>
      </c>
      <c r="AI11" s="13" t="n">
        <f aca="false">MIN(AI10,MAX(0,AI10-AI9))</f>
        <v>0</v>
      </c>
      <c r="AJ11" s="13" t="n">
        <f aca="false">MIN(AJ10,MAX(0,AJ10-AJ9))</f>
        <v>0</v>
      </c>
      <c r="AK11" s="13" t="n">
        <f aca="false">MIN(AK10,MAX(0,AK10-AK9))</f>
        <v>0</v>
      </c>
      <c r="AL11" s="13" t="n">
        <f aca="false">MIN(AL10,MAX(0,AL10-AL9))</f>
        <v>0</v>
      </c>
      <c r="AM11" s="13" t="n">
        <f aca="false">MIN(AM10,MAX(0,AM10-AM9))</f>
        <v>0</v>
      </c>
      <c r="AN11" s="13" t="n">
        <f aca="false">MIN(AN10,MAX(0,AN10-AN9))</f>
        <v>0</v>
      </c>
      <c r="AO11" s="13" t="n">
        <f aca="false">MIN(AO10,MAX(0,AO10-AO9))</f>
        <v>0</v>
      </c>
      <c r="AP11" s="13" t="n">
        <f aca="false">MIN(AP10,MAX(0,AP10-AP9))</f>
        <v>0</v>
      </c>
      <c r="AQ11" s="13" t="n">
        <f aca="false">MIN(AQ10,MAX(0,AQ10-AQ9))</f>
        <v>0</v>
      </c>
      <c r="AR11" s="13" t="n">
        <f aca="false">MIN(AR10,MAX(0,AR10-AR9))</f>
        <v>0</v>
      </c>
      <c r="AS11" s="13" t="n">
        <f aca="false">MIN(AS10,MAX(0,AS10-AS9))</f>
        <v>0</v>
      </c>
      <c r="AT11" s="13" t="n">
        <f aca="false">MIN(AT10,MAX(0,AT10-AT9))</f>
        <v>0</v>
      </c>
      <c r="AU11" s="13" t="n">
        <f aca="false">MIN(AU10,MAX(0,AU10-AU9))</f>
        <v>0</v>
      </c>
      <c r="AV11" s="13" t="n">
        <f aca="false">MIN(AV10,MAX(0,AV10-AV9))</f>
        <v>0</v>
      </c>
      <c r="AW11" s="13" t="n">
        <f aca="false">MIN(AW10,MAX(0,AW10-AW9))</f>
        <v>0</v>
      </c>
      <c r="AX11" s="13" t="n">
        <f aca="false">MIN(AX10,MAX(0,AX10-AX9))</f>
        <v>0</v>
      </c>
      <c r="AY11" s="13" t="n">
        <f aca="false">MIN(AY10,MAX(0,AY10-AY9))</f>
        <v>0</v>
      </c>
      <c r="AZ11" s="13" t="n">
        <f aca="false">MIN(AZ10,MAX(0,AZ10-AZ9))</f>
        <v>0</v>
      </c>
      <c r="BA11" s="13" t="n">
        <f aca="false">MIN(BA10,MAX(0,BA10-BA9))</f>
        <v>0</v>
      </c>
      <c r="BB11" s="13" t="n">
        <f aca="false">MIN(BB10,MAX(0,BB10-BB9))</f>
        <v>0</v>
      </c>
      <c r="BC11" s="13" t="n">
        <f aca="false">MIN(BC10,MAX(0,BC10-BC9))</f>
        <v>0</v>
      </c>
      <c r="BD11" s="13" t="n">
        <f aca="false">MIN(BD10,MAX(0,BD10-BD9))</f>
        <v>0</v>
      </c>
      <c r="BE11" s="13" t="n">
        <f aca="false">MIN(BE10,MAX(0,BE10-BE9))</f>
        <v>0</v>
      </c>
      <c r="BF11" s="13" t="n">
        <f aca="false">MIN(BF10,MAX(0,BF10-BF9))</f>
        <v>0</v>
      </c>
      <c r="BG11" s="13" t="n">
        <f aca="false">MIN(BG10,MAX(0,BG10-BG9))</f>
        <v>0</v>
      </c>
      <c r="BH11" s="13" t="n">
        <f aca="false">MIN(BH10,MAX(0,BH10-BH9))</f>
        <v>0</v>
      </c>
      <c r="BI11" s="13" t="n">
        <f aca="false">MIN(BI10,MAX(0,BI10-BI9))</f>
        <v>0</v>
      </c>
      <c r="BJ11" s="13" t="n">
        <f aca="false">MIN(BJ10,MAX(0,BJ10-BJ9))</f>
        <v>0</v>
      </c>
      <c r="BK11" s="13" t="n">
        <f aca="false">MIN(BK10,MAX(0,BK10-BK9))</f>
        <v>0</v>
      </c>
      <c r="BL11" s="13" t="n">
        <f aca="false">MIN(BL10,MAX(0,BL10-BL9))</f>
        <v>0</v>
      </c>
      <c r="BM11" s="13" t="n">
        <f aca="false">MIN(BM10,MAX(0,BM10-BM9))</f>
        <v>0</v>
      </c>
      <c r="BN11" s="13" t="n">
        <f aca="false">MIN(BN10,MAX(0,BN10-BN9))</f>
        <v>0</v>
      </c>
    </row>
    <row r="12" customFormat="false" ht="15" hidden="false" customHeight="false" outlineLevel="0" collapsed="false">
      <c r="D12" s="0" t="s">
        <v>1870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1871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1.70322194445222</v>
      </c>
      <c r="P13" s="13" t="n">
        <f aca="false">MAX(0,P9-P10)</f>
        <v>13.7314658936504</v>
      </c>
      <c r="Q13" s="13" t="n">
        <f aca="false">MAX(0,Q9-Q10)</f>
        <v>11.9897650489064</v>
      </c>
      <c r="R13" s="13" t="n">
        <f aca="false">MAX(0,R9-R10)</f>
        <v>12.1368361009166</v>
      </c>
      <c r="S13" s="13" t="n">
        <f aca="false">MAX(0,S9-S10)</f>
        <v>12.0291344662753</v>
      </c>
      <c r="T13" s="13" t="n">
        <f aca="false">MAX(0,T9-T10)</f>
        <v>12.1583870926884</v>
      </c>
      <c r="U13" s="13" t="n">
        <f aca="false">MAX(0,U9-U10)</f>
        <v>12.0884220252597</v>
      </c>
      <c r="V13" s="13" t="n">
        <f aca="false">MAX(0,V9-V10)</f>
        <v>12.3240030749466</v>
      </c>
      <c r="W13" s="13" t="n">
        <f aca="false">MAX(0,W9-W10)</f>
        <v>12.2244514342951</v>
      </c>
      <c r="X13" s="13" t="n">
        <f aca="false">MAX(0,X9-X10)</f>
        <v>11.8229290255502</v>
      </c>
      <c r="Y13" s="13" t="n">
        <f aca="false">MAX(0,Y9-Y10)</f>
        <v>11.6921181308378</v>
      </c>
      <c r="Z13" s="13" t="n">
        <f aca="false">MAX(0,Z9-Z10)</f>
        <v>11.7792959534515</v>
      </c>
      <c r="AA13" s="13" t="n">
        <f aca="false">MAX(0,AA9-AA10)</f>
        <v>11.6691160692176</v>
      </c>
      <c r="AB13" s="13" t="n">
        <f aca="false">MAX(0,AB9-AB10)</f>
        <v>12.3554433564833</v>
      </c>
      <c r="AC13" s="13" t="n">
        <f aca="false">MAX(0,AC9-AC10)</f>
        <v>12.9658652485415</v>
      </c>
      <c r="AD13" s="13" t="n">
        <f aca="false">MAX(0,AD9-AD10)</f>
        <v>14.211197553235</v>
      </c>
      <c r="AE13" s="13" t="n">
        <f aca="false">MAX(0,AE9-AE10)</f>
        <v>15.1385044293803</v>
      </c>
      <c r="AF13" s="13" t="n">
        <f aca="false">MAX(0,AF9-AF10)</f>
        <v>16.2446125496368</v>
      </c>
      <c r="AG13" s="13" t="n">
        <f aca="false">MAX(0,AG9-AG10)</f>
        <v>17.4164976795342</v>
      </c>
      <c r="AH13" s="13" t="n">
        <f aca="false">MAX(0,AH9-AH10)</f>
        <v>19.1560554043359</v>
      </c>
      <c r="AI13" s="13" t="n">
        <f aca="false">MAX(0,AI9-AI10)</f>
        <v>20.8585319749309</v>
      </c>
      <c r="AJ13" s="13" t="n">
        <f aca="false">MAX(0,AJ9-AJ10)</f>
        <v>23.499914690262</v>
      </c>
      <c r="AK13" s="13" t="n">
        <f aca="false">MAX(0,AK9-AK10)</f>
        <v>26.5962235820313</v>
      </c>
      <c r="AL13" s="13" t="n">
        <f aca="false">MAX(0,AL9-AL10)</f>
        <v>30.1598558213361</v>
      </c>
      <c r="AM13" s="13" t="n">
        <f aca="false">MAX(0,AM9-AM10)</f>
        <v>29.8437849042325</v>
      </c>
      <c r="AN13" s="13" t="n">
        <f aca="false">MAX(0,AN9-AN10)</f>
        <v>30.9221675481614</v>
      </c>
      <c r="AO13" s="13" t="n">
        <f aca="false">MAX(0,AO9-AO10)</f>
        <v>27.9913128508673</v>
      </c>
      <c r="AP13" s="13" t="n">
        <f aca="false">MAX(0,AP9-AP10)</f>
        <v>41.2576694418074</v>
      </c>
      <c r="AQ13" s="13" t="n">
        <f aca="false">MAX(0,AQ9-AQ10)</f>
        <v>40.2422923735455</v>
      </c>
      <c r="AR13" s="13" t="n">
        <f aca="false">MAX(0,AR9-AR10)</f>
        <v>40.8104487043823</v>
      </c>
      <c r="AS13" s="13" t="n">
        <f aca="false">MAX(0,AS9-AS10)</f>
        <v>40.5407856571621</v>
      </c>
      <c r="AT13" s="13" t="n">
        <f aca="false">MAX(0,AT9-AT10)</f>
        <v>47.2583461365032</v>
      </c>
      <c r="AU13" s="13" t="n">
        <f aca="false">MAX(0,AU9-AU10)</f>
        <v>42.8167914915745</v>
      </c>
      <c r="AV13" s="13" t="n">
        <f aca="false">MAX(0,AV9-AV10)</f>
        <v>42.9218549379578</v>
      </c>
      <c r="AW13" s="13" t="n">
        <f aca="false">MAX(0,AW9-AW10)</f>
        <v>42.4942785274471</v>
      </c>
      <c r="AX13" s="13" t="n">
        <f aca="false">MAX(0,AX9-AX10)</f>
        <v>43.1502776228074</v>
      </c>
      <c r="AY13" s="13" t="n">
        <f aca="false">MAX(0,AY9-AY10)</f>
        <v>42.6900932979832</v>
      </c>
      <c r="AZ13" s="13" t="n">
        <f aca="false">MAX(0,AZ9-AZ10)</f>
        <v>43.2887280023373</v>
      </c>
      <c r="BA13" s="13" t="n">
        <f aca="false">MAX(0,BA9-BA10)</f>
        <v>42.9863760956759</v>
      </c>
      <c r="BB13" s="13" t="n">
        <f aca="false">MAX(0,BB9-BB10)</f>
        <v>45.2166068674304</v>
      </c>
      <c r="BC13" s="13" t="n">
        <f aca="false">MAX(0,BC9-BC10)</f>
        <v>41.8132842811059</v>
      </c>
      <c r="BD13" s="13" t="n">
        <f aca="false">MAX(0,BD9-BD10)</f>
        <v>35.6950973344911</v>
      </c>
      <c r="BE13" s="13" t="n">
        <f aca="false">MAX(0,BE9-BE10)</f>
        <v>35.2586380384512</v>
      </c>
      <c r="BF13" s="13" t="n">
        <f aca="false">MAX(0,BF9-BF10)</f>
        <v>35.9423857054157</v>
      </c>
      <c r="BG13" s="13" t="n">
        <f aca="false">MAX(0,BG9-BG10)</f>
        <v>35.4711958329387</v>
      </c>
      <c r="BH13" s="13" t="n">
        <f aca="false">MAX(0,BH9-BH10)</f>
        <v>36.0913532973117</v>
      </c>
      <c r="BI13" s="13" t="n">
        <f aca="false">MAX(0,BI9-BI10)</f>
        <v>35.8251170227143</v>
      </c>
      <c r="BJ13" s="13" t="n">
        <f aca="false">MAX(0,BJ9-BJ10)</f>
        <v>43.8304573837196</v>
      </c>
      <c r="BK13" s="13" t="n">
        <f aca="false">MAX(0,BK9-BK10)</f>
        <v>38.575599152509</v>
      </c>
      <c r="BL13" s="13" t="n">
        <f aca="false">MAX(0,BL9-BL10)</f>
        <v>39.3018091592508</v>
      </c>
      <c r="BM13" s="13" t="n">
        <f aca="false">MAX(0,BM9-BM10)</f>
        <v>35.8282287318427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1872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1.70322194445126</v>
      </c>
      <c r="P14" s="13" t="n">
        <f aca="false">P13-Reserves!P11+Reserves!P12</f>
        <v>13.8203448755155</v>
      </c>
      <c r="Q14" s="13" t="n">
        <f aca="false">Q13-Reserves!Q11+Reserves!Q12</f>
        <v>11.5219964164784</v>
      </c>
      <c r="R14" s="13" t="n">
        <f aca="false">R13-Reserves!R11+Reserves!R12</f>
        <v>12.4283086959315</v>
      </c>
      <c r="S14" s="13" t="n">
        <f aca="false">S13-Reserves!S11+Reserves!S12</f>
        <v>11.6112291771809</v>
      </c>
      <c r="T14" s="13" t="n">
        <f aca="false">T13-Reserves!T11+Reserves!T12</f>
        <v>12.3389121194962</v>
      </c>
      <c r="U14" s="13" t="n">
        <f aca="false">U13-Reserves!U11+Reserves!U12</f>
        <v>11.3711945450074</v>
      </c>
      <c r="V14" s="13" t="n">
        <f aca="false">V13-Reserves!V11+Reserves!V12</f>
        <v>12.5886958841189</v>
      </c>
      <c r="W14" s="13" t="n">
        <f aca="false">W13-Reserves!W11+Reserves!W12</f>
        <v>13.3208837856551</v>
      </c>
      <c r="X14" s="13" t="n">
        <f aca="false">X13-Reserves!X11+Reserves!X12</f>
        <v>12.1793320554863</v>
      </c>
      <c r="Y14" s="13" t="n">
        <f aca="false">Y13-Reserves!Y11+Reserves!Y12</f>
        <v>11.3911470669417</v>
      </c>
      <c r="Z14" s="13" t="n">
        <f aca="false">Z13-Reserves!Z11+Reserves!Z12</f>
        <v>12.0763717070104</v>
      </c>
      <c r="AA14" s="13" t="n">
        <f aca="false">AA13-Reserves!AA11+Reserves!AA12</f>
        <v>11.2386547921602</v>
      </c>
      <c r="AB14" s="13" t="n">
        <f aca="false">AB13-Reserves!AB11+Reserves!AB12</f>
        <v>13.0585195737035</v>
      </c>
      <c r="AC14" s="13" t="n">
        <f aca="false">AC13-Reserves!AC11+Reserves!AC12</f>
        <v>12.2861866664837</v>
      </c>
      <c r="AD14" s="13" t="n">
        <f aca="false">AD13-Reserves!AD11+Reserves!AD12</f>
        <v>14.8551161083888</v>
      </c>
      <c r="AE14" s="13" t="n">
        <f aca="false">AE13-Reserves!AE11+Reserves!AE12</f>
        <v>15.9502073366212</v>
      </c>
      <c r="AF14" s="13" t="n">
        <f aca="false">AF13-Reserves!AF11+Reserves!AF12</f>
        <v>17.5756534515765</v>
      </c>
      <c r="AG14" s="13" t="n">
        <f aca="false">AG13-Reserves!AG11+Reserves!AG12</f>
        <v>18.2901425215779</v>
      </c>
      <c r="AH14" s="13" t="n">
        <f aca="false">AH13-Reserves!AH11+Reserves!AH12</f>
        <v>20.8704538774075</v>
      </c>
      <c r="AI14" s="13" t="n">
        <f aca="false">AI13-Reserves!AI11+Reserves!AI12</f>
        <v>22.435470459984</v>
      </c>
      <c r="AJ14" s="13" t="n">
        <f aca="false">AJ13-Reserves!AJ11+Reserves!AJ12</f>
        <v>25.9672374537897</v>
      </c>
      <c r="AK14" s="13" t="n">
        <f aca="false">AK13-Reserves!AK11+Reserves!AK12</f>
        <v>29.3824359786823</v>
      </c>
      <c r="AL14" s="13" t="n">
        <f aca="false">AL13-Reserves!AL11+Reserves!AL12</f>
        <v>33.1698631728497</v>
      </c>
      <c r="AM14" s="13" t="n">
        <f aca="false">AM13-Reserves!AM11+Reserves!AM12</f>
        <v>32.7793999482765</v>
      </c>
      <c r="AN14" s="13" t="n">
        <f aca="false">AN13-Reserves!AN11+Reserves!AN12</f>
        <v>31.7295187483604</v>
      </c>
      <c r="AO14" s="13" t="n">
        <f aca="false">AO13-Reserves!AO11+Reserves!AO12</f>
        <v>46.0145109268755</v>
      </c>
      <c r="AP14" s="13" t="n">
        <f aca="false">AP13-Reserves!AP11+Reserves!AP12</f>
        <v>41.2576694418074</v>
      </c>
      <c r="AQ14" s="13" t="n">
        <f aca="false">AQ13-Reserves!AQ11+Reserves!AQ12</f>
        <v>40.2422923735455</v>
      </c>
      <c r="AR14" s="13" t="n">
        <f aca="false">AR13-Reserves!AR11+Reserves!AR12</f>
        <v>40.8104487043823</v>
      </c>
      <c r="AS14" s="13" t="n">
        <f aca="false">AS13-Reserves!AS11+Reserves!AS12</f>
        <v>40.5407856571621</v>
      </c>
      <c r="AT14" s="13" t="n">
        <f aca="false">AT13-Reserves!AT11+Reserves!AT12</f>
        <v>47.2583461365032</v>
      </c>
      <c r="AU14" s="13" t="n">
        <f aca="false">AU13-Reserves!AU11+Reserves!AU12</f>
        <v>42.8167914915745</v>
      </c>
      <c r="AV14" s="13" t="n">
        <f aca="false">AV13-Reserves!AV11+Reserves!AV12</f>
        <v>42.9218549379578</v>
      </c>
      <c r="AW14" s="13" t="n">
        <f aca="false">AW13-Reserves!AW11+Reserves!AW12</f>
        <v>42.4942785274471</v>
      </c>
      <c r="AX14" s="13" t="n">
        <f aca="false">AX13-Reserves!AX11+Reserves!AX12</f>
        <v>43.1502776228074</v>
      </c>
      <c r="AY14" s="13" t="n">
        <f aca="false">AY13-Reserves!AY11+Reserves!AY12</f>
        <v>42.6900932979832</v>
      </c>
      <c r="AZ14" s="13" t="n">
        <f aca="false">AZ13-Reserves!AZ11+Reserves!AZ12</f>
        <v>43.2887280023373</v>
      </c>
      <c r="BA14" s="13" t="n">
        <f aca="false">BA13-Reserves!BA11+Reserves!BA12</f>
        <v>42.9863760956759</v>
      </c>
      <c r="BB14" s="13" t="n">
        <f aca="false">BB13-Reserves!BB11+Reserves!BB12</f>
        <v>45.2166068674304</v>
      </c>
      <c r="BC14" s="13" t="n">
        <f aca="false">BC13-Reserves!BC11+Reserves!BC12</f>
        <v>41.8132842811059</v>
      </c>
      <c r="BD14" s="13" t="n">
        <f aca="false">BD13-Reserves!BD11+Reserves!BD12</f>
        <v>35.6950973344911</v>
      </c>
      <c r="BE14" s="13" t="n">
        <f aca="false">BE13-Reserves!BE11+Reserves!BE12</f>
        <v>35.2586380384512</v>
      </c>
      <c r="BF14" s="13" t="n">
        <f aca="false">BF13-Reserves!BF11+Reserves!BF12</f>
        <v>35.9423857054157</v>
      </c>
      <c r="BG14" s="13" t="n">
        <f aca="false">BG13-Reserves!BG11+Reserves!BG12</f>
        <v>35.4711958329387</v>
      </c>
      <c r="BH14" s="13" t="n">
        <f aca="false">BH13-Reserves!BH11+Reserves!BH12</f>
        <v>36.0913532973117</v>
      </c>
      <c r="BI14" s="13" t="n">
        <f aca="false">BI13-Reserves!BI11+Reserves!BI12</f>
        <v>35.8251170227143</v>
      </c>
      <c r="BJ14" s="13" t="n">
        <f aca="false">BJ13-Reserves!BJ11+Reserves!BJ12</f>
        <v>43.8304573837196</v>
      </c>
      <c r="BK14" s="13" t="n">
        <f aca="false">BK13-Reserves!BK11+Reserves!BK12</f>
        <v>38.575599152509</v>
      </c>
      <c r="BL14" s="13" t="n">
        <f aca="false">BL13-Reserves!BL11+Reserves!BL12</f>
        <v>39.3018091592508</v>
      </c>
      <c r="BM14" s="13" t="n">
        <f aca="false">BM13-Reserves!BM11+Reserves!BM12</f>
        <v>35.8282287318427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1873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1.70322194445126</v>
      </c>
      <c r="P15" s="13" t="n">
        <f aca="false">P14-Reserves!P14+Reserves!P15</f>
        <v>13.8203448755155</v>
      </c>
      <c r="Q15" s="13" t="n">
        <f aca="false">Q14-Reserves!Q14+Reserves!Q15</f>
        <v>11.5219964164784</v>
      </c>
      <c r="R15" s="13" t="n">
        <f aca="false">R14-Reserves!R14+Reserves!R15</f>
        <v>12.4283086959315</v>
      </c>
      <c r="S15" s="13" t="n">
        <f aca="false">S14-Reserves!S14+Reserves!S15</f>
        <v>11.6112291771809</v>
      </c>
      <c r="T15" s="13" t="n">
        <f aca="false">T14-Reserves!T14+Reserves!T15</f>
        <v>12.3389121194962</v>
      </c>
      <c r="U15" s="13" t="n">
        <f aca="false">U14-Reserves!U14+Reserves!U15</f>
        <v>11.3711945450074</v>
      </c>
      <c r="V15" s="13" t="n">
        <f aca="false">V14-Reserves!V14+Reserves!V15</f>
        <v>12.5886958841189</v>
      </c>
      <c r="W15" s="13" t="n">
        <f aca="false">W14-Reserves!W14+Reserves!W15</f>
        <v>13.3208837856551</v>
      </c>
      <c r="X15" s="13" t="n">
        <f aca="false">X14-Reserves!X14+Reserves!X15</f>
        <v>12.1793320554863</v>
      </c>
      <c r="Y15" s="13" t="n">
        <f aca="false">Y14-Reserves!Y14+Reserves!Y15</f>
        <v>11.3911470669417</v>
      </c>
      <c r="Z15" s="13" t="n">
        <f aca="false">Z14-Reserves!Z14+Reserves!Z15</f>
        <v>12.0763717070104</v>
      </c>
      <c r="AA15" s="13" t="n">
        <f aca="false">AA14-Reserves!AA14+Reserves!AA15</f>
        <v>11.2386547921602</v>
      </c>
      <c r="AB15" s="13" t="n">
        <f aca="false">AB14-Reserves!AB14+Reserves!AB15</f>
        <v>13.0585195737035</v>
      </c>
      <c r="AC15" s="13" t="n">
        <f aca="false">AC14-Reserves!AC14+Reserves!AC15</f>
        <v>12.2861866664837</v>
      </c>
      <c r="AD15" s="13" t="n">
        <f aca="false">AD14-Reserves!AD14+Reserves!AD15</f>
        <v>14.8551161083888</v>
      </c>
      <c r="AE15" s="13" t="n">
        <f aca="false">AE14-Reserves!AE14+Reserves!AE15</f>
        <v>15.9502073366212</v>
      </c>
      <c r="AF15" s="13" t="n">
        <f aca="false">AF14-Reserves!AF14+Reserves!AF15</f>
        <v>17.5756534515765</v>
      </c>
      <c r="AG15" s="13" t="n">
        <f aca="false">AG14-Reserves!AG14+Reserves!AG15</f>
        <v>18.2901425215779</v>
      </c>
      <c r="AH15" s="13" t="n">
        <f aca="false">AH14-Reserves!AH14+Reserves!AH15</f>
        <v>20.8704538774075</v>
      </c>
      <c r="AI15" s="13" t="n">
        <f aca="false">AI14-Reserves!AI14+Reserves!AI15</f>
        <v>22.435470459984</v>
      </c>
      <c r="AJ15" s="13" t="n">
        <f aca="false">AJ14-Reserves!AJ14+Reserves!AJ15</f>
        <v>25.9672374537897</v>
      </c>
      <c r="AK15" s="13" t="n">
        <f aca="false">AK14-Reserves!AK14+Reserves!AK15</f>
        <v>29.3824359786823</v>
      </c>
      <c r="AL15" s="13" t="n">
        <f aca="false">AL14-Reserves!AL14+Reserves!AL15</f>
        <v>33.1698631728497</v>
      </c>
      <c r="AM15" s="13" t="n">
        <f aca="false">AM14-Reserves!AM14+Reserves!AM15</f>
        <v>32.7793999482765</v>
      </c>
      <c r="AN15" s="13" t="n">
        <f aca="false">AN14-Reserves!AN14+Reserves!AN15</f>
        <v>31.7295187483604</v>
      </c>
      <c r="AO15" s="13" t="n">
        <f aca="false">AO14-Reserves!AO14+Reserves!AO15</f>
        <v>46.0145109268755</v>
      </c>
      <c r="AP15" s="13" t="n">
        <f aca="false">AP14-Reserves!AP14+Reserves!AP15</f>
        <v>41.2576694418074</v>
      </c>
      <c r="AQ15" s="13" t="n">
        <f aca="false">AQ14-Reserves!AQ14+Reserves!AQ15</f>
        <v>40.2422923735455</v>
      </c>
      <c r="AR15" s="13" t="n">
        <f aca="false">AR14-Reserves!AR14+Reserves!AR15</f>
        <v>40.8104487043823</v>
      </c>
      <c r="AS15" s="13" t="n">
        <f aca="false">AS14-Reserves!AS14+Reserves!AS15</f>
        <v>40.5407856571621</v>
      </c>
      <c r="AT15" s="13" t="n">
        <f aca="false">AT14-Reserves!AT14+Reserves!AT15</f>
        <v>47.2583461365032</v>
      </c>
      <c r="AU15" s="13" t="n">
        <f aca="false">AU14-Reserves!AU14+Reserves!AU15</f>
        <v>42.8167914915745</v>
      </c>
      <c r="AV15" s="13" t="n">
        <f aca="false">AV14-Reserves!AV14+Reserves!AV15</f>
        <v>42.9218549379578</v>
      </c>
      <c r="AW15" s="13" t="n">
        <f aca="false">AW14-Reserves!AW14+Reserves!AW15</f>
        <v>42.4942785274471</v>
      </c>
      <c r="AX15" s="13" t="n">
        <f aca="false">AX14-Reserves!AX14+Reserves!AX15</f>
        <v>43.1502776228074</v>
      </c>
      <c r="AY15" s="13" t="n">
        <f aca="false">AY14-Reserves!AY14+Reserves!AY15</f>
        <v>42.6900932979832</v>
      </c>
      <c r="AZ15" s="13" t="n">
        <f aca="false">AZ14-Reserves!AZ14+Reserves!AZ15</f>
        <v>43.2887280023373</v>
      </c>
      <c r="BA15" s="13" t="n">
        <f aca="false">BA14-Reserves!BA14+Reserves!BA15</f>
        <v>42.4914077090672</v>
      </c>
      <c r="BB15" s="13" t="n">
        <f aca="false">BB14-Reserves!BB14+Reserves!BB15</f>
        <v>43.715456612786</v>
      </c>
      <c r="BC15" s="13" t="n">
        <f aca="false">BC14-Reserves!BC14+Reserves!BC15</f>
        <v>40.2957112077637</v>
      </c>
      <c r="BD15" s="13" t="n">
        <f aca="false">BD14-Reserves!BD14+Reserves!BD15</f>
        <v>34.1609217742445</v>
      </c>
      <c r="BE15" s="13" t="n">
        <f aca="false">BE14-Reserves!BE14+Reserves!BE15</f>
        <v>33.7076783574954</v>
      </c>
      <c r="BF15" s="13" t="n">
        <f aca="false">BF14-Reserves!BF14+Reserves!BF15</f>
        <v>34.3744582828437</v>
      </c>
      <c r="BG15" s="13" t="n">
        <f aca="false">BG14-Reserves!BG14+Reserves!BG15</f>
        <v>33.8861150390019</v>
      </c>
      <c r="BH15" s="13" t="n">
        <f aca="false">BH14-Reserves!BH14+Reserves!BH15</f>
        <v>34.4889314714431</v>
      </c>
      <c r="BI15" s="13" t="n">
        <f aca="false">BI14-Reserves!BI14+Reserves!BI15</f>
        <v>34.2051644513109</v>
      </c>
      <c r="BJ15" s="13" t="n">
        <f aca="false">BJ14-Reserves!BJ14+Reserves!BJ15</f>
        <v>42.1927822776819</v>
      </c>
      <c r="BK15" s="13" t="n">
        <f aca="false">BK14-Reserves!BK14+Reserves!BK15</f>
        <v>36.9200076245347</v>
      </c>
      <c r="BL15" s="13" t="n">
        <f aca="false">BL14-Reserves!BL14+Reserves!BL15</f>
        <v>37.6281052008802</v>
      </c>
      <c r="BM15" s="13" t="n">
        <f aca="false">BM14-Reserves!BM14+Reserves!BM15</f>
        <v>53.7694088938038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1874</v>
      </c>
    </row>
    <row r="17" customFormat="false" ht="15" hidden="false" customHeight="false" outlineLevel="0" collapsed="false">
      <c r="D17" s="0" t="s">
        <v>1875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1.32294146262841</v>
      </c>
      <c r="Q17" s="3" t="n">
        <f aca="false">IF(Debt!Q114&gt;Inputs!$F$253,Q7/Debt!Q114,0)</f>
        <v>1.32267835776088</v>
      </c>
      <c r="R17" s="3" t="n">
        <f aca="false">IF(Debt!R114&gt;Inputs!$F$253,R7/Debt!R114,0)</f>
        <v>1.32257555950955</v>
      </c>
      <c r="S17" s="3" t="n">
        <f aca="false">IF(Debt!S114&gt;Inputs!$F$253,S7/Debt!S114,0)</f>
        <v>1.3222091387901</v>
      </c>
      <c r="T17" s="3" t="n">
        <f aca="false">IF(Debt!T114&gt;Inputs!$F$253,T7/Debt!T114,0)</f>
        <v>1.3220660897125</v>
      </c>
      <c r="U17" s="3" t="n">
        <f aca="false">IF(Debt!U114&gt;Inputs!$F$253,U7/Debt!U114,0)</f>
        <v>1.32175137424993</v>
      </c>
      <c r="V17" s="3" t="n">
        <f aca="false">IF(Debt!V114&gt;Inputs!$F$253,V7/Debt!V114,0)</f>
        <v>1.32187705676902</v>
      </c>
      <c r="W17" s="3" t="n">
        <f aca="false">IF(Debt!W114&gt;Inputs!$F$253,W7/Debt!W114,0)</f>
        <v>1.32149957439156</v>
      </c>
      <c r="X17" s="3" t="n">
        <f aca="false">IF(Debt!X114&gt;Inputs!$F$253,X7/Debt!X114,0)</f>
        <v>1.32017208647025</v>
      </c>
      <c r="Y17" s="3" t="n">
        <f aca="false">IF(Debt!Y114&gt;Inputs!$F$253,Y7/Debt!Y114,0)</f>
        <v>1.31971541668741</v>
      </c>
      <c r="Z17" s="3" t="n">
        <f aca="false">IF(Debt!Z114&gt;Inputs!$F$253,Z7/Debt!Z114,0)</f>
        <v>1.31947004288703</v>
      </c>
      <c r="AA17" s="3" t="n">
        <f aca="false">IF(Debt!AA114&gt;Inputs!$F$253,AA7/Debt!AA114,0)</f>
        <v>1.31905245223501</v>
      </c>
      <c r="AB17" s="3" t="n">
        <f aca="false">IF(Debt!AB114&gt;Inputs!$F$253,AB7/Debt!AB114,0)</f>
        <v>1.3389647927585</v>
      </c>
      <c r="AC17" s="3" t="n">
        <f aca="false">IF(Debt!AC114&gt;Inputs!$F$253,AC7/Debt!AC114,0)</f>
        <v>1.36392607052288</v>
      </c>
      <c r="AD17" s="3" t="n">
        <f aca="false">IF(Debt!AD114&gt;Inputs!$F$253,AD7/Debt!AD114,0)</f>
        <v>1.39174506395935</v>
      </c>
      <c r="AE17" s="3" t="n">
        <f aca="false">IF(Debt!AE114&gt;Inputs!$F$253,AE7/Debt!AE114,0)</f>
        <v>1.42733846174988</v>
      </c>
      <c r="AF17" s="3" t="n">
        <f aca="false">IF(Debt!AF114&gt;Inputs!$F$253,AF7/Debt!AF114,0)</f>
        <v>1.47139872804442</v>
      </c>
      <c r="AG17" s="3" t="n">
        <f aca="false">IF(Debt!AG114&gt;Inputs!$F$253,AG7/Debt!AG114,0)</f>
        <v>1.52914302453403</v>
      </c>
      <c r="AH17" s="3" t="n">
        <f aca="false">IF(Debt!AH114&gt;Inputs!$F$253,AH7/Debt!AH114,0)</f>
        <v>1.60192545199738</v>
      </c>
      <c r="AI17" s="3" t="n">
        <f aca="false">IF(Debt!AI114&gt;Inputs!$F$253,AI7/Debt!AI114,0)</f>
        <v>1.70212111715596</v>
      </c>
      <c r="AJ17" s="3" t="n">
        <f aca="false">IF(Debt!AJ114&gt;Inputs!$F$253,AJ7/Debt!AJ114,0)</f>
        <v>1.84998002890168</v>
      </c>
      <c r="AK17" s="3" t="n">
        <f aca="false">IF(Debt!AK114&gt;Inputs!$F$253,AK7/Debt!AK114,0)</f>
        <v>2.09426230348008</v>
      </c>
      <c r="AL17" s="3" t="n">
        <f aca="false">IF(Debt!AL114&gt;Inputs!$F$253,AL7/Debt!AL114,0)</f>
        <v>2.3813134071545</v>
      </c>
      <c r="AM17" s="3" t="n">
        <f aca="false">IF(Debt!AM114&gt;Inputs!$F$253,AM7/Debt!AM114,0)</f>
        <v>2.37110905096246</v>
      </c>
      <c r="AN17" s="3" t="n">
        <f aca="false">IF(Debt!AN114&gt;Inputs!$F$253,AN7/Debt!AN114,0)</f>
        <v>2.64212775180341</v>
      </c>
      <c r="AO17" s="3" t="n">
        <f aca="false">IF(Debt!AO114&gt;Inputs!$F$253,AO7/Debt!AO114,0)</f>
        <v>2.55307136573771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1876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1.32294146262841</v>
      </c>
      <c r="Q18" s="3" t="n">
        <f aca="false">IF(Debt!Q114&gt;Inputs!$F$253,IF(Debt!P114&gt;Inputs!$F$253,(Q7+P7)/(Debt!Q114+Debt!P114),Q17),0)</f>
        <v>1.32281006734234</v>
      </c>
      <c r="R18" s="3" t="n">
        <f aca="false">IF(Debt!R114&gt;Inputs!$F$253,IF(Debt!Q114&gt;Inputs!$F$253,(R7+Q7)/(Debt!R114+Debt!Q114),R17),0)</f>
        <v>1.32262663712786</v>
      </c>
      <c r="S18" s="3" t="n">
        <f aca="false">IF(Debt!S114&gt;Inputs!$F$253,IF(Debt!R114&gt;Inputs!$F$253,(S7+R7)/(Debt!S114+Debt!R114),S17),0)</f>
        <v>1.3223930615585</v>
      </c>
      <c r="T18" s="3" t="n">
        <f aca="false">IF(Debt!T114&gt;Inputs!$F$253,IF(Debt!S114&gt;Inputs!$F$253,(T7+S7)/(Debt!T114+Debt!S114),T17),0)</f>
        <v>1.3221372161602</v>
      </c>
      <c r="U18" s="3" t="n">
        <f aca="false">IF(Debt!U114&gt;Inputs!$F$253,IF(Debt!T114&gt;Inputs!$F$253,(U7+T7)/(Debt!U114+Debt!T114),U17),0)</f>
        <v>1.32190910912259</v>
      </c>
      <c r="V18" s="3" t="n">
        <f aca="false">IF(Debt!V114&gt;Inputs!$F$253,IF(Debt!U114&gt;Inputs!$F$253,(V7+U7)/(Debt!V114+Debt!U114),V17),0)</f>
        <v>1.32181480966057</v>
      </c>
      <c r="W18" s="3" t="n">
        <f aca="false">IF(Debt!W114&gt;Inputs!$F$253,IF(Debt!V114&gt;Inputs!$F$253,(W7+V7)/(Debt!W114+Debt!V114),W17),0)</f>
        <v>1.32168897024788</v>
      </c>
      <c r="X18" s="3" t="n">
        <f aca="false">IF(Debt!X114&gt;Inputs!$F$253,IF(Debt!W114&gt;Inputs!$F$253,(X7+W7)/(Debt!X114+Debt!W114),X17),0)</f>
        <v>1.32084554023922</v>
      </c>
      <c r="Y18" s="3" t="n">
        <f aca="false">IF(Debt!Y114&gt;Inputs!$F$253,IF(Debt!X114&gt;Inputs!$F$253,(Y7+X7)/(Debt!Y114+Debt!X114),Y17),0)</f>
        <v>1.31994485882185</v>
      </c>
      <c r="Z18" s="3" t="n">
        <f aca="false">IF(Debt!Z114&gt;Inputs!$F$253,IF(Debt!Y114&gt;Inputs!$F$253,(Z7+Y7)/(Debt!Z114+Debt!Y114),Z17),0)</f>
        <v>1.31959222700502</v>
      </c>
      <c r="AA18" s="3" t="n">
        <f aca="false">IF(Debt!AA114&gt;Inputs!$F$253,IF(Debt!Z114&gt;Inputs!$F$253,(AA7+Z7)/(Debt!AA114+Debt!Z114),AA17),0)</f>
        <v>1.31926209210428</v>
      </c>
      <c r="AB18" s="3" t="n">
        <f aca="false">IF(Debt!AB114&gt;Inputs!$F$253,IF(Debt!AA114&gt;Inputs!$F$253,(AB7+AA7)/(Debt!AB114+Debt!AA114),AB17),0)</f>
        <v>1.32899174827048</v>
      </c>
      <c r="AC18" s="3" t="n">
        <f aca="false">IF(Debt!AC114&gt;Inputs!$F$253,IF(Debt!AB114&gt;Inputs!$F$253,(AC7+AB7)/(Debt!AC114+Debt!AB114),AC17),0)</f>
        <v>1.35130296467294</v>
      </c>
      <c r="AD18" s="3" t="n">
        <f aca="false">IF(Debt!AD114&gt;Inputs!$F$253,IF(Debt!AC114&gt;Inputs!$F$253,(AD7+AC7)/(Debt!AD114+Debt!AC114),AD17),0)</f>
        <v>1.37796109372226</v>
      </c>
      <c r="AE18" s="3" t="n">
        <f aca="false">IF(Debt!AE114&gt;Inputs!$F$253,IF(Debt!AD114&gt;Inputs!$F$253,(AE7+AD7)/(Debt!AE114+Debt!AD114),AE17),0)</f>
        <v>1.40933040298311</v>
      </c>
      <c r="AF18" s="3" t="n">
        <f aca="false">IF(Debt!AF114&gt;Inputs!$F$253,IF(Debt!AE114&gt;Inputs!$F$253,(AF7+AE7)/(Debt!AF114+Debt!AE114),AF17),0)</f>
        <v>1.44906450932253</v>
      </c>
      <c r="AG18" s="3" t="n">
        <f aca="false">IF(Debt!AG114&gt;Inputs!$F$253,IF(Debt!AF114&gt;Inputs!$F$253,(AG7+AF7)/(Debt!AG114+Debt!AF114),AG17),0)</f>
        <v>1.4996084072449</v>
      </c>
      <c r="AH18" s="3" t="n">
        <f aca="false">IF(Debt!AH114&gt;Inputs!$F$253,IF(Debt!AG114&gt;Inputs!$F$253,(AH7+AG7)/(Debt!AH114+Debt!AG114),AH17),0)</f>
        <v>1.56492157973953</v>
      </c>
      <c r="AI18" s="3" t="n">
        <f aca="false">IF(Debt!AI114&gt;Inputs!$F$253,IF(Debt!AH114&gt;Inputs!$F$253,(AI7+AH7)/(Debt!AI114+Debt!AH114),AI17),0)</f>
        <v>1.65029989506602</v>
      </c>
      <c r="AJ18" s="3" t="n">
        <f aca="false">IF(Debt!AJ114&gt;Inputs!$F$253,IF(Debt!AI114&gt;Inputs!$F$253,(AJ7+AI7)/(Debt!AJ114+Debt!AI114),AJ17),0)</f>
        <v>1.77339494232005</v>
      </c>
      <c r="AK18" s="3" t="n">
        <f aca="false">IF(Debt!AK114&gt;Inputs!$F$253,IF(Debt!AJ114&gt;Inputs!$F$253,(AK7+AJ7)/(Debt!AK114+Debt!AJ114),AK17),0)</f>
        <v>1.9642630666175</v>
      </c>
      <c r="AL18" s="3" t="n">
        <f aca="false">IF(Debt!AL114&gt;Inputs!$F$253,IF(Debt!AK114&gt;Inputs!$F$253,(AL7+AK7)/(Debt!AL114+Debt!AK114),AL17),0)</f>
        <v>2.23010139849652</v>
      </c>
      <c r="AM18" s="3" t="n">
        <f aca="false">IF(Debt!AM114&gt;Inputs!$F$253,IF(Debt!AL114&gt;Inputs!$F$253,(AM7+AL7)/(Debt!AM114+Debt!AL114),AM17),0)</f>
        <v>2.37621918922324</v>
      </c>
      <c r="AN18" s="3" t="n">
        <f aca="false">IF(Debt!AN114&gt;Inputs!$F$253,IF(Debt!AM114&gt;Inputs!$F$253,(AN7+AM7)/(Debt!AN114+Debt!AM114),AN17),0)</f>
        <v>2.49681949766729</v>
      </c>
      <c r="AO18" s="3" t="n">
        <f aca="false">IF(Debt!AO114&gt;Inputs!$F$253,IF(Debt!AN114&gt;Inputs!$F$253,(AO7+AN7)/(Debt!AO114+Debt!AN114),AO17),0)</f>
        <v>2.598575033252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1877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1878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1879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1880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1881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1882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1883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1884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1885</v>
      </c>
    </row>
    <row r="28" customFormat="false" ht="15" hidden="false" customHeight="false" outlineLevel="0" collapsed="false">
      <c r="D28" s="0" t="s">
        <v>1886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1887</v>
      </c>
      <c r="E29" s="0" t="s">
        <v>151</v>
      </c>
      <c r="G29" s="13" t="n">
        <f aca="false">SUM(J29:BN29)</f>
        <v>95.4259302411762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5.61932739608009</v>
      </c>
      <c r="AB29" s="13" t="n">
        <f aca="false">IF(AND(AB24=1,Time!AB52=1,Inputs!$F$52=1),MIN(Inputs!$F$111*AB15,Debt!AB73),0)</f>
        <v>6.52925978685174</v>
      </c>
      <c r="AC29" s="13" t="n">
        <f aca="false">IF(AND(AC24=1,Time!AC52=1,Inputs!$F$52=1),MIN(Inputs!$F$111*AC15,Debt!AC73),0)</f>
        <v>6.14309333324187</v>
      </c>
      <c r="AD29" s="13" t="n">
        <f aca="false">IF(AND(AD24=1,Time!AD52=1,Inputs!$F$52=1),MIN(Inputs!$F$111*AD15,Debt!AD73),0)</f>
        <v>7.42755805419442</v>
      </c>
      <c r="AE29" s="13" t="n">
        <f aca="false">IF(AND(AE24=1,Time!AE52=1,Inputs!$F$52=1),MIN(Inputs!$F$111*AE15,Debt!AE73),0)</f>
        <v>7.97510366831061</v>
      </c>
      <c r="AF29" s="13" t="n">
        <f aca="false">IF(AND(AF24=1,Time!AF52=1,Inputs!$F$52=1),MIN(Inputs!$F$111*AF15,Debt!AF73),0)</f>
        <v>8.78782672578827</v>
      </c>
      <c r="AG29" s="13" t="n">
        <f aca="false">IF(AND(AG24=1,Time!AG52=1,Inputs!$F$52=1),MIN(Inputs!$F$111*AG15,Debt!AG73),0)</f>
        <v>9.14507126078897</v>
      </c>
      <c r="AH29" s="13" t="n">
        <f aca="false">IF(AND(AH24=1,Time!AH52=1,Inputs!$F$52=1),MIN(Inputs!$F$111*AH15,Debt!AH73),0)</f>
        <v>10.4352269387038</v>
      </c>
      <c r="AI29" s="13" t="n">
        <f aca="false">IF(AND(AI24=1,Time!AI52=1,Inputs!$F$52=1),MIN(Inputs!$F$111*AI15,Debt!AI73),0)</f>
        <v>11.217735229992</v>
      </c>
      <c r="AJ29" s="13" t="n">
        <f aca="false">IF(AND(AJ24=1,Time!AJ52=1,Inputs!$F$52=1),MIN(Inputs!$F$111*AJ15,Debt!AJ73),0)</f>
        <v>12.9836187268949</v>
      </c>
      <c r="AK29" s="13" t="n">
        <f aca="false">IF(AND(AK24=1,Time!AK52=1,Inputs!$F$52=1),MIN(Inputs!$F$111*AK15,Debt!AK73),0)</f>
        <v>9.16210912032963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1888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1.70322194445126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1889</v>
      </c>
      <c r="E31" s="0" t="s">
        <v>151</v>
      </c>
      <c r="G31" s="13" t="n">
        <f aca="false">SUM(J31:BN31)</f>
        <v>1354.13357220075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13.8203448755155</v>
      </c>
      <c r="Q31" s="13" t="n">
        <f aca="false">IF(Q24=1,Q15-Q29,0)</f>
        <v>11.5219964164784</v>
      </c>
      <c r="R31" s="13" t="n">
        <f aca="false">IF(R24=1,R15-R29,0)</f>
        <v>12.4283086959315</v>
      </c>
      <c r="S31" s="13" t="n">
        <f aca="false">IF(S24=1,S15-S29,0)</f>
        <v>11.6112291771809</v>
      </c>
      <c r="T31" s="13" t="n">
        <f aca="false">IF(T24=1,T15-T29,0)</f>
        <v>12.3389121194962</v>
      </c>
      <c r="U31" s="13" t="n">
        <f aca="false">IF(U24=1,U15-U29,0)</f>
        <v>11.3711945450074</v>
      </c>
      <c r="V31" s="13" t="n">
        <f aca="false">IF(V24=1,V15-V29,0)</f>
        <v>12.5886958841189</v>
      </c>
      <c r="W31" s="13" t="n">
        <f aca="false">IF(W24=1,W15-W29,0)</f>
        <v>13.3208837856551</v>
      </c>
      <c r="X31" s="13" t="n">
        <f aca="false">IF(X24=1,X15-X29,0)</f>
        <v>12.1793320554863</v>
      </c>
      <c r="Y31" s="13" t="n">
        <f aca="false">IF(Y24=1,Y15-Y29,0)</f>
        <v>11.3911470669417</v>
      </c>
      <c r="Z31" s="13" t="n">
        <f aca="false">IF(Z24=1,Z15-Z29,0)</f>
        <v>12.0763717070104</v>
      </c>
      <c r="AA31" s="13" t="n">
        <f aca="false">IF(AA24=1,AA15-AA29,0)</f>
        <v>5.61932739608009</v>
      </c>
      <c r="AB31" s="13" t="n">
        <f aca="false">IF(AB24=1,AB15-AB29,0)</f>
        <v>6.52925978685174</v>
      </c>
      <c r="AC31" s="13" t="n">
        <f aca="false">IF(AC24=1,AC15-AC29,0)</f>
        <v>6.14309333324187</v>
      </c>
      <c r="AD31" s="13" t="n">
        <f aca="false">IF(AD24=1,AD15-AD29,0)</f>
        <v>7.42755805419442</v>
      </c>
      <c r="AE31" s="13" t="n">
        <f aca="false">IF(AE24=1,AE15-AE29,0)</f>
        <v>7.97510366831061</v>
      </c>
      <c r="AF31" s="13" t="n">
        <f aca="false">IF(AF24=1,AF15-AF29,0)</f>
        <v>8.78782672578827</v>
      </c>
      <c r="AG31" s="13" t="n">
        <f aca="false">IF(AG24=1,AG15-AG29,0)</f>
        <v>9.14507126078897</v>
      </c>
      <c r="AH31" s="13" t="n">
        <f aca="false">IF(AH24=1,AH15-AH29,0)</f>
        <v>10.4352269387038</v>
      </c>
      <c r="AI31" s="13" t="n">
        <f aca="false">IF(AI24=1,AI15-AI29,0)</f>
        <v>11.217735229992</v>
      </c>
      <c r="AJ31" s="13" t="n">
        <f aca="false">IF(AJ24=1,AJ15-AJ29,0)</f>
        <v>12.9836187268949</v>
      </c>
      <c r="AK31" s="13" t="n">
        <f aca="false">IF(AK24=1,AK15-AK29,0)</f>
        <v>20.2203268583527</v>
      </c>
      <c r="AL31" s="13" t="n">
        <f aca="false">IF(AL24=1,AL15-AL29,0)</f>
        <v>33.1698631728497</v>
      </c>
      <c r="AM31" s="13" t="n">
        <f aca="false">IF(AM24=1,AM15-AM29,0)</f>
        <v>32.7793999482765</v>
      </c>
      <c r="AN31" s="13" t="n">
        <f aca="false">IF(AN24=1,AN15-AN29,0)</f>
        <v>31.7295187483604</v>
      </c>
      <c r="AO31" s="13" t="n">
        <f aca="false">IF(AO24=1,AO15-AO29,0)</f>
        <v>46.0145109268755</v>
      </c>
      <c r="AP31" s="13" t="n">
        <f aca="false">IF(AP24=1,AP15-AP29,0)</f>
        <v>41.2576694418074</v>
      </c>
      <c r="AQ31" s="13" t="n">
        <f aca="false">IF(AQ24=1,AQ15-AQ29,0)</f>
        <v>40.2422923735455</v>
      </c>
      <c r="AR31" s="13" t="n">
        <f aca="false">IF(AR24=1,AR15-AR29,0)</f>
        <v>40.8104487043823</v>
      </c>
      <c r="AS31" s="13" t="n">
        <f aca="false">IF(AS24=1,AS15-AS29,0)</f>
        <v>40.5407856571621</v>
      </c>
      <c r="AT31" s="13" t="n">
        <f aca="false">IF(AT24=1,AT15-AT29,0)</f>
        <v>47.2583461365032</v>
      </c>
      <c r="AU31" s="13" t="n">
        <f aca="false">IF(AU24=1,AU15-AU29,0)</f>
        <v>42.8167914915745</v>
      </c>
      <c r="AV31" s="13" t="n">
        <f aca="false">IF(AV24=1,AV15-AV29,0)</f>
        <v>42.9218549379578</v>
      </c>
      <c r="AW31" s="13" t="n">
        <f aca="false">IF(AW24=1,AW15-AW29,0)</f>
        <v>42.4942785274471</v>
      </c>
      <c r="AX31" s="13" t="n">
        <f aca="false">IF(AX24=1,AX15-AX29,0)</f>
        <v>43.1502776228074</v>
      </c>
      <c r="AY31" s="13" t="n">
        <f aca="false">IF(AY24=1,AY15-AY29,0)</f>
        <v>42.6900932979832</v>
      </c>
      <c r="AZ31" s="13" t="n">
        <f aca="false">IF(AZ24=1,AZ15-AZ29,0)</f>
        <v>43.2887280023373</v>
      </c>
      <c r="BA31" s="13" t="n">
        <f aca="false">IF(BA24=1,BA15-BA29,0)</f>
        <v>42.4914077090672</v>
      </c>
      <c r="BB31" s="13" t="n">
        <f aca="false">IF(BB24=1,BB15-BB29,0)</f>
        <v>43.715456612786</v>
      </c>
      <c r="BC31" s="13" t="n">
        <f aca="false">IF(BC24=1,BC15-BC29,0)</f>
        <v>40.2957112077637</v>
      </c>
      <c r="BD31" s="13" t="n">
        <f aca="false">IF(BD24=1,BD15-BD29,0)</f>
        <v>34.1609217742445</v>
      </c>
      <c r="BE31" s="13" t="n">
        <f aca="false">IF(BE24=1,BE15-BE29,0)</f>
        <v>33.7076783574954</v>
      </c>
      <c r="BF31" s="13" t="n">
        <f aca="false">IF(BF24=1,BF15-BF29,0)</f>
        <v>34.3744582828437</v>
      </c>
      <c r="BG31" s="13" t="n">
        <f aca="false">IF(BG24=1,BG15-BG29,0)</f>
        <v>33.8861150390019</v>
      </c>
      <c r="BH31" s="13" t="n">
        <f aca="false">IF(BH24=1,BH15-BH29,0)</f>
        <v>34.4889314714431</v>
      </c>
      <c r="BI31" s="13" t="n">
        <f aca="false">IF(BI24=1,BI15-BI29,0)</f>
        <v>34.2051644513109</v>
      </c>
      <c r="BJ31" s="13" t="n">
        <f aca="false">IF(BJ24=1,BJ15-BJ29,0)</f>
        <v>42.1927822776819</v>
      </c>
      <c r="BK31" s="13" t="n">
        <f aca="false">IF(BK24=1,BK15-BK29,0)</f>
        <v>36.9200076245347</v>
      </c>
      <c r="BL31" s="13" t="n">
        <f aca="false">IF(BL24=1,BL15-BL29,0)</f>
        <v>37.6281052008802</v>
      </c>
      <c r="BM31" s="13" t="n">
        <f aca="false">IF(BM24=1,BM15-BM29,0)</f>
        <v>53.7694088938038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1890</v>
      </c>
      <c r="E32" s="0" t="s">
        <v>151</v>
      </c>
      <c r="F32" s="17" t="n">
        <f aca="false">SUM(Funding!$J$69:$BJ$69)</f>
        <v>44.920443917829</v>
      </c>
    </row>
    <row r="33" customFormat="false" ht="15" hidden="false" customHeight="false" outlineLevel="0" collapsed="false">
      <c r="D33" s="0" t="s">
        <v>1891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204.178340702494</v>
      </c>
      <c r="P33" s="13" t="n">
        <f aca="false">IF(Time!P20&lt;Time!$F$12,0,IF(Time!P34=1,INDEX(Funding!$J$72:$BJ$72,1,Time!$F$14),O36))</f>
        <v>207.420021481593</v>
      </c>
      <c r="Q33" s="13" t="n">
        <f aca="false">IF(Time!Q20&lt;Time!$F$12,0,IF(Time!Q34=1,INDEX(Funding!$J$72:$BJ$72,1,Time!$F$14),P36))</f>
        <v>203.533106675936</v>
      </c>
      <c r="R33" s="13" t="n">
        <f aca="false">IF(Time!R20&lt;Time!$F$12,0,IF(Time!R34=1,INDEX(Funding!$J$72:$BJ$72,1,Time!$F$14),Q36))</f>
        <v>201.599471271218</v>
      </c>
      <c r="S33" s="13" t="n">
        <f aca="false">IF(Time!S20&lt;Time!$F$12,0,IF(Time!S34=1,INDEX(Funding!$J$72:$BJ$72,1,Time!$F$14),R36))</f>
        <v>198.825844103563</v>
      </c>
      <c r="T33" s="13" t="n">
        <f aca="false">IF(Time!T20&lt;Time!$F$12,0,IF(Time!T34=1,INDEX(Funding!$J$72:$BJ$72,1,Time!$F$14),S36))</f>
        <v>196.58121873285</v>
      </c>
      <c r="U33" s="13" t="n">
        <f aca="false">IF(Time!U20&lt;Time!$F$12,0,IF(Time!U34=1,INDEX(Funding!$J$72:$BJ$72,1,Time!$F$14),T36))</f>
        <v>193.656661965272</v>
      </c>
      <c r="V33" s="13" t="n">
        <f aca="false">IF(Time!V20&lt;Time!$F$12,0,IF(Time!V34=1,INDEX(Funding!$J$72:$BJ$72,1,Time!$F$14),U36))</f>
        <v>191.45895696925</v>
      </c>
      <c r="W33" s="13" t="n">
        <f aca="false">IF(Time!W20&lt;Time!$F$12,0,IF(Time!W34=1,INDEX(Funding!$J$72:$BJ$72,1,Time!$F$14),V36))</f>
        <v>188.039309216151</v>
      </c>
      <c r="X33" s="13" t="n">
        <f aca="false">IF(Time!X20&lt;Time!$F$12,0,IF(Time!X34=1,INDEX(Funding!$J$72:$BJ$72,1,Time!$F$14),W36))</f>
        <v>183.576880011241</v>
      </c>
      <c r="Y33" s="13" t="n">
        <f aca="false">IF(Time!Y20&lt;Time!$F$12,0,IF(Time!Y34=1,INDEX(Funding!$J$72:$BJ$72,1,Time!$F$14),X36))</f>
        <v>180.189120182046</v>
      </c>
      <c r="Z33" s="13" t="n">
        <f aca="false">IF(Time!Z20&lt;Time!$F$12,0,IF(Time!Z34=1,INDEX(Funding!$J$72:$BJ$72,1,Time!$F$14),Y36))</f>
        <v>177.286608516557</v>
      </c>
      <c r="AA33" s="13" t="n">
        <f aca="false">IF(Time!AA20&lt;Time!$F$12,0,IF(Time!AA34=1,INDEX(Funding!$J$72:$BJ$72,1,Time!$F$14),Z36))</f>
        <v>173.700565348915</v>
      </c>
      <c r="AB33" s="13" t="n">
        <f aca="false">IF(Time!AB20&lt;Time!$F$12,0,IF(Time!AB34=1,INDEX(Funding!$J$72:$BJ$72,1,Time!$F$14),AA36))</f>
        <v>176.264200202628</v>
      </c>
      <c r="AC33" s="13" t="n">
        <f aca="false">IF(Time!AC20&lt;Time!$F$12,0,IF(Time!AC34=1,INDEX(Funding!$J$72:$BJ$72,1,Time!$F$14),AB36))</f>
        <v>178.176305400823</v>
      </c>
      <c r="AD33" s="13" t="n">
        <f aca="false">IF(Time!AD20&lt;Time!$F$12,0,IF(Time!AD34=1,INDEX(Funding!$J$72:$BJ$72,1,Time!$F$14),AC36))</f>
        <v>180.473399246705</v>
      </c>
      <c r="AE33" s="13" t="n">
        <f aca="false">IF(Time!AE20&lt;Time!$F$12,0,IF(Time!AE34=1,INDEX(Funding!$J$72:$BJ$72,1,Time!$F$14),AD36))</f>
        <v>181.688786449586</v>
      </c>
      <c r="AF33" s="13" t="n">
        <f aca="false">IF(Time!AF20&lt;Time!$F$12,0,IF(Time!AF34=1,INDEX(Funding!$J$72:$BJ$72,1,Time!$F$14),AE36))</f>
        <v>182.272966844291</v>
      </c>
      <c r="AG33" s="13" t="n">
        <f aca="false">IF(Time!AG20&lt;Time!$F$12,0,IF(Time!AG34=1,INDEX(Funding!$J$72:$BJ$72,1,Time!$F$14),AF36))</f>
        <v>182.214267407374</v>
      </c>
      <c r="AH33" s="13" t="n">
        <f aca="false">IF(Time!AH20&lt;Time!$F$12,0,IF(Time!AH34=1,INDEX(Funding!$J$72:$BJ$72,1,Time!$F$14),AG36))</f>
        <v>181.653235401571</v>
      </c>
      <c r="AI33" s="13" t="n">
        <f aca="false">IF(Time!AI20&lt;Time!$F$12,0,IF(Time!AI34=1,INDEX(Funding!$J$72:$BJ$72,1,Time!$F$14),AH36))</f>
        <v>179.917456558263</v>
      </c>
      <c r="AJ33" s="13" t="n">
        <f aca="false">IF(Time!AJ20&lt;Time!$F$12,0,IF(Time!AJ34=1,INDEX(Funding!$J$72:$BJ$72,1,Time!$F$14),AI36))</f>
        <v>177.17555876805</v>
      </c>
      <c r="AK33" s="13" t="n">
        <f aca="false">IF(Time!AK20&lt;Time!$F$12,0,IF(Time!AK34=1,INDEX(Funding!$J$72:$BJ$72,1,Time!$F$14),AJ36))</f>
        <v>172.67695036243</v>
      </c>
      <c r="AL33" s="13" t="n">
        <f aca="false">IF(Time!AL20&lt;Time!$F$12,0,IF(Time!AL34=1,INDEX(Funding!$J$72:$BJ$72,1,Time!$F$14),AK36))</f>
        <v>160.636306988369</v>
      </c>
      <c r="AM33" s="13" t="n">
        <f aca="false">IF(Time!AM20&lt;Time!$F$12,0,IF(Time!AM34=1,INDEX(Funding!$J$72:$BJ$72,1,Time!$F$14),AL36))</f>
        <v>135.159382572113</v>
      </c>
      <c r="AN33" s="13" t="n">
        <f aca="false">IF(Time!AN20&lt;Time!$F$12,0,IF(Time!AN34=1,INDEX(Funding!$J$72:$BJ$72,1,Time!$F$14),AM36))</f>
        <v>108.747285591857</v>
      </c>
      <c r="AO33" s="13" t="n">
        <f aca="false">IF(Time!AO20&lt;Time!$F$12,0,IF(Time!AO34=1,INDEX(Funding!$J$72:$BJ$72,1,Time!$F$14),AN36))</f>
        <v>82.2257190411563</v>
      </c>
      <c r="AP33" s="13" t="n">
        <f aca="false">IF(Time!AP20&lt;Time!$F$12,0,IF(Time!AP34=1,INDEX(Funding!$J$72:$BJ$72,1,Time!$F$14),AO36))</f>
        <v>40.0848279469183</v>
      </c>
      <c r="AQ33" s="13" t="n">
        <f aca="false">IF(Time!AQ20&lt;Time!$F$12,0,IF(Time!AQ34=1,INDEX(Funding!$J$72:$BJ$72,1,Time!$F$14),AP36))</f>
        <v>0.746837388705721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1892</v>
      </c>
      <c r="E34" s="0" t="s">
        <v>151</v>
      </c>
      <c r="G34" s="13" t="n">
        <f aca="false">SUM(J34:BN34)</f>
        <v>210.873124160391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9.9334300698582</v>
      </c>
      <c r="Q34" s="13" t="n">
        <f aca="false">Q24*MIN(Q31,Tax!Q13)</f>
        <v>9.58836101176085</v>
      </c>
      <c r="R34" s="13" t="n">
        <f aca="false">R24*MIN(R31,Tax!R13)</f>
        <v>9.65468152827641</v>
      </c>
      <c r="S34" s="13" t="n">
        <f aca="false">S24*MIN(S31,Tax!S13)</f>
        <v>9.36660380646785</v>
      </c>
      <c r="T34" s="13" t="n">
        <f aca="false">T24*MIN(T31,Tax!T13)</f>
        <v>9.4143553519184</v>
      </c>
      <c r="U34" s="13" t="n">
        <f aca="false">U24*MIN(U31,Tax!U13)</f>
        <v>9.17348954898508</v>
      </c>
      <c r="V34" s="13" t="n">
        <f aca="false">V24*MIN(V31,Tax!V13)</f>
        <v>9.16904813102051</v>
      </c>
      <c r="W34" s="13" t="n">
        <f aca="false">W24*MIN(W31,Tax!W13)</f>
        <v>8.85845458074445</v>
      </c>
      <c r="X34" s="13" t="n">
        <f aca="false">X24*MIN(X31,Tax!X13)</f>
        <v>8.79157222629175</v>
      </c>
      <c r="Y34" s="13" t="n">
        <f aca="false">Y24*MIN(Y31,Tax!Y13)</f>
        <v>8.48863540145283</v>
      </c>
      <c r="Z34" s="13" t="n">
        <f aca="false">Z24*MIN(Z31,Tax!Z13)</f>
        <v>8.49032853936827</v>
      </c>
      <c r="AA34" s="13" t="n">
        <f aca="false">AA24*MIN(AA31,Tax!AA13)</f>
        <v>5.61932739608009</v>
      </c>
      <c r="AB34" s="13" t="n">
        <f aca="false">AB24*MIN(AB31,Tax!AB13)</f>
        <v>6.52925978685174</v>
      </c>
      <c r="AC34" s="13" t="n">
        <f aca="false">AC24*MIN(AC31,Tax!AC13)</f>
        <v>6.14309333324187</v>
      </c>
      <c r="AD34" s="13" t="n">
        <f aca="false">AD24*MIN(AD31,Tax!AD13)</f>
        <v>7.42755805419442</v>
      </c>
      <c r="AE34" s="13" t="n">
        <f aca="false">AE24*MIN(AE31,Tax!AE13)</f>
        <v>7.97510366831061</v>
      </c>
      <c r="AF34" s="13" t="n">
        <f aca="false">AF24*MIN(AF31,Tax!AF13)</f>
        <v>8.72912728887178</v>
      </c>
      <c r="AG34" s="13" t="n">
        <f aca="false">AG24*MIN(AG31,Tax!AG13)</f>
        <v>8.58403925498575</v>
      </c>
      <c r="AH34" s="13" t="n">
        <f aca="false">AH24*MIN(AH31,Tax!AH13)</f>
        <v>8.69944809539578</v>
      </c>
      <c r="AI34" s="13" t="n">
        <f aca="false">AI24*MIN(AI31,Tax!AI13)</f>
        <v>8.47583743977899</v>
      </c>
      <c r="AJ34" s="13" t="n">
        <f aca="false">AJ24*MIN(AJ31,Tax!AJ13)</f>
        <v>8.48501032127537</v>
      </c>
      <c r="AK34" s="13" t="n">
        <f aca="false">AK24*MIN(AK31,Tax!AK13)</f>
        <v>8.17968348429156</v>
      </c>
      <c r="AL34" s="13" t="n">
        <f aca="false">AL24*MIN(AL31,Tax!AL13)</f>
        <v>7.69293875659369</v>
      </c>
      <c r="AM34" s="13" t="n">
        <f aca="false">AM24*MIN(AM31,Tax!AM13)</f>
        <v>6.36730296802051</v>
      </c>
      <c r="AN34" s="13" t="n">
        <f aca="false">AN24*MIN(AN31,Tax!AN13)</f>
        <v>5.20795219765936</v>
      </c>
      <c r="AO34" s="13" t="n">
        <f aca="false">AO24*MIN(AO31,Tax!AO13)</f>
        <v>3.87361983263749</v>
      </c>
      <c r="AP34" s="13" t="n">
        <f aca="false">AP24*MIN(AP31,Tax!AP13)</f>
        <v>1.91967888359488</v>
      </c>
      <c r="AQ34" s="13" t="n">
        <f aca="false">AQ24*MIN(AQ31,Tax!AQ13)</f>
        <v>0.0351832024624517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1893</v>
      </c>
      <c r="E35" s="0" t="s">
        <v>151</v>
      </c>
      <c r="G35" s="13" t="n">
        <f aca="false">SUM(J35:BN35)</f>
        <v>215.992422976968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3.88691480565726</v>
      </c>
      <c r="Q35" s="13" t="n">
        <f aca="false">Q24*MIN(Q31-Q34,Q33+Tax!Q13-Q34)</f>
        <v>1.93363540471755</v>
      </c>
      <c r="R35" s="13" t="n">
        <f aca="false">R24*MIN(R31-R34,R33+Tax!R13-R34)</f>
        <v>2.77362716765508</v>
      </c>
      <c r="S35" s="13" t="n">
        <f aca="false">S24*MIN(S31-S34,S33+Tax!S13-S34)</f>
        <v>2.24462537071308</v>
      </c>
      <c r="T35" s="13" t="n">
        <f aca="false">T24*MIN(T31-T34,T33+Tax!T13-T34)</f>
        <v>2.92455676757778</v>
      </c>
      <c r="U35" s="13" t="n">
        <f aca="false">U24*MIN(U31-U34,U33+Tax!U13-U34)</f>
        <v>2.19770499602228</v>
      </c>
      <c r="V35" s="13" t="n">
        <f aca="false">V24*MIN(V31-V34,V33+Tax!V13-V34)</f>
        <v>3.41964775309839</v>
      </c>
      <c r="W35" s="13" t="n">
        <f aca="false">W24*MIN(W31-W34,W33+Tax!W13-W34)</f>
        <v>4.4624292049107</v>
      </c>
      <c r="X35" s="13" t="n">
        <f aca="false">X24*MIN(X31-X34,X33+Tax!X13-X34)</f>
        <v>3.38775982919458</v>
      </c>
      <c r="Y35" s="13" t="n">
        <f aca="false">Y24*MIN(Y31-Y34,Y33+Tax!Y13-Y34)</f>
        <v>2.90251166548889</v>
      </c>
      <c r="Z35" s="13" t="n">
        <f aca="false">Z24*MIN(Z31-Z34,Z33+Tax!Z13-Z34)</f>
        <v>3.5860431676421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0.058699436916493</v>
      </c>
      <c r="AG35" s="13" t="n">
        <f aca="false">AG24*MIN(AG31-AG34,AG33+Tax!AG13-AG34)</f>
        <v>0.56103200580322</v>
      </c>
      <c r="AH35" s="13" t="n">
        <f aca="false">AH24*MIN(AH31-AH34,AH33+Tax!AH13-AH34)</f>
        <v>1.73577884330799</v>
      </c>
      <c r="AI35" s="13" t="n">
        <f aca="false">AI24*MIN(AI31-AI34,AI33+Tax!AI13-AI34)</f>
        <v>2.74189779021301</v>
      </c>
      <c r="AJ35" s="13" t="n">
        <f aca="false">AJ24*MIN(AJ31-AJ34,AJ33+Tax!AJ13-AJ34)</f>
        <v>4.49860840561949</v>
      </c>
      <c r="AK35" s="13" t="n">
        <f aca="false">AK24*MIN(AK31-AK34,AK33+Tax!AK13-AK34)</f>
        <v>12.0406433740611</v>
      </c>
      <c r="AL35" s="13" t="n">
        <f aca="false">AL24*MIN(AL31-AL34,AL33+Tax!AL13-AL34)</f>
        <v>25.476924416256</v>
      </c>
      <c r="AM35" s="13" t="n">
        <f aca="false">AM24*MIN(AM31-AM34,AM33+Tax!AM13-AM34)</f>
        <v>26.412096980256</v>
      </c>
      <c r="AN35" s="13" t="n">
        <f aca="false">AN24*MIN(AN31-AN34,AN33+Tax!AN13-AN34)</f>
        <v>26.521566550701</v>
      </c>
      <c r="AO35" s="13" t="n">
        <f aca="false">AO24*MIN(AO31-AO34,AO33+Tax!AO13-AO34)</f>
        <v>42.140891094238</v>
      </c>
      <c r="AP35" s="13" t="n">
        <f aca="false">AP24*MIN(AP31-AP34,AP33+Tax!AP13-AP34)</f>
        <v>39.3379905582126</v>
      </c>
      <c r="AQ35" s="13" t="n">
        <f aca="false">AQ24*MIN(AQ31-AQ34,AQ33+Tax!AQ13-AQ34)</f>
        <v>0.746837388705721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1894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207.420021481593</v>
      </c>
      <c r="P36" s="13" t="n">
        <f aca="false">P33+Tax!P13-P34-P35</f>
        <v>203.533106675936</v>
      </c>
      <c r="Q36" s="13" t="n">
        <f aca="false">Q33+Tax!Q13-Q34-Q35</f>
        <v>201.599471271218</v>
      </c>
      <c r="R36" s="13" t="n">
        <f aca="false">R33+Tax!R13-R34-R35</f>
        <v>198.825844103563</v>
      </c>
      <c r="S36" s="13" t="n">
        <f aca="false">S33+Tax!S13-S34-S35</f>
        <v>196.58121873285</v>
      </c>
      <c r="T36" s="13" t="n">
        <f aca="false">T33+Tax!T13-T34-T35</f>
        <v>193.656661965272</v>
      </c>
      <c r="U36" s="13" t="n">
        <f aca="false">U33+Tax!U13-U34-U35</f>
        <v>191.45895696925</v>
      </c>
      <c r="V36" s="13" t="n">
        <f aca="false">V33+Tax!V13-V34-V35</f>
        <v>188.039309216151</v>
      </c>
      <c r="W36" s="13" t="n">
        <f aca="false">W33+Tax!W13-W34-W35</f>
        <v>183.576880011241</v>
      </c>
      <c r="X36" s="13" t="n">
        <f aca="false">X33+Tax!X13-X34-X35</f>
        <v>180.189120182046</v>
      </c>
      <c r="Y36" s="13" t="n">
        <f aca="false">Y33+Tax!Y13-Y34-Y35</f>
        <v>177.286608516557</v>
      </c>
      <c r="Z36" s="13" t="n">
        <f aca="false">Z33+Tax!Z13-Z34-Z35</f>
        <v>173.700565348915</v>
      </c>
      <c r="AA36" s="13" t="n">
        <f aca="false">AA33+Tax!AA13-AA34-AA35</f>
        <v>176.264200202628</v>
      </c>
      <c r="AB36" s="13" t="n">
        <f aca="false">AB33+Tax!AB13-AB34-AB35</f>
        <v>178.176305400823</v>
      </c>
      <c r="AC36" s="13" t="n">
        <f aca="false">AC33+Tax!AC13-AC34-AC35</f>
        <v>180.473399246705</v>
      </c>
      <c r="AD36" s="13" t="n">
        <f aca="false">AD33+Tax!AD13-AD34-AD35</f>
        <v>181.688786449586</v>
      </c>
      <c r="AE36" s="13" t="n">
        <f aca="false">AE33+Tax!AE13-AE34-AE35</f>
        <v>182.272966844291</v>
      </c>
      <c r="AF36" s="13" t="n">
        <f aca="false">AF33+Tax!AF13-AF34-AF35</f>
        <v>182.214267407374</v>
      </c>
      <c r="AG36" s="13" t="n">
        <f aca="false">AG33+Tax!AG13-AG34-AG35</f>
        <v>181.653235401571</v>
      </c>
      <c r="AH36" s="13" t="n">
        <f aca="false">AH33+Tax!AH13-AH34-AH35</f>
        <v>179.917456558263</v>
      </c>
      <c r="AI36" s="13" t="n">
        <f aca="false">AI33+Tax!AI13-AI34-AI35</f>
        <v>177.17555876805</v>
      </c>
      <c r="AJ36" s="13" t="n">
        <f aca="false">AJ33+Tax!AJ13-AJ34-AJ35</f>
        <v>172.67695036243</v>
      </c>
      <c r="AK36" s="13" t="n">
        <f aca="false">AK33+Tax!AK13-AK34-AK35</f>
        <v>160.636306988369</v>
      </c>
      <c r="AL36" s="13" t="n">
        <f aca="false">AL33+Tax!AL13-AL34-AL35</f>
        <v>135.159382572113</v>
      </c>
      <c r="AM36" s="13" t="n">
        <f aca="false">AM33+Tax!AM13-AM34-AM35</f>
        <v>108.747285591857</v>
      </c>
      <c r="AN36" s="13" t="n">
        <f aca="false">AN33+Tax!AN13-AN34-AN35</f>
        <v>82.2257190411563</v>
      </c>
      <c r="AO36" s="13" t="n">
        <f aca="false">AO33+Tax!AO13-AO34-AO35</f>
        <v>40.0848279469183</v>
      </c>
      <c r="AP36" s="13" t="n">
        <f aca="false">AP33+Tax!AP13-AP34-AP35</f>
        <v>0.746837388705721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1895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9.40719520040312</v>
      </c>
      <c r="P37" s="13" t="n">
        <f aca="false">MAX(0,O43+Financials!P14)</f>
        <v>15.7747658485408</v>
      </c>
      <c r="Q37" s="13" t="n">
        <f aca="false">MAX(0,P43+Financials!Q14)</f>
        <v>23.3847609639752</v>
      </c>
      <c r="R37" s="13" t="n">
        <f aca="false">MAX(0,Q43+Financials!R14)</f>
        <v>31.3518278796987</v>
      </c>
      <c r="S37" s="13" t="n">
        <f aca="false">MAX(0,R43+Financials!S14)</f>
        <v>40.4434199583014</v>
      </c>
      <c r="T37" s="13" t="n">
        <f aca="false">MAX(0,S43+Financials!T14)</f>
        <v>49.9000589107369</v>
      </c>
      <c r="U37" s="13" t="n">
        <f aca="false">MAX(0,T43+Financials!U14)</f>
        <v>60.4803835250317</v>
      </c>
      <c r="V37" s="13" t="n">
        <f aca="false">MAX(0,U43+Financials!V14)</f>
        <v>69.2551896791633</v>
      </c>
      <c r="W37" s="13" t="n">
        <f aca="false">MAX(0,V43+Financials!W14)</f>
        <v>81.739108471995</v>
      </c>
      <c r="X37" s="13" t="n">
        <f aca="false">MAX(0,W43+Financials!X14)</f>
        <v>94.7737190209574</v>
      </c>
      <c r="Y37" s="13" t="n">
        <f aca="false">MAX(0,X43+Financials!Y14)</f>
        <v>105.882529283063</v>
      </c>
      <c r="Z37" s="13" t="n">
        <f aca="false">MAX(0,Y43+Financials!Z14)</f>
        <v>112.096553518502</v>
      </c>
      <c r="AA37" s="13" t="n">
        <f aca="false">MAX(0,Z43+Financials!AA14)</f>
        <v>119.204433321292</v>
      </c>
      <c r="AB37" s="13" t="n">
        <f aca="false">MAX(0,AA43+Financials!AB14)</f>
        <v>126.769251522361</v>
      </c>
      <c r="AC37" s="13" t="n">
        <f aca="false">MAX(0,AB43+Financials!AC14)</f>
        <v>135.302990494071</v>
      </c>
      <c r="AD37" s="13" t="n">
        <f aca="false">MAX(0,AC43+Financials!AD14)</f>
        <v>134.941999997459</v>
      </c>
      <c r="AE37" s="13" t="n">
        <f aca="false">MAX(0,AD43+Financials!AE14)</f>
        <v>145.927764329911</v>
      </c>
      <c r="AF37" s="13" t="n">
        <f aca="false">MAX(0,AE43+Financials!AF14)</f>
        <v>156.815534669614</v>
      </c>
      <c r="AG37" s="13" t="n">
        <f aca="false">MAX(0,AF43+Financials!AG14)</f>
        <v>168.69585172783</v>
      </c>
      <c r="AH37" s="13" t="n">
        <f aca="false">MAX(0,AG43+Financials!AH14)</f>
        <v>181.465045867969</v>
      </c>
      <c r="AI37" s="13" t="n">
        <f aca="false">MAX(0,AH43+Financials!AI14)</f>
        <v>195.467631144687</v>
      </c>
      <c r="AJ37" s="13" t="n">
        <f aca="false">MAX(0,AI43+Financials!AJ14)</f>
        <v>210.448372713461</v>
      </c>
      <c r="AK37" s="13" t="n">
        <f aca="false">MAX(0,AJ43+Financials!AK14)</f>
        <v>226.779097802741</v>
      </c>
      <c r="AL37" s="13" t="n">
        <f aca="false">MAX(0,AK43+Financials!AL14)</f>
        <v>242.321931308947</v>
      </c>
      <c r="AM37" s="13" t="n">
        <f aca="false">MAX(0,AL43+Financials!AM14)</f>
        <v>261.301778085542</v>
      </c>
      <c r="AN37" s="13" t="n">
        <f aca="false">MAX(0,AM43+Financials!AN14)</f>
        <v>281.473308556102</v>
      </c>
      <c r="AO37" s="13" t="n">
        <f aca="false">MAX(0,AN43+Financials!AO14)</f>
        <v>303.406588118838</v>
      </c>
      <c r="AP37" s="13" t="n">
        <f aca="false">MAX(0,AO43+Financials!AP14)</f>
        <v>327.1609790899</v>
      </c>
      <c r="AQ37" s="13" t="n">
        <f aca="false">MAX(0,AP43+Financials!AQ14)</f>
        <v>352.305054772595</v>
      </c>
      <c r="AR37" s="13" t="n">
        <f aca="false">MAX(0,AQ43+Financials!AR14)</f>
        <v>338.071146484263</v>
      </c>
      <c r="AS37" s="13" t="n">
        <f aca="false">MAX(0,AR43+Financials!AS14)</f>
        <v>322.656336653026</v>
      </c>
      <c r="AT37" s="13" t="n">
        <f aca="false">MAX(0,AS43+Financials!AT14)</f>
        <v>297.192080995264</v>
      </c>
      <c r="AU37" s="13" t="n">
        <f aca="false">MAX(0,AT43+Financials!AU14)</f>
        <v>275.592869847923</v>
      </c>
      <c r="AV37" s="13" t="n">
        <f aca="false">MAX(0,AU43+Financials!AV14)</f>
        <v>258.353938993424</v>
      </c>
      <c r="AW37" s="13" t="n">
        <f aca="false">MAX(0,AV43+Financials!AW14)</f>
        <v>241.114456033843</v>
      </c>
      <c r="AX37" s="13" t="n">
        <f aca="false">MAX(0,AW43+Financials!AX14)</f>
        <v>224.426207321434</v>
      </c>
      <c r="AY37" s="13" t="n">
        <f aca="false">MAX(0,AX43+Financials!AY14)</f>
        <v>207.157264966765</v>
      </c>
      <c r="AZ37" s="13" t="n">
        <f aca="false">MAX(0,AY43+Financials!AZ14)</f>
        <v>190.410602731207</v>
      </c>
      <c r="BA37" s="13" t="n">
        <f aca="false">MAX(0,AZ43+Financials!BA14)</f>
        <v>173.21574368301</v>
      </c>
      <c r="BB37" s="13" t="n">
        <f aca="false">MAX(0,BA43+Financials!BB14)</f>
        <v>154.556319363473</v>
      </c>
      <c r="BC37" s="13" t="n">
        <f aca="false">MAX(0,BB43+Financials!BC14)</f>
        <v>137.185932878518</v>
      </c>
      <c r="BD37" s="13" t="n">
        <f aca="false">MAX(0,BC43+Financials!BD14)</f>
        <v>123.213867743663</v>
      </c>
      <c r="BE37" s="13" t="n">
        <f aca="false">MAX(0,BD43+Financials!BE14)</f>
        <v>115.489485715199</v>
      </c>
      <c r="BF37" s="13" t="n">
        <f aca="false">MAX(0,BE43+Financials!BF14)</f>
        <v>108.353640792554</v>
      </c>
      <c r="BG37" s="13" t="n">
        <f aca="false">MAX(0,BF43+Financials!BG14)</f>
        <v>100.631411529066</v>
      </c>
      <c r="BH37" s="13" t="n">
        <f aca="false">MAX(0,BG43+Financials!BH14)</f>
        <v>93.4643969610602</v>
      </c>
      <c r="BI37" s="13" t="n">
        <f aca="false">MAX(0,BH43+Financials!BI14)</f>
        <v>85.8967148017262</v>
      </c>
      <c r="BJ37" s="13" t="n">
        <f aca="false">MAX(0,BI43+Financials!BJ14)</f>
        <v>66.4158041157506</v>
      </c>
      <c r="BK37" s="13" t="n">
        <f aca="false">MAX(0,BJ43+Financials!BK14)</f>
        <v>51.4581488076423</v>
      </c>
      <c r="BL37" s="13" t="n">
        <f aca="false">MAX(0,BK43+Financials!BL14)</f>
        <v>41.668554720185</v>
      </c>
      <c r="BM37" s="13" t="n">
        <f aca="false">MAX(0,BL43+Financials!BM14)</f>
        <v>8.84896497597483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1896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39.4602717823774</v>
      </c>
      <c r="AR38" s="13" t="n">
        <f aca="false">AR24*MIN(AR31-AR34-AR35,AR37)</f>
        <v>40.8104487043823</v>
      </c>
      <c r="AS38" s="13" t="n">
        <f aca="false">AS24*MIN(AS31-AS34-AS35,AS37)</f>
        <v>40.5407856571621</v>
      </c>
      <c r="AT38" s="13" t="n">
        <f aca="false">AT24*MIN(AT31-AT34-AT35,AT37)</f>
        <v>47.2583461365032</v>
      </c>
      <c r="AU38" s="13" t="n">
        <f aca="false">AU24*MIN(AU31-AU34-AU35,AU37)</f>
        <v>42.8167914915745</v>
      </c>
      <c r="AV38" s="13" t="n">
        <f aca="false">AV24*MIN(AV31-AV34-AV35,AV37)</f>
        <v>42.9218549379578</v>
      </c>
      <c r="AW38" s="13" t="n">
        <f aca="false">AW24*MIN(AW31-AW34-AW35,AW37)</f>
        <v>42.4942785274471</v>
      </c>
      <c r="AX38" s="13" t="n">
        <f aca="false">AX24*MIN(AX31-AX34-AX35,AX37)</f>
        <v>43.1502776228074</v>
      </c>
      <c r="AY38" s="13" t="n">
        <f aca="false">AY24*MIN(AY31-AY34-AY35,AY37)</f>
        <v>42.6900932979832</v>
      </c>
      <c r="AZ38" s="13" t="n">
        <f aca="false">AZ24*MIN(AZ31-AZ34-AZ35,AZ37)</f>
        <v>43.2887280023373</v>
      </c>
      <c r="BA38" s="13" t="n">
        <f aca="false">BA24*MIN(BA31-BA34-BA35,BA37)</f>
        <v>42.4914077090672</v>
      </c>
      <c r="BB38" s="13" t="n">
        <f aca="false">BB24*MIN(BB31-BB34-BB35,BB37)</f>
        <v>43.715456612786</v>
      </c>
      <c r="BC38" s="13" t="n">
        <f aca="false">BC24*MIN(BC31-BC34-BC35,BC37)</f>
        <v>40.2957112077637</v>
      </c>
      <c r="BD38" s="13" t="n">
        <f aca="false">BD24*MIN(BD31-BD34-BD35,BD37)</f>
        <v>34.1609217742445</v>
      </c>
      <c r="BE38" s="13" t="n">
        <f aca="false">BE24*MIN(BE31-BE34-BE35,BE37)</f>
        <v>33.7076783574954</v>
      </c>
      <c r="BF38" s="13" t="n">
        <f aca="false">BF24*MIN(BF31-BF34-BF35,BF37)</f>
        <v>34.3744582828437</v>
      </c>
      <c r="BG38" s="13" t="n">
        <f aca="false">BG24*MIN(BG31-BG34-BG35,BG37)</f>
        <v>33.8861150390019</v>
      </c>
      <c r="BH38" s="13" t="n">
        <f aca="false">BH24*MIN(BH31-BH34-BH35,BH37)</f>
        <v>34.4889314714431</v>
      </c>
      <c r="BI38" s="13" t="n">
        <f aca="false">BI24*MIN(BI31-BI34-BI35,BI37)</f>
        <v>34.2051644513109</v>
      </c>
      <c r="BJ38" s="13" t="n">
        <f aca="false">BJ24*MIN(BJ31-BJ34-BJ35,BJ37)</f>
        <v>42.1927822776819</v>
      </c>
      <c r="BK38" s="13" t="n">
        <f aca="false">BK24*MIN(BK31-BK34-BK35,BK37)</f>
        <v>36.9200076245347</v>
      </c>
      <c r="BL38" s="13" t="n">
        <f aca="false">BL24*MIN(BL31-BL34-BL35,BL37)</f>
        <v>37.6281052008802</v>
      </c>
      <c r="BM38" s="13" t="n">
        <f aca="false">BM24*MIN(BM31-BM34-BM35,BM37)</f>
        <v>8.84896497597483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1897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44.9204439178289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1898</v>
      </c>
      <c r="E40" s="0" t="s">
        <v>151</v>
      </c>
      <c r="G40" s="13" t="n">
        <f aca="false">SUM(J40:BN40)</f>
        <v>44.9204439178289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44.9204439178289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1899</v>
      </c>
      <c r="E41" s="0" t="s">
        <v>151</v>
      </c>
      <c r="G41" s="13" t="n">
        <f aca="false">SUM(J41:BN41)</f>
        <v>927.268025063389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39.4602717823774</v>
      </c>
      <c r="AR41" s="13" t="n">
        <f aca="false">AR38+AR40</f>
        <v>40.8104487043823</v>
      </c>
      <c r="AS41" s="13" t="n">
        <f aca="false">AS38+AS40</f>
        <v>40.5407856571621</v>
      </c>
      <c r="AT41" s="13" t="n">
        <f aca="false">AT38+AT40</f>
        <v>47.2583461365032</v>
      </c>
      <c r="AU41" s="13" t="n">
        <f aca="false">AU38+AU40</f>
        <v>42.8167914915745</v>
      </c>
      <c r="AV41" s="13" t="n">
        <f aca="false">AV38+AV40</f>
        <v>42.9218549379578</v>
      </c>
      <c r="AW41" s="13" t="n">
        <f aca="false">AW38+AW40</f>
        <v>42.4942785274471</v>
      </c>
      <c r="AX41" s="13" t="n">
        <f aca="false">AX38+AX40</f>
        <v>43.1502776228074</v>
      </c>
      <c r="AY41" s="13" t="n">
        <f aca="false">AY38+AY40</f>
        <v>42.6900932979832</v>
      </c>
      <c r="AZ41" s="13" t="n">
        <f aca="false">AZ38+AZ40</f>
        <v>43.2887280023373</v>
      </c>
      <c r="BA41" s="13" t="n">
        <f aca="false">BA38+BA40</f>
        <v>42.4914077090672</v>
      </c>
      <c r="BB41" s="13" t="n">
        <f aca="false">BB38+BB40</f>
        <v>43.715456612786</v>
      </c>
      <c r="BC41" s="13" t="n">
        <f aca="false">BC38+BC40</f>
        <v>40.2957112077637</v>
      </c>
      <c r="BD41" s="13" t="n">
        <f aca="false">BD38+BD40</f>
        <v>34.1609217742445</v>
      </c>
      <c r="BE41" s="13" t="n">
        <f aca="false">BE38+BE40</f>
        <v>33.7076783574954</v>
      </c>
      <c r="BF41" s="13" t="n">
        <f aca="false">BF38+BF40</f>
        <v>34.3744582828437</v>
      </c>
      <c r="BG41" s="13" t="n">
        <f aca="false">BG38+BG40</f>
        <v>33.8861150390019</v>
      </c>
      <c r="BH41" s="13" t="n">
        <f aca="false">BH38+BH40</f>
        <v>34.4889314714431</v>
      </c>
      <c r="BI41" s="13" t="n">
        <f aca="false">BI38+BI40</f>
        <v>34.2051644513109</v>
      </c>
      <c r="BJ41" s="13" t="n">
        <f aca="false">BJ38+BJ40</f>
        <v>42.1927822776819</v>
      </c>
      <c r="BK41" s="13" t="n">
        <f aca="false">BK38+BK40</f>
        <v>36.9200076245347</v>
      </c>
      <c r="BL41" s="13" t="n">
        <f aca="false">BL38+BL40</f>
        <v>37.6281052008802</v>
      </c>
      <c r="BM41" s="13" t="n">
        <f aca="false">BM38+BM40</f>
        <v>53.7694088938038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1900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1901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9.40719520040312</v>
      </c>
      <c r="P43" s="13" t="n">
        <f aca="false">IF(Time!P20&lt;Time!$F$12,0,O43+Financials!P14-P41)</f>
        <v>15.7747658485408</v>
      </c>
      <c r="Q43" s="13" t="n">
        <f aca="false">IF(Time!Q20&lt;Time!$F$12,0,P43+Financials!Q14-Q41)</f>
        <v>23.3847609639752</v>
      </c>
      <c r="R43" s="13" t="n">
        <f aca="false">IF(Time!R20&lt;Time!$F$12,0,Q43+Financials!R14-R41)</f>
        <v>31.3518278796987</v>
      </c>
      <c r="S43" s="13" t="n">
        <f aca="false">IF(Time!S20&lt;Time!$F$12,0,R43+Financials!S14-S41)</f>
        <v>40.4434199583014</v>
      </c>
      <c r="T43" s="13" t="n">
        <f aca="false">IF(Time!T20&lt;Time!$F$12,0,S43+Financials!T14-T41)</f>
        <v>49.9000589107369</v>
      </c>
      <c r="U43" s="13" t="n">
        <f aca="false">IF(Time!U20&lt;Time!$F$12,0,T43+Financials!U14-U41)</f>
        <v>60.4803835250317</v>
      </c>
      <c r="V43" s="13" t="n">
        <f aca="false">IF(Time!V20&lt;Time!$F$12,0,U43+Financials!V14-V41)</f>
        <v>69.2551896791633</v>
      </c>
      <c r="W43" s="13" t="n">
        <f aca="false">IF(Time!W20&lt;Time!$F$12,0,V43+Financials!W14-W41)</f>
        <v>81.739108471995</v>
      </c>
      <c r="X43" s="13" t="n">
        <f aca="false">IF(Time!X20&lt;Time!$F$12,0,W43+Financials!X14-X41)</f>
        <v>94.7737190209574</v>
      </c>
      <c r="Y43" s="13" t="n">
        <f aca="false">IF(Time!Y20&lt;Time!$F$12,0,X43+Financials!Y14-Y41)</f>
        <v>105.882529283063</v>
      </c>
      <c r="Z43" s="13" t="n">
        <f aca="false">IF(Time!Z20&lt;Time!$F$12,0,Y43+Financials!Z14-Z41)</f>
        <v>112.096553518502</v>
      </c>
      <c r="AA43" s="13" t="n">
        <f aca="false">IF(Time!AA20&lt;Time!$F$12,0,Z43+Financials!AA14-AA41)</f>
        <v>119.204433321292</v>
      </c>
      <c r="AB43" s="13" t="n">
        <f aca="false">IF(Time!AB20&lt;Time!$F$12,0,AA43+Financials!AB14-AB41)</f>
        <v>126.769251522361</v>
      </c>
      <c r="AC43" s="13" t="n">
        <f aca="false">IF(Time!AC20&lt;Time!$F$12,0,AB43+Financials!AC14-AC41)</f>
        <v>135.302990494071</v>
      </c>
      <c r="AD43" s="13" t="n">
        <f aca="false">IF(Time!AD20&lt;Time!$F$12,0,AC43+Financials!AD14-AD41)</f>
        <v>134.941999997459</v>
      </c>
      <c r="AE43" s="13" t="n">
        <f aca="false">IF(Time!AE20&lt;Time!$F$12,0,AD43+Financials!AE14-AE41)</f>
        <v>145.927764329911</v>
      </c>
      <c r="AF43" s="13" t="n">
        <f aca="false">IF(Time!AF20&lt;Time!$F$12,0,AE43+Financials!AF14-AF41)</f>
        <v>156.815534669614</v>
      </c>
      <c r="AG43" s="13" t="n">
        <f aca="false">IF(Time!AG20&lt;Time!$F$12,0,AF43+Financials!AG14-AG41)</f>
        <v>168.69585172783</v>
      </c>
      <c r="AH43" s="13" t="n">
        <f aca="false">IF(Time!AH20&lt;Time!$F$12,0,AG43+Financials!AH14-AH41)</f>
        <v>181.465045867969</v>
      </c>
      <c r="AI43" s="13" t="n">
        <f aca="false">IF(Time!AI20&lt;Time!$F$12,0,AH43+Financials!AI14-AI41)</f>
        <v>195.467631144687</v>
      </c>
      <c r="AJ43" s="13" t="n">
        <f aca="false">IF(Time!AJ20&lt;Time!$F$12,0,AI43+Financials!AJ14-AJ41)</f>
        <v>210.448372713461</v>
      </c>
      <c r="AK43" s="13" t="n">
        <f aca="false">IF(Time!AK20&lt;Time!$F$12,0,AJ43+Financials!AK14-AK41)</f>
        <v>226.779097802741</v>
      </c>
      <c r="AL43" s="13" t="n">
        <f aca="false">IF(Time!AL20&lt;Time!$F$12,0,AK43+Financials!AL14-AL41)</f>
        <v>242.321931308947</v>
      </c>
      <c r="AM43" s="13" t="n">
        <f aca="false">IF(Time!AM20&lt;Time!$F$12,0,AL43+Financials!AM14-AM41)</f>
        <v>261.301778085542</v>
      </c>
      <c r="AN43" s="13" t="n">
        <f aca="false">IF(Time!AN20&lt;Time!$F$12,0,AM43+Financials!AN14-AN41)</f>
        <v>281.473308556102</v>
      </c>
      <c r="AO43" s="13" t="n">
        <f aca="false">IF(Time!AO20&lt;Time!$F$12,0,AN43+Financials!AO14-AO41)</f>
        <v>303.406588118838</v>
      </c>
      <c r="AP43" s="13" t="n">
        <f aca="false">IF(Time!AP20&lt;Time!$F$12,0,AO43+Financials!AP14-AP41)</f>
        <v>327.1609790899</v>
      </c>
      <c r="AQ43" s="13" t="n">
        <f aca="false">IF(Time!AQ20&lt;Time!$F$12,0,AP43+Financials!AQ14-AQ41)</f>
        <v>312.844782990218</v>
      </c>
      <c r="AR43" s="13" t="n">
        <f aca="false">IF(Time!AR20&lt;Time!$F$12,0,AQ43+Financials!AR14-AR41)</f>
        <v>297.260697779881</v>
      </c>
      <c r="AS43" s="13" t="n">
        <f aca="false">IF(Time!AS20&lt;Time!$F$12,0,AR43+Financials!AS14-AS41)</f>
        <v>282.115550995864</v>
      </c>
      <c r="AT43" s="13" t="n">
        <f aca="false">IF(Time!AT20&lt;Time!$F$12,0,AS43+Financials!AT14-AT41)</f>
        <v>249.93373485876</v>
      </c>
      <c r="AU43" s="13" t="n">
        <f aca="false">IF(Time!AU20&lt;Time!$F$12,0,AT43+Financials!AU14-AU41)</f>
        <v>232.776078356348</v>
      </c>
      <c r="AV43" s="13" t="n">
        <f aca="false">IF(Time!AV20&lt;Time!$F$12,0,AU43+Financials!AV14-AV41)</f>
        <v>215.432084055466</v>
      </c>
      <c r="AW43" s="13" t="n">
        <f aca="false">IF(Time!AW20&lt;Time!$F$12,0,AV43+Financials!AW14-AW41)</f>
        <v>198.620177506396</v>
      </c>
      <c r="AX43" s="13" t="n">
        <f aca="false">IF(Time!AX20&lt;Time!$F$12,0,AW43+Financials!AX14-AX41)</f>
        <v>181.275929698627</v>
      </c>
      <c r="AY43" s="13" t="n">
        <f aca="false">IF(Time!AY20&lt;Time!$F$12,0,AX43+Financials!AY14-AY41)</f>
        <v>164.467171668781</v>
      </c>
      <c r="AZ43" s="13" t="n">
        <f aca="false">IF(Time!AZ20&lt;Time!$F$12,0,AY43+Financials!AZ14-AZ41)</f>
        <v>147.121874728869</v>
      </c>
      <c r="BA43" s="13" t="n">
        <f aca="false">IF(Time!BA20&lt;Time!$F$12,0,AZ43+Financials!BA14-BA41)</f>
        <v>130.724335973942</v>
      </c>
      <c r="BB43" s="13" t="n">
        <f aca="false">IF(Time!BB20&lt;Time!$F$12,0,BA43+Financials!BB14-BB41)</f>
        <v>110.840862750687</v>
      </c>
      <c r="BC43" s="13" t="n">
        <f aca="false">IF(Time!BC20&lt;Time!$F$12,0,BB43+Financials!BC14-BC41)</f>
        <v>96.8902216707543</v>
      </c>
      <c r="BD43" s="13" t="n">
        <f aca="false">IF(Time!BD20&lt;Time!$F$12,0,BC43+Financials!BD14-BD41)</f>
        <v>89.0529459694189</v>
      </c>
      <c r="BE43" s="13" t="n">
        <f aca="false">IF(Time!BE20&lt;Time!$F$12,0,BD43+Financials!BE14-BE41)</f>
        <v>81.7818073577034</v>
      </c>
      <c r="BF43" s="13" t="n">
        <f aca="false">IF(Time!BF20&lt;Time!$F$12,0,BE43+Financials!BF14-BF41)</f>
        <v>73.9791825097102</v>
      </c>
      <c r="BG43" s="13" t="n">
        <f aca="false">IF(Time!BG20&lt;Time!$F$12,0,BF43+Financials!BG14-BG41)</f>
        <v>66.7452964900642</v>
      </c>
      <c r="BH43" s="13" t="n">
        <f aca="false">IF(Time!BH20&lt;Time!$F$12,0,BG43+Financials!BH14-BH41)</f>
        <v>58.9754654896171</v>
      </c>
      <c r="BI43" s="13" t="n">
        <f aca="false">IF(Time!BI20&lt;Time!$F$12,0,BH43+Financials!BI14-BI41)</f>
        <v>51.6915503504153</v>
      </c>
      <c r="BJ43" s="13" t="n">
        <f aca="false">IF(Time!BJ20&lt;Time!$F$12,0,BI43+Financials!BJ14-BJ41)</f>
        <v>24.2230218380687</v>
      </c>
      <c r="BK43" s="13" t="n">
        <f aca="false">IF(Time!BK20&lt;Time!$F$12,0,BJ43+Financials!BK14-BK41)</f>
        <v>14.5381411831076</v>
      </c>
      <c r="BL43" s="13" t="n">
        <f aca="false">IF(Time!BL20&lt;Time!$F$12,0,BK43+Financials!BL14-BL41)</f>
        <v>4.0404495193048</v>
      </c>
      <c r="BM43" s="13" t="n">
        <f aca="false">IF(Time!BM20&lt;Time!$F$12,0,BL43+Financials!BM14-BM41)</f>
        <v>-44.9204439178289</v>
      </c>
      <c r="BN43" s="13" t="n">
        <f aca="false">IF(Time!BN20&lt;Time!$F$12,0,BM43+Financials!BN14-BN41)</f>
        <v>-44.9204439178289</v>
      </c>
    </row>
    <row r="44" customFormat="false" ht="15" hidden="false" customHeight="false" outlineLevel="0" collapsed="false">
      <c r="D44" s="0" t="s">
        <v>1902</v>
      </c>
      <c r="E44" s="0" t="s">
        <v>151</v>
      </c>
      <c r="G44" s="13" t="n">
        <f aca="false">SUM(J44:BN44)</f>
        <v>1354.13357220075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13.8203448755155</v>
      </c>
      <c r="Q44" s="13" t="n">
        <f aca="false">Q34+Q35+Q41</f>
        <v>11.5219964164784</v>
      </c>
      <c r="R44" s="13" t="n">
        <f aca="false">R34+R35+R41</f>
        <v>12.4283086959315</v>
      </c>
      <c r="S44" s="13" t="n">
        <f aca="false">S34+S35+S41</f>
        <v>11.6112291771809</v>
      </c>
      <c r="T44" s="13" t="n">
        <f aca="false">T34+T35+T41</f>
        <v>12.3389121194962</v>
      </c>
      <c r="U44" s="13" t="n">
        <f aca="false">U34+U35+U41</f>
        <v>11.3711945450074</v>
      </c>
      <c r="V44" s="13" t="n">
        <f aca="false">V34+V35+V41</f>
        <v>12.5886958841189</v>
      </c>
      <c r="W44" s="13" t="n">
        <f aca="false">W34+W35+W41</f>
        <v>13.3208837856551</v>
      </c>
      <c r="X44" s="13" t="n">
        <f aca="false">X34+X35+X41</f>
        <v>12.1793320554863</v>
      </c>
      <c r="Y44" s="13" t="n">
        <f aca="false">Y34+Y35+Y41</f>
        <v>11.3911470669417</v>
      </c>
      <c r="Z44" s="13" t="n">
        <f aca="false">Z34+Z35+Z41</f>
        <v>12.0763717070104</v>
      </c>
      <c r="AA44" s="13" t="n">
        <f aca="false">AA34+AA35+AA41</f>
        <v>5.61932739608009</v>
      </c>
      <c r="AB44" s="13" t="n">
        <f aca="false">AB34+AB35+AB41</f>
        <v>6.52925978685174</v>
      </c>
      <c r="AC44" s="13" t="n">
        <f aca="false">AC34+AC35+AC41</f>
        <v>6.14309333324187</v>
      </c>
      <c r="AD44" s="13" t="n">
        <f aca="false">AD34+AD35+AD41</f>
        <v>7.42755805419442</v>
      </c>
      <c r="AE44" s="13" t="n">
        <f aca="false">AE34+AE35+AE41</f>
        <v>7.97510366831061</v>
      </c>
      <c r="AF44" s="13" t="n">
        <f aca="false">AF34+AF35+AF41</f>
        <v>8.78782672578827</v>
      </c>
      <c r="AG44" s="13" t="n">
        <f aca="false">AG34+AG35+AG41</f>
        <v>9.14507126078897</v>
      </c>
      <c r="AH44" s="13" t="n">
        <f aca="false">AH34+AH35+AH41</f>
        <v>10.4352269387038</v>
      </c>
      <c r="AI44" s="13" t="n">
        <f aca="false">AI34+AI35+AI41</f>
        <v>11.217735229992</v>
      </c>
      <c r="AJ44" s="13" t="n">
        <f aca="false">AJ34+AJ35+AJ41</f>
        <v>12.9836187268949</v>
      </c>
      <c r="AK44" s="13" t="n">
        <f aca="false">AK34+AK35+AK41</f>
        <v>20.2203268583527</v>
      </c>
      <c r="AL44" s="13" t="n">
        <f aca="false">AL34+AL35+AL41</f>
        <v>33.1698631728497</v>
      </c>
      <c r="AM44" s="13" t="n">
        <f aca="false">AM34+AM35+AM41</f>
        <v>32.7793999482765</v>
      </c>
      <c r="AN44" s="13" t="n">
        <f aca="false">AN34+AN35+AN41</f>
        <v>31.7295187483604</v>
      </c>
      <c r="AO44" s="13" t="n">
        <f aca="false">AO34+AO35+AO41</f>
        <v>46.0145109268755</v>
      </c>
      <c r="AP44" s="13" t="n">
        <f aca="false">AP34+AP35+AP41</f>
        <v>41.2576694418074</v>
      </c>
      <c r="AQ44" s="13" t="n">
        <f aca="false">AQ34+AQ35+AQ41</f>
        <v>40.2422923735455</v>
      </c>
      <c r="AR44" s="13" t="n">
        <f aca="false">AR34+AR35+AR41</f>
        <v>40.8104487043823</v>
      </c>
      <c r="AS44" s="13" t="n">
        <f aca="false">AS34+AS35+AS41</f>
        <v>40.5407856571621</v>
      </c>
      <c r="AT44" s="13" t="n">
        <f aca="false">AT34+AT35+AT41</f>
        <v>47.2583461365032</v>
      </c>
      <c r="AU44" s="13" t="n">
        <f aca="false">AU34+AU35+AU41</f>
        <v>42.8167914915745</v>
      </c>
      <c r="AV44" s="13" t="n">
        <f aca="false">AV34+AV35+AV41</f>
        <v>42.9218549379578</v>
      </c>
      <c r="AW44" s="13" t="n">
        <f aca="false">AW34+AW35+AW41</f>
        <v>42.4942785274471</v>
      </c>
      <c r="AX44" s="13" t="n">
        <f aca="false">AX34+AX35+AX41</f>
        <v>43.1502776228074</v>
      </c>
      <c r="AY44" s="13" t="n">
        <f aca="false">AY34+AY35+AY41</f>
        <v>42.6900932979832</v>
      </c>
      <c r="AZ44" s="13" t="n">
        <f aca="false">AZ34+AZ35+AZ41</f>
        <v>43.2887280023373</v>
      </c>
      <c r="BA44" s="13" t="n">
        <f aca="false">BA34+BA35+BA41</f>
        <v>42.4914077090672</v>
      </c>
      <c r="BB44" s="13" t="n">
        <f aca="false">BB34+BB35+BB41</f>
        <v>43.715456612786</v>
      </c>
      <c r="BC44" s="13" t="n">
        <f aca="false">BC34+BC35+BC41</f>
        <v>40.2957112077637</v>
      </c>
      <c r="BD44" s="13" t="n">
        <f aca="false">BD34+BD35+BD41</f>
        <v>34.1609217742445</v>
      </c>
      <c r="BE44" s="13" t="n">
        <f aca="false">BE34+BE35+BE41</f>
        <v>33.7076783574954</v>
      </c>
      <c r="BF44" s="13" t="n">
        <f aca="false">BF34+BF35+BF41</f>
        <v>34.3744582828437</v>
      </c>
      <c r="BG44" s="13" t="n">
        <f aca="false">BG34+BG35+BG41</f>
        <v>33.8861150390019</v>
      </c>
      <c r="BH44" s="13" t="n">
        <f aca="false">BH34+BH35+BH41</f>
        <v>34.4889314714431</v>
      </c>
      <c r="BI44" s="13" t="n">
        <f aca="false">BI34+BI35+BI41</f>
        <v>34.2051644513109</v>
      </c>
      <c r="BJ44" s="13" t="n">
        <f aca="false">BJ34+BJ35+BJ41</f>
        <v>42.1927822776819</v>
      </c>
      <c r="BK44" s="13" t="n">
        <f aca="false">BK34+BK35+BK41</f>
        <v>36.9200076245347</v>
      </c>
      <c r="BL44" s="13" t="n">
        <f aca="false">BL34+BL35+BL41</f>
        <v>37.6281052008802</v>
      </c>
      <c r="BM44" s="13" t="n">
        <f aca="false">BM34+BM35+BM41</f>
        <v>53.7694088938038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1904</v>
      </c>
    </row>
    <row r="8" customFormat="false" ht="15" hidden="false" customHeight="false" outlineLevel="0" collapsed="false">
      <c r="D8" s="0" t="s">
        <v>1905</v>
      </c>
      <c r="E8" s="0" t="s">
        <v>151</v>
      </c>
      <c r="G8" s="13" t="n">
        <f aca="false">SUM(J8:BN8)</f>
        <v>836.452563962178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5.57635042641452</v>
      </c>
      <c r="P8" s="13" t="n">
        <f aca="false">Funding!$F$76/Time!$F$9*Time!P30</f>
        <v>16.7290512792436</v>
      </c>
      <c r="Q8" s="13" t="n">
        <f aca="false">Funding!$F$76/Time!$F$9*Time!Q30</f>
        <v>16.7290512792436</v>
      </c>
      <c r="R8" s="13" t="n">
        <f aca="false">Funding!$F$76/Time!$F$9*Time!R30</f>
        <v>16.7290512792436</v>
      </c>
      <c r="S8" s="13" t="n">
        <f aca="false">Funding!$F$76/Time!$F$9*Time!S30</f>
        <v>16.7290512792436</v>
      </c>
      <c r="T8" s="13" t="n">
        <f aca="false">Funding!$F$76/Time!$F$9*Time!T30</f>
        <v>16.7290512792436</v>
      </c>
      <c r="U8" s="13" t="n">
        <f aca="false">Funding!$F$76/Time!$F$9*Time!U30</f>
        <v>16.7290512792436</v>
      </c>
      <c r="V8" s="13" t="n">
        <f aca="false">Funding!$F$76/Time!$F$9*Time!V30</f>
        <v>16.7290512792436</v>
      </c>
      <c r="W8" s="13" t="n">
        <f aca="false">Funding!$F$76/Time!$F$9*Time!W30</f>
        <v>16.7290512792436</v>
      </c>
      <c r="X8" s="13" t="n">
        <f aca="false">Funding!$F$76/Time!$F$9*Time!X30</f>
        <v>16.7290512792436</v>
      </c>
      <c r="Y8" s="13" t="n">
        <f aca="false">Funding!$F$76/Time!$F$9*Time!Y30</f>
        <v>16.7290512792436</v>
      </c>
      <c r="Z8" s="13" t="n">
        <f aca="false">Funding!$F$76/Time!$F$9*Time!Z30</f>
        <v>16.7290512792436</v>
      </c>
      <c r="AA8" s="13" t="n">
        <f aca="false">Funding!$F$76/Time!$F$9*Time!AA30</f>
        <v>16.7290512792436</v>
      </c>
      <c r="AB8" s="13" t="n">
        <f aca="false">Funding!$F$76/Time!$F$9*Time!AB30</f>
        <v>16.7290512792436</v>
      </c>
      <c r="AC8" s="13" t="n">
        <f aca="false">Funding!$F$76/Time!$F$9*Time!AC30</f>
        <v>16.7290512792436</v>
      </c>
      <c r="AD8" s="13" t="n">
        <f aca="false">Funding!$F$76/Time!$F$9*Time!AD30</f>
        <v>16.7290512792436</v>
      </c>
      <c r="AE8" s="13" t="n">
        <f aca="false">Funding!$F$76/Time!$F$9*Time!AE30</f>
        <v>16.7290512792436</v>
      </c>
      <c r="AF8" s="13" t="n">
        <f aca="false">Funding!$F$76/Time!$F$9*Time!AF30</f>
        <v>16.7290512792436</v>
      </c>
      <c r="AG8" s="13" t="n">
        <f aca="false">Funding!$F$76/Time!$F$9*Time!AG30</f>
        <v>16.7290512792436</v>
      </c>
      <c r="AH8" s="13" t="n">
        <f aca="false">Funding!$F$76/Time!$F$9*Time!AH30</f>
        <v>16.7290512792436</v>
      </c>
      <c r="AI8" s="13" t="n">
        <f aca="false">Funding!$F$76/Time!$F$9*Time!AI30</f>
        <v>16.7290512792436</v>
      </c>
      <c r="AJ8" s="13" t="n">
        <f aca="false">Funding!$F$76/Time!$F$9*Time!AJ30</f>
        <v>16.7290512792436</v>
      </c>
      <c r="AK8" s="13" t="n">
        <f aca="false">Funding!$F$76/Time!$F$9*Time!AK30</f>
        <v>16.7290512792436</v>
      </c>
      <c r="AL8" s="13" t="n">
        <f aca="false">Funding!$F$76/Time!$F$9*Time!AL30</f>
        <v>16.7290512792436</v>
      </c>
      <c r="AM8" s="13" t="n">
        <f aca="false">Funding!$F$76/Time!$F$9*Time!AM30</f>
        <v>16.7290512792436</v>
      </c>
      <c r="AN8" s="13" t="n">
        <f aca="false">Funding!$F$76/Time!$F$9*Time!AN30</f>
        <v>16.7290512792436</v>
      </c>
      <c r="AO8" s="13" t="n">
        <f aca="false">Funding!$F$76/Time!$F$9*Time!AO30</f>
        <v>16.7290512792436</v>
      </c>
      <c r="AP8" s="13" t="n">
        <f aca="false">Funding!$F$76/Time!$F$9*Time!AP30</f>
        <v>16.7290512792436</v>
      </c>
      <c r="AQ8" s="13" t="n">
        <f aca="false">Funding!$F$76/Time!$F$9*Time!AQ30</f>
        <v>16.7290512792436</v>
      </c>
      <c r="AR8" s="13" t="n">
        <f aca="false">Funding!$F$76/Time!$F$9*Time!AR30</f>
        <v>16.7290512792436</v>
      </c>
      <c r="AS8" s="13" t="n">
        <f aca="false">Funding!$F$76/Time!$F$9*Time!AS30</f>
        <v>16.7290512792436</v>
      </c>
      <c r="AT8" s="13" t="n">
        <f aca="false">Funding!$F$76/Time!$F$9*Time!AT30</f>
        <v>16.7290512792436</v>
      </c>
      <c r="AU8" s="13" t="n">
        <f aca="false">Funding!$F$76/Time!$F$9*Time!AU30</f>
        <v>16.7290512792436</v>
      </c>
      <c r="AV8" s="13" t="n">
        <f aca="false">Funding!$F$76/Time!$F$9*Time!AV30</f>
        <v>16.7290512792436</v>
      </c>
      <c r="AW8" s="13" t="n">
        <f aca="false">Funding!$F$76/Time!$F$9*Time!AW30</f>
        <v>16.7290512792436</v>
      </c>
      <c r="AX8" s="13" t="n">
        <f aca="false">Funding!$F$76/Time!$F$9*Time!AX30</f>
        <v>16.7290512792436</v>
      </c>
      <c r="AY8" s="13" t="n">
        <f aca="false">Funding!$F$76/Time!$F$9*Time!AY30</f>
        <v>16.7290512792436</v>
      </c>
      <c r="AZ8" s="13" t="n">
        <f aca="false">Funding!$F$76/Time!$F$9*Time!AZ30</f>
        <v>16.7290512792436</v>
      </c>
      <c r="BA8" s="13" t="n">
        <f aca="false">Funding!$F$76/Time!$F$9*Time!BA30</f>
        <v>16.7290512792436</v>
      </c>
      <c r="BB8" s="13" t="n">
        <f aca="false">Funding!$F$76/Time!$F$9*Time!BB30</f>
        <v>16.7290512792436</v>
      </c>
      <c r="BC8" s="13" t="n">
        <f aca="false">Funding!$F$76/Time!$F$9*Time!BC30</f>
        <v>16.7290512792436</v>
      </c>
      <c r="BD8" s="13" t="n">
        <f aca="false">Funding!$F$76/Time!$F$9*Time!BD30</f>
        <v>16.7290512792436</v>
      </c>
      <c r="BE8" s="13" t="n">
        <f aca="false">Funding!$F$76/Time!$F$9*Time!BE30</f>
        <v>16.7290512792436</v>
      </c>
      <c r="BF8" s="13" t="n">
        <f aca="false">Funding!$F$76/Time!$F$9*Time!BF30</f>
        <v>16.7290512792436</v>
      </c>
      <c r="BG8" s="13" t="n">
        <f aca="false">Funding!$F$76/Time!$F$9*Time!BG30</f>
        <v>16.7290512792436</v>
      </c>
      <c r="BH8" s="13" t="n">
        <f aca="false">Funding!$F$76/Time!$F$9*Time!BH30</f>
        <v>16.7290512792436</v>
      </c>
      <c r="BI8" s="13" t="n">
        <f aca="false">Funding!$F$76/Time!$F$9*Time!BI30</f>
        <v>16.7290512792436</v>
      </c>
      <c r="BJ8" s="13" t="n">
        <f aca="false">Funding!$F$76/Time!$F$9*Time!BJ30</f>
        <v>16.7290512792436</v>
      </c>
      <c r="BK8" s="13" t="n">
        <f aca="false">Funding!$F$76/Time!$F$9*Time!BK30</f>
        <v>16.7290512792436</v>
      </c>
      <c r="BL8" s="13" t="n">
        <f aca="false">Funding!$F$76/Time!$F$9*Time!BL30</f>
        <v>16.7290512792436</v>
      </c>
      <c r="BM8" s="13" t="n">
        <f aca="false">Funding!$F$76/Time!$F$9*Time!BM30</f>
        <v>11.152700852829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1906</v>
      </c>
      <c r="E9" s="0" t="s">
        <v>151</v>
      </c>
      <c r="G9" s="13" t="n">
        <f aca="false">SUM(J9:BN9)</f>
        <v>541.194744617244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3.24168077909851</v>
      </c>
      <c r="P9" s="13" t="n">
        <f aca="false">Debt!P112+Debt!P110+Debt!P104-Debt!P103+Tax!P13</f>
        <v>31.576019236817</v>
      </c>
      <c r="Q9" s="13" t="n">
        <f aca="false">Debt!Q112+Debt!Q110+Debt!Q104-Debt!Q103+Tax!Q13</f>
        <v>30.5292968326383</v>
      </c>
      <c r="R9" s="13" t="n">
        <f aca="false">Debt!R112+Debt!R110+Debt!R104-Debt!R103+Tax!R13</f>
        <v>30.3081233197932</v>
      </c>
      <c r="S9" s="13" t="n">
        <f aca="false">Debt!S112+Debt!S110+Debt!S104-Debt!S103+Tax!S13</f>
        <v>29.2664123877809</v>
      </c>
      <c r="T9" s="13" t="n">
        <f aca="false">Debt!T112+Debt!T110+Debt!T104-Debt!T103+Tax!T13</f>
        <v>28.9673032287818</v>
      </c>
      <c r="U9" s="13" t="n">
        <f aca="false">Debt!U112+Debt!U110+Debt!U104-Debt!U103+Tax!U13</f>
        <v>27.9967064812783</v>
      </c>
      <c r="V9" s="13" t="n">
        <f aca="false">Debt!V112+Debt!V110+Debt!V104-Debt!V103+Tax!V13</f>
        <v>27.5130628342473</v>
      </c>
      <c r="W9" s="13" t="n">
        <f aca="false">Debt!W112+Debt!W110+Debt!W104-Debt!W103+Tax!W13</f>
        <v>26.3486520552274</v>
      </c>
      <c r="X9" s="13" t="n">
        <f aca="false">Debt!X112+Debt!X110+Debt!X104-Debt!X103+Tax!X13</f>
        <v>25.7862637338127</v>
      </c>
      <c r="Y9" s="13" t="n">
        <f aca="false">Debt!Y112+Debt!Y110+Debt!Y104-Debt!Y103+Tax!Y13</f>
        <v>25.1639917359188</v>
      </c>
      <c r="Z9" s="13" t="n">
        <f aca="false">Debt!Z112+Debt!Z110+Debt!Z104-Debt!Z103+Tax!Z13</f>
        <v>24.6704813147191</v>
      </c>
      <c r="AA9" s="13" t="n">
        <f aca="false">Debt!AA112+Debt!AA110+Debt!AA104-Debt!AA103+Tax!AA13</f>
        <v>23.4794213246208</v>
      </c>
      <c r="AB9" s="13" t="n">
        <f aca="false">Debt!AB112+Debt!AB110+Debt!AB104-Debt!AB103+Tax!AB13</f>
        <v>22.8949068093946</v>
      </c>
      <c r="AC9" s="13" t="n">
        <f aca="false">Debt!AC112+Debt!AC110+Debt!AC104-Debt!AC103+Tax!AC13</f>
        <v>21.7119605275752</v>
      </c>
      <c r="AD9" s="13" t="n">
        <f aca="false">Debt!AD112+Debt!AD110+Debt!AD104-Debt!AD103+Tax!AD13</f>
        <v>20.9326058955054</v>
      </c>
      <c r="AE9" s="13" t="n">
        <f aca="false">Debt!AE112+Debt!AE110+Debt!AE104-Debt!AE103+Tax!AE13</f>
        <v>19.5274219469781</v>
      </c>
      <c r="AF9" s="13" t="n">
        <f aca="false">Debt!AF112+Debt!AF110+Debt!AF104-Debt!AF103+Tax!AF13</f>
        <v>18.5673430227866</v>
      </c>
      <c r="AG9" s="13" t="n">
        <f aca="false">Debt!AG112+Debt!AG110+Debt!AG104-Debt!AG103+Tax!AG13</f>
        <v>17.2751305468706</v>
      </c>
      <c r="AH9" s="13" t="n">
        <f aca="false">Debt!AH112+Debt!AH110+Debt!AH104-Debt!AH103+Tax!AH13</f>
        <v>16.1507244969941</v>
      </c>
      <c r="AI9" s="13" t="n">
        <f aca="false">Debt!AI112+Debt!AI110+Debt!AI104-Debt!AI103+Tax!AI13</f>
        <v>14.4803647608665</v>
      </c>
      <c r="AJ9" s="13" t="n">
        <f aca="false">Debt!AJ112+Debt!AJ110+Debt!AJ104-Debt!AJ103+Tax!AJ13</f>
        <v>13.1564769050365</v>
      </c>
      <c r="AK9" s="13" t="n">
        <f aca="false">Debt!AK112+Debt!AK110+Debt!AK104-Debt!AK103+Tax!AK13</f>
        <v>11.4074415758834</v>
      </c>
      <c r="AL9" s="13" t="n">
        <f aca="false">Debt!AL112+Debt!AL110+Debt!AL104-Debt!AL103+Tax!AL13</f>
        <v>9.81229081567402</v>
      </c>
      <c r="AM9" s="13" t="n">
        <f aca="false">Debt!AM112+Debt!AM110+Debt!AM104-Debt!AM103+Tax!AM13</f>
        <v>7.92127607788983</v>
      </c>
      <c r="AN9" s="13" t="n">
        <f aca="false">Debt!AN112+Debt!AN110+Debt!AN104-Debt!AN103+Tax!AN13</f>
        <v>6.19470099794121</v>
      </c>
      <c r="AO9" s="13" t="n">
        <f aca="false">Debt!AO112+Debt!AO110+Debt!AO104-Debt!AO103+Tax!AO13</f>
        <v>4.35982288705667</v>
      </c>
      <c r="AP9" s="13" t="n">
        <f aca="false">Debt!AP112+Debt!AP110+Debt!AP104-Debt!AP103+Tax!AP13</f>
        <v>1.91967888359488</v>
      </c>
      <c r="AQ9" s="13" t="n">
        <f aca="false">Debt!AQ112+Debt!AQ110+Debt!AQ104-Debt!AQ103+Tax!AQ13</f>
        <v>0.0351832024624517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1907</v>
      </c>
      <c r="E10" s="0" t="s">
        <v>151</v>
      </c>
      <c r="J10" s="13" t="n">
        <f aca="false">Funding!$F$76-SUM(Tax!J$10:J$10)</f>
        <v>836.452563962178</v>
      </c>
      <c r="K10" s="13" t="n">
        <f aca="false">Funding!$F$76-SUM(Tax!$J$10:K$10)</f>
        <v>836.452563962178</v>
      </c>
      <c r="L10" s="13" t="n">
        <f aca="false">Funding!$F$76-SUM(Tax!$J$10:L$10)</f>
        <v>836.452563962178</v>
      </c>
      <c r="M10" s="13" t="n">
        <f aca="false">Funding!$F$76-SUM(Tax!$J$10:M$10)</f>
        <v>836.452563962178</v>
      </c>
      <c r="N10" s="13" t="n">
        <f aca="false">Funding!$F$76-SUM(Tax!$J$10:N$10)</f>
        <v>836.452563962178</v>
      </c>
      <c r="O10" s="13" t="n">
        <f aca="false">Funding!$F$76-SUM(Tax!$J$10:O$10)</f>
        <v>828.924490886519</v>
      </c>
      <c r="P10" s="13" t="n">
        <f aca="false">Funding!$F$76-SUM(Tax!$J$10:P$10)</f>
        <v>806.34027165954</v>
      </c>
      <c r="Q10" s="13" t="n">
        <f aca="false">Funding!$F$76-SUM(Tax!$J$10:Q$10)</f>
        <v>783.756052432561</v>
      </c>
      <c r="R10" s="13" t="n">
        <f aca="false">Funding!$F$76-SUM(Tax!$J$10:R$10)</f>
        <v>761.171833205582</v>
      </c>
      <c r="S10" s="13" t="n">
        <f aca="false">Funding!$F$76-SUM(Tax!$J$10:S$10)</f>
        <v>738.587613978603</v>
      </c>
      <c r="T10" s="13" t="n">
        <f aca="false">Funding!$F$76-SUM(Tax!$J$10:T$10)</f>
        <v>716.003394751625</v>
      </c>
      <c r="U10" s="13" t="n">
        <f aca="false">Funding!$F$76-SUM(Tax!$J$10:U$10)</f>
        <v>693.419175524646</v>
      </c>
      <c r="V10" s="13" t="n">
        <f aca="false">Funding!$F$76-SUM(Tax!$J$10:V$10)</f>
        <v>670.834956297667</v>
      </c>
      <c r="W10" s="13" t="n">
        <f aca="false">Funding!$F$76-SUM(Tax!$J$10:W$10)</f>
        <v>648.250737070688</v>
      </c>
      <c r="X10" s="13" t="n">
        <f aca="false">Funding!$F$76-SUM(Tax!$J$10:X$10)</f>
        <v>625.666517843709</v>
      </c>
      <c r="Y10" s="13" t="n">
        <f aca="false">Funding!$F$76-SUM(Tax!$J$10:Y$10)</f>
        <v>603.918751180693</v>
      </c>
      <c r="Z10" s="13" t="n">
        <f aca="false">Funding!$F$76-SUM(Tax!$J$10:Z$10)</f>
        <v>583.8438896456</v>
      </c>
      <c r="AA10" s="13" t="n">
        <f aca="false">Funding!$F$76-SUM(Tax!$J$10:AA$10)</f>
        <v>563.769028110508</v>
      </c>
      <c r="AB10" s="13" t="n">
        <f aca="false">Funding!$F$76-SUM(Tax!$J$10:AB$10)</f>
        <v>543.694166575416</v>
      </c>
      <c r="AC10" s="13" t="n">
        <f aca="false">Funding!$F$76-SUM(Tax!$J$10:AC$10)</f>
        <v>523.619305040324</v>
      </c>
      <c r="AD10" s="13" t="n">
        <f aca="false">Funding!$F$76-SUM(Tax!$J$10:AD$10)</f>
        <v>503.544443505231</v>
      </c>
      <c r="AE10" s="13" t="n">
        <f aca="false">Funding!$F$76-SUM(Tax!$J$10:AE$10)</f>
        <v>483.469581970139</v>
      </c>
      <c r="AF10" s="13" t="n">
        <f aca="false">Funding!$F$76-SUM(Tax!$J$10:AF$10)</f>
        <v>463.394720435047</v>
      </c>
      <c r="AG10" s="13" t="n">
        <f aca="false">Funding!$F$76-SUM(Tax!$J$10:AG$10)</f>
        <v>443.319858899954</v>
      </c>
      <c r="AH10" s="13" t="n">
        <f aca="false">Funding!$F$76-SUM(Tax!$J$10:AH$10)</f>
        <v>423.244997364862</v>
      </c>
      <c r="AI10" s="13" t="n">
        <f aca="false">Funding!$F$76-SUM(Tax!$J$10:AI$10)</f>
        <v>403.17013582977</v>
      </c>
      <c r="AJ10" s="13" t="n">
        <f aca="false">Funding!$F$76-SUM(Tax!$J$10:AJ$10)</f>
        <v>383.095274294678</v>
      </c>
      <c r="AK10" s="13" t="n">
        <f aca="false">Funding!$F$76-SUM(Tax!$J$10:AK$10)</f>
        <v>363.020412759585</v>
      </c>
      <c r="AL10" s="13" t="n">
        <f aca="false">Funding!$F$76-SUM(Tax!$J$10:AL$10)</f>
        <v>342.945551224493</v>
      </c>
      <c r="AM10" s="13" t="n">
        <f aca="false">Funding!$F$76-SUM(Tax!$J$10:AM$10)</f>
        <v>322.870689689401</v>
      </c>
      <c r="AN10" s="13" t="n">
        <f aca="false">Funding!$F$76-SUM(Tax!$J$10:AN$10)</f>
        <v>302.795828154308</v>
      </c>
      <c r="AO10" s="13" t="n">
        <f aca="false">Funding!$F$76-SUM(Tax!$J$10:AO$10)</f>
        <v>282.720966619216</v>
      </c>
      <c r="AP10" s="13" t="n">
        <f aca="false">Funding!$F$76-SUM(Tax!$J$10:AP$10)</f>
        <v>262.646105084124</v>
      </c>
      <c r="AQ10" s="13" t="n">
        <f aca="false">Funding!$F$76-SUM(Tax!$J$10:AQ$10)</f>
        <v>242.571243549032</v>
      </c>
      <c r="AR10" s="13" t="n">
        <f aca="false">Funding!$F$76-SUM(Tax!$J$10:AR$10)</f>
        <v>222.496382013939</v>
      </c>
      <c r="AS10" s="13" t="n">
        <f aca="false">Funding!$F$76-SUM(Tax!$J$10:AS$10)</f>
        <v>202.421520478847</v>
      </c>
      <c r="AT10" s="13" t="n">
        <f aca="false">Funding!$F$76-SUM(Tax!$J$10:AT$10)</f>
        <v>182.346658943755</v>
      </c>
      <c r="AU10" s="13" t="n">
        <f aca="false">Funding!$F$76-SUM(Tax!$J$10:AU$10)</f>
        <v>162.271797408662</v>
      </c>
      <c r="AV10" s="13" t="n">
        <f aca="false">Funding!$F$76-SUM(Tax!$J$10:AV$10)</f>
        <v>142.19693587357</v>
      </c>
      <c r="AW10" s="13" t="n">
        <f aca="false">Funding!$F$76-SUM(Tax!$J$10:AW$10)</f>
        <v>122.122074338478</v>
      </c>
      <c r="AX10" s="13" t="n">
        <f aca="false">Funding!$F$76-SUM(Tax!$J$10:AX$10)</f>
        <v>102.047212803386</v>
      </c>
      <c r="AY10" s="13" t="n">
        <f aca="false">Funding!$F$76-SUM(Tax!$J$10:AY$10)</f>
        <v>81.9723512682933</v>
      </c>
      <c r="AZ10" s="13" t="n">
        <f aca="false">Funding!$F$76-SUM(Tax!$J$10:AZ$10)</f>
        <v>61.897489733201</v>
      </c>
      <c r="BA10" s="13" t="n">
        <f aca="false">Funding!$F$76-SUM(Tax!$J$10:BA$10)</f>
        <v>41.8226281981088</v>
      </c>
      <c r="BB10" s="13" t="n">
        <f aca="false">Funding!$F$76-SUM(Tax!$J$10:BB$10)</f>
        <v>21.7477666630165</v>
      </c>
      <c r="BC10" s="13" t="n">
        <f aca="false">Funding!$F$76-SUM(Tax!$J$10:BC$10)</f>
        <v>8.08570811830089</v>
      </c>
      <c r="BD10" s="13" t="n">
        <f aca="false">Funding!$F$76-SUM(Tax!$J$10:BD$10)</f>
        <v>7.24925555433867</v>
      </c>
      <c r="BE10" s="13" t="n">
        <f aca="false">Funding!$F$76-SUM(Tax!$J$10:BE$10)</f>
        <v>6.41280299037658</v>
      </c>
      <c r="BF10" s="13" t="n">
        <f aca="false">Funding!$F$76-SUM(Tax!$J$10:BF$10)</f>
        <v>5.57635042641437</v>
      </c>
      <c r="BG10" s="13" t="n">
        <f aca="false">Funding!$F$76-SUM(Tax!$J$10:BG$10)</f>
        <v>4.73989786245215</v>
      </c>
      <c r="BH10" s="13" t="n">
        <f aca="false">Funding!$F$76-SUM(Tax!$J$10:BH$10)</f>
        <v>3.90344529849006</v>
      </c>
      <c r="BI10" s="13" t="n">
        <f aca="false">Funding!$F$76-SUM(Tax!$J$10:BI$10)</f>
        <v>3.06699273452784</v>
      </c>
      <c r="BJ10" s="13" t="n">
        <f aca="false">Funding!$F$76-SUM(Tax!$J$10:BJ$10)</f>
        <v>2.23054017056563</v>
      </c>
      <c r="BK10" s="13" t="n">
        <f aca="false">Funding!$F$76-SUM(Tax!$J$10:BK$10)</f>
        <v>1.39408760660353</v>
      </c>
      <c r="BL10" s="13" t="n">
        <f aca="false">Funding!$F$76-SUM(Tax!$J$10:BL$10)</f>
        <v>0.557635042641323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1908</v>
      </c>
      <c r="E11" s="0" t="s">
        <v>151</v>
      </c>
      <c r="J11" s="13" t="n">
        <f aca="false">Funding!$F$76-SUM(J$8:J$8)</f>
        <v>836.452563962178</v>
      </c>
      <c r="K11" s="13" t="n">
        <f aca="false">Funding!$F$76-SUM($J$8:K$8)</f>
        <v>836.452563962178</v>
      </c>
      <c r="L11" s="13" t="n">
        <f aca="false">Funding!$F$76-SUM($J$8:L$8)</f>
        <v>836.452563962178</v>
      </c>
      <c r="M11" s="13" t="n">
        <f aca="false">Funding!$F$76-SUM($J$8:M$8)</f>
        <v>836.452563962178</v>
      </c>
      <c r="N11" s="13" t="n">
        <f aca="false">Funding!$F$76-SUM($J$8:N$8)</f>
        <v>836.452563962178</v>
      </c>
      <c r="O11" s="13" t="n">
        <f aca="false">Funding!$F$76-SUM($J$8:O$8)</f>
        <v>830.876213535764</v>
      </c>
      <c r="P11" s="13" t="n">
        <f aca="false">Funding!$F$76-SUM($J$8:P$8)</f>
        <v>814.14716225652</v>
      </c>
      <c r="Q11" s="13" t="n">
        <f aca="false">Funding!$F$76-SUM($J$8:Q$8)</f>
        <v>797.418110977277</v>
      </c>
      <c r="R11" s="13" t="n">
        <f aca="false">Funding!$F$76-SUM($J$8:R$8)</f>
        <v>780.689059698033</v>
      </c>
      <c r="S11" s="13" t="n">
        <f aca="false">Funding!$F$76-SUM($J$8:S$8)</f>
        <v>763.960008418789</v>
      </c>
      <c r="T11" s="13" t="n">
        <f aca="false">Funding!$F$76-SUM($J$8:T$8)</f>
        <v>747.230957139546</v>
      </c>
      <c r="U11" s="13" t="n">
        <f aca="false">Funding!$F$76-SUM($J$8:U$8)</f>
        <v>730.501905860302</v>
      </c>
      <c r="V11" s="13" t="n">
        <f aca="false">Funding!$F$76-SUM($J$8:V$8)</f>
        <v>713.772854581059</v>
      </c>
      <c r="W11" s="13" t="n">
        <f aca="false">Funding!$F$76-SUM($J$8:W$8)</f>
        <v>697.043803301815</v>
      </c>
      <c r="X11" s="13" t="n">
        <f aca="false">Funding!$F$76-SUM($J$8:X$8)</f>
        <v>680.314752022572</v>
      </c>
      <c r="Y11" s="13" t="n">
        <f aca="false">Funding!$F$76-SUM($J$8:Y$8)</f>
        <v>663.585700743328</v>
      </c>
      <c r="Z11" s="13" t="n">
        <f aca="false">Funding!$F$76-SUM($J$8:Z$8)</f>
        <v>646.856649464085</v>
      </c>
      <c r="AA11" s="13" t="n">
        <f aca="false">Funding!$F$76-SUM($J$8:AA$8)</f>
        <v>630.127598184841</v>
      </c>
      <c r="AB11" s="13" t="n">
        <f aca="false">Funding!$F$76-SUM($J$8:AB$8)</f>
        <v>613.398546905597</v>
      </c>
      <c r="AC11" s="13" t="n">
        <f aca="false">Funding!$F$76-SUM($J$8:AC$8)</f>
        <v>596.669495626354</v>
      </c>
      <c r="AD11" s="13" t="n">
        <f aca="false">Funding!$F$76-SUM($J$8:AD$8)</f>
        <v>579.94044434711</v>
      </c>
      <c r="AE11" s="13" t="n">
        <f aca="false">Funding!$F$76-SUM($J$8:AE$8)</f>
        <v>563.211393067867</v>
      </c>
      <c r="AF11" s="13" t="n">
        <f aca="false">Funding!$F$76-SUM($J$8:AF$8)</f>
        <v>546.482341788623</v>
      </c>
      <c r="AG11" s="13" t="n">
        <f aca="false">Funding!$F$76-SUM($J$8:AG$8)</f>
        <v>529.753290509379</v>
      </c>
      <c r="AH11" s="13" t="n">
        <f aca="false">Funding!$F$76-SUM($J$8:AH$8)</f>
        <v>513.024239230136</v>
      </c>
      <c r="AI11" s="13" t="n">
        <f aca="false">Funding!$F$76-SUM($J$8:AI$8)</f>
        <v>496.295187950892</v>
      </c>
      <c r="AJ11" s="13" t="n">
        <f aca="false">Funding!$F$76-SUM($J$8:AJ$8)</f>
        <v>479.566136671649</v>
      </c>
      <c r="AK11" s="13" t="n">
        <f aca="false">Funding!$F$76-SUM($J$8:AK$8)</f>
        <v>462.837085392405</v>
      </c>
      <c r="AL11" s="13" t="n">
        <f aca="false">Funding!$F$76-SUM($J$8:AL$8)</f>
        <v>446.108034113162</v>
      </c>
      <c r="AM11" s="13" t="n">
        <f aca="false">Funding!$F$76-SUM($J$8:AM$8)</f>
        <v>429.378982833918</v>
      </c>
      <c r="AN11" s="13" t="n">
        <f aca="false">Funding!$F$76-SUM($J$8:AN$8)</f>
        <v>412.649931554675</v>
      </c>
      <c r="AO11" s="13" t="n">
        <f aca="false">Funding!$F$76-SUM($J$8:AO$8)</f>
        <v>395.920880275431</v>
      </c>
      <c r="AP11" s="13" t="n">
        <f aca="false">Funding!$F$76-SUM($J$8:AP$8)</f>
        <v>379.191828996187</v>
      </c>
      <c r="AQ11" s="13" t="n">
        <f aca="false">Funding!$F$76-SUM($J$8:AQ$8)</f>
        <v>362.462777716944</v>
      </c>
      <c r="AR11" s="13" t="n">
        <f aca="false">Funding!$F$76-SUM($J$8:AR$8)</f>
        <v>345.7337264377</v>
      </c>
      <c r="AS11" s="13" t="n">
        <f aca="false">Funding!$F$76-SUM($J$8:AS$8)</f>
        <v>329.004675158457</v>
      </c>
      <c r="AT11" s="13" t="n">
        <f aca="false">Funding!$F$76-SUM($J$8:AT$8)</f>
        <v>312.275623879213</v>
      </c>
      <c r="AU11" s="13" t="n">
        <f aca="false">Funding!$F$76-SUM($J$8:AU$8)</f>
        <v>295.54657259997</v>
      </c>
      <c r="AV11" s="13" t="n">
        <f aca="false">Funding!$F$76-SUM($J$8:AV$8)</f>
        <v>278.817521320726</v>
      </c>
      <c r="AW11" s="13" t="n">
        <f aca="false">Funding!$F$76-SUM($J$8:AW$8)</f>
        <v>262.088470041482</v>
      </c>
      <c r="AX11" s="13" t="n">
        <f aca="false">Funding!$F$76-SUM($J$8:AX$8)</f>
        <v>245.359418762239</v>
      </c>
      <c r="AY11" s="13" t="n">
        <f aca="false">Funding!$F$76-SUM($J$8:AY$8)</f>
        <v>228.630367482995</v>
      </c>
      <c r="AZ11" s="13" t="n">
        <f aca="false">Funding!$F$76-SUM($J$8:AZ$8)</f>
        <v>211.901316203752</v>
      </c>
      <c r="BA11" s="13" t="n">
        <f aca="false">Funding!$F$76-SUM($J$8:BA$8)</f>
        <v>195.172264924508</v>
      </c>
      <c r="BB11" s="13" t="n">
        <f aca="false">Funding!$F$76-SUM($J$8:BB$8)</f>
        <v>178.443213645265</v>
      </c>
      <c r="BC11" s="13" t="n">
        <f aca="false">Funding!$F$76-SUM($J$8:BC$8)</f>
        <v>161.714162366021</v>
      </c>
      <c r="BD11" s="13" t="n">
        <f aca="false">Funding!$F$76-SUM($J$8:BD$8)</f>
        <v>144.985111086778</v>
      </c>
      <c r="BE11" s="13" t="n">
        <f aca="false">Funding!$F$76-SUM($J$8:BE$8)</f>
        <v>128.256059807534</v>
      </c>
      <c r="BF11" s="13" t="n">
        <f aca="false">Funding!$F$76-SUM($J$8:BF$8)</f>
        <v>111.52700852829</v>
      </c>
      <c r="BG11" s="13" t="n">
        <f aca="false">Funding!$F$76-SUM($J$8:BG$8)</f>
        <v>94.7979572490468</v>
      </c>
      <c r="BH11" s="13" t="n">
        <f aca="false">Funding!$F$76-SUM($J$8:BH$8)</f>
        <v>78.0689059698033</v>
      </c>
      <c r="BI11" s="13" t="n">
        <f aca="false">Funding!$F$76-SUM($J$8:BI$8)</f>
        <v>61.3398546905597</v>
      </c>
      <c r="BJ11" s="13" t="n">
        <f aca="false">Funding!$F$76-SUM($J$8:BJ$8)</f>
        <v>44.6108034113162</v>
      </c>
      <c r="BK11" s="13" t="n">
        <f aca="false">Funding!$F$76-SUM($J$8:BK$8)</f>
        <v>27.8817521320726</v>
      </c>
      <c r="BL11" s="13" t="n">
        <f aca="false">Funding!$F$76-SUM($J$8:BL$8)</f>
        <v>11.1527008528291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1909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-1.67290512792436</v>
      </c>
      <c r="P12" s="13" t="n">
        <f aca="false">IF(Time!P20&gt;=Time!$F$12,Inputs!$F$184/100*(P11-P10-Tax!P21),0)</f>
        <v>-6.69162051169746</v>
      </c>
      <c r="Q12" s="13" t="n">
        <f aca="false">IF(Time!Q20&gt;=Time!$F$12,Inputs!$F$184/100*(Q11-Q10-Tax!Q21),0)</f>
        <v>-11.7103358954705</v>
      </c>
      <c r="R12" s="13" t="n">
        <f aca="false">IF(Time!R20&gt;=Time!$F$12,Inputs!$F$184/100*(R11-R10-Tax!R21),0)</f>
        <v>-16.7290512792436</v>
      </c>
      <c r="S12" s="13" t="n">
        <f aca="false">IF(Time!S20&gt;=Time!$F$12,Inputs!$F$184/100*(S11-S10-Tax!S21),0)</f>
        <v>-21.7477666630166</v>
      </c>
      <c r="T12" s="13" t="n">
        <f aca="false">IF(Time!T20&gt;=Time!$F$12,Inputs!$F$184/100*(T11-T10-Tax!T21),0)</f>
        <v>-26.7664820467897</v>
      </c>
      <c r="U12" s="13" t="n">
        <f aca="false">IF(Time!U20&gt;=Time!$F$12,Inputs!$F$184/100*(U11-U10-Tax!U21),0)</f>
        <v>-31.7851974305628</v>
      </c>
      <c r="V12" s="13" t="n">
        <f aca="false">IF(Time!V20&gt;=Time!$F$12,Inputs!$F$184/100*(V11-V10-Tax!V21),0)</f>
        <v>-36.8039128143358</v>
      </c>
      <c r="W12" s="13" t="n">
        <f aca="false">IF(Time!W20&gt;=Time!$F$12,Inputs!$F$184/100*(W11-W10-Tax!W21),0)</f>
        <v>-41.8226281981089</v>
      </c>
      <c r="X12" s="13" t="n">
        <f aca="false">IF(Time!X20&gt;=Time!$F$12,Inputs!$F$184/100*(X11-X10-Tax!X21),0)</f>
        <v>-46.841343581882</v>
      </c>
      <c r="Y12" s="13" t="n">
        <f aca="false">IF(Time!Y20&gt;=Time!$F$12,Inputs!$F$184/100*(Y11-Y10-Tax!Y21),0)</f>
        <v>-49.3114820774888</v>
      </c>
      <c r="Z12" s="13" t="n">
        <f aca="false">IF(Time!Z20&gt;=Time!$F$12,Inputs!$F$184/100*(Z11-Z10-Tax!Z21),0)</f>
        <v>-46.4959753188689</v>
      </c>
      <c r="AA12" s="13" t="n">
        <f aca="false">IF(Time!AA20&gt;=Time!$F$12,Inputs!$F$184/100*(AA11-AA10-Tax!AA21),0)</f>
        <v>-43.2966268774137</v>
      </c>
      <c r="AB12" s="13" t="n">
        <f aca="false">IF(Time!AB20&gt;=Time!$F$12,Inputs!$F$184/100*(AB11-AB10-Tax!AB21),0)</f>
        <v>-39.9006192120278</v>
      </c>
      <c r="AC12" s="13" t="n">
        <f aca="false">IF(Time!AC20&gt;=Time!$F$12,Inputs!$F$184/100*(AC11-AC10-Tax!AC21),0)</f>
        <v>-36.0889784810893</v>
      </c>
      <c r="AD12" s="13" t="n">
        <f aca="false">IF(Time!AD20&gt;=Time!$F$12,Inputs!$F$184/100*(AD11-AD10-Tax!AD21),0)</f>
        <v>-35.0852354043346</v>
      </c>
      <c r="AE12" s="13" t="n">
        <f aca="false">IF(Time!AE20&gt;=Time!$F$12,Inputs!$F$184/100*(AE11-AE10-Tax!AE21),0)</f>
        <v>-31.227677639262</v>
      </c>
      <c r="AF12" s="13" t="n">
        <f aca="false">IF(Time!AF20&gt;=Time!$F$12,Inputs!$F$184/100*(AF11-AF10-Tax!AF21),0)</f>
        <v>-26.4046240713228</v>
      </c>
      <c r="AG12" s="13" t="n">
        <f aca="false">IF(Time!AG20&gt;=Time!$F$12,Inputs!$F$184/100*(AG11-AG10-Tax!AG21),0)</f>
        <v>-21.1555048456812</v>
      </c>
      <c r="AH12" s="13" t="n">
        <f aca="false">IF(Time!AH20&gt;=Time!$F$12,Inputs!$F$184/100*(AH11-AH10-Tax!AH21),0)</f>
        <v>-15.5248057498657</v>
      </c>
      <c r="AI12" s="13" t="n">
        <f aca="false">IF(Time!AI20&gt;=Time!$F$12,Inputs!$F$184/100*(AI11-AI10-Tax!AI21),0)</f>
        <v>-9.36468222102063</v>
      </c>
      <c r="AJ12" s="13" t="n">
        <f aca="false">IF(Time!AJ20&gt;=Time!$F$12,Inputs!$F$184/100*(AJ11-AJ10-Tax!AJ21),0)</f>
        <v>-2.78444711520857</v>
      </c>
      <c r="AK12" s="13" t="n">
        <f aca="false">IF(Time!AK20&gt;=Time!$F$12,Inputs!$F$184/100*(AK11-AK10-Tax!AK21),0)</f>
        <v>4.37490575449596</v>
      </c>
      <c r="AL12" s="13" t="n">
        <f aca="false">IF(Time!AL20&gt;=Time!$F$12,Inputs!$F$184/100*(AL11-AL10-Tax!AL21),0)</f>
        <v>11.1969156724157</v>
      </c>
      <c r="AM12" s="13" t="n">
        <f aca="false">IF(Time!AM20&gt;=Time!$F$12,Inputs!$F$184/100*(AM11-AM10-Tax!AM21),0)</f>
        <v>19.4929590123233</v>
      </c>
      <c r="AN12" s="13" t="n">
        <f aca="false">IF(Time!AN20&gt;=Time!$F$12,Inputs!$F$184/100*(AN11-AN10-Tax!AN21),0)</f>
        <v>28.3010019521068</v>
      </c>
      <c r="AO12" s="13" t="n">
        <f aca="false">IF(Time!AO20&gt;=Time!$F$12,Inputs!$F$184/100*(AO11-AO10-Tax!AO21),0)</f>
        <v>33.9599740968645</v>
      </c>
      <c r="AP12" s="13" t="n">
        <f aca="false">IF(Time!AP20&gt;=Time!$F$12,Inputs!$F$184/100*(AP11-AP10-Tax!AP21),0)</f>
        <v>34.9637171736191</v>
      </c>
      <c r="AQ12" s="13" t="n">
        <f aca="false">IF(Time!AQ20&gt;=Time!$F$12,Inputs!$F$184/100*(AQ11-AQ10-Tax!AQ21),0)</f>
        <v>35.9674602503737</v>
      </c>
      <c r="AR12" s="13" t="n">
        <f aca="false">IF(Time!AR20&gt;=Time!$F$12,Inputs!$F$184/100*(AR11-AR10-Tax!AR21),0)</f>
        <v>36.9712033271283</v>
      </c>
      <c r="AS12" s="13" t="n">
        <f aca="false">IF(Time!AS20&gt;=Time!$F$12,Inputs!$F$184/100*(AS11-AS10-Tax!AS21),0)</f>
        <v>37.9749464038829</v>
      </c>
      <c r="AT12" s="13" t="n">
        <f aca="false">IF(Time!AT20&gt;=Time!$F$12,Inputs!$F$184/100*(AT11-AT10-Tax!AT21),0)</f>
        <v>38.9786894806375</v>
      </c>
      <c r="AU12" s="13" t="n">
        <f aca="false">IF(Time!AU20&gt;=Time!$F$12,Inputs!$F$184/100*(AU11-AU10-Tax!AU21),0)</f>
        <v>39.9824325573922</v>
      </c>
      <c r="AV12" s="13" t="n">
        <f aca="false">IF(Time!AV20&gt;=Time!$F$12,Inputs!$F$184/100*(AV11-AV10-Tax!AV21),0)</f>
        <v>40.9861756341468</v>
      </c>
      <c r="AW12" s="13" t="n">
        <f aca="false">IF(Time!AW20&gt;=Time!$F$12,Inputs!$F$184/100*(AW11-AW10-Tax!AW21),0)</f>
        <v>41.9899187109014</v>
      </c>
      <c r="AX12" s="13" t="n">
        <f aca="false">IF(Time!AX20&gt;=Time!$F$12,Inputs!$F$184/100*(AX11-AX10-Tax!AX21),0)</f>
        <v>42.993661787656</v>
      </c>
      <c r="AY12" s="13" t="n">
        <f aca="false">IF(Time!AY20&gt;=Time!$F$12,Inputs!$F$184/100*(AY11-AY10-Tax!AY21),0)</f>
        <v>43.9974048644106</v>
      </c>
      <c r="AZ12" s="13" t="n">
        <f aca="false">IF(Time!AZ20&gt;=Time!$F$12,Inputs!$F$184/100*(AZ11-AZ10-Tax!AZ21),0)</f>
        <v>45.0011479411652</v>
      </c>
      <c r="BA12" s="13" t="n">
        <f aca="false">IF(Time!BA20&gt;=Time!$F$12,Inputs!$F$184/100*(BA11-BA10-Tax!BA21),0)</f>
        <v>46.0048910179198</v>
      </c>
      <c r="BB12" s="13" t="n">
        <f aca="false">IF(Time!BB20&gt;=Time!$F$12,Inputs!$F$184/100*(BB11-BB10-Tax!BB21),0)</f>
        <v>47.0086340946745</v>
      </c>
      <c r="BC12" s="13" t="n">
        <f aca="false">IF(Time!BC20&gt;=Time!$F$12,Inputs!$F$184/100*(BC11-BC10-Tax!BC21),0)</f>
        <v>46.0885362743161</v>
      </c>
      <c r="BD12" s="13" t="n">
        <f aca="false">IF(Time!BD20&gt;=Time!$F$12,Inputs!$F$184/100*(BD11-BD10-Tax!BD21),0)</f>
        <v>41.3207566597317</v>
      </c>
      <c r="BE12" s="13" t="n">
        <f aca="false">IF(Time!BE20&gt;=Time!$F$12,Inputs!$F$184/100*(BE11-BE10-Tax!BE21),0)</f>
        <v>36.5529770451472</v>
      </c>
      <c r="BF12" s="13" t="n">
        <f aca="false">IF(Time!BF20&gt;=Time!$F$12,Inputs!$F$184/100*(BF11-BF10-Tax!BF21),0)</f>
        <v>31.7851974305628</v>
      </c>
      <c r="BG12" s="13" t="n">
        <f aca="false">IF(Time!BG20&gt;=Time!$F$12,Inputs!$F$184/100*(BG11-BG10-Tax!BG21),0)</f>
        <v>27.0174178159784</v>
      </c>
      <c r="BH12" s="13" t="n">
        <f aca="false">IF(Time!BH20&gt;=Time!$F$12,Inputs!$F$184/100*(BH11-BH10-Tax!BH21),0)</f>
        <v>22.249638201394</v>
      </c>
      <c r="BI12" s="13" t="n">
        <f aca="false">IF(Time!BI20&gt;=Time!$F$12,Inputs!$F$184/100*(BI11-BI10-Tax!BI21),0)</f>
        <v>17.4818585868096</v>
      </c>
      <c r="BJ12" s="13" t="n">
        <f aca="false">IF(Time!BJ20&gt;=Time!$F$12,Inputs!$F$184/100*(BJ11-BJ10-Tax!BJ21),0)</f>
        <v>12.7140789722252</v>
      </c>
      <c r="BK12" s="13" t="n">
        <f aca="false">IF(Time!BK20&gt;=Time!$F$12,Inputs!$F$184/100*(BK11-BK10-Tax!BK21),0)</f>
        <v>7.94629935764073</v>
      </c>
      <c r="BL12" s="13" t="n">
        <f aca="false">IF(Time!BL20&gt;=Time!$F$12,Inputs!$F$184/100*(BL11-BL10-Tax!BL21),0)</f>
        <v>3.17851974305632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1910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-1.67290512792436</v>
      </c>
      <c r="P13" s="13" t="n">
        <f aca="false">P12-O12</f>
        <v>-5.0187153837731</v>
      </c>
      <c r="Q13" s="13" t="n">
        <f aca="false">Q12-P12</f>
        <v>-5.01871538377303</v>
      </c>
      <c r="R13" s="13" t="n">
        <f aca="false">R12-Q12</f>
        <v>-5.01871538377307</v>
      </c>
      <c r="S13" s="13" t="n">
        <f aca="false">S12-R12</f>
        <v>-5.01871538377307</v>
      </c>
      <c r="T13" s="13" t="n">
        <f aca="false">T12-S12</f>
        <v>-5.01871538377307</v>
      </c>
      <c r="U13" s="13" t="n">
        <f aca="false">U12-T12</f>
        <v>-5.01871538377307</v>
      </c>
      <c r="V13" s="13" t="n">
        <f aca="false">V12-U12</f>
        <v>-5.01871538377307</v>
      </c>
      <c r="W13" s="13" t="n">
        <f aca="false">W12-V12</f>
        <v>-5.01871538377306</v>
      </c>
      <c r="X13" s="13" t="n">
        <f aca="false">X12-W12</f>
        <v>-5.01871538377306</v>
      </c>
      <c r="Y13" s="13" t="n">
        <f aca="false">Y12-X12</f>
        <v>-2.47013849560683</v>
      </c>
      <c r="Z13" s="13" t="n">
        <f aca="false">Z12-Y12</f>
        <v>2.81550675861988</v>
      </c>
      <c r="AA13" s="13" t="n">
        <f aca="false">AA12-Z12</f>
        <v>3.19934844145519</v>
      </c>
      <c r="AB13" s="13" t="n">
        <f aca="false">AB12-AA12</f>
        <v>3.39600766538597</v>
      </c>
      <c r="AC13" s="13" t="n">
        <f aca="false">AC12-AB12</f>
        <v>3.81164073093848</v>
      </c>
      <c r="AD13" s="13" t="n">
        <f aca="false">AD12-AC12</f>
        <v>1.00374307675464</v>
      </c>
      <c r="AE13" s="13" t="n">
        <f aca="false">AE12-AD12</f>
        <v>3.85755776507269</v>
      </c>
      <c r="AF13" s="13" t="n">
        <f aca="false">AF12-AE12</f>
        <v>4.82305356793911</v>
      </c>
      <c r="AG13" s="13" t="n">
        <f aca="false">AG12-AF12</f>
        <v>5.24911922564165</v>
      </c>
      <c r="AH13" s="13" t="n">
        <f aca="false">AH12-AG12</f>
        <v>5.63069909581553</v>
      </c>
      <c r="AI13" s="13" t="n">
        <f aca="false">AI12-AH12</f>
        <v>6.16012352884504</v>
      </c>
      <c r="AJ13" s="13" t="n">
        <f aca="false">AJ12-AI12</f>
        <v>6.58023510581206</v>
      </c>
      <c r="AK13" s="13" t="n">
        <f aca="false">AK12-AJ12</f>
        <v>7.15935286970453</v>
      </c>
      <c r="AL13" s="13" t="n">
        <f aca="false">AL12-AK12</f>
        <v>6.82200991791974</v>
      </c>
      <c r="AM13" s="13" t="n">
        <f aca="false">AM12-AL12</f>
        <v>8.29604333990764</v>
      </c>
      <c r="AN13" s="13" t="n">
        <f aca="false">AN12-AM12</f>
        <v>8.80804293978343</v>
      </c>
      <c r="AO13" s="13" t="n">
        <f aca="false">AO12-AN12</f>
        <v>5.65897214475768</v>
      </c>
      <c r="AP13" s="13" t="n">
        <f aca="false">AP12-AO12</f>
        <v>1.00374307675462</v>
      </c>
      <c r="AQ13" s="13" t="n">
        <f aca="false">AQ12-AP12</f>
        <v>1.0037430767546</v>
      </c>
      <c r="AR13" s="13" t="n">
        <f aca="false">AR12-AQ12</f>
        <v>1.00374307675462</v>
      </c>
      <c r="AS13" s="13" t="n">
        <f aca="false">AS12-AR12</f>
        <v>1.00374307675462</v>
      </c>
      <c r="AT13" s="13" t="n">
        <f aca="false">AT12-AS12</f>
        <v>1.00374307675462</v>
      </c>
      <c r="AU13" s="13" t="n">
        <f aca="false">AU12-AT12</f>
        <v>1.00374307675462</v>
      </c>
      <c r="AV13" s="13" t="n">
        <f aca="false">AV12-AU12</f>
        <v>1.00374307675462</v>
      </c>
      <c r="AW13" s="13" t="n">
        <f aca="false">AW12-AV12</f>
        <v>1.00374307675458</v>
      </c>
      <c r="AX13" s="13" t="n">
        <f aca="false">AX12-AW12</f>
        <v>1.00374307675462</v>
      </c>
      <c r="AY13" s="13" t="n">
        <f aca="false">AY12-AX12</f>
        <v>1.00374307675462</v>
      </c>
      <c r="AZ13" s="13" t="n">
        <f aca="false">AZ12-AY12</f>
        <v>1.00374307675462</v>
      </c>
      <c r="BA13" s="13" t="n">
        <f aca="false">BA12-AZ12</f>
        <v>1.00374307675462</v>
      </c>
      <c r="BB13" s="13" t="n">
        <f aca="false">BB12-BA12</f>
        <v>1.00374307675462</v>
      </c>
      <c r="BC13" s="13" t="n">
        <f aca="false">BC12-BB12</f>
        <v>-0.920097820358386</v>
      </c>
      <c r="BD13" s="13" t="n">
        <f aca="false">BD12-BC12</f>
        <v>-4.7677796145844</v>
      </c>
      <c r="BE13" s="13" t="n">
        <f aca="false">BE12-BD12</f>
        <v>-4.76777961458443</v>
      </c>
      <c r="BF13" s="13" t="n">
        <f aca="false">BF12-BE12</f>
        <v>-4.76777961458444</v>
      </c>
      <c r="BG13" s="13" t="n">
        <f aca="false">BG12-BF12</f>
        <v>-4.7677796145844</v>
      </c>
      <c r="BH13" s="13" t="n">
        <f aca="false">BH12-BG12</f>
        <v>-4.76777961458443</v>
      </c>
      <c r="BI13" s="13" t="n">
        <f aca="false">BI12-BH12</f>
        <v>-4.7677796145844</v>
      </c>
      <c r="BJ13" s="13" t="n">
        <f aca="false">BJ12-BI12</f>
        <v>-4.7677796145844</v>
      </c>
      <c r="BK13" s="13" t="n">
        <f aca="false">BK12-BJ12</f>
        <v>-4.76777961458444</v>
      </c>
      <c r="BL13" s="13" t="n">
        <f aca="false">BL12-BK12</f>
        <v>-4.7677796145844</v>
      </c>
      <c r="BM13" s="13" t="n">
        <f aca="false">BM12-BL12</f>
        <v>-3.17851974305632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1911</v>
      </c>
      <c r="E14" s="0" t="s">
        <v>151</v>
      </c>
      <c r="G14" s="13" t="n">
        <f aca="false">SUM(J14:BN14)</f>
        <v>882.34758114556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9.40719520040312</v>
      </c>
      <c r="P14" s="13" t="n">
        <f aca="false">Operations!P84-P8-P9-Tax!P27-P13</f>
        <v>6.3675706481377</v>
      </c>
      <c r="Q14" s="13" t="n">
        <f aca="false">Operations!Q84-Q8-Q9-Tax!Q27-Q13</f>
        <v>7.60999511543441</v>
      </c>
      <c r="R14" s="13" t="n">
        <f aca="false">Operations!R84-R8-R9-Tax!R27-R13</f>
        <v>7.96706691572342</v>
      </c>
      <c r="S14" s="13" t="n">
        <f aca="false">Operations!S84-S8-S9-Tax!S27-S13</f>
        <v>9.09159207860278</v>
      </c>
      <c r="T14" s="13" t="n">
        <f aca="false">Operations!T84-T8-T9-Tax!T27-T13</f>
        <v>9.45663895243547</v>
      </c>
      <c r="U14" s="13" t="n">
        <f aca="false">Operations!U84-U8-U9-Tax!U27-U13</f>
        <v>10.5803246142948</v>
      </c>
      <c r="V14" s="13" t="n">
        <f aca="false">Operations!V84-V8-V9-Tax!V27-V13</f>
        <v>8.77480615413157</v>
      </c>
      <c r="W14" s="13" t="n">
        <f aca="false">Operations!W84-W8-W9-Tax!W27-W13</f>
        <v>12.4839187928317</v>
      </c>
      <c r="X14" s="13" t="n">
        <f aca="false">Operations!X84-X8-X9-Tax!X27-X13</f>
        <v>13.0346105489624</v>
      </c>
      <c r="Y14" s="13" t="n">
        <f aca="false">Operations!Y84-Y8-Y9-Tax!Y27-Y13</f>
        <v>11.1088102621054</v>
      </c>
      <c r="Z14" s="13" t="n">
        <f aca="false">Operations!Z84-Z8-Z9-Tax!Z27-Z13</f>
        <v>6.21402423543928</v>
      </c>
      <c r="AA14" s="13" t="n">
        <f aca="false">Operations!AA84-AA8-AA9-Tax!AA27-AA13</f>
        <v>7.10787980278969</v>
      </c>
      <c r="AB14" s="13" t="n">
        <f aca="false">Operations!AB84-AB8-AB9-Tax!AB27-AB13</f>
        <v>7.56481820106907</v>
      </c>
      <c r="AC14" s="13" t="n">
        <f aca="false">Operations!AC84-AC8-AC9-Tax!AC27-AC13</f>
        <v>8.53373897171006</v>
      </c>
      <c r="AD14" s="13" t="n">
        <f aca="false">Operations!AD84-AD8-AD9-Tax!AD27-AD13</f>
        <v>-0.36099049661159</v>
      </c>
      <c r="AE14" s="13" t="n">
        <f aca="false">Operations!AE84-AE8-AE9-Tax!AE27-AE13</f>
        <v>10.9857643324516</v>
      </c>
      <c r="AF14" s="13" t="n">
        <f aca="false">Operations!AF84-AF8-AF9-Tax!AF27-AF13</f>
        <v>10.8877703397028</v>
      </c>
      <c r="AG14" s="13" t="n">
        <f aca="false">Operations!AG84-AG8-AG9-Tax!AG27-AG13</f>
        <v>11.8803170582157</v>
      </c>
      <c r="AH14" s="13" t="n">
        <f aca="false">Operations!AH84-AH8-AH9-Tax!AH27-AH13</f>
        <v>12.7691941401394</v>
      </c>
      <c r="AI14" s="13" t="n">
        <f aca="false">Operations!AI84-AI8-AI9-Tax!AI27-AI13</f>
        <v>14.0025852767177</v>
      </c>
      <c r="AJ14" s="13" t="n">
        <f aca="false">Operations!AJ84-AJ8-AJ9-Tax!AJ27-AJ13</f>
        <v>14.9807415687744</v>
      </c>
      <c r="AK14" s="13" t="n">
        <f aca="false">Operations!AK84-AK8-AK9-Tax!AK27-AK13</f>
        <v>16.3307250892802</v>
      </c>
      <c r="AL14" s="13" t="n">
        <f aca="false">Operations!AL84-AL8-AL9-Tax!AL27-AL13</f>
        <v>15.5428335062058</v>
      </c>
      <c r="AM14" s="13" t="n">
        <f aca="false">Operations!AM84-AM8-AM9-Tax!AM27-AM13</f>
        <v>18.9798467765952</v>
      </c>
      <c r="AN14" s="13" t="n">
        <f aca="false">Operations!AN84-AN8-AN9-Tax!AN27-AN13</f>
        <v>20.1715304705601</v>
      </c>
      <c r="AO14" s="13" t="n">
        <f aca="false">Operations!AO84-AO8-AO9-Tax!AO27-AO13</f>
        <v>21.9332795627358</v>
      </c>
      <c r="AP14" s="13" t="n">
        <f aca="false">Operations!AP84-AP8-AP9-Tax!AP27-AP13</f>
        <v>23.754390971062</v>
      </c>
      <c r="AQ14" s="13" t="n">
        <f aca="false">Operations!AQ84-AQ8-AQ9-Tax!AQ27-AQ13</f>
        <v>25.144075682695</v>
      </c>
      <c r="AR14" s="13" t="n">
        <f aca="false">Operations!AR84-AR8-AR9-Tax!AR27-AR13</f>
        <v>25.2263634940456</v>
      </c>
      <c r="AS14" s="13" t="n">
        <f aca="false">Operations!AS84-AS8-AS9-Tax!AS27-AS13</f>
        <v>25.3956388731451</v>
      </c>
      <c r="AT14" s="13" t="n">
        <f aca="false">Operations!AT84-AT8-AT9-Tax!AT27-AT13</f>
        <v>15.0765299993994</v>
      </c>
      <c r="AU14" s="13" t="n">
        <f aca="false">Operations!AU84-AU8-AU9-Tax!AU27-AU13</f>
        <v>25.6591349891626</v>
      </c>
      <c r="AV14" s="13" t="n">
        <f aca="false">Operations!AV84-AV8-AV9-Tax!AV27-AV13</f>
        <v>25.5778606370751</v>
      </c>
      <c r="AW14" s="13" t="n">
        <f aca="false">Operations!AW84-AW8-AW9-Tax!AW27-AW13</f>
        <v>25.6823719783772</v>
      </c>
      <c r="AX14" s="13" t="n">
        <f aca="false">Operations!AX84-AX8-AX9-Tax!AX27-AX13</f>
        <v>25.8060298150381</v>
      </c>
      <c r="AY14" s="13" t="n">
        <f aca="false">Operations!AY84-AY8-AY9-Tax!AY27-AY13</f>
        <v>25.8813352681381</v>
      </c>
      <c r="AZ14" s="13" t="n">
        <f aca="false">Operations!AZ84-AZ8-AZ9-Tax!AZ27-AZ13</f>
        <v>25.9434310624252</v>
      </c>
      <c r="BA14" s="13" t="n">
        <f aca="false">Operations!BA84-BA8-BA9-Tax!BA27-BA13</f>
        <v>26.0938689541404</v>
      </c>
      <c r="BB14" s="13" t="n">
        <f aca="false">Operations!BB84-BB8-BB9-Tax!BB27-BB13</f>
        <v>23.8319833895301</v>
      </c>
      <c r="BC14" s="13" t="n">
        <f aca="false">Operations!BC84-BC8-BC9-Tax!BC27-BC13</f>
        <v>26.3450701278314</v>
      </c>
      <c r="BD14" s="13" t="n">
        <f aca="false">Operations!BD84-BD8-BD9-Tax!BD27-BD13</f>
        <v>26.3236460729091</v>
      </c>
      <c r="BE14" s="13" t="n">
        <f aca="false">Operations!BE84-BE8-BE9-Tax!BE27-BE13</f>
        <v>26.4365397457799</v>
      </c>
      <c r="BF14" s="13" t="n">
        <f aca="false">Operations!BF84-BF8-BF9-Tax!BF27-BF13</f>
        <v>26.5718334348505</v>
      </c>
      <c r="BG14" s="13" t="n">
        <f aca="false">Operations!BG84-BG8-BG9-Tax!BG27-BG13</f>
        <v>26.6522290193558</v>
      </c>
      <c r="BH14" s="13" t="n">
        <f aca="false">Operations!BH84-BH8-BH9-Tax!BH27-BH13</f>
        <v>26.7191004709961</v>
      </c>
      <c r="BI14" s="13" t="n">
        <f aca="false">Operations!BI84-BI8-BI9-Tax!BI27-BI13</f>
        <v>26.9212493121091</v>
      </c>
      <c r="BJ14" s="13" t="n">
        <f aca="false">Operations!BJ84-BJ8-BJ9-Tax!BJ27-BJ13</f>
        <v>14.7242537653353</v>
      </c>
      <c r="BK14" s="13" t="n">
        <f aca="false">Operations!BK84-BK8-BK9-Tax!BK27-BK13</f>
        <v>27.2351269695736</v>
      </c>
      <c r="BL14" s="13" t="n">
        <f aca="false">Operations!BL84-BL8-BL9-Tax!BL27-BL13</f>
        <v>27.1304135370774</v>
      </c>
      <c r="BM14" s="13" t="n">
        <f aca="false">Operations!BM84-BM8-BM9-Tax!BM27-BM13</f>
        <v>4.80851545667003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1912</v>
      </c>
    </row>
    <row r="16" customFormat="false" ht="15" hidden="false" customHeight="false" outlineLevel="0" collapsed="false">
      <c r="D16" s="0" t="s">
        <v>1913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139.023735628092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239.252582641448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433.346347179502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635.339408885473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752.897995822184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830.876213535764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814.14716225652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797.418110977277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780.689059698033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763.960008418789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747.230957139546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730.501905860302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713.772854581059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697.043803301815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680.314752022572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663.585700743328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646.856649464085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630.127598184841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613.398546905597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596.669495626354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579.94044434711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563.211393067867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546.482341788623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529.753290509379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513.024239230136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496.295187950892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479.566136671649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462.837085392405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446.108034113162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429.378982833918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412.649931554675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395.920880275431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379.191828996187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362.462777716944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345.7337264377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329.004675158457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312.275623879213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295.54657259997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278.817521320726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262.088470041482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245.359418762239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228.630367482995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211.901316203752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195.172264924508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178.443213645265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161.714162366021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144.985111086778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128.256059807534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111.52700852829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94.7979572490468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78.0689059698033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61.3398546905597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44.6108034113162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27.8817521320726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11.1527008528291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1914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38.949117381047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37.5732847571856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38.4573216920684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38.5821173995084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39.4162909910576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39.6520342667047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40.7855300494119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38.0232274255105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36.9267950741505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38.5431345878479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40.8168481953774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42.4925149854519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44.8957188061428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46.1653851325561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48.8178062582473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36.3374324412927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35.5257295340518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34.6901165870279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34.3118996999001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33.0929291817443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32.0114186516071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30.0395238429953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27.7487394012603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21.7661643202512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18.8305492762072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20.3710871614951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1915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40.0120718392951</v>
      </c>
      <c r="R18" s="13" t="n">
        <f aca="false">Operations!R88+Operations!R89</f>
        <v>39.3348793527876</v>
      </c>
      <c r="S18" s="13" t="n">
        <f aca="false">Operations!S88+Operations!S89</f>
        <v>40.521706896867</v>
      </c>
      <c r="T18" s="13" t="n">
        <f aca="false">Operations!T88+Operations!T89</f>
        <v>40.1198396201344</v>
      </c>
      <c r="U18" s="13" t="n">
        <f aca="false">Operations!U88+Operations!U89</f>
        <v>40.7898991160633</v>
      </c>
      <c r="V18" s="13" t="n">
        <f aca="false">Operations!V88+Operations!V89</f>
        <v>39.9341822773552</v>
      </c>
      <c r="W18" s="13" t="n">
        <f aca="false">Operations!W88+Operations!W89</f>
        <v>41.3333166310765</v>
      </c>
      <c r="X18" s="13" t="n">
        <f aca="false">Operations!X88+Operations!X89</f>
        <v>41.3054133893148</v>
      </c>
      <c r="Y18" s="13" t="n">
        <f aca="false">Operations!Y88+Operations!Y89</f>
        <v>42.4083302853802</v>
      </c>
      <c r="Z18" s="13" t="n">
        <f aca="false">Operations!Z88+Operations!Z89</f>
        <v>41.6897358651796</v>
      </c>
      <c r="AA18" s="13" t="n">
        <f aca="false">Operations!AA88+Operations!AA89</f>
        <v>42.9589072846173</v>
      </c>
      <c r="AB18" s="13" t="n">
        <f aca="false">Operations!AB88+Operations!AB89</f>
        <v>42.5376635915379</v>
      </c>
      <c r="AC18" s="13" t="n">
        <f aca="false">Operations!AC88+Operations!AC89</f>
        <v>43.0859747166726</v>
      </c>
      <c r="AD18" s="13" t="n">
        <f aca="false">Operations!AD88+Operations!AD89</f>
        <v>41.6167054672967</v>
      </c>
      <c r="AE18" s="13" t="n">
        <f aca="false">Operations!AE88+Operations!AE89</f>
        <v>43.4936968755139</v>
      </c>
      <c r="AF18" s="13" t="n">
        <f aca="false">Operations!AF88+Operations!AF89</f>
        <v>43.8184303297045</v>
      </c>
      <c r="AG18" s="13" t="n">
        <f aca="false">Operations!AG88+Operations!AG89</f>
        <v>44.9970045987169</v>
      </c>
      <c r="AH18" s="13" t="n">
        <f aca="false">Operations!AH88+Operations!AH89</f>
        <v>44.2336846943227</v>
      </c>
      <c r="AI18" s="13" t="n">
        <f aca="false">Operations!AI88+Operations!AI89</f>
        <v>45.5918208874678</v>
      </c>
      <c r="AJ18" s="13" t="n">
        <f aca="false">Operations!AJ88+Operations!AJ89</f>
        <v>45.149626250459</v>
      </c>
      <c r="AK18" s="13" t="n">
        <f aca="false">Operations!AK88+Operations!AK89</f>
        <v>45.9135764668008</v>
      </c>
      <c r="AL18" s="13" t="n">
        <f aca="false">Operations!AL88+Operations!AL89</f>
        <v>44.9334921408051</v>
      </c>
      <c r="AM18" s="13" t="n">
        <f aca="false">Operations!AM88+Operations!AM89</f>
        <v>46.5392952944488</v>
      </c>
      <c r="AN18" s="13" t="n">
        <f aca="false">Operations!AN88+Operations!AN89</f>
        <v>46.5332394011983</v>
      </c>
      <c r="AO18" s="13" t="n">
        <f aca="false">Operations!AO88+Operations!AO89</f>
        <v>47.7935649078857</v>
      </c>
      <c r="AP18" s="13" t="n">
        <f aca="false">Operations!AP88+Operations!AP89</f>
        <v>46.9819309154102</v>
      </c>
      <c r="AQ18" s="13" t="n">
        <f aca="false">Operations!AQ88+Operations!AQ89</f>
        <v>48.436183684556</v>
      </c>
      <c r="AR18" s="13" t="n">
        <f aca="false">Operations!AR88+Operations!AR89</f>
        <v>47.9713361993852</v>
      </c>
      <c r="AS18" s="13" t="n">
        <f aca="false">Operations!AS88+Operations!AS89</f>
        <v>48.5933597760093</v>
      </c>
      <c r="AT18" s="13" t="n">
        <f aca="false">Operations!AT88+Operations!AT89</f>
        <v>46.919639546778</v>
      </c>
      <c r="AU18" s="13" t="n">
        <f aca="false">Operations!AU88+Operations!AU89</f>
        <v>49.0609568997731</v>
      </c>
      <c r="AV18" s="13" t="n">
        <f aca="false">Operations!AV88+Operations!AV89</f>
        <v>49.4660645185685</v>
      </c>
      <c r="AW18" s="13" t="n">
        <f aca="false">Operations!AW88+Operations!AW89</f>
        <v>50.8147250172617</v>
      </c>
      <c r="AX18" s="13" t="n">
        <f aca="false">Operations!AX88+Operations!AX89</f>
        <v>49.9509023002326</v>
      </c>
      <c r="AY18" s="13" t="n">
        <f aca="false">Operations!AY88+Operations!AY89</f>
        <v>51.5089967649398</v>
      </c>
      <c r="AZ18" s="13" t="n">
        <f aca="false">Operations!AZ88+Operations!AZ89</f>
        <v>51.0196568956865</v>
      </c>
      <c r="BA18" s="13" t="n">
        <f aca="false">Operations!BA88+Operations!BA89</f>
        <v>51.8932401037153</v>
      </c>
      <c r="BB18" s="13" t="n">
        <f aca="false">Operations!BB88+Operations!BB89</f>
        <v>50.7682379289699</v>
      </c>
      <c r="BC18" s="13" t="n">
        <f aca="false">Operations!BC88+Operations!BC89</f>
        <v>52.6152074294667</v>
      </c>
      <c r="BD18" s="13" t="n">
        <f aca="false">Operations!BD88+Operations!BD89</f>
        <v>52.6344338644045</v>
      </c>
      <c r="BE18" s="13" t="n">
        <f aca="false">Operations!BE88+Operations!BE89</f>
        <v>54.0785422695604</v>
      </c>
      <c r="BF18" s="13" t="n">
        <f aca="false">Operations!BF88+Operations!BF89</f>
        <v>53.1583475336749</v>
      </c>
      <c r="BG18" s="13" t="n">
        <f aca="false">Operations!BG88+Operations!BG89</f>
        <v>54.8286279167531</v>
      </c>
      <c r="BH18" s="13" t="n">
        <f aca="false">Operations!BH88+Operations!BH89</f>
        <v>54.3128074194288</v>
      </c>
      <c r="BI18" s="13" t="n">
        <f aca="false">Operations!BI88+Operations!BI89</f>
        <v>55.0209797406327</v>
      </c>
      <c r="BJ18" s="13" t="n">
        <f aca="false">Operations!BJ88+Operations!BJ89</f>
        <v>53.108670689654</v>
      </c>
      <c r="BK18" s="13" t="n">
        <f aca="false">Operations!BK88+Operations!BK89</f>
        <v>55.5587366627012</v>
      </c>
      <c r="BL18" s="13" t="n">
        <f aca="false">Operations!BL88+Operations!BL89</f>
        <v>56.0572846169271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1916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1917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1.67290512792436</v>
      </c>
      <c r="P20" s="13" t="n">
        <f aca="false">MAX(0,-P12)</f>
        <v>6.69162051169746</v>
      </c>
      <c r="Q20" s="13" t="n">
        <f aca="false">MAX(0,-Q12)</f>
        <v>11.7103358954705</v>
      </c>
      <c r="R20" s="13" t="n">
        <f aca="false">MAX(0,-R12)</f>
        <v>16.7290512792436</v>
      </c>
      <c r="S20" s="13" t="n">
        <f aca="false">MAX(0,-S12)</f>
        <v>21.7477666630166</v>
      </c>
      <c r="T20" s="13" t="n">
        <f aca="false">MAX(0,-T12)</f>
        <v>26.7664820467897</v>
      </c>
      <c r="U20" s="13" t="n">
        <f aca="false">MAX(0,-U12)</f>
        <v>31.7851974305628</v>
      </c>
      <c r="V20" s="13" t="n">
        <f aca="false">MAX(0,-V12)</f>
        <v>36.8039128143358</v>
      </c>
      <c r="W20" s="13" t="n">
        <f aca="false">MAX(0,-W12)</f>
        <v>41.8226281981089</v>
      </c>
      <c r="X20" s="13" t="n">
        <f aca="false">MAX(0,-X12)</f>
        <v>46.841343581882</v>
      </c>
      <c r="Y20" s="13" t="n">
        <f aca="false">MAX(0,-Y12)</f>
        <v>49.3114820774888</v>
      </c>
      <c r="Z20" s="13" t="n">
        <f aca="false">MAX(0,-Z12)</f>
        <v>46.4959753188689</v>
      </c>
      <c r="AA20" s="13" t="n">
        <f aca="false">MAX(0,-AA12)</f>
        <v>43.2966268774137</v>
      </c>
      <c r="AB20" s="13" t="n">
        <f aca="false">MAX(0,-AB12)</f>
        <v>39.9006192120278</v>
      </c>
      <c r="AC20" s="13" t="n">
        <f aca="false">MAX(0,-AC12)</f>
        <v>36.0889784810893</v>
      </c>
      <c r="AD20" s="13" t="n">
        <f aca="false">MAX(0,-AD12)</f>
        <v>35.0852354043346</v>
      </c>
      <c r="AE20" s="13" t="n">
        <f aca="false">MAX(0,-AE12)</f>
        <v>31.227677639262</v>
      </c>
      <c r="AF20" s="13" t="n">
        <f aca="false">MAX(0,-AF12)</f>
        <v>26.4046240713228</v>
      </c>
      <c r="AG20" s="13" t="n">
        <f aca="false">MAX(0,-AG12)</f>
        <v>21.1555048456812</v>
      </c>
      <c r="AH20" s="13" t="n">
        <f aca="false">MAX(0,-AH12)</f>
        <v>15.5248057498657</v>
      </c>
      <c r="AI20" s="13" t="n">
        <f aca="false">MAX(0,-AI12)</f>
        <v>9.36468222102063</v>
      </c>
      <c r="AJ20" s="13" t="n">
        <f aca="false">MAX(0,-AJ12)</f>
        <v>2.78444711520857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1918</v>
      </c>
      <c r="E21" s="0" t="s">
        <v>151</v>
      </c>
      <c r="J21" s="13" t="n">
        <f aca="false">J16+J17+J18+J19+J20</f>
        <v>139.023735628092</v>
      </c>
      <c r="K21" s="13" t="n">
        <f aca="false">K16+K17+K18+K19+K20</f>
        <v>239.252582641448</v>
      </c>
      <c r="L21" s="13" t="n">
        <f aca="false">L16+L17+L18+L19+L20</f>
        <v>433.346347179502</v>
      </c>
      <c r="M21" s="13" t="n">
        <f aca="false">M16+M17+M18+M19+M20</f>
        <v>635.339408885473</v>
      </c>
      <c r="N21" s="13" t="n">
        <f aca="false">N16+N17+N18+N19+N20</f>
        <v>752.897995822184</v>
      </c>
      <c r="O21" s="13" t="n">
        <f aca="false">O16+O17+O18+O19+O20</f>
        <v>915.955948989755</v>
      </c>
      <c r="P21" s="13" t="n">
        <f aca="false">P16+P17+P18+P19+P20</f>
        <v>902.741239501301</v>
      </c>
      <c r="Q21" s="13" t="n">
        <f aca="false">Q16+Q17+Q18+Q19+Q20</f>
        <v>892.947840404111</v>
      </c>
      <c r="R21" s="13" t="n">
        <f aca="false">R16+R17+R18+R19+R20</f>
        <v>880.685107729572</v>
      </c>
      <c r="S21" s="13" t="n">
        <f aca="false">S16+S17+S18+S19+S20</f>
        <v>870.995772969731</v>
      </c>
      <c r="T21" s="13" t="n">
        <f aca="false">T16+T17+T18+T19+T20</f>
        <v>859.119313073175</v>
      </c>
      <c r="U21" s="13" t="n">
        <f aca="false">U16+U17+U18+U19+U20</f>
        <v>849.21253245634</v>
      </c>
      <c r="V21" s="13" t="n">
        <f aca="false">V16+V17+V18+V19+V20</f>
        <v>833.88417709826</v>
      </c>
      <c r="W21" s="13" t="n">
        <f aca="false">W16+W17+W18+W19+W20</f>
        <v>822.476543205151</v>
      </c>
      <c r="X21" s="13" t="n">
        <f aca="false">X16+X17+X18+X19+X20</f>
        <v>812.354643581616</v>
      </c>
      <c r="Y21" s="13" t="n">
        <f aca="false">Y16+Y17+Y18+Y19+Y20</f>
        <v>801.472361301574</v>
      </c>
      <c r="Z21" s="13" t="n">
        <f aca="false">Z16+Z17+Z18+Z19+Z20</f>
        <v>782.884875633585</v>
      </c>
      <c r="AA21" s="13" t="n">
        <f aca="false">AA16+AA17+AA18+AA19+AA20</f>
        <v>766.628851153015</v>
      </c>
      <c r="AB21" s="13" t="n">
        <f aca="false">AB16+AB17+AB18+AB19+AB20</f>
        <v>747.352214841719</v>
      </c>
      <c r="AC21" s="13" t="n">
        <f aca="false">AC16+AC17+AC18+AC19+AC20</f>
        <v>730.012255082363</v>
      </c>
      <c r="AD21" s="13" t="n">
        <f aca="false">AD16+AD17+AD18+AD19+AD20</f>
        <v>698.329817660034</v>
      </c>
      <c r="AE21" s="13" t="n">
        <f aca="false">AE16+AE17+AE18+AE19+AE20</f>
        <v>678.808497116694</v>
      </c>
      <c r="AF21" s="13" t="n">
        <f aca="false">AF16+AF17+AF18+AF19+AF20</f>
        <v>656.745512776678</v>
      </c>
      <c r="AG21" s="13" t="n">
        <f aca="false">AG16+AG17+AG18+AG19+AG20</f>
        <v>635.567699653678</v>
      </c>
      <c r="AH21" s="13" t="n">
        <f aca="false">AH16+AH17+AH18+AH19+AH20</f>
        <v>611.225658856069</v>
      </c>
      <c r="AI21" s="13" t="n">
        <f aca="false">AI16+AI17+AI18+AI19+AI20</f>
        <v>588.613109710988</v>
      </c>
      <c r="AJ21" s="13" t="n">
        <f aca="false">AJ16+AJ17+AJ18+AJ19+AJ20</f>
        <v>562.889733880312</v>
      </c>
      <c r="AK21" s="13" t="n">
        <f aca="false">AK16+AK17+AK18+AK19+AK20</f>
        <v>541.849401260466</v>
      </c>
      <c r="AL21" s="13" t="n">
        <f aca="false">AL16+AL17+AL18+AL19+AL20</f>
        <v>518.157690574218</v>
      </c>
      <c r="AM21" s="13" t="n">
        <f aca="false">AM16+AM17+AM18+AM19+AM20</f>
        <v>500.098827404574</v>
      </c>
      <c r="AN21" s="13" t="n">
        <f aca="false">AN16+AN17+AN18+AN19+AN20</f>
        <v>484.904258117368</v>
      </c>
      <c r="AO21" s="13" t="n">
        <f aca="false">AO16+AO17+AO18+AO19+AO20</f>
        <v>453.760223354291</v>
      </c>
      <c r="AP21" s="13" t="n">
        <f aca="false">AP16+AP17+AP18+AP19+AP20</f>
        <v>438.567427168058</v>
      </c>
      <c r="AQ21" s="13" t="n">
        <f aca="false">AQ16+AQ17+AQ18+AQ19+AQ20</f>
        <v>425.640517743448</v>
      </c>
      <c r="AR21" s="13" t="n">
        <f aca="false">AR16+AR17+AR18+AR19+AR20</f>
        <v>410.79450806452</v>
      </c>
      <c r="AS21" s="13" t="n">
        <f aca="false">AS16+AS17+AS18+AS19+AS20</f>
        <v>397.035369447388</v>
      </c>
      <c r="AT21" s="13" t="n">
        <f aca="false">AT16+AT17+AT18+AT19+AT20</f>
        <v>364.545263425991</v>
      </c>
      <c r="AU21" s="13" t="n">
        <f aca="false">AU16+AU17+AU18+AU19+AU20</f>
        <v>349.957529499743</v>
      </c>
      <c r="AV21" s="13" t="n">
        <f aca="false">AV16+AV17+AV18+AV19+AV20</f>
        <v>334.223226840218</v>
      </c>
      <c r="AW21" s="13" t="n">
        <f aca="false">AW16+AW17+AW18+AW19+AW20</f>
        <v>319.432477060591</v>
      </c>
      <c r="AX21" s="13" t="n">
        <f aca="false">AX16+AX17+AX18+AX19+AX20</f>
        <v>302.429244065242</v>
      </c>
      <c r="AY21" s="13" t="n">
        <f aca="false">AY16+AY17+AY18+AY19+AY20</f>
        <v>287.847928251629</v>
      </c>
      <c r="AZ21" s="13" t="n">
        <f aca="false">AZ16+AZ17+AZ18+AZ19+AZ20</f>
        <v>271.219178104055</v>
      </c>
      <c r="BA21" s="13" t="n">
        <f aca="false">BA16+BA17+BA18+BA19+BA20</f>
        <v>256.448319420373</v>
      </c>
      <c r="BB21" s="13" t="n">
        <f aca="false">BB16+BB17+BB18+BB19+BB20</f>
        <v>236.557570215488</v>
      </c>
      <c r="BC21" s="13" t="n">
        <f aca="false">BC16+BC17+BC18+BC19+BC20</f>
        <v>223.193061510083</v>
      </c>
      <c r="BD21" s="13" t="n">
        <f aca="false">BD16+BD17+BD18+BD19+BD20</f>
        <v>210.811787587137</v>
      </c>
      <c r="BE21" s="13" t="n">
        <f aca="false">BE16+BE17+BE18+BE19+BE20</f>
        <v>199.872179755118</v>
      </c>
      <c r="BF21" s="13" t="n">
        <f aca="false">BF16+BF17+BF18+BF19+BF20</f>
        <v>186.585236523674</v>
      </c>
      <c r="BG21" s="13" t="n">
        <f aca="false">BG16+BG17+BG18+BG19+BG20</f>
        <v>175.905921782558</v>
      </c>
      <c r="BH21" s="13" t="n">
        <f aca="false">BH16+BH17+BH18+BH19+BH20</f>
        <v>163.057847192972</v>
      </c>
      <c r="BI21" s="13" t="n">
        <f aca="false">BI16+BI17+BI18+BI19+BI20</f>
        <v>151.451296167449</v>
      </c>
      <c r="BJ21" s="13" t="n">
        <f aca="false">BJ16+BJ17+BJ18+BJ19+BJ20</f>
        <v>117.681358776586</v>
      </c>
      <c r="BK21" s="13" t="n">
        <f aca="false">BK16+BK17+BK18+BK19+BK20</f>
        <v>105.057964998364</v>
      </c>
      <c r="BL21" s="13" t="n">
        <f aca="false">BL16+BL17+BL18+BL19+BL20</f>
        <v>90.5011656317172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1919</v>
      </c>
      <c r="E22" s="0" t="s">
        <v>151</v>
      </c>
      <c r="J22" s="13" t="n">
        <f aca="false">IF(Time!J20&lt;Time!$F$12,SUMIFS(Funding!$J$73:$BJ$73,Construction!$J$12:$BJ$12,"&lt;="&amp;Time!J20),Debt!J116)</f>
        <v>101.855993628955</v>
      </c>
      <c r="K22" s="13" t="n">
        <f aca="false">IF(Time!K20&lt;Time!$F$12,SUMIFS(Funding!$J$73:$BJ$73,Construction!$J$12:$BJ$12,"&lt;="&amp;Time!K20),Debt!K116)</f>
        <v>174.44510151424</v>
      </c>
      <c r="L22" s="13" t="n">
        <f aca="false">IF(Time!L20&lt;Time!$F$12,SUMIFS(Funding!$J$73:$BJ$73,Construction!$J$12:$BJ$12,"&lt;="&amp;Time!L20),Debt!L116)</f>
        <v>315.080146348246</v>
      </c>
      <c r="M22" s="13" t="n">
        <f aca="false">IF(Time!M20&lt;Time!$F$12,SUMIFS(Funding!$J$73:$BJ$73,Construction!$J$12:$BJ$12,"&lt;="&amp;Time!M20),Debt!M116)</f>
        <v>459.929704282762</v>
      </c>
      <c r="N22" s="13" t="n">
        <f aca="false">IF(Time!N20&lt;Time!$F$12,SUMIFS(Funding!$J$73:$BJ$73,Construction!$J$12:$BJ$12,"&lt;="&amp;Time!N20),Debt!N116)</f>
        <v>541.046357359561</v>
      </c>
      <c r="O22" s="13" t="n">
        <f aca="false">IF(Time!O20&lt;Time!$F$12,SUMIFS(Funding!$J$73:$BJ$73,Construction!$J$12:$BJ$12,"&lt;="&amp;Time!O20),Debt!O116)</f>
        <v>629.94967477845</v>
      </c>
      <c r="P22" s="13" t="n">
        <f aca="false">IF(Time!P20&lt;Time!$F$12,SUMIFS(Funding!$J$73:$BJ$73,Construction!$J$12:$BJ$12,"&lt;="&amp;Time!P20),Debt!P116)</f>
        <v>614.346368508813</v>
      </c>
      <c r="Q22" s="13" t="n">
        <f aca="false">IF(Time!Q20&lt;Time!$F$12,SUMIFS(Funding!$J$73:$BJ$73,Construction!$J$12:$BJ$12,"&lt;="&amp;Time!Q20),Debt!Q116)</f>
        <v>598.130287874959</v>
      </c>
      <c r="R22" s="13" t="n">
        <f aca="false">IF(Time!R20&lt;Time!$F$12,SUMIFS(Funding!$J$73:$BJ$73,Construction!$J$12:$BJ$12,"&lt;="&amp;Time!R20),Debt!R116)</f>
        <v>581.158944579318</v>
      </c>
      <c r="S22" s="13" t="n">
        <f aca="false">IF(Time!S20&lt;Time!$F$12,SUMIFS(Funding!$J$73:$BJ$73,Construction!$J$12:$BJ$12,"&lt;="&amp;Time!S20),Debt!S116)</f>
        <v>563.725440668487</v>
      </c>
      <c r="T22" s="13" t="n">
        <f aca="false">IF(Time!T20&lt;Time!$F$12,SUMIFS(Funding!$J$73:$BJ$73,Construction!$J$12:$BJ$12,"&lt;="&amp;Time!T20),Debt!T116)</f>
        <v>545.527170764112</v>
      </c>
      <c r="U22" s="13" t="n">
        <f aca="false">IF(Time!U20&lt;Time!$F$12,SUMIFS(Funding!$J$73:$BJ$73,Construction!$J$12:$BJ$12,"&lt;="&amp;Time!U20),Debt!U116)</f>
        <v>526.779694941975</v>
      </c>
      <c r="V22" s="13" t="n">
        <f aca="false">IF(Time!V20&lt;Time!$F$12,SUMIFS(Funding!$J$73:$BJ$73,Construction!$J$12:$BJ$12,"&lt;="&amp;Time!V20),Debt!V116)</f>
        <v>506.835789410519</v>
      </c>
      <c r="W22" s="13" t="n">
        <f aca="false">IF(Time!W20&lt;Time!$F$12,SUMIFS(Funding!$J$73:$BJ$73,Construction!$J$12:$BJ$12,"&lt;="&amp;Time!W20),Debt!W116)</f>
        <v>486.302759459492</v>
      </c>
      <c r="X22" s="13" t="n">
        <f aca="false">IF(Time!X20&lt;Time!$F$12,SUMIFS(Funding!$J$73:$BJ$73,Construction!$J$12:$BJ$12,"&lt;="&amp;Time!X20),Debt!X116)</f>
        <v>466.370655892862</v>
      </c>
      <c r="Y22" s="13" t="n">
        <f aca="false">IF(Time!Y20&lt;Time!$F$12,SUMIFS(Funding!$J$73:$BJ$73,Construction!$J$12:$BJ$12,"&lt;="&amp;Time!Y20),Debt!Y116)</f>
        <v>446.475620183114</v>
      </c>
      <c r="Z22" s="13" t="n">
        <f aca="false">IF(Time!Z20&lt;Time!$F$12,SUMIFS(Funding!$J$73:$BJ$73,Construction!$J$12:$BJ$12,"&lt;="&amp;Time!Z20),Debt!Z116)</f>
        <v>425.784409850354</v>
      </c>
      <c r="AA22" s="13" t="n">
        <f aca="false">IF(Time!AA20&lt;Time!$F$12,SUMIFS(Funding!$J$73:$BJ$73,Construction!$J$12:$BJ$12,"&lt;="&amp;Time!AA20),Debt!AA116)</f>
        <v>398.88725417455</v>
      </c>
      <c r="AB22" s="13" t="n">
        <f aca="false">IF(Time!AB20&lt;Time!$F$12,SUMIFS(Funding!$J$73:$BJ$73,Construction!$J$12:$BJ$12,"&lt;="&amp;Time!AB20),Debt!AB116)</f>
        <v>370.361015035689</v>
      </c>
      <c r="AC22" s="13" t="n">
        <f aca="false">IF(Time!AC20&lt;Time!$F$12,SUMIFS(Funding!$J$73:$BJ$73,Construction!$J$12:$BJ$12,"&lt;="&amp;Time!AC20),Debt!AC116)</f>
        <v>341.861950025892</v>
      </c>
      <c r="AD22" s="13" t="n">
        <f aca="false">IF(Time!AD20&lt;Time!$F$12,SUMIFS(Funding!$J$73:$BJ$73,Construction!$J$12:$BJ$12,"&lt;="&amp;Time!AD20),Debt!AD116)</f>
        <v>310.447405217043</v>
      </c>
      <c r="AE22" s="13" t="n">
        <f aca="false">IF(Time!AE20&lt;Time!$F$12,SUMIFS(Funding!$J$73:$BJ$73,Construction!$J$12:$BJ$12,"&lt;="&amp;Time!AE20),Debt!AE116)</f>
        <v>278.015347182887</v>
      </c>
      <c r="AF22" s="13" t="n">
        <f aca="false">IF(Time!AF20&lt;Time!$F$12,SUMIFS(Funding!$J$73:$BJ$73,Construction!$J$12:$BJ$12,"&lt;="&amp;Time!AF20),Debt!AF116)</f>
        <v>244.605285656862</v>
      </c>
      <c r="AG22" s="13" t="n">
        <f aca="false">IF(Time!AG20&lt;Time!$F$12,SUMIFS(Funding!$J$73:$BJ$73,Construction!$J$12:$BJ$12,"&lt;="&amp;Time!AG20),Debt!AG116)</f>
        <v>211.236768649751</v>
      </c>
      <c r="AH22" s="13" t="n">
        <f aca="false">IF(Time!AH20&lt;Time!$F$12,SUMIFS(Funding!$J$73:$BJ$73,Construction!$J$12:$BJ$12,"&lt;="&amp;Time!AH20),Debt!AH116)</f>
        <v>176.428187104321</v>
      </c>
      <c r="AI22" s="13" t="n">
        <f aca="false">IF(Time!AI20&lt;Time!$F$12,SUMIFS(Funding!$J$73:$BJ$73,Construction!$J$12:$BJ$12,"&lt;="&amp;Time!AI20),Debt!AI116)</f>
        <v>141.507096231546</v>
      </c>
      <c r="AJ22" s="13" t="n">
        <f aca="false">IF(Time!AJ20&lt;Time!$F$12,SUMIFS(Funding!$J$73:$BJ$73,Construction!$J$12:$BJ$12,"&lt;="&amp;Time!AJ20),Debt!AJ116)</f>
        <v>105.5473360374</v>
      </c>
      <c r="AK22" s="13" t="n">
        <f aca="false">IF(Time!AK20&lt;Time!$F$12,SUMIFS(Funding!$J$73:$BJ$73,Construction!$J$12:$BJ$12,"&lt;="&amp;Time!AK20),Debt!AK116)</f>
        <v>75.3078220715423</v>
      </c>
      <c r="AL22" s="13" t="n">
        <f aca="false">IF(Time!AL20&lt;Time!$F$12,SUMIFS(Funding!$J$73:$BJ$73,Construction!$J$12:$BJ$12,"&lt;="&amp;Time!AL20),Debt!AL116)</f>
        <v>55.5929867078963</v>
      </c>
      <c r="AM22" s="13" t="n">
        <f aca="false">IF(Time!AM20&lt;Time!$F$12,SUMIFS(Funding!$J$73:$BJ$73,Construction!$J$12:$BJ$12,"&lt;="&amp;Time!AM20),Debt!AM116)</f>
        <v>35.3807954975144</v>
      </c>
      <c r="AN22" s="13" t="n">
        <f aca="false">IF(Time!AN20&lt;Time!$F$12,SUMIFS(Funding!$J$73:$BJ$73,Construction!$J$12:$BJ$12,"&lt;="&amp;Time!AN20),Debt!AN116)</f>
        <v>17.536995021589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1920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29.9045960167012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52.3681519029072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95.7984695023439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142.613042719135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173.270711246074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207.420021481593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203.533106675936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201.599471271218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198.825844103563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196.58121873285</v>
      </c>
      <c r="T23" s="13" t="n">
        <f aca="false">IF(Time!T20&lt;Time!$F$12,SUMIFS(Funding!$J$70:$BJ$70,Construction!$J$12:$BJ$12,"&lt;="&amp;Time!T20)+SUMIFS(Funding!$J$71:$BJ$71,Construction!$J$12:$BJ$12,"&lt;="&amp;Time!T20),Waterfall!T36)</f>
        <v>193.656661965272</v>
      </c>
      <c r="U23" s="13" t="n">
        <f aca="false">IF(Time!U20&lt;Time!$F$12,SUMIFS(Funding!$J$70:$BJ$70,Construction!$J$12:$BJ$12,"&lt;="&amp;Time!U20)+SUMIFS(Funding!$J$71:$BJ$71,Construction!$J$12:$BJ$12,"&lt;="&amp;Time!U20),Waterfall!U36)</f>
        <v>191.45895696925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188.039309216151</v>
      </c>
      <c r="W23" s="13" t="n">
        <f aca="false">IF(Time!W20&lt;Time!$F$12,SUMIFS(Funding!$J$70:$BJ$70,Construction!$J$12:$BJ$12,"&lt;="&amp;Time!W20)+SUMIFS(Funding!$J$71:$BJ$71,Construction!$J$12:$BJ$12,"&lt;="&amp;Time!W20),Waterfall!W36)</f>
        <v>183.576880011241</v>
      </c>
      <c r="X23" s="13" t="n">
        <f aca="false">IF(Time!X20&lt;Time!$F$12,SUMIFS(Funding!$J$70:$BJ$70,Construction!$J$12:$BJ$12,"&lt;="&amp;Time!X20)+SUMIFS(Funding!$J$71:$BJ$71,Construction!$J$12:$BJ$12,"&lt;="&amp;Time!X20),Waterfall!X36)</f>
        <v>180.189120182046</v>
      </c>
      <c r="Y23" s="13" t="n">
        <f aca="false">IF(Time!Y20&lt;Time!$F$12,SUMIFS(Funding!$J$70:$BJ$70,Construction!$J$12:$BJ$12,"&lt;="&amp;Time!Y20)+SUMIFS(Funding!$J$71:$BJ$71,Construction!$J$12:$BJ$12,"&lt;="&amp;Time!Y20),Waterfall!Y36)</f>
        <v>177.286608516557</v>
      </c>
      <c r="Z23" s="13" t="n">
        <f aca="false">IF(Time!Z20&lt;Time!$F$12,SUMIFS(Funding!$J$70:$BJ$70,Construction!$J$12:$BJ$12,"&lt;="&amp;Time!Z20)+SUMIFS(Funding!$J$71:$BJ$71,Construction!$J$12:$BJ$12,"&lt;="&amp;Time!Z20),Waterfall!Z36)</f>
        <v>173.700565348915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176.264200202628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178.176305400823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180.473399246705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181.688786449586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182.272966844291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182.214267407374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181.653235401571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179.917456558263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177.17555876805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172.67695036243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160.636306988369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135.159382572113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108.747285591857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82.2257190411563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40.0848279469183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0.746837388705721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1921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24.2586136114806</v>
      </c>
      <c r="P24" s="13" t="n">
        <f aca="false">Operations!P90+Operations!P91+Operations!P92+Operations!P93+Operations!P94</f>
        <v>24.1665545501825</v>
      </c>
      <c r="Q24" s="13" t="n">
        <f aca="false">Operations!Q90+Operations!Q91+Operations!Q92+Operations!Q93+Operations!Q94</f>
        <v>24.9128763761288</v>
      </c>
      <c r="R24" s="13" t="n">
        <f aca="false">Operations!R90+Operations!R91+Operations!R92+Operations!R93+Operations!R94</f>
        <v>24.4280472491643</v>
      </c>
      <c r="S24" s="13" t="n">
        <f aca="false">Operations!S90+Operations!S91+Operations!S92+Operations!S93+Operations!S94</f>
        <v>25.3252496922635</v>
      </c>
      <c r="T24" s="13" t="n">
        <f aca="false">Operations!T90+Operations!T91+Operations!T92+Operations!T93+Operations!T94</f>
        <v>25.1149775152245</v>
      </c>
      <c r="U24" s="13" t="n">
        <f aca="false">Operations!U90+Operations!U91+Operations!U92+Operations!U93+Operations!U94</f>
        <v>25.5730531022548</v>
      </c>
      <c r="V24" s="13" t="n">
        <f aca="false">Operations!V90+Operations!V91+Operations!V92+Operations!V93+Operations!V94</f>
        <v>24.8334448745975</v>
      </c>
      <c r="W24" s="13" t="n">
        <f aca="false">Operations!W90+Operations!W91+Operations!W92+Operations!W93+Operations!W94</f>
        <v>25.9373513445947</v>
      </c>
      <c r="X24" s="13" t="n">
        <f aca="false">Operations!X90+Operations!X91+Operations!X92+Operations!X93+Operations!X94</f>
        <v>26.1007045679217</v>
      </c>
      <c r="Y24" s="13" t="n">
        <f aca="false">Operations!Y90+Operations!Y91+Operations!Y92+Operations!Y93+Operations!Y94</f>
        <v>26.9071594010118</v>
      </c>
      <c r="Z24" s="13" t="n">
        <f aca="false">Operations!Z90+Operations!Z91+Operations!Z92+Operations!Z93+Operations!Z94</f>
        <v>26.3829029979847</v>
      </c>
      <c r="AA24" s="13" t="n">
        <f aca="false">Operations!AA90+Operations!AA91+Operations!AA92+Operations!AA93+Operations!AA94</f>
        <v>27.3525195367158</v>
      </c>
      <c r="AB24" s="13" t="n">
        <f aca="false">Operations!AB90+Operations!AB91+Operations!AB92+Operations!AB93+Operations!AB94</f>
        <v>27.1251989650173</v>
      </c>
      <c r="AC24" s="13" t="n">
        <f aca="false">Operations!AC90+Operations!AC91+Operations!AC92+Operations!AC93+Operations!AC94</f>
        <v>27.453471397866</v>
      </c>
      <c r="AD24" s="13" t="n">
        <f aca="false">Operations!AD90+Operations!AD91+Operations!AD92+Operations!AD93+Operations!AD94</f>
        <v>26.3311820781173</v>
      </c>
      <c r="AE24" s="13" t="n">
        <f aca="false">Operations!AE90+Operations!AE91+Operations!AE92+Operations!AE93+Operations!AE94</f>
        <v>27.6719748417764</v>
      </c>
      <c r="AF24" s="13" t="n">
        <f aca="false">Operations!AF90+Operations!AF91+Operations!AF92+Operations!AF93+Operations!AF94</f>
        <v>28.1899811249992</v>
      </c>
      <c r="AG24" s="13" t="n">
        <f aca="false">Operations!AG90+Operations!AG91+Operations!AG92+Operations!AG93+Operations!AG94</f>
        <v>29.0613999566973</v>
      </c>
      <c r="AH24" s="13" t="n">
        <f aca="false">Operations!AH90+Operations!AH91+Operations!AH92+Operations!AH93+Operations!AH94</f>
        <v>28.4945254076874</v>
      </c>
      <c r="AI24" s="13" t="n">
        <f aca="false">Operations!AI90+Operations!AI91+Operations!AI92+Operations!AI93+Operations!AI94</f>
        <v>29.5423796488763</v>
      </c>
      <c r="AJ24" s="13" t="n">
        <f aca="false">Operations!AJ90+Operations!AJ91+Operations!AJ92+Operations!AJ93+Operations!AJ94</f>
        <v>29.2966308491916</v>
      </c>
      <c r="AK24" s="13" t="n">
        <f aca="false">Operations!AK90+Operations!AK91+Operations!AK92+Operations!AK93+Operations!AK94</f>
        <v>29.8308247254886</v>
      </c>
      <c r="AL24" s="13" t="n">
        <f aca="false">Operations!AL90+Operations!AL91+Operations!AL92+Operations!AL93+Operations!AL94</f>
        <v>28.9660303950168</v>
      </c>
      <c r="AM24" s="13" t="n">
        <f aca="false">Operations!AM90+Operations!AM91+Operations!AM92+Operations!AM93+Operations!AM94</f>
        <v>30.2555652995079</v>
      </c>
      <c r="AN24" s="13" t="n">
        <f aca="false">Operations!AN90+Operations!AN91+Operations!AN92+Operations!AN93+Operations!AN94</f>
        <v>30.4467896285846</v>
      </c>
      <c r="AO24" s="13" t="n">
        <f aca="false">Operations!AO90+Operations!AO91+Operations!AO92+Operations!AO93+Operations!AO94</f>
        <v>31.3883892738407</v>
      </c>
      <c r="AP24" s="13" t="n">
        <f aca="false">Operations!AP90+Operations!AP91+Operations!AP92+Operations!AP93+Operations!AP94</f>
        <v>30.7754495980045</v>
      </c>
      <c r="AQ24" s="13" t="n">
        <f aca="false">Operations!AQ90+Operations!AQ91+Operations!AQ92+Operations!AQ93+Operations!AQ94</f>
        <v>31.9078305850272</v>
      </c>
      <c r="AR24" s="13" t="n">
        <f aca="false">Operations!AR90+Operations!AR91+Operations!AR92+Operations!AR93+Operations!AR94</f>
        <v>31.6421630396818</v>
      </c>
      <c r="AS24" s="13" t="n">
        <f aca="false">Operations!AS90+Operations!AS91+Operations!AS92+Operations!AS93+Operations!AS94</f>
        <v>32.0244281298117</v>
      </c>
      <c r="AT24" s="13" t="n">
        <f aca="false">Operations!AT90+Operations!AT91+Operations!AT92+Operations!AT93+Operations!AT94</f>
        <v>30.7123951687644</v>
      </c>
      <c r="AU24" s="13" t="n">
        <f aca="false">Operations!AU90+Operations!AU91+Operations!AU92+Operations!AU93+Operations!AU94</f>
        <v>32.2785746681732</v>
      </c>
      <c r="AV24" s="13" t="n">
        <f aca="false">Operations!AV90+Operations!AV91+Operations!AV92+Operations!AV93+Operations!AV94</f>
        <v>32.8845232327764</v>
      </c>
      <c r="AW24" s="13" t="n">
        <f aca="false">Operations!AW90+Operations!AW91+Operations!AW92+Operations!AW93+Operations!AW94</f>
        <v>33.9019369254648</v>
      </c>
      <c r="AX24" s="13" t="n">
        <f aca="false">Operations!AX90+Operations!AX91+Operations!AX92+Operations!AX93+Operations!AX94</f>
        <v>33.2392086611303</v>
      </c>
      <c r="AY24" s="13" t="n">
        <f aca="false">Operations!AY90+Operations!AY91+Operations!AY92+Operations!AY93+Operations!AY94</f>
        <v>34.4629078006078</v>
      </c>
      <c r="AZ24" s="13" t="n">
        <f aca="false">Operations!AZ90+Operations!AZ91+Operations!AZ92+Operations!AZ93+Operations!AZ94</f>
        <v>34.1757115161918</v>
      </c>
      <c r="BA24" s="13" t="n">
        <f aca="false">Operations!BA90+Operations!BA91+Operations!BA92+Operations!BA93+Operations!BA94</f>
        <v>34.7986485106814</v>
      </c>
      <c r="BB24" s="13" t="n">
        <f aca="false">Operations!BB90+Operations!BB91+Operations!BB92+Operations!BB93+Operations!BB94</f>
        <v>33.7876294522977</v>
      </c>
      <c r="BC24" s="13" t="n">
        <f aca="false">Operations!BC90+Operations!BC91+Operations!BC92+Operations!BC93+Operations!BC94</f>
        <v>35.2938596471839</v>
      </c>
      <c r="BD24" s="13" t="n">
        <f aca="false">Operations!BD90+Operations!BD91+Operations!BD92+Operations!BD93+Operations!BD94</f>
        <v>35.5176410401575</v>
      </c>
      <c r="BE24" s="13" t="n">
        <f aca="false">Operations!BE90+Operations!BE91+Operations!BE92+Operations!BE93+Operations!BE94</f>
        <v>36.6169514344385</v>
      </c>
      <c r="BF24" s="13" t="n">
        <f aca="false">Operations!BF90+Operations!BF91+Operations!BF92+Operations!BF93+Operations!BF94</f>
        <v>35.9004126655721</v>
      </c>
      <c r="BG24" s="13" t="n">
        <f aca="false">Operations!BG90+Operations!BG91+Operations!BG92+Operations!BG93+Operations!BG94</f>
        <v>37.2227635586869</v>
      </c>
      <c r="BH24" s="13" t="n">
        <f aca="false">Operations!BH90+Operations!BH91+Operations!BH92+Operations!BH93+Operations!BH94</f>
        <v>36.9122995841322</v>
      </c>
      <c r="BI24" s="13" t="n">
        <f aca="false">Operations!BI90+Operations!BI91+Operations!BI92+Operations!BI93+Operations!BI94</f>
        <v>37.357443312395</v>
      </c>
      <c r="BJ24" s="13" t="n">
        <f aca="false">Operations!BJ90+Operations!BJ91+Operations!BJ92+Operations!BJ93+Operations!BJ94</f>
        <v>35.8238140484636</v>
      </c>
      <c r="BK24" s="13" t="n">
        <f aca="false">Operations!BK90+Operations!BK91+Operations!BK92+Operations!BK93+Operations!BK94</f>
        <v>37.653080539787</v>
      </c>
      <c r="BL24" s="13" t="n">
        <f aca="false">Operations!BL90+Operations!BL91+Operations!BL92+Operations!BL93+Operations!BL94</f>
        <v>38.3617524515271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1922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4.37490575449596</v>
      </c>
      <c r="AL25" s="13" t="n">
        <f aca="false">MAX(0,AL12)</f>
        <v>11.1969156724157</v>
      </c>
      <c r="AM25" s="13" t="n">
        <f aca="false">MAX(0,AM12)</f>
        <v>19.4929590123233</v>
      </c>
      <c r="AN25" s="13" t="n">
        <f aca="false">MAX(0,AN12)</f>
        <v>28.3010019521068</v>
      </c>
      <c r="AO25" s="13" t="n">
        <f aca="false">MAX(0,AO12)</f>
        <v>33.9599740968645</v>
      </c>
      <c r="AP25" s="13" t="n">
        <f aca="false">MAX(0,AP12)</f>
        <v>34.9637171736191</v>
      </c>
      <c r="AQ25" s="13" t="n">
        <f aca="false">MAX(0,AQ12)</f>
        <v>35.9674602503737</v>
      </c>
      <c r="AR25" s="13" t="n">
        <f aca="false">MAX(0,AR12)</f>
        <v>36.9712033271283</v>
      </c>
      <c r="AS25" s="13" t="n">
        <f aca="false">MAX(0,AS12)</f>
        <v>37.9749464038829</v>
      </c>
      <c r="AT25" s="13" t="n">
        <f aca="false">MAX(0,AT12)</f>
        <v>38.9786894806375</v>
      </c>
      <c r="AU25" s="13" t="n">
        <f aca="false">MAX(0,AU12)</f>
        <v>39.9824325573922</v>
      </c>
      <c r="AV25" s="13" t="n">
        <f aca="false">MAX(0,AV12)</f>
        <v>40.9861756341468</v>
      </c>
      <c r="AW25" s="13" t="n">
        <f aca="false">MAX(0,AW12)</f>
        <v>41.9899187109014</v>
      </c>
      <c r="AX25" s="13" t="n">
        <f aca="false">MAX(0,AX12)</f>
        <v>42.993661787656</v>
      </c>
      <c r="AY25" s="13" t="n">
        <f aca="false">MAX(0,AY12)</f>
        <v>43.9974048644106</v>
      </c>
      <c r="AZ25" s="13" t="n">
        <f aca="false">MAX(0,AZ12)</f>
        <v>45.0011479411652</v>
      </c>
      <c r="BA25" s="13" t="n">
        <f aca="false">MAX(0,BA12)</f>
        <v>46.0048910179198</v>
      </c>
      <c r="BB25" s="13" t="n">
        <f aca="false">MAX(0,BB12)</f>
        <v>47.0086340946745</v>
      </c>
      <c r="BC25" s="13" t="n">
        <f aca="false">MAX(0,BC12)</f>
        <v>46.0885362743161</v>
      </c>
      <c r="BD25" s="13" t="n">
        <f aca="false">MAX(0,BD12)</f>
        <v>41.3207566597317</v>
      </c>
      <c r="BE25" s="13" t="n">
        <f aca="false">MAX(0,BE12)</f>
        <v>36.5529770451472</v>
      </c>
      <c r="BF25" s="13" t="n">
        <f aca="false">MAX(0,BF12)</f>
        <v>31.7851974305628</v>
      </c>
      <c r="BG25" s="13" t="n">
        <f aca="false">MAX(0,BG12)</f>
        <v>27.0174178159784</v>
      </c>
      <c r="BH25" s="13" t="n">
        <f aca="false">MAX(0,BH12)</f>
        <v>22.249638201394</v>
      </c>
      <c r="BI25" s="13" t="n">
        <f aca="false">MAX(0,BI12)</f>
        <v>17.4818585868096</v>
      </c>
      <c r="BJ25" s="13" t="n">
        <f aca="false">MAX(0,BJ12)</f>
        <v>12.7140789722252</v>
      </c>
      <c r="BK25" s="13" t="n">
        <f aca="false">MAX(0,BK12)</f>
        <v>7.94629935764073</v>
      </c>
      <c r="BL25" s="13" t="n">
        <f aca="false">MAX(0,BL12)</f>
        <v>3.17851974305632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7.2631459824364</v>
      </c>
      <c r="K26" s="13" t="n">
        <f aca="false">SUMIFS(Funding!$J$69:$BJ$69,Construction!$J$12:$BJ$12,"&lt;="&amp;Time!K20)</f>
        <v>12.4393292243009</v>
      </c>
      <c r="L26" s="13" t="n">
        <f aca="false">SUMIFS(Funding!$J$69:$BJ$69,Construction!$J$12:$BJ$12,"&lt;="&amp;Time!L20)</f>
        <v>22.4677313289121</v>
      </c>
      <c r="M26" s="13" t="n">
        <f aca="false">SUMIFS(Funding!$J$69:$BJ$69,Construction!$J$12:$BJ$12,"&lt;="&amp;Time!M20)</f>
        <v>32.7966618835761</v>
      </c>
      <c r="N26" s="13" t="n">
        <f aca="false">SUMIFS(Funding!$J$69:$BJ$69,Construction!$J$12:$BJ$12,"&lt;="&amp;Time!N20)</f>
        <v>38.5809272165487</v>
      </c>
      <c r="O26" s="13" t="n">
        <f aca="false">SUMIFS(Funding!$J$69:$BJ$69,Construction!$J$12:$BJ$12,"&lt;="&amp;Time!O20)</f>
        <v>44.920443917829</v>
      </c>
      <c r="P26" s="13" t="n">
        <f aca="false">SUMIFS(Funding!$J$69:$BJ$69,Construction!$J$12:$BJ$12,"&lt;="&amp;Time!P20)</f>
        <v>44.920443917829</v>
      </c>
      <c r="Q26" s="13" t="n">
        <f aca="false">SUMIFS(Funding!$J$69:$BJ$69,Construction!$J$12:$BJ$12,"&lt;="&amp;Time!Q20)</f>
        <v>44.920443917829</v>
      </c>
      <c r="R26" s="13" t="n">
        <f aca="false">SUMIFS(Funding!$J$69:$BJ$69,Construction!$J$12:$BJ$12,"&lt;="&amp;Time!R20)</f>
        <v>44.920443917829</v>
      </c>
      <c r="S26" s="13" t="n">
        <f aca="false">SUMIFS(Funding!$J$69:$BJ$69,Construction!$J$12:$BJ$12,"&lt;="&amp;Time!S20)</f>
        <v>44.920443917829</v>
      </c>
      <c r="T26" s="13" t="n">
        <f aca="false">SUMIFS(Funding!$J$69:$BJ$69,Construction!$J$12:$BJ$12,"&lt;="&amp;Time!T20)</f>
        <v>44.920443917829</v>
      </c>
      <c r="U26" s="13" t="n">
        <f aca="false">SUMIFS(Funding!$J$69:$BJ$69,Construction!$J$12:$BJ$12,"&lt;="&amp;Time!U20)</f>
        <v>44.920443917829</v>
      </c>
      <c r="V26" s="13" t="n">
        <f aca="false">SUMIFS(Funding!$J$69:$BJ$69,Construction!$J$12:$BJ$12,"&lt;="&amp;Time!V20)</f>
        <v>44.920443917829</v>
      </c>
      <c r="W26" s="13" t="n">
        <f aca="false">SUMIFS(Funding!$J$69:$BJ$69,Construction!$J$12:$BJ$12,"&lt;="&amp;Time!W20)</f>
        <v>44.920443917829</v>
      </c>
      <c r="X26" s="13" t="n">
        <f aca="false">SUMIFS(Funding!$J$69:$BJ$69,Construction!$J$12:$BJ$12,"&lt;="&amp;Time!X20)</f>
        <v>44.920443917829</v>
      </c>
      <c r="Y26" s="13" t="n">
        <f aca="false">SUMIFS(Funding!$J$69:$BJ$69,Construction!$J$12:$BJ$12,"&lt;="&amp;Time!Y20)</f>
        <v>44.920443917829</v>
      </c>
      <c r="Z26" s="13" t="n">
        <f aca="false">SUMIFS(Funding!$J$69:$BJ$69,Construction!$J$12:$BJ$12,"&lt;="&amp;Time!Z20)</f>
        <v>44.920443917829</v>
      </c>
      <c r="AA26" s="13" t="n">
        <f aca="false">SUMIFS(Funding!$J$69:$BJ$69,Construction!$J$12:$BJ$12,"&lt;="&amp;Time!AA20)</f>
        <v>44.920443917829</v>
      </c>
      <c r="AB26" s="13" t="n">
        <f aca="false">SUMIFS(Funding!$J$69:$BJ$69,Construction!$J$12:$BJ$12,"&lt;="&amp;Time!AB20)</f>
        <v>44.920443917829</v>
      </c>
      <c r="AC26" s="13" t="n">
        <f aca="false">SUMIFS(Funding!$J$69:$BJ$69,Construction!$J$12:$BJ$12,"&lt;="&amp;Time!AC20)</f>
        <v>44.920443917829</v>
      </c>
      <c r="AD26" s="13" t="n">
        <f aca="false">SUMIFS(Funding!$J$69:$BJ$69,Construction!$J$12:$BJ$12,"&lt;="&amp;Time!AD20)</f>
        <v>44.920443917829</v>
      </c>
      <c r="AE26" s="13" t="n">
        <f aca="false">SUMIFS(Funding!$J$69:$BJ$69,Construction!$J$12:$BJ$12,"&lt;="&amp;Time!AE20)</f>
        <v>44.920443917829</v>
      </c>
      <c r="AF26" s="13" t="n">
        <f aca="false">SUMIFS(Funding!$J$69:$BJ$69,Construction!$J$12:$BJ$12,"&lt;="&amp;Time!AF20)</f>
        <v>44.920443917829</v>
      </c>
      <c r="AG26" s="13" t="n">
        <f aca="false">SUMIFS(Funding!$J$69:$BJ$69,Construction!$J$12:$BJ$12,"&lt;="&amp;Time!AG20)</f>
        <v>44.920443917829</v>
      </c>
      <c r="AH26" s="13" t="n">
        <f aca="false">SUMIFS(Funding!$J$69:$BJ$69,Construction!$J$12:$BJ$12,"&lt;="&amp;Time!AH20)</f>
        <v>44.920443917829</v>
      </c>
      <c r="AI26" s="13" t="n">
        <f aca="false">SUMIFS(Funding!$J$69:$BJ$69,Construction!$J$12:$BJ$12,"&lt;="&amp;Time!AI20)</f>
        <v>44.920443917829</v>
      </c>
      <c r="AJ26" s="13" t="n">
        <f aca="false">SUMIFS(Funding!$J$69:$BJ$69,Construction!$J$12:$BJ$12,"&lt;="&amp;Time!AJ20)</f>
        <v>44.920443917829</v>
      </c>
      <c r="AK26" s="13" t="n">
        <f aca="false">SUMIFS(Funding!$J$69:$BJ$69,Construction!$J$12:$BJ$12,"&lt;="&amp;Time!AK20)</f>
        <v>44.920443917829</v>
      </c>
      <c r="AL26" s="13" t="n">
        <f aca="false">SUMIFS(Funding!$J$69:$BJ$69,Construction!$J$12:$BJ$12,"&lt;="&amp;Time!AL20)</f>
        <v>44.920443917829</v>
      </c>
      <c r="AM26" s="13" t="n">
        <f aca="false">SUMIFS(Funding!$J$69:$BJ$69,Construction!$J$12:$BJ$12,"&lt;="&amp;Time!AM20)</f>
        <v>44.920443917829</v>
      </c>
      <c r="AN26" s="13" t="n">
        <f aca="false">SUMIFS(Funding!$J$69:$BJ$69,Construction!$J$12:$BJ$12,"&lt;="&amp;Time!AN20)</f>
        <v>44.920443917829</v>
      </c>
      <c r="AO26" s="13" t="n">
        <f aca="false">SUMIFS(Funding!$J$69:$BJ$69,Construction!$J$12:$BJ$12,"&lt;="&amp;Time!AO20)</f>
        <v>44.920443917829</v>
      </c>
      <c r="AP26" s="13" t="n">
        <f aca="false">SUMIFS(Funding!$J$69:$BJ$69,Construction!$J$12:$BJ$12,"&lt;="&amp;Time!AP20)</f>
        <v>44.920443917829</v>
      </c>
      <c r="AQ26" s="13" t="n">
        <f aca="false">SUMIFS(Funding!$J$69:$BJ$69,Construction!$J$12:$BJ$12,"&lt;="&amp;Time!AQ20)</f>
        <v>44.920443917829</v>
      </c>
      <c r="AR26" s="13" t="n">
        <f aca="false">SUMIFS(Funding!$J$69:$BJ$69,Construction!$J$12:$BJ$12,"&lt;="&amp;Time!AR20)</f>
        <v>44.920443917829</v>
      </c>
      <c r="AS26" s="13" t="n">
        <f aca="false">SUMIFS(Funding!$J$69:$BJ$69,Construction!$J$12:$BJ$12,"&lt;="&amp;Time!AS20)</f>
        <v>44.920443917829</v>
      </c>
      <c r="AT26" s="13" t="n">
        <f aca="false">SUMIFS(Funding!$J$69:$BJ$69,Construction!$J$12:$BJ$12,"&lt;="&amp;Time!AT20)</f>
        <v>44.920443917829</v>
      </c>
      <c r="AU26" s="13" t="n">
        <f aca="false">SUMIFS(Funding!$J$69:$BJ$69,Construction!$J$12:$BJ$12,"&lt;="&amp;Time!AU20)</f>
        <v>44.920443917829</v>
      </c>
      <c r="AV26" s="13" t="n">
        <f aca="false">SUMIFS(Funding!$J$69:$BJ$69,Construction!$J$12:$BJ$12,"&lt;="&amp;Time!AV20)</f>
        <v>44.920443917829</v>
      </c>
      <c r="AW26" s="13" t="n">
        <f aca="false">SUMIFS(Funding!$J$69:$BJ$69,Construction!$J$12:$BJ$12,"&lt;="&amp;Time!AW20)</f>
        <v>44.920443917829</v>
      </c>
      <c r="AX26" s="13" t="n">
        <f aca="false">SUMIFS(Funding!$J$69:$BJ$69,Construction!$J$12:$BJ$12,"&lt;="&amp;Time!AX20)</f>
        <v>44.920443917829</v>
      </c>
      <c r="AY26" s="13" t="n">
        <f aca="false">SUMIFS(Funding!$J$69:$BJ$69,Construction!$J$12:$BJ$12,"&lt;="&amp;Time!AY20)</f>
        <v>44.920443917829</v>
      </c>
      <c r="AZ26" s="13" t="n">
        <f aca="false">SUMIFS(Funding!$J$69:$BJ$69,Construction!$J$12:$BJ$12,"&lt;="&amp;Time!AZ20)</f>
        <v>44.920443917829</v>
      </c>
      <c r="BA26" s="13" t="n">
        <f aca="false">SUMIFS(Funding!$J$69:$BJ$69,Construction!$J$12:$BJ$12,"&lt;="&amp;Time!BA20)</f>
        <v>44.920443917829</v>
      </c>
      <c r="BB26" s="13" t="n">
        <f aca="false">SUMIFS(Funding!$J$69:$BJ$69,Construction!$J$12:$BJ$12,"&lt;="&amp;Time!BB20)</f>
        <v>44.920443917829</v>
      </c>
      <c r="BC26" s="13" t="n">
        <f aca="false">SUMIFS(Funding!$J$69:$BJ$69,Construction!$J$12:$BJ$12,"&lt;="&amp;Time!BC20)</f>
        <v>44.920443917829</v>
      </c>
      <c r="BD26" s="13" t="n">
        <f aca="false">SUMIFS(Funding!$J$69:$BJ$69,Construction!$J$12:$BJ$12,"&lt;="&amp;Time!BD20)</f>
        <v>44.920443917829</v>
      </c>
      <c r="BE26" s="13" t="n">
        <f aca="false">SUMIFS(Funding!$J$69:$BJ$69,Construction!$J$12:$BJ$12,"&lt;="&amp;Time!BE20)</f>
        <v>44.920443917829</v>
      </c>
      <c r="BF26" s="13" t="n">
        <f aca="false">SUMIFS(Funding!$J$69:$BJ$69,Construction!$J$12:$BJ$12,"&lt;="&amp;Time!BF20)</f>
        <v>44.920443917829</v>
      </c>
      <c r="BG26" s="13" t="n">
        <f aca="false">SUMIFS(Funding!$J$69:$BJ$69,Construction!$J$12:$BJ$12,"&lt;="&amp;Time!BG20)</f>
        <v>44.920443917829</v>
      </c>
      <c r="BH26" s="13" t="n">
        <f aca="false">SUMIFS(Funding!$J$69:$BJ$69,Construction!$J$12:$BJ$12,"&lt;="&amp;Time!BH20)</f>
        <v>44.920443917829</v>
      </c>
      <c r="BI26" s="13" t="n">
        <f aca="false">SUMIFS(Funding!$J$69:$BJ$69,Construction!$J$12:$BJ$12,"&lt;="&amp;Time!BI20)</f>
        <v>44.920443917829</v>
      </c>
      <c r="BJ26" s="13" t="n">
        <f aca="false">SUMIFS(Funding!$J$69:$BJ$69,Construction!$J$12:$BJ$12,"&lt;="&amp;Time!BJ20)</f>
        <v>44.920443917829</v>
      </c>
      <c r="BK26" s="13" t="n">
        <f aca="false">SUMIFS(Funding!$J$69:$BJ$69,Construction!$J$12:$BJ$12,"&lt;="&amp;Time!BK20)</f>
        <v>44.920443917829</v>
      </c>
      <c r="BL26" s="13" t="n">
        <f aca="false">SUMIFS(Funding!$J$69:$BJ$69,Construction!$J$12:$BJ$12,"&lt;="&amp;Time!BL20)</f>
        <v>44.920443917829</v>
      </c>
      <c r="BM26" s="13" t="n">
        <f aca="false">SUMIFS(Funding!$J$69:$BJ$69,Construction!$J$12:$BJ$12,"&lt;="&amp;Time!BM20)</f>
        <v>44.920443917829</v>
      </c>
      <c r="BN26" s="13" t="n">
        <f aca="false">SUMIFS(Funding!$J$69:$BJ$69,Construction!$J$12:$BJ$12,"&lt;="&amp;Time!BN20)</f>
        <v>44.920443917829</v>
      </c>
    </row>
    <row r="27" customFormat="false" ht="15" hidden="false" customHeight="false" outlineLevel="0" collapsed="false">
      <c r="D27" s="0" t="s">
        <v>1923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9.40719520040312</v>
      </c>
      <c r="P27" s="18" t="n">
        <f aca="false">Waterfall!P43</f>
        <v>15.7747658485408</v>
      </c>
      <c r="Q27" s="18" t="n">
        <f aca="false">Waterfall!Q43</f>
        <v>23.3847609639752</v>
      </c>
      <c r="R27" s="18" t="n">
        <f aca="false">Waterfall!R43</f>
        <v>31.3518278796987</v>
      </c>
      <c r="S27" s="18" t="n">
        <f aca="false">Waterfall!S43</f>
        <v>40.4434199583014</v>
      </c>
      <c r="T27" s="18" t="n">
        <f aca="false">Waterfall!T43</f>
        <v>49.9000589107369</v>
      </c>
      <c r="U27" s="18" t="n">
        <f aca="false">Waterfall!U43</f>
        <v>60.4803835250317</v>
      </c>
      <c r="V27" s="18" t="n">
        <f aca="false">Waterfall!V43</f>
        <v>69.2551896791633</v>
      </c>
      <c r="W27" s="18" t="n">
        <f aca="false">Waterfall!W43</f>
        <v>81.739108471995</v>
      </c>
      <c r="X27" s="18" t="n">
        <f aca="false">Waterfall!X43</f>
        <v>94.7737190209574</v>
      </c>
      <c r="Y27" s="18" t="n">
        <f aca="false">Waterfall!Y43</f>
        <v>105.882529283063</v>
      </c>
      <c r="Z27" s="18" t="n">
        <f aca="false">Waterfall!Z43</f>
        <v>112.096553518502</v>
      </c>
      <c r="AA27" s="18" t="n">
        <f aca="false">Waterfall!AA43</f>
        <v>119.204433321292</v>
      </c>
      <c r="AB27" s="18" t="n">
        <f aca="false">Waterfall!AB43</f>
        <v>126.769251522361</v>
      </c>
      <c r="AC27" s="18" t="n">
        <f aca="false">Waterfall!AC43</f>
        <v>135.302990494071</v>
      </c>
      <c r="AD27" s="18" t="n">
        <f aca="false">Waterfall!AD43</f>
        <v>134.941999997459</v>
      </c>
      <c r="AE27" s="18" t="n">
        <f aca="false">Waterfall!AE43</f>
        <v>145.927764329911</v>
      </c>
      <c r="AF27" s="18" t="n">
        <f aca="false">Waterfall!AF43</f>
        <v>156.815534669614</v>
      </c>
      <c r="AG27" s="18" t="n">
        <f aca="false">Waterfall!AG43</f>
        <v>168.69585172783</v>
      </c>
      <c r="AH27" s="18" t="n">
        <f aca="false">Waterfall!AH43</f>
        <v>181.465045867969</v>
      </c>
      <c r="AI27" s="18" t="n">
        <f aca="false">Waterfall!AI43</f>
        <v>195.467631144687</v>
      </c>
      <c r="AJ27" s="18" t="n">
        <f aca="false">Waterfall!AJ43</f>
        <v>210.448372713461</v>
      </c>
      <c r="AK27" s="18" t="n">
        <f aca="false">Waterfall!AK43</f>
        <v>226.779097802741</v>
      </c>
      <c r="AL27" s="18" t="n">
        <f aca="false">Waterfall!AL43</f>
        <v>242.321931308947</v>
      </c>
      <c r="AM27" s="18" t="n">
        <f aca="false">Waterfall!AM43</f>
        <v>261.301778085542</v>
      </c>
      <c r="AN27" s="18" t="n">
        <f aca="false">Waterfall!AN43</f>
        <v>281.473308556102</v>
      </c>
      <c r="AO27" s="18" t="n">
        <f aca="false">Waterfall!AO43</f>
        <v>303.406588118838</v>
      </c>
      <c r="AP27" s="18" t="n">
        <f aca="false">Waterfall!AP43</f>
        <v>327.1609790899</v>
      </c>
      <c r="AQ27" s="18" t="n">
        <f aca="false">Waterfall!AQ43</f>
        <v>312.844782990218</v>
      </c>
      <c r="AR27" s="18" t="n">
        <f aca="false">Waterfall!AR43</f>
        <v>297.260697779881</v>
      </c>
      <c r="AS27" s="18" t="n">
        <f aca="false">Waterfall!AS43</f>
        <v>282.115550995864</v>
      </c>
      <c r="AT27" s="18" t="n">
        <f aca="false">Waterfall!AT43</f>
        <v>249.93373485876</v>
      </c>
      <c r="AU27" s="18" t="n">
        <f aca="false">Waterfall!AU43</f>
        <v>232.776078356348</v>
      </c>
      <c r="AV27" s="18" t="n">
        <f aca="false">Waterfall!AV43</f>
        <v>215.432084055466</v>
      </c>
      <c r="AW27" s="18" t="n">
        <f aca="false">Waterfall!AW43</f>
        <v>198.620177506396</v>
      </c>
      <c r="AX27" s="18" t="n">
        <f aca="false">Waterfall!AX43</f>
        <v>181.275929698627</v>
      </c>
      <c r="AY27" s="18" t="n">
        <f aca="false">Waterfall!AY43</f>
        <v>164.467171668781</v>
      </c>
      <c r="AZ27" s="18" t="n">
        <f aca="false">Waterfall!AZ43</f>
        <v>147.121874728869</v>
      </c>
      <c r="BA27" s="18" t="n">
        <f aca="false">Waterfall!BA43</f>
        <v>130.724335973942</v>
      </c>
      <c r="BB27" s="18" t="n">
        <f aca="false">Waterfall!BB43</f>
        <v>110.840862750687</v>
      </c>
      <c r="BC27" s="18" t="n">
        <f aca="false">Waterfall!BC43</f>
        <v>96.8902216707543</v>
      </c>
      <c r="BD27" s="18" t="n">
        <f aca="false">Waterfall!BD43</f>
        <v>89.0529459694189</v>
      </c>
      <c r="BE27" s="18" t="n">
        <f aca="false">Waterfall!BE43</f>
        <v>81.7818073577034</v>
      </c>
      <c r="BF27" s="18" t="n">
        <f aca="false">Waterfall!BF43</f>
        <v>73.9791825097102</v>
      </c>
      <c r="BG27" s="18" t="n">
        <f aca="false">Waterfall!BG43</f>
        <v>66.7452964900642</v>
      </c>
      <c r="BH27" s="18" t="n">
        <f aca="false">Waterfall!BH43</f>
        <v>58.9754654896171</v>
      </c>
      <c r="BI27" s="18" t="n">
        <f aca="false">Waterfall!BI43</f>
        <v>51.6915503504153</v>
      </c>
      <c r="BJ27" s="18" t="n">
        <f aca="false">Waterfall!BJ43</f>
        <v>24.2230218380687</v>
      </c>
      <c r="BK27" s="18" t="n">
        <f aca="false">Waterfall!BK43</f>
        <v>14.5381411831076</v>
      </c>
      <c r="BL27" s="18" t="n">
        <f aca="false">Waterfall!BL43</f>
        <v>4.0404495193048</v>
      </c>
      <c r="BM27" s="18" t="n">
        <f aca="false">Waterfall!BM43</f>
        <v>-44.9204439178289</v>
      </c>
      <c r="BN27" s="18" t="n">
        <f aca="false">Waterfall!BN43</f>
        <v>-44.9204439178289</v>
      </c>
    </row>
    <row r="28" customFormat="false" ht="15" hidden="false" customHeight="false" outlineLevel="0" collapsed="false">
      <c r="D28" s="0" t="s">
        <v>1924</v>
      </c>
      <c r="E28" s="0" t="s">
        <v>151</v>
      </c>
      <c r="J28" s="13" t="n">
        <f aca="false">J22+J23+J24+J25+J26+J27</f>
        <v>139.023735628092</v>
      </c>
      <c r="K28" s="13" t="n">
        <f aca="false">K22+K23+K24+K25+K26+K27</f>
        <v>239.252582641448</v>
      </c>
      <c r="L28" s="13" t="n">
        <f aca="false">L22+L23+L24+L25+L26+L27</f>
        <v>433.346347179502</v>
      </c>
      <c r="M28" s="13" t="n">
        <f aca="false">M22+M23+M24+M25+M26+M27</f>
        <v>635.339408885473</v>
      </c>
      <c r="N28" s="13" t="n">
        <f aca="false">N22+N23+N24+N25+N26+N27</f>
        <v>752.897995822184</v>
      </c>
      <c r="O28" s="13" t="n">
        <f aca="false">O22+O23+O24+O25+O26+O27</f>
        <v>915.955948989755</v>
      </c>
      <c r="P28" s="13" t="n">
        <f aca="false">P22+P23+P24+P25+P26+P27</f>
        <v>902.741239501301</v>
      </c>
      <c r="Q28" s="13" t="n">
        <f aca="false">Q22+Q23+Q24+Q25+Q26+Q27</f>
        <v>892.947840404111</v>
      </c>
      <c r="R28" s="13" t="n">
        <f aca="false">R22+R23+R24+R25+R26+R27</f>
        <v>880.685107729573</v>
      </c>
      <c r="S28" s="13" t="n">
        <f aca="false">S22+S23+S24+S25+S26+S27</f>
        <v>870.995772969731</v>
      </c>
      <c r="T28" s="13" t="n">
        <f aca="false">T22+T23+T24+T25+T26+T27</f>
        <v>859.119313073175</v>
      </c>
      <c r="U28" s="13" t="n">
        <f aca="false">U22+U23+U24+U25+U26+U27</f>
        <v>849.21253245634</v>
      </c>
      <c r="V28" s="13" t="n">
        <f aca="false">V22+V23+V24+V25+V26+V27</f>
        <v>833.88417709826</v>
      </c>
      <c r="W28" s="13" t="n">
        <f aca="false">W22+W23+W24+W25+W26+W27</f>
        <v>822.476543205151</v>
      </c>
      <c r="X28" s="13" t="n">
        <f aca="false">X22+X23+X24+X25+X26+X27</f>
        <v>812.354643581616</v>
      </c>
      <c r="Y28" s="13" t="n">
        <f aca="false">Y22+Y23+Y24+Y25+Y26+Y27</f>
        <v>801.472361301574</v>
      </c>
      <c r="Z28" s="13" t="n">
        <f aca="false">Z22+Z23+Z24+Z25+Z26+Z27</f>
        <v>782.884875633585</v>
      </c>
      <c r="AA28" s="13" t="n">
        <f aca="false">AA22+AA23+AA24+AA25+AA26+AA27</f>
        <v>766.628851153015</v>
      </c>
      <c r="AB28" s="13" t="n">
        <f aca="false">AB22+AB23+AB24+AB25+AB26+AB27</f>
        <v>747.352214841719</v>
      </c>
      <c r="AC28" s="13" t="n">
        <f aca="false">AC22+AC23+AC24+AC25+AC26+AC27</f>
        <v>730.012255082363</v>
      </c>
      <c r="AD28" s="13" t="n">
        <f aca="false">AD22+AD23+AD24+AD25+AD26+AD27</f>
        <v>698.329817660034</v>
      </c>
      <c r="AE28" s="13" t="n">
        <f aca="false">AE22+AE23+AE24+AE25+AE26+AE27</f>
        <v>678.808497116694</v>
      </c>
      <c r="AF28" s="13" t="n">
        <f aca="false">AF22+AF23+AF24+AF25+AF26+AF27</f>
        <v>656.745512776678</v>
      </c>
      <c r="AG28" s="13" t="n">
        <f aca="false">AG22+AG23+AG24+AG25+AG26+AG27</f>
        <v>635.567699653678</v>
      </c>
      <c r="AH28" s="13" t="n">
        <f aca="false">AH22+AH23+AH24+AH25+AH26+AH27</f>
        <v>611.225658856069</v>
      </c>
      <c r="AI28" s="13" t="n">
        <f aca="false">AI22+AI23+AI24+AI25+AI26+AI27</f>
        <v>588.613109710988</v>
      </c>
      <c r="AJ28" s="13" t="n">
        <f aca="false">AJ22+AJ23+AJ24+AJ25+AJ26+AJ27</f>
        <v>562.889733880312</v>
      </c>
      <c r="AK28" s="13" t="n">
        <f aca="false">AK22+AK23+AK24+AK25+AK26+AK27</f>
        <v>541.849401260466</v>
      </c>
      <c r="AL28" s="13" t="n">
        <f aca="false">AL22+AL23+AL24+AL25+AL26+AL27</f>
        <v>518.157690574218</v>
      </c>
      <c r="AM28" s="13" t="n">
        <f aca="false">AM22+AM23+AM24+AM25+AM26+AM27</f>
        <v>500.098827404574</v>
      </c>
      <c r="AN28" s="13" t="n">
        <f aca="false">AN22+AN23+AN24+AN25+AN26+AN27</f>
        <v>484.904258117368</v>
      </c>
      <c r="AO28" s="13" t="n">
        <f aca="false">AO22+AO23+AO24+AO25+AO26+AO27</f>
        <v>453.760223354291</v>
      </c>
      <c r="AP28" s="13" t="n">
        <f aca="false">AP22+AP23+AP24+AP25+AP26+AP27</f>
        <v>438.567427168058</v>
      </c>
      <c r="AQ28" s="13" t="n">
        <f aca="false">AQ22+AQ23+AQ24+AQ25+AQ26+AQ27</f>
        <v>425.640517743448</v>
      </c>
      <c r="AR28" s="13" t="n">
        <f aca="false">AR22+AR23+AR24+AR25+AR26+AR27</f>
        <v>410.79450806452</v>
      </c>
      <c r="AS28" s="13" t="n">
        <f aca="false">AS22+AS23+AS24+AS25+AS26+AS27</f>
        <v>397.035369447388</v>
      </c>
      <c r="AT28" s="13" t="n">
        <f aca="false">AT22+AT23+AT24+AT25+AT26+AT27</f>
        <v>364.545263425991</v>
      </c>
      <c r="AU28" s="13" t="n">
        <f aca="false">AU22+AU23+AU24+AU25+AU26+AU27</f>
        <v>349.957529499743</v>
      </c>
      <c r="AV28" s="13" t="n">
        <f aca="false">AV22+AV23+AV24+AV25+AV26+AV27</f>
        <v>334.223226840218</v>
      </c>
      <c r="AW28" s="13" t="n">
        <f aca="false">AW22+AW23+AW24+AW25+AW26+AW27</f>
        <v>319.432477060591</v>
      </c>
      <c r="AX28" s="13" t="n">
        <f aca="false">AX22+AX23+AX24+AX25+AX26+AX27</f>
        <v>302.429244065242</v>
      </c>
      <c r="AY28" s="13" t="n">
        <f aca="false">AY22+AY23+AY24+AY25+AY26+AY27</f>
        <v>287.847928251629</v>
      </c>
      <c r="AZ28" s="13" t="n">
        <f aca="false">AZ22+AZ23+AZ24+AZ25+AZ26+AZ27</f>
        <v>271.219178104055</v>
      </c>
      <c r="BA28" s="13" t="n">
        <f aca="false">BA22+BA23+BA24+BA25+BA26+BA27</f>
        <v>256.448319420373</v>
      </c>
      <c r="BB28" s="13" t="n">
        <f aca="false">BB22+BB23+BB24+BB25+BB26+BB27</f>
        <v>236.557570215488</v>
      </c>
      <c r="BC28" s="13" t="n">
        <f aca="false">BC22+BC23+BC24+BC25+BC26+BC27</f>
        <v>223.193061510083</v>
      </c>
      <c r="BD28" s="13" t="n">
        <f aca="false">BD22+BD23+BD24+BD25+BD26+BD27</f>
        <v>210.811787587137</v>
      </c>
      <c r="BE28" s="13" t="n">
        <f aca="false">BE22+BE23+BE24+BE25+BE26+BE27</f>
        <v>199.872179755118</v>
      </c>
      <c r="BF28" s="13" t="n">
        <f aca="false">BF22+BF23+BF24+BF25+BF26+BF27</f>
        <v>186.585236523674</v>
      </c>
      <c r="BG28" s="13" t="n">
        <f aca="false">BG22+BG23+BG24+BG25+BG26+BG27</f>
        <v>175.905921782559</v>
      </c>
      <c r="BH28" s="13" t="n">
        <f aca="false">BH22+BH23+BH24+BH25+BH26+BH27</f>
        <v>163.057847192972</v>
      </c>
      <c r="BI28" s="13" t="n">
        <f aca="false">BI22+BI23+BI24+BI25+BI26+BI27</f>
        <v>151.451296167449</v>
      </c>
      <c r="BJ28" s="13" t="n">
        <f aca="false">BJ22+BJ23+BJ24+BJ25+BJ26+BJ27</f>
        <v>117.681358776586</v>
      </c>
      <c r="BK28" s="13" t="n">
        <f aca="false">BK22+BK23+BK24+BK25+BK26+BK27</f>
        <v>105.057964998364</v>
      </c>
      <c r="BL28" s="13" t="n">
        <f aca="false">BL22+BL23+BL24+BL25+BL26+BL27</f>
        <v>90.5011656317173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1925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1926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2551.43649970451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16.5523212779918</v>
      </c>
      <c r="P32" s="18" t="n">
        <f aca="false">Operations!P84</f>
        <v>49.6539257804251</v>
      </c>
      <c r="Q32" s="18" t="n">
        <f aca="false">Operations!Q84</f>
        <v>49.8496278435432</v>
      </c>
      <c r="R32" s="18" t="n">
        <f aca="false">Operations!R84</f>
        <v>49.9855261309871</v>
      </c>
      <c r="S32" s="18" t="n">
        <f aca="false">Operations!S84</f>
        <v>50.0683403618542</v>
      </c>
      <c r="T32" s="18" t="n">
        <f aca="false">Operations!T84</f>
        <v>50.1342780766878</v>
      </c>
      <c r="U32" s="18" t="n">
        <f aca="false">Operations!U84</f>
        <v>50.2873669910437</v>
      </c>
      <c r="V32" s="18" t="n">
        <f aca="false">Operations!V84</f>
        <v>47.9982048838494</v>
      </c>
      <c r="W32" s="18" t="n">
        <f aca="false">Operations!W84</f>
        <v>50.5429067435296</v>
      </c>
      <c r="X32" s="18" t="n">
        <f aca="false">Operations!X84</f>
        <v>50.5312101782456</v>
      </c>
      <c r="Y32" s="18" t="n">
        <f aca="false">Operations!Y84</f>
        <v>50.6497606175813</v>
      </c>
      <c r="Z32" s="18" t="n">
        <f aca="false">Operations!Z84</f>
        <v>50.7845551226955</v>
      </c>
      <c r="AA32" s="18" t="n">
        <f aca="false">Operations!AA84</f>
        <v>50.8729674087152</v>
      </c>
      <c r="AB32" s="18" t="n">
        <f aca="false">Operations!AB84</f>
        <v>50.9439836399245</v>
      </c>
      <c r="AC32" s="18" t="n">
        <f aca="false">Operations!AC84</f>
        <v>51.1464809099471</v>
      </c>
      <c r="AD32" s="18" t="n">
        <f aca="false">Operations!AD84</f>
        <v>38.659991944834</v>
      </c>
      <c r="AE32" s="18" t="n">
        <f aca="false">Operations!AE84</f>
        <v>51.462474595561</v>
      </c>
      <c r="AF32" s="18" t="n">
        <f aca="false">Operations!AF84</f>
        <v>51.3732395284939</v>
      </c>
      <c r="AG32" s="18" t="n">
        <f aca="false">Operations!AG84</f>
        <v>51.5012459115863</v>
      </c>
      <c r="AH32" s="18" t="n">
        <f aca="false">Operations!AH84</f>
        <v>51.6487727622894</v>
      </c>
      <c r="AI32" s="18" t="n">
        <f aca="false">Operations!AI84</f>
        <v>51.7431611362602</v>
      </c>
      <c r="AJ32" s="18" t="n">
        <f aca="false">Operations!AJ84</f>
        <v>51.8196452036536</v>
      </c>
      <c r="AK32" s="18" t="n">
        <f aca="false">Operations!AK84</f>
        <v>52.0010024208087</v>
      </c>
      <c r="AL32" s="18" t="n">
        <f aca="false">Operations!AL84</f>
        <v>49.28137515465</v>
      </c>
      <c r="AM32" s="18" t="n">
        <f aca="false">Operations!AM84</f>
        <v>52.3038051568255</v>
      </c>
      <c r="AN32" s="18" t="n">
        <f aca="false">Operations!AN84</f>
        <v>52.2838954097963</v>
      </c>
      <c r="AO32" s="18" t="n">
        <f aca="false">Operations!AO84</f>
        <v>52.4221306844942</v>
      </c>
      <c r="AP32" s="18" t="n">
        <f aca="false">Operations!AP84</f>
        <v>52.5835744072127</v>
      </c>
      <c r="AQ32" s="18" t="n">
        <f aca="false">Operations!AQ84</f>
        <v>52.6843425998417</v>
      </c>
      <c r="AR32" s="18" t="n">
        <f aca="false">Operations!AR84</f>
        <v>52.7667134135945</v>
      </c>
      <c r="AS32" s="18" t="n">
        <f aca="false">Operations!AS84</f>
        <v>53.0085353837365</v>
      </c>
      <c r="AT32" s="18" t="n">
        <f aca="false">Operations!AT84</f>
        <v>38.2669512783856</v>
      </c>
      <c r="AU32" s="18" t="n">
        <f aca="false">Operations!AU84</f>
        <v>53.3849584066187</v>
      </c>
      <c r="AV32" s="18" t="n">
        <f aca="false">Operations!AV84</f>
        <v>53.2688521893509</v>
      </c>
      <c r="AW32" s="18" t="n">
        <f aca="false">Operations!AW84</f>
        <v>53.4181541054966</v>
      </c>
      <c r="AX32" s="18" t="n">
        <f aca="false">Operations!AX84</f>
        <v>53.5948081578694</v>
      </c>
      <c r="AY32" s="18" t="n">
        <f aca="false">Operations!AY84</f>
        <v>53.7023873765837</v>
      </c>
      <c r="AZ32" s="18" t="n">
        <f aca="false">Operations!AZ84</f>
        <v>53.7910956541367</v>
      </c>
      <c r="BA32" s="18" t="n">
        <f aca="false">Operations!BA84</f>
        <v>54.0060069280155</v>
      </c>
      <c r="BB32" s="18" t="n">
        <f aca="false">Operations!BB84</f>
        <v>50.7747418357152</v>
      </c>
      <c r="BC32" s="18" t="n">
        <f aca="false">Operations!BC84</f>
        <v>54.3648657475741</v>
      </c>
      <c r="BD32" s="18" t="n">
        <f aca="false">Operations!BD84</f>
        <v>54.334259954828</v>
      </c>
      <c r="BE32" s="18" t="n">
        <f aca="false">Operations!BE84</f>
        <v>54.4955366303577</v>
      </c>
      <c r="BF32" s="18" t="n">
        <f aca="false">Operations!BF84</f>
        <v>54.68881332903</v>
      </c>
      <c r="BG32" s="18" t="n">
        <f aca="false">Operations!BG84</f>
        <v>54.8036641640375</v>
      </c>
      <c r="BH32" s="18" t="n">
        <f aca="false">Operations!BH84</f>
        <v>54.8991948092379</v>
      </c>
      <c r="BI32" s="18" t="n">
        <f aca="false">Operations!BI84</f>
        <v>55.1879788679709</v>
      </c>
      <c r="BJ32" s="18" t="n">
        <f aca="false">Operations!BJ84</f>
        <v>37.7636995154369</v>
      </c>
      <c r="BK32" s="18" t="n">
        <f aca="false">Operations!BK84</f>
        <v>55.6363755214916</v>
      </c>
      <c r="BL32" s="18" t="n">
        <f aca="false">Operations!BL84</f>
        <v>55.4867849036399</v>
      </c>
      <c r="BM32" s="18" t="n">
        <f aca="false">Operations!BM84</f>
        <v>18.0220086480719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1927</v>
      </c>
      <c r="E33" s="0" t="s">
        <v>151</v>
      </c>
      <c r="G33" s="13" t="n">
        <f aca="false">SUM(J33:BN33)</f>
        <v>-291.441609979526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-0.11804583592035</v>
      </c>
      <c r="Z33" s="13" t="n">
        <f aca="false">-Tax!Z27</f>
        <v>-0.355491534673645</v>
      </c>
      <c r="AA33" s="13" t="n">
        <f aca="false">-Tax!AA27</f>
        <v>-0.357266560605968</v>
      </c>
      <c r="AB33" s="13" t="n">
        <f aca="false">-Tax!AB27</f>
        <v>-0.359199684831379</v>
      </c>
      <c r="AC33" s="13" t="n">
        <f aca="false">-Tax!AC27</f>
        <v>-0.360089400479836</v>
      </c>
      <c r="AD33" s="13" t="n">
        <f aca="false">-Tax!AD27</f>
        <v>-0.355582189942007</v>
      </c>
      <c r="AE33" s="13" t="n">
        <f aca="false">-Tax!AE27</f>
        <v>-0.362679271815013</v>
      </c>
      <c r="AF33" s="13" t="n">
        <f aca="false">-Tax!AF27</f>
        <v>-0.366021318821837</v>
      </c>
      <c r="AG33" s="13" t="n">
        <f aca="false">-Tax!AG27</f>
        <v>-0.367627801614753</v>
      </c>
      <c r="AH33" s="13" t="n">
        <f aca="false">-Tax!AH27</f>
        <v>-0.369103750096856</v>
      </c>
      <c r="AI33" s="13" t="n">
        <f aca="false">-Tax!AI27</f>
        <v>-0.371036290587391</v>
      </c>
      <c r="AJ33" s="13" t="n">
        <f aca="false">-Tax!AJ27</f>
        <v>-0.37314034478709</v>
      </c>
      <c r="AK33" s="13" t="n">
        <f aca="false">-Tax!AK27</f>
        <v>-0.374431606697048</v>
      </c>
      <c r="AL33" s="13" t="n">
        <f aca="false">-Tax!AL27</f>
        <v>-0.375189635606888</v>
      </c>
      <c r="AM33" s="13" t="n">
        <f aca="false">-Tax!AM27</f>
        <v>-0.377587683189271</v>
      </c>
      <c r="AN33" s="13" t="n">
        <f aca="false">-Tax!AN27</f>
        <v>-0.380569722267902</v>
      </c>
      <c r="AO33" s="13" t="n">
        <f aca="false">-Tax!AO27</f>
        <v>-3.74100481070051</v>
      </c>
      <c r="AP33" s="13" t="n">
        <f aca="false">-Tax!AP27</f>
        <v>-9.17671019655766</v>
      </c>
      <c r="AQ33" s="13" t="n">
        <f aca="false">-Tax!AQ27</f>
        <v>-9.77228935868609</v>
      </c>
      <c r="AR33" s="13" t="n">
        <f aca="false">-Tax!AR27</f>
        <v>-9.80755556355066</v>
      </c>
      <c r="AS33" s="13" t="n">
        <f aca="false">-Tax!AS27</f>
        <v>-9.88010215459327</v>
      </c>
      <c r="AT33" s="13" t="n">
        <f aca="false">-Tax!AT27</f>
        <v>-5.45762692298799</v>
      </c>
      <c r="AU33" s="13" t="n">
        <f aca="false">-Tax!AU27</f>
        <v>-9.99302906145793</v>
      </c>
      <c r="AV33" s="13" t="n">
        <f aca="false">-Tax!AV27</f>
        <v>-9.95819719627759</v>
      </c>
      <c r="AW33" s="13" t="n">
        <f aca="false">-Tax!AW27</f>
        <v>-10.0029877711213</v>
      </c>
      <c r="AX33" s="13" t="n">
        <f aca="false">-Tax!AX27</f>
        <v>-10.0559839868331</v>
      </c>
      <c r="AY33" s="13" t="n">
        <f aca="false">-Tax!AY27</f>
        <v>-10.0882577524474</v>
      </c>
      <c r="AZ33" s="13" t="n">
        <f aca="false">-Tax!AZ27</f>
        <v>-10.1148702357133</v>
      </c>
      <c r="BA33" s="13" t="n">
        <f aca="false">-Tax!BA27</f>
        <v>-10.179343617877</v>
      </c>
      <c r="BB33" s="13" t="n">
        <f aca="false">-Tax!BB27</f>
        <v>-9.20996409018687</v>
      </c>
      <c r="BC33" s="13" t="n">
        <f aca="false">-Tax!BC27</f>
        <v>-12.2108421608576</v>
      </c>
      <c r="BD33" s="13" t="n">
        <f aca="false">-Tax!BD27</f>
        <v>-16.0493422172598</v>
      </c>
      <c r="BE33" s="13" t="n">
        <f aca="false">-Tax!BE27</f>
        <v>-16.0977252199186</v>
      </c>
      <c r="BF33" s="13" t="n">
        <f aca="false">-Tax!BF27</f>
        <v>-16.1557082295204</v>
      </c>
      <c r="BG33" s="13" t="n">
        <f aca="false">-Tax!BG27</f>
        <v>-16.1901634800226</v>
      </c>
      <c r="BH33" s="13" t="n">
        <f aca="false">-Tax!BH27</f>
        <v>-16.2188226735827</v>
      </c>
      <c r="BI33" s="13" t="n">
        <f aca="false">-Tax!BI27</f>
        <v>-16.3054578912026</v>
      </c>
      <c r="BJ33" s="13" t="n">
        <f aca="false">-Tax!BJ27</f>
        <v>-11.0781740854424</v>
      </c>
      <c r="BK33" s="13" t="n">
        <f aca="false">-Tax!BK27</f>
        <v>-16.4399768872588</v>
      </c>
      <c r="BL33" s="13" t="n">
        <f aca="false">-Tax!BL27</f>
        <v>-16.3950997019033</v>
      </c>
      <c r="BM33" s="13" t="n">
        <f aca="false">-Tax!BM27</f>
        <v>-5.23931208162913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1928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-14.8490993335396</v>
      </c>
      <c r="P34" s="13" t="n">
        <f aca="false">-Operations!P96+Operations!P97</f>
        <v>0.0364819078246192</v>
      </c>
      <c r="Q34" s="13" t="n">
        <f aca="false">-Operations!Q96+Operations!Q97</f>
        <v>-0.286578037451354</v>
      </c>
      <c r="R34" s="13" t="n">
        <f aca="false">-Operations!R96+Operations!R97</f>
        <v>0.192363359543045</v>
      </c>
      <c r="S34" s="13" t="n">
        <f aca="false">-Operations!S96+Operations!S97</f>
        <v>-0.289625100980267</v>
      </c>
      <c r="T34" s="13" t="n">
        <f aca="false">-Operations!T96+Operations!T97</f>
        <v>0.19159509969364</v>
      </c>
      <c r="U34" s="13" t="n">
        <f aca="false">-Operations!U96+Operations!U97</f>
        <v>-0.211983908898659</v>
      </c>
      <c r="V34" s="13" t="n">
        <f aca="false">-Operations!V96+Operations!V97</f>
        <v>0.116108611050844</v>
      </c>
      <c r="W34" s="13" t="n">
        <f aca="false">-Operations!W96+Operations!W97</f>
        <v>-0.295227883724026</v>
      </c>
      <c r="X34" s="13" t="n">
        <f aca="false">-Operations!X96+Operations!X97</f>
        <v>0.191256465088566</v>
      </c>
      <c r="Y34" s="13" t="n">
        <f aca="false">-Operations!Y96+Operations!Y97</f>
        <v>-0.296462062975291</v>
      </c>
      <c r="Z34" s="13" t="n">
        <f aca="false">-Operations!Z96+Operations!Z97</f>
        <v>0.194338017173557</v>
      </c>
      <c r="AA34" s="13" t="n">
        <f aca="false">-Operations!AA96+Operations!AA97</f>
        <v>-0.299554880706555</v>
      </c>
      <c r="AB34" s="13" t="n">
        <f aca="false">-Operations!AB96+Operations!AB97</f>
        <v>0.193923121380903</v>
      </c>
      <c r="AC34" s="13" t="n">
        <f aca="false">-Operations!AC96+Operations!AC97</f>
        <v>-0.220038692286087</v>
      </c>
      <c r="AD34" s="13" t="n">
        <f aca="false">-Operations!AD96+Operations!AD97</f>
        <v>0.346979929627327</v>
      </c>
      <c r="AE34" s="13" t="n">
        <f aca="false">-Operations!AE96+Operations!AE97</f>
        <v>-0.536198644558228</v>
      </c>
      <c r="AF34" s="13" t="n">
        <f aca="false">-Operations!AF96+Operations!AF97</f>
        <v>0.193272829032223</v>
      </c>
      <c r="AG34" s="13" t="n">
        <f aca="false">-Operations!AG96+Operations!AG97</f>
        <v>-0.30715543731419</v>
      </c>
      <c r="AH34" s="13" t="n">
        <f aca="false">-Operations!AH96+Operations!AH97</f>
        <v>0.196445355384149</v>
      </c>
      <c r="AI34" s="13" t="n">
        <f aca="false">-Operations!AI96+Operations!AI97</f>
        <v>-0.310281951956132</v>
      </c>
      <c r="AJ34" s="13" t="n">
        <f aca="false">-Operations!AJ96+Operations!AJ97</f>
        <v>0.196445837324099</v>
      </c>
      <c r="AK34" s="13" t="n">
        <f aca="false">-Operations!AK96+Operations!AK97</f>
        <v>-0.22975634004478</v>
      </c>
      <c r="AL34" s="13" t="n">
        <f aca="false">-Operations!AL96+Operations!AL97</f>
        <v>0.115289995523828</v>
      </c>
      <c r="AM34" s="13" t="n">
        <f aca="false">-Operations!AM96+Operations!AM97</f>
        <v>-0.316268249152568</v>
      </c>
      <c r="AN34" s="13" t="n">
        <f aca="false">-Operations!AN96+Operations!AN97</f>
        <v>0.197280222327176</v>
      </c>
      <c r="AO34" s="13" t="n">
        <f aca="false">-Operations!AO96+Operations!AO97</f>
        <v>-0.318725861431247</v>
      </c>
      <c r="AP34" s="13" t="n">
        <f aca="false">-Operations!AP96+Operations!AP97</f>
        <v>0.198694316639347</v>
      </c>
      <c r="AQ34" s="13" t="n">
        <f aca="false">-Operations!AQ96+Operations!AQ97</f>
        <v>-0.321871782123143</v>
      </c>
      <c r="AR34" s="13" t="n">
        <f aca="false">-Operations!AR96+Operations!AR97</f>
        <v>0.199179939825424</v>
      </c>
      <c r="AS34" s="13" t="n">
        <f aca="false">-Operations!AS96+Operations!AS97</f>
        <v>-0.239758486494253</v>
      </c>
      <c r="AT34" s="13" t="n">
        <f aca="false">-Operations!AT96+Operations!AT97</f>
        <v>0.361687268183964</v>
      </c>
      <c r="AU34" s="13" t="n">
        <f aca="false">-Operations!AU96+Operations!AU97</f>
        <v>-0.575137853586256</v>
      </c>
      <c r="AV34" s="13" t="n">
        <f aca="false">-Operations!AV96+Operations!AV97</f>
        <v>0.200840945807826</v>
      </c>
      <c r="AW34" s="13" t="n">
        <f aca="false">-Operations!AW96+Operations!AW97</f>
        <v>-0.331246806004831</v>
      </c>
      <c r="AX34" s="13" t="n">
        <f aca="false">-Operations!AX96+Operations!AX97</f>
        <v>0.201094452694583</v>
      </c>
      <c r="AY34" s="13" t="n">
        <f aca="false">-Operations!AY96+Operations!AY97</f>
        <v>-0.334395325229661</v>
      </c>
      <c r="AZ34" s="13" t="n">
        <f aca="false">-Operations!AZ96+Operations!AZ97</f>
        <v>0.202143584837284</v>
      </c>
      <c r="BA34" s="13" t="n">
        <f aca="false">-Operations!BA96+Operations!BA97</f>
        <v>-0.25064621353922</v>
      </c>
      <c r="BB34" s="13" t="n">
        <f aca="false">-Operations!BB96+Operations!BB97</f>
        <v>0.113983116361727</v>
      </c>
      <c r="BC34" s="13" t="n">
        <f aca="false">-Operations!BC96+Operations!BC97</f>
        <v>-0.340739305610637</v>
      </c>
      <c r="BD34" s="13" t="n">
        <f aca="false">-Operations!BD96+Operations!BD97</f>
        <v>0.204554958035779</v>
      </c>
      <c r="BE34" s="13" t="n">
        <f aca="false">-Operations!BE96+Operations!BE97</f>
        <v>-0.34479801087485</v>
      </c>
      <c r="BF34" s="13" t="n">
        <f aca="false">-Operations!BF96+Operations!BF97</f>
        <v>0.203655967019031</v>
      </c>
      <c r="BG34" s="13" t="n">
        <f aca="false">-Operations!BG96+Operations!BG97</f>
        <v>-0.347929489963292</v>
      </c>
      <c r="BH34" s="13" t="n">
        <f aca="false">-Operations!BH96+Operations!BH97</f>
        <v>0.205356522769481</v>
      </c>
      <c r="BI34" s="13" t="n">
        <f aca="false">-Operations!BI96+Operations!BI97</f>
        <v>-0.263028592940987</v>
      </c>
      <c r="BJ34" s="13" t="n">
        <f aca="false">-Operations!BJ96+Operations!BJ97</f>
        <v>0.378679787047233</v>
      </c>
      <c r="BK34" s="13" t="n">
        <f aca="false">-Operations!BK96+Operations!BK97</f>
        <v>-0.620799481723747</v>
      </c>
      <c r="BL34" s="13" t="n">
        <f aca="false">-Operations!BL96+Operations!BL97</f>
        <v>0.210123957514188</v>
      </c>
      <c r="BM34" s="13" t="n">
        <f aca="false">-Operations!BM96+Operations!BM97</f>
        <v>23.0455321654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1929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1865</v>
      </c>
      <c r="E36" s="0" t="s">
        <v>151</v>
      </c>
      <c r="G36" s="13" t="n">
        <f aca="false">SUM(J36:BN36)</f>
        <v>2265.34488972498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1.70322194445222</v>
      </c>
      <c r="P36" s="13" t="n">
        <f aca="false">P32+P33+P34+P35</f>
        <v>49.2741393857949</v>
      </c>
      <c r="Q36" s="13" t="n">
        <f aca="false">Q32+Q33+Q34+Q35</f>
        <v>49.146781503637</v>
      </c>
      <c r="R36" s="13" t="n">
        <f aca="false">R32+R33+R34+R35</f>
        <v>49.7616211880753</v>
      </c>
      <c r="S36" s="13" t="n">
        <f aca="false">S32+S33+S34+S35</f>
        <v>49.3624469584191</v>
      </c>
      <c r="T36" s="13" t="n">
        <f aca="false">T32+T33+T34+T35</f>
        <v>49.9096048739266</v>
      </c>
      <c r="U36" s="13" t="n">
        <f aca="false">U32+U33+U34+U35</f>
        <v>49.6591147796902</v>
      </c>
      <c r="V36" s="13" t="n">
        <f aca="false">V32+V33+V34+V35</f>
        <v>50.6119233096294</v>
      </c>
      <c r="W36" s="13" t="n">
        <f aca="false">W32+W33+W34+W35</f>
        <v>50.2476788598056</v>
      </c>
      <c r="X36" s="13" t="n">
        <f aca="false">X32+X33+X34+X35</f>
        <v>48.7497240997007</v>
      </c>
      <c r="Y36" s="13" t="n">
        <f aca="false">Y32+Y33+Y34+Y35</f>
        <v>48.2625101750522</v>
      </c>
      <c r="Z36" s="13" t="n">
        <f aca="false">Z32+Z33+Z34+Z35</f>
        <v>48.6506590615619</v>
      </c>
      <c r="AA36" s="13" t="n">
        <f aca="false">AA32+AA33+AA34+AA35</f>
        <v>48.2434034237692</v>
      </c>
      <c r="AB36" s="13" t="n">
        <f aca="false">AB32+AB33+AB34+AB35</f>
        <v>48.8059645328406</v>
      </c>
      <c r="AC36" s="13" t="n">
        <f aca="false">AC32+AC33+AC34+AC35</f>
        <v>48.5936102735477</v>
      </c>
      <c r="AD36" s="13" t="n">
        <f aca="false">AD32+AD33+AD34+AD35</f>
        <v>50.4878449463201</v>
      </c>
      <c r="AE36" s="13" t="n">
        <f aca="false">AE32+AE33+AE34+AE35</f>
        <v>50.5635966791877</v>
      </c>
      <c r="AF36" s="13" t="n">
        <f aca="false">AF32+AF33+AF34+AF35</f>
        <v>50.7050630837884</v>
      </c>
      <c r="AG36" s="13" t="n">
        <f aca="false">AG32+AG33+AG34+AG35</f>
        <v>50.3310347177414</v>
      </c>
      <c r="AH36" s="13" t="n">
        <f aca="false">AH32+AH33+AH34+AH35</f>
        <v>50.9806864126608</v>
      </c>
      <c r="AI36" s="13" t="n">
        <f aca="false">AI32+AI33+AI34+AI35</f>
        <v>50.5664149388007</v>
      </c>
      <c r="AJ36" s="13" t="n">
        <f aca="false">AJ32+AJ33+AJ34+AJ35</f>
        <v>51.1475227412747</v>
      </c>
      <c r="AK36" s="13" t="n">
        <f aca="false">AK32+AK33+AK34+AK35</f>
        <v>50.901386519151</v>
      </c>
      <c r="AL36" s="13" t="n">
        <f aca="false">AL32+AL33+AL34+AL35</f>
        <v>51.9940432440624</v>
      </c>
      <c r="AM36" s="13" t="n">
        <f aca="false">AM32+AM33+AM34+AM35</f>
        <v>51.6099492244837</v>
      </c>
      <c r="AN36" s="13" t="n">
        <f aca="false">AN32+AN33+AN34+AN35</f>
        <v>49.7527168243686</v>
      </c>
      <c r="AO36" s="13" t="n">
        <f aca="false">AO32+AO33+AO34+AO35</f>
        <v>46.0145109268755</v>
      </c>
      <c r="AP36" s="13" t="n">
        <f aca="false">AP32+AP33+AP34+AP35</f>
        <v>41.2576694418074</v>
      </c>
      <c r="AQ36" s="13" t="n">
        <f aca="false">AQ32+AQ33+AQ34+AQ35</f>
        <v>40.2422923735455</v>
      </c>
      <c r="AR36" s="13" t="n">
        <f aca="false">AR32+AR33+AR34+AR35</f>
        <v>40.8104487043823</v>
      </c>
      <c r="AS36" s="13" t="n">
        <f aca="false">AS32+AS33+AS34+AS35</f>
        <v>40.5407856571621</v>
      </c>
      <c r="AT36" s="13" t="n">
        <f aca="false">AT32+AT33+AT34+AT35</f>
        <v>47.2583461365032</v>
      </c>
      <c r="AU36" s="13" t="n">
        <f aca="false">AU32+AU33+AU34+AU35</f>
        <v>42.8167914915745</v>
      </c>
      <c r="AV36" s="13" t="n">
        <f aca="false">AV32+AV33+AV34+AV35</f>
        <v>42.9218549379578</v>
      </c>
      <c r="AW36" s="13" t="n">
        <f aca="false">AW32+AW33+AW34+AW35</f>
        <v>42.4942785274471</v>
      </c>
      <c r="AX36" s="13" t="n">
        <f aca="false">AX32+AX33+AX34+AX35</f>
        <v>43.1502776228074</v>
      </c>
      <c r="AY36" s="13" t="n">
        <f aca="false">AY32+AY33+AY34+AY35</f>
        <v>42.6900932979832</v>
      </c>
      <c r="AZ36" s="13" t="n">
        <f aca="false">AZ32+AZ33+AZ34+AZ35</f>
        <v>43.2887280023373</v>
      </c>
      <c r="BA36" s="13" t="n">
        <f aca="false">BA32+BA33+BA34+BA35</f>
        <v>42.9863760956759</v>
      </c>
      <c r="BB36" s="13" t="n">
        <f aca="false">BB32+BB33+BB34+BB35</f>
        <v>45.2166068674304</v>
      </c>
      <c r="BC36" s="13" t="n">
        <f aca="false">BC32+BC33+BC34+BC35</f>
        <v>41.8132842811059</v>
      </c>
      <c r="BD36" s="13" t="n">
        <f aca="false">BD32+BD33+BD34+BD35</f>
        <v>35.6950973344911</v>
      </c>
      <c r="BE36" s="13" t="n">
        <f aca="false">BE32+BE33+BE34+BE35</f>
        <v>35.2586380384512</v>
      </c>
      <c r="BF36" s="13" t="n">
        <f aca="false">BF32+BF33+BF34+BF35</f>
        <v>35.9423857054157</v>
      </c>
      <c r="BG36" s="13" t="n">
        <f aca="false">BG32+BG33+BG34+BG35</f>
        <v>35.4711958329387</v>
      </c>
      <c r="BH36" s="13" t="n">
        <f aca="false">BH32+BH33+BH34+BH35</f>
        <v>36.0913532973117</v>
      </c>
      <c r="BI36" s="13" t="n">
        <f aca="false">BI32+BI33+BI34+BI35</f>
        <v>35.8251170227143</v>
      </c>
      <c r="BJ36" s="13" t="n">
        <f aca="false">BJ32+BJ33+BJ34+BJ35</f>
        <v>43.8304573837196</v>
      </c>
      <c r="BK36" s="13" t="n">
        <f aca="false">BK32+BK33+BK34+BK35</f>
        <v>38.575599152509</v>
      </c>
      <c r="BL36" s="13" t="n">
        <f aca="false">BL32+BL33+BL34+BL35</f>
        <v>39.3018091592508</v>
      </c>
      <c r="BM36" s="13" t="n">
        <f aca="false">BM32+BM33+BM34+BM35</f>
        <v>35.8282287318427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1930</v>
      </c>
      <c r="E37" s="0" t="s">
        <v>151</v>
      </c>
      <c r="G37" s="13" t="n">
        <f aca="false">SUM(J37:BN37)</f>
        <v>-853.031282719653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-37.2458954365957</v>
      </c>
      <c r="Q37" s="13" t="n">
        <f aca="false">-(Debt!Q114+Debt!Q110)</f>
        <v>-37.1570164547307</v>
      </c>
      <c r="R37" s="13" t="n">
        <f aca="false">-(Debt!R114+Debt!R110)</f>
        <v>-37.6247850871586</v>
      </c>
      <c r="S37" s="13" t="n">
        <f aca="false">-(Debt!S114+Debt!S110)</f>
        <v>-37.3333124921438</v>
      </c>
      <c r="T37" s="13" t="n">
        <f aca="false">-(Debt!T114+Debt!T110)</f>
        <v>-37.7512177812382</v>
      </c>
      <c r="U37" s="13" t="n">
        <f aca="false">-(Debt!U114+Debt!U110)</f>
        <v>-37.5706927544304</v>
      </c>
      <c r="V37" s="13" t="n">
        <f aca="false">-(Debt!V114+Debt!V110)</f>
        <v>-38.2879202346828</v>
      </c>
      <c r="W37" s="13" t="n">
        <f aca="false">-(Debt!W114+Debt!W110)</f>
        <v>-38.0232274255105</v>
      </c>
      <c r="X37" s="13" t="n">
        <f aca="false">-(Debt!X114+Debt!X110)</f>
        <v>-36.9267950741505</v>
      </c>
      <c r="Y37" s="13" t="n">
        <f aca="false">-(Debt!Y114+Debt!Y110)</f>
        <v>-36.5703920442144</v>
      </c>
      <c r="Z37" s="13" t="n">
        <f aca="false">-(Debt!Z114+Debt!Z110)</f>
        <v>-36.8713631081105</v>
      </c>
      <c r="AA37" s="13" t="n">
        <f aca="false">-(Debt!AA114+Debt!AA110)</f>
        <v>-36.5742873545516</v>
      </c>
      <c r="AB37" s="13" t="n">
        <f aca="false">-(Debt!AB114+Debt!AB110)</f>
        <v>-36.4505211763574</v>
      </c>
      <c r="AC37" s="13" t="n">
        <f aca="false">-(Debt!AC114+Debt!AC110)</f>
        <v>-35.6277450250062</v>
      </c>
      <c r="AD37" s="13" t="n">
        <f aca="false">-(Debt!AD114+Debt!AD110)</f>
        <v>-36.2766473930851</v>
      </c>
      <c r="AE37" s="13" t="n">
        <f aca="false">-(Debt!AE114+Debt!AE110)</f>
        <v>-35.4250922498074</v>
      </c>
      <c r="AF37" s="13" t="n">
        <f aca="false">-(Debt!AF114+Debt!AF110)</f>
        <v>-34.4604505341516</v>
      </c>
      <c r="AG37" s="13" t="n">
        <f aca="false">-(Debt!AG114+Debt!AG110)</f>
        <v>-32.9145370382072</v>
      </c>
      <c r="AH37" s="13" t="n">
        <f aca="false">-(Debt!AH114+Debt!AH110)</f>
        <v>-31.824631008325</v>
      </c>
      <c r="AI37" s="13" t="n">
        <f aca="false">-(Debt!AI114+Debt!AI110)</f>
        <v>-29.7078829638698</v>
      </c>
      <c r="AJ37" s="13" t="n">
        <f aca="false">-(Debt!AJ114+Debt!AJ110)</f>
        <v>-27.6476080510126</v>
      </c>
      <c r="AK37" s="13" t="n">
        <f aca="false">-(Debt!AK114+Debt!AK110)</f>
        <v>-24.3051629371197</v>
      </c>
      <c r="AL37" s="13" t="n">
        <f aca="false">-(Debt!AL114+Debt!AL110)</f>
        <v>-21.8341874227264</v>
      </c>
      <c r="AM37" s="13" t="n">
        <f aca="false">-(Debt!AM114+Debt!AM110)</f>
        <v>-21.7661643202512</v>
      </c>
      <c r="AN37" s="13" t="n">
        <f aca="false">-(Debt!AN114+Debt!AN110)</f>
        <v>-18.8305492762072</v>
      </c>
      <c r="AO37" s="13" t="n">
        <f aca="false">-(Debt!AO114+Debt!AO110)</f>
        <v>-18.0231980760082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1931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1932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1933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1934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1807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1935</v>
      </c>
      <c r="E43" s="0" t="s">
        <v>151</v>
      </c>
      <c r="G43" s="13" t="n">
        <f aca="false">SUM(J43:BN43)</f>
        <v>-95.4259302411762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-5.61932739608009</v>
      </c>
      <c r="AB43" s="13" t="n">
        <f aca="false">-(Waterfall!AB28+Waterfall!AB29)</f>
        <v>-6.52925978685174</v>
      </c>
      <c r="AC43" s="13" t="n">
        <f aca="false">-(Waterfall!AC28+Waterfall!AC29)</f>
        <v>-6.14309333324187</v>
      </c>
      <c r="AD43" s="13" t="n">
        <f aca="false">-(Waterfall!AD28+Waterfall!AD29)</f>
        <v>-7.42755805419442</v>
      </c>
      <c r="AE43" s="13" t="n">
        <f aca="false">-(Waterfall!AE28+Waterfall!AE29)</f>
        <v>-7.97510366831061</v>
      </c>
      <c r="AF43" s="13" t="n">
        <f aca="false">-(Waterfall!AF28+Waterfall!AF29)</f>
        <v>-8.78782672578827</v>
      </c>
      <c r="AG43" s="13" t="n">
        <f aca="false">-(Waterfall!AG28+Waterfall!AG29)</f>
        <v>-9.14507126078897</v>
      </c>
      <c r="AH43" s="13" t="n">
        <f aca="false">-(Waterfall!AH28+Waterfall!AH29)</f>
        <v>-10.4352269387038</v>
      </c>
      <c r="AI43" s="13" t="n">
        <f aca="false">-(Waterfall!AI28+Waterfall!AI29)</f>
        <v>-11.217735229992</v>
      </c>
      <c r="AJ43" s="13" t="n">
        <f aca="false">-(Waterfall!AJ28+Waterfall!AJ29)</f>
        <v>-12.9836187268949</v>
      </c>
      <c r="AK43" s="13" t="n">
        <f aca="false">-(Waterfall!AK28+Waterfall!AK29)</f>
        <v>-9.16210912032963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1936</v>
      </c>
      <c r="E44" s="0" t="s">
        <v>151</v>
      </c>
      <c r="G44" s="13" t="n">
        <f aca="false">SUM(J44:BN44)</f>
        <v>-426.865547137359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-13.8203448755155</v>
      </c>
      <c r="Q44" s="13" t="n">
        <f aca="false">-(Waterfall!Q34+Waterfall!Q35)</f>
        <v>-11.5219964164784</v>
      </c>
      <c r="R44" s="13" t="n">
        <f aca="false">-(Waterfall!R34+Waterfall!R35)</f>
        <v>-12.4283086959315</v>
      </c>
      <c r="S44" s="13" t="n">
        <f aca="false">-(Waterfall!S34+Waterfall!S35)</f>
        <v>-11.6112291771809</v>
      </c>
      <c r="T44" s="13" t="n">
        <f aca="false">-(Waterfall!T34+Waterfall!T35)</f>
        <v>-12.3389121194962</v>
      </c>
      <c r="U44" s="13" t="n">
        <f aca="false">-(Waterfall!U34+Waterfall!U35)</f>
        <v>-11.3711945450074</v>
      </c>
      <c r="V44" s="13" t="n">
        <f aca="false">-(Waterfall!V34+Waterfall!V35)</f>
        <v>-12.5886958841189</v>
      </c>
      <c r="W44" s="13" t="n">
        <f aca="false">-(Waterfall!W34+Waterfall!W35)</f>
        <v>-13.3208837856551</v>
      </c>
      <c r="X44" s="13" t="n">
        <f aca="false">-(Waterfall!X34+Waterfall!X35)</f>
        <v>-12.1793320554863</v>
      </c>
      <c r="Y44" s="13" t="n">
        <f aca="false">-(Waterfall!Y34+Waterfall!Y35)</f>
        <v>-11.3911470669417</v>
      </c>
      <c r="Z44" s="13" t="n">
        <f aca="false">-(Waterfall!Z34+Waterfall!Z35)</f>
        <v>-12.0763717070104</v>
      </c>
      <c r="AA44" s="13" t="n">
        <f aca="false">-(Waterfall!AA34+Waterfall!AA35)</f>
        <v>-5.61932739608009</v>
      </c>
      <c r="AB44" s="13" t="n">
        <f aca="false">-(Waterfall!AB34+Waterfall!AB35)</f>
        <v>-6.52925978685174</v>
      </c>
      <c r="AC44" s="13" t="n">
        <f aca="false">-(Waterfall!AC34+Waterfall!AC35)</f>
        <v>-6.14309333324187</v>
      </c>
      <c r="AD44" s="13" t="n">
        <f aca="false">-(Waterfall!AD34+Waterfall!AD35)</f>
        <v>-7.42755805419442</v>
      </c>
      <c r="AE44" s="13" t="n">
        <f aca="false">-(Waterfall!AE34+Waterfall!AE35)</f>
        <v>-7.97510366831061</v>
      </c>
      <c r="AF44" s="13" t="n">
        <f aca="false">-(Waterfall!AF34+Waterfall!AF35)</f>
        <v>-8.78782672578827</v>
      </c>
      <c r="AG44" s="13" t="n">
        <f aca="false">-(Waterfall!AG34+Waterfall!AG35)</f>
        <v>-9.14507126078897</v>
      </c>
      <c r="AH44" s="13" t="n">
        <f aca="false">-(Waterfall!AH34+Waterfall!AH35)</f>
        <v>-10.4352269387038</v>
      </c>
      <c r="AI44" s="13" t="n">
        <f aca="false">-(Waterfall!AI34+Waterfall!AI35)</f>
        <v>-11.217735229992</v>
      </c>
      <c r="AJ44" s="13" t="n">
        <f aca="false">-(Waterfall!AJ34+Waterfall!AJ35)</f>
        <v>-12.9836187268949</v>
      </c>
      <c r="AK44" s="13" t="n">
        <f aca="false">-(Waterfall!AK34+Waterfall!AK35)</f>
        <v>-20.2203268583527</v>
      </c>
      <c r="AL44" s="13" t="n">
        <f aca="false">-(Waterfall!AL34+Waterfall!AL35)</f>
        <v>-33.1698631728497</v>
      </c>
      <c r="AM44" s="13" t="n">
        <f aca="false">-(Waterfall!AM34+Waterfall!AM35)</f>
        <v>-32.7793999482765</v>
      </c>
      <c r="AN44" s="13" t="n">
        <f aca="false">-(Waterfall!AN34+Waterfall!AN35)</f>
        <v>-31.7295187483604</v>
      </c>
      <c r="AO44" s="13" t="n">
        <f aca="false">-(Waterfall!AO34+Waterfall!AO35)</f>
        <v>-46.0145109268755</v>
      </c>
      <c r="AP44" s="13" t="n">
        <f aca="false">-(Waterfall!AP34+Waterfall!AP35)</f>
        <v>-41.2576694418074</v>
      </c>
      <c r="AQ44" s="13" t="n">
        <f aca="false">-(Waterfall!AQ34+Waterfall!AQ35)</f>
        <v>-0.782020591168173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1899</v>
      </c>
      <c r="E45" s="0" t="s">
        <v>151</v>
      </c>
      <c r="G45" s="13" t="n">
        <f aca="false">SUM(J45:BN45)</f>
        <v>-927.268025063389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-0</v>
      </c>
      <c r="AP45" s="13" t="n">
        <f aca="false">-Waterfall!AP41</f>
        <v>-0</v>
      </c>
      <c r="AQ45" s="13" t="n">
        <f aca="false">-Waterfall!AQ41</f>
        <v>-39.4602717823774</v>
      </c>
      <c r="AR45" s="13" t="n">
        <f aca="false">-Waterfall!AR41</f>
        <v>-40.8104487043823</v>
      </c>
      <c r="AS45" s="13" t="n">
        <f aca="false">-Waterfall!AS41</f>
        <v>-40.5407856571621</v>
      </c>
      <c r="AT45" s="13" t="n">
        <f aca="false">-Waterfall!AT41</f>
        <v>-47.2583461365032</v>
      </c>
      <c r="AU45" s="13" t="n">
        <f aca="false">-Waterfall!AU41</f>
        <v>-42.8167914915745</v>
      </c>
      <c r="AV45" s="13" t="n">
        <f aca="false">-Waterfall!AV41</f>
        <v>-42.9218549379578</v>
      </c>
      <c r="AW45" s="13" t="n">
        <f aca="false">-Waterfall!AW41</f>
        <v>-42.4942785274471</v>
      </c>
      <c r="AX45" s="13" t="n">
        <f aca="false">-Waterfall!AX41</f>
        <v>-43.1502776228074</v>
      </c>
      <c r="AY45" s="13" t="n">
        <f aca="false">-Waterfall!AY41</f>
        <v>-42.6900932979832</v>
      </c>
      <c r="AZ45" s="13" t="n">
        <f aca="false">-Waterfall!AZ41</f>
        <v>-43.2887280023373</v>
      </c>
      <c r="BA45" s="13" t="n">
        <f aca="false">-Waterfall!BA41</f>
        <v>-42.4914077090672</v>
      </c>
      <c r="BB45" s="13" t="n">
        <f aca="false">-Waterfall!BB41</f>
        <v>-43.715456612786</v>
      </c>
      <c r="BC45" s="13" t="n">
        <f aca="false">-Waterfall!BC41</f>
        <v>-40.2957112077637</v>
      </c>
      <c r="BD45" s="13" t="n">
        <f aca="false">-Waterfall!BD41</f>
        <v>-34.1609217742445</v>
      </c>
      <c r="BE45" s="13" t="n">
        <f aca="false">-Waterfall!BE41</f>
        <v>-33.7076783574954</v>
      </c>
      <c r="BF45" s="13" t="n">
        <f aca="false">-Waterfall!BF41</f>
        <v>-34.3744582828437</v>
      </c>
      <c r="BG45" s="13" t="n">
        <f aca="false">-Waterfall!BG41</f>
        <v>-33.8861150390019</v>
      </c>
      <c r="BH45" s="13" t="n">
        <f aca="false">-Waterfall!BH41</f>
        <v>-34.4889314714431</v>
      </c>
      <c r="BI45" s="13" t="n">
        <f aca="false">-Waterfall!BI41</f>
        <v>-34.2051644513109</v>
      </c>
      <c r="BJ45" s="13" t="n">
        <f aca="false">-Waterfall!BJ41</f>
        <v>-42.1927822776819</v>
      </c>
      <c r="BK45" s="13" t="n">
        <f aca="false">-Waterfall!BK41</f>
        <v>-36.9200076245347</v>
      </c>
      <c r="BL45" s="13" t="n">
        <f aca="false">-Waterfall!BL41</f>
        <v>-37.6281052008802</v>
      </c>
      <c r="BM45" s="13" t="n">
        <f aca="false">-Waterfall!BM41</f>
        <v>-53.7694088938038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1937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1938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1939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1940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J36+J37+J38+J39+J40+J41+J42+J43+J44+J45+J46+J47+J48+J53</f>
        <v>0</v>
      </c>
      <c r="K49" s="13" t="n">
        <f aca="false">K36+K37+K38+K39+K40+K41+K42+K43+K44+K45+K46+K47+K48+K53</f>
        <v>0</v>
      </c>
      <c r="L49" s="13" t="n">
        <f aca="false">L36+L37+L38+L39+L40+L41+L42+L43+L44+L45+L46+L47+L48+L53</f>
        <v>0</v>
      </c>
      <c r="M49" s="13" t="n">
        <f aca="false">M36+M37+M38+M39+M40+M41+M42+M43+M44+M45+M46+M47+M48+M53</f>
        <v>0</v>
      </c>
      <c r="N49" s="13" t="n">
        <f aca="false">N36+N37+N38+N39+N40+N41+N42+N43+N44+N45+N46+N47+N48+N53</f>
        <v>0</v>
      </c>
      <c r="O49" s="13" t="n">
        <f aca="false">O36+O37+O38+O39+O40+O41+O42+O43+O44+O45+O46+O47+O48+O53</f>
        <v>38.949117381047</v>
      </c>
      <c r="P49" s="13" t="n">
        <f aca="false">P36+P37+P38+P39+P40+P41+P42+P43+P44+P45+P46+P47+P48+P53</f>
        <v>-1.37583262386146</v>
      </c>
      <c r="Q49" s="13" t="n">
        <f aca="false">Q36+Q37+Q38+Q39+Q40+Q41+Q42+Q43+Q44+Q45+Q46+Q47+Q48+Q53</f>
        <v>0.884036934882815</v>
      </c>
      <c r="R49" s="13" t="n">
        <f aca="false">R36+R37+R38+R39+R40+R41+R42+R43+R44+R45+R46+R47+R48+R53</f>
        <v>0.124795707439993</v>
      </c>
      <c r="S49" s="13" t="n">
        <f aca="false">S36+S37+S38+S39+S40+S41+S42+S43+S44+S45+S46+S47+S48+S53</f>
        <v>0.834173591549245</v>
      </c>
      <c r="T49" s="13" t="n">
        <f aca="false">T36+T37+T38+T39+T40+T41+T42+T43+T44+T45+T46+T47+T48+T53</f>
        <v>0.235743275647117</v>
      </c>
      <c r="U49" s="13" t="n">
        <f aca="false">U36+U37+U38+U39+U40+U41+U42+U43+U44+U45+U46+U47+U48+U53</f>
        <v>1.13349578270723</v>
      </c>
      <c r="V49" s="13" t="n">
        <f aca="false">V36+V37+V38+V39+V40+V41+V42+V43+V44+V45+V46+V47+V48+V53</f>
        <v>-2.76230262390146</v>
      </c>
      <c r="W49" s="13" t="n">
        <f aca="false">W36+W37+W38+W39+W40+W41+W42+W43+W44+W45+W46+W47+W48+W53</f>
        <v>-1.09643235136002</v>
      </c>
      <c r="X49" s="13" t="n">
        <f aca="false">X36+X37+X38+X39+X40+X41+X42+X43+X44+X45+X46+X47+X48+X53</f>
        <v>1.61633951369738</v>
      </c>
      <c r="Y49" s="13" t="n">
        <f aca="false">Y36+Y37+Y38+Y39+Y40+Y41+Y42+Y43+Y44+Y45+Y46+Y47+Y48+Y53</f>
        <v>2.27371360752954</v>
      </c>
      <c r="Z49" s="13" t="n">
        <f aca="false">Z36+Z37+Z38+Z39+Z40+Z41+Z42+Z43+Z44+Z45+Z46+Z47+Z48+Z53</f>
        <v>1.67566679007455</v>
      </c>
      <c r="AA49" s="13" t="n">
        <f aca="false">AA36+AA37+AA38+AA39+AA40+AA41+AA42+AA43+AA44+AA45+AA46+AA47+AA48+AA53</f>
        <v>2.40320382069091</v>
      </c>
      <c r="AB49" s="13" t="n">
        <f aca="false">AB36+AB37+AB38+AB39+AB40+AB41+AB42+AB43+AB44+AB45+AB46+AB47+AB48+AB53</f>
        <v>1.26966632641324</v>
      </c>
      <c r="AC49" s="13" t="n">
        <f aca="false">AC36+AC37+AC38+AC39+AC40+AC41+AC42+AC43+AC44+AC45+AC46+AC47+AC48+AC53</f>
        <v>2.65242112569121</v>
      </c>
      <c r="AD49" s="13" t="n">
        <f aca="false">AD36+AD37+AD38+AD39+AD40+AD41+AD42+AD43+AD44+AD45+AD46+AD47+AD48+AD53</f>
        <v>-12.4803738169546</v>
      </c>
      <c r="AE49" s="13" t="n">
        <f aca="false">AE36+AE37+AE38+AE39+AE40+AE41+AE42+AE43+AE44+AE45+AE46+AE47+AE48+AE53</f>
        <v>-0.811702907240886</v>
      </c>
      <c r="AF49" s="13" t="n">
        <f aca="false">AF36+AF37+AF38+AF39+AF40+AF41+AF42+AF43+AF44+AF45+AF46+AF47+AF48+AF53</f>
        <v>-0.835612947023852</v>
      </c>
      <c r="AG49" s="13" t="n">
        <f aca="false">AG36+AG37+AG38+AG39+AG40+AG41+AG42+AG43+AG44+AG45+AG46+AG47+AG48+AG53</f>
        <v>-0.378216887127832</v>
      </c>
      <c r="AH49" s="13" t="n">
        <f aca="false">AH36+AH37+AH38+AH39+AH40+AH41+AH42+AH43+AH44+AH45+AH46+AH47+AH48+AH53</f>
        <v>-1.21897051815575</v>
      </c>
      <c r="AI49" s="13" t="n">
        <f aca="false">AI36+AI37+AI38+AI39+AI40+AI41+AI42+AI43+AI44+AI45+AI46+AI47+AI48+AI53</f>
        <v>-1.08151053013719</v>
      </c>
      <c r="AJ49" s="13" t="n">
        <f aca="false">AJ36+AJ37+AJ38+AJ39+AJ40+AJ41+AJ42+AJ43+AJ44+AJ45+AJ46+AJ47+AJ48+AJ53</f>
        <v>-1.9718948086118</v>
      </c>
      <c r="AK49" s="13" t="n">
        <f aca="false">AK36+AK37+AK38+AK39+AK40+AK41+AK42+AK43+AK44+AK45+AK46+AK47+AK48+AK53</f>
        <v>-2.29078444173506</v>
      </c>
      <c r="AL49" s="13" t="n">
        <f aca="false">AL36+AL37+AL38+AL39+AL40+AL41+AL42+AL43+AL44+AL45+AL46+AL47+AL48+AL53</f>
        <v>-5.98257508100908</v>
      </c>
      <c r="AM49" s="13" t="n">
        <f aca="false">AM36+AM37+AM38+AM39+AM40+AM41+AM42+AM43+AM44+AM45+AM46+AM47+AM48+AM53</f>
        <v>-2.93561504404399</v>
      </c>
      <c r="AN49" s="13" t="n">
        <f aca="false">AN36+AN37+AN38+AN39+AN40+AN41+AN42+AN43+AN44+AN45+AN46+AN47+AN48+AN53</f>
        <v>1.54053788528793</v>
      </c>
      <c r="AO49" s="13" t="n">
        <f aca="false">AO36+AO37+AO38+AO39+AO40+AO41+AO42+AO43+AO44+AO45+AO46+AO47+AO48+AO53</f>
        <v>-15.6753089905213</v>
      </c>
      <c r="AP49" s="13" t="n">
        <f aca="false">AP36+AP37+AP38+AP39+AP40+AP41+AP42+AP43+AP44+AP45+AP46+AP47+AP48+AP53</f>
        <v>2.34788908548694</v>
      </c>
      <c r="AQ49" s="13" t="n">
        <f aca="false">AQ36+AQ37+AQ38+AQ39+AQ40+AQ41+AQ42+AQ43+AQ44+AQ45+AQ46+AQ47+AQ48+AQ53</f>
        <v>2.34788908548694</v>
      </c>
      <c r="AR49" s="13" t="n">
        <f aca="false">AR36+AR37+AR38+AR39+AR40+AR41+AR42+AR43+AR44+AR45+AR46+AR47+AR48+AR53</f>
        <v>2.34788908548694</v>
      </c>
      <c r="AS49" s="13" t="n">
        <f aca="false">AS36+AS37+AS38+AS39+AS40+AS41+AS42+AS43+AS44+AS45+AS46+AS47+AS48+AS53</f>
        <v>2.34788908548694</v>
      </c>
      <c r="AT49" s="13" t="n">
        <f aca="false">AT36+AT37+AT38+AT39+AT40+AT41+AT42+AT43+AT44+AT45+AT46+AT47+AT48+AT53</f>
        <v>-14.0873345129217</v>
      </c>
      <c r="AU49" s="13" t="n">
        <f aca="false">AU36+AU37+AU38+AU39+AU40+AU41+AU42+AU43+AU44+AU45+AU46+AU47+AU48+AU53</f>
        <v>0</v>
      </c>
      <c r="AV49" s="13" t="n">
        <f aca="false">AV36+AV37+AV38+AV39+AV40+AV41+AV42+AV43+AV44+AV45+AV46+AV47+AV48+AV53</f>
        <v>0.589641000923391</v>
      </c>
      <c r="AW49" s="13" t="n">
        <f aca="false">AW36+AW37+AW38+AW39+AW40+AW41+AW42+AW43+AW44+AW45+AW46+AW47+AW48+AW53</f>
        <v>0.589641000923391</v>
      </c>
      <c r="AX49" s="13" t="n">
        <f aca="false">AX36+AX37+AX38+AX39+AX40+AX41+AX42+AX43+AX44+AX45+AX46+AX47+AX48+AX53</f>
        <v>0.589641000923391</v>
      </c>
      <c r="AY49" s="13" t="n">
        <f aca="false">AY36+AY37+AY38+AY39+AY40+AY41+AY42+AY43+AY44+AY45+AY46+AY47+AY48+AY53</f>
        <v>0.589641000923391</v>
      </c>
      <c r="AZ49" s="13" t="n">
        <f aca="false">AZ36+AZ37+AZ38+AZ39+AZ40+AZ41+AZ42+AZ43+AZ44+AZ45+AZ46+AZ47+AZ48+AZ53</f>
        <v>0.589641000923391</v>
      </c>
      <c r="BA49" s="13" t="n">
        <f aca="false">BA36+BA37+BA38+BA39+BA40+BA41+BA42+BA43+BA44+BA45+BA46+BA47+BA48+BA53</f>
        <v>1.08460938753208</v>
      </c>
      <c r="BB49" s="13" t="n">
        <f aca="false">BB36+BB37+BB38+BB39+BB40+BB41+BB42+BB43+BB44+BB45+BB46+BB47+BB48+BB53</f>
        <v>-2.03669575089593</v>
      </c>
      <c r="BC49" s="13" t="n">
        <f aca="false">BC36+BC37+BC38+BC39+BC40+BC41+BC42+BC43+BC44+BC45+BC46+BC47+BC48+BC53</f>
        <v>1.51757307334223</v>
      </c>
      <c r="BD49" s="13" t="n">
        <f aca="false">BD36+BD37+BD38+BD39+BD40+BD41+BD42+BD43+BD44+BD45+BD46+BD47+BD48+BD53</f>
        <v>4.32855092135958</v>
      </c>
      <c r="BE49" s="13" t="n">
        <f aca="false">BE36+BE37+BE38+BE39+BE40+BE41+BE42+BE43+BE44+BE45+BE46+BE47+BE48+BE53</f>
        <v>4.34533504206875</v>
      </c>
      <c r="BF49" s="13" t="n">
        <f aca="false">BF36+BF37+BF38+BF39+BF40+BF41+BF42+BF43+BF44+BF45+BF46+BF47+BF48+BF53</f>
        <v>4.362302783685</v>
      </c>
      <c r="BG49" s="13" t="n">
        <f aca="false">BG36+BG37+BG38+BG39+BG40+BG41+BG42+BG43+BG44+BG45+BG46+BG47+BG48+BG53</f>
        <v>4.37945615504978</v>
      </c>
      <c r="BH49" s="13" t="n">
        <f aca="false">BH36+BH37+BH38+BH39+BH40+BH41+BH42+BH43+BH44+BH45+BH46+BH47+BH48+BH53</f>
        <v>4.39679718698159</v>
      </c>
      <c r="BI49" s="13" t="n">
        <f aca="false">BI36+BI37+BI38+BI39+BI40+BI41+BI42+BI43+BI44+BI45+BI46+BI47+BI48+BI53</f>
        <v>4.41432793251639</v>
      </c>
      <c r="BJ49" s="13" t="n">
        <f aca="false">BJ36+BJ37+BJ38+BJ39+BJ40+BJ41+BJ42+BJ43+BJ44+BJ45+BJ46+BJ47+BJ48+BJ53</f>
        <v>-15.1285770606402</v>
      </c>
      <c r="BK49" s="13" t="n">
        <f aca="false">BK36+BK37+BK38+BK39+BK40+BK41+BK42+BK43+BK44+BK45+BK46+BK47+BK48+BK53</f>
        <v>1.65559152797427</v>
      </c>
      <c r="BL49" s="13" t="n">
        <f aca="false">BL36+BL37+BL38+BL39+BL40+BL41+BL42+BL43+BL44+BL45+BL46+BL47+BL48+BL53</f>
        <v>1.67370395837054</v>
      </c>
      <c r="BM49" s="13" t="n">
        <f aca="false">BM36+BM37+BM38+BM39+BM40+BM41+BM42+BM43+BM44+BM45+BM46+BM47+BM48+BM53</f>
        <v>-17.941180161961</v>
      </c>
      <c r="BN49" s="13" t="n">
        <f aca="false">BN36+BN37+BN38+BN39+BN40+BN41+BN42+BN43+BN44+BN45+BN46+BN47+BN48+BN53</f>
        <v>0</v>
      </c>
    </row>
    <row r="50" customFormat="false" ht="15" hidden="false" customHeight="false" outlineLevel="0" collapsed="false">
      <c r="D50" s="0" t="s">
        <v>1941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9.59232693276135E-013</v>
      </c>
      <c r="P50" s="13" t="n">
        <f aca="false">Reserves!P11-Reserves!P10-Reserves!P12</f>
        <v>-0.0888789818650579</v>
      </c>
      <c r="Q50" s="13" t="n">
        <f aca="false">Reserves!Q11-Reserves!Q10-Reserves!Q12</f>
        <v>0.467768632427955</v>
      </c>
      <c r="R50" s="13" t="n">
        <f aca="false">Reserves!R11-Reserves!R10-Reserves!R12</f>
        <v>-0.291472595014866</v>
      </c>
      <c r="S50" s="13" t="n">
        <f aca="false">Reserves!S11-Reserves!S10-Reserves!S12</f>
        <v>0.417905289094385</v>
      </c>
      <c r="T50" s="13" t="n">
        <f aca="false">Reserves!T11-Reserves!T10-Reserves!T12</f>
        <v>-0.180525026807743</v>
      </c>
      <c r="U50" s="13" t="n">
        <f aca="false">Reserves!U11-Reserves!U10-Reserves!U12</f>
        <v>0.717227480252369</v>
      </c>
      <c r="V50" s="13" t="n">
        <f aca="false">Reserves!V11-Reserves!V10-Reserves!V12</f>
        <v>-0.264692809172296</v>
      </c>
      <c r="W50" s="13" t="n">
        <f aca="false">Reserves!W11-Reserves!W10-Reserves!W12</f>
        <v>-1.09643235136002</v>
      </c>
      <c r="X50" s="13" t="n">
        <f aca="false">Reserves!X11-Reserves!X10-Reserves!X12</f>
        <v>-0.356403029936082</v>
      </c>
      <c r="Y50" s="13" t="n">
        <f aca="false">Reserves!Y11-Reserves!Y10-Reserves!Y12</f>
        <v>0.300971063896078</v>
      </c>
      <c r="Z50" s="13" t="n">
        <f aca="false">Reserves!Z11-Reserves!Z10-Reserves!Z12</f>
        <v>-0.297075753558914</v>
      </c>
      <c r="AA50" s="13" t="n">
        <f aca="false">Reserves!AA11-Reserves!AA10-Reserves!AA12</f>
        <v>0.430461277057447</v>
      </c>
      <c r="AB50" s="13" t="n">
        <f aca="false">Reserves!AB11-Reserves!AB10-Reserves!AB12</f>
        <v>-0.703076217220222</v>
      </c>
      <c r="AC50" s="13" t="n">
        <f aca="false">Reserves!AC11-Reserves!AC10-Reserves!AC12</f>
        <v>0.679678582057747</v>
      </c>
      <c r="AD50" s="13" t="n">
        <f aca="false">Reserves!AD11-Reserves!AD10-Reserves!AD12</f>
        <v>-0.643918555153874</v>
      </c>
      <c r="AE50" s="13" t="n">
        <f aca="false">Reserves!AE11-Reserves!AE10-Reserves!AE12</f>
        <v>-0.811702907240886</v>
      </c>
      <c r="AF50" s="13" t="n">
        <f aca="false">Reserves!AF11-Reserves!AF10-Reserves!AF12</f>
        <v>-1.33104090193977</v>
      </c>
      <c r="AG50" s="13" t="n">
        <f aca="false">Reserves!AG11-Reserves!AG10-Reserves!AG12</f>
        <v>-0.873644842043746</v>
      </c>
      <c r="AH50" s="13" t="n">
        <f aca="false">Reserves!AH11-Reserves!AH10-Reserves!AH12</f>
        <v>-1.71439847307166</v>
      </c>
      <c r="AI50" s="13" t="n">
        <f aca="false">Reserves!AI11-Reserves!AI10-Reserves!AI12</f>
        <v>-1.57693848505311</v>
      </c>
      <c r="AJ50" s="13" t="n">
        <f aca="false">Reserves!AJ11-Reserves!AJ10-Reserves!AJ12</f>
        <v>-2.46732276352772</v>
      </c>
      <c r="AK50" s="13" t="n">
        <f aca="false">Reserves!AK11-Reserves!AK10-Reserves!AK12</f>
        <v>-2.78621239665097</v>
      </c>
      <c r="AL50" s="13" t="n">
        <f aca="false">Reserves!AL11-Reserves!AL10-Reserves!AL12</f>
        <v>-3.0100073515136</v>
      </c>
      <c r="AM50" s="13" t="n">
        <f aca="false">Reserves!AM11-Reserves!AM10-Reserves!AM12</f>
        <v>-2.935615044044</v>
      </c>
      <c r="AN50" s="13" t="n">
        <f aca="false">Reserves!AN11-Reserves!AN10-Reserves!AN12</f>
        <v>-0.807351200199008</v>
      </c>
      <c r="AO50" s="13" t="n">
        <f aca="false">Reserves!AO11-Reserves!AO10-Reserves!AO12</f>
        <v>-18.0231980760082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1942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38.949117381047</v>
      </c>
      <c r="P51" s="13" t="n">
        <f aca="false">P17-O17</f>
        <v>-1.37583262386146</v>
      </c>
      <c r="Q51" s="13" t="n">
        <f aca="false">Q17-P17</f>
        <v>0.884036934882815</v>
      </c>
      <c r="R51" s="13" t="n">
        <f aca="false">R17-Q17</f>
        <v>0.124795707439993</v>
      </c>
      <c r="S51" s="13" t="n">
        <f aca="false">S17-R17</f>
        <v>0.834173591549245</v>
      </c>
      <c r="T51" s="13" t="n">
        <f aca="false">T17-S17</f>
        <v>0.235743275647117</v>
      </c>
      <c r="U51" s="13" t="n">
        <f aca="false">U17-T17</f>
        <v>1.13349578270723</v>
      </c>
      <c r="V51" s="13" t="n">
        <f aca="false">V17-U17</f>
        <v>-2.76230262390146</v>
      </c>
      <c r="W51" s="13" t="n">
        <f aca="false">W17-V17</f>
        <v>-1.09643235136002</v>
      </c>
      <c r="X51" s="13" t="n">
        <f aca="false">X17-W17</f>
        <v>1.61633951369738</v>
      </c>
      <c r="Y51" s="13" t="n">
        <f aca="false">Y17-X17</f>
        <v>2.27371360752954</v>
      </c>
      <c r="Z51" s="13" t="n">
        <f aca="false">Z17-Y17</f>
        <v>1.67566679007455</v>
      </c>
      <c r="AA51" s="13" t="n">
        <f aca="false">AA17-Z17</f>
        <v>2.40320382069091</v>
      </c>
      <c r="AB51" s="13" t="n">
        <f aca="false">AB17-AA17</f>
        <v>1.26966632641324</v>
      </c>
      <c r="AC51" s="13" t="n">
        <f aca="false">AC17-AB17</f>
        <v>2.65242112569121</v>
      </c>
      <c r="AD51" s="13" t="n">
        <f aca="false">AD17-AC17</f>
        <v>-12.4803738169546</v>
      </c>
      <c r="AE51" s="13" t="n">
        <f aca="false">AE17-AD17</f>
        <v>-0.811702907240886</v>
      </c>
      <c r="AF51" s="13" t="n">
        <f aca="false">AF17-AE17</f>
        <v>-0.835612947023854</v>
      </c>
      <c r="AG51" s="13" t="n">
        <f aca="false">AG17-AF17</f>
        <v>-0.378216887127827</v>
      </c>
      <c r="AH51" s="13" t="n">
        <f aca="false">AH17-AG17</f>
        <v>-1.21897051815575</v>
      </c>
      <c r="AI51" s="13" t="n">
        <f aca="false">AI17-AH17</f>
        <v>-1.08151053013719</v>
      </c>
      <c r="AJ51" s="13" t="n">
        <f aca="false">AJ17-AI17</f>
        <v>-1.9718948086118</v>
      </c>
      <c r="AK51" s="13" t="n">
        <f aca="false">AK17-AJ17</f>
        <v>-2.29078444173506</v>
      </c>
      <c r="AL51" s="13" t="n">
        <f aca="false">AL17-AK17</f>
        <v>-5.98257508100908</v>
      </c>
      <c r="AM51" s="13" t="n">
        <f aca="false">AM17-AL17</f>
        <v>-2.935615044044</v>
      </c>
      <c r="AN51" s="13" t="n">
        <f aca="false">AN17-AM17</f>
        <v>1.54053788528793</v>
      </c>
      <c r="AO51" s="13" t="n">
        <f aca="false">AO17-AN17</f>
        <v>-15.6753089905213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1943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  <row r="53" customFormat="false" ht="15" hidden="false" customHeight="false" outlineLevel="0" collapsed="false">
      <c r="D53" s="0" t="s">
        <v>1944</v>
      </c>
      <c r="E53" s="0" t="s">
        <v>151</v>
      </c>
      <c r="G53" s="13" t="n">
        <f aca="false">SUM(J53:BN53)</f>
        <v>0</v>
      </c>
      <c r="J53" s="13" t="n">
        <f aca="false">Time!J34*SUM(Funding!$J$79:$BJ$79)</f>
        <v>0</v>
      </c>
      <c r="K53" s="13" t="n">
        <f aca="false">Time!K34*SUM(Funding!$J$79:$BJ$79)</f>
        <v>0</v>
      </c>
      <c r="L53" s="13" t="n">
        <f aca="false">Time!L34*SUM(Funding!$J$79:$BJ$79)</f>
        <v>0</v>
      </c>
      <c r="M53" s="13" t="n">
        <f aca="false">Time!M34*SUM(Funding!$J$79:$BJ$79)</f>
        <v>0</v>
      </c>
      <c r="N53" s="13" t="n">
        <f aca="false">Time!N34*SUM(Funding!$J$79:$BJ$79)</f>
        <v>0</v>
      </c>
      <c r="O53" s="13" t="n">
        <f aca="false">Time!O34*SUM(Funding!$J$79:$BJ$79)</f>
        <v>0</v>
      </c>
      <c r="P53" s="13" t="n">
        <f aca="false">Time!P34*SUM(Funding!$J$79:$BJ$79)</f>
        <v>0</v>
      </c>
      <c r="Q53" s="13" t="n">
        <f aca="false">Time!Q34*SUM(Funding!$J$79:$BJ$79)</f>
        <v>0</v>
      </c>
      <c r="R53" s="13" t="n">
        <f aca="false">Time!R34*SUM(Funding!$J$79:$BJ$79)</f>
        <v>0</v>
      </c>
      <c r="S53" s="13" t="n">
        <f aca="false">Time!S34*SUM(Funding!$J$79:$BJ$79)</f>
        <v>0</v>
      </c>
      <c r="T53" s="13" t="n">
        <f aca="false">Time!T34*SUM(Funding!$J$79:$BJ$79)</f>
        <v>0</v>
      </c>
      <c r="U53" s="13" t="n">
        <f aca="false">Time!U34*SUM(Funding!$J$79:$BJ$79)</f>
        <v>0</v>
      </c>
      <c r="V53" s="13" t="n">
        <f aca="false">Time!V34*SUM(Funding!$J$79:$BJ$79)</f>
        <v>0</v>
      </c>
      <c r="W53" s="13" t="n">
        <f aca="false">Time!W34*SUM(Funding!$J$79:$BJ$79)</f>
        <v>0</v>
      </c>
      <c r="X53" s="13" t="n">
        <f aca="false">Time!X34*SUM(Funding!$J$79:$BJ$79)</f>
        <v>0</v>
      </c>
      <c r="Y53" s="13" t="n">
        <f aca="false">Time!Y34*SUM(Funding!$J$79:$BJ$79)</f>
        <v>0</v>
      </c>
      <c r="Z53" s="13" t="n">
        <f aca="false">Time!Z34*SUM(Funding!$J$79:$BJ$79)</f>
        <v>0</v>
      </c>
      <c r="AA53" s="13" t="n">
        <f aca="false">Time!AA34*SUM(Funding!$J$79:$BJ$79)</f>
        <v>0</v>
      </c>
      <c r="AB53" s="13" t="n">
        <f aca="false">Time!AB34*SUM(Funding!$J$79:$BJ$79)</f>
        <v>0</v>
      </c>
      <c r="AC53" s="13" t="n">
        <f aca="false">Time!AC34*SUM(Funding!$J$79:$BJ$79)</f>
        <v>0</v>
      </c>
      <c r="AD53" s="13" t="n">
        <f aca="false">Time!AD34*SUM(Funding!$J$79:$BJ$79)</f>
        <v>0</v>
      </c>
      <c r="AE53" s="13" t="n">
        <f aca="false">Time!AE34*SUM(Funding!$J$79:$BJ$79)</f>
        <v>0</v>
      </c>
      <c r="AF53" s="13" t="n">
        <f aca="false">Time!AF34*SUM(Funding!$J$79:$BJ$79)</f>
        <v>0</v>
      </c>
      <c r="AG53" s="13" t="n">
        <f aca="false">Time!AG34*SUM(Funding!$J$79:$BJ$79)</f>
        <v>0</v>
      </c>
      <c r="AH53" s="13" t="n">
        <f aca="false">Time!AH34*SUM(Funding!$J$79:$BJ$79)</f>
        <v>0</v>
      </c>
      <c r="AI53" s="13" t="n">
        <f aca="false">Time!AI34*SUM(Funding!$J$79:$BJ$79)</f>
        <v>0</v>
      </c>
      <c r="AJ53" s="13" t="n">
        <f aca="false">Time!AJ34*SUM(Funding!$J$79:$BJ$79)</f>
        <v>0</v>
      </c>
      <c r="AK53" s="13" t="n">
        <f aca="false">Time!AK34*SUM(Funding!$J$79:$BJ$79)</f>
        <v>0</v>
      </c>
      <c r="AL53" s="13" t="n">
        <f aca="false">Time!AL34*SUM(Funding!$J$79:$BJ$79)</f>
        <v>0</v>
      </c>
      <c r="AM53" s="13" t="n">
        <f aca="false">Time!AM34*SUM(Funding!$J$79:$BJ$79)</f>
        <v>0</v>
      </c>
      <c r="AN53" s="13" t="n">
        <f aca="false">Time!AN34*SUM(Funding!$J$79:$BJ$79)</f>
        <v>0</v>
      </c>
      <c r="AO53" s="13" t="n">
        <f aca="false">Time!AO34*SUM(Funding!$J$79:$BJ$79)</f>
        <v>0</v>
      </c>
      <c r="AP53" s="13" t="n">
        <f aca="false">Time!AP34*SUM(Funding!$J$79:$BJ$79)</f>
        <v>0</v>
      </c>
      <c r="AQ53" s="13" t="n">
        <f aca="false">Time!AQ34*SUM(Funding!$J$79:$BJ$79)</f>
        <v>0</v>
      </c>
      <c r="AR53" s="13" t="n">
        <f aca="false">Time!AR34*SUM(Funding!$J$79:$BJ$79)</f>
        <v>0</v>
      </c>
      <c r="AS53" s="13" t="n">
        <f aca="false">Time!AS34*SUM(Funding!$J$79:$BJ$79)</f>
        <v>0</v>
      </c>
      <c r="AT53" s="13" t="n">
        <f aca="false">Time!AT34*SUM(Funding!$J$79:$BJ$79)</f>
        <v>0</v>
      </c>
      <c r="AU53" s="13" t="n">
        <f aca="false">Time!AU34*SUM(Funding!$J$79:$BJ$79)</f>
        <v>0</v>
      </c>
      <c r="AV53" s="13" t="n">
        <f aca="false">Time!AV34*SUM(Funding!$J$79:$BJ$79)</f>
        <v>0</v>
      </c>
      <c r="AW53" s="13" t="n">
        <f aca="false">Time!AW34*SUM(Funding!$J$79:$BJ$79)</f>
        <v>0</v>
      </c>
      <c r="AX53" s="13" t="n">
        <f aca="false">Time!AX34*SUM(Funding!$J$79:$BJ$79)</f>
        <v>0</v>
      </c>
      <c r="AY53" s="13" t="n">
        <f aca="false">Time!AY34*SUM(Funding!$J$79:$BJ$79)</f>
        <v>0</v>
      </c>
      <c r="AZ53" s="13" t="n">
        <f aca="false">Time!AZ34*SUM(Funding!$J$79:$BJ$79)</f>
        <v>0</v>
      </c>
      <c r="BA53" s="13" t="n">
        <f aca="false">Time!BA34*SUM(Funding!$J$79:$BJ$79)</f>
        <v>0</v>
      </c>
      <c r="BB53" s="13" t="n">
        <f aca="false">Time!BB34*SUM(Funding!$J$79:$BJ$79)</f>
        <v>0</v>
      </c>
      <c r="BC53" s="13" t="n">
        <f aca="false">Time!BC34*SUM(Funding!$J$79:$BJ$79)</f>
        <v>0</v>
      </c>
      <c r="BD53" s="13" t="n">
        <f aca="false">Time!BD34*SUM(Funding!$J$79:$BJ$79)</f>
        <v>0</v>
      </c>
      <c r="BE53" s="13" t="n">
        <f aca="false">Time!BE34*SUM(Funding!$J$79:$BJ$79)</f>
        <v>0</v>
      </c>
      <c r="BF53" s="13" t="n">
        <f aca="false">Time!BF34*SUM(Funding!$J$79:$BJ$79)</f>
        <v>0</v>
      </c>
      <c r="BG53" s="13" t="n">
        <f aca="false">Time!BG34*SUM(Funding!$J$79:$BJ$79)</f>
        <v>0</v>
      </c>
      <c r="BH53" s="13" t="n">
        <f aca="false">Time!BH34*SUM(Funding!$J$79:$BJ$79)</f>
        <v>0</v>
      </c>
      <c r="BI53" s="13" t="n">
        <f aca="false">Time!BI34*SUM(Funding!$J$79:$BJ$79)</f>
        <v>0</v>
      </c>
      <c r="BJ53" s="13" t="n">
        <f aca="false">Time!BJ34*SUM(Funding!$J$79:$BJ$79)</f>
        <v>0</v>
      </c>
      <c r="BK53" s="13" t="n">
        <f aca="false">Time!BK34*SUM(Funding!$J$79:$BJ$79)</f>
        <v>0</v>
      </c>
      <c r="BL53" s="13" t="n">
        <f aca="false">Time!BL34*SUM(Funding!$J$79:$BJ$79)</f>
        <v>0</v>
      </c>
      <c r="BM53" s="13" t="n">
        <f aca="false">Time!BM34*SUM(Funding!$J$79:$BJ$79)</f>
        <v>0</v>
      </c>
      <c r="BN53" s="13" t="n">
        <f aca="false">Time!BN34*SUM(Funding!$J$79:$BJ$79)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0.0343560605449481</v>
      </c>
      <c r="Q7" s="16" t="n">
        <f aca="false">IF(Debt!Q115&gt;Inputs!$F$253,Debt!Q112/Debt!Q115,0)</f>
        <v>0.0340865298377312</v>
      </c>
      <c r="R7" s="16" t="n">
        <f aca="false">IF(Debt!R115&gt;Inputs!$F$253,Debt!R112/Debt!R115,0)</f>
        <v>0.0345300049340327</v>
      </c>
      <c r="S7" s="16" t="n">
        <f aca="false">IF(Debt!S115&gt;Inputs!$F$253,Debt!S112/Debt!S115,0)</f>
        <v>0.0342415939166486</v>
      </c>
      <c r="T7" s="16" t="n">
        <f aca="false">IF(Debt!T115&gt;Inputs!$F$253,Debt!T112/Debt!T115,0)</f>
        <v>0.0346852323245813</v>
      </c>
      <c r="U7" s="16" t="n">
        <f aca="false">IF(Debt!U115&gt;Inputs!$F$253,Debt!U112/Debt!U115,0)</f>
        <v>0.0345046368743244</v>
      </c>
      <c r="V7" s="16" t="n">
        <f aca="false">IF(Debt!V115&gt;Inputs!$F$253,Debt!V112/Debt!V115,0)</f>
        <v>0.0348229342918151</v>
      </c>
      <c r="W7" s="16" t="n">
        <f aca="false">IF(Debt!W115&gt;Inputs!$F$253,Debt!W112/Debt!W115,0)</f>
        <v>0.0345086077974587</v>
      </c>
      <c r="X7" s="16" t="n">
        <f aca="false">IF(Debt!X115&gt;Inputs!$F$253,Debt!X112/Debt!X115,0)</f>
        <v>0.0349467305643299</v>
      </c>
      <c r="Y7" s="16" t="n">
        <f aca="false">IF(Debt!Y115&gt;Inputs!$F$253,Debt!Y112/Debt!Y115,0)</f>
        <v>0.0357555865142097</v>
      </c>
      <c r="Z7" s="16" t="n">
        <f aca="false">IF(Debt!Z115&gt;Inputs!$F$253,Debt!Z112/Debt!Z115,0)</f>
        <v>0.0362397229410082</v>
      </c>
      <c r="AA7" s="16" t="n">
        <f aca="false">IF(Debt!AA115&gt;Inputs!$F$253,Debt!AA112/Debt!AA115,0)</f>
        <v>0.0359253620399193</v>
      </c>
      <c r="AB7" s="16" t="n">
        <f aca="false">IF(Debt!AB115&gt;Inputs!$F$253,Debt!AB112/Debt!AB115,0)</f>
        <v>0.0362346544620937</v>
      </c>
      <c r="AC7" s="16" t="n">
        <f aca="false">IF(Debt!AC115&gt;Inputs!$F$253,Debt!AC112/Debt!AC115,0)</f>
        <v>0.0358346932037983</v>
      </c>
      <c r="AD7" s="16" t="n">
        <f aca="false">IF(Debt!AD115&gt;Inputs!$F$253,Debt!AD112/Debt!AD115,0)</f>
        <v>0.0359491912963683</v>
      </c>
      <c r="AE7" s="16" t="n">
        <f aca="false">IF(Debt!AE115&gt;Inputs!$F$253,Debt!AE112/Debt!AE115,0)</f>
        <v>0.035330100041566</v>
      </c>
      <c r="AF7" s="16" t="n">
        <f aca="false">IF(Debt!AF115&gt;Inputs!$F$253,Debt!AF112/Debt!AF115,0)</f>
        <v>0.0353873116488167</v>
      </c>
      <c r="AG7" s="16" t="n">
        <f aca="false">IF(Debt!AG115&gt;Inputs!$F$253,Debt!AG112/Debt!AG115,0)</f>
        <v>0.0355310853914943</v>
      </c>
      <c r="AH7" s="16" t="n">
        <f aca="false">IF(Debt!AH115&gt;Inputs!$F$253,Debt!AH112/Debt!AH115,0)</f>
        <v>0.0352745236978758</v>
      </c>
      <c r="AI7" s="16" t="n">
        <f aca="false">IF(Debt!AI115&gt;Inputs!$F$253,Debt!AI112/Debt!AI115,0)</f>
        <v>0.0340338322330382</v>
      </c>
      <c r="AJ7" s="16" t="n">
        <f aca="false">IF(Debt!AJ115&gt;Inputs!$F$253,Debt!AJ112/Debt!AJ115,0)</f>
        <v>0.0330122425529616</v>
      </c>
      <c r="AK7" s="16" t="n">
        <f aca="false">IF(Debt!AK115&gt;Inputs!$F$253,Debt!AK112/Debt!AK115,0)</f>
        <v>0.0305811421943239</v>
      </c>
      <c r="AL7" s="16" t="n">
        <f aca="false">IF(Debt!AL115&gt;Inputs!$F$253,Debt!AL112/Debt!AL115,0)</f>
        <v>0.0281425222610601</v>
      </c>
      <c r="AM7" s="16" t="n">
        <f aca="false">IF(Debt!AM115&gt;Inputs!$F$253,Debt!AM112/Debt!AM115,0)</f>
        <v>0.0279526825575032</v>
      </c>
      <c r="AN7" s="16" t="n">
        <f aca="false">IF(Debt!AN115&gt;Inputs!$F$253,Debt!AN112/Debt!AN115,0)</f>
        <v>0.0278893898909416</v>
      </c>
      <c r="AO7" s="16" t="n">
        <f aca="false">IF(Debt!AO115&gt;Inputs!$F$253,Debt!AO112/Debt!AO115,0)</f>
        <v>0.027724422218324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1948</v>
      </c>
      <c r="E9" s="0" t="s">
        <v>101</v>
      </c>
      <c r="F9" s="16" t="n">
        <f aca="false">INDEX(Ratios!$J$7:$BN$7,1,Ratios!$F$8)</f>
        <v>0.027724422218324</v>
      </c>
    </row>
    <row r="10" customFormat="false" ht="15" hidden="false" customHeight="false" outlineLevel="0" collapsed="false">
      <c r="D10" s="0" t="s">
        <v>1949</v>
      </c>
      <c r="E10" s="0" t="s">
        <v>101</v>
      </c>
      <c r="J10" s="16" t="n">
        <f aca="false">IF(J7&gt;0,J7,$F$9)</f>
        <v>0.027724422218324</v>
      </c>
      <c r="K10" s="16" t="n">
        <f aca="false">IF(K7&gt;0,K7,$F$9)</f>
        <v>0.027724422218324</v>
      </c>
      <c r="L10" s="16" t="n">
        <f aca="false">IF(L7&gt;0,L7,$F$9)</f>
        <v>0.027724422218324</v>
      </c>
      <c r="M10" s="16" t="n">
        <f aca="false">IF(M7&gt;0,M7,$F$9)</f>
        <v>0.027724422218324</v>
      </c>
      <c r="N10" s="16" t="n">
        <f aca="false">IF(N7&gt;0,N7,$F$9)</f>
        <v>0.027724422218324</v>
      </c>
      <c r="O10" s="16" t="n">
        <f aca="false">IF(O7&gt;0,O7,$F$9)</f>
        <v>0.027724422218324</v>
      </c>
      <c r="P10" s="16" t="n">
        <f aca="false">IF(P7&gt;0,P7,$F$9)</f>
        <v>0.0343560605449481</v>
      </c>
      <c r="Q10" s="16" t="n">
        <f aca="false">IF(Q7&gt;0,Q7,$F$9)</f>
        <v>0.0340865298377312</v>
      </c>
      <c r="R10" s="16" t="n">
        <f aca="false">IF(R7&gt;0,R7,$F$9)</f>
        <v>0.0345300049340327</v>
      </c>
      <c r="S10" s="16" t="n">
        <f aca="false">IF(S7&gt;0,S7,$F$9)</f>
        <v>0.0342415939166486</v>
      </c>
      <c r="T10" s="16" t="n">
        <f aca="false">IF(T7&gt;0,T7,$F$9)</f>
        <v>0.0346852323245813</v>
      </c>
      <c r="U10" s="16" t="n">
        <f aca="false">IF(U7&gt;0,U7,$F$9)</f>
        <v>0.0345046368743244</v>
      </c>
      <c r="V10" s="16" t="n">
        <f aca="false">IF(V7&gt;0,V7,$F$9)</f>
        <v>0.0348229342918151</v>
      </c>
      <c r="W10" s="16" t="n">
        <f aca="false">IF(W7&gt;0,W7,$F$9)</f>
        <v>0.0345086077974587</v>
      </c>
      <c r="X10" s="16" t="n">
        <f aca="false">IF(X7&gt;0,X7,$F$9)</f>
        <v>0.0349467305643299</v>
      </c>
      <c r="Y10" s="16" t="n">
        <f aca="false">IF(Y7&gt;0,Y7,$F$9)</f>
        <v>0.0357555865142097</v>
      </c>
      <c r="Z10" s="16" t="n">
        <f aca="false">IF(Z7&gt;0,Z7,$F$9)</f>
        <v>0.0362397229410082</v>
      </c>
      <c r="AA10" s="16" t="n">
        <f aca="false">IF(AA7&gt;0,AA7,$F$9)</f>
        <v>0.0359253620399193</v>
      </c>
      <c r="AB10" s="16" t="n">
        <f aca="false">IF(AB7&gt;0,AB7,$F$9)</f>
        <v>0.0362346544620937</v>
      </c>
      <c r="AC10" s="16" t="n">
        <f aca="false">IF(AC7&gt;0,AC7,$F$9)</f>
        <v>0.0358346932037983</v>
      </c>
      <c r="AD10" s="16" t="n">
        <f aca="false">IF(AD7&gt;0,AD7,$F$9)</f>
        <v>0.0359491912963683</v>
      </c>
      <c r="AE10" s="16" t="n">
        <f aca="false">IF(AE7&gt;0,AE7,$F$9)</f>
        <v>0.035330100041566</v>
      </c>
      <c r="AF10" s="16" t="n">
        <f aca="false">IF(AF7&gt;0,AF7,$F$9)</f>
        <v>0.0353873116488167</v>
      </c>
      <c r="AG10" s="16" t="n">
        <f aca="false">IF(AG7&gt;0,AG7,$F$9)</f>
        <v>0.0355310853914943</v>
      </c>
      <c r="AH10" s="16" t="n">
        <f aca="false">IF(AH7&gt;0,AH7,$F$9)</f>
        <v>0.0352745236978758</v>
      </c>
      <c r="AI10" s="16" t="n">
        <f aca="false">IF(AI7&gt;0,AI7,$F$9)</f>
        <v>0.0340338322330382</v>
      </c>
      <c r="AJ10" s="16" t="n">
        <f aca="false">IF(AJ7&gt;0,AJ7,$F$9)</f>
        <v>0.0330122425529616</v>
      </c>
      <c r="AK10" s="16" t="n">
        <f aca="false">IF(AK7&gt;0,AK7,$F$9)</f>
        <v>0.0305811421943239</v>
      </c>
      <c r="AL10" s="16" t="n">
        <f aca="false">IF(AL7&gt;0,AL7,$F$9)</f>
        <v>0.0281425222610601</v>
      </c>
      <c r="AM10" s="16" t="n">
        <f aca="false">IF(AM7&gt;0,AM7,$F$9)</f>
        <v>0.0279526825575032</v>
      </c>
      <c r="AN10" s="16" t="n">
        <f aca="false">IF(AN7&gt;0,AN7,$F$9)</f>
        <v>0.0278893898909416</v>
      </c>
      <c r="AO10" s="16" t="n">
        <f aca="false">IF(AO7&gt;0,AO7,$F$9)</f>
        <v>0.027724422218324</v>
      </c>
      <c r="AP10" s="16" t="n">
        <f aca="false">IF(AP7&gt;0,AP7,$F$9)</f>
        <v>0.027724422218324</v>
      </c>
      <c r="AQ10" s="16" t="n">
        <f aca="false">IF(AQ7&gt;0,AQ7,$F$9)</f>
        <v>0.027724422218324</v>
      </c>
      <c r="AR10" s="16" t="n">
        <f aca="false">IF(AR7&gt;0,AR7,$F$9)</f>
        <v>0.027724422218324</v>
      </c>
      <c r="AS10" s="16" t="n">
        <f aca="false">IF(AS7&gt;0,AS7,$F$9)</f>
        <v>0.027724422218324</v>
      </c>
      <c r="AT10" s="16" t="n">
        <f aca="false">IF(AT7&gt;0,AT7,$F$9)</f>
        <v>0.027724422218324</v>
      </c>
      <c r="AU10" s="16" t="n">
        <f aca="false">IF(AU7&gt;0,AU7,$F$9)</f>
        <v>0.027724422218324</v>
      </c>
      <c r="AV10" s="16" t="n">
        <f aca="false">IF(AV7&gt;0,AV7,$F$9)</f>
        <v>0.027724422218324</v>
      </c>
      <c r="AW10" s="16" t="n">
        <f aca="false">IF(AW7&gt;0,AW7,$F$9)</f>
        <v>0.027724422218324</v>
      </c>
      <c r="AX10" s="16" t="n">
        <f aca="false">IF(AX7&gt;0,AX7,$F$9)</f>
        <v>0.027724422218324</v>
      </c>
      <c r="AY10" s="16" t="n">
        <f aca="false">IF(AY7&gt;0,AY7,$F$9)</f>
        <v>0.027724422218324</v>
      </c>
      <c r="AZ10" s="16" t="n">
        <f aca="false">IF(AZ7&gt;0,AZ7,$F$9)</f>
        <v>0.027724422218324</v>
      </c>
      <c r="BA10" s="16" t="n">
        <f aca="false">IF(BA7&gt;0,BA7,$F$9)</f>
        <v>0.027724422218324</v>
      </c>
      <c r="BB10" s="16" t="n">
        <f aca="false">IF(BB7&gt;0,BB7,$F$9)</f>
        <v>0.027724422218324</v>
      </c>
      <c r="BC10" s="16" t="n">
        <f aca="false">IF(BC7&gt;0,BC7,$F$9)</f>
        <v>0.027724422218324</v>
      </c>
      <c r="BD10" s="16" t="n">
        <f aca="false">IF(BD7&gt;0,BD7,$F$9)</f>
        <v>0.027724422218324</v>
      </c>
      <c r="BE10" s="16" t="n">
        <f aca="false">IF(BE7&gt;0,BE7,$F$9)</f>
        <v>0.027724422218324</v>
      </c>
      <c r="BF10" s="16" t="n">
        <f aca="false">IF(BF7&gt;0,BF7,$F$9)</f>
        <v>0.027724422218324</v>
      </c>
      <c r="BG10" s="16" t="n">
        <f aca="false">IF(BG7&gt;0,BG7,$F$9)</f>
        <v>0.027724422218324</v>
      </c>
      <c r="BH10" s="16" t="n">
        <f aca="false">IF(BH7&gt;0,BH7,$F$9)</f>
        <v>0.027724422218324</v>
      </c>
      <c r="BI10" s="16" t="n">
        <f aca="false">IF(BI7&gt;0,BI7,$F$9)</f>
        <v>0.027724422218324</v>
      </c>
      <c r="BJ10" s="16" t="n">
        <f aca="false">IF(BJ7&gt;0,BJ7,$F$9)</f>
        <v>0.027724422218324</v>
      </c>
      <c r="BK10" s="16" t="n">
        <f aca="false">IF(BK7&gt;0,BK7,$F$9)</f>
        <v>0.027724422218324</v>
      </c>
      <c r="BL10" s="16" t="n">
        <f aca="false">IF(BL7&gt;0,BL7,$F$9)</f>
        <v>0.027724422218324</v>
      </c>
      <c r="BM10" s="16" t="n">
        <f aca="false">IF(BM7&gt;0,BM7,$F$9)</f>
        <v>0.027724422218324</v>
      </c>
      <c r="BN10" s="16" t="n">
        <f aca="false">IF(BN7&gt;0,BN7,$F$9)</f>
        <v>0.027724422218324</v>
      </c>
    </row>
    <row r="11" customFormat="false" ht="15" hidden="false" customHeight="false" outlineLevel="0" collapsed="false">
      <c r="D11" s="0" t="s">
        <v>1950</v>
      </c>
      <c r="E11" s="0" t="s">
        <v>151</v>
      </c>
      <c r="J11" s="13" t="n">
        <f aca="false">IF(Time!J20&lt;=$F$8,(Waterfall!J7+K11)/(1+J10),0)</f>
        <v>716.262498075021</v>
      </c>
      <c r="K11" s="13" t="n">
        <f aca="false">IF(Time!K20&lt;=$F$8,(Waterfall!K7+L11)/(1+K10),0)</f>
        <v>736.120461990804</v>
      </c>
      <c r="L11" s="13" t="n">
        <f aca="false">IF(Time!L20&lt;=$F$8,(Waterfall!L7+M11)/(1+L10),0)</f>
        <v>756.528976482585</v>
      </c>
      <c r="M11" s="13" t="n">
        <f aca="false">IF(Time!M20&lt;=$F$8,(Waterfall!M7+N11)/(1+M10),0)</f>
        <v>777.503305246985</v>
      </c>
      <c r="N11" s="13" t="n">
        <f aca="false">IF(Time!N20&lt;=$F$8,(Waterfall!N7+O11)/(1+N10),0)</f>
        <v>799.059135157794</v>
      </c>
      <c r="O11" s="13" t="n">
        <f aca="false">IF(Time!O20&lt;=$F$8,(Waterfall!O7+P11)/(1+O10),0)</f>
        <v>821.212587998318</v>
      </c>
      <c r="P11" s="13" t="n">
        <f aca="false">IF(Time!P20&lt;=$F$8,(Waterfall!P7+Q11)/(1+P10),0)</f>
        <v>842.277010574533</v>
      </c>
      <c r="Q11" s="13" t="n">
        <f aca="false">IF(Time!Q20&lt;=$F$8,(Waterfall!Q7+R11)/(1+Q10),0)</f>
        <v>821.940191159655</v>
      </c>
      <c r="R11" s="13" t="n">
        <f aca="false">IF(Time!R20&lt;=$F$8,(Waterfall!R7+S11)/(1+R10),0)</f>
        <v>800.810498506812</v>
      </c>
      <c r="S11" s="13" t="n">
        <f aca="false">IF(Time!S20&lt;=$F$8,(Waterfall!S7+T11)/(1+S10),0)</f>
        <v>778.700867783402</v>
      </c>
      <c r="T11" s="13" t="n">
        <f aca="false">IF(Time!T20&lt;=$F$8,(Waterfall!T7+U11)/(1+T10),0)</f>
        <v>756.002379722164</v>
      </c>
      <c r="U11" s="13" t="n">
        <f aca="false">IF(Time!U20&lt;=$F$8,(Waterfall!U7+V11)/(1+U10),0)</f>
        <v>732.314893026837</v>
      </c>
      <c r="V11" s="13" t="n">
        <f aca="false">IF(Time!V20&lt;=$F$8,(Waterfall!V7+W11)/(1+V10),0)</f>
        <v>707.924037708698</v>
      </c>
      <c r="W11" s="13" t="n">
        <f aca="false">IF(Time!W20&lt;=$F$8,(Waterfall!W7+X11)/(1+W10),0)</f>
        <v>681.964106647795</v>
      </c>
      <c r="X11" s="13" t="n">
        <f aca="false">IF(Time!X20&lt;=$F$8,(Waterfall!X7+Y11)/(1+X10),0)</f>
        <v>655.250059676242</v>
      </c>
      <c r="Y11" s="13" t="n">
        <f aca="false">IF(Time!Y20&lt;=$F$8,(Waterfall!Y7+Z11)/(1+Y10),0)</f>
        <v>629.399182864308</v>
      </c>
      <c r="Z11" s="13" t="n">
        <f aca="false">IF(Time!Z20&lt;=$F$8,(Waterfall!Z7+AA11)/(1+Z10),0)</f>
        <v>603.641209624134</v>
      </c>
      <c r="AA11" s="13" t="n">
        <f aca="false">IF(Time!AA20&lt;=$F$8,(Waterfall!AA7+AB11)/(1+AA10),0)</f>
        <v>576.866340755125</v>
      </c>
      <c r="AB11" s="13" t="n">
        <f aca="false">IF(Time!AB20&lt;=$F$8,(Waterfall!AB7+AC11)/(1+AB10),0)</f>
        <v>549.347069471628</v>
      </c>
      <c r="AC11" s="13" t="n">
        <f aca="false">IF(Time!AC20&lt;=$F$8,(Waterfall!AC7+AD11)/(1+AC10),0)</f>
        <v>520.446506180855</v>
      </c>
      <c r="AD11" s="13" t="n">
        <f aca="false">IF(Time!AD20&lt;=$F$8,(Waterfall!AD7+AE11)/(1+AD10),0)</f>
        <v>490.502936785287</v>
      </c>
      <c r="AE11" s="13" t="n">
        <f aca="false">IF(Time!AE20&lt;=$F$8,(Waterfall!AE7+AF11)/(1+AE10),0)</f>
        <v>457.648275744892</v>
      </c>
      <c r="AF11" s="13" t="n">
        <f aca="false">IF(Time!AF20&lt;=$F$8,(Waterfall!AF7+AG11)/(1+AF10),0)</f>
        <v>423.253438431622</v>
      </c>
      <c r="AG11" s="13" t="n">
        <f aca="false">IF(Time!AG20&lt;=$F$8,(Waterfall!AG7+AH11)/(1+AG10),0)</f>
        <v>387.526176680046</v>
      </c>
      <c r="AH11" s="13" t="n">
        <f aca="false">IF(Time!AH20&lt;=$F$8,(Waterfall!AH7+AI11)/(1+AH10),0)</f>
        <v>350.964367637363</v>
      </c>
      <c r="AI11" s="13" t="n">
        <f aca="false">IF(Time!AI20&lt;=$F$8,(Waterfall!AI7+AJ11)/(1+AI10),0)</f>
        <v>312.363782128036</v>
      </c>
      <c r="AJ11" s="13" t="n">
        <f aca="false">IF(Time!AJ20&lt;=$F$8,(Waterfall!AJ7+AK11)/(1+AJ10),0)</f>
        <v>272.428303745858</v>
      </c>
      <c r="AK11" s="13" t="n">
        <f aca="false">IF(Time!AK20&lt;=$F$8,(Waterfall!AK7+AL11)/(1+AK10),0)</f>
        <v>230.274250246134</v>
      </c>
      <c r="AL11" s="13" t="n">
        <f aca="false">IF(Time!AL20&lt;=$F$8,(Waterfall!AL7+AM11)/(1+AL10),0)</f>
        <v>186.414913317451</v>
      </c>
      <c r="AM11" s="13" t="n">
        <f aca="false">IF(Time!AM20&lt;=$F$8,(Waterfall!AM7+AN11)/(1+AM10),0)</f>
        <v>139.667055921219</v>
      </c>
      <c r="AN11" s="13" t="n">
        <f aca="false">IF(Time!AN20&lt;=$F$8,(Waterfall!AN7+AO11)/(1+AN10),0)</f>
        <v>91.9611755746417</v>
      </c>
      <c r="AO11" s="13" t="n">
        <f aca="false">IF(Time!AO20&lt;=$F$8,(Waterfall!AO7+AP11)/(1+AO10),0)</f>
        <v>44.7731998307037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1951</v>
      </c>
      <c r="E12" s="0" t="s">
        <v>151</v>
      </c>
      <c r="J12" s="13" t="n">
        <f aca="false">IF(Time!J20&lt;=Time!$F$15,(Waterfall!J7+K12)/(1+J10),0)</f>
        <v>969.429139616528</v>
      </c>
      <c r="K12" s="13" t="n">
        <f aca="false">IF(Time!K20&lt;=Time!$F$15,(Waterfall!K7+L12)/(1+K10),0)</f>
        <v>996.306002394003</v>
      </c>
      <c r="L12" s="13" t="n">
        <f aca="false">IF(Time!L20&lt;=Time!$F$15,(Waterfall!L7+M12)/(1+L10),0)</f>
        <v>1023.92801066302</v>
      </c>
      <c r="M12" s="13" t="n">
        <f aca="false">IF(Time!M20&lt;=Time!$F$15,(Waterfall!M7+N12)/(1+M10),0)</f>
        <v>1052.31582315181</v>
      </c>
      <c r="N12" s="13" t="n">
        <f aca="false">IF(Time!N20&lt;=Time!$F$15,(Waterfall!N7+O12)/(1+N10),0)</f>
        <v>1081.4906713399</v>
      </c>
      <c r="O12" s="13" t="n">
        <f aca="false">IF(Time!O20&lt;=Time!$F$15,(Waterfall!O7+P12)/(1+O10),0)</f>
        <v>1111.4743753373</v>
      </c>
      <c r="P12" s="13" t="n">
        <f aca="false">IF(Time!P20&lt;=Time!$F$15,(Waterfall!P7+Q12)/(1+P10),0)</f>
        <v>1140.58613825955</v>
      </c>
      <c r="Q12" s="13" t="n">
        <f aca="false">IF(Time!Q20&lt;=Time!$F$15,(Waterfall!Q7+R12)/(1+Q10),0)</f>
        <v>1130.49804529653</v>
      </c>
      <c r="R12" s="13" t="n">
        <f aca="false">IF(Time!R20&lt;=Time!$F$15,(Waterfall!R7+S12)/(1+R10),0)</f>
        <v>1119.88601914539</v>
      </c>
      <c r="S12" s="13" t="n">
        <f aca="false">IF(Time!S20&lt;=Time!$F$15,(Waterfall!S7+T12)/(1+S10),0)</f>
        <v>1108.79406772396</v>
      </c>
      <c r="T12" s="13" t="n">
        <f aca="false">IF(Time!T20&lt;=Time!$F$15,(Waterfall!T7+U12)/(1+T10),0)</f>
        <v>1097.39849696973</v>
      </c>
      <c r="U12" s="13" t="n">
        <f aca="false">IF(Time!U20&lt;=Time!$F$15,(Waterfall!U7+V12)/(1+U10),0)</f>
        <v>1085.55241391585</v>
      </c>
      <c r="V12" s="13" t="n">
        <f aca="false">IF(Time!V20&lt;=Time!$F$15,(Waterfall!V7+W12)/(1+V10),0)</f>
        <v>1073.34989098637</v>
      </c>
      <c r="W12" s="13" t="n">
        <f aca="false">IF(Time!W20&lt;=Time!$F$15,(Waterfall!W7+X12)/(1+W10),0)</f>
        <v>1060.11516040269</v>
      </c>
      <c r="X12" s="13" t="n">
        <f aca="false">IF(Time!X20&lt;=Time!$F$15,(Waterfall!X7+Y12)/(1+X10),0)</f>
        <v>1046.45057983336</v>
      </c>
      <c r="Y12" s="13" t="n">
        <f aca="false">IF(Time!Y20&lt;=Time!$F$15,(Waterfall!Y7+Z12)/(1+Y10),0)</f>
        <v>1034.27088219598</v>
      </c>
      <c r="Z12" s="13" t="n">
        <f aca="false">IF(Time!Z20&lt;=Time!$F$15,(Waterfall!Z7+AA12)/(1+Z10),0)</f>
        <v>1022.98933402841</v>
      </c>
      <c r="AA12" s="13" t="n">
        <f aca="false">IF(Time!AA20&lt;=Time!$F$15,(Waterfall!AA7+AB12)/(1+AA10),0)</f>
        <v>1011.41152500365</v>
      </c>
      <c r="AB12" s="13" t="n">
        <f aca="false">IF(Time!AB20&lt;=Time!$F$15,(Waterfall!AB7+AC12)/(1+AB10),0)</f>
        <v>999.503446786983</v>
      </c>
      <c r="AC12" s="13" t="n">
        <f aca="false">IF(Time!AC20&lt;=Time!$F$15,(Waterfall!AC7+AD12)/(1+AC10),0)</f>
        <v>986.914144282141</v>
      </c>
      <c r="AD12" s="13" t="n">
        <f aca="false">IF(Time!AD20&lt;=Time!$F$15,(Waterfall!AD7+AE12)/(1+AD10),0)</f>
        <v>973.686299587433</v>
      </c>
      <c r="AE12" s="13" t="n">
        <f aca="false">IF(Time!AE20&lt;=Time!$F$15,(Waterfall!AE7+AF12)/(1+AE10),0)</f>
        <v>958.201689687634</v>
      </c>
      <c r="AF12" s="13" t="n">
        <f aca="false">IF(Time!AF20&lt;=Time!$F$15,(Waterfall!AF7+AG12)/(1+AF10),0)</f>
        <v>941.491454565108</v>
      </c>
      <c r="AG12" s="13" t="n">
        <f aca="false">IF(Time!AG20&lt;=Time!$F$15,(Waterfall!AG7+AH12)/(1+AG10),0)</f>
        <v>924.103242998713</v>
      </c>
      <c r="AH12" s="13" t="n">
        <f aca="false">IF(Time!AH20&lt;=Time!$F$15,(Waterfall!AH7+AI12)/(1+AH10),0)</f>
        <v>906.606599518516</v>
      </c>
      <c r="AI12" s="13" t="n">
        <f aca="false">IF(Time!AI20&lt;=Time!$F$15,(Waterfall!AI7+AJ12)/(1+AI10),0)</f>
        <v>887.606029085221</v>
      </c>
      <c r="AJ12" s="13" t="n">
        <f aca="false">IF(Time!AJ20&lt;=Time!$F$15,(Waterfall!AJ7+AK12)/(1+AJ10),0)</f>
        <v>867.24824882934</v>
      </c>
      <c r="AK12" s="13" t="n">
        <f aca="false">IF(Time!AK20&lt;=Time!$F$15,(Waterfall!AK7+AL12)/(1+AK10),0)</f>
        <v>844.730535632051</v>
      </c>
      <c r="AL12" s="13" t="n">
        <f aca="false">IF(Time!AL20&lt;=Time!$F$15,(Waterfall!AL7+AM12)/(1+AL10),0)</f>
        <v>819.661973738951</v>
      </c>
      <c r="AM12" s="13" t="n">
        <f aca="false">IF(Time!AM20&lt;=Time!$F$15,(Waterfall!AM7+AN12)/(1+AM10),0)</f>
        <v>790.735285837381</v>
      </c>
      <c r="AN12" s="13" t="n">
        <f aca="false">IF(Time!AN20&lt;=Time!$F$15,(Waterfall!AN7+AO12)/(1+AN10),0)</f>
        <v>761.228509044927</v>
      </c>
      <c r="AO12" s="13" t="n">
        <f aca="false">IF(Time!AO20&lt;=Time!$F$15,(Waterfall!AO7+AP12)/(1+AO10),0)</f>
        <v>732.705990905412</v>
      </c>
      <c r="AP12" s="13" t="n">
        <f aca="false">IF(Time!AP20&lt;=Time!$F$15,(Waterfall!AP7+AQ12)/(1+AP10),0)</f>
        <v>707.005330232294</v>
      </c>
      <c r="AQ12" s="13" t="n">
        <f aca="false">IF(Time!AQ20&lt;=Time!$F$15,(Waterfall!AQ7+AR12)/(1+AQ10),0)</f>
        <v>685.348975076452</v>
      </c>
      <c r="AR12" s="13" t="n">
        <f aca="false">IF(Time!AR20&lt;=Time!$F$15,(Waterfall!AR7+AS12)/(1+AR10),0)</f>
        <v>664.107587054821</v>
      </c>
      <c r="AS12" s="13" t="n">
        <f aca="false">IF(Time!AS20&lt;=Time!$F$15,(Waterfall!AS7+AT12)/(1+AS10),0)</f>
        <v>641.709137492339</v>
      </c>
      <c r="AT12" s="13" t="n">
        <f aca="false">IF(Time!AT20&lt;=Time!$F$15,(Waterfall!AT7+AU12)/(1+AT10),0)</f>
        <v>618.959366904371</v>
      </c>
      <c r="AU12" s="13" t="n">
        <f aca="false">IF(Time!AU20&lt;=Time!$F$15,(Waterfall!AU7+AV12)/(1+AU10),0)</f>
        <v>588.861311591911</v>
      </c>
      <c r="AV12" s="13" t="n">
        <f aca="false">IF(Time!AV20&lt;=Time!$F$15,(Waterfall!AV7+AW12)/(1+AV10),0)</f>
        <v>562.370359730947</v>
      </c>
      <c r="AW12" s="13" t="n">
        <f aca="false">IF(Time!AW20&lt;=Time!$F$15,(Waterfall!AW7+AX12)/(1+AW10),0)</f>
        <v>535.039898089241</v>
      </c>
      <c r="AX12" s="13" t="n">
        <f aca="false">IF(Time!AX20&lt;=Time!$F$15,(Waterfall!AX7+AY12)/(1+AX10),0)</f>
        <v>507.379291600069</v>
      </c>
      <c r="AY12" s="13" t="n">
        <f aca="false">IF(Time!AY20&lt;=Time!$F$15,(Waterfall!AY7+AZ12)/(1+AY10),0)</f>
        <v>478.295811682416</v>
      </c>
      <c r="AZ12" s="13" t="n">
        <f aca="false">IF(Time!AZ20&lt;=Time!$F$15,(Waterfall!AZ7+BA12)/(1+AZ10),0)</f>
        <v>448.866193412772</v>
      </c>
      <c r="BA12" s="13" t="n">
        <f aca="false">IF(Time!BA20&lt;=Time!$F$15,(Waterfall!BA7+BB12)/(1+BA10),0)</f>
        <v>418.022021276142</v>
      </c>
      <c r="BB12" s="13" t="n">
        <f aca="false">IF(Time!BB20&lt;=Time!$F$15,(Waterfall!BB7+BC12)/(1+BB10),0)</f>
        <v>386.625064194883</v>
      </c>
      <c r="BC12" s="13" t="n">
        <f aca="false">IF(Time!BC20&lt;=Time!$F$15,(Waterfall!BC7+BD12)/(1+BC10),0)</f>
        <v>352.127413847378</v>
      </c>
      <c r="BD12" s="13" t="n">
        <f aca="false">IF(Time!BD20&lt;=Time!$F$15,(Waterfall!BD7+BE12)/(1+BD10),0)</f>
        <v>320.076658662423</v>
      </c>
      <c r="BE12" s="13" t="n">
        <f aca="false">IF(Time!BE20&lt;=Time!$F$15,(Waterfall!BE7+BF12)/(1+BE10),0)</f>
        <v>293.25550175492</v>
      </c>
      <c r="BF12" s="13" t="n">
        <f aca="false">IF(Time!BF20&lt;=Time!$F$15,(Waterfall!BF7+BG12)/(1+BF10),0)</f>
        <v>266.127203064968</v>
      </c>
      <c r="BG12" s="13" t="n">
        <f aca="false">IF(Time!BG20&lt;=Time!$F$15,(Waterfall!BG7+BH12)/(1+BG10),0)</f>
        <v>237.563040301108</v>
      </c>
      <c r="BH12" s="13" t="n">
        <f aca="false">IF(Time!BH20&lt;=Time!$F$15,(Waterfall!BH7+BI12)/(1+BH10),0)</f>
        <v>208.678142500946</v>
      </c>
      <c r="BI12" s="13" t="n">
        <f aca="false">IF(Time!BI20&lt;=Time!$F$15,(Waterfall!BI7+BJ12)/(1+BI10),0)</f>
        <v>178.372270134066</v>
      </c>
      <c r="BJ12" s="13" t="n">
        <f aca="false">IF(Time!BJ20&lt;=Time!$F$15,(Waterfall!BJ7+BK12)/(1+BJ10),0)</f>
        <v>147.492421240589</v>
      </c>
      <c r="BK12" s="13" t="n">
        <f aca="false">IF(Time!BK20&lt;=Time!$F$15,(Waterfall!BK7+BL12)/(1+BK10),0)</f>
        <v>107.751106017346</v>
      </c>
      <c r="BL12" s="13" t="n">
        <f aca="false">IF(Time!BL20&lt;=Time!$F$15,(Waterfall!BL7+BM12)/(1+BL10),0)</f>
        <v>72.1628440225538</v>
      </c>
      <c r="BM12" s="13" t="n">
        <f aca="false">IF(Time!BM20&lt;=Time!$F$15,(Waterfall!BM7+BN12)/(1+BM10),0)</f>
        <v>34.8617080194593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1952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1.39617963342937</v>
      </c>
      <c r="Q13" s="3" t="n">
        <f aca="false">IF(Debt!Q115&gt;Inputs!$F$253,(Q11+Reserves!Q9)/Debt!Q115,0)</f>
        <v>1.39839226151796</v>
      </c>
      <c r="R13" s="3" t="n">
        <f aca="false">IF(Debt!R115&gt;Inputs!$F$253,(R11+Reserves!R9)/Debt!R115,0)</f>
        <v>1.40176028632954</v>
      </c>
      <c r="S13" s="3" t="n">
        <f aca="false">IF(Debt!S115&gt;Inputs!$F$253,(S11+Reserves!S9)/Debt!S115,0)</f>
        <v>1.40414973887436</v>
      </c>
      <c r="T13" s="3" t="n">
        <f aca="false">IF(Debt!T115&gt;Inputs!$F$253,(T11+Reserves!T9)/Debt!T115,0)</f>
        <v>1.40804998362703</v>
      </c>
      <c r="U13" s="3" t="n">
        <f aca="false">IF(Debt!U115&gt;Inputs!$F$253,(U11+Reserves!U9)/Debt!U115,0)</f>
        <v>1.41126900187739</v>
      </c>
      <c r="V13" s="3" t="n">
        <f aca="false">IF(Debt!V115&gt;Inputs!$F$253,(V11+Reserves!V9)/Debt!V115,0)</f>
        <v>1.4165541403899</v>
      </c>
      <c r="W13" s="3" t="n">
        <f aca="false">IF(Debt!W115&gt;Inputs!$F$253,(W11+Reserves!W9)/Debt!W115,0)</f>
        <v>1.42055345955481</v>
      </c>
      <c r="X13" s="3" t="n">
        <f aca="false">IF(Debt!X115&gt;Inputs!$F$253,(X11+Reserves!X9)/Debt!X115,0)</f>
        <v>1.42334552146018</v>
      </c>
      <c r="Y13" s="3" t="n">
        <f aca="false">IF(Debt!Y115&gt;Inputs!$F$253,(Y11+Reserves!Y9)/Debt!Y115,0)</f>
        <v>1.42798344298384</v>
      </c>
      <c r="Z13" s="3" t="n">
        <f aca="false">IF(Debt!Z115&gt;Inputs!$F$253,(Z11+Reserves!Z9)/Debt!Z115,0)</f>
        <v>1.43459697187844</v>
      </c>
      <c r="AA13" s="3" t="n">
        <f aca="false">IF(Debt!AA115&gt;Inputs!$F$253,(AA11+Reserves!AA9)/Debt!AA115,0)</f>
        <v>1.44073059961326</v>
      </c>
      <c r="AB13" s="3" t="n">
        <f aca="false">IF(Debt!AB115&gt;Inputs!$F$253,(AB11+Reserves!AB9)/Debt!AB115,0)</f>
        <v>1.4699687993707</v>
      </c>
      <c r="AC13" s="3" t="n">
        <f aca="false">IF(Debt!AC115&gt;Inputs!$F$253,(AC11+Reserves!AC9)/Debt!AC115,0)</f>
        <v>1.50325805360911</v>
      </c>
      <c r="AD13" s="3" t="n">
        <f aca="false">IF(Debt!AD115&gt;Inputs!$F$253,(AD11+Reserves!AD9)/Debt!AD115,0)</f>
        <v>1.54297454788924</v>
      </c>
      <c r="AE13" s="3" t="n">
        <f aca="false">IF(Debt!AE115&gt;Inputs!$F$253,(AE11+Reserves!AE9)/Debt!AE115,0)</f>
        <v>1.59120578843565</v>
      </c>
      <c r="AF13" s="3" t="n">
        <f aca="false">IF(Debt!AF115&gt;Inputs!$F$253,(AF11+Reserves!AF9)/Debt!AF115,0)</f>
        <v>1.65019367676804</v>
      </c>
      <c r="AG13" s="3" t="n">
        <f aca="false">IF(Debt!AG115&gt;Inputs!$F$253,(AG11+Reserves!AG9)/Debt!AG115,0)</f>
        <v>1.72408729508715</v>
      </c>
      <c r="AH13" s="3" t="n">
        <f aca="false">IF(Debt!AH115&gt;Inputs!$F$253,(AH11+Reserves!AH9)/Debt!AH115,0)</f>
        <v>1.81921648339835</v>
      </c>
      <c r="AI13" s="3" t="n">
        <f aca="false">IF(Debt!AI115&gt;Inputs!$F$253,(AI11+Reserves!AI9)/Debt!AI115,0)</f>
        <v>1.94963420012725</v>
      </c>
      <c r="AJ13" s="3" t="n">
        <f aca="false">IF(Debt!AJ115&gt;Inputs!$F$253,(AJ11+Reserves!AJ9)/Debt!AJ115,0)</f>
        <v>2.13740525127371</v>
      </c>
      <c r="AK13" s="3" t="n">
        <f aca="false">IF(Debt!AK115&gt;Inputs!$F$253,(AK11+Reserves!AK9)/Debt!AK115,0)</f>
        <v>2.44285307421864</v>
      </c>
      <c r="AL13" s="3" t="n">
        <f aca="false">IF(Debt!AL115&gt;Inputs!$F$253,(AL11+Reserves!AL9)/Debt!AL115,0)</f>
        <v>2.80437116862289</v>
      </c>
      <c r="AM13" s="3" t="n">
        <f aca="false">IF(Debt!AM115&gt;Inputs!$F$253,(AM11+Reserves!AM9)/Debt!AM115,0)</f>
        <v>2.90384146996262</v>
      </c>
      <c r="AN13" s="3" t="n">
        <f aca="false">IF(Debt!AN115&gt;Inputs!$F$253,(AN11+Reserves!AN9)/Debt!AN115,0)</f>
        <v>3.13140853089729</v>
      </c>
      <c r="AO13" s="3" t="n">
        <f aca="false">IF(Debt!AO115&gt;Inputs!$F$253,(AO11+Reserves!AO9)/Debt!AO115,0)</f>
        <v>3.58079578795603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1.33705444148496</v>
      </c>
      <c r="Q14" s="3" t="n">
        <f aca="false">IF(Debt!Q115&gt;Inputs!$F$253,Q11/Debt!Q115,0)</f>
        <v>1.33791006717388</v>
      </c>
      <c r="R14" s="3" t="n">
        <f aca="false">IF(Debt!R115&gt;Inputs!$F$253,R11/Debt!R115,0)</f>
        <v>1.33885629057832</v>
      </c>
      <c r="S14" s="3" t="n">
        <f aca="false">IF(Debt!S115&gt;Inputs!$F$253,S11/Debt!S115,0)</f>
        <v>1.33991032065605</v>
      </c>
      <c r="T14" s="3" t="n">
        <f aca="false">IF(Debt!T115&gt;Inputs!$F$253,T11/Debt!T115,0)</f>
        <v>1.34108260011411</v>
      </c>
      <c r="U14" s="3" t="n">
        <f aca="false">IF(Debt!U115&gt;Inputs!$F$253,U11/Debt!U115,0)</f>
        <v>1.34239856834462</v>
      </c>
      <c r="V14" s="3" t="n">
        <f aca="false">IF(Debt!V115&gt;Inputs!$F$253,V11/Debt!V115,0)</f>
        <v>1.34387115620824</v>
      </c>
      <c r="W14" s="3" t="n">
        <f aca="false">IF(Debt!W115&gt;Inputs!$F$253,W11/Debt!W115,0)</f>
        <v>1.34553265751213</v>
      </c>
      <c r="X14" s="3" t="n">
        <f aca="false">IF(Debt!X115&gt;Inputs!$F$253,X11/Debt!X115,0)</f>
        <v>1.34741176546999</v>
      </c>
      <c r="Y14" s="3" t="n">
        <f aca="false">IF(Debt!Y115&gt;Inputs!$F$253,Y11/Debt!Y115,0)</f>
        <v>1.34956857793578</v>
      </c>
      <c r="Z14" s="3" t="n">
        <f aca="false">IF(Debt!Z115&gt;Inputs!$F$253,Z11/Debt!Z115,0)</f>
        <v>1.35201382188923</v>
      </c>
      <c r="AA14" s="3" t="n">
        <f aca="false">IF(Debt!AA115&gt;Inputs!$F$253,AA11/Debt!AA115,0)</f>
        <v>1.35483199339748</v>
      </c>
      <c r="AB14" s="3" t="n">
        <f aca="false">IF(Debt!AB115&gt;Inputs!$F$253,AB11/Debt!AB115,0)</f>
        <v>1.3771988543691</v>
      </c>
      <c r="AC14" s="3" t="n">
        <f aca="false">IF(Debt!AC115&gt;Inputs!$F$253,AC11/Debt!AC115,0)</f>
        <v>1.40524106223951</v>
      </c>
      <c r="AD14" s="3" t="n">
        <f aca="false">IF(Debt!AD115&gt;Inputs!$F$253,AD11/Debt!AD115,0)</f>
        <v>1.4347982767551</v>
      </c>
      <c r="AE14" s="3" t="n">
        <f aca="false">IF(Debt!AE115&gt;Inputs!$F$253,AE11/Debt!AE115,0)</f>
        <v>1.47415719395347</v>
      </c>
      <c r="AF14" s="3" t="n">
        <f aca="false">IF(Debt!AF115&gt;Inputs!$F$253,AF11/Debt!AF115,0)</f>
        <v>1.52241033712859</v>
      </c>
      <c r="AG14" s="3" t="n">
        <f aca="false">IF(Debt!AG115&gt;Inputs!$F$253,AG11/Debt!AG115,0)</f>
        <v>1.5842919160123</v>
      </c>
      <c r="AH14" s="3" t="n">
        <f aca="false">IF(Debt!AH115&gt;Inputs!$F$253,AH11/Debt!AH115,0)</f>
        <v>1.66147385173882</v>
      </c>
      <c r="AI14" s="3" t="n">
        <f aca="false">IF(Debt!AI115&gt;Inputs!$F$253,AI11/Debt!AI115,0)</f>
        <v>1.77048683237525</v>
      </c>
      <c r="AJ14" s="3" t="n">
        <f aca="false">IF(Debt!AJ115&gt;Inputs!$F$253,AJ11/Debt!AJ115,0)</f>
        <v>1.92519181723641</v>
      </c>
      <c r="AK14" s="3" t="n">
        <f aca="false">IF(Debt!AK115&gt;Inputs!$F$253,AK11/Debt!AK115,0)</f>
        <v>2.18171541690581</v>
      </c>
      <c r="AL14" s="3" t="n">
        <f aca="false">IF(Debt!AL115&gt;Inputs!$F$253,AL11/Debt!AL115,0)</f>
        <v>2.47537252027229</v>
      </c>
      <c r="AM14" s="3" t="n">
        <f aca="false">IF(Debt!AM115&gt;Inputs!$F$253,AM11/Debt!AM115,0)</f>
        <v>2.51231430782942</v>
      </c>
      <c r="AN14" s="3" t="n">
        <f aca="false">IF(Debt!AN115&gt;Inputs!$F$253,AN11/Debt!AN115,0)</f>
        <v>2.59918337848289</v>
      </c>
      <c r="AO14" s="3" t="n">
        <f aca="false">IF(Debt!AO115&gt;Inputs!$F$253,AO11/Debt!AO115,0)</f>
        <v>2.55307136573771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1.81059882070848</v>
      </c>
      <c r="Q15" s="3" t="n">
        <f aca="false">IF(Debt!Q115&gt;Inputs!$F$253,Q12/Debt!Q115,0)</f>
        <v>1.8401639583881</v>
      </c>
      <c r="R15" s="3" t="n">
        <f aca="false">IF(Debt!R115&gt;Inputs!$F$253,R12/Debt!R115,0)</f>
        <v>1.87231117006987</v>
      </c>
      <c r="S15" s="3" t="n">
        <f aca="false">IF(Debt!S115&gt;Inputs!$F$253,S12/Debt!S115,0)</f>
        <v>1.9079015785029</v>
      </c>
      <c r="T15" s="3" t="n">
        <f aca="false">IF(Debt!T115&gt;Inputs!$F$253,T12/Debt!T115,0)</f>
        <v>1.94668967869961</v>
      </c>
      <c r="U15" s="3" t="n">
        <f aca="false">IF(Debt!U115&gt;Inputs!$F$253,U12/Debt!U115,0)</f>
        <v>1.98991447556192</v>
      </c>
      <c r="V15" s="3" t="n">
        <f aca="false">IF(Debt!V115&gt;Inputs!$F$253,V12/Debt!V115,0)</f>
        <v>2.03756883815463</v>
      </c>
      <c r="W15" s="3" t="n">
        <f aca="false">IF(Debt!W115&gt;Inputs!$F$253,W12/Debt!W115,0)</f>
        <v>2.09163437656142</v>
      </c>
      <c r="X15" s="3" t="n">
        <f aca="false">IF(Debt!X115&gt;Inputs!$F$253,X12/Debt!X115,0)</f>
        <v>2.15184997304241</v>
      </c>
      <c r="Y15" s="3" t="n">
        <f aca="false">IF(Debt!Y115&gt;Inputs!$F$253,Y12/Debt!Y115,0)</f>
        <v>2.21770145511381</v>
      </c>
      <c r="Z15" s="3" t="n">
        <f aca="false">IF(Debt!Z115&gt;Inputs!$F$253,Z12/Debt!Z115,0)</f>
        <v>2.29125463470739</v>
      </c>
      <c r="AA15" s="3" t="n">
        <f aca="false">IF(Debt!AA115&gt;Inputs!$F$253,AA12/Debt!AA115,0)</f>
        <v>2.37540760442384</v>
      </c>
      <c r="AB15" s="3" t="n">
        <f aca="false">IF(Debt!AB115&gt;Inputs!$F$253,AB12/Debt!AB115,0)</f>
        <v>2.50572921628027</v>
      </c>
      <c r="AC15" s="3" t="n">
        <f aca="false">IF(Debt!AC115&gt;Inputs!$F$253,AC12/Debt!AC115,0)</f>
        <v>2.66473549919135</v>
      </c>
      <c r="AD15" s="3" t="n">
        <f aca="false">IF(Debt!AD115&gt;Inputs!$F$253,AD12/Debt!AD115,0)</f>
        <v>2.84818564778469</v>
      </c>
      <c r="AE15" s="3" t="n">
        <f aca="false">IF(Debt!AE115&gt;Inputs!$F$253,AE12/Debt!AE115,0)</f>
        <v>3.08651859730549</v>
      </c>
      <c r="AF15" s="3" t="n">
        <f aca="false">IF(Debt!AF115&gt;Inputs!$F$253,AF12/Debt!AF115,0)</f>
        <v>3.38647295591838</v>
      </c>
      <c r="AG15" s="3" t="n">
        <f aca="false">IF(Debt!AG115&gt;Inputs!$F$253,AG12/Debt!AG115,0)</f>
        <v>3.77793652543987</v>
      </c>
      <c r="AH15" s="3" t="n">
        <f aca="false">IF(Debt!AH115&gt;Inputs!$F$253,AH12/Debt!AH115,0)</f>
        <v>4.29189769050931</v>
      </c>
      <c r="AI15" s="3" t="n">
        <f aca="false">IF(Debt!AI115&gt;Inputs!$F$253,AI12/Debt!AI115,0)</f>
        <v>5.03097630629956</v>
      </c>
      <c r="AJ15" s="3" t="n">
        <f aca="false">IF(Debt!AJ115&gt;Inputs!$F$253,AJ12/Debt!AJ115,0)</f>
        <v>6.12865553689458</v>
      </c>
      <c r="AK15" s="3" t="n">
        <f aca="false">IF(Debt!AK115&gt;Inputs!$F$253,AK12/Debt!AK115,0)</f>
        <v>8.00333355010237</v>
      </c>
      <c r="AL15" s="3" t="n">
        <f aca="false">IF(Debt!AL115&gt;Inputs!$F$253,AL12/Debt!AL115,0)</f>
        <v>10.8841545432063</v>
      </c>
      <c r="AM15" s="3" t="n">
        <f aca="false">IF(Debt!AM115&gt;Inputs!$F$253,AM12/Debt!AM115,0)</f>
        <v>14.2236518068756</v>
      </c>
      <c r="AN15" s="3" t="n">
        <f aca="false">IF(Debt!AN115&gt;Inputs!$F$253,AN12/Debt!AN115,0)</f>
        <v>21.5153022519916</v>
      </c>
      <c r="AO15" s="3" t="n">
        <f aca="false">IF(Debt!AO115&gt;Inputs!$F$253,AO12/Debt!AO115,0)</f>
        <v>41.7805895481757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1955</v>
      </c>
      <c r="E16" s="0" t="s">
        <v>204</v>
      </c>
      <c r="F16" s="3" t="n">
        <f aca="false">_xlfn.MINIFS(Waterfall!$J$17:$BN$17,Debt!$J$114:$BN$114,"&gt;"&amp;Inputs!$F$253)</f>
        <v>1.31905245223501</v>
      </c>
    </row>
    <row r="17" customFormat="false" ht="15" hidden="false" customHeight="false" outlineLevel="0" collapsed="false">
      <c r="D17" s="0" t="s">
        <v>1956</v>
      </c>
      <c r="E17" s="0" t="s">
        <v>204</v>
      </c>
      <c r="F17" s="3" t="n">
        <f aca="false">SUMIFS(Waterfall!$J$7:$BN$7,Debt!$J$114:$BN$114,"&gt;"&amp;Inputs!$F$253)/SUM(Debt!$J$114:$BN$114)</f>
        <v>1.51733468502766</v>
      </c>
    </row>
    <row r="18" customFormat="false" ht="15" hidden="false" customHeight="false" outlineLevel="0" collapsed="false">
      <c r="D18" s="0" t="s">
        <v>1957</v>
      </c>
      <c r="E18" s="0" t="s">
        <v>204</v>
      </c>
      <c r="F18" s="3" t="n">
        <f aca="false">INDEX(Ratios!$J$13:$BN$13,1,Time!$F$13)</f>
        <v>1.39617963342937</v>
      </c>
    </row>
    <row r="19" customFormat="false" ht="15" hidden="false" customHeight="false" outlineLevel="0" collapsed="false">
      <c r="D19" s="0" t="s">
        <v>1958</v>
      </c>
      <c r="E19" s="0" t="s">
        <v>204</v>
      </c>
      <c r="F19" s="3" t="n">
        <f aca="false">INDEX(Ratios!$J$15:$BN$15,1,Time!$F$13)</f>
        <v>1.81059882070848</v>
      </c>
    </row>
    <row r="20" customFormat="false" ht="15" hidden="false" customHeight="false" outlineLevel="0" collapsed="false">
      <c r="D20" s="0" t="s">
        <v>1959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1.32281006734234</v>
      </c>
      <c r="P20" s="3" t="n">
        <f aca="false">IF(Debt!Q114&gt;Inputs!$F$253,(Waterfall!Q7+IF(Debt!R114&gt;Inputs!$F$253,Waterfall!R7,0))/(Debt!Q114+Debt!R114),0)</f>
        <v>1.32262663712786</v>
      </c>
      <c r="Q20" s="3" t="n">
        <f aca="false">IF(Debt!R114&gt;Inputs!$F$253,(Waterfall!R7+IF(Debt!S114&gt;Inputs!$F$253,Waterfall!S7,0))/(Debt!R114+Debt!S114),0)</f>
        <v>1.3223930615585</v>
      </c>
      <c r="R20" s="3" t="n">
        <f aca="false">IF(Debt!S114&gt;Inputs!$F$253,(Waterfall!S7+IF(Debt!T114&gt;Inputs!$F$253,Waterfall!T7,0))/(Debt!S114+Debt!T114),0)</f>
        <v>1.3221372161602</v>
      </c>
      <c r="S20" s="3" t="n">
        <f aca="false">IF(Debt!T114&gt;Inputs!$F$253,(Waterfall!T7+IF(Debt!U114&gt;Inputs!$F$253,Waterfall!U7,0))/(Debt!T114+Debt!U114),0)</f>
        <v>1.32190910912259</v>
      </c>
      <c r="T20" s="3" t="n">
        <f aca="false">IF(Debt!U114&gt;Inputs!$F$253,(Waterfall!U7+IF(Debt!V114&gt;Inputs!$F$253,Waterfall!V7,0))/(Debt!U114+Debt!V114),0)</f>
        <v>1.32181480966057</v>
      </c>
      <c r="U20" s="3" t="n">
        <f aca="false">IF(Debt!V114&gt;Inputs!$F$253,(Waterfall!V7+IF(Debt!W114&gt;Inputs!$F$253,Waterfall!W7,0))/(Debt!V114+Debt!W114),0)</f>
        <v>1.32168897024788</v>
      </c>
      <c r="V20" s="3" t="n">
        <f aca="false">IF(Debt!W114&gt;Inputs!$F$253,(Waterfall!W7+IF(Debt!X114&gt;Inputs!$F$253,Waterfall!X7,0))/(Debt!W114+Debt!X114),0)</f>
        <v>1.32084554023922</v>
      </c>
      <c r="W20" s="3" t="n">
        <f aca="false">IF(Debt!X114&gt;Inputs!$F$253,(Waterfall!X7+IF(Debt!Y114&gt;Inputs!$F$253,Waterfall!Y7,0))/(Debt!X114+Debt!Y114),0)</f>
        <v>1.31994485882185</v>
      </c>
      <c r="X20" s="3" t="n">
        <f aca="false">IF(Debt!Y114&gt;Inputs!$F$253,(Waterfall!Y7+IF(Debt!Z114&gt;Inputs!$F$253,Waterfall!Z7,0))/(Debt!Y114+Debt!Z114),0)</f>
        <v>1.31959222700502</v>
      </c>
      <c r="Y20" s="3" t="n">
        <f aca="false">IF(Debt!Z114&gt;Inputs!$F$253,(Waterfall!Z7+IF(Debt!AA114&gt;Inputs!$F$253,Waterfall!AA7,0))/(Debt!Z114+Debt!AA114),0)</f>
        <v>1.31926209210428</v>
      </c>
      <c r="Z20" s="3" t="n">
        <f aca="false">IF(Debt!AA114&gt;Inputs!$F$253,(Waterfall!AA7+IF(Debt!AB114&gt;Inputs!$F$253,Waterfall!AB7,0))/(Debt!AA114+Debt!AB114),0)</f>
        <v>1.32899174827048</v>
      </c>
      <c r="AA20" s="3" t="n">
        <f aca="false">IF(Debt!AB114&gt;Inputs!$F$253,(Waterfall!AB7+IF(Debt!AC114&gt;Inputs!$F$253,Waterfall!AC7,0))/(Debt!AB114+Debt!AC114),0)</f>
        <v>1.35130296467294</v>
      </c>
      <c r="AB20" s="3" t="n">
        <f aca="false">IF(Debt!AC114&gt;Inputs!$F$253,(Waterfall!AC7+IF(Debt!AD114&gt;Inputs!$F$253,Waterfall!AD7,0))/(Debt!AC114+Debt!AD114),0)</f>
        <v>1.37796109372226</v>
      </c>
      <c r="AC20" s="3" t="n">
        <f aca="false">IF(Debt!AD114&gt;Inputs!$F$253,(Waterfall!AD7+IF(Debt!AE114&gt;Inputs!$F$253,Waterfall!AE7,0))/(Debt!AD114+Debt!AE114),0)</f>
        <v>1.40933040298311</v>
      </c>
      <c r="AD20" s="3" t="n">
        <f aca="false">IF(Debt!AE114&gt;Inputs!$F$253,(Waterfall!AE7+IF(Debt!AF114&gt;Inputs!$F$253,Waterfall!AF7,0))/(Debt!AE114+Debt!AF114),0)</f>
        <v>1.44906450932253</v>
      </c>
      <c r="AE20" s="3" t="n">
        <f aca="false">IF(Debt!AF114&gt;Inputs!$F$253,(Waterfall!AF7+IF(Debt!AG114&gt;Inputs!$F$253,Waterfall!AG7,0))/(Debt!AF114+Debt!AG114),0)</f>
        <v>1.4996084072449</v>
      </c>
      <c r="AF20" s="3" t="n">
        <f aca="false">IF(Debt!AG114&gt;Inputs!$F$253,(Waterfall!AG7+IF(Debt!AH114&gt;Inputs!$F$253,Waterfall!AH7,0))/(Debt!AG114+Debt!AH114),0)</f>
        <v>1.56492157973953</v>
      </c>
      <c r="AG20" s="3" t="n">
        <f aca="false">IF(Debt!AH114&gt;Inputs!$F$253,(Waterfall!AH7+IF(Debt!AI114&gt;Inputs!$F$253,Waterfall!AI7,0))/(Debt!AH114+Debt!AI114),0)</f>
        <v>1.65029989506602</v>
      </c>
      <c r="AH20" s="3" t="n">
        <f aca="false">IF(Debt!AI114&gt;Inputs!$F$253,(Waterfall!AI7+IF(Debt!AJ114&gt;Inputs!$F$253,Waterfall!AJ7,0))/(Debt!AI114+Debt!AJ114),0)</f>
        <v>1.77339494232005</v>
      </c>
      <c r="AI20" s="3" t="n">
        <f aca="false">IF(Debt!AJ114&gt;Inputs!$F$253,(Waterfall!AJ7+IF(Debt!AK114&gt;Inputs!$F$253,Waterfall!AK7,0))/(Debt!AJ114+Debt!AK114),0)</f>
        <v>1.9642630666175</v>
      </c>
      <c r="AJ20" s="3" t="n">
        <f aca="false">IF(Debt!AK114&gt;Inputs!$F$253,(Waterfall!AK7+IF(Debt!AL114&gt;Inputs!$F$253,Waterfall!AL7,0))/(Debt!AK114+Debt!AL114),0)</f>
        <v>2.23010139849652</v>
      </c>
      <c r="AK20" s="3" t="n">
        <f aca="false">IF(Debt!AL114&gt;Inputs!$F$253,(Waterfall!AL7+IF(Debt!AM114&gt;Inputs!$F$253,Waterfall!AM7,0))/(Debt!AL114+Debt!AM114),0)</f>
        <v>2.37621918922324</v>
      </c>
      <c r="AL20" s="3" t="n">
        <f aca="false">IF(Debt!AM114&gt;Inputs!$F$253,(Waterfall!AM7+IF(Debt!AN114&gt;Inputs!$F$253,Waterfall!AN7,0))/(Debt!AM114+Debt!AN114),0)</f>
        <v>2.49681949766729</v>
      </c>
      <c r="AM20" s="3" t="n">
        <f aca="false">IF(Debt!AN114&gt;Inputs!$F$253,(Waterfall!AN7+IF(Debt!AO114&gt;Inputs!$F$253,Waterfall!AO7,0))/(Debt!AN114+Debt!AO114),0)</f>
        <v>2.598575033252</v>
      </c>
      <c r="AN20" s="3" t="n">
        <f aca="false">IF(Debt!AO114&gt;Inputs!$F$253,(Waterfall!AO7+IF(Debt!AP114&gt;Inputs!$F$253,Waterfall!AP7,0))/(Debt!AO114+Debt!AP114),0)</f>
        <v>2.55307136573771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1960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1962</v>
      </c>
      <c r="J5" s="4" t="s">
        <v>1963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1965</v>
      </c>
      <c r="E8" s="0" t="s">
        <v>151</v>
      </c>
      <c r="G8" s="13" t="n">
        <f aca="false">SUM(J8:DP8)</f>
        <v>1129.5313526116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-0.655414234371347</v>
      </c>
      <c r="M8" s="13" t="n">
        <f aca="false">-Funding!L68</f>
        <v>-0.835775507320978</v>
      </c>
      <c r="N8" s="13" t="n">
        <f aca="false">-Funding!M68</f>
        <v>-1.18210967327457</v>
      </c>
      <c r="O8" s="13" t="n">
        <f aca="false">-Funding!N68</f>
        <v>-1.70269086582087</v>
      </c>
      <c r="P8" s="13" t="n">
        <f aca="false">-Funding!O68</f>
        <v>-2.34682436777732</v>
      </c>
      <c r="Q8" s="13" t="n">
        <f aca="false">-Funding!P68</f>
        <v>-3.06201934292396</v>
      </c>
      <c r="R8" s="13" t="n">
        <f aca="false">-Funding!Q68</f>
        <v>-3.88688295412954</v>
      </c>
      <c r="S8" s="13" t="n">
        <f aca="false">-Funding!R68</f>
        <v>-4.70912994244503</v>
      </c>
      <c r="T8" s="13" t="n">
        <f aca="false">-Funding!S68</f>
        <v>-5.54628673400146</v>
      </c>
      <c r="U8" s="13" t="n">
        <f aca="false">-Funding!T68</f>
        <v>-6.32977286804537</v>
      </c>
      <c r="V8" s="13" t="n">
        <f aca="false">-Funding!U68</f>
        <v>-7.08085730463728</v>
      </c>
      <c r="W8" s="13" t="n">
        <f aca="false">-Funding!V68</f>
        <v>-7.7412272578343</v>
      </c>
      <c r="X8" s="13" t="n">
        <f aca="false">-Funding!W68</f>
        <v>-8.29041898566771</v>
      </c>
      <c r="Y8" s="13" t="n">
        <f aca="false">-Funding!X68</f>
        <v>-8.74491378990728</v>
      </c>
      <c r="Z8" s="13" t="n">
        <f aca="false">-Funding!Y68</f>
        <v>-9.04758300758421</v>
      </c>
      <c r="AA8" s="13" t="n">
        <f aca="false">-Funding!Z68</f>
        <v>-9.23701017742518</v>
      </c>
      <c r="AB8" s="13" t="n">
        <f aca="false">-Funding!AA68</f>
        <v>-9.58166871639481</v>
      </c>
      <c r="AC8" s="13" t="n">
        <f aca="false">-Funding!AB68</f>
        <v>-9.13955223504797</v>
      </c>
      <c r="AD8" s="13" t="n">
        <f aca="false">-Funding!AC68</f>
        <v>-8.92193680801217</v>
      </c>
      <c r="AE8" s="13" t="n">
        <f aca="false">-Funding!AD68</f>
        <v>-8.52854380871634</v>
      </c>
      <c r="AF8" s="13" t="n">
        <f aca="false">-Funding!AE68</f>
        <v>-8.04629798402875</v>
      </c>
      <c r="AG8" s="13" t="n">
        <f aca="false">-Funding!AF68</f>
        <v>-7.42665322111993</v>
      </c>
      <c r="AH8" s="13" t="n">
        <f aca="false">-Funding!AG68</f>
        <v>-6.75569208717094</v>
      </c>
      <c r="AI8" s="13" t="n">
        <f aca="false">-Funding!AH68</f>
        <v>-6.00388187042989</v>
      </c>
      <c r="AJ8" s="13" t="n">
        <f aca="false">-Funding!AI68</f>
        <v>-5.19651440652399</v>
      </c>
      <c r="AK8" s="13" t="n">
        <f aca="false">-Funding!AJ68</f>
        <v>-4.41707197822934</v>
      </c>
      <c r="AL8" s="13" t="n">
        <f aca="false">-Funding!AK68</f>
        <v>-3.62373431428645</v>
      </c>
      <c r="AM8" s="13" t="n">
        <f aca="false">-Funding!AL68</f>
        <v>-2.92443200822246</v>
      </c>
      <c r="AN8" s="13" t="n">
        <f aca="false">-Funding!AM68</f>
        <v>-2.2981670998557</v>
      </c>
      <c r="AO8" s="13" t="n">
        <f aca="false">-Funding!AN68</f>
        <v>-1.73829155814645</v>
      </c>
      <c r="AP8" s="13" t="n">
        <f aca="false">-Funding!AO68</f>
        <v>-1.44987741589551</v>
      </c>
      <c r="AQ8" s="13" t="n">
        <f aca="false">-Funding!AP68</f>
        <v>-14.2535211728066</v>
      </c>
      <c r="AR8" s="13" t="n">
        <f aca="false">-Funding!AQ68</f>
        <v>-10.9848423089092</v>
      </c>
      <c r="AS8" s="13" t="n">
        <f aca="false">-Funding!AR68</f>
        <v>-0.972883950788176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13.8203448755155</v>
      </c>
      <c r="BS8" s="18" t="n">
        <f aca="false">Waterfall!Q44</f>
        <v>11.5219964164784</v>
      </c>
      <c r="BT8" s="18" t="n">
        <f aca="false">Waterfall!R44</f>
        <v>12.4283086959315</v>
      </c>
      <c r="BU8" s="18" t="n">
        <f aca="false">Waterfall!S44</f>
        <v>11.6112291771809</v>
      </c>
      <c r="BV8" s="18" t="n">
        <f aca="false">Waterfall!T44</f>
        <v>12.3389121194962</v>
      </c>
      <c r="BW8" s="18" t="n">
        <f aca="false">Waterfall!U44</f>
        <v>11.3711945450074</v>
      </c>
      <c r="BX8" s="18" t="n">
        <f aca="false">Waterfall!V44</f>
        <v>12.5886958841189</v>
      </c>
      <c r="BY8" s="18" t="n">
        <f aca="false">Waterfall!W44</f>
        <v>13.3208837856551</v>
      </c>
      <c r="BZ8" s="18" t="n">
        <f aca="false">Waterfall!X44</f>
        <v>12.1793320554863</v>
      </c>
      <c r="CA8" s="18" t="n">
        <f aca="false">Waterfall!Y44</f>
        <v>11.3911470669417</v>
      </c>
      <c r="CB8" s="18" t="n">
        <f aca="false">Waterfall!Z44</f>
        <v>12.0763717070104</v>
      </c>
      <c r="CC8" s="18" t="n">
        <f aca="false">Waterfall!AA44</f>
        <v>5.61932739608009</v>
      </c>
      <c r="CD8" s="18" t="n">
        <f aca="false">Waterfall!AB44</f>
        <v>6.52925978685174</v>
      </c>
      <c r="CE8" s="18" t="n">
        <f aca="false">Waterfall!AC44</f>
        <v>6.14309333324187</v>
      </c>
      <c r="CF8" s="18" t="n">
        <f aca="false">Waterfall!AD44</f>
        <v>7.42755805419442</v>
      </c>
      <c r="CG8" s="18" t="n">
        <f aca="false">Waterfall!AE44</f>
        <v>7.97510366831061</v>
      </c>
      <c r="CH8" s="18" t="n">
        <f aca="false">Waterfall!AF44</f>
        <v>8.78782672578827</v>
      </c>
      <c r="CI8" s="18" t="n">
        <f aca="false">Waterfall!AG44</f>
        <v>9.14507126078897</v>
      </c>
      <c r="CJ8" s="18" t="n">
        <f aca="false">Waterfall!AH44</f>
        <v>10.4352269387038</v>
      </c>
      <c r="CK8" s="18" t="n">
        <f aca="false">Waterfall!AI44</f>
        <v>11.217735229992</v>
      </c>
      <c r="CL8" s="18" t="n">
        <f aca="false">Waterfall!AJ44</f>
        <v>12.9836187268949</v>
      </c>
      <c r="CM8" s="18" t="n">
        <f aca="false">Waterfall!AK44</f>
        <v>20.2203268583527</v>
      </c>
      <c r="CN8" s="18" t="n">
        <f aca="false">Waterfall!AL44</f>
        <v>33.1698631728497</v>
      </c>
      <c r="CO8" s="18" t="n">
        <f aca="false">Waterfall!AM44</f>
        <v>32.7793999482765</v>
      </c>
      <c r="CP8" s="18" t="n">
        <f aca="false">Waterfall!AN44</f>
        <v>31.7295187483604</v>
      </c>
      <c r="CQ8" s="18" t="n">
        <f aca="false">Waterfall!AO44</f>
        <v>46.0145109268755</v>
      </c>
      <c r="CR8" s="18" t="n">
        <f aca="false">Waterfall!AP44</f>
        <v>41.2576694418074</v>
      </c>
      <c r="CS8" s="18" t="n">
        <f aca="false">Waterfall!AQ44</f>
        <v>40.2422923735455</v>
      </c>
      <c r="CT8" s="18" t="n">
        <f aca="false">Waterfall!AR44</f>
        <v>40.8104487043823</v>
      </c>
      <c r="CU8" s="18" t="n">
        <f aca="false">Waterfall!AS44</f>
        <v>40.5407856571621</v>
      </c>
      <c r="CV8" s="18" t="n">
        <f aca="false">Waterfall!AT44</f>
        <v>47.2583461365032</v>
      </c>
      <c r="CW8" s="18" t="n">
        <f aca="false">Waterfall!AU44</f>
        <v>42.8167914915745</v>
      </c>
      <c r="CX8" s="18" t="n">
        <f aca="false">Waterfall!AV44</f>
        <v>42.9218549379578</v>
      </c>
      <c r="CY8" s="18" t="n">
        <f aca="false">Waterfall!AW44</f>
        <v>42.4942785274471</v>
      </c>
      <c r="CZ8" s="18" t="n">
        <f aca="false">Waterfall!AX44</f>
        <v>43.1502776228074</v>
      </c>
      <c r="DA8" s="18" t="n">
        <f aca="false">Waterfall!AY44</f>
        <v>42.6900932979832</v>
      </c>
      <c r="DB8" s="18" t="n">
        <f aca="false">Waterfall!AZ44</f>
        <v>43.2887280023373</v>
      </c>
      <c r="DC8" s="18" t="n">
        <f aca="false">Waterfall!BA44</f>
        <v>42.4914077090672</v>
      </c>
      <c r="DD8" s="18" t="n">
        <f aca="false">Waterfall!BB44</f>
        <v>43.715456612786</v>
      </c>
      <c r="DE8" s="18" t="n">
        <f aca="false">Waterfall!BC44</f>
        <v>40.2957112077637</v>
      </c>
      <c r="DF8" s="18" t="n">
        <f aca="false">Waterfall!BD44</f>
        <v>34.1609217742445</v>
      </c>
      <c r="DG8" s="18" t="n">
        <f aca="false">Waterfall!BE44</f>
        <v>33.7076783574954</v>
      </c>
      <c r="DH8" s="18" t="n">
        <f aca="false">Waterfall!BF44</f>
        <v>34.3744582828437</v>
      </c>
      <c r="DI8" s="18" t="n">
        <f aca="false">Waterfall!BG44</f>
        <v>33.8861150390019</v>
      </c>
      <c r="DJ8" s="18" t="n">
        <f aca="false">Waterfall!BH44</f>
        <v>34.4889314714431</v>
      </c>
      <c r="DK8" s="18" t="n">
        <f aca="false">Waterfall!BI44</f>
        <v>34.2051644513109</v>
      </c>
      <c r="DL8" s="18" t="n">
        <f aca="false">Waterfall!BJ44</f>
        <v>42.1927822776819</v>
      </c>
      <c r="DM8" s="18" t="n">
        <f aca="false">Waterfall!BK44</f>
        <v>36.9200076245347</v>
      </c>
      <c r="DN8" s="18" t="n">
        <f aca="false">Waterfall!BL44</f>
        <v>37.6281052008802</v>
      </c>
      <c r="DO8" s="18" t="n">
        <f aca="false">Waterfall!BM44</f>
        <v>53.7694088938038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1966</v>
      </c>
      <c r="E9" s="0" t="s">
        <v>151</v>
      </c>
      <c r="G9" s="13" t="n">
        <f aca="false">SUM(J9:DP9)</f>
        <v>1554.35488972498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1.70322194445222</v>
      </c>
      <c r="BR9" s="18" t="n">
        <f aca="false">Waterfall!P7</f>
        <v>49.2741393857949</v>
      </c>
      <c r="BS9" s="18" t="n">
        <f aca="false">Waterfall!Q7</f>
        <v>49.146781503637</v>
      </c>
      <c r="BT9" s="18" t="n">
        <f aca="false">Waterfall!R7</f>
        <v>49.7616211880753</v>
      </c>
      <c r="BU9" s="18" t="n">
        <f aca="false">Waterfall!S7</f>
        <v>49.3624469584191</v>
      </c>
      <c r="BV9" s="18" t="n">
        <f aca="false">Waterfall!T7</f>
        <v>49.9096048739266</v>
      </c>
      <c r="BW9" s="18" t="n">
        <f aca="false">Waterfall!U7</f>
        <v>49.6591147796902</v>
      </c>
      <c r="BX9" s="18" t="n">
        <f aca="false">Waterfall!V7</f>
        <v>50.6119233096294</v>
      </c>
      <c r="BY9" s="18" t="n">
        <f aca="false">Waterfall!W7</f>
        <v>50.2476788598056</v>
      </c>
      <c r="BZ9" s="18" t="n">
        <f aca="false">Waterfall!X7</f>
        <v>48.7497240997007</v>
      </c>
      <c r="CA9" s="18" t="n">
        <f aca="false">Waterfall!Y7</f>
        <v>48.2625101750522</v>
      </c>
      <c r="CB9" s="18" t="n">
        <f aca="false">Waterfall!Z7</f>
        <v>48.6506590615619</v>
      </c>
      <c r="CC9" s="18" t="n">
        <f aca="false">Waterfall!AA7</f>
        <v>48.2434034237692</v>
      </c>
      <c r="CD9" s="18" t="n">
        <f aca="false">Waterfall!AB7</f>
        <v>48.8059645328406</v>
      </c>
      <c r="CE9" s="18" t="n">
        <f aca="false">Waterfall!AC7</f>
        <v>48.5936102735477</v>
      </c>
      <c r="CF9" s="18" t="n">
        <f aca="false">Waterfall!AD7</f>
        <v>50.4878449463201</v>
      </c>
      <c r="CG9" s="18" t="n">
        <f aca="false">Waterfall!AE7</f>
        <v>50.5635966791877</v>
      </c>
      <c r="CH9" s="18" t="n">
        <f aca="false">Waterfall!AF7</f>
        <v>50.7050630837884</v>
      </c>
      <c r="CI9" s="18" t="n">
        <f aca="false">Waterfall!AG7</f>
        <v>50.3310347177414</v>
      </c>
      <c r="CJ9" s="18" t="n">
        <f aca="false">Waterfall!AH7</f>
        <v>50.9806864126608</v>
      </c>
      <c r="CK9" s="18" t="n">
        <f aca="false">Waterfall!AI7</f>
        <v>50.5664149388007</v>
      </c>
      <c r="CL9" s="18" t="n">
        <f aca="false">Waterfall!AJ7</f>
        <v>51.1475227412747</v>
      </c>
      <c r="CM9" s="18" t="n">
        <f aca="false">Waterfall!AK7</f>
        <v>50.901386519151</v>
      </c>
      <c r="CN9" s="18" t="n">
        <f aca="false">Waterfall!AL7</f>
        <v>51.9940432440624</v>
      </c>
      <c r="CO9" s="18" t="n">
        <f aca="false">Waterfall!AM7</f>
        <v>51.6099492244837</v>
      </c>
      <c r="CP9" s="18" t="n">
        <f aca="false">Waterfall!AN7</f>
        <v>49.7527168243686</v>
      </c>
      <c r="CQ9" s="18" t="n">
        <f aca="false">Waterfall!AO7</f>
        <v>46.0145109268755</v>
      </c>
      <c r="CR9" s="18" t="n">
        <f aca="false">Waterfall!AP7</f>
        <v>41.2576694418074</v>
      </c>
      <c r="CS9" s="18" t="n">
        <f aca="false">Waterfall!AQ7</f>
        <v>40.2422923735455</v>
      </c>
      <c r="CT9" s="18" t="n">
        <f aca="false">Waterfall!AR7</f>
        <v>40.8104487043823</v>
      </c>
      <c r="CU9" s="18" t="n">
        <f aca="false">Waterfall!AS7</f>
        <v>40.5407856571621</v>
      </c>
      <c r="CV9" s="18" t="n">
        <f aca="false">Waterfall!AT7</f>
        <v>47.2583461365032</v>
      </c>
      <c r="CW9" s="18" t="n">
        <f aca="false">Waterfall!AU7</f>
        <v>42.8167914915745</v>
      </c>
      <c r="CX9" s="18" t="n">
        <f aca="false">Waterfall!AV7</f>
        <v>42.9218549379578</v>
      </c>
      <c r="CY9" s="18" t="n">
        <f aca="false">Waterfall!AW7</f>
        <v>42.4942785274471</v>
      </c>
      <c r="CZ9" s="18" t="n">
        <f aca="false">Waterfall!AX7</f>
        <v>43.1502776228074</v>
      </c>
      <c r="DA9" s="18" t="n">
        <f aca="false">Waterfall!AY7</f>
        <v>42.6900932979832</v>
      </c>
      <c r="DB9" s="18" t="n">
        <f aca="false">Waterfall!AZ7</f>
        <v>43.2887280023373</v>
      </c>
      <c r="DC9" s="18" t="n">
        <f aca="false">Waterfall!BA7</f>
        <v>42.9863760956759</v>
      </c>
      <c r="DD9" s="18" t="n">
        <f aca="false">Waterfall!BB7</f>
        <v>45.2166068674304</v>
      </c>
      <c r="DE9" s="18" t="n">
        <f aca="false">Waterfall!BC7</f>
        <v>41.8132842811059</v>
      </c>
      <c r="DF9" s="18" t="n">
        <f aca="false">Waterfall!BD7</f>
        <v>35.6950973344911</v>
      </c>
      <c r="DG9" s="18" t="n">
        <f aca="false">Waterfall!BE7</f>
        <v>35.2586380384512</v>
      </c>
      <c r="DH9" s="18" t="n">
        <f aca="false">Waterfall!BF7</f>
        <v>35.9423857054157</v>
      </c>
      <c r="DI9" s="18" t="n">
        <f aca="false">Waterfall!BG7</f>
        <v>35.4711958329387</v>
      </c>
      <c r="DJ9" s="18" t="n">
        <f aca="false">Waterfall!BH7</f>
        <v>36.0913532973117</v>
      </c>
      <c r="DK9" s="18" t="n">
        <f aca="false">Waterfall!BI7</f>
        <v>35.8251170227143</v>
      </c>
      <c r="DL9" s="18" t="n">
        <f aca="false">Waterfall!BJ7</f>
        <v>43.8304573837196</v>
      </c>
      <c r="DM9" s="18" t="n">
        <f aca="false">Waterfall!BK7</f>
        <v>38.575599152509</v>
      </c>
      <c r="DN9" s="18" t="n">
        <f aca="false">Waterfall!BL7</f>
        <v>39.3018091592508</v>
      </c>
      <c r="DO9" s="18" t="n">
        <f aca="false">Waterfall!BM7</f>
        <v>35.8282287318427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1967</v>
      </c>
      <c r="E10" s="0" t="s">
        <v>151</v>
      </c>
      <c r="G10" s="13" t="n">
        <f aca="false">SUM(J10:DP10)</f>
        <v>1845.79649970451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1.70322194445222</v>
      </c>
      <c r="BR10" s="13" t="n">
        <f aca="false">Waterfall!P7+Tax!P27</f>
        <v>49.2741393857949</v>
      </c>
      <c r="BS10" s="13" t="n">
        <f aca="false">Waterfall!Q7+Tax!Q27</f>
        <v>49.146781503637</v>
      </c>
      <c r="BT10" s="13" t="n">
        <f aca="false">Waterfall!R7+Tax!R27</f>
        <v>49.7616211880753</v>
      </c>
      <c r="BU10" s="13" t="n">
        <f aca="false">Waterfall!S7+Tax!S27</f>
        <v>49.3624469584191</v>
      </c>
      <c r="BV10" s="13" t="n">
        <f aca="false">Waterfall!T7+Tax!T27</f>
        <v>49.9096048739266</v>
      </c>
      <c r="BW10" s="13" t="n">
        <f aca="false">Waterfall!U7+Tax!U27</f>
        <v>49.6591147796902</v>
      </c>
      <c r="BX10" s="13" t="n">
        <f aca="false">Waterfall!V7+Tax!V27</f>
        <v>50.6119233096294</v>
      </c>
      <c r="BY10" s="13" t="n">
        <f aca="false">Waterfall!W7+Tax!W27</f>
        <v>50.2476788598056</v>
      </c>
      <c r="BZ10" s="13" t="n">
        <f aca="false">Waterfall!X7+Tax!X27</f>
        <v>48.7497240997007</v>
      </c>
      <c r="CA10" s="13" t="n">
        <f aca="false">Waterfall!Y7+Tax!Y27</f>
        <v>48.3805560109725</v>
      </c>
      <c r="CB10" s="13" t="n">
        <f aca="false">Waterfall!Z7+Tax!Z27</f>
        <v>49.0061505962356</v>
      </c>
      <c r="CC10" s="13" t="n">
        <f aca="false">Waterfall!AA7+Tax!AA27</f>
        <v>48.6006699843752</v>
      </c>
      <c r="CD10" s="13" t="n">
        <f aca="false">Waterfall!AB7+Tax!AB27</f>
        <v>49.165164217672</v>
      </c>
      <c r="CE10" s="13" t="n">
        <f aca="false">Waterfall!AC7+Tax!AC27</f>
        <v>48.9536996740275</v>
      </c>
      <c r="CF10" s="13" t="n">
        <f aca="false">Waterfall!AD7+Tax!AD27</f>
        <v>50.8434271362621</v>
      </c>
      <c r="CG10" s="13" t="n">
        <f aca="false">Waterfall!AE7+Tax!AE27</f>
        <v>50.9262759510027</v>
      </c>
      <c r="CH10" s="13" t="n">
        <f aca="false">Waterfall!AF7+Tax!AF27</f>
        <v>51.0710844026103</v>
      </c>
      <c r="CI10" s="13" t="n">
        <f aca="false">Waterfall!AG7+Tax!AG27</f>
        <v>50.6986625193562</v>
      </c>
      <c r="CJ10" s="13" t="n">
        <f aca="false">Waterfall!AH7+Tax!AH27</f>
        <v>51.3497901627577</v>
      </c>
      <c r="CK10" s="13" t="n">
        <f aca="false">Waterfall!AI7+Tax!AI27</f>
        <v>50.9374512293881</v>
      </c>
      <c r="CL10" s="13" t="n">
        <f aca="false">Waterfall!AJ7+Tax!AJ27</f>
        <v>51.5206630860617</v>
      </c>
      <c r="CM10" s="13" t="n">
        <f aca="false">Waterfall!AK7+Tax!AK27</f>
        <v>51.275818125848</v>
      </c>
      <c r="CN10" s="13" t="n">
        <f aca="false">Waterfall!AL7+Tax!AL27</f>
        <v>52.3692328796693</v>
      </c>
      <c r="CO10" s="13" t="n">
        <f aca="false">Waterfall!AM7+Tax!AM27</f>
        <v>51.987536907673</v>
      </c>
      <c r="CP10" s="13" t="n">
        <f aca="false">Waterfall!AN7+Tax!AN27</f>
        <v>50.1332865466365</v>
      </c>
      <c r="CQ10" s="13" t="n">
        <f aca="false">Waterfall!AO7+Tax!AO27</f>
        <v>49.755515737576</v>
      </c>
      <c r="CR10" s="13" t="n">
        <f aca="false">Waterfall!AP7+Tax!AP27</f>
        <v>50.4343796383651</v>
      </c>
      <c r="CS10" s="13" t="n">
        <f aca="false">Waterfall!AQ7+Tax!AQ27</f>
        <v>50.0145817322316</v>
      </c>
      <c r="CT10" s="13" t="n">
        <f aca="false">Waterfall!AR7+Tax!AR27</f>
        <v>50.618004267933</v>
      </c>
      <c r="CU10" s="13" t="n">
        <f aca="false">Waterfall!AS7+Tax!AS27</f>
        <v>50.4208878117553</v>
      </c>
      <c r="CV10" s="13" t="n">
        <f aca="false">Waterfall!AT7+Tax!AT27</f>
        <v>52.7159730594912</v>
      </c>
      <c r="CW10" s="13" t="n">
        <f aca="false">Waterfall!AU7+Tax!AU27</f>
        <v>52.8098205530325</v>
      </c>
      <c r="CX10" s="13" t="n">
        <f aca="false">Waterfall!AV7+Tax!AV27</f>
        <v>52.8800521342354</v>
      </c>
      <c r="CY10" s="13" t="n">
        <f aca="false">Waterfall!AW7+Tax!AW27</f>
        <v>52.4972662985684</v>
      </c>
      <c r="CZ10" s="13" t="n">
        <f aca="false">Waterfall!AX7+Tax!AX27</f>
        <v>53.2062616096406</v>
      </c>
      <c r="DA10" s="13" t="n">
        <f aca="false">Waterfall!AY7+Tax!AY27</f>
        <v>52.7783510504307</v>
      </c>
      <c r="DB10" s="13" t="n">
        <f aca="false">Waterfall!AZ7+Tax!AZ27</f>
        <v>53.4035982380506</v>
      </c>
      <c r="DC10" s="13" t="n">
        <f aca="false">Waterfall!BA7+Tax!BA27</f>
        <v>53.1657197135529</v>
      </c>
      <c r="DD10" s="13" t="n">
        <f aca="false">Waterfall!BB7+Tax!BB27</f>
        <v>54.4265709576172</v>
      </c>
      <c r="DE10" s="13" t="n">
        <f aca="false">Waterfall!BC7+Tax!BC27</f>
        <v>54.0241264419635</v>
      </c>
      <c r="DF10" s="13" t="n">
        <f aca="false">Waterfall!BD7+Tax!BD27</f>
        <v>51.7444395517508</v>
      </c>
      <c r="DG10" s="13" t="n">
        <f aca="false">Waterfall!BE7+Tax!BE27</f>
        <v>51.3563632583698</v>
      </c>
      <c r="DH10" s="13" t="n">
        <f aca="false">Waterfall!BF7+Tax!BF27</f>
        <v>52.0980939349361</v>
      </c>
      <c r="DI10" s="13" t="n">
        <f aca="false">Waterfall!BG7+Tax!BG27</f>
        <v>51.6613593129613</v>
      </c>
      <c r="DJ10" s="13" t="n">
        <f aca="false">Waterfall!BH7+Tax!BH27</f>
        <v>52.3101759708944</v>
      </c>
      <c r="DK10" s="13" t="n">
        <f aca="false">Waterfall!BI7+Tax!BI27</f>
        <v>52.1305749139169</v>
      </c>
      <c r="DL10" s="13" t="n">
        <f aca="false">Waterfall!BJ7+Tax!BJ27</f>
        <v>54.908631469162</v>
      </c>
      <c r="DM10" s="13" t="n">
        <f aca="false">Waterfall!BK7+Tax!BK27</f>
        <v>55.0155760397678</v>
      </c>
      <c r="DN10" s="13" t="n">
        <f aca="false">Waterfall!BL7+Tax!BL27</f>
        <v>55.6969088611541</v>
      </c>
      <c r="DO10" s="13" t="n">
        <f aca="false">Waterfall!BM7+Tax!BM27</f>
        <v>41.0675408134719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1968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-32.5951538657656</v>
      </c>
      <c r="M11" s="13" t="n">
        <f aca="false">L11+M8</f>
        <v>-33.4309293730866</v>
      </c>
      <c r="N11" s="13" t="n">
        <f aca="false">M11+N8</f>
        <v>-34.6130390463611</v>
      </c>
      <c r="O11" s="13" t="n">
        <f aca="false">N11+O8</f>
        <v>-36.315729912182</v>
      </c>
      <c r="P11" s="13" t="n">
        <f aca="false">O11+P8</f>
        <v>-38.6625542799593</v>
      </c>
      <c r="Q11" s="13" t="n">
        <f aca="false">P11+Q8</f>
        <v>-41.7245736228833</v>
      </c>
      <c r="R11" s="13" t="n">
        <f aca="false">Q11+R8</f>
        <v>-45.6114565770128</v>
      </c>
      <c r="S11" s="13" t="n">
        <f aca="false">R11+S8</f>
        <v>-50.3205865194579</v>
      </c>
      <c r="T11" s="13" t="n">
        <f aca="false">S11+T8</f>
        <v>-55.8668732534593</v>
      </c>
      <c r="U11" s="13" t="n">
        <f aca="false">T11+U8</f>
        <v>-62.1966461215047</v>
      </c>
      <c r="V11" s="13" t="n">
        <f aca="false">U11+V8</f>
        <v>-69.277503426142</v>
      </c>
      <c r="W11" s="13" t="n">
        <f aca="false">V11+W8</f>
        <v>-77.0187306839763</v>
      </c>
      <c r="X11" s="13" t="n">
        <f aca="false">W11+X8</f>
        <v>-85.309149669644</v>
      </c>
      <c r="Y11" s="13" t="n">
        <f aca="false">X11+Y8</f>
        <v>-94.0540634595513</v>
      </c>
      <c r="Z11" s="13" t="n">
        <f aca="false">Y11+Z8</f>
        <v>-103.101646467135</v>
      </c>
      <c r="AA11" s="13" t="n">
        <f aca="false">Z11+AA8</f>
        <v>-112.338656644561</v>
      </c>
      <c r="AB11" s="13" t="n">
        <f aca="false">AA11+AB8</f>
        <v>-121.920325360955</v>
      </c>
      <c r="AC11" s="13" t="n">
        <f aca="false">AB11+AC8</f>
        <v>-131.059877596003</v>
      </c>
      <c r="AD11" s="13" t="n">
        <f aca="false">AC11+AD8</f>
        <v>-139.981814404016</v>
      </c>
      <c r="AE11" s="13" t="n">
        <f aca="false">AD11+AE8</f>
        <v>-148.510358212732</v>
      </c>
      <c r="AF11" s="13" t="n">
        <f aca="false">AE11+AF8</f>
        <v>-156.556656196761</v>
      </c>
      <c r="AG11" s="13" t="n">
        <f aca="false">AF11+AG8</f>
        <v>-163.983309417881</v>
      </c>
      <c r="AH11" s="13" t="n">
        <f aca="false">AG11+AH8</f>
        <v>-170.739001505052</v>
      </c>
      <c r="AI11" s="13" t="n">
        <f aca="false">AH11+AI8</f>
        <v>-176.742883375481</v>
      </c>
      <c r="AJ11" s="13" t="n">
        <f aca="false">AI11+AJ8</f>
        <v>-181.939397782005</v>
      </c>
      <c r="AK11" s="13" t="n">
        <f aca="false">AJ11+AK8</f>
        <v>-186.356469760235</v>
      </c>
      <c r="AL11" s="13" t="n">
        <f aca="false">AK11+AL8</f>
        <v>-189.980204074521</v>
      </c>
      <c r="AM11" s="13" t="n">
        <f aca="false">AL11+AM8</f>
        <v>-192.904636082744</v>
      </c>
      <c r="AN11" s="13" t="n">
        <f aca="false">AM11+AN8</f>
        <v>-195.202803182599</v>
      </c>
      <c r="AO11" s="13" t="n">
        <f aca="false">AN11+AO8</f>
        <v>-196.941094740746</v>
      </c>
      <c r="AP11" s="13" t="n">
        <f aca="false">AO11+AP8</f>
        <v>-198.390972156641</v>
      </c>
      <c r="AQ11" s="13" t="n">
        <f aca="false">AP11+AQ8</f>
        <v>-212.644493329448</v>
      </c>
      <c r="AR11" s="13" t="n">
        <f aca="false">AQ11+AR8</f>
        <v>-223.629335638357</v>
      </c>
      <c r="AS11" s="13" t="n">
        <f aca="false">AR11+AS8</f>
        <v>-224.602219589145</v>
      </c>
      <c r="AT11" s="13" t="n">
        <f aca="false">AS11+AT8</f>
        <v>-224.602219589145</v>
      </c>
      <c r="AU11" s="13" t="n">
        <f aca="false">AT11+AU8</f>
        <v>-224.602219589145</v>
      </c>
      <c r="AV11" s="13" t="n">
        <f aca="false">AU11+AV8</f>
        <v>-224.602219589145</v>
      </c>
      <c r="AW11" s="13" t="n">
        <f aca="false">AV11+AW8</f>
        <v>-224.602219589145</v>
      </c>
      <c r="AX11" s="13" t="n">
        <f aca="false">AW11+AX8</f>
        <v>-224.602219589145</v>
      </c>
      <c r="AY11" s="13" t="n">
        <f aca="false">AX11+AY8</f>
        <v>-224.602219589145</v>
      </c>
      <c r="AZ11" s="13" t="n">
        <f aca="false">AY11+AZ8</f>
        <v>-224.602219589145</v>
      </c>
      <c r="BA11" s="13" t="n">
        <f aca="false">AZ11+BA8</f>
        <v>-224.602219589145</v>
      </c>
      <c r="BB11" s="13" t="n">
        <f aca="false">BA11+BB8</f>
        <v>-224.602219589145</v>
      </c>
      <c r="BC11" s="13" t="n">
        <f aca="false">BB11+BC8</f>
        <v>-224.602219589145</v>
      </c>
      <c r="BD11" s="13" t="n">
        <f aca="false">BC11+BD8</f>
        <v>-224.602219589145</v>
      </c>
      <c r="BE11" s="13" t="n">
        <f aca="false">BD11+BE8</f>
        <v>-224.602219589145</v>
      </c>
      <c r="BF11" s="13" t="n">
        <f aca="false">BE11+BF8</f>
        <v>-224.602219589145</v>
      </c>
      <c r="BG11" s="13" t="n">
        <f aca="false">BF11+BG8</f>
        <v>-224.602219589145</v>
      </c>
      <c r="BH11" s="13" t="n">
        <f aca="false">BG11+BH8</f>
        <v>-224.602219589145</v>
      </c>
      <c r="BI11" s="13" t="n">
        <f aca="false">BH11+BI8</f>
        <v>-224.602219589145</v>
      </c>
      <c r="BJ11" s="13" t="n">
        <f aca="false">BI11+BJ8</f>
        <v>-224.602219589145</v>
      </c>
      <c r="BK11" s="13" t="n">
        <f aca="false">BJ11+BK8</f>
        <v>-224.602219589145</v>
      </c>
      <c r="BL11" s="13" t="n">
        <f aca="false">BK11+BL8</f>
        <v>-224.602219589145</v>
      </c>
      <c r="BM11" s="13" t="n">
        <f aca="false">BL11+BM8</f>
        <v>-224.602219589145</v>
      </c>
      <c r="BN11" s="13" t="n">
        <f aca="false">BM11+BN8</f>
        <v>-224.602219589145</v>
      </c>
      <c r="BO11" s="13" t="n">
        <f aca="false">BN11+BO8</f>
        <v>-224.602219589145</v>
      </c>
      <c r="BP11" s="13" t="n">
        <f aca="false">BO11+BP8</f>
        <v>-224.602219589145</v>
      </c>
      <c r="BQ11" s="13" t="n">
        <f aca="false">BP11+BQ8</f>
        <v>-224.602219589145</v>
      </c>
      <c r="BR11" s="13" t="n">
        <f aca="false">BQ11+BR8</f>
        <v>-210.78187471363</v>
      </c>
      <c r="BS11" s="13" t="n">
        <f aca="false">BR11+BS8</f>
        <v>-199.259878297151</v>
      </c>
      <c r="BT11" s="13" t="n">
        <f aca="false">BS11+BT8</f>
        <v>-186.83156960122</v>
      </c>
      <c r="BU11" s="13" t="n">
        <f aca="false">BT11+BU8</f>
        <v>-175.220340424039</v>
      </c>
      <c r="BV11" s="13" t="n">
        <f aca="false">BU11+BV8</f>
        <v>-162.881428304543</v>
      </c>
      <c r="BW11" s="13" t="n">
        <f aca="false">BV11+BW8</f>
        <v>-151.510233759535</v>
      </c>
      <c r="BX11" s="13" t="n">
        <f aca="false">BW11+BX8</f>
        <v>-138.921537875417</v>
      </c>
      <c r="BY11" s="13" t="n">
        <f aca="false">BX11+BY8</f>
        <v>-125.600654089761</v>
      </c>
      <c r="BZ11" s="13" t="n">
        <f aca="false">BY11+BZ8</f>
        <v>-113.421322034275</v>
      </c>
      <c r="CA11" s="13" t="n">
        <f aca="false">BZ11+CA8</f>
        <v>-102.030174967333</v>
      </c>
      <c r="CB11" s="13" t="n">
        <f aca="false">CA11+CB8</f>
        <v>-89.953803260323</v>
      </c>
      <c r="CC11" s="13" t="n">
        <f aca="false">CB11+CC8</f>
        <v>-84.3344758642429</v>
      </c>
      <c r="CD11" s="13" t="n">
        <f aca="false">CC11+CD8</f>
        <v>-77.8052160773912</v>
      </c>
      <c r="CE11" s="13" t="n">
        <f aca="false">CD11+CE8</f>
        <v>-71.6621227441493</v>
      </c>
      <c r="CF11" s="13" t="n">
        <f aca="false">CE11+CF8</f>
        <v>-64.2345646899549</v>
      </c>
      <c r="CG11" s="13" t="n">
        <f aca="false">CF11+CG8</f>
        <v>-56.2594610216443</v>
      </c>
      <c r="CH11" s="13" t="n">
        <f aca="false">CG11+CH8</f>
        <v>-47.471634295856</v>
      </c>
      <c r="CI11" s="13" t="n">
        <f aca="false">CH11+CI8</f>
        <v>-38.326563035067</v>
      </c>
      <c r="CJ11" s="13" t="n">
        <f aca="false">CI11+CJ8</f>
        <v>-27.8913360963633</v>
      </c>
      <c r="CK11" s="13" t="n">
        <f aca="false">CJ11+CK8</f>
        <v>-16.6736008663713</v>
      </c>
      <c r="CL11" s="13" t="n">
        <f aca="false">CK11+CL8</f>
        <v>-3.68998213947639</v>
      </c>
      <c r="CM11" s="13" t="n">
        <f aca="false">CL11+CM8</f>
        <v>16.5303447188763</v>
      </c>
      <c r="CN11" s="13" t="n">
        <f aca="false">CM11+CN8</f>
        <v>49.7002078917259</v>
      </c>
      <c r="CO11" s="13" t="n">
        <f aca="false">CN11+CO8</f>
        <v>82.4796078400024</v>
      </c>
      <c r="CP11" s="13" t="n">
        <f aca="false">CO11+CP8</f>
        <v>114.209126588363</v>
      </c>
      <c r="CQ11" s="13" t="n">
        <f aca="false">CP11+CQ8</f>
        <v>160.223637515238</v>
      </c>
      <c r="CR11" s="13" t="n">
        <f aca="false">CQ11+CR8</f>
        <v>201.481306957046</v>
      </c>
      <c r="CS11" s="13" t="n">
        <f aca="false">CR11+CS8</f>
        <v>241.723599330591</v>
      </c>
      <c r="CT11" s="13" t="n">
        <f aca="false">CS11+CT8</f>
        <v>282.534048034974</v>
      </c>
      <c r="CU11" s="13" t="n">
        <f aca="false">CT11+CU8</f>
        <v>323.074833692136</v>
      </c>
      <c r="CV11" s="13" t="n">
        <f aca="false">CU11+CV8</f>
        <v>370.333179828639</v>
      </c>
      <c r="CW11" s="13" t="n">
        <f aca="false">CV11+CW8</f>
        <v>413.149971320213</v>
      </c>
      <c r="CX11" s="13" t="n">
        <f aca="false">CW11+CX8</f>
        <v>456.071826258171</v>
      </c>
      <c r="CY11" s="13" t="n">
        <f aca="false">CX11+CY8</f>
        <v>498.566104785618</v>
      </c>
      <c r="CZ11" s="13" t="n">
        <f aca="false">CY11+CZ8</f>
        <v>541.716382408426</v>
      </c>
      <c r="DA11" s="13" t="n">
        <f aca="false">CZ11+DA8</f>
        <v>584.406475706409</v>
      </c>
      <c r="DB11" s="13" t="n">
        <f aca="false">DA11+DB8</f>
        <v>627.695203708746</v>
      </c>
      <c r="DC11" s="13" t="n">
        <f aca="false">DB11+DC8</f>
        <v>670.186611417813</v>
      </c>
      <c r="DD11" s="13" t="n">
        <f aca="false">DC11+DD8</f>
        <v>713.902068030599</v>
      </c>
      <c r="DE11" s="13" t="n">
        <f aca="false">DD11+DE8</f>
        <v>754.197779238363</v>
      </c>
      <c r="DF11" s="13" t="n">
        <f aca="false">DE11+DF8</f>
        <v>788.358701012608</v>
      </c>
      <c r="DG11" s="13" t="n">
        <f aca="false">DF11+DG8</f>
        <v>822.066379370103</v>
      </c>
      <c r="DH11" s="13" t="n">
        <f aca="false">DG11+DH8</f>
        <v>856.440837652947</v>
      </c>
      <c r="DI11" s="13" t="n">
        <f aca="false">DH11+DI8</f>
        <v>890.326952691949</v>
      </c>
      <c r="DJ11" s="13" t="n">
        <f aca="false">DI11+DJ8</f>
        <v>924.815884163392</v>
      </c>
      <c r="DK11" s="13" t="n">
        <f aca="false">DJ11+DK8</f>
        <v>959.021048614703</v>
      </c>
      <c r="DL11" s="13" t="n">
        <f aca="false">DK11+DL8</f>
        <v>1001.21383089238</v>
      </c>
      <c r="DM11" s="13" t="n">
        <f aca="false">DL11+DM8</f>
        <v>1038.13383851692</v>
      </c>
      <c r="DN11" s="13" t="n">
        <f aca="false">DM11+DN8</f>
        <v>1075.7619437178</v>
      </c>
      <c r="DO11" s="13" t="n">
        <f aca="false">DN11+DO8</f>
        <v>1129.5313526116</v>
      </c>
      <c r="DP11" s="13" t="n">
        <f aca="false">DO11+DP8</f>
        <v>1129.5313526116</v>
      </c>
    </row>
    <row r="12" customFormat="false" ht="15" hidden="false" customHeight="false" outlineLevel="0" collapsed="false">
      <c r="D12" s="0" t="s">
        <v>1969</v>
      </c>
      <c r="E12" s="0" t="s">
        <v>105</v>
      </c>
      <c r="F12" s="20" t="n">
        <f aca="false">XIRR(Returns!$J$8:$DP$8,Returns!$J$7:$DP$7)</f>
        <v>0.126719661462623</v>
      </c>
    </row>
    <row r="13" customFormat="false" ht="15" hidden="false" customHeight="false" outlineLevel="0" collapsed="false">
      <c r="D13" s="0" t="s">
        <v>1970</v>
      </c>
      <c r="E13" s="0" t="s">
        <v>105</v>
      </c>
      <c r="F13" s="20" t="n">
        <f aca="false">XIRR(Returns!$J$9:$DP$9,Returns!$J$7:$DP$7,Inputs!$F$255)</f>
        <v>0.107440530001056</v>
      </c>
    </row>
    <row r="14" customFormat="false" ht="15" hidden="false" customHeight="false" outlineLevel="0" collapsed="false">
      <c r="D14" s="0" t="s">
        <v>1971</v>
      </c>
      <c r="E14" s="0" t="s">
        <v>105</v>
      </c>
      <c r="F14" s="20" t="n">
        <f aca="false">XIRR(Returns!$J$10:$DP$10,Returns!$J$7:$DP$7,Inputs!$F$255)</f>
        <v>0.113117763438359</v>
      </c>
    </row>
    <row r="15" customFormat="false" ht="15" hidden="false" customHeight="false" outlineLevel="0" collapsed="false">
      <c r="D15" s="0" t="s">
        <v>1972</v>
      </c>
      <c r="E15" s="0" t="s">
        <v>151</v>
      </c>
      <c r="F15" s="21" t="n">
        <f aca="false">XNPV(Inputs!$F$252/100,Returns!$J$8:$DP$8,Returns!$J$7:$DP$7)*(1+Inputs!$F$252/100)^((Inputs!$F$187-Inputs!$F$186)/Inputs!$F$248)</f>
        <v>-53.0064583252416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1974</v>
      </c>
      <c r="E7" s="0" t="s">
        <v>1975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1976</v>
      </c>
      <c r="E8" s="0" t="s">
        <v>1975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1977</v>
      </c>
      <c r="E9" s="0" t="s">
        <v>1975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1978</v>
      </c>
      <c r="E10" s="0" t="s">
        <v>1975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1979</v>
      </c>
      <c r="E11" s="0" t="s">
        <v>1975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1980</v>
      </c>
      <c r="E12" s="0" t="s">
        <v>1975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1981</v>
      </c>
      <c r="E13" s="0" t="s">
        <v>1975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1982</v>
      </c>
      <c r="E14" s="0" t="s">
        <v>1975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1983</v>
      </c>
      <c r="E15" s="0" t="s">
        <v>1975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1984</v>
      </c>
      <c r="E16" s="0" t="s">
        <v>1975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1985</v>
      </c>
      <c r="E17" s="0" t="s">
        <v>1975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1986</v>
      </c>
      <c r="E18" s="0" t="s">
        <v>1975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1987</v>
      </c>
      <c r="E19" s="0" t="s">
        <v>1975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1988</v>
      </c>
      <c r="E20" s="0" t="s">
        <v>1975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1989</v>
      </c>
      <c r="E21" s="0" t="s">
        <v>1975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1990</v>
      </c>
      <c r="E22" s="0" t="s">
        <v>1975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1991</v>
      </c>
      <c r="E23" s="0" t="s">
        <v>1975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1992</v>
      </c>
      <c r="E24" s="0" t="s">
        <v>1975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1993</v>
      </c>
      <c r="E25" s="0" t="s">
        <v>1975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1995</v>
      </c>
      <c r="E7" s="0" t="s">
        <v>151</v>
      </c>
      <c r="F7" s="22" t="n">
        <f aca="false">Funding!$F$75</f>
        <v>854.551894367595</v>
      </c>
    </row>
    <row r="8" customFormat="false" ht="15" hidden="false" customHeight="false" outlineLevel="0" collapsed="false">
      <c r="D8" s="0" t="s">
        <v>1996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1997</v>
      </c>
      <c r="E9" s="0" t="s">
        <v>151</v>
      </c>
      <c r="F9" s="22" t="n">
        <f aca="false">SUM(Funding!$J$67:$BJ$67)</f>
        <v>224.602219589145</v>
      </c>
    </row>
    <row r="10" customFormat="false" ht="15" hidden="false" customHeight="false" outlineLevel="0" collapsed="false">
      <c r="D10" s="0" t="s">
        <v>1998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63.5701663528107</v>
      </c>
    </row>
    <row r="12" customFormat="false" ht="15" hidden="false" customHeight="false" outlineLevel="0" collapsed="false">
      <c r="D12" s="0" t="s">
        <v>2000</v>
      </c>
      <c r="E12" s="0" t="s">
        <v>151</v>
      </c>
      <c r="F12" s="22" t="n">
        <f aca="false">SUM(Funding!$J$40:$BJ$40)+SUM(Funding!$J$41:$BJ$41)+SUM(Funding!$J$42:$BJ$42)+SUM(Funding!$J$43:$BJ$43)</f>
        <v>20.71750073229</v>
      </c>
    </row>
    <row r="13" customFormat="false" ht="15" hidden="false" customHeight="false" outlineLevel="0" collapsed="false">
      <c r="D13" s="0" t="s">
        <v>2001</v>
      </c>
      <c r="E13" s="0" t="s">
        <v>151</v>
      </c>
      <c r="F13" s="22" t="n">
        <f aca="false">SUM(Funding!$J$48:$BJ$48)</f>
        <v>20.504861914038</v>
      </c>
    </row>
    <row r="14" customFormat="false" ht="15" hidden="false" customHeight="false" outlineLevel="0" collapsed="false">
      <c r="D14" s="0" t="s">
        <v>2002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2003</v>
      </c>
      <c r="E15" s="0" t="s">
        <v>151</v>
      </c>
      <c r="F15" s="22" t="n">
        <f aca="false">SUM(Funding!$J$55:$BJ$55)</f>
        <v>1.63349334059149E-011</v>
      </c>
    </row>
    <row r="16" customFormat="false" ht="15" hidden="false" customHeight="false" outlineLevel="0" collapsed="false">
      <c r="D16" s="0" t="s">
        <v>2004</v>
      </c>
      <c r="E16" s="0" t="s">
        <v>151</v>
      </c>
      <c r="F16" s="22" t="n">
        <f aca="false">SUM(Funding!$J$56:$BJ$56)</f>
        <v>5.44497780197162E-012</v>
      </c>
    </row>
    <row r="17" customFormat="false" ht="15" hidden="false" customHeight="false" outlineLevel="0" collapsed="false">
      <c r="D17" s="0" t="s">
        <v>1955</v>
      </c>
      <c r="E17" s="0" t="s">
        <v>204</v>
      </c>
      <c r="F17" s="22" t="n">
        <f aca="false">Ratios!$F$16</f>
        <v>1.31905245223501</v>
      </c>
    </row>
    <row r="18" customFormat="false" ht="15" hidden="false" customHeight="false" outlineLevel="0" collapsed="false">
      <c r="D18" s="0" t="s">
        <v>2005</v>
      </c>
      <c r="E18" s="0" t="s">
        <v>204</v>
      </c>
      <c r="F18" s="22" t="n">
        <f aca="false">Ratios!$F$17</f>
        <v>1.51733468502766</v>
      </c>
    </row>
    <row r="19" customFormat="false" ht="15" hidden="false" customHeight="false" outlineLevel="0" collapsed="false">
      <c r="D19" s="0" t="s">
        <v>2006</v>
      </c>
      <c r="E19" s="0" t="s">
        <v>204</v>
      </c>
      <c r="F19" s="22" t="n">
        <f aca="false">Ratios!$F$18</f>
        <v>1.39617963342937</v>
      </c>
    </row>
    <row r="20" customFormat="false" ht="15" hidden="false" customHeight="false" outlineLevel="0" collapsed="false">
      <c r="D20" s="0" t="s">
        <v>1958</v>
      </c>
      <c r="E20" s="0" t="s">
        <v>204</v>
      </c>
      <c r="F20" s="22" t="n">
        <f aca="false">Ratios!$F$19</f>
        <v>1.81059882070848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0.126719661462623</v>
      </c>
    </row>
    <row r="22" customFormat="false" ht="15" hidden="false" customHeight="false" outlineLevel="0" collapsed="false">
      <c r="D22" s="0" t="s">
        <v>2007</v>
      </c>
      <c r="E22" s="0" t="s">
        <v>105</v>
      </c>
      <c r="F22" s="20" t="n">
        <f aca="false">Returns!$F$13</f>
        <v>0.107440530001056</v>
      </c>
    </row>
    <row r="23" customFormat="false" ht="15" hidden="false" customHeight="false" outlineLevel="0" collapsed="false">
      <c r="D23" s="0" t="s">
        <v>2008</v>
      </c>
      <c r="E23" s="0" t="s">
        <v>151</v>
      </c>
      <c r="F23" s="22" t="n">
        <f aca="false">Returns!$F$15</f>
        <v>-53.0064583252416</v>
      </c>
    </row>
    <row r="24" customFormat="false" ht="15" hidden="false" customHeight="false" outlineLevel="0" collapsed="false">
      <c r="D24" s="0" t="s">
        <v>2009</v>
      </c>
      <c r="E24" s="0" t="s">
        <v>1975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2010</v>
      </c>
    </row>
    <row r="27" customFormat="false" ht="15" hidden="false" customHeight="false" outlineLevel="0" collapsed="false">
      <c r="D27" s="2" t="s">
        <v>2011</v>
      </c>
      <c r="J27" s="2" t="s">
        <v>1995</v>
      </c>
      <c r="K27" s="2" t="s">
        <v>1996</v>
      </c>
      <c r="L27" s="2" t="s">
        <v>1997</v>
      </c>
      <c r="M27" s="2" t="s">
        <v>1998</v>
      </c>
      <c r="N27" s="2" t="s">
        <v>1999</v>
      </c>
      <c r="O27" s="2" t="s">
        <v>2000</v>
      </c>
      <c r="P27" s="2" t="s">
        <v>2001</v>
      </c>
      <c r="Q27" s="2" t="s">
        <v>2002</v>
      </c>
      <c r="R27" s="2" t="s">
        <v>2003</v>
      </c>
      <c r="S27" s="2" t="s">
        <v>2004</v>
      </c>
      <c r="T27" s="2" t="s">
        <v>1955</v>
      </c>
      <c r="U27" s="2" t="s">
        <v>2005</v>
      </c>
      <c r="V27" s="2" t="s">
        <v>2006</v>
      </c>
      <c r="W27" s="2" t="s">
        <v>1958</v>
      </c>
      <c r="X27" s="2" t="s">
        <v>436</v>
      </c>
      <c r="Y27" s="2" t="s">
        <v>2007</v>
      </c>
      <c r="Z27" s="2" t="s">
        <v>2008</v>
      </c>
    </row>
    <row r="28" customFormat="false" ht="15" hidden="false" customHeight="false" outlineLevel="0" collapsed="false">
      <c r="D28" s="0" t="s">
        <v>2012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2013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2014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2015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2016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2017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2018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2019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2020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2021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2022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2023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2024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2025</v>
      </c>
      <c r="J41" s="23" t="n">
        <v>893.75557633646</v>
      </c>
      <c r="K41" s="23" t="n">
        <v>629.949674778433</v>
      </c>
      <c r="L41" s="23" t="n">
        <v>230.098215081362</v>
      </c>
      <c r="M41" s="24" t="n">
        <v>0.723282380966922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37.1784063555643</v>
      </c>
      <c r="R41" s="23" t="n">
        <v>16.4879864766651</v>
      </c>
      <c r="S41" s="23" t="n">
        <v>5.49599549222168</v>
      </c>
      <c r="T41" s="23" t="n">
        <v>1.27117101320278</v>
      </c>
      <c r="U41" s="23" t="n">
        <v>1.49620632469638</v>
      </c>
      <c r="V41" s="23" t="n">
        <v>1.33768651272528</v>
      </c>
      <c r="W41" s="23" t="n">
        <v>1.77298499460651</v>
      </c>
      <c r="X41" s="24" t="n">
        <v>0.123510388395451</v>
      </c>
      <c r="Y41" s="24" t="n">
        <v>0.100881085906746</v>
      </c>
      <c r="Z41" s="23" t="n">
        <v>-58.4249041622223</v>
      </c>
    </row>
    <row r="42" customFormat="false" ht="15" hidden="false" customHeight="false" outlineLevel="0" collapsed="false">
      <c r="D42" s="0" t="s">
        <v>2026</v>
      </c>
      <c r="J42" s="23" t="n">
        <v>891.526869194766</v>
      </c>
      <c r="K42" s="23" t="n">
        <v>629.949674778433</v>
      </c>
      <c r="L42" s="23" t="n">
        <v>229.541038295938</v>
      </c>
      <c r="M42" s="24" t="n">
        <v>0.723215590216799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34.9496992138705</v>
      </c>
      <c r="R42" s="23" t="n">
        <v>14.8164561203947</v>
      </c>
      <c r="S42" s="23" t="n">
        <v>4.93881870679823</v>
      </c>
      <c r="T42" s="23" t="n">
        <v>0.906636156522524</v>
      </c>
      <c r="U42" s="23" t="n">
        <v>1.48983702523674</v>
      </c>
      <c r="V42" s="23" t="n">
        <v>1.4659396798229</v>
      </c>
      <c r="W42" s="23" t="n">
        <v>1.68186956276718</v>
      </c>
      <c r="X42" s="24" t="n">
        <v>0.124196013681622</v>
      </c>
      <c r="Y42" s="24" t="n">
        <v>0.101395094945087</v>
      </c>
      <c r="Z42" s="23" t="n">
        <v>-55.8814168277051</v>
      </c>
    </row>
    <row r="44" customFormat="false" ht="15" hidden="false" customHeight="false" outlineLevel="0" collapsed="false">
      <c r="D44" s="0" t="s">
        <v>2027</v>
      </c>
      <c r="E44" s="0" t="s">
        <v>1975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2026-10-03T23:43:35Z</dcterms:created>
  <dc:creator>openpyxl</dc:creator>
  <dc:description/>
  <dc:language>en-US</dc:language>
  <cp:lastModifiedBy/>
  <dcterms:modified xsi:type="dcterms:W3CDTF">2026-10-03T23:43:36Z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