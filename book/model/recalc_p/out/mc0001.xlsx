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<sst xmlns="http://schemas.openxmlformats.org/spreadsheetml/2006/main" count="3605" uniqueCount="2018">
  <si>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</si>
  <si>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</si>
  <si>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</si>
  <si>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</si>
  <si>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</si>
  <si>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</si>
  <si>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</si>
  <si>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</si>
  <si>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</si>
  <si>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</si>
  <si>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</si>
  <si>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</si>
  <si>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</si>
  <si>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</si>
  <si>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</si>
  <si>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</si>
  <si>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</si>
  <si>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</si>
  <si>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</si>
  <si>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</si>
  <si>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</si>
  <si>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</si>
  <si>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</si>
  <si>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</si>
  <si>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</si>
  <si>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</si>
  <si>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</si>
  <si>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</si>
  <si>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</si>
  <si>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</si>
  <si>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</si>
  <si>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</si>
  <si>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</si>
  <si>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</si>
  <si>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</si>
  <si>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</si>
  <si>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</si>
  <si>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</si>
  <si>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</si>
  <si>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</si>
  <si>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</si>
  <si>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</si>
  <si>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</si>
  <si>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</si>
  <si>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</si>
  <si>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</si>
  <si>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</si>
  <si>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</si>
  <si>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</si>
  <si>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</si>
  <si>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</si>
  <si>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</si>
  <si>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</si>
  <si>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</si>
  <si>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</si>
  <si>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</si>
  <si>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</si>
  <si>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</si>
  <si>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</si>
  <si>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</si>
  <si>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</si>
  <si>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</si>
  <si>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</si>
  <si>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</si>
  <si>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</si>
  <si>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</si>
  <si>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</si>
  <si>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</si>
  <si>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</si>
  <si>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</si>
  <si>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</si>
  <si>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</si>
  <si>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</si>
  <si>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</si>
  <si>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</si>
  <si>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</si>
  <si>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</si>
  <si>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</si>
  <si>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</si>
  <si>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</si>
  <si>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</si>
  <si>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</si>
  <si>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</si>
  <si>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</si>
  <si>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</si>
  <si>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</si>
  <si>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</si>
  <si>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</si>
  <si>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</si>
  <si>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</si>
  <si>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</si>
  <si>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</si>
  <si>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</si>
  <si>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</si>
  <si>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</si>
  <si>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</si>
  <si>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</si>
  <si>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</si>
  <si>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</si>
  <si>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</si>
  <si>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</si>
  <si>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</si>
  <si>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</si>
  <si>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</si>
  <si>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</si>
  <si>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</si>
  <si>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</si>
  <si>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</si>
  <si>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</si>
  <si>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</si>
  <si>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</si>
  <si>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</si>
  <si>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</si>
  <si>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</si>
  <si>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</si>
  <si>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</si>
  <si>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</si>
  <si>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</si>
  <si>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</si>
  <si>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</si>
  <si>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</si>
  <si>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</si>
  <si>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</si>
  <si>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</si>
  <si>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</si>
  <si>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</si>
  <si>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</si>
  <si>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</si>
  <si>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</si>
  <si>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</si>
  <si>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</si>
  <si>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</si>
  <si>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</si>
  <si>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</si>
  <si>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</si>
  <si>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</si>
  <si>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</si>
  <si>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</si>
  <si>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</si>
  <si>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</si>
  <si>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</si>
  <si>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</si>
  <si>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</si>
  <si>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</si>
  <si>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</si>
  <si>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</si>
  <si>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</si>
  <si>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</si>
  <si>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</si>
  <si>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</si>
  <si>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</si>
  <si>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</si>
  <si>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</si>
  <si>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</si>
  <si>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</si>
  <si>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</si>
  <si>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</si>
  <si>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</si>
  <si>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</si>
  <si>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</si>
  <si>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</si>
  <si>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</si>
  <si>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</si>
  <si>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</si>
  <si>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</si>
  <si>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</si>
  <si>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</si>
  <si>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</si>
  <si>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</si>
  <si>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</si>
  <si>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</si>
  <si>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</si>
  <si>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</si>
  <si>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</si>
  <si>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</si>
  <si>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</si>
  <si>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</si>
  <si>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</si>
  <si>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</si>
  <si>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</si>
  <si>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</si>
  <si>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</si>
  <si>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</si>
  <si>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</si>
  <si>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</si>
  <si>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</si>
  <si>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</si>
  <si>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</si>
  <si>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</si>
  <si>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</si>
  <si>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</si>
  <si>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</si>
  <si>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</si>
  <si>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</si>
  <si>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</si>
  <si>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</si>
  <si>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</si>
  <si>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</si>
  <si>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</si>
  <si>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</si>
  <si>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</si>
  <si>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</si>
  <si>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</si>
  <si>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</si>
  <si>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</si>
  <si>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</si>
  <si>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</si>
  <si>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</si>
  <si>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</si>
  <si>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</si>
  <si>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</si>
  <si>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</si>
  <si>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</si>
  <si>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</si>
  <si>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</si>
  <si>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</si>
  <si>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</si>
  <si>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</si>
  <si>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</si>
  <si>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</si>
  <si>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</si>
  <si>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</si>
  <si>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</si>
  <si>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</si>
  <si>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</si>
  <si>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</si>
  <si>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</si>
  <si>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</si>
  <si>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</si>
  <si>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</si>
  <si>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</si>
  <si>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</si>
  <si>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</si>
  <si>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</si>
  <si>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</si>
  <si>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</si>
  <si>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</si>
  <si>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</si>
  <si>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</si>
  <si>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</si>
  <si>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</si>
  <si>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</si>
  <si>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</si>
  <si>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</si>
  <si>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</si>
  <si>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</si>
  <si>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</si>
  <si>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</si>
  <si>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</si>
  <si>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</si>
  <si>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</si>
  <si>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</si>
  <si>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</si>
  <si>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</si>
  <si>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</si>
  <si>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</si>
  <si>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</si>
  <si>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</si>
  <si>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</si>
  <si>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</si>
  <si>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</si>
  <si>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</si>
  <si>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</si>
  <si>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</si>
  <si>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</si>
  <si>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</si>
  <si>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</si>
  <si>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</si>
  <si>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</si>
  <si>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</si>
  <si>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</si>
  <si>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</si>
  <si>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</si>
  <si>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</si>
  <si>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</si>
  <si>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</si>
  <si>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</si>
  <si>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</si>
  <si>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</si>
  <si>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</si>
  <si>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</si>
  <si>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</si>
  <si>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</si>
  <si>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</si>
  <si>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</si>
  <si>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</si>
  <si>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</si>
  <si>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</si>
  <si>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</si>
  <si>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</si>
  <si>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</si>
  <si>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</si>
  <si>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</si>
  <si>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</si>
  <si>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</si>
  <si>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</si>
  <si>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</si>
  <si>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</si>
  <si>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</si>
  <si>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</si>
  <si>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</si>
  <si>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</si>
  <si>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</si>
  <si>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</si>
  <si>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</si>
  <si>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</si>
  <si>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</si>
  <si>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</si>
  <si>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</si>
  <si>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</si>
  <si>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</si>
  <si>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</si>
  <si>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</si>
  <si>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</si>
  <si>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</si>
  <si>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</si>
  <si>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</si>
  <si>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</si>
  <si>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</si>
  <si>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</si>
  <si>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</si>
  <si>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</si>
  <si>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</si>
  <si>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</si>
  <si>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</si>
  <si>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</si>
  <si>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</si>
  <si>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</si>
  <si>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</si>
  <si>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</si>
  <si>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</si>
  <si>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</si>
  <si>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</si>
  <si>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</si>
  <si>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</si>
  <si>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</si>
  <si>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</si>
  <si>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</si>
  <si>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</si>
  <si>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</si>
  <si>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</si>
  <si>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</si>
  <si>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</si>
  <si>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</si>
  <si>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</si>
  <si>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</si>
  <si>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</si>
  <si>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</si>
  <si>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</si>
  <si>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</si>
  <si>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</si>
  <si>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</si>
  <si>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</si>
  <si>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</si>
  <si>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</si>
  <si>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</si>
  <si>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</si>
  <si>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</si>
  <si>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</si>
  <si>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</si>
  <si>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</si>
  <si>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</si>
  <si>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</si>
  <si>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</si>
  <si>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</si>
  <si>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</si>
  <si>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</si>
  <si>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</si>
  <si>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</si>
  <si>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</si>
  <si>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</si>
  <si>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</si>
  <si>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</si>
  <si>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</si>
  <si>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</si>
  <si>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</si>
  <si>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</si>
  <si>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</si>
  <si>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</si>
  <si>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</si>
  <si>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</si>
  <si>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</si>
  <si>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</si>
  <si>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</si>
  <si>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</si>
  <si>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</si>
  <si>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</si>
  <si>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</si>
  <si>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</si>
  <si>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</si>
  <si>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</si>
  <si>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</si>
  <si>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</si>
  <si>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</si>
  <si>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</si>
  <si>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</si>
  <si>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</si>
  <si>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</si>
  <si>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</si>
  <si>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</si>
  <si>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</si>
  <si>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</si>
  <si>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</si>
  <si>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</si>
  <si>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</si>
  <si>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</si>
  <si>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</si>
  <si>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</si>
  <si>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</si>
  <si>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</si>
  <si>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</si>
  <si>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</si>
  <si>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</si>
  <si>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</si>
  <si>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</si>
  <si>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</si>
  <si>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</si>
  <si>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</si>
  <si>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</si>
  <si>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</si>
  <si>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</si>
  <si>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</si>
  <si>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</si>
  <si>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</si>
  <si>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</si>
  <si>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</si>
  <si>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</si>
  <si>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</si>
  <si>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</si>
  <si>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</si>
  <si>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</si>
  <si>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</si>
  <si>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</si>
  <si>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</si>
  <si>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</si>
  <si>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</si>
  <si>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</si>
  <si>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</si>
  <si>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</si>
  <si>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</si>
  <si>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</si>
  <si>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</si>
  <si>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</si>
  <si>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</si>
  <si>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</si>
  <si>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</si>
  <si>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</si>
  <si>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</si>
  <si>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</si>
  <si>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</si>
  <si>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</si>
  <si>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</si>
  <si>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</si>
  <si>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</si>
  <si>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</si>
  <si>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</si>
  <si>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</si>
  <si>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</si>
  <si>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</si>
  <si>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</si>
  <si>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</si>
  <si>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</si>
  <si>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</si>
  <si>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</si>
  <si>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</si>
  <si>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</si>
  <si>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</si>
  <si>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</si>
  <si>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</si>
  <si>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</si>
  <si>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</si>
  <si>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</si>
  <si>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</si>
  <si>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</si>
  <si>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</si>
  <si>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</si>
  <si>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</si>
  <si>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</si>
  <si>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</si>
  <si>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</si>
  <si>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</si>
  <si>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</si>
  <si>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</si>
  <si>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</si>
  <si>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</si>
  <si>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</si>
  <si>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</si>
  <si>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</si>
  <si>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</si>
  <si>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</si>
  <si>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</si>
  <si>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</si>
  <si>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</si>
  <si>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</si>
  <si>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</si>
  <si>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</si>
  <si>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</si>
  <si>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</si>
  <si>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</si>
  <si>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</si>
  <si>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</si>
  <si>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</si>
  <si>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</si>
  <si>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</si>
  <si>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</si>
  <si>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</si>
  <si>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</si>
  <si>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</si>
  <si>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</si>
  <si>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</si>
  <si>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</si>
  <si>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</si>
  <si>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</si>
  <si>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</si>
  <si>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</si>
  <si>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</si>
  <si>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</si>
  <si>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</si>
  <si>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</si>
  <si>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</si>
  <si>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</si>
  <si>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</si>
  <si>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</si>
  <si>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</si>
  <si>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</si>
  <si>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</si>
  <si>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</si>
  <si>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</si>
  <si>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</si>
  <si>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</si>
  <si>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</si>
  <si>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</si>
  <si>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</si>
  <si>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</si>
  <si>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</si>
  <si>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</si>
  <si>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</si>
  <si>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</si>
  <si>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</si>
  <si>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</si>
  <si>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</si>
  <si>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</si>
  <si>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</si>
  <si>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</si>
  <si>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</si>
  <si>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</si>
  <si>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</si>
  <si>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</si>
  <si>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</si>
  <si>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</si>
  <si>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</si>
  <si>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</si>
  <si>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</si>
  <si>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</si>
  <si>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</si>
  <si>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</si>
  <si>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</si>
  <si>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</si>
  <si>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</si>
  <si>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</si>
  <si>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</si>
  <si>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</si>
  <si>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</si>
  <si>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</si>
  <si>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</si>
  <si>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</si>
  <si>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</si>
  <si>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</si>
  <si>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</si>
  <si>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</si>
  <si>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</si>
  <si>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</si>
  <si>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</si>
  <si>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</si>
  <si>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</si>
  <si>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</si>
  <si>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</si>
  <si>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</si>
  <si>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</si>
  <si>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</si>
  <si>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</si>
  <si>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</si>
  <si>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</si>
  <si>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</si>
  <si>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</si>
  <si>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</si>
  <si>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</si>
  <si>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</si>
  <si>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</si>
  <si>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</si>
  <si>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</si>
  <si>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</si>
  <si>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</si>
  <si>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</si>
  <si>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</si>
  <si>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</si>
  <si>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</si>
  <si>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</si>
  <si>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</si>
  <si>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</si>
  <si>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</si>
  <si>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</si>
  <si>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</si>
  <si>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</si>
  <si>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</si>
  <si>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</si>
  <si>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</si>
  <si>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</si>
  <si>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</si>
  <si>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</si>
  <si>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</si>
  <si>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</si>
  <si>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</si>
  <si>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</si>
  <si>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</si>
  <si>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</si>
  <si>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</si>
  <si>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</si>
  <si>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</si>
  <si>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</si>
  <si>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</si>
  <si>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</si>
  <si>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</si>
  <si>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</si>
  <si>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</si>
  <si>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</si>
  <si>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</si>
  <si>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</si>
  <si>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</si>
  <si>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</si>
  <si>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</si>
  <si>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</si>
  <si>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</si>
  <si>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</si>
  <si>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</si>
  <si>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</si>
  <si>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</si>
  <si>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</si>
  <si>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</si>
  <si>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</si>
  <si>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</si>
  <si>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</si>
  <si>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</si>
  <si>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</si>
  <si>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</si>
  <si>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</si>
  <si>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</si>
  <si>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</si>
  <si>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</si>
  <si>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</si>
  <si>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</si>
  <si>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</si>
  <si>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</si>
  <si>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</si>
  <si>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</si>
  <si>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</si>
  <si>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</si>
  <si>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</si>
  <si>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</si>
  <si>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</si>
  <si>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</si>
  <si>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</si>
  <si>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</si>
  <si>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</si>
  <si>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</si>
  <si>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</si>
  <si>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</si>
  <si>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</si>
  <si>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</si>
  <si>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</si>
  <si>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</si>
  <si>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</si>
  <si>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</si>
  <si>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</si>
  <si>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</si>
  <si>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</si>
  <si>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</si>
  <si>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</si>
  <si>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</si>
  <si>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</si>
  <si>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</si>
  <si>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</si>
  <si>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</si>
  <si>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</si>
  <si>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</si>
  <si>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</si>
  <si>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</si>
  <si>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</si>
  <si>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</si>
  <si>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</si>
  <si>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</si>
  <si>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</si>
  <si>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</si>
  <si>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</si>
  <si>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</si>
  <si>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</si>
  <si>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</si>
  <si>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</si>
  <si>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</si>
  <si>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</si>
  <si>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</si>
  <si>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</si>
  <si>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</si>
  <si>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</si>
  <si>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</si>
  <si>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</si>
  <si>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</si>
  <si>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</si>
  <si>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</si>
  <si>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</si>
  <si>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</si>
  <si>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</si>
  <si>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</si>
  <si>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</si>
  <si>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</si>
  <si>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</si>
  <si>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</si>
  <si>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</si>
  <si>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</si>
  <si>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</si>
  <si>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</si>
  <si>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</si>
  <si>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</si>
  <si>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</si>
  <si>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</si>
  <si>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</si>
  <si>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</si>
  <si>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</si>
  <si>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</si>
  <si>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</si>
  <si>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</si>
  <si>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</si>
  <si>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</si>
  <si>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</si>
  <si>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</si>
  <si>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</si>
  <si>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</si>
  <si>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</si>
  <si>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</si>
  <si>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</si>
  <si>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</si>
  <si>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</si>
  <si>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</si>
  <si>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</si>
  <si>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</si>
  <si>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</si>
  <si>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</si>
  <si>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</si>
  <si>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</si>
  <si>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</si>
  <si>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</si>
  <si>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</si>
  <si>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</si>
  <si>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</si>
  <si>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</si>
  <si>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</si>
  <si>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</si>
  <si>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</si>
  <si>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</si>
  <si>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</si>
  <si>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</si>
  <si>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</si>
  <si>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</si>
  <si>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</si>
  <si>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</si>
  <si>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</si>
  <si>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</si>
  <si>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</si>
  <si>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</si>
  <si>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</si>
  <si>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</si>
  <si>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</si>
  <si>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</si>
  <si>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</si>
  <si>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</si>
  <si>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</si>
  <si>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</si>
  <si>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</si>
  <si>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</si>
  <si>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</si>
  <si>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</si>
  <si>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</si>
  <si>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</si>
  <si>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</si>
  <si>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</si>
  <si>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</si>
  <si>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</si>
  <si>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</si>
  <si>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</si>
  <si>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</si>
  <si>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</si>
  <si>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</si>
  <si>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</si>
  <si>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</si>
  <si>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</si>
  <si>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</si>
  <si>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</si>
  <si>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</si>
  <si>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</si>
  <si>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</si>
  <si>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</si>
  <si>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</si>
  <si>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</si>
  <si>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</si>
  <si>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</si>
  <si>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</si>
  <si>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</si>
  <si>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</si>
  <si>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</si>
  <si>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</si>
  <si>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</si>
  <si>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</si>
  <si>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</si>
  <si>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</si>
  <si>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</si>
  <si>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</si>
  <si>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</si>
  <si>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</si>
  <si>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</si>
  <si>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</si>
  <si>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</si>
  <si>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</si>
  <si>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</si>
  <si>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</si>
  <si>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</si>
  <si>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</si>
  <si>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</si>
  <si>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</si>
  <si>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</si>
  <si>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</si>
  <si>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</si>
  <si>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</si>
  <si>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</si>
  <si>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</si>
  <si>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</si>
  <si>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</si>
  <si>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</si>
  <si>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</si>
  <si>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</si>
  <si>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</si>
  <si>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</si>
  <si>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</si>
  <si>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</si>
  <si>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</si>
  <si>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</si>
  <si>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</si>
  <si>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</si>
  <si>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</si>
  <si>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</si>
  <si>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</si>
  <si>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</si>
  <si>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</si>
  <si>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</si>
  <si>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</si>
  <si>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</si>
  <si>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</si>
  <si>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</si>
  <si>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</si>
  <si>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</si>
  <si>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</si>
  <si>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</si>
  <si>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</si>
  <si>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</si>
  <si>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</si>
  <si>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</si>
  <si>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</si>
  <si>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</si>
  <si>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</si>
  <si>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</si>
  <si>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</si>
  <si>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</si>
  <si>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</si>
  <si>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</si>
  <si>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</si>
  <si>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</si>
  <si>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</si>
  <si>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</si>
  <si>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</si>
  <si>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</si>
  <si>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</si>
  <si>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</si>
  <si>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</si>
  <si>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</si>
  <si>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</si>
  <si>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</si>
  <si>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</si>
  <si>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</si>
  <si>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</si>
  <si>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</si>
  <si>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</si>
  <si>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</si>
  <si>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</si>
  <si>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</si>
  <si>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</si>
  <si>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</si>
  <si>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</si>
  <si>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</si>
  <si>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</si>
  <si>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</si>
  <si>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</si>
  <si>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</si>
  <si>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</si>
  <si>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</si>
  <si>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</si>
  <si>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</si>
  <si>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</si>
  <si>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</si>
  <si>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</si>
  <si>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</si>
  <si>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</si>
  <si>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</si>
  <si>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</si>
  <si>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</si>
  <si>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</si>
  <si>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</si>
  <si>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</si>
  <si>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</si>
  <si>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</si>
  <si>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</si>
  <si>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</si>
  <si>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</si>
  <si>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</si>
  <si>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</si>
  <si>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</si>
  <si>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</si>
  <si>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</si>
  <si>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</si>
  <si>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</si>
  <si>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</si>
  <si>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</si>
  <si>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</si>
  <si>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</si>
  <si>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</si>
  <si>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</si>
  <si>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</si>
  <si>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</si>
  <si>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</si>
  <si>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</si>
  <si>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</si>
  <si>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</si>
  <si>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</si>
  <si>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</si>
  <si>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</si>
  <si>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</si>
  <si>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</si>
  <si>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</si>
  <si>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</si>
  <si>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</si>
  <si>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</si>
  <si>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</si>
  <si>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</si>
  <si>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</si>
  <si>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</si>
  <si>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</si>
  <si>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</si>
  <si>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</si>
  <si>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</si>
  <si>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</si>
  <si>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</si>
  <si>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</si>
  <si>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</si>
  <si>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</si>
  <si>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</si>
  <si>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</si>
  <si>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</si>
  <si>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</si>
  <si>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</si>
  <si>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</si>
  <si>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</si>
  <si>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</si>
  <si>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</si>
  <si>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</si>
  <si>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</si>
  <si>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</si>
  <si>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</si>
  <si>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</si>
  <si>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</si>
  <si>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</si>
  <si>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</si>
  <si>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</si>
  <si>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</si>
  <si>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</si>
  <si>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</si>
  <si>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</si>
  <si>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</si>
  <si>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</si>
  <si>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</si>
  <si>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</si>
  <si>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</si>
  <si>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</si>
  <si>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</si>
  <si>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</si>
  <si>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</si>
  <si>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</si>
  <si>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</si>
  <si>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</si>
  <si>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</si>
  <si>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</si>
  <si>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</si>
  <si>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</si>
  <si>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</si>
  <si>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</si>
  <si>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</si>
  <si>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</si>
  <si>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</si>
  <si>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</si>
  <si>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</si>
  <si>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</si>
  <si>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</si>
  <si>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</si>
  <si>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</si>
  <si>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</si>
  <si>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</si>
  <si>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</si>
  <si>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</si>
  <si>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</si>
  <si>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</si>
  <si>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</si>
  <si>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</si>
  <si>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</si>
  <si>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</si>
  <si>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</si>
  <si>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</si>
  <si>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</si>
  <si>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</si>
  <si>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</si>
  <si>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</si>
  <si>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</si>
  <si>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</si>
  <si>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</si>
  <si>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</si>
  <si>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</si>
  <si>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</si>
  <si>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</si>
  <si>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</si>
  <si>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</si>
  <si>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</si>
  <si>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</si>
  <si>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</si>
  <si>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</si>
  <si>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</si>
  <si>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</si>
  <si>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</si>
  <si>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</si>
  <si>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</si>
  <si>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</si>
  <si>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</si>
  <si>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</si>
  <si>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</si>
  <si>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</si>
  <si>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</si>
  <si>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</si>
  <si>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</si>
  <si>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</si>
  <si>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</si>
  <si>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</si>
  <si>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</si>
  <si>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</si>
  <si>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</si>
  <si>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</si>
  <si>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</si>
  <si>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</si>
  <si>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</si>
  <si>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</si>
  <si>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</si>
  <si>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</si>
  <si>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</si>
  <si>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</si>
  <si>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</si>
  <si>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</si>
  <si>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</si>
  <si>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</si>
  <si>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</si>
  <si>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</si>
  <si>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</si>
  <si>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</si>
  <si>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</si>
  <si>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</si>
  <si>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</si>
  <si>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</si>
  <si>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</si>
  <si>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</si>
  <si>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</si>
  <si>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</si>
  <si>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</si>
  <si>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</si>
  <si>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</si>
  <si>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</si>
  <si>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</si>
  <si>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</si>
  <si>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</si>
  <si>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</si>
  <si>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</si>
  <si>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</si>
  <si>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</si>
  <si>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</si>
  <si>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</si>
  <si>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</si>
  <si>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</si>
  <si>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</si>
  <si>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</si>
  <si>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</si>
  <si>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</si>
  <si>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</si>
  <si>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</si>
  <si>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</si>
  <si>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</si>
  <si>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</si>
  <si>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</si>
  <si>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</si>
  <si>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</si>
  <si>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</si>
  <si>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</si>
  <si>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</si>
  <si>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</si>
  <si>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</si>
  <si>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</si>
  <si>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</si>
  <si>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</si>
  <si>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</si>
  <si>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</si>
  <si>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</si>
  <si>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</si>
  <si>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</si>
  <si>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</si>
  <si>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</si>
  <si>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</si>
  <si>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</si>
  <si>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</si>
  <si>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</si>
  <si>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</si>
  <si>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</si>
  <si>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</si>
  <si>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</si>
  <si>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</si>
  <si>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</si>
  <si>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</si>
  <si>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</si>
  <si>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</si>
  <si>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</si>
  <si>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</si>
  <si>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</si>
  <si>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</si>
  <si>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</si>
  <si>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</si>
  <si>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</si>
  <si>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</si>
  <si>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</si>
  <si>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</si>
  <si>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</si>
  <si>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</si>
  <si>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</si>
  <si>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</si>
  <si>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</si>
  <si>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</si>
  <si>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</si>
  <si>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</si>
  <si>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</si>
  <si>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</si>
  <si>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</si>
  <si>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</si>
  <si>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</si>
  <si>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</si>
  <si>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</si>
  <si>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</si>
  <si>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</si>
  <si>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</si>
  <si>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</si>
  <si>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</si>
  <si>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</si>
  <si>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</si>
  <si>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</si>
  <si>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</si>
  <si>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</si>
  <si>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</si>
  <si>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</si>
  <si>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</si>
  <si>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</si>
  <si>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</si>
  <si>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</si>
  <si>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</si>
  <si>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</si>
  <si>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</si>
  <si>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</si>
  <si>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</si>
  <si>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</si>
  <si>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</si>
  <si>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</si>
  <si>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</si>
  <si>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</si>
  <si>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</si>
  <si>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</si>
  <si>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</si>
  <si>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</si>
  <si>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</si>
  <si>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</si>
  <si>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</si>
  <si>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</si>
  <si>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</si>
  <si>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</si>
  <si>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</si>
  <si>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</si>
  <si>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</si>
  <si>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</si>
  <si>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</si>
  <si>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</si>
  <si>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</si>
  <si>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</si>
  <si>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</si>
  <si>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</si>
  <si>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</si>
  <si>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</si>
  <si>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</si>
  <si>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</si>
  <si>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</si>
  <si>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</si>
  <si>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</si>
  <si>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</si>
  <si>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</si>
  <si>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</si>
  <si>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</si>
  <si>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</si>
  <si>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</si>
  <si>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</si>
  <si>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</si>
  <si>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</si>
  <si>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</si>
  <si>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</si>
  <si>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</si>
  <si>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</si>
  <si>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</si>
  <si>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</si>
  <si>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</si>
  <si>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</si>
  <si>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</si>
  <si>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</si>
  <si>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</si>
  <si>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</si>
  <si>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</si>
  <si>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</si>
  <si>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</si>
  <si>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</si>
  <si>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</si>
  <si>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</si>
  <si>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</si>
  <si>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</si>
  <si>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</si>
  <si>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</si>
  <si>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</si>
  <si>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</si>
  <si>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</si>
  <si>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</si>
  <si>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</si>
  <si>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</si>
  <si>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</si>
  <si>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</si>
  <si>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</si>
  <si>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</si>
  <si>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</si>
  <si>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</si>
  <si>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</si>
  <si>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</si>
  <si>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</si>
  <si>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</si>
  <si>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</si>
  <si>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</si>
  <si>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</si>
  <si>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</si>
  <si>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</si>
  <si>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</si>
  <si>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</si>
  <si>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</si>
  <si>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</si>
  <si>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</si>
  <si>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</si>
  <si>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</si>
  <si>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</si>
  <si>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</si>
  <si>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</si>
  <si>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</si>
  <si>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</si>
  <si>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</si>
  <si>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</si>
  <si>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</si>
  <si>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</si>
  <si>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</si>
  <si>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</si>
  <si>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</si>
  <si>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</si>
  <si>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</si>
  <si>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</si>
  <si>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</si>
  <si>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</si>
  <si>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</si>
  <si>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</si>
  <si>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</si>
  <si>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</si>
  <si>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</si>
  <si>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</si>
  <si>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</si>
  <si>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</si>
  <si>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</si>
  <si>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</si>
  <si>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</si>
  <si>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</si>
  <si>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</si>
  <si>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</si>
  <si>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</si>
  <si>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</si>
  <si>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</si>
  <si>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</si>
  <si>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</si>
  <si>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</si>
  <si>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</si>
  <si>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</si>
  <si>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</si>
  <si>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</si>
  <si>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</si>
  <si>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</si>
  <si>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</si>
  <si>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</si>
  <si>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</si>
  <si>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</si>
  <si>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</si>
  <si>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</si>
  <si>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</si>
  <si>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</si>
  <si>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</si>
  <si>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</si>
  <si>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</si>
  <si>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</si>
  <si>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</si>
  <si>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</si>
  <si>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</si>
  <si>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</si>
  <si>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</si>
  <si>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</si>
  <si>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</si>
  <si>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</si>
  <si>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</si>
  <si>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</si>
  <si>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</si>
  <si>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</si>
  <si>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</si>
  <si>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</si>
  <si>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</si>
  <si>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</si>
  <si>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</si>
  <si>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</si>
  <si>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</si>
  <si>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</si>
  <si>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</si>
  <si>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</si>
  <si>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</si>
  <si>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</si>
  <si>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</si>
  <si>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</si>
  <si>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</si>
  <si>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</si>
  <si>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</si>
  <si>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</si>
  <si>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</si>
  <si>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</si>
  <si>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</si>
  <si>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</si>
  <si>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</si>
  <si>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</si>
  <si>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</si>
  <si>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</si>
  <si>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</si>
  <si>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</si>
  <si>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</si>
  <si>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</si>
  <si>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</si>
  <si>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</si>
  <si>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</si>
  <si>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</si>
  <si>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</si>
  <si>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</si>
  <si>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</si>
  <si>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</si>
  <si>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</si>
  <si>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</si>
  <si>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</si>
  <si>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</si>
  <si>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</si>
  <si>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</si>
  <si>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</si>
  <si>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</si>
  <si>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</si>
  <si>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</si>
  <si>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</si>
  <si>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</si>
  <si>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</si>
  <si>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</si>
  <si>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</si>
  <si>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</si>
  <si>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</si>
  <si>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</si>
  <si>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</si>
  <si>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</si>
  <si>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</si>
  <si>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</si>
  <si>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</si>
  <si>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</si>
  <si>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</si>
  <si>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</si>
  <si>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</si>
  <si>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</si>
  <si>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</si>
  <si>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</si>
  <si>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</si>
  <si>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</si>
  <si>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</si>
  <si>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</si>
  <si>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</si>
  <si>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</si>
  <si>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</si>
  <si>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</si>
  <si>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</si>
  <si>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</si>
  <si>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</si>
  <si>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</si>
  <si>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</si>
  <si>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</si>
  <si>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</si>
  <si>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</si>
  <si>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</si>
  <si>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</si>
  <si>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</si>
  <si>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</si>
  <si>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</si>
  <si>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</si>
  <si>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</si>
  <si>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</si>
  <si>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</si>
  <si>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</si>
  <si>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</si>
  <si>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</si>
  <si>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</si>
  <si>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</si>
  <si>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</si>
  <si>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</si>
  <si>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</si>
  <si>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</si>
  <si>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</si>
  <si>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</si>
  <si>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</si>
  <si>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</si>
  <si>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</si>
  <si>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</si>
  <si>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</si>
  <si>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</si>
  <si>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</si>
  <si>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</si>
  <si>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</si>
  <si>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</si>
  <si>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</si>
  <si>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</si>
  <si>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</si>
  <si>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</si>
  <si>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</si>
  <si>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</si>
  <si>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</si>
  <si>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</si>
  <si>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</si>
  <si>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</si>
  <si>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</si>
  <si>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</si>
  <si>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</si>
  <si>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</si>
  <si>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</si>
  <si>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</si>
  <si>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</si>
  <si>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</si>
  <si>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</si>
  <si>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</si>
  <si>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</si>
  <si>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</si>
  <si>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</si>
  <si>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</si>
  <si>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</si>
  <si>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</si>
  <si>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</si>
  <si>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</si>
  <si>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</si>
  <si>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</si>
  <si>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</si>
  <si>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</si>
  <si>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</si>
  <si>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</si>
  <si>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</si>
  <si>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</si>
  <si>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</si>
  <si>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</si>
  <si>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</si>
  <si>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</si>
  <si>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</si>
  <si>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</si>
  <si>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</si>
  <si>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</si>
  <si>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</si>
  <si>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</si>
  <si>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</si>
  <si>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</si>
  <si>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</si>
  <si>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</si>
  <si>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</si>
  <si>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</si>
  <si>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</si>
  <si>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</si>
  <si>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</si>
  <si>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</si>
  <si>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</si>
  <si>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</si>
  <si>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</si>
  <si>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</si>
  <si>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</si>
  <si>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</si>
  <si>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</si>
  <si>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</si>
  <si>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</si>
  <si>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</si>
  <si>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</si>
  <si>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</si>
  <si>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</si>
  <si>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</si>
  <si>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</si>
  <si>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</si>
  <si>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</si>
  <si>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</si>
  <si>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</si>
  <si>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</si>
  <si>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</si>
  <si>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</si>
  <si>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</si>
  <si>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</si>
  <si>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</si>
  <si>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</si>
  <si>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</si>
  <si>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</si>
  <si>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</si>
  <si>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</si>
  <si>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</si>
  <si>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</si>
  <si>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</si>
  <si>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</si>
  <si>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</si>
  <si>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</si>
  <si>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</si>
  <si>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</si>
  <si>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</si>
  <si>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</si>
  <si>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</si>
  <si>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</si>
  <si>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</si>
  <si>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</si>
  <si>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</si>
  <si>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</si>
  <si>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</si>
  <si>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</si>
  <si>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</si>
  <si>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</si>
  <si>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</si>
  <si>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</si>
  <si>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</si>
  <si>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</si>
  <si>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</si>
  <si>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</si>
  <si>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</si>
  <si>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</si>
  <si>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</si>
  <si>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</si>
  <si>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</si>
  <si>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</si>
  <si>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</si>
  <si>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</si>
  <si>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</si>
  <si>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</si>
  <si>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</si>
  <si>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</si>
  <si>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</si>
  <si>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</si>
  <si>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</si>
  <si>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</si>
  <si>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</si>
  <si>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</si>
  <si>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</si>
  <si>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</si>
  <si>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</si>
  <si>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</si>
  <si>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</si>
  <si>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</si>
  <si>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</si>
  <si>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</si>
  <si>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</si>
  <si>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</si>
  <si>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</si>
  <si>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</si>
  <si>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</si>
  <si>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</si>
  <si>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</si>
  <si>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</si>
  <si>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</si>
  <si>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</si>
  <si>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</si>
  <si>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</si>
  <si>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</si>
  <si>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</si>
  <si>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</si>
  <si>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</si>
  <si>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</si>
  <si>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</si>
  <si>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</si>
  <si>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</si>
  <si>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</si>
  <si>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</si>
  <si>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</si>
  <si>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</si>
  <si>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</si>
  <si>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</si>
  <si>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</si>
  <si>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</si>
  <si>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</si>
  <si>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</si>
  <si>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</si>
  <si>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</si>
  <si>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</si>
  <si>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</si>
  <si>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</si>
  <si>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</si>
  <si>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</si>
  <si>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</si>
  <si>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</si>
  <si>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</si>
  <si>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</si>
  <si>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</si>
  <si>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</si>
  <si>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</si>
  <si>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</si>
  <si>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</si>
  <si>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</si>
  <si>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</si>
  <si>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</si>
  <si>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</si>
  <si>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</si>
  <si>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</si>
  <si>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</si>
  <si>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</si>
  <si>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</si>
  <si>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</si>
  <si>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</si>
  <si>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</si>
  <si>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</si>
  <si>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</si>
  <si>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</si>
  <si>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</si>
  <si>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</si>
  <si>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</si>
  <si>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</si>
  <si>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</si>
  <si>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</si>
  <si>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</si>
  <si>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</si>
  <si>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</si>
  <si>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</si>
  <si>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</si>
  <si>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</si>
  <si>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</si>
  <si>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</si>
  <si>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</si>
  <si>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</si>
  <si>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</si>
  <si>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</si>
  <si>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</si>
  <si>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</si>
  <si>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</si>
  <si>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</si>
  <si>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</si>
  <si>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</si>
  <si>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</si>
  <si>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</si>
  <si>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</si>
  <si>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</si>
  <si>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</si>
  <si>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</si>
  <si>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</si>
  <si>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</si>
  <si>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</si>
  <si>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</si>
  <si>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</si>
  <si>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</si>
  <si>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</si>
  <si>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</si>
  <si>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</si>
  <si>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</si>
  <si>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</si>
  <si>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</si>
  <si>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</si>
  <si>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</si>
  <si>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</si>
  <si>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</si>
  <si>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</si>
  <si>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</si>
  <si>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</si>
  <si>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</si>
  <si>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</si>
  <si>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</si>
  <si>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</si>
  <si>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</si>
  <si>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</si>
  <si>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</si>
  <si>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</si>
  <si>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</si>
  <si>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</si>
  <si>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</si>
  <si>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</si>
  <si>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</si>
  <si>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</si>
  <si>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</si>
  <si>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</si>
  <si>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</si>
  <si>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</si>
  <si>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</si>
  <si>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</si>
  <si>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</si>
  <si>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</si>
  <si>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</si>
  <si>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</si>
  <si>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</si>
  <si>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</si>
  <si>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</si>
  <si>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</si>
  <si>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</si>
  <si>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</si>
  <si>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</si>
  <si>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</si>
  <si>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</si>
  <si>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</si>
  <si>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</si>
  <si>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</si>
  <si>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</si>
  <si>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</si>
  <si>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</si>
  <si>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</si>
  <si>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</si>
  <si>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</si>
  <si>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</si>
  <si>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</si>
  <si>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</si>
  <si>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</si>
  <si>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</si>
  <si>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</si>
  <si>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</si>
  <si>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</si>
  <si>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</si>
  <si>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</si>
  <si>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</si>
  <si>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</si>
  <si>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</si>
  <si>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</si>
  <si>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</si>
  <si>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</si>
  <si>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</si>
  <si>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</si>
  <si>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</si>
  <si>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</si>
  <si>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</si>
  <si>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</si>
  <si>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</si>
  <si>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</si>
  <si>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</si>
  <si>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</si>
  <si>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</si>
  <si>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</si>
  <si>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</si>
  <si>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</si>
  <si>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</si>
  <si>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</si>
  <si>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</si>
  <si>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</si>
  <si>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</si>
  <si>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</si>
  <si>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</si>
  <si>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</si>
  <si>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</si>
  <si>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</si>
  <si>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</si>
  <si>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</si>
  <si>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</si>
  <si>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</si>
  <si>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</si>
  <si>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</si>
  <si>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</si>
  <si>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</si>
  <si>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</si>
  <si>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</si>
  <si>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</si>
  <si>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</si>
  <si>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</si>
  <si>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</si>
  <si>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</si>
  <si>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</si>
  <si>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</si>
  <si>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</si>
  <si>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</si>
  <si>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</si>
  <si>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</si>
  <si>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</si>
  <si>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</si>
  <si>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</si>
  <si>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</si>
  <si>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</si>
  <si>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</si>
  <si>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</si>
  <si>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</si>
  <si>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</si>
  <si>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</si>
  <si>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</si>
  <si>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</si>
  <si>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</si>
  <si>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</si>
  <si>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</si>
  <si>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</si>
  <si>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</si>
  <si>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</si>
  <si>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</si>
  <si>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</si>
  <si>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</si>
  <si>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</si>
  <si>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</si>
  <si>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</si>
  <si>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</si>
  <si>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</si>
  <si>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</si>
  <si>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</si>
  <si>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</si>
  <si>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ECA tests: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</si>
  <si>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</si>
  <si>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</si>
  <si>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</si>
  <si>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</si>
  <si>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</si>
  <si>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</si>
  <si>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</si>
  <si>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</si>
  <si>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</si>
  <si>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</si>
  <si>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</si>
  <si>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</si>
  <si>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</si>
  <si>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</si>
  <si>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</si>
  <si>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</si>
  <si>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</si>
  <si>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</si>
  <si>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</si>
  <si>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</si>
  <si>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</si>
  <si>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</si>
  <si>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</si>
  <si>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</si>
  <si>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</si>
  <si>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</si>
  <si>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</si>
  <si>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</si>
  <si>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</si>
  <si>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</si>
  <si>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</si>
  <si>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</si>
  <si>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</si>
  <si>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</si>
  <si>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</si>
  <si>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</si>
  <si>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</si>
  <si>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</si>
  <si>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</si>
  <si>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</si>
  <si>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</si>
  <si>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</si>
  <si>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</si>
  <si>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</si>
  <si>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</si>
  <si>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</si>
  <si>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</si>
  <si>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</si>
  <si>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</si>
  <si>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</si>
  <si>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</si>
  <si>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</si>
  <si>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</si>
  <si>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</si>
  <si>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</si>
  <si>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</si>
  <si>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</si>
  <si>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</si>
  <si>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</si>
  <si>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</si>
  <si>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</si>
  <si>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</si>
  <si>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</si>
  <si>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</si>
  <si>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</si>
  <si>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</si>
  <si>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</si>
  <si>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</si>
  <si>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</si>
  <si>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</si>
  <si>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</si>
  <si>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</si>
  <si>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</si>
  <si>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</si>
  <si>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</si>
  <si>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</si>
  <si>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</si>
  <si>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</si>
  <si>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</si>
  <si>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</si>
  <si>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</si>
  <si>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</si>
  <si>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</si>
  <si>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</si>
  <si>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</si>
  <si>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</si>
  <si>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</si>
  <si>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</si>
  <si>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</si>
  <si>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</si>
  <si>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</si>
  <si>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</si>
  <si>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</si>
  <si>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</si>
  <si>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</si>
  <si>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</si>
  <si>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</si>
  <si>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</si>
  <si>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</si>
  <si>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</si>
  <si>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</si>
  <si>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</si>
  <si>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</si>
  <si>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</si>
  <si>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</si>
  <si>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</si>
  <si>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</si>
  <si>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</si>
  <si>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</si>
  <si>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</si>
  <si>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</si>
  <si>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</si>
  <si>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</si>
  <si>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</si>
  <si>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</si>
  <si>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</si>
  <si>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</si>
  <si>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</si>
  <si>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</si>
  <si>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</si>
  <si>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</si>
  <si>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</si>
  <si>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</si>
  <si>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</si>
  <si>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</si>
  <si>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</si>
  <si>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</si>
  <si>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</si>
  <si>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</si>
  <si>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</si>
  <si>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</si>
  <si>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</si>
  <si>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</si>
  <si>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</si>
  <si>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</si>
  <si>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</si>
  <si>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</si>
  <si>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</si>
  <si>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</si>
  <si>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</si>
  <si>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</si>
  <si>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</si>
  <si>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</si>
  <si>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FC base (Scenario 1; 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</si>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</sst>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1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633.255975542774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221.833767584051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</v>
      </c>
      <c r="Q298" s="6" t="n">
        <v>0.0254956399199363</v>
      </c>
      <c r="R298" s="6" t="n">
        <v>0.0267515222906662</v>
      </c>
      <c r="S298" s="6" t="n">
        <v>0.0275398463746851</v>
      </c>
      <c r="T298" s="6" t="n">
        <v>0.0288066694390464</v>
      </c>
      <c r="U298" s="6" t="n">
        <v>0.0297253648392077</v>
      </c>
      <c r="V298" s="6" t="n">
        <v>0.0316673019225092</v>
      </c>
      <c r="W298" s="6" t="n">
        <v>0.0326353519070817</v>
      </c>
      <c r="X298" s="6" t="n">
        <v>0.0317294685115491</v>
      </c>
      <c r="Y298" s="6" t="n">
        <v>0.0317443987963029</v>
      </c>
      <c r="Z298" s="6" t="n">
        <v>0.0330595043187038</v>
      </c>
      <c r="AA298" s="6" t="n">
        <v>0.0340242635392698</v>
      </c>
      <c r="AB298" s="6" t="n">
        <v>0.035649748512346</v>
      </c>
      <c r="AC298" s="6" t="n">
        <v>0.036830769646369</v>
      </c>
      <c r="AD298" s="6" t="n">
        <v>0.0402165127561107</v>
      </c>
      <c r="AE298" s="6" t="n">
        <v>0.0419450401653678</v>
      </c>
      <c r="AF298" s="6" t="n">
        <v>0.0434165471296656</v>
      </c>
      <c r="AG298" s="6" t="n">
        <v>0.0442268395359645</v>
      </c>
      <c r="AH298" s="6" t="n">
        <v>0.0464470950071792</v>
      </c>
      <c r="AI298" s="6" t="n">
        <v>0.0478108988283702</v>
      </c>
      <c r="AJ298" s="6" t="n">
        <v>0.0501190973065472</v>
      </c>
      <c r="AK298" s="6" t="n">
        <v>0.0517413637371501</v>
      </c>
      <c r="AL298" s="6" t="n">
        <v>0.0548633733406637</v>
      </c>
      <c r="AM298" s="6" t="n">
        <v>0.0560037067338176</v>
      </c>
      <c r="AN298" s="6" t="n">
        <v>0.0462023932183935</v>
      </c>
      <c r="AO298" s="6" t="n">
        <v>0.0468868501087888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0.0249212166711209</v>
      </c>
      <c r="R299" s="6" t="n">
        <v>0.0266466004704004</v>
      </c>
      <c r="S299" s="6" t="n">
        <v>0.0275960445846777</v>
      </c>
      <c r="T299" s="6" t="n">
        <v>0.0288882506495965</v>
      </c>
      <c r="U299" s="6" t="n">
        <v>0.0296987112931962</v>
      </c>
      <c r="V299" s="6" t="n">
        <v>0.0310588576856184</v>
      </c>
      <c r="W299" s="6" t="n">
        <v>0.0327770673001025</v>
      </c>
      <c r="X299" s="6" t="n">
        <v>0.034279561122008</v>
      </c>
      <c r="Y299" s="6" t="n">
        <v>0.0318535235124711</v>
      </c>
      <c r="Z299" s="6" t="n">
        <v>0.0333514411257053</v>
      </c>
      <c r="AA299" s="6" t="n">
        <v>0.0340488277867749</v>
      </c>
      <c r="AB299" s="6" t="n">
        <v>0.0357056960010596</v>
      </c>
      <c r="AC299" s="6" t="n">
        <v>0.0367209101989231</v>
      </c>
      <c r="AD299" s="6" t="n">
        <v>0.0384689461355592</v>
      </c>
      <c r="AE299" s="6" t="n">
        <v>0.0415843849261383</v>
      </c>
      <c r="AF299" s="6" t="n">
        <v>0.0438224099131048</v>
      </c>
      <c r="AG299" s="6" t="n">
        <v>0.0441394906135041</v>
      </c>
      <c r="AH299" s="6" t="n">
        <v>0.0464208722331683</v>
      </c>
      <c r="AI299" s="6" t="n">
        <v>0.0478723213739675</v>
      </c>
      <c r="AJ299" s="6" t="n">
        <v>0.0502195640539474</v>
      </c>
      <c r="AK299" s="6" t="n">
        <v>0.0517089180255774</v>
      </c>
      <c r="AL299" s="6" t="n">
        <v>0.0541382044749565</v>
      </c>
      <c r="AM299" s="6" t="n">
        <v>0.0566614938231395</v>
      </c>
      <c r="AN299" s="6" t="n">
        <v>0.0594010445608311</v>
      </c>
      <c r="AO299" s="6" t="n">
        <v>0.0580156414644526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0.0110928117058436</v>
      </c>
      <c r="Y300" s="6" t="n">
        <v>0.0161119282116736</v>
      </c>
      <c r="Z300" s="6" t="n">
        <v>0.0176162597995061</v>
      </c>
      <c r="AA300" s="6" t="n">
        <v>0.0175609036508394</v>
      </c>
      <c r="AB300" s="6" t="n">
        <v>0.0188807521848338</v>
      </c>
      <c r="AC300" s="6" t="n">
        <v>0.0189083405972589</v>
      </c>
      <c r="AD300" s="6" t="n">
        <v>0.0200242769192561</v>
      </c>
      <c r="AE300" s="6" t="n">
        <v>0.0220425537786885</v>
      </c>
      <c r="AF300" s="6" t="n">
        <v>0.0235364103397422</v>
      </c>
      <c r="AG300" s="6" t="n">
        <v>0.023762004055041</v>
      </c>
      <c r="AH300" s="6" t="n">
        <v>0.0251440584789066</v>
      </c>
      <c r="AI300" s="6" t="n">
        <v>0.0252274291704193</v>
      </c>
      <c r="AJ300" s="6" t="n">
        <v>0.0264963383554067</v>
      </c>
      <c r="AK300" s="6" t="n">
        <v>0.026611924416587</v>
      </c>
      <c r="AL300" s="6" t="n">
        <v>0.0277342733360669</v>
      </c>
      <c r="AM300" s="6" t="n">
        <v>0.0287404328314695</v>
      </c>
      <c r="AN300" s="6" t="n">
        <v>0.0299976714643956</v>
      </c>
      <c r="AO300" s="6" t="n">
        <v>0.0269687043518038</v>
      </c>
      <c r="AP300" s="6" t="n">
        <v>0.0936767169420366</v>
      </c>
      <c r="AQ300" s="6" t="n">
        <v>0.088961972417656</v>
      </c>
      <c r="AR300" s="6" t="n">
        <v>0.0936145845829308</v>
      </c>
      <c r="AS300" s="6" t="n">
        <v>0.0957636713551492</v>
      </c>
      <c r="AT300" s="6" t="n">
        <v>0.100345200848589</v>
      </c>
      <c r="AU300" s="6" t="n">
        <v>0.121180780205897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</v>
      </c>
      <c r="Q301" s="6" t="n">
        <v>494.213008227051</v>
      </c>
      <c r="R301" s="6" t="n">
        <v>481.296795172962</v>
      </c>
      <c r="S301" s="6" t="n">
        <v>467.74434610667</v>
      </c>
      <c r="T301" s="6" t="n">
        <v>453.792528291179</v>
      </c>
      <c r="U301" s="6" t="n">
        <v>439.198931855794</v>
      </c>
      <c r="V301" s="6" t="n">
        <v>424.13991993927</v>
      </c>
      <c r="W301" s="6" t="n">
        <v>408.097113413773</v>
      </c>
      <c r="X301" s="6" t="n">
        <v>391.563888138755</v>
      </c>
      <c r="Y301" s="6" t="n">
        <v>375.48958772209</v>
      </c>
      <c r="Z301" s="6" t="n">
        <v>359.407723551801</v>
      </c>
      <c r="AA301" s="6" t="n">
        <v>342.659620637583</v>
      </c>
      <c r="AB301" s="6" t="n">
        <v>325.42276609062</v>
      </c>
      <c r="AC301" s="6" t="n">
        <v>307.362433086384</v>
      </c>
      <c r="AD301" s="6" t="n">
        <v>288.703789130302</v>
      </c>
      <c r="AE301" s="6" t="n">
        <v>268.329911530774</v>
      </c>
      <c r="AF301" s="6" t="n">
        <v>247.080353683255</v>
      </c>
      <c r="AG301" s="6" t="n">
        <v>225.085323373733</v>
      </c>
      <c r="AH301" s="6" t="n">
        <v>202.679795057935</v>
      </c>
      <c r="AI301" s="6" t="n">
        <v>179.149474707469</v>
      </c>
      <c r="AJ301" s="6" t="n">
        <v>154.928244822126</v>
      </c>
      <c r="AK301" s="6" t="n">
        <v>129.537670554414</v>
      </c>
      <c r="AL301" s="6" t="n">
        <v>103.325248358431</v>
      </c>
      <c r="AM301" s="6" t="n">
        <v>75.5312011739189</v>
      </c>
      <c r="AN301" s="6" t="n">
        <v>47.1594556415751</v>
      </c>
      <c r="AO301" s="6" t="n">
        <v>23.7531023869967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72.038294745219</v>
      </c>
      <c r="L309" s="6" t="n">
        <v>73.5188727634301</v>
      </c>
      <c r="M309" s="6" t="n">
        <v>75.4061755390283</v>
      </c>
      <c r="N309" s="6" t="n">
        <v>78.0742147371756</v>
      </c>
      <c r="O309" s="6" t="n">
        <v>81.9159930804807</v>
      </c>
      <c r="P309" s="6" t="n">
        <v>87.2100026806785</v>
      </c>
      <c r="Q309" s="6" t="n">
        <v>94.1161870320207</v>
      </c>
      <c r="R309" s="6" t="n">
        <v>102.882341590788</v>
      </c>
      <c r="S309" s="6" t="n">
        <v>113.502241333422</v>
      </c>
      <c r="T309" s="6" t="n">
        <v>126.009719559759</v>
      </c>
      <c r="U309" s="6" t="n">
        <v>140.283618220881</v>
      </c>
      <c r="V309" s="6" t="n">
        <v>156.251143836047</v>
      </c>
      <c r="W309" s="6" t="n">
        <v>173.70770245687</v>
      </c>
      <c r="X309" s="6" t="n">
        <v>192.40256095453</v>
      </c>
      <c r="Y309" s="6" t="n">
        <v>212.12249619229</v>
      </c>
      <c r="Z309" s="6" t="n">
        <v>232.524998799284</v>
      </c>
      <c r="AA309" s="6" t="n">
        <v>253.355055082995</v>
      </c>
      <c r="AB309" s="6" t="n">
        <v>274.962511213658</v>
      </c>
      <c r="AC309" s="6" t="n">
        <v>295.573347969675</v>
      </c>
      <c r="AD309" s="6" t="n">
        <v>315.694288641713</v>
      </c>
      <c r="AE309" s="6" t="n">
        <v>334.928570701731</v>
      </c>
      <c r="AF309" s="6" t="n">
        <v>353.076211300926</v>
      </c>
      <c r="AG309" s="6" t="n">
        <v>369.827085578369</v>
      </c>
      <c r="AH309" s="6" t="n">
        <v>385.065863152433</v>
      </c>
      <c r="AI309" s="6" t="n">
        <v>398.61005725205</v>
      </c>
      <c r="AJ309" s="6" t="n">
        <v>410.334188843346</v>
      </c>
      <c r="AK309" s="6" t="n">
        <v>420.301584953568</v>
      </c>
      <c r="AL309" s="6" t="n">
        <v>428.480478068478</v>
      </c>
      <c r="AM309" s="6" t="n">
        <v>435.083252022206</v>
      </c>
      <c r="AN309" s="6" t="n">
        <v>440.274336168893</v>
      </c>
      <c r="AO309" s="6" t="n">
        <v>444.202704163639</v>
      </c>
      <c r="AP309" s="6" t="n">
        <v>447.481635057216</v>
      </c>
      <c r="AQ309" s="6" t="n">
        <v>479.624991969377</v>
      </c>
      <c r="AR309" s="6" t="n">
        <v>504.400258343845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1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1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1.34799231604912</v>
      </c>
      <c r="AO314" s="6" t="n">
        <v>1.34866637325051</v>
      </c>
      <c r="AP314" s="6" t="n">
        <v>0.132651100380165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1.33232067402471</v>
      </c>
      <c r="AO315" s="6" t="n">
        <v>1.33253415657385</v>
      </c>
      <c r="AP315" s="6" t="n">
        <v>0.129973764963973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1.34661165224488</v>
      </c>
      <c r="AO316" s="6" t="n">
        <v>1.35046812861247</v>
      </c>
      <c r="AP316" s="6" t="n">
        <v>0.133994328782971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1.32531351443814</v>
      </c>
      <c r="AO317" s="6" t="n">
        <v>1.32557064693521</v>
      </c>
      <c r="AP317" s="6" t="n">
        <v>0.12811510387488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1.3558705310277</v>
      </c>
      <c r="AO318" s="6" t="n">
        <v>1.3558705310277</v>
      </c>
      <c r="AP318" s="6" t="n">
        <v>0.139558170213477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1.32849980867306</v>
      </c>
      <c r="AO319" s="6" t="n">
        <v>1.32849980867306</v>
      </c>
      <c r="AP319" s="6" t="n">
        <v>0.131605820862713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1.34728335934732</v>
      </c>
      <c r="AO320" s="6" t="n">
        <v>1.35290345340387</v>
      </c>
      <c r="AP320" s="6" t="n">
        <v>0.138944656887081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1.34820951275043</v>
      </c>
      <c r="AO321" s="6" t="n">
        <v>1.34880720836612</v>
      </c>
      <c r="AP321" s="6" t="n">
        <v>0.132921598321163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1.32915143260792</v>
      </c>
      <c r="AO322" s="6" t="n">
        <v>1.33196485636006</v>
      </c>
      <c r="AP322" s="6" t="n">
        <v>0.129711701311894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1.34855408395866</v>
      </c>
      <c r="AO323" s="6" t="n">
        <v>1.34855408395866</v>
      </c>
      <c r="AP323" s="6" t="n">
        <v>0.13429775274045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1.34933918387966</v>
      </c>
      <c r="AO324" s="6" t="n">
        <v>1.34933918387966</v>
      </c>
      <c r="AP324" s="6" t="n">
        <v>0.13589606852115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1.34916094943246</v>
      </c>
      <c r="AO325" s="6" t="n">
        <v>1.34916094943246</v>
      </c>
      <c r="AP325" s="6" t="n">
        <v>0.137181180732833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1.32717983402077</v>
      </c>
      <c r="AO326" s="6" t="n">
        <v>1.32747021940829</v>
      </c>
      <c r="AP326" s="6" t="n">
        <v>0.128307212626595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1.34383473256732</v>
      </c>
      <c r="AO327" s="6" t="n">
        <v>1.34384643759211</v>
      </c>
      <c r="AP327" s="6" t="n">
        <v>0.131716279317125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1.3407742349223</v>
      </c>
      <c r="AO328" s="6" t="n">
        <v>1.34099742272942</v>
      </c>
      <c r="AP328" s="6" t="n">
        <v>0.131271709994172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1.3466373740568</v>
      </c>
      <c r="AO329" s="6" t="n">
        <v>1.3466373740568</v>
      </c>
      <c r="AP329" s="6" t="n">
        <v>0.136337074356209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1.30842875240879</v>
      </c>
      <c r="AO330" s="6" t="n">
        <v>1.31374909185966</v>
      </c>
      <c r="AP330" s="6" t="n">
        <v>0.129256450281483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1.33852164383731</v>
      </c>
      <c r="AO331" s="6" t="n">
        <v>1.3479138856281</v>
      </c>
      <c r="AP331" s="6" t="n">
        <v>0.136478381347879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1.34822041932233</v>
      </c>
      <c r="AO332" s="6" t="n">
        <v>1.34902210995855</v>
      </c>
      <c r="AP332" s="6" t="n">
        <v>0.133899773585554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1.33673321763673</v>
      </c>
      <c r="AO333" s="6" t="n">
        <v>1.33751699147685</v>
      </c>
      <c r="AP333" s="6" t="n">
        <v>0.131138298035247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1.35412479968705</v>
      </c>
      <c r="AO334" s="6" t="n">
        <v>1.35542835459545</v>
      </c>
      <c r="AP334" s="6" t="n">
        <v>0.134368459352672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1.33639539774043</v>
      </c>
      <c r="AO335" s="6" t="n">
        <v>1.336923529783</v>
      </c>
      <c r="AP335" s="6" t="n">
        <v>0.130127944218232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1.33565685883105</v>
      </c>
      <c r="AO336" s="6" t="n">
        <v>1.33589969102972</v>
      </c>
      <c r="AP336" s="6" t="n">
        <v>0.130410992036536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1.3101908091133</v>
      </c>
      <c r="AO337" s="6" t="n">
        <v>1.31999263568089</v>
      </c>
      <c r="AP337" s="6" t="n">
        <v>0.129738906968917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1.36196166777179</v>
      </c>
      <c r="AO338" s="6" t="n">
        <v>1.3621917701897</v>
      </c>
      <c r="AP338" s="6" t="n">
        <v>0.137800100666789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1.33467962254331</v>
      </c>
      <c r="AO339" s="6" t="n">
        <v>1.33476495363817</v>
      </c>
      <c r="AP339" s="6" t="n">
        <v>0.129806145990799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1.32376466702544</v>
      </c>
      <c r="AO340" s="6" t="n">
        <v>1.33523076134479</v>
      </c>
      <c r="AP340" s="6" t="n">
        <v>0.133826266891934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1.33523263318664</v>
      </c>
      <c r="AO341" s="6" t="n">
        <v>1.34481481157794</v>
      </c>
      <c r="AP341" s="6" t="n">
        <v>0.135905273631953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1.34512659536801</v>
      </c>
      <c r="AO342" s="6" t="n">
        <v>1.34529131177342</v>
      </c>
      <c r="AP342" s="6" t="n">
        <v>0.131752372320032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1.34716358415267</v>
      </c>
      <c r="AO343" s="6" t="n">
        <v>1.34773084107392</v>
      </c>
      <c r="AP343" s="6" t="n">
        <v>0.132090053514266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1.33967035014911</v>
      </c>
      <c r="AO344" s="6" t="n">
        <v>1.34000770637418</v>
      </c>
      <c r="AP344" s="6" t="n">
        <v>0.131206409543613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1.35213889361576</v>
      </c>
      <c r="AO345" s="6" t="n">
        <v>1.35213889361576</v>
      </c>
      <c r="AP345" s="6" t="n">
        <v>0.133795113479101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1.34783058665096</v>
      </c>
      <c r="AO346" s="6" t="n">
        <v>1.34856172446012</v>
      </c>
      <c r="AP346" s="6" t="n">
        <v>0.132447526204199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1.36405381664709</v>
      </c>
      <c r="AO347" s="6" t="n">
        <v>1.36429746949458</v>
      </c>
      <c r="AP347" s="6" t="n">
        <v>0.140328533300775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1.32908286861876</v>
      </c>
      <c r="AO348" s="6" t="n">
        <v>1.32938353753959</v>
      </c>
      <c r="AP348" s="6" t="n">
        <v>0.128853754840952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1.33928804663318</v>
      </c>
      <c r="AO349" s="6" t="n">
        <v>1.33939160441303</v>
      </c>
      <c r="AP349" s="6" t="n">
        <v>0.130788767323432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1.3252734799603</v>
      </c>
      <c r="AO350" s="6" t="n">
        <v>1.32717451404404</v>
      </c>
      <c r="AP350" s="6" t="n">
        <v>0.129193338603941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1.34547664076373</v>
      </c>
      <c r="AO351" s="6" t="n">
        <v>1.34632501832131</v>
      </c>
      <c r="AP351" s="6" t="n">
        <v>0.132516912680581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1.34826658313556</v>
      </c>
      <c r="AO352" s="6" t="n">
        <v>1.34834332753983</v>
      </c>
      <c r="AP352" s="6" t="n">
        <v>0.132999423282244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1.33341689702814</v>
      </c>
      <c r="AO353" s="6" t="n">
        <v>1.334647888542</v>
      </c>
      <c r="AP353" s="6" t="n">
        <v>0.129463623553479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1.34335485674121</v>
      </c>
      <c r="AO354" s="6" t="n">
        <v>1.34511390651507</v>
      </c>
      <c r="AP354" s="6" t="n">
        <v>0.131400437728283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1.33346578486561</v>
      </c>
      <c r="AO355" s="6" t="n">
        <v>1.33421946355795</v>
      </c>
      <c r="AP355" s="6" t="n">
        <v>0.130016791035749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1.35397057856631</v>
      </c>
      <c r="AO356" s="6" t="n">
        <v>1.35739607122483</v>
      </c>
      <c r="AP356" s="6" t="n">
        <v>0.139492609351217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1.32567609549388</v>
      </c>
      <c r="AO357" s="6" t="n">
        <v>1.33285468158001</v>
      </c>
      <c r="AP357" s="6" t="n">
        <v>0.131371192449616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1.34476168213742</v>
      </c>
      <c r="AO358" s="6" t="n">
        <v>1.34547304703619</v>
      </c>
      <c r="AP358" s="6" t="n">
        <v>0.131674650824037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1.34097924081355</v>
      </c>
      <c r="AO359" s="6" t="n">
        <v>1.34155938594745</v>
      </c>
      <c r="AP359" s="6" t="n">
        <v>0.132954668154876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1.32337016146965</v>
      </c>
      <c r="AO360" s="6" t="n">
        <v>1.32528699222491</v>
      </c>
      <c r="AP360" s="6" t="n">
        <v>0.130950907891274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1.34839582468741</v>
      </c>
      <c r="AO361" s="6" t="n">
        <v>1.34883558205872</v>
      </c>
      <c r="AP361" s="6" t="n">
        <v>0.132500350210316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1.33999638609602</v>
      </c>
      <c r="AO362" s="6" t="n">
        <v>1.34050372496371</v>
      </c>
      <c r="AP362" s="6" t="n">
        <v>0.131049536598323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1.34329522883854</v>
      </c>
      <c r="AO363" s="6" t="n">
        <v>1.34365205534893</v>
      </c>
      <c r="AP363" s="6" t="n">
        <v>0.131951865466573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1.33988298067468</v>
      </c>
      <c r="AO364" s="6" t="n">
        <v>1.34186856358124</v>
      </c>
      <c r="AP364" s="6" t="n">
        <v>0.131256605393804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1.31636932793165</v>
      </c>
      <c r="AO365" s="6" t="n">
        <v>1.32625604660963</v>
      </c>
      <c r="AP365" s="6" t="n">
        <v>0.131270366702281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1.34319345489561</v>
      </c>
      <c r="AO366" s="6" t="n">
        <v>1.34354425420911</v>
      </c>
      <c r="AP366" s="6" t="n">
        <v>0.131277281897686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1.34681636572763</v>
      </c>
      <c r="AO367" s="6" t="n">
        <v>1.35468786043246</v>
      </c>
      <c r="AP367" s="6" t="n">
        <v>0.140654891183418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1.31915211642808</v>
      </c>
      <c r="AO368" s="6" t="n">
        <v>1.31995254739071</v>
      </c>
      <c r="AP368" s="6" t="n">
        <v>0.127640458783019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1.34406805731186</v>
      </c>
      <c r="AO369" s="6" t="n">
        <v>1.34488855606454</v>
      </c>
      <c r="AP369" s="6" t="n">
        <v>0.133161770051201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1.31002670914699</v>
      </c>
      <c r="AO370" s="6" t="n">
        <v>1.31702033253792</v>
      </c>
      <c r="AP370" s="6" t="n">
        <v>0.128187472038977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1.31321073226201</v>
      </c>
      <c r="AO371" s="6" t="n">
        <v>1.3270891714829</v>
      </c>
      <c r="AP371" s="6" t="n">
        <v>0.13350149792186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1.34633099476346</v>
      </c>
      <c r="AO372" s="6" t="n">
        <v>1.34734846455662</v>
      </c>
      <c r="AP372" s="6" t="n">
        <v>0.132176216703988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1.35562730586438</v>
      </c>
      <c r="AO373" s="6" t="n">
        <v>1.35572249788059</v>
      </c>
      <c r="AP373" s="6" t="n">
        <v>0.135707186314287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1.34252150952308</v>
      </c>
      <c r="AO374" s="6" t="n">
        <v>1.34377213608354</v>
      </c>
      <c r="AP374" s="6" t="n">
        <v>0.132206574802106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1.31356200117528</v>
      </c>
      <c r="AO375" s="6" t="n">
        <v>1.31392014724565</v>
      </c>
      <c r="AP375" s="6" t="n">
        <v>0.126772893584063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1.34513168759459</v>
      </c>
      <c r="AO376" s="6" t="n">
        <v>1.34717872623111</v>
      </c>
      <c r="AP376" s="6" t="n">
        <v>0.132371367380367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1.33121298799652</v>
      </c>
      <c r="AO377" s="6" t="n">
        <v>1.33604959817756</v>
      </c>
      <c r="AP377" s="6" t="n">
        <v>0.131126779330545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1.3291527974533</v>
      </c>
      <c r="AO378" s="6" t="n">
        <v>1.32920669127868</v>
      </c>
      <c r="AP378" s="6" t="n">
        <v>0.129375520803008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1.34619686915058</v>
      </c>
      <c r="AO379" s="6" t="n">
        <v>1.34644237720171</v>
      </c>
      <c r="AP379" s="6" t="n">
        <v>0.132789129964055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1.32985363605456</v>
      </c>
      <c r="AO380" s="6" t="n">
        <v>1.33852563534775</v>
      </c>
      <c r="AP380" s="6" t="n">
        <v>0.135942305207451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1.34274149160942</v>
      </c>
      <c r="AO381" s="6" t="n">
        <v>1.34298100177408</v>
      </c>
      <c r="AP381" s="6" t="n">
        <v>0.131705040769547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1.31872662731136</v>
      </c>
      <c r="AO382" s="6" t="n">
        <v>1.32808809592057</v>
      </c>
      <c r="AP382" s="6" t="n">
        <v>0.130731177002796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1.31994299045102</v>
      </c>
      <c r="AO383" s="6" t="n">
        <v>1.32044280698327</v>
      </c>
      <c r="AP383" s="6" t="n">
        <v>0.129289952833306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1.32390884617718</v>
      </c>
      <c r="AO384" s="6" t="n">
        <v>1.33144065656351</v>
      </c>
      <c r="AP384" s="6" t="n">
        <v>0.131522183254488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1.3516993280475</v>
      </c>
      <c r="AO385" s="6" t="n">
        <v>1.35250772173558</v>
      </c>
      <c r="AP385" s="6" t="n">
        <v>0.134249735679478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1.30884461508683</v>
      </c>
      <c r="AO386" s="6" t="n">
        <v>1.32175068582243</v>
      </c>
      <c r="AP386" s="6" t="n">
        <v>0.130994902012107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1.343316132035</v>
      </c>
      <c r="AO387" s="6" t="n">
        <v>1.343316132035</v>
      </c>
      <c r="AP387" s="6" t="n">
        <v>0.133579838452748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1.35607019038792</v>
      </c>
      <c r="AO388" s="6" t="n">
        <v>1.35607019038792</v>
      </c>
      <c r="AP388" s="6" t="n">
        <v>0.134701105003303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1.36697207901414</v>
      </c>
      <c r="AO389" s="6" t="n">
        <v>1.36697207901414</v>
      </c>
      <c r="AP389" s="6" t="n">
        <v>0.145730841510817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1.34793388446729</v>
      </c>
      <c r="AO390" s="6" t="n">
        <v>1.34838841973193</v>
      </c>
      <c r="AP390" s="6" t="n">
        <v>0.132334556769866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1.32674357799766</v>
      </c>
      <c r="AO391" s="6" t="n">
        <v>1.3271643318794</v>
      </c>
      <c r="AP391" s="6" t="n">
        <v>0.129361997321215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1.34553375129569</v>
      </c>
      <c r="AO392" s="6" t="n">
        <v>1.35052077810626</v>
      </c>
      <c r="AP392" s="6" t="n">
        <v>0.134374714346865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1.31356340502782</v>
      </c>
      <c r="AO393" s="6" t="n">
        <v>1.31985547195024</v>
      </c>
      <c r="AP393" s="6" t="n">
        <v>0.132388891814039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1.34780514530426</v>
      </c>
      <c r="AO394" s="6" t="n">
        <v>1.35230330351357</v>
      </c>
      <c r="AP394" s="6" t="n">
        <v>0.135004910402002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1.36353792806631</v>
      </c>
      <c r="AO395" s="6" t="n">
        <v>1.36353792806631</v>
      </c>
      <c r="AP395" s="6" t="n">
        <v>0.142591974426244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1.3404212126841</v>
      </c>
      <c r="AO396" s="6" t="n">
        <v>1.34973818383098</v>
      </c>
      <c r="AP396" s="6" t="n">
        <v>0.136640755331325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1.29131259947403</v>
      </c>
      <c r="AO397" s="6" t="n">
        <v>1.30304363733674</v>
      </c>
      <c r="AP397" s="6" t="n">
        <v>0.126855336678802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1.35611004659041</v>
      </c>
      <c r="AO398" s="6" t="n">
        <v>1.35670929614481</v>
      </c>
      <c r="AP398" s="6" t="n">
        <v>0.135062320866747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1.35276988279882</v>
      </c>
      <c r="AO399" s="6" t="n">
        <v>1.35386025359456</v>
      </c>
      <c r="AP399" s="6" t="n">
        <v>0.136458438458081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1.33443070892555</v>
      </c>
      <c r="AO400" s="6" t="n">
        <v>1.33934005827528</v>
      </c>
      <c r="AP400" s="6" t="n">
        <v>0.131779145799136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1.31502876735089</v>
      </c>
      <c r="AO401" s="6" t="n">
        <v>1.32099431426927</v>
      </c>
      <c r="AP401" s="6" t="n">
        <v>0.129630020756639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1.32069092007292</v>
      </c>
      <c r="AO402" s="6" t="n">
        <v>1.32950554789236</v>
      </c>
      <c r="AP402" s="6" t="n">
        <v>0.131194466113208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1.33602546058282</v>
      </c>
      <c r="AO403" s="6" t="n">
        <v>1.34018848610726</v>
      </c>
      <c r="AP403" s="6" t="n">
        <v>0.13201865322456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1.33951015070594</v>
      </c>
      <c r="AO404" s="6" t="n">
        <v>1.33952781978074</v>
      </c>
      <c r="AP404" s="6" t="n">
        <v>0.131083048184959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1.3628223964798</v>
      </c>
      <c r="AO405" s="6" t="n">
        <v>1.3628223964798</v>
      </c>
      <c r="AP405" s="6" t="n">
        <v>0.147236540670471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1.34828054368482</v>
      </c>
      <c r="AO406" s="6" t="n">
        <v>1.34862246003162</v>
      </c>
      <c r="AP406" s="6" t="n">
        <v>0.132842685738953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1.34907549743535</v>
      </c>
      <c r="AO407" s="6" t="n">
        <v>1.3493592747383</v>
      </c>
      <c r="AP407" s="6" t="n">
        <v>0.133125385768754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1.35189791507968</v>
      </c>
      <c r="AO408" s="6" t="n">
        <v>1.35189791507968</v>
      </c>
      <c r="AP408" s="6" t="n">
        <v>0.135969401461406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1.35144047021402</v>
      </c>
      <c r="AO409" s="6" t="n">
        <v>1.352808479844</v>
      </c>
      <c r="AP409" s="6" t="n">
        <v>0.136362840117808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1.33394718217059</v>
      </c>
      <c r="AO410" s="6" t="n">
        <v>1.33835130935489</v>
      </c>
      <c r="AP410" s="6" t="n">
        <v>0.131990530265678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1.34385339569419</v>
      </c>
      <c r="AO411" s="6" t="n">
        <v>1.34697709062219</v>
      </c>
      <c r="AP411" s="6" t="n">
        <v>0.132843739986839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1.33129148022492</v>
      </c>
      <c r="AO412" s="6" t="n">
        <v>1.33221719217099</v>
      </c>
      <c r="AP412" s="6" t="n">
        <v>0.129304650001211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1.35606039080596</v>
      </c>
      <c r="AO413" s="6" t="n">
        <v>1.35673435278007</v>
      </c>
      <c r="AP413" s="6" t="n">
        <v>0.136262394991544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1.34574480189732</v>
      </c>
      <c r="AO414" s="6" t="n">
        <v>1.34574480189732</v>
      </c>
      <c r="AP414" s="6" t="n">
        <v>0.132904173415966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1.29462425029316</v>
      </c>
      <c r="AO415" s="6" t="n">
        <v>1.30588171082584</v>
      </c>
      <c r="AP415" s="6" t="n">
        <v>0.131032366109813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1.35531505897667</v>
      </c>
      <c r="AO416" s="6" t="n">
        <v>1.35531505897667</v>
      </c>
      <c r="AP416" s="6" t="n">
        <v>0.138186415081083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1.35570439215297</v>
      </c>
      <c r="AO417" s="6" t="n">
        <v>1.35570439215297</v>
      </c>
      <c r="AP417" s="6" t="n">
        <v>0.138976772081175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1.34256272536911</v>
      </c>
      <c r="AO418" s="6" t="n">
        <v>1.34322932636563</v>
      </c>
      <c r="AP418" s="6" t="n">
        <v>0.13138885122435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1.34401456049718</v>
      </c>
      <c r="AO419" s="6" t="n">
        <v>1.3446028808102</v>
      </c>
      <c r="AP419" s="6" t="n">
        <v>0.13145157752526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1.34609219049207</v>
      </c>
      <c r="AO420" s="6" t="n">
        <v>1.34609219049207</v>
      </c>
      <c r="AP420" s="6" t="n">
        <v>0.1344656996563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1.35891304754882</v>
      </c>
      <c r="AO421" s="6" t="n">
        <v>1.35891304754882</v>
      </c>
      <c r="AP421" s="6" t="n">
        <v>0.138216549163269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1.33636776980318</v>
      </c>
      <c r="AO422" s="6" t="n">
        <v>1.33660522302822</v>
      </c>
      <c r="AP422" s="6" t="n">
        <v>0.130272017636527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1.3311056672187</v>
      </c>
      <c r="AO423" s="6" t="n">
        <v>1.33932090381248</v>
      </c>
      <c r="AP423" s="6" t="n">
        <v>0.133486420329791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1.31992718769218</v>
      </c>
      <c r="AO424" s="6" t="n">
        <v>1.32879839074943</v>
      </c>
      <c r="AP424" s="6" t="n">
        <v>0.131284722888218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1.32554500660126</v>
      </c>
      <c r="AO425" s="6" t="n">
        <v>1.33051703522568</v>
      </c>
      <c r="AP425" s="6" t="n">
        <v>0.129993441183913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1.33328073288559</v>
      </c>
      <c r="AO426" s="6" t="n">
        <v>1.33959913523426</v>
      </c>
      <c r="AP426" s="6" t="n">
        <v>0.132879679843229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1.3440842324228</v>
      </c>
      <c r="AO427" s="6" t="n">
        <v>1.34588861623227</v>
      </c>
      <c r="AP427" s="6" t="n">
        <v>0.134438452319343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1.33515737892649</v>
      </c>
      <c r="AO428" s="6" t="n">
        <v>1.338061978397</v>
      </c>
      <c r="AP428" s="6" t="n">
        <v>0.131586284895651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1.32953466340266</v>
      </c>
      <c r="AO429" s="6" t="n">
        <v>1.33085171053493</v>
      </c>
      <c r="AP429" s="6" t="n">
        <v>0.129452743206094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1.33275564105483</v>
      </c>
      <c r="AO430" s="6" t="n">
        <v>1.33275564105483</v>
      </c>
      <c r="AP430" s="6" t="n">
        <v>0.129521908466505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1.33423572036945</v>
      </c>
      <c r="AO431" s="6" t="n">
        <v>1.34007172951658</v>
      </c>
      <c r="AP431" s="6" t="n">
        <v>0.132394673342872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1.33894991169717</v>
      </c>
      <c r="AO432" s="6" t="n">
        <v>1.34011483469222</v>
      </c>
      <c r="AP432" s="6" t="n">
        <v>0.130933775851923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1.35349062232438</v>
      </c>
      <c r="AO433" s="6" t="n">
        <v>1.35349062232438</v>
      </c>
      <c r="AP433" s="6" t="n">
        <v>0.135037815354363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1.32911323490041</v>
      </c>
      <c r="AO434" s="6" t="n">
        <v>1.32917603150764</v>
      </c>
      <c r="AP434" s="6" t="n">
        <v>0.129298307877818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1.33780553905362</v>
      </c>
      <c r="AO435" s="6" t="n">
        <v>1.33807681132108</v>
      </c>
      <c r="AP435" s="6" t="n">
        <v>0.130693703446763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1.3542637330251</v>
      </c>
      <c r="AO436" s="6" t="n">
        <v>1.3542637330251</v>
      </c>
      <c r="AP436" s="6" t="n">
        <v>0.137652089997839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1.33290332422564</v>
      </c>
      <c r="AO437" s="6" t="n">
        <v>1.33325232370769</v>
      </c>
      <c r="AP437" s="6" t="n">
        <v>0.130162066005265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1.34577569104582</v>
      </c>
      <c r="AO438" s="6" t="n">
        <v>1.34579853217933</v>
      </c>
      <c r="AP438" s="6" t="n">
        <v>0.133098501137635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1.35072291450628</v>
      </c>
      <c r="AO439" s="6" t="n">
        <v>1.35134725064937</v>
      </c>
      <c r="AP439" s="6" t="n">
        <v>0.133138961045746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1.32115073081512</v>
      </c>
      <c r="AO440" s="6" t="n">
        <v>1.32926218405324</v>
      </c>
      <c r="AP440" s="6" t="n">
        <v>0.134875013117334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1.33853038923401</v>
      </c>
      <c r="AO441" s="6" t="n">
        <v>1.33878570379232</v>
      </c>
      <c r="AP441" s="6" t="n">
        <v>0.131217925721748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1.35255380453611</v>
      </c>
      <c r="AO442" s="6" t="n">
        <v>1.35300338285009</v>
      </c>
      <c r="AP442" s="6" t="n">
        <v>0.136635368612796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1.30304943099684</v>
      </c>
      <c r="AO443" s="6" t="n">
        <v>1.30708049587539</v>
      </c>
      <c r="AP443" s="6" t="n">
        <v>0.13311312956904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1.34429451975095</v>
      </c>
      <c r="AO444" s="6" t="n">
        <v>1.3448440187944</v>
      </c>
      <c r="AP444" s="6" t="n">
        <v>0.13205455794245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1.34399396902522</v>
      </c>
      <c r="AO445" s="6" t="n">
        <v>1.34595443381276</v>
      </c>
      <c r="AP445" s="6" t="n">
        <v>0.132947158645463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1.3412213866325</v>
      </c>
      <c r="AO446" s="6" t="n">
        <v>1.34212889966375</v>
      </c>
      <c r="AP446" s="6" t="n">
        <v>0.131459749784333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1.32120815767192</v>
      </c>
      <c r="AO447" s="6" t="n">
        <v>1.3216746725977</v>
      </c>
      <c r="AP447" s="6" t="n">
        <v>0.127370436400709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1.34674578640071</v>
      </c>
      <c r="AO448" s="6" t="n">
        <v>1.34695543221878</v>
      </c>
      <c r="AP448" s="6" t="n">
        <v>0.132281629903839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1.32406526080197</v>
      </c>
      <c r="AO449" s="6" t="n">
        <v>1.32421489479642</v>
      </c>
      <c r="AP449" s="6" t="n">
        <v>0.128099084408225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1.29713284447914</v>
      </c>
      <c r="AO450" s="6" t="n">
        <v>1.30626172671077</v>
      </c>
      <c r="AP450" s="6" t="n">
        <v>0.128207068709423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1.35169953018827</v>
      </c>
      <c r="AO451" s="6" t="n">
        <v>1.35641692791742</v>
      </c>
      <c r="AP451" s="6" t="n">
        <v>0.136757502407843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1.33605891352806</v>
      </c>
      <c r="AO452" s="6" t="n">
        <v>1.3364444628779</v>
      </c>
      <c r="AP452" s="6" t="n">
        <v>0.130389956123922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1.31555969481725</v>
      </c>
      <c r="AO453" s="6" t="n">
        <v>1.32339826849122</v>
      </c>
      <c r="AP453" s="6" t="n">
        <v>0.130081099130311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1.3472749063884</v>
      </c>
      <c r="AO454" s="6" t="n">
        <v>1.34909565475079</v>
      </c>
      <c r="AP454" s="6" t="n">
        <v>0.13407409225678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1.35956385749286</v>
      </c>
      <c r="AO455" s="6" t="n">
        <v>1.36755969073427</v>
      </c>
      <c r="AP455" s="6" t="n">
        <v>0.14486855851875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1.32837192204048</v>
      </c>
      <c r="AO456" s="6" t="n">
        <v>1.33656248755011</v>
      </c>
      <c r="AP456" s="6" t="n">
        <v>0.132924508569803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1.34423773131518</v>
      </c>
      <c r="AO457" s="6" t="n">
        <v>1.34430253494934</v>
      </c>
      <c r="AP457" s="6" t="n">
        <v>0.131839599557391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1.33711307799319</v>
      </c>
      <c r="AO458" s="6" t="n">
        <v>1.3372795721559</v>
      </c>
      <c r="AP458" s="6" t="n">
        <v>0.130762205720745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1.33507517721947</v>
      </c>
      <c r="AO459" s="6" t="n">
        <v>1.33583439767515</v>
      </c>
      <c r="AP459" s="6" t="n">
        <v>0.130101728023497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1.35570740610339</v>
      </c>
      <c r="AO460" s="6" t="n">
        <v>1.35570740610339</v>
      </c>
      <c r="AP460" s="6" t="n">
        <v>0.135916099543944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1.34270199957327</v>
      </c>
      <c r="AO461" s="6" t="n">
        <v>1.35277296229309</v>
      </c>
      <c r="AP461" s="6" t="n">
        <v>0.138223559177151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1.34824055257835</v>
      </c>
      <c r="AO462" s="6" t="n">
        <v>1.34844464923261</v>
      </c>
      <c r="AP462" s="6" t="n">
        <v>0.132509085926916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1.33308520862374</v>
      </c>
      <c r="AO463" s="6" t="n">
        <v>1.33320673502059</v>
      </c>
      <c r="AP463" s="6" t="n">
        <v>0.129198316970239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1.34532904598485</v>
      </c>
      <c r="AO464" s="6" t="n">
        <v>1.34567741442752</v>
      </c>
      <c r="AP464" s="6" t="n">
        <v>0.133335956393381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1.36069185873889</v>
      </c>
      <c r="AO465" s="6" t="n">
        <v>1.36069185873889</v>
      </c>
      <c r="AP465" s="6" t="n">
        <v>0.140810592525394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1.33235933240838</v>
      </c>
      <c r="AO466" s="6" t="n">
        <v>1.33279168731795</v>
      </c>
      <c r="AP466" s="6" t="n">
        <v>0.130066139354638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1.34953089520871</v>
      </c>
      <c r="AO467" s="6" t="n">
        <v>1.35284295649352</v>
      </c>
      <c r="AP467" s="6" t="n">
        <v>0.139678471464156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1.32058983231199</v>
      </c>
      <c r="AO468" s="6" t="n">
        <v>1.32736887573848</v>
      </c>
      <c r="AP468" s="6" t="n">
        <v>0.129740614306126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1.29516633020989</v>
      </c>
      <c r="AO469" s="6" t="n">
        <v>1.2971824902278</v>
      </c>
      <c r="AP469" s="6" t="n">
        <v>0.13158282753249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1.32056916285677</v>
      </c>
      <c r="AO470" s="6" t="n">
        <v>1.32146781437956</v>
      </c>
      <c r="AP470" s="6" t="n">
        <v>0.127690648975211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1.35408593022793</v>
      </c>
      <c r="AO471" s="6" t="n">
        <v>1.35408593022793</v>
      </c>
      <c r="AP471" s="6" t="n">
        <v>0.136852400651818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1.34473177812105</v>
      </c>
      <c r="AO472" s="6" t="n">
        <v>1.34543233329922</v>
      </c>
      <c r="AP472" s="6" t="n">
        <v>0.131675829205029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1.32052676260405</v>
      </c>
      <c r="AO473" s="6" t="n">
        <v>1.32091036252335</v>
      </c>
      <c r="AP473" s="6" t="n">
        <v>0.133845736435643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1.34374733330925</v>
      </c>
      <c r="AO474" s="6" t="n">
        <v>1.34375246696847</v>
      </c>
      <c r="AP474" s="6" t="n">
        <v>0.13189731400577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1.30526043812859</v>
      </c>
      <c r="AO475" s="6" t="n">
        <v>1.31557290972724</v>
      </c>
      <c r="AP475" s="6" t="n">
        <v>0.129951878522722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1.35273918986688</v>
      </c>
      <c r="AO476" s="6" t="n">
        <v>1.35273918986688</v>
      </c>
      <c r="AP476" s="6" t="n">
        <v>0.135236362448879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1.33205872693781</v>
      </c>
      <c r="AO477" s="6" t="n">
        <v>1.33244230903064</v>
      </c>
      <c r="AP477" s="6" t="n">
        <v>0.129374899951872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1.35513787522655</v>
      </c>
      <c r="AO478" s="6" t="n">
        <v>1.35606921740312</v>
      </c>
      <c r="AP478" s="6" t="n">
        <v>0.136786095684491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1.35716967841286</v>
      </c>
      <c r="AO479" s="6" t="n">
        <v>1.35752457257404</v>
      </c>
      <c r="AP479" s="6" t="n">
        <v>0.136765782214628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1.34913956024225</v>
      </c>
      <c r="AO480" s="6" t="n">
        <v>1.34986319821851</v>
      </c>
      <c r="AP480" s="6" t="n">
        <v>0.133405585964163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1.32650167730169</v>
      </c>
      <c r="AO481" s="6" t="n">
        <v>1.32756779345801</v>
      </c>
      <c r="AP481" s="6" t="n">
        <v>0.129309343990981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1.34546365964393</v>
      </c>
      <c r="AO482" s="6" t="n">
        <v>1.34599526761224</v>
      </c>
      <c r="AP482" s="6" t="n">
        <v>0.133555256263945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1.34900541955529</v>
      </c>
      <c r="AO483" s="6" t="n">
        <v>1.34910816121281</v>
      </c>
      <c r="AP483" s="6" t="n">
        <v>0.134232671080693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1.35975033043981</v>
      </c>
      <c r="AO484" s="6" t="n">
        <v>1.35976081896629</v>
      </c>
      <c r="AP484" s="6" t="n">
        <v>0.140803484134394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1.33909666860978</v>
      </c>
      <c r="AO485" s="6" t="n">
        <v>1.33911768363574</v>
      </c>
      <c r="AP485" s="6" t="n">
        <v>0.129980946335474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1.33441378370268</v>
      </c>
      <c r="AO486" s="6" t="n">
        <v>1.34160928064901</v>
      </c>
      <c r="AP486" s="6" t="n">
        <v>0.134188039152349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1.32022015630437</v>
      </c>
      <c r="AO487" s="6" t="n">
        <v>1.32396707774572</v>
      </c>
      <c r="AP487" s="6" t="n">
        <v>0.130573281902959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1.33206989286984</v>
      </c>
      <c r="AO488" s="6" t="n">
        <v>1.33234620369648</v>
      </c>
      <c r="AP488" s="6" t="n">
        <v>0.130039060126075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1.34909123591089</v>
      </c>
      <c r="AO489" s="6" t="n">
        <v>1.34940264376099</v>
      </c>
      <c r="AP489" s="6" t="n">
        <v>0.134885951653868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1.33359021540723</v>
      </c>
      <c r="AO490" s="6" t="n">
        <v>1.34205618726451</v>
      </c>
      <c r="AP490" s="6" t="n">
        <v>0.133154939971375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1.32564904440466</v>
      </c>
      <c r="AO491" s="6" t="n">
        <v>1.33015756433913</v>
      </c>
      <c r="AP491" s="6" t="n">
        <v>0.129990788786001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1.3391086979781</v>
      </c>
      <c r="AO492" s="6" t="n">
        <v>1.33953854673517</v>
      </c>
      <c r="AP492" s="6" t="n">
        <v>0.131281446798177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1.33001005446644</v>
      </c>
      <c r="AO493" s="6" t="n">
        <v>1.33717719208112</v>
      </c>
      <c r="AP493" s="6" t="n">
        <v>0.131712226209334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1.33730255705735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1.34475073147457</v>
      </c>
      <c r="AO495" s="6" t="n">
        <v>1.34498770319075</v>
      </c>
      <c r="AP495" s="6" t="n">
        <v>0.131800724850731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1.34602449692446</v>
      </c>
      <c r="AO496" s="6" t="n">
        <v>1.34602449692446</v>
      </c>
      <c r="AP496" s="6" t="n">
        <v>0.133801911233792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1.32200886604495</v>
      </c>
      <c r="AO497" s="6" t="n">
        <v>1.32962978586349</v>
      </c>
      <c r="AP497" s="6" t="n">
        <v>0.136148112882875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1.35661306099952</v>
      </c>
      <c r="AO498" s="6" t="n">
        <v>1.35661306099952</v>
      </c>
      <c r="AP498" s="6" t="n">
        <v>0.137063044638767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1.33870084690737</v>
      </c>
      <c r="AO499" s="6" t="n">
        <v>1.33933939849783</v>
      </c>
      <c r="AP499" s="6" t="n">
        <v>0.131241086364811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1.35467616787919</v>
      </c>
      <c r="AO500" s="6" t="n">
        <v>1.35531060098366</v>
      </c>
      <c r="AP500" s="6" t="n">
        <v>0.137702177854176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1.34796706250428</v>
      </c>
      <c r="AO501" s="6" t="n">
        <v>1.34796706250428</v>
      </c>
      <c r="AP501" s="6" t="n">
        <v>0.134031966496694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1.34389878911907</v>
      </c>
      <c r="AO502" s="6" t="n">
        <v>1.34755600864149</v>
      </c>
      <c r="AP502" s="6" t="n">
        <v>0.134121800514584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1.33299157735234</v>
      </c>
      <c r="AO503" s="6" t="n">
        <v>1.33826477525568</v>
      </c>
      <c r="AP503" s="6" t="n">
        <v>0.131158390068006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1.31950584381961</v>
      </c>
      <c r="AO505" s="6" t="n">
        <v>1.32867691395652</v>
      </c>
      <c r="AP505" s="6" t="n">
        <v>0.131134189360444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1.34233911054549</v>
      </c>
      <c r="AO506" s="6" t="n">
        <v>1.34290931666496</v>
      </c>
      <c r="AP506" s="6" t="n">
        <v>0.13204050711316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1.33658607159045</v>
      </c>
      <c r="AO507" s="6" t="n">
        <v>1.33943851658785</v>
      </c>
      <c r="AP507" s="6" t="n">
        <v>0.131278461486334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1.35544134142273</v>
      </c>
      <c r="AO508" s="6" t="n">
        <v>1.35606879636699</v>
      </c>
      <c r="AP508" s="6" t="n">
        <v>0.136226373530081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1.35217763593019</v>
      </c>
      <c r="AO509" s="6" t="n">
        <v>1.35217763593019</v>
      </c>
      <c r="AP509" s="6" t="n">
        <v>0.134092388685808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1.33830273573247</v>
      </c>
      <c r="AO510" s="6" t="n">
        <v>1.33860429737675</v>
      </c>
      <c r="AP510" s="6" t="n">
        <v>0.130733479309991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1.32175445429393</v>
      </c>
      <c r="AO512" s="6" t="n">
        <v>1.32544935626963</v>
      </c>
      <c r="AP512" s="6" t="n">
        <v>0.130754976585799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1.33953514827996</v>
      </c>
      <c r="AO513" s="6" t="n">
        <v>1.34081050997335</v>
      </c>
      <c r="AP513" s="6" t="n">
        <v>0.13092811047639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1.32222629104954</v>
      </c>
      <c r="AO514" s="6" t="n">
        <v>1.32288075573159</v>
      </c>
      <c r="AP514" s="6" t="n">
        <v>0.127708346460712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1.34805771384128</v>
      </c>
      <c r="AO515" s="6" t="n">
        <v>1.34829239024089</v>
      </c>
      <c r="AP515" s="6" t="n">
        <v>0.133295686675679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1.35038173695735</v>
      </c>
      <c r="AO516" s="6" t="n">
        <v>1.35115928590235</v>
      </c>
      <c r="AP516" s="6" t="n">
        <v>0.132938742175237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1.34117325105081</v>
      </c>
      <c r="AO517" s="6" t="n">
        <v>1.34243487821956</v>
      </c>
      <c r="AP517" s="6" t="n">
        <v>0.135634679991576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1.34561419161642</v>
      </c>
      <c r="AO518" s="6" t="n">
        <v>1.35049891552552</v>
      </c>
      <c r="AP518" s="6" t="n">
        <v>0.135332288882074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1.35251083818365</v>
      </c>
      <c r="AO519" s="6" t="n">
        <v>1.35251083818365</v>
      </c>
      <c r="AP519" s="6" t="n">
        <v>0.138341063502565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1.32624436835517</v>
      </c>
      <c r="AO520" s="6" t="n">
        <v>1.32659062574534</v>
      </c>
      <c r="AP520" s="6" t="n">
        <v>0.127812865738397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</v>
      </c>
      <c r="AO521" s="6" t="n">
        <v>1.3536186129217</v>
      </c>
      <c r="AP521" s="6" t="n">
        <v>0.136027549248781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1.3324826620462</v>
      </c>
      <c r="AO522" s="6" t="n">
        <v>1.33314769783736</v>
      </c>
      <c r="AP522" s="6" t="n">
        <v>0.130088635762751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1.35631615450089</v>
      </c>
      <c r="AO523" s="6" t="n">
        <v>1.35631615450089</v>
      </c>
      <c r="AP523" s="6" t="n">
        <v>0.13498397220912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1.35434325331619</v>
      </c>
      <c r="AO524" s="6" t="n">
        <v>1.35547413930234</v>
      </c>
      <c r="AP524" s="6" t="n">
        <v>0.140280590605196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1.32396221018906</v>
      </c>
      <c r="AO525" s="6" t="n">
        <v>1.32540261720242</v>
      </c>
      <c r="AP525" s="6" t="n">
        <v>0.127228871036133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1.33526965549005</v>
      </c>
      <c r="AO526" s="6" t="n">
        <v>1.33562950865553</v>
      </c>
      <c r="AP526" s="6" t="n">
        <v>0.130067920982949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1.35185814002865</v>
      </c>
      <c r="AO527" s="6" t="n">
        <v>1.35238199235242</v>
      </c>
      <c r="AP527" s="6" t="n">
        <v>0.134802982954246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1.34015087467973</v>
      </c>
      <c r="AO528" s="6" t="n">
        <v>1.34258693643436</v>
      </c>
      <c r="AP528" s="6" t="n">
        <v>0.132593702421044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1.34032177615245</v>
      </c>
      <c r="AO529" s="6" t="n">
        <v>1.34568517003396</v>
      </c>
      <c r="AP529" s="6" t="n">
        <v>0.134240758463047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1.34479344953853</v>
      </c>
      <c r="AO530" s="6" t="n">
        <v>1.34546672010525</v>
      </c>
      <c r="AP530" s="6" t="n">
        <v>0.132006457357788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1.34259867220889</v>
      </c>
      <c r="AO531" s="6" t="n">
        <v>1.35169095923546</v>
      </c>
      <c r="AP531" s="6" t="n">
        <v>0.138852302453963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1.32168101426539</v>
      </c>
      <c r="AO532" s="6" t="n">
        <v>1.33003844142256</v>
      </c>
      <c r="AP532" s="6" t="n">
        <v>0.131075538827077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1.34002789283346</v>
      </c>
      <c r="AO533" s="6" t="n">
        <v>1.34081207729259</v>
      </c>
      <c r="AP533" s="6" t="n">
        <v>0.131951330685529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1.3144748387803</v>
      </c>
      <c r="AO534" s="6" t="n">
        <v>1.32476862691997</v>
      </c>
      <c r="AP534" s="6" t="n">
        <v>0.131492408466462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1.34095612868732</v>
      </c>
      <c r="AO535" s="6" t="n">
        <v>1.34442383519922</v>
      </c>
      <c r="AP535" s="6" t="n">
        <v>0.132745558359016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1.29341378715995</v>
      </c>
      <c r="AO536" s="6" t="n">
        <v>1.3121470178301</v>
      </c>
      <c r="AP536" s="6" t="n">
        <v>0.131546499271432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1.32899739885943</v>
      </c>
      <c r="AO537" s="6" t="n">
        <v>1.3338557956019</v>
      </c>
      <c r="AP537" s="6" t="n">
        <v>0.131787935379394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1.34305272901297</v>
      </c>
      <c r="AO538" s="6" t="n">
        <v>1.34340687834673</v>
      </c>
      <c r="AP538" s="6" t="n">
        <v>0.131060007284842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1.35004485142551</v>
      </c>
      <c r="AO539" s="6" t="n">
        <v>1.35004485142551</v>
      </c>
      <c r="AP539" s="6" t="n">
        <v>0.136426865230547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1.33358890283538</v>
      </c>
      <c r="AO540" s="6" t="n">
        <v>1.33383198154398</v>
      </c>
      <c r="AP540" s="6" t="n">
        <v>0.130130882633371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1.34638583837276</v>
      </c>
      <c r="AO541" s="6" t="n">
        <v>1.34661382298085</v>
      </c>
      <c r="AP541" s="6" t="n">
        <v>0.131987032705821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1.32948357280519</v>
      </c>
      <c r="AO542" s="6" t="n">
        <v>1.33081241685877</v>
      </c>
      <c r="AP542" s="6" t="n">
        <v>0.12932278208799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1.32720375644352</v>
      </c>
      <c r="AO543" s="6" t="n">
        <v>1.33441159678561</v>
      </c>
      <c r="AP543" s="6" t="n">
        <v>0.131685005121027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1.32548605440174</v>
      </c>
      <c r="AO544" s="6" t="n">
        <v>1.33066327848764</v>
      </c>
      <c r="AP544" s="6" t="n">
        <v>0.12980761788615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1.33471122938404</v>
      </c>
      <c r="AO545" s="6" t="n">
        <v>1.33497125364994</v>
      </c>
      <c r="AP545" s="6" t="n">
        <v>0.12997938620325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1.33546082267204</v>
      </c>
      <c r="AO546" s="6" t="n">
        <v>1.33549684370479</v>
      </c>
      <c r="AP546" s="6" t="n">
        <v>0.129723742027222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1.30693736127365</v>
      </c>
      <c r="AO547" s="6" t="n">
        <v>1.30728034201081</v>
      </c>
      <c r="AP547" s="6" t="n">
        <v>0.125627717167389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1.35057474404996</v>
      </c>
      <c r="AO548" s="6" t="n">
        <v>1.3509812828541</v>
      </c>
      <c r="AP548" s="6" t="n">
        <v>0.135525059958425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1.34991704829558</v>
      </c>
      <c r="AO549" s="6" t="n">
        <v>1.34991704829558</v>
      </c>
      <c r="AP549" s="6" t="n">
        <v>0.134572784623699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1.34529357999128</v>
      </c>
      <c r="AO550" s="6" t="n">
        <v>1.34552502877535</v>
      </c>
      <c r="AP550" s="6" t="n">
        <v>0.133364033943263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1.33847795391614</v>
      </c>
      <c r="AO551" s="6" t="n">
        <v>1.3385025130793</v>
      </c>
      <c r="AP551" s="6" t="n">
        <v>0.130483254935833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1.30901492638978</v>
      </c>
      <c r="AO552" s="6" t="n">
        <v>1.31701424795771</v>
      </c>
      <c r="AP552" s="6" t="n">
        <v>0.129364232897051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1.32984445575927</v>
      </c>
      <c r="AO553" s="6" t="n">
        <v>1.33032452140049</v>
      </c>
      <c r="AP553" s="6" t="n">
        <v>0.129226562524853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1.33649556354704</v>
      </c>
      <c r="AO554" s="6" t="n">
        <v>1.34867855781519</v>
      </c>
      <c r="AP554" s="6" t="n">
        <v>0.138252552559379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1.30077192708059</v>
      </c>
      <c r="AO555" s="6" t="n">
        <v>1.31230015470138</v>
      </c>
      <c r="AP555" s="6" t="n">
        <v>0.127744262621262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1.29310262673127</v>
      </c>
      <c r="AO556" s="6" t="n">
        <v>1.29815087191377</v>
      </c>
      <c r="AP556" s="6" t="n">
        <v>0.131073998103513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1.34986168296418</v>
      </c>
      <c r="AO557" s="6" t="n">
        <v>1.34986168296418</v>
      </c>
      <c r="AP557" s="6" t="n">
        <v>0.133450469548753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1.33765723185888</v>
      </c>
      <c r="AO558" s="6" t="n">
        <v>1.33820346847639</v>
      </c>
      <c r="AP558" s="6" t="n">
        <v>0.131264460141273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1.33115113752141</v>
      </c>
      <c r="AO559" s="6" t="n">
        <v>1.33169833446069</v>
      </c>
      <c r="AP559" s="6" t="n">
        <v>0.129819111946218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1.34336177627286</v>
      </c>
      <c r="AO560" s="6" t="n">
        <v>1.34345474589551</v>
      </c>
      <c r="AP560" s="6" t="n">
        <v>0.132756771252793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1.34846950310401</v>
      </c>
      <c r="AO561" s="6" t="n">
        <v>1.34872786002762</v>
      </c>
      <c r="AP561" s="6" t="n">
        <v>0.132696503286849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1.34941880838256</v>
      </c>
      <c r="AO562" s="6" t="n">
        <v>1.34941880838256</v>
      </c>
      <c r="AP562" s="6" t="n">
        <v>0.135575871764196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1.33548287547286</v>
      </c>
      <c r="AO563" s="6" t="n">
        <v>1.34398865747694</v>
      </c>
      <c r="AP563" s="6" t="n">
        <v>0.135253035278461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1.33048022507202</v>
      </c>
      <c r="AO564" s="6" t="n">
        <v>1.33901678887341</v>
      </c>
      <c r="AP564" s="6" t="n">
        <v>0.133950503722659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1.348602492982</v>
      </c>
      <c r="AO565" s="6" t="n">
        <v>1.34940573873525</v>
      </c>
      <c r="AP565" s="6" t="n">
        <v>0.133362081052271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1.31678573392805</v>
      </c>
      <c r="AO566" s="6" t="n">
        <v>1.3195635038429</v>
      </c>
      <c r="AP566" s="6" t="n">
        <v>0.133330080276372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1.33103218375945</v>
      </c>
      <c r="AO567" s="6" t="n">
        <v>1.33149969025227</v>
      </c>
      <c r="AP567" s="6" t="n">
        <v>0.129188539513555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1.31924117030811</v>
      </c>
      <c r="AO568" s="6" t="n">
        <v>1.32847013096446</v>
      </c>
      <c r="AP568" s="6" t="n">
        <v>0.131001644810129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1.34878314266477</v>
      </c>
      <c r="AO569" s="6" t="n">
        <v>1.34926903677729</v>
      </c>
      <c r="AP569" s="6" t="n">
        <v>0.132620909642526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1.34191685432915</v>
      </c>
      <c r="AO570" s="6" t="n">
        <v>1.34292609119449</v>
      </c>
      <c r="AP570" s="6" t="n">
        <v>0.131792966997046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1.32467190379239</v>
      </c>
      <c r="AO571" s="6" t="n">
        <v>1.32540246354744</v>
      </c>
      <c r="AP571" s="6" t="n">
        <v>0.128379425229685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1.35090331843048</v>
      </c>
      <c r="AO572" s="6" t="n">
        <v>1.35090331843048</v>
      </c>
      <c r="AP572" s="6" t="n">
        <v>0.135062180505282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1.34892499483372</v>
      </c>
      <c r="AO573" s="6" t="n">
        <v>1.3495836604712</v>
      </c>
      <c r="AP573" s="6" t="n">
        <v>0.132970953711204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1.3344737795385</v>
      </c>
      <c r="AO574" s="6" t="n">
        <v>1.33526001715925</v>
      </c>
      <c r="AP574" s="6" t="n">
        <v>0.130157338625053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1.34509870027501</v>
      </c>
      <c r="AO575" s="6" t="n">
        <v>1.34526796946738</v>
      </c>
      <c r="AP575" s="6" t="n">
        <v>0.133113569638047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1.35597638231785</v>
      </c>
      <c r="AO576" s="6" t="n">
        <v>1.35650506472345</v>
      </c>
      <c r="AP576" s="6" t="n">
        <v>0.136764244500653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1.34483417994837</v>
      </c>
      <c r="AO577" s="6" t="n">
        <v>1.34539614747582</v>
      </c>
      <c r="AP577" s="6" t="n">
        <v>0.132102606986214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1.31908197070809</v>
      </c>
      <c r="AO578" s="6" t="n">
        <v>1.32049892411598</v>
      </c>
      <c r="AP578" s="6" t="n">
        <v>0.126699605266433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1.34343460617206</v>
      </c>
      <c r="AO579" s="6" t="n">
        <v>1.34350747016111</v>
      </c>
      <c r="AP579" s="6" t="n">
        <v>0.132134216547956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1.33992407955849</v>
      </c>
      <c r="AO580" s="6" t="n">
        <v>1.34000732131447</v>
      </c>
      <c r="AP580" s="6" t="n">
        <v>0.131163352358084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1.34178843684783</v>
      </c>
      <c r="AO581" s="6" t="n">
        <v>1.34178843684783</v>
      </c>
      <c r="AP581" s="6" t="n">
        <v>0.132486997225542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1.35173513233206</v>
      </c>
      <c r="AO582" s="6" t="n">
        <v>1.35240832366567</v>
      </c>
      <c r="AP582" s="6" t="n">
        <v>0.133924012559868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1.33567565379582</v>
      </c>
      <c r="AO583" s="6" t="n">
        <v>1.33660704201525</v>
      </c>
      <c r="AP583" s="6" t="n">
        <v>0.130319546800675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1.33478468991637</v>
      </c>
      <c r="AO584" s="6" t="n">
        <v>1.33491688965462</v>
      </c>
      <c r="AP584" s="6" t="n">
        <v>0.130310879281638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1.33846328322165</v>
      </c>
      <c r="AO585" s="6" t="n">
        <v>1.34480531013091</v>
      </c>
      <c r="AP585" s="6" t="n">
        <v>0.134510351515777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1.34863581812514</v>
      </c>
      <c r="AO586" s="6" t="n">
        <v>1.3535492600164</v>
      </c>
      <c r="AP586" s="6" t="n">
        <v>0.137996331951447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1.35733632892702</v>
      </c>
      <c r="AO587" s="6" t="n">
        <v>1.35733632892702</v>
      </c>
      <c r="AP587" s="6" t="n">
        <v>0.135447018880909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1.31548111978124</v>
      </c>
      <c r="AO588" s="6" t="n">
        <v>1.32766676992232</v>
      </c>
      <c r="AP588" s="6" t="n">
        <v>0.132747940634618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1.3450857304912</v>
      </c>
      <c r="AO589" s="6" t="n">
        <v>1.34540823103919</v>
      </c>
      <c r="AP589" s="6" t="n">
        <v>0.132057717524542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1.34009077072088</v>
      </c>
      <c r="AO590" s="6" t="n">
        <v>1.3408354216819</v>
      </c>
      <c r="AP590" s="6" t="n">
        <v>0.131131819790408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1.34777944555653</v>
      </c>
      <c r="AO591" s="6" t="n">
        <v>1.34816297848737</v>
      </c>
      <c r="AP591" s="6" t="n">
        <v>0.132566133440689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1.34675001542832</v>
      </c>
      <c r="AO592" s="6" t="n">
        <v>1.34700923033991</v>
      </c>
      <c r="AP592" s="6" t="n">
        <v>0.13270725087495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1.357842019992</v>
      </c>
      <c r="AO593" s="6" t="n">
        <v>1.35869188194724</v>
      </c>
      <c r="AP593" s="6" t="n">
        <v>0.136567162031821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1.34817594246371</v>
      </c>
      <c r="AO594" s="6" t="n">
        <v>1.34817594246371</v>
      </c>
      <c r="AP594" s="6" t="n">
        <v>0.13472077065627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1.33009294125173</v>
      </c>
      <c r="AO595" s="6" t="n">
        <v>1.33029573532448</v>
      </c>
      <c r="AP595" s="6" t="n">
        <v>0.129763188538219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1.36075057083639</v>
      </c>
      <c r="AO596" s="6" t="n">
        <v>1.36137458266111</v>
      </c>
      <c r="AP596" s="6" t="n">
        <v>0.138564818903657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1.33909186328871</v>
      </c>
      <c r="AO597" s="6" t="n">
        <v>1.33958182879985</v>
      </c>
      <c r="AP597" s="6" t="n">
        <v>0.130979822501606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1.3502419193312</v>
      </c>
      <c r="AO598" s="6" t="n">
        <v>1.3502419193312</v>
      </c>
      <c r="AP598" s="6" t="n">
        <v>0.134648377631936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1.35815154334162</v>
      </c>
      <c r="AO599" s="6" t="n">
        <v>1.35815154334162</v>
      </c>
      <c r="AP599" s="6" t="n">
        <v>0.137264539635536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1.32630003312173</v>
      </c>
      <c r="AO600" s="6" t="n">
        <v>1.32840489057397</v>
      </c>
      <c r="AP600" s="6" t="n">
        <v>0.129406175416452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1.34547467428779</v>
      </c>
      <c r="AO601" s="6" t="n">
        <v>1.34554703678667</v>
      </c>
      <c r="AP601" s="6" t="n">
        <v>0.1323204006668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1.33992071709057</v>
      </c>
      <c r="AO602" s="6" t="n">
        <v>1.34617113840341</v>
      </c>
      <c r="AP602" s="6" t="n">
        <v>0.134319133343535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1.34157391023887</v>
      </c>
      <c r="AO603" s="6" t="n">
        <v>1.34157391023887</v>
      </c>
      <c r="AP603" s="6" t="n">
        <v>0.132251755525404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1.34183650260252</v>
      </c>
      <c r="AO604" s="6" t="n">
        <v>1.34231764521618</v>
      </c>
      <c r="AP604" s="6" t="n">
        <v>0.131415897630583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1.34347745719064</v>
      </c>
      <c r="AO605" s="6" t="n">
        <v>1.34347745719064</v>
      </c>
      <c r="AP605" s="6" t="n">
        <v>0.134596888694729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1.31574963943398</v>
      </c>
      <c r="AO606" s="6" t="n">
        <v>1.32836091992243</v>
      </c>
      <c r="AP606" s="6" t="n">
        <v>0.132581589368183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1.33541860481013</v>
      </c>
      <c r="AO607" s="6" t="n">
        <v>1.33559799285194</v>
      </c>
      <c r="AP607" s="6" t="n">
        <v>0.129875806180389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1.33992211953921</v>
      </c>
      <c r="AO608" s="6" t="n">
        <v>1.34032299474313</v>
      </c>
      <c r="AP608" s="6" t="n">
        <v>0.130938212916733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1.34078778968321</v>
      </c>
      <c r="AO609" s="6" t="n">
        <v>1.34087383052119</v>
      </c>
      <c r="AP609" s="6" t="n">
        <v>0.131343561328334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1.33098218021779</v>
      </c>
      <c r="AO610" s="6" t="n">
        <v>1.3314268420382</v>
      </c>
      <c r="AP610" s="6" t="n">
        <v>0.129860266651329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1.33405834284112</v>
      </c>
      <c r="AO611" s="6" t="n">
        <v>1.33406707033499</v>
      </c>
      <c r="AP611" s="6" t="n">
        <v>0.129771882955765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1.34852106152034</v>
      </c>
      <c r="AO612" s="6" t="n">
        <v>1.34931212693581</v>
      </c>
      <c r="AP612" s="6" t="n">
        <v>0.135915453988156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1.32023130733227</v>
      </c>
      <c r="AO613" s="6" t="n">
        <v>1.32714853495607</v>
      </c>
      <c r="AP613" s="6" t="n">
        <v>0.132420779188865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1.33637820745395</v>
      </c>
      <c r="AO614" s="6" t="n">
        <v>1.3374043505784</v>
      </c>
      <c r="AP614" s="6" t="n">
        <v>0.130455176341359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1.34023441530244</v>
      </c>
      <c r="AO615" s="6" t="n">
        <v>1.34077635431955</v>
      </c>
      <c r="AP615" s="6" t="n">
        <v>0.131371101679073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1.35296436129077</v>
      </c>
      <c r="AO616" s="6" t="n">
        <v>1.3554489014266</v>
      </c>
      <c r="AP616" s="6" t="n">
        <v>0.136007970499072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1.32588902480389</v>
      </c>
      <c r="AO617" s="6" t="n">
        <v>1.3384881343639</v>
      </c>
      <c r="AP617" s="6" t="n">
        <v>0.135863324236946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1.35537536649786</v>
      </c>
      <c r="AO618" s="6" t="n">
        <v>1.35588358919272</v>
      </c>
      <c r="AP618" s="6" t="n">
        <v>0.138326577095488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1.33388158724959</v>
      </c>
      <c r="AO619" s="6" t="n">
        <v>1.33933810029058</v>
      </c>
      <c r="AP619" s="6" t="n">
        <v>0.13243989942632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1.3457353591295</v>
      </c>
      <c r="AO620" s="6" t="n">
        <v>1.34595546617672</v>
      </c>
      <c r="AP620" s="6" t="n">
        <v>0.132135331227456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1.33370936889083</v>
      </c>
      <c r="AO621" s="6" t="n">
        <v>1.33384033555495</v>
      </c>
      <c r="AP621" s="6" t="n">
        <v>0.130195642124952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1.34963032486556</v>
      </c>
      <c r="AO622" s="6" t="n">
        <v>1.34993006702176</v>
      </c>
      <c r="AP622" s="6" t="n">
        <v>0.133028632043604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1.33379037678583</v>
      </c>
      <c r="AO623" s="6" t="n">
        <v>1.33518141766562</v>
      </c>
      <c r="AP623" s="6" t="n">
        <v>0.130033238404361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1.33864977993889</v>
      </c>
      <c r="AO624" s="6" t="n">
        <v>1.3388851607816</v>
      </c>
      <c r="AP624" s="6" t="n">
        <v>0.131408222402972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1.31830195101491</v>
      </c>
      <c r="AO625" s="6" t="n">
        <v>1.31903008523675</v>
      </c>
      <c r="AP625" s="6" t="n">
        <v>0.127729612069319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1.32831255262596</v>
      </c>
      <c r="AO626" s="6" t="n">
        <v>1.32836545406173</v>
      </c>
      <c r="AP626" s="6" t="n">
        <v>0.12942704382478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1.31467406291768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1.33929719112875</v>
      </c>
      <c r="AO628" s="6" t="n">
        <v>1.33965261863965</v>
      </c>
      <c r="AP628" s="6" t="n">
        <v>0.131356818436006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1.34523819675478</v>
      </c>
      <c r="AO629" s="6" t="n">
        <v>1.3456800852404</v>
      </c>
      <c r="AP629" s="6" t="n">
        <v>0.132142081993834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1.34429177739058</v>
      </c>
      <c r="AO630" s="6" t="n">
        <v>1.3455420181363</v>
      </c>
      <c r="AP630" s="6" t="n">
        <v>0.132773956813346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1.34187206213192</v>
      </c>
      <c r="AO631" s="6" t="n">
        <v>1.34569461131698</v>
      </c>
      <c r="AP631" s="6" t="n">
        <v>0.132956739507986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1.35855564379289</v>
      </c>
      <c r="AO632" s="6" t="n">
        <v>1.35855564379289</v>
      </c>
      <c r="AP632" s="6" t="n">
        <v>0.141244067652894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1.35347990811084</v>
      </c>
      <c r="AO633" s="6" t="n">
        <v>1.35357575413547</v>
      </c>
      <c r="AP633" s="6" t="n">
        <v>0.13469163439398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1.34674508480431</v>
      </c>
      <c r="AO634" s="6" t="n">
        <v>1.34717415674</v>
      </c>
      <c r="AP634" s="6" t="n">
        <v>0.132966057358224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1.35083723971294</v>
      </c>
      <c r="AO635" s="6" t="n">
        <v>1.3512612398652</v>
      </c>
      <c r="AP635" s="6" t="n">
        <v>0.133667030442102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1.34794171274874</v>
      </c>
      <c r="AO636" s="6" t="n">
        <v>1.34816466803399</v>
      </c>
      <c r="AP636" s="6" t="n">
        <v>0.132947697134575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1.30248176022601</v>
      </c>
      <c r="AO637" s="6" t="n">
        <v>1.31165716791374</v>
      </c>
      <c r="AP637" s="6" t="n">
        <v>0.132143067740018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1.35595936840946</v>
      </c>
      <c r="AO638" s="6" t="n">
        <v>1.35595936840946</v>
      </c>
      <c r="AP638" s="6" t="n">
        <v>0.141835421421616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1.35211511736343</v>
      </c>
      <c r="AO639" s="6" t="n">
        <v>1.35225294654342</v>
      </c>
      <c r="AP639" s="6" t="n">
        <v>0.133939717859265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1.3090749293439</v>
      </c>
      <c r="AO640" s="6" t="n">
        <v>1.31472101317822</v>
      </c>
      <c r="AP640" s="6" t="n">
        <v>0.131501806826721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1.35197444551231</v>
      </c>
      <c r="AO641" s="6" t="n">
        <v>1.35207399134535</v>
      </c>
      <c r="AP641" s="6" t="n">
        <v>0.134067683288384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1.33666956860058</v>
      </c>
      <c r="AO642" s="6" t="n">
        <v>1.33689609686565</v>
      </c>
      <c r="AP642" s="6" t="n">
        <v>0.130717631122533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1.3480464527421</v>
      </c>
      <c r="AO643" s="6" t="n">
        <v>1.3480464527421</v>
      </c>
      <c r="AP643" s="6" t="n">
        <v>0.13398485623175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1.34837827536664</v>
      </c>
      <c r="AO644" s="6" t="n">
        <v>1.34868918138248</v>
      </c>
      <c r="AP644" s="6" t="n">
        <v>0.132368237414273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1.33095318383902</v>
      </c>
      <c r="AO645" s="6" t="n">
        <v>1.33129209415767</v>
      </c>
      <c r="AP645" s="6" t="n">
        <v>0.129105733017965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1.3379653586276</v>
      </c>
      <c r="AO646" s="6" t="n">
        <v>1.34447932005406</v>
      </c>
      <c r="AP646" s="6" t="n">
        <v>0.134525527064819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1.33551519898157</v>
      </c>
      <c r="AO647" s="6" t="n">
        <v>1.33578092685707</v>
      </c>
      <c r="AP647" s="6" t="n">
        <v>0.130292661221111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1.32356841292581</v>
      </c>
      <c r="AO648" s="6" t="n">
        <v>1.33241193378209</v>
      </c>
      <c r="AP648" s="6" t="n">
        <v>0.13197435150024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1.33564965608811</v>
      </c>
      <c r="AO649" s="6" t="n">
        <v>1.33656714671631</v>
      </c>
      <c r="AP649" s="6" t="n">
        <v>0.130785748065995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1.35021281779749</v>
      </c>
      <c r="AO650" s="6" t="n">
        <v>1.35021834637055</v>
      </c>
      <c r="AP650" s="6" t="n">
        <v>0.13287243174003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1.352719224656</v>
      </c>
      <c r="AO651" s="6" t="n">
        <v>1.352719224656</v>
      </c>
      <c r="AP651" s="6" t="n">
        <v>0.133652672703307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1.35033660909302</v>
      </c>
      <c r="AO652" s="6" t="n">
        <v>1.35056113841633</v>
      </c>
      <c r="AP652" s="6" t="n">
        <v>0.132504049037194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1.31837834628625</v>
      </c>
      <c r="AO653" s="6" t="n">
        <v>1.3266124590789</v>
      </c>
      <c r="AP653" s="6" t="n">
        <v>0.132892757058711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1.30392558616232</v>
      </c>
      <c r="AO654" s="6" t="n">
        <v>1.30975764592906</v>
      </c>
      <c r="AP654" s="6" t="n">
        <v>0.132082377591301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1.35507800699208</v>
      </c>
      <c r="AO655" s="6" t="n">
        <v>1.35556037939131</v>
      </c>
      <c r="AP655" s="6" t="n">
        <v>0.135965982293551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1.35116544730114</v>
      </c>
      <c r="AO656" s="6" t="n">
        <v>1.35149559234247</v>
      </c>
      <c r="AP656" s="6" t="n">
        <v>0.13456605750053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1.32198561001931</v>
      </c>
      <c r="AO657" s="6" t="n">
        <v>1.32246102555485</v>
      </c>
      <c r="AP657" s="6" t="n">
        <v>0.129036189859035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1.33244373778487</v>
      </c>
      <c r="AO658" s="6" t="n">
        <v>1.33919983874931</v>
      </c>
      <c r="AP658" s="6" t="n">
        <v>0.13283739415896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1.33823167234108</v>
      </c>
      <c r="AO659" s="6" t="n">
        <v>1.33869058149555</v>
      </c>
      <c r="AP659" s="6" t="n">
        <v>0.131092951385024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1.32911723301018</v>
      </c>
      <c r="AO660" s="6" t="n">
        <v>1.32923858249241</v>
      </c>
      <c r="AP660" s="6" t="n">
        <v>0.129100741635916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1.32853016380286</v>
      </c>
      <c r="AO661" s="6" t="n">
        <v>1.32868080425032</v>
      </c>
      <c r="AP661" s="6" t="n">
        <v>0.129096132274201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1.34799492133706</v>
      </c>
      <c r="AO662" s="6" t="n">
        <v>1.34874160997484</v>
      </c>
      <c r="AP662" s="6" t="n">
        <v>0.13344024056002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1.34540761351368</v>
      </c>
      <c r="AO663" s="6" t="n">
        <v>1.34626562177263</v>
      </c>
      <c r="AP663" s="6" t="n">
        <v>0.132484471527279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1.32628753460369</v>
      </c>
      <c r="AO664" s="6" t="n">
        <v>1.32640225151774</v>
      </c>
      <c r="AP664" s="6" t="n">
        <v>0.128928969228944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1.33524463376491</v>
      </c>
      <c r="AO665" s="6" t="n">
        <v>1.33546359131995</v>
      </c>
      <c r="AP665" s="6" t="n">
        <v>0.130503191543074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1.35127703231262</v>
      </c>
      <c r="AO666" s="6" t="n">
        <v>1.35127703231262</v>
      </c>
      <c r="AP666" s="6" t="n">
        <v>0.133621174208712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1.26883035415477</v>
      </c>
      <c r="AO667" s="6" t="n">
        <v>1.27374806145275</v>
      </c>
      <c r="AP667" s="6" t="n">
        <v>0.128202670792504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1.35486658597016</v>
      </c>
      <c r="AO668" s="6" t="n">
        <v>1.35486658597016</v>
      </c>
      <c r="AP668" s="6" t="n">
        <v>0.136967275471808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1.34704544381253</v>
      </c>
      <c r="AO669" s="6" t="n">
        <v>1.34968459779165</v>
      </c>
      <c r="AP669" s="6" t="n">
        <v>0.134240547079484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1.34048303012047</v>
      </c>
      <c r="AO670" s="6" t="n">
        <v>1.34106100834554</v>
      </c>
      <c r="AP670" s="6" t="n">
        <v>0.131904319225168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1.34351490939161</v>
      </c>
      <c r="AO671" s="6" t="n">
        <v>1.34351490939161</v>
      </c>
      <c r="AP671" s="6" t="n">
        <v>0.133828623112078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1.36473320068525</v>
      </c>
      <c r="AO672" s="6" t="n">
        <v>1.36473320068525</v>
      </c>
      <c r="AP672" s="6" t="n">
        <v>0.141338562947768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1.31848586987181</v>
      </c>
      <c r="AO673" s="6" t="n">
        <v>1.32634601073153</v>
      </c>
      <c r="AP673" s="6" t="n">
        <v>0.132727482273933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1.35436159827216</v>
      </c>
      <c r="AO674" s="6" t="n">
        <v>1.35454834592345</v>
      </c>
      <c r="AP674" s="6" t="n">
        <v>0.1354381514053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1.3202646854636</v>
      </c>
      <c r="AO675" s="6" t="n">
        <v>1.32174433435179</v>
      </c>
      <c r="AP675" s="6" t="n">
        <v>0.129749636051467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1.33872099891363</v>
      </c>
      <c r="AO676" s="6" t="n">
        <v>1.3453731376363</v>
      </c>
      <c r="AP676" s="6" t="n">
        <v>0.134612411777818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1.34794317919031</v>
      </c>
      <c r="AO677" s="6" t="n">
        <v>1.34825013870682</v>
      </c>
      <c r="AP677" s="6" t="n">
        <v>0.132952124373088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1.35372041080512</v>
      </c>
      <c r="AO678" s="6" t="n">
        <v>1.35406823418312</v>
      </c>
      <c r="AP678" s="6" t="n">
        <v>0.13397491095687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1.32900397379796</v>
      </c>
      <c r="AO679" s="6" t="n">
        <v>1.32988776966696</v>
      </c>
      <c r="AP679" s="6" t="n">
        <v>0.129536100402955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1.34483899951011</v>
      </c>
      <c r="AO680" s="6" t="n">
        <v>1.34658572022293</v>
      </c>
      <c r="AP680" s="6" t="n">
        <v>0.131856914355693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1.33192454730344</v>
      </c>
      <c r="AO681" s="6" t="n">
        <v>1.33229973496504</v>
      </c>
      <c r="AP681" s="6" t="n">
        <v>0.129743944567346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1.3526574841585</v>
      </c>
      <c r="AO682" s="6" t="n">
        <v>1.3526574841585</v>
      </c>
      <c r="AP682" s="6" t="n">
        <v>0.136270138473814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1.35276682729901</v>
      </c>
      <c r="AO683" s="6" t="n">
        <v>1.35516779399841</v>
      </c>
      <c r="AP683" s="6" t="n">
        <v>0.134760496341826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1.35591634119296</v>
      </c>
      <c r="AO684" s="6" t="n">
        <v>1.35591634119296</v>
      </c>
      <c r="AP684" s="6" t="n">
        <v>0.136621036694898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1.35920785387798</v>
      </c>
      <c r="AO685" s="6" t="n">
        <v>1.35920785387798</v>
      </c>
      <c r="AP685" s="6" t="n">
        <v>0.143345938209039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1.33364714965296</v>
      </c>
      <c r="AO686" s="6" t="n">
        <v>1.33696806999331</v>
      </c>
      <c r="AP686" s="6" t="n">
        <v>0.130528872190443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1.3179255269323</v>
      </c>
      <c r="AO687" s="6" t="n">
        <v>1.31879949356868</v>
      </c>
      <c r="AP687" s="6" t="n">
        <v>0.126723438348234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1.34520949286885</v>
      </c>
      <c r="AO688" s="6" t="n">
        <v>1.3455932716611</v>
      </c>
      <c r="AP688" s="6" t="n">
        <v>0.132244936990601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1.34844899211489</v>
      </c>
      <c r="AO689" s="6" t="n">
        <v>1.3515692249129</v>
      </c>
      <c r="AP689" s="6" t="n">
        <v>0.134082492922426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1.33814758623265</v>
      </c>
      <c r="AO690" s="6" t="n">
        <v>1.3447134570154</v>
      </c>
      <c r="AP690" s="6" t="n">
        <v>0.134106596794636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1.32946527560093</v>
      </c>
      <c r="AO691" s="6" t="n">
        <v>1.33478228197647</v>
      </c>
      <c r="AP691" s="6" t="n">
        <v>0.132496430520248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1.33579396552955</v>
      </c>
      <c r="AO692" s="6" t="n">
        <v>1.33780927104337</v>
      </c>
      <c r="AP692" s="6" t="n">
        <v>0.129730305322326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1.34763732165083</v>
      </c>
      <c r="AO693" s="6" t="n">
        <v>1.34792486761647</v>
      </c>
      <c r="AP693" s="6" t="n">
        <v>0.132187696650628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1.33005546270256</v>
      </c>
      <c r="AO694" s="6" t="n">
        <v>1.33070663168984</v>
      </c>
      <c r="AP694" s="6" t="n">
        <v>0.129549309628516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1.3435725978716</v>
      </c>
      <c r="AO695" s="6" t="n">
        <v>1.34400324202475</v>
      </c>
      <c r="AP695" s="6" t="n">
        <v>0.132282439498249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1.32223465577974</v>
      </c>
      <c r="AO696" s="6" t="n">
        <v>1.32408827065556</v>
      </c>
      <c r="AP696" s="6" t="n">
        <v>0.131774913865767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1.33670987260553</v>
      </c>
      <c r="AO697" s="6" t="n">
        <v>1.34609672689887</v>
      </c>
      <c r="AP697" s="6" t="n">
        <v>0.134751396087436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1.3249871769786</v>
      </c>
      <c r="AO698" s="6" t="n">
        <v>1.32592872183196</v>
      </c>
      <c r="AP698" s="6" t="n">
        <v>0.128426100970719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1.32981275497489</v>
      </c>
      <c r="AO699" s="6" t="n">
        <v>1.3406137413914</v>
      </c>
      <c r="AP699" s="6" t="n">
        <v>0.134585730355829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1.35131669323524</v>
      </c>
      <c r="AO700" s="6" t="n">
        <v>1.35131669323524</v>
      </c>
      <c r="AP700" s="6" t="n">
        <v>0.135837406175702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1.31487467515713</v>
      </c>
      <c r="AO701" s="6" t="n">
        <v>1.32276008442941</v>
      </c>
      <c r="AP701" s="6" t="n">
        <v>0.129553248083482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1.35324964362551</v>
      </c>
      <c r="AO702" s="6" t="n">
        <v>1.35364094671311</v>
      </c>
      <c r="AP702" s="6" t="n">
        <v>0.134950551966941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1.33666109176552</v>
      </c>
      <c r="AO703" s="6" t="n">
        <v>1.3401437547793</v>
      </c>
      <c r="AP703" s="6" t="n">
        <v>0.131271005718889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1.31699265001983</v>
      </c>
      <c r="AO704" s="6" t="n">
        <v>1.32448782349907</v>
      </c>
      <c r="AP704" s="6" t="n">
        <v>0.132499252381146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1.35354892371109</v>
      </c>
      <c r="AO705" s="6" t="n">
        <v>1.35363307270903</v>
      </c>
      <c r="AP705" s="6" t="n">
        <v>0.134732527139338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1.32826948843925</v>
      </c>
      <c r="AO706" s="6" t="n">
        <v>1.32879850102252</v>
      </c>
      <c r="AP706" s="6" t="n">
        <v>0.128821600071548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1.34540227415788</v>
      </c>
      <c r="AO707" s="6" t="n">
        <v>1.34585905554209</v>
      </c>
      <c r="AP707" s="6" t="n">
        <v>0.132029608715861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1.34131712335908</v>
      </c>
      <c r="AO708" s="6" t="n">
        <v>1.3415367521657</v>
      </c>
      <c r="AP708" s="6" t="n">
        <v>0.131517440797622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1.33397893584815</v>
      </c>
      <c r="AO709" s="6" t="n">
        <v>1.33397893584815</v>
      </c>
      <c r="AP709" s="6" t="n">
        <v>0.13239555729128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1.33485429921454</v>
      </c>
      <c r="AO710" s="6" t="n">
        <v>1.33508048600518</v>
      </c>
      <c r="AP710" s="6" t="n">
        <v>0.130550482090149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1.33448392369469</v>
      </c>
      <c r="AO711" s="6" t="n">
        <v>1.33534798096233</v>
      </c>
      <c r="AP711" s="6" t="n">
        <v>0.130568778085625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1.33503187006327</v>
      </c>
      <c r="AO712" s="6" t="n">
        <v>1.33531522854455</v>
      </c>
      <c r="AP712" s="6" t="n">
        <v>0.129634206815259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1.33878997589849</v>
      </c>
      <c r="AO713" s="6" t="n">
        <v>1.33995635205289</v>
      </c>
      <c r="AP713" s="6" t="n">
        <v>0.130861374533185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1.34432256016151</v>
      </c>
      <c r="AO714" s="6" t="n">
        <v>1.34454456255926</v>
      </c>
      <c r="AP714" s="6" t="n">
        <v>0.131648879184603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1.35033614843217</v>
      </c>
      <c r="AO715" s="6" t="n">
        <v>1.35069686888231</v>
      </c>
      <c r="AP715" s="6" t="n">
        <v>0.133361526927571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1.31803490018159</v>
      </c>
      <c r="AO716" s="6" t="n">
        <v>1.31900036000075</v>
      </c>
      <c r="AP716" s="6" t="n">
        <v>0.127923625519738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1.33856599812892</v>
      </c>
      <c r="AO717" s="6" t="n">
        <v>1.33886054929333</v>
      </c>
      <c r="AP717" s="6" t="n">
        <v>0.130438831462177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1.32774002154937</v>
      </c>
      <c r="AO718" s="6" t="n">
        <v>1.32786212976106</v>
      </c>
      <c r="AP718" s="6" t="n">
        <v>0.129352951370852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1.32856231360508</v>
      </c>
      <c r="AO719" s="6" t="n">
        <v>1.33051489369069</v>
      </c>
      <c r="AP719" s="6" t="n">
        <v>0.133397092649094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1.32808778300905</v>
      </c>
      <c r="AO720" s="6" t="n">
        <v>1.33042560303632</v>
      </c>
      <c r="AP720" s="6" t="n">
        <v>0.129086129571663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1.29806049235414</v>
      </c>
      <c r="AO721" s="6" t="n">
        <v>1.29806049235414</v>
      </c>
      <c r="AP721" s="6" t="n">
        <v>0.13181536882127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1.35771875734661</v>
      </c>
      <c r="AO722" s="6" t="n">
        <v>1.35771875734661</v>
      </c>
      <c r="AP722" s="6" t="n">
        <v>0.137046818989153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1.33432687788129</v>
      </c>
      <c r="AO723" s="6" t="n">
        <v>1.33479726287423</v>
      </c>
      <c r="AP723" s="6" t="n">
        <v>0.129794528790993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1.34558363656798</v>
      </c>
      <c r="AO724" s="6" t="n">
        <v>1.34616021288645</v>
      </c>
      <c r="AP724" s="6" t="n">
        <v>0.131206610653278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1.325331002714</v>
      </c>
      <c r="AO725" s="6" t="n">
        <v>1.33846643276501</v>
      </c>
      <c r="AP725" s="6" t="n">
        <v>0.134640744850525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1.32151812761886</v>
      </c>
      <c r="AO726" s="6" t="n">
        <v>1.32242790789661</v>
      </c>
      <c r="AP726" s="6" t="n">
        <v>0.126950064043191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1.35371655269429</v>
      </c>
      <c r="AO727" s="6" t="n">
        <v>1.35371655269429</v>
      </c>
      <c r="AP727" s="6" t="n">
        <v>0.136464727435436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1.35117583146605</v>
      </c>
      <c r="AO728" s="6" t="n">
        <v>1.35117583146605</v>
      </c>
      <c r="AP728" s="6" t="n">
        <v>0.136165961350324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1.344101460374</v>
      </c>
      <c r="AO729" s="6" t="n">
        <v>1.34414200218652</v>
      </c>
      <c r="AP729" s="6" t="n">
        <v>0.131758561979145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1.34294228831547</v>
      </c>
      <c r="AO730" s="6" t="n">
        <v>1.34411815435535</v>
      </c>
      <c r="AP730" s="6" t="n">
        <v>0.132239961512716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1.32895537669088</v>
      </c>
      <c r="AO731" s="6" t="n">
        <v>1.33833157117778</v>
      </c>
      <c r="AP731" s="6" t="n">
        <v>0.134300895616097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1.34820489456996</v>
      </c>
      <c r="AO732" s="6" t="n">
        <v>1.34853173850318</v>
      </c>
      <c r="AP732" s="6" t="n">
        <v>0.133242686348391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1.34808999876144</v>
      </c>
      <c r="AO733" s="6" t="n">
        <v>1.3494275195398</v>
      </c>
      <c r="AP733" s="6" t="n">
        <v>0.132509046187465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1.35195890513669</v>
      </c>
      <c r="AO734" s="6" t="n">
        <v>1.35195890513669</v>
      </c>
      <c r="AP734" s="6" t="n">
        <v>0.13524630589889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1.3510189345105</v>
      </c>
      <c r="AO735" s="6" t="n">
        <v>1.3510189345105</v>
      </c>
      <c r="AP735" s="6" t="n">
        <v>0.134384247772457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1.35711122417487</v>
      </c>
      <c r="AO736" s="6" t="n">
        <v>1.35711122417487</v>
      </c>
      <c r="AP736" s="6" t="n">
        <v>0.138482245323164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1.32779185643907</v>
      </c>
      <c r="AO737" s="6" t="n">
        <v>1.33565840023607</v>
      </c>
      <c r="AP737" s="6" t="n">
        <v>0.133240775736435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1.35863408279587</v>
      </c>
      <c r="AO738" s="6" t="n">
        <v>1.35863408279587</v>
      </c>
      <c r="AP738" s="6" t="n">
        <v>0.140553913904257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1.35330223639156</v>
      </c>
      <c r="AO739" s="6" t="n">
        <v>1.35473765991042</v>
      </c>
      <c r="AP739" s="6" t="n">
        <v>0.135707980809503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1.33887756946268</v>
      </c>
      <c r="AO740" s="6" t="n">
        <v>1.33938031049619</v>
      </c>
      <c r="AP740" s="6" t="n">
        <v>0.130614979206381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1.34084826824807</v>
      </c>
      <c r="AO741" s="6" t="n">
        <v>1.34133571883356</v>
      </c>
      <c r="AP741" s="6" t="n">
        <v>0.130362010238355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1.33948739582637</v>
      </c>
      <c r="AO742" s="6" t="n">
        <v>1.33954232099629</v>
      </c>
      <c r="AP742" s="6" t="n">
        <v>0.130739766834704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1.35242483710978</v>
      </c>
      <c r="AO743" s="6" t="n">
        <v>1.35317541357033</v>
      </c>
      <c r="AP743" s="6" t="n">
        <v>0.133917140101082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1.34333529590503</v>
      </c>
      <c r="AO744" s="6" t="n">
        <v>1.34358739051751</v>
      </c>
      <c r="AP744" s="6" t="n">
        <v>0.131557513781798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1.33639330433019</v>
      </c>
      <c r="AO745" s="6" t="n">
        <v>1.34033705908906</v>
      </c>
      <c r="AP745" s="6" t="n">
        <v>0.131869774331575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1.33104198172534</v>
      </c>
      <c r="AO746" s="6" t="n">
        <v>1.33212364838977</v>
      </c>
      <c r="AP746" s="6" t="n">
        <v>0.129505796677397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1.3431533678608</v>
      </c>
      <c r="AO747" s="6" t="n">
        <v>1.34343311191373</v>
      </c>
      <c r="AP747" s="6" t="n">
        <v>0.131437987962952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1.34106206197037</v>
      </c>
      <c r="AO748" s="6" t="n">
        <v>1.34160159753935</v>
      </c>
      <c r="AP748" s="6" t="n">
        <v>0.131585940511994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1.34292221362934</v>
      </c>
      <c r="AO749" s="6" t="n">
        <v>1.3440499984666</v>
      </c>
      <c r="AP749" s="6" t="n">
        <v>0.132266325695429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1.34721336050739</v>
      </c>
      <c r="AO750" s="6" t="n">
        <v>1.34763832567189</v>
      </c>
      <c r="AP750" s="6" t="n">
        <v>0.132443394902863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1.34948283153918</v>
      </c>
      <c r="AO751" s="6" t="n">
        <v>1.34948283153918</v>
      </c>
      <c r="AP751" s="6" t="n">
        <v>0.136440839930477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1.33976305277596</v>
      </c>
      <c r="AO752" s="6" t="n">
        <v>1.34055727361442</v>
      </c>
      <c r="AP752" s="6" t="n">
        <v>0.130270364282146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1.35242631178646</v>
      </c>
      <c r="AO753" s="6" t="n">
        <v>1.35341831774012</v>
      </c>
      <c r="AP753" s="6" t="n">
        <v>0.133258357091498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1.32770073035394</v>
      </c>
      <c r="AO754" s="6" t="n">
        <v>1.32925831425865</v>
      </c>
      <c r="AP754" s="6" t="n">
        <v>0.128347136158046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1.35846799626013</v>
      </c>
      <c r="AO755" s="6" t="n">
        <v>1.35846799626013</v>
      </c>
      <c r="AP755" s="6" t="n">
        <v>0.143084595551007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1.35226733732236</v>
      </c>
      <c r="AO756" s="6" t="n">
        <v>1.35226733732236</v>
      </c>
      <c r="AP756" s="6" t="n">
        <v>0.137473194189019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1.31101887758255</v>
      </c>
      <c r="AO757" s="6" t="n">
        <v>1.31551160915073</v>
      </c>
      <c r="AP757" s="6" t="n">
        <v>0.128570203116349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1.35491837268909</v>
      </c>
      <c r="AO758" s="6" t="n">
        <v>1.35666652620183</v>
      </c>
      <c r="AP758" s="6" t="n">
        <v>0.138286154994492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1.34601184629869</v>
      </c>
      <c r="AO759" s="6" t="n">
        <v>1.3465055580395</v>
      </c>
      <c r="AP759" s="6" t="n">
        <v>0.132793394426521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1.3445517756447</v>
      </c>
      <c r="AO760" s="6" t="n">
        <v>1.34554810413608</v>
      </c>
      <c r="AP760" s="6" t="n">
        <v>0.132693316765373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1.3422722988789</v>
      </c>
      <c r="AO761" s="6" t="n">
        <v>1.34730831251408</v>
      </c>
      <c r="AP761" s="6" t="n">
        <v>0.134236000138599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1.33161800967303</v>
      </c>
      <c r="AO762" s="6" t="n">
        <v>1.33551212423983</v>
      </c>
      <c r="AP762" s="6" t="n">
        <v>0.131411035750135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1.31912092882692</v>
      </c>
      <c r="AO763" s="6" t="n">
        <v>1.32953683727534</v>
      </c>
      <c r="AP763" s="6" t="n">
        <v>0.134532655877398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1.30060883216472</v>
      </c>
      <c r="AO764" s="6" t="n">
        <v>1.30390613386891</v>
      </c>
      <c r="AP764" s="6" t="n">
        <v>0.128548299682635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1.31563043176247</v>
      </c>
      <c r="AO765" s="6" t="n">
        <v>1.32335470289771</v>
      </c>
      <c r="AP765" s="6" t="n">
        <v>0.12920222398312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1.3416695530838</v>
      </c>
      <c r="AO766" s="6" t="n">
        <v>1.34188675039426</v>
      </c>
      <c r="AP766" s="6" t="n">
        <v>0.131260733699576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1.34988876419512</v>
      </c>
      <c r="AO767" s="6" t="n">
        <v>1.34988876419512</v>
      </c>
      <c r="AP767" s="6" t="n">
        <v>0.135031035998686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1.34328337170501</v>
      </c>
      <c r="AO768" s="6" t="n">
        <v>1.34335495708986</v>
      </c>
      <c r="AP768" s="6" t="n">
        <v>0.131349526474472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1.33157338079736</v>
      </c>
      <c r="AO769" s="6" t="n">
        <v>1.33580375164928</v>
      </c>
      <c r="AP769" s="6" t="n">
        <v>0.131519474505381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1.34936456884439</v>
      </c>
      <c r="AO770" s="6" t="n">
        <v>1.34975040984958</v>
      </c>
      <c r="AP770" s="6" t="n">
        <v>0.133553502510675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1.34427624792973</v>
      </c>
      <c r="AO771" s="6" t="n">
        <v>1.34470525925304</v>
      </c>
      <c r="AP771" s="6" t="n">
        <v>0.13174525685809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1.34492615514887</v>
      </c>
      <c r="AO772" s="6" t="n">
        <v>1.34524823644258</v>
      </c>
      <c r="AP772" s="6" t="n">
        <v>0.132065675747232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1.34601989852264</v>
      </c>
      <c r="AO773" s="6" t="n">
        <v>1.34644683064298</v>
      </c>
      <c r="AP773" s="6" t="n">
        <v>0.13173542159702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1.35680754801</v>
      </c>
      <c r="AO774" s="6" t="n">
        <v>1.35733336713921</v>
      </c>
      <c r="AP774" s="6" t="n">
        <v>0.135703113427658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1.33714921980643</v>
      </c>
      <c r="AO775" s="6" t="n">
        <v>1.33831650883501</v>
      </c>
      <c r="AP775" s="6" t="n">
        <v>0.130858087617044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1.35642136136556</v>
      </c>
      <c r="AO776" s="6" t="n">
        <v>1.35731874113376</v>
      </c>
      <c r="AP776" s="6" t="n">
        <v>0.135564142520161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1.34118826328176</v>
      </c>
      <c r="AO777" s="6" t="n">
        <v>1.34292314506189</v>
      </c>
      <c r="AP777" s="6" t="n">
        <v>0.131439000123616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1.33184589487005</v>
      </c>
      <c r="AO778" s="6" t="n">
        <v>1.33222033035738</v>
      </c>
      <c r="AP778" s="6" t="n">
        <v>0.129881308530981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1.35088980625372</v>
      </c>
      <c r="AO779" s="6" t="n">
        <v>1.35088980625372</v>
      </c>
      <c r="AP779" s="6" t="n">
        <v>0.135087863054085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1.33472980710816</v>
      </c>
      <c r="AO780" s="6" t="n">
        <v>1.33477718054963</v>
      </c>
      <c r="AP780" s="6" t="n">
        <v>0.130736547872891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1.29497905472462</v>
      </c>
      <c r="AO781" s="6" t="n">
        <v>1.30157659395666</v>
      </c>
      <c r="AP781" s="6" t="n">
        <v>0.126981304174517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1.31190787060172</v>
      </c>
      <c r="AO782" s="6" t="n">
        <v>1.32282491405123</v>
      </c>
      <c r="AP782" s="6" t="n">
        <v>0.130609003556275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1.33711370712773</v>
      </c>
      <c r="AO783" s="6" t="n">
        <v>1.33717084322448</v>
      </c>
      <c r="AP783" s="6" t="n">
        <v>0.130620781273234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1.30528505549341</v>
      </c>
      <c r="AO784" s="6" t="n">
        <v>1.30900039740807</v>
      </c>
      <c r="AP784" s="6" t="n">
        <v>0.130938362788976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1.33282762065988</v>
      </c>
      <c r="AO785" s="6" t="n">
        <v>1.33592405656147</v>
      </c>
      <c r="AP785" s="6" t="n">
        <v>0.130636463745825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1.32818832526572</v>
      </c>
      <c r="AO786" s="6" t="n">
        <v>1.32838443739092</v>
      </c>
      <c r="AP786" s="6" t="n">
        <v>0.129282036249462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1.32367244787136</v>
      </c>
      <c r="AO787" s="6" t="n">
        <v>1.32423589832166</v>
      </c>
      <c r="AP787" s="6" t="n">
        <v>0.127854394723675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1.35604764632707</v>
      </c>
      <c r="AO788" s="6" t="n">
        <v>1.35604764632707</v>
      </c>
      <c r="AP788" s="6" t="n">
        <v>0.137872261005756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1.34440106500143</v>
      </c>
      <c r="AO789" s="6" t="n">
        <v>1.34440106500143</v>
      </c>
      <c r="AP789" s="6" t="n">
        <v>0.133008915327285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1.30784578487911</v>
      </c>
      <c r="AO790" s="6" t="n">
        <v>1.3195584328439</v>
      </c>
      <c r="AP790" s="6" t="n">
        <v>0.130009082405411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1.33033316640138</v>
      </c>
      <c r="AO791" s="6" t="n">
        <v>1.33171557792767</v>
      </c>
      <c r="AP791" s="6" t="n">
        <v>0.12964729232763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1.3470324215889</v>
      </c>
      <c r="AO792" s="6" t="n">
        <v>1.34713892136168</v>
      </c>
      <c r="AP792" s="6" t="n">
        <v>0.131975730381278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1.33659053476428</v>
      </c>
      <c r="AO793" s="6" t="n">
        <v>1.33897346814409</v>
      </c>
      <c r="AP793" s="6" t="n">
        <v>0.130869155939684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1.33746094036013</v>
      </c>
      <c r="AO794" s="6" t="n">
        <v>1.34054255212134</v>
      </c>
      <c r="AP794" s="6" t="n">
        <v>0.13149203198702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1.34189151856579</v>
      </c>
      <c r="AO795" s="6" t="n">
        <v>1.34270112497229</v>
      </c>
      <c r="AP795" s="6" t="n">
        <v>0.131560754858781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1.34438906238834</v>
      </c>
      <c r="AO796" s="6" t="n">
        <v>1.34438906238834</v>
      </c>
      <c r="AP796" s="6" t="n">
        <v>0.134386805459988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1.35362857550596</v>
      </c>
      <c r="AO797" s="6" t="n">
        <v>1.35362857550596</v>
      </c>
      <c r="AP797" s="6" t="n">
        <v>0.13631030379028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1.3247358575232</v>
      </c>
      <c r="AO798" s="6" t="n">
        <v>1.32761854186443</v>
      </c>
      <c r="AP798" s="6" t="n">
        <v>0.130901644283335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1.33581227579518</v>
      </c>
      <c r="AO799" s="6" t="n">
        <v>1.33616088610694</v>
      </c>
      <c r="AP799" s="6" t="n">
        <v>0.13109475984816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1.34815584741347</v>
      </c>
      <c r="AO800" s="6" t="n">
        <v>1.35169424064614</v>
      </c>
      <c r="AP800" s="6" t="n">
        <v>0.135355337219674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1.33761747155999</v>
      </c>
      <c r="AO801" s="6" t="n">
        <v>1.33799240191072</v>
      </c>
      <c r="AP801" s="6" t="n">
        <v>0.130416771716252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1.33901755778722</v>
      </c>
      <c r="AO802" s="6" t="n">
        <v>1.34254442952664</v>
      </c>
      <c r="AP802" s="6" t="n">
        <v>0.132803272116754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1.3401638248379</v>
      </c>
      <c r="AO803" s="6" t="n">
        <v>1.34924964757632</v>
      </c>
      <c r="AP803" s="6" t="n">
        <v>0.136895892152443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1.33107103081104</v>
      </c>
      <c r="AO804" s="6" t="n">
        <v>1.33762656448305</v>
      </c>
      <c r="AP804" s="6" t="n">
        <v>0.133842884529305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1.33503172052204</v>
      </c>
      <c r="AO805" s="6" t="n">
        <v>1.33622727398182</v>
      </c>
      <c r="AP805" s="6" t="n">
        <v>0.129724054899509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1.34239547505937</v>
      </c>
      <c r="AO806" s="6" t="n">
        <v>1.34270806166436</v>
      </c>
      <c r="AP806" s="6" t="n">
        <v>0.130988062995036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1.33233908790728</v>
      </c>
      <c r="AO807" s="6" t="n">
        <v>1.34013375113501</v>
      </c>
      <c r="AP807" s="6" t="n">
        <v>0.135260265082764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1.34848398681945</v>
      </c>
      <c r="AO808" s="6" t="n">
        <v>1.34848398681945</v>
      </c>
      <c r="AP808" s="6" t="n">
        <v>0.133918725724762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1.34712661791371</v>
      </c>
      <c r="AO809" s="6" t="n">
        <v>1.34915377812541</v>
      </c>
      <c r="AP809" s="6" t="n">
        <v>0.133745495473466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1.33400026193086</v>
      </c>
      <c r="AO810" s="6" t="n">
        <v>1.33459181277113</v>
      </c>
      <c r="AP810" s="6" t="n">
        <v>0.129134746235493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1.34020782334234</v>
      </c>
      <c r="AO811" s="6" t="n">
        <v>1.34952630158021</v>
      </c>
      <c r="AP811" s="6" t="n">
        <v>0.137131638989211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1.32741758679239</v>
      </c>
      <c r="AO812" s="6" t="n">
        <v>1.32757573204455</v>
      </c>
      <c r="AP812" s="6" t="n">
        <v>0.12925774853909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1.30588137636466</v>
      </c>
      <c r="AO813" s="6" t="n">
        <v>1.31626399550752</v>
      </c>
      <c r="AP813" s="6" t="n">
        <v>0.128382872840575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1.31003728802605</v>
      </c>
      <c r="AO814" s="6" t="n">
        <v>1.31841850399592</v>
      </c>
      <c r="AP814" s="6" t="n">
        <v>0.129513283325369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1.33605189815862</v>
      </c>
      <c r="AO815" s="6" t="n">
        <v>1.33622224654481</v>
      </c>
      <c r="AP815" s="6" t="n">
        <v>0.130386987854775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1.34454279293647</v>
      </c>
      <c r="AO816" s="6" t="n">
        <v>1.34528354480142</v>
      </c>
      <c r="AP816" s="6" t="n">
        <v>0.131490834419299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1.35047576910709</v>
      </c>
      <c r="AO817" s="6" t="n">
        <v>1.35087469016138</v>
      </c>
      <c r="AP817" s="6" t="n">
        <v>0.132953054762461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1.33512247875834</v>
      </c>
      <c r="AO818" s="6" t="n">
        <v>1.34379465204313</v>
      </c>
      <c r="AP818" s="6" t="n">
        <v>0.134861249587544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1.33101494548204</v>
      </c>
      <c r="AO819" s="6" t="n">
        <v>1.33922135424825</v>
      </c>
      <c r="AP819" s="6" t="n">
        <v>0.133959245867559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1.35377549610276</v>
      </c>
      <c r="AO820" s="6" t="n">
        <v>1.35408285383625</v>
      </c>
      <c r="AP820" s="6" t="n">
        <v>0.135887872998269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1.32057050491362</v>
      </c>
      <c r="AO821" s="6" t="n">
        <v>1.32075994286255</v>
      </c>
      <c r="AP821" s="6" t="n">
        <v>0.128025415379374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1.3502433165435</v>
      </c>
      <c r="AO822" s="6" t="n">
        <v>1.35117653658362</v>
      </c>
      <c r="AP822" s="6" t="n">
        <v>0.134206646473528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1.34717673877861</v>
      </c>
      <c r="AO823" s="6" t="n">
        <v>1.35170605257187</v>
      </c>
      <c r="AP823" s="6" t="n">
        <v>0.138869921023912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1.3316578136027</v>
      </c>
      <c r="AO824" s="6" t="n">
        <v>1.3321038784147</v>
      </c>
      <c r="AP824" s="6" t="n">
        <v>0.129074310022268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1.3110997937401</v>
      </c>
      <c r="AO825" s="6" t="n">
        <v>1.32127613575213</v>
      </c>
      <c r="AP825" s="6" t="n">
        <v>0.130689816784751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1.33528872648168</v>
      </c>
      <c r="AO826" s="6" t="n">
        <v>1.34452093001481</v>
      </c>
      <c r="AP826" s="6" t="n">
        <v>0.136597211176763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1.33156805854104</v>
      </c>
      <c r="AO827" s="6" t="n">
        <v>1.33559514471413</v>
      </c>
      <c r="AP827" s="6" t="n">
        <v>0.130717523754255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1.35793437929264</v>
      </c>
      <c r="AO828" s="6" t="n">
        <v>1.35793437929264</v>
      </c>
      <c r="AP828" s="6" t="n">
        <v>0.138233679407054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1.35107316035984</v>
      </c>
      <c r="AO829" s="6" t="n">
        <v>1.35151735854722</v>
      </c>
      <c r="AP829" s="6" t="n">
        <v>0.133112866365133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1.31473588712807</v>
      </c>
      <c r="AO830" s="6" t="n">
        <v>1.32245222860727</v>
      </c>
      <c r="AP830" s="6" t="n">
        <v>0.129005298763338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1.34711780474978</v>
      </c>
      <c r="AO831" s="6" t="n">
        <v>1.34748513775965</v>
      </c>
      <c r="AP831" s="6" t="n">
        <v>0.133074702448068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1.34900962916903</v>
      </c>
      <c r="AO832" s="6" t="n">
        <v>1.3501183884849</v>
      </c>
      <c r="AP832" s="6" t="n">
        <v>0.133426037752546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1.34863496247357</v>
      </c>
      <c r="AO833" s="6" t="n">
        <v>1.3494111702987</v>
      </c>
      <c r="AP833" s="6" t="n">
        <v>0.133019593592108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1.33640362115409</v>
      </c>
      <c r="AO834" s="6" t="n">
        <v>1.33646997154697</v>
      </c>
      <c r="AP834" s="6" t="n">
        <v>0.130530339602322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1.34366548878134</v>
      </c>
      <c r="AO835" s="6" t="n">
        <v>1.34403509290909</v>
      </c>
      <c r="AP835" s="6" t="n">
        <v>0.131591940793612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1.34542653298417</v>
      </c>
      <c r="AO836" s="6" t="n">
        <v>1.34570871286486</v>
      </c>
      <c r="AP836" s="6" t="n">
        <v>0.131830578248161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1.33119579930876</v>
      </c>
      <c r="AO837" s="6" t="n">
        <v>1.33147900337343</v>
      </c>
      <c r="AP837" s="6" t="n">
        <v>0.129250727950442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1.33997376221615</v>
      </c>
      <c r="AO838" s="6" t="n">
        <v>1.34096429732073</v>
      </c>
      <c r="AP838" s="6" t="n">
        <v>0.131096938328998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1.35272745363619</v>
      </c>
      <c r="AO839" s="6" t="n">
        <v>1.35272745363619</v>
      </c>
      <c r="AP839" s="6" t="n">
        <v>0.136168065735137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1.35682936871909</v>
      </c>
      <c r="AO840" s="6" t="n">
        <v>1.35734670476528</v>
      </c>
      <c r="AP840" s="6" t="n">
        <v>0.135978693487744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1.33924583397661</v>
      </c>
      <c r="AO841" s="6" t="n">
        <v>1.3443133997975</v>
      </c>
      <c r="AP841" s="6" t="n">
        <v>0.133448867075911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1.34519259177428</v>
      </c>
      <c r="AO842" s="6" t="n">
        <v>1.34764426731753</v>
      </c>
      <c r="AP842" s="6" t="n">
        <v>0.132810027699682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1.3182767429888</v>
      </c>
      <c r="AO843" s="6" t="n">
        <v>1.32031172025355</v>
      </c>
      <c r="AP843" s="6" t="n">
        <v>0.128051715993612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1.34828696122472</v>
      </c>
      <c r="AO844" s="6" t="n">
        <v>1.34917323421873</v>
      </c>
      <c r="AP844" s="6" t="n">
        <v>0.132691930300778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1.34749002749582</v>
      </c>
      <c r="AO845" s="6" t="n">
        <v>1.35058595522401</v>
      </c>
      <c r="AP845" s="6" t="n">
        <v>0.136551835091761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1.32654810405621</v>
      </c>
      <c r="AO846" s="6" t="n">
        <v>1.32681077416337</v>
      </c>
      <c r="AP846" s="6" t="n">
        <v>0.128382957318815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1.33384161124223</v>
      </c>
      <c r="AO847" s="6" t="n">
        <v>1.33418918317785</v>
      </c>
      <c r="AP847" s="6" t="n">
        <v>0.129833093475541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1.34362611658253</v>
      </c>
      <c r="AO848" s="6" t="n">
        <v>1.34585216751803</v>
      </c>
      <c r="AP848" s="6" t="n">
        <v>0.131360003885735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1.34887828198339</v>
      </c>
      <c r="AO849" s="6" t="n">
        <v>1.34887828198339</v>
      </c>
      <c r="AP849" s="6" t="n">
        <v>0.137785970760575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1.35082744259996</v>
      </c>
      <c r="AO850" s="6" t="n">
        <v>1.35148978546031</v>
      </c>
      <c r="AP850" s="6" t="n">
        <v>0.134503372854982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1.3375674343867</v>
      </c>
      <c r="AO851" s="6" t="n">
        <v>1.33789243344497</v>
      </c>
      <c r="AP851" s="6" t="n">
        <v>0.130710829470714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1.35001388477363</v>
      </c>
      <c r="AO852" s="6" t="n">
        <v>1.35001388477363</v>
      </c>
      <c r="AP852" s="6" t="n">
        <v>0.134508566122007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1.34511106080554</v>
      </c>
      <c r="AO853" s="6" t="n">
        <v>1.34521321377303</v>
      </c>
      <c r="AP853" s="6" t="n">
        <v>0.132535968944258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1.33174334705463</v>
      </c>
      <c r="AO854" s="6" t="n">
        <v>1.33629378643349</v>
      </c>
      <c r="AP854" s="6" t="n">
        <v>0.132464304253156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1.33186648630042</v>
      </c>
      <c r="AO855" s="6" t="n">
        <v>1.34419754195054</v>
      </c>
      <c r="AP855" s="6" t="n">
        <v>0.1391600687733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1.32107906869865</v>
      </c>
      <c r="AO856" s="6" t="n">
        <v>1.32651232196348</v>
      </c>
      <c r="AP856" s="6" t="n">
        <v>0.131921921553878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1.28828946790789</v>
      </c>
      <c r="AO857" s="6" t="n">
        <v>1.30118207591171</v>
      </c>
      <c r="AP857" s="6" t="n">
        <v>0.129707899719848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1.35648253434489</v>
      </c>
      <c r="AO858" s="6" t="n">
        <v>1.35648253434489</v>
      </c>
      <c r="AP858" s="6" t="n">
        <v>0.138452059295131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1.33615822564752</v>
      </c>
      <c r="AO859" s="6" t="n">
        <v>1.33628217735313</v>
      </c>
      <c r="AP859" s="6" t="n">
        <v>0.130483427493618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1.36118243639097</v>
      </c>
      <c r="AO860" s="6" t="n">
        <v>1.36257355334222</v>
      </c>
      <c r="AP860" s="6" t="n">
        <v>0.136663083152415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1.32487503808177</v>
      </c>
      <c r="AO861" s="6" t="n">
        <v>1.33102146796484</v>
      </c>
      <c r="AP861" s="6" t="n">
        <v>0.131228308222947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1.32349221396769</v>
      </c>
      <c r="AO862" s="6" t="n">
        <v>1.33311397405404</v>
      </c>
      <c r="AP862" s="6" t="n">
        <v>0.132767673341924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1.34715222657065</v>
      </c>
      <c r="AO863" s="6" t="n">
        <v>1.34718346330183</v>
      </c>
      <c r="AP863" s="6" t="n">
        <v>0.131957698677176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1.29607329422997</v>
      </c>
      <c r="AO864" s="6" t="n">
        <v>1.30810228534378</v>
      </c>
      <c r="AP864" s="6" t="n">
        <v>0.131446230814607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1.31090555757594</v>
      </c>
      <c r="AO865" s="6" t="n">
        <v>1.31743652920459</v>
      </c>
      <c r="AP865" s="6" t="n">
        <v>0.13090590873939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1.35103635839234</v>
      </c>
      <c r="AO866" s="6" t="n">
        <v>1.35103635839234</v>
      </c>
      <c r="AP866" s="6" t="n">
        <v>0.137919133116604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1.32634022539387</v>
      </c>
      <c r="AO867" s="6" t="n">
        <v>1.32669763038651</v>
      </c>
      <c r="AP867" s="6" t="n">
        <v>0.128651294796563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1.32413946307163</v>
      </c>
      <c r="AO868" s="6" t="n">
        <v>1.32623336270549</v>
      </c>
      <c r="AP868" s="6" t="n">
        <v>0.128112383646177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1.35814725008432</v>
      </c>
      <c r="AO869" s="6" t="n">
        <v>1.35814725008432</v>
      </c>
      <c r="AP869" s="6" t="n">
        <v>0.137340341714436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1.35063054542058</v>
      </c>
      <c r="AO870" s="6" t="n">
        <v>1.35063054542058</v>
      </c>
      <c r="AP870" s="6" t="n">
        <v>0.134762352563073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1.33440701041464</v>
      </c>
      <c r="AO871" s="6" t="n">
        <v>1.33444056191182</v>
      </c>
      <c r="AP871" s="6" t="n">
        <v>0.130127689678597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1.34668385731775</v>
      </c>
      <c r="AO872" s="6" t="n">
        <v>1.34718142827575</v>
      </c>
      <c r="AP872" s="6" t="n">
        <v>0.132521385910733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1.30666897675539</v>
      </c>
      <c r="AO873" s="6" t="n">
        <v>1.31600475321763</v>
      </c>
      <c r="AP873" s="6" t="n">
        <v>0.129216275804923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1.35215888462839</v>
      </c>
      <c r="AO874" s="6" t="n">
        <v>1.35242866234181</v>
      </c>
      <c r="AP874" s="6" t="n">
        <v>0.134537236629471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1.35137812175247</v>
      </c>
      <c r="AO875" s="6" t="n">
        <v>1.35137812175247</v>
      </c>
      <c r="AP875" s="6" t="n">
        <v>0.137200321736829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1.33288743501175</v>
      </c>
      <c r="AO876" s="6" t="n">
        <v>1.33393733101081</v>
      </c>
      <c r="AP876" s="6" t="n">
        <v>0.130317911339513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1.35311430938742</v>
      </c>
      <c r="AO877" s="6" t="n">
        <v>1.35311430938742</v>
      </c>
      <c r="AP877" s="6" t="n">
        <v>0.13541434081312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1.33251301527392</v>
      </c>
      <c r="AO878" s="6" t="n">
        <v>1.34044344154622</v>
      </c>
      <c r="AP878" s="6" t="n">
        <v>0.133822011959598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1.32187230689147</v>
      </c>
      <c r="AO879" s="6" t="n">
        <v>1.32422111233041</v>
      </c>
      <c r="AP879" s="6" t="n">
        <v>0.128418050794956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1.34483166912412</v>
      </c>
      <c r="AO880" s="6" t="n">
        <v>1.34492253916802</v>
      </c>
      <c r="AP880" s="6" t="n">
        <v>0.131436195063309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1.29806496686317</v>
      </c>
      <c r="AO881" s="6" t="n">
        <v>1.30123448829674</v>
      </c>
      <c r="AP881" s="6" t="n">
        <v>0.125860821983733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1.31424868109405</v>
      </c>
      <c r="AO882" s="6" t="n">
        <v>1.3221649979966</v>
      </c>
      <c r="AP882" s="6" t="n">
        <v>0.129050605598239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1.30779973664648</v>
      </c>
      <c r="AO883" s="6" t="n">
        <v>1.30969740920705</v>
      </c>
      <c r="AP883" s="6" t="n">
        <v>0.128810629169598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1.35654333718682</v>
      </c>
      <c r="AO884" s="6" t="n">
        <v>1.3574163964389</v>
      </c>
      <c r="AP884" s="6" t="n">
        <v>0.135804205055966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1.33133495314558</v>
      </c>
      <c r="AO885" s="6" t="n">
        <v>1.33190928098302</v>
      </c>
      <c r="AP885" s="6" t="n">
        <v>0.129697698306125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1.34783875958967</v>
      </c>
      <c r="AO886" s="6" t="n">
        <v>1.34877434072944</v>
      </c>
      <c r="AP886" s="6" t="n">
        <v>0.134144131805329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1.34095263398097</v>
      </c>
      <c r="AO887" s="6" t="n">
        <v>1.34655967955182</v>
      </c>
      <c r="AP887" s="6" t="n">
        <v>0.134146109423245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1.32570871035668</v>
      </c>
      <c r="AO888" s="6" t="n">
        <v>1.32603668453578</v>
      </c>
      <c r="AP888" s="6" t="n">
        <v>0.1289299048092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1.34953029191296</v>
      </c>
      <c r="AO889" s="6" t="n">
        <v>1.34971086472887</v>
      </c>
      <c r="AP889" s="6" t="n">
        <v>0.132582097123928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1.35498922602371</v>
      </c>
      <c r="AO890" s="6" t="n">
        <v>1.35498922602371</v>
      </c>
      <c r="AP890" s="6" t="n">
        <v>0.136893410918172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1.34509702024759</v>
      </c>
      <c r="AO891" s="6" t="n">
        <v>1.35207770632632</v>
      </c>
      <c r="AP891" s="6" t="n">
        <v>0.137473338029935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1.33836856917694</v>
      </c>
      <c r="AO892" s="6" t="n">
        <v>1.33877838370919</v>
      </c>
      <c r="AP892" s="6" t="n">
        <v>0.130737144962045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1.35822268175194</v>
      </c>
      <c r="AO893" s="6" t="n">
        <v>1.35822268175194</v>
      </c>
      <c r="AP893" s="6" t="n">
        <v>0.137279525381611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1.29573268098804</v>
      </c>
      <c r="AO894" s="6" t="n">
        <v>1.30975047208083</v>
      </c>
      <c r="AP894" s="6" t="n">
        <v>0.129131269392471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1.34916261436199</v>
      </c>
      <c r="AO895" s="6" t="n">
        <v>1.34938253350737</v>
      </c>
      <c r="AP895" s="6" t="n">
        <v>0.132938613180306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1.34089829582612</v>
      </c>
      <c r="AO896" s="6" t="n">
        <v>1.34166138903304</v>
      </c>
      <c r="AP896" s="6" t="n">
        <v>0.131827736626424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1.32505990840861</v>
      </c>
      <c r="AO897" s="6" t="n">
        <v>1.33105514440107</v>
      </c>
      <c r="AP897" s="6" t="n">
        <v>0.130585672188677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1.35852803798765</v>
      </c>
      <c r="AO898" s="6" t="n">
        <v>1.35852803798765</v>
      </c>
      <c r="AP898" s="6" t="n">
        <v>0.136734444924887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1.34437901326175</v>
      </c>
      <c r="AO899" s="6" t="n">
        <v>1.34437901326175</v>
      </c>
      <c r="AP899" s="6" t="n">
        <v>0.133217486435808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1.33039522022056</v>
      </c>
      <c r="AO900" s="6" t="n">
        <v>1.3312925572503</v>
      </c>
      <c r="AP900" s="6" t="n">
        <v>0.129617394676436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1.3390731269277</v>
      </c>
      <c r="AO901" s="6" t="n">
        <v>1.33983837446594</v>
      </c>
      <c r="AP901" s="6" t="n">
        <v>0.131072363150252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1.34507865898272</v>
      </c>
      <c r="AO902" s="6" t="n">
        <v>1.34538206747415</v>
      </c>
      <c r="AP902" s="6" t="n">
        <v>0.13306086570132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1.34623322965551</v>
      </c>
      <c r="AO903" s="6" t="n">
        <v>1.34671394681507</v>
      </c>
      <c r="AP903" s="6" t="n">
        <v>0.131927142995587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1.35100822060546</v>
      </c>
      <c r="AO904" s="6" t="n">
        <v>1.35239201942078</v>
      </c>
      <c r="AP904" s="6" t="n">
        <v>0.135136045272339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1.34590609607727</v>
      </c>
      <c r="AO905" s="6" t="n">
        <v>1.34682048581952</v>
      </c>
      <c r="AP905" s="6" t="n">
        <v>0.13284698453935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1.32692664334239</v>
      </c>
      <c r="AO906" s="6" t="n">
        <v>1.32766812648792</v>
      </c>
      <c r="AP906" s="6" t="n">
        <v>0.128320687966293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1.34743036072116</v>
      </c>
      <c r="AO907" s="6" t="n">
        <v>1.34767255680028</v>
      </c>
      <c r="AP907" s="6" t="n">
        <v>0.132838089346955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1.33151673950857</v>
      </c>
      <c r="AO908" s="6" t="n">
        <v>1.33269320978325</v>
      </c>
      <c r="AP908" s="6" t="n">
        <v>0.129589512050786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1.33824765804552</v>
      </c>
      <c r="AO909" s="6" t="n">
        <v>1.33941467852608</v>
      </c>
      <c r="AP909" s="6" t="n">
        <v>0.13125771220283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1.35217582144771</v>
      </c>
      <c r="AO910" s="6" t="n">
        <v>1.35239335737042</v>
      </c>
      <c r="AP910" s="6" t="n">
        <v>0.133379214652028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1.34331938538519</v>
      </c>
      <c r="AO911" s="6" t="n">
        <v>1.3455277938771</v>
      </c>
      <c r="AP911" s="6" t="n">
        <v>0.132354768603877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1.35318757261076</v>
      </c>
      <c r="AO912" s="6" t="n">
        <v>1.35393753692984</v>
      </c>
      <c r="AP912" s="6" t="n">
        <v>0.134351352842613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1.32429724151429</v>
      </c>
      <c r="AO913" s="6" t="n">
        <v>1.32503351703712</v>
      </c>
      <c r="AP913" s="6" t="n">
        <v>0.128064765159811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1.35333612123404</v>
      </c>
      <c r="AO914" s="6" t="n">
        <v>1.35333612123404</v>
      </c>
      <c r="AP914" s="6" t="n">
        <v>0.135111395182883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1.33833412934838</v>
      </c>
      <c r="AO915" s="6" t="n">
        <v>1.33859120552942</v>
      </c>
      <c r="AP915" s="6" t="n">
        <v>0.130798817069842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1.34771379818267</v>
      </c>
      <c r="AO916" s="6" t="n">
        <v>1.34771379818267</v>
      </c>
      <c r="AP916" s="6" t="n">
        <v>0.135144379589166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1.30254263290608</v>
      </c>
      <c r="AO917" s="6" t="n">
        <v>1.30842252191381</v>
      </c>
      <c r="AP917" s="6" t="n">
        <v>0.135526351377944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1.33942291092594</v>
      </c>
      <c r="AO918" s="6" t="n">
        <v>1.34212271196259</v>
      </c>
      <c r="AP918" s="6" t="n">
        <v>0.131925888983278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1.34552924136878</v>
      </c>
      <c r="AO919" s="6" t="n">
        <v>1.34641745927021</v>
      </c>
      <c r="AP919" s="6" t="n">
        <v>0.134436779332721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1.3514551343568</v>
      </c>
      <c r="AO920" s="6" t="n">
        <v>1.35202339943544</v>
      </c>
      <c r="AP920" s="6" t="n">
        <v>0.134807163630238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1.34897909716346</v>
      </c>
      <c r="AO921" s="6" t="n">
        <v>1.34897909716346</v>
      </c>
      <c r="AP921" s="6" t="n">
        <v>0.1366702298632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1.33754231524775</v>
      </c>
      <c r="AO922" s="6" t="n">
        <v>1.33759858580726</v>
      </c>
      <c r="AP922" s="6" t="n">
        <v>0.130520652616381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1.33047533309201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1.32941607346298</v>
      </c>
      <c r="AO924" s="6" t="n">
        <v>1.33092768894465</v>
      </c>
      <c r="AP924" s="6" t="n">
        <v>0.133164566531521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1.34769762139393</v>
      </c>
      <c r="AO925" s="6" t="n">
        <v>1.34778110216733</v>
      </c>
      <c r="AP925" s="6" t="n">
        <v>0.133641313808033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1.34310339975152</v>
      </c>
      <c r="AO926" s="6" t="n">
        <v>1.3489694529651</v>
      </c>
      <c r="AP926" s="6" t="n">
        <v>0.136021757198873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1.34773889739651</v>
      </c>
      <c r="AO927" s="6" t="n">
        <v>1.34798189082106</v>
      </c>
      <c r="AP927" s="6" t="n">
        <v>0.132475400569029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1.35750189707105</v>
      </c>
      <c r="AO928" s="6" t="n">
        <v>1.35750189707105</v>
      </c>
      <c r="AP928" s="6" t="n">
        <v>0.138451758473027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1.35844776583309</v>
      </c>
      <c r="AO929" s="6" t="n">
        <v>1.35894803941001</v>
      </c>
      <c r="AP929" s="6" t="n">
        <v>0.135777934740771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1.32002483189306</v>
      </c>
      <c r="AO930" s="6" t="n">
        <v>1.32126419911851</v>
      </c>
      <c r="AP930" s="6" t="n">
        <v>0.127411667113187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1.34307017415152</v>
      </c>
      <c r="AO931" s="6" t="n">
        <v>1.34350263572176</v>
      </c>
      <c r="AP931" s="6" t="n">
        <v>0.13203609728792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1.35015996297081</v>
      </c>
      <c r="AO932" s="6" t="n">
        <v>1.35050765961116</v>
      </c>
      <c r="AP932" s="6" t="n">
        <v>0.133329294605048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1.34324546976299</v>
      </c>
      <c r="AO933" s="6" t="n">
        <v>1.34384147228992</v>
      </c>
      <c r="AP933" s="6" t="n">
        <v>0.131578862513367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1.34538398138618</v>
      </c>
      <c r="AO934" s="6" t="n">
        <v>1.34659314282609</v>
      </c>
      <c r="AP934" s="6" t="n">
        <v>0.131283338532735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1.35337666217494</v>
      </c>
      <c r="AO935" s="6" t="n">
        <v>1.35337666217494</v>
      </c>
      <c r="AP935" s="6" t="n">
        <v>0.134142652770366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1.32726214777146</v>
      </c>
      <c r="AO936" s="6" t="n">
        <v>1.33591832108079</v>
      </c>
      <c r="AP936" s="6" t="n">
        <v>0.133238498506037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1.31940702058977</v>
      </c>
      <c r="AO937" s="6" t="n">
        <v>1.32733585064872</v>
      </c>
      <c r="AP937" s="6" t="n">
        <v>0.130837003437906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1.32605897440073</v>
      </c>
      <c r="AO938" s="6" t="n">
        <v>1.33248144259414</v>
      </c>
      <c r="AP938" s="6" t="n">
        <v>0.13104066754326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1.3513024504855</v>
      </c>
      <c r="AO939" s="6" t="n">
        <v>1.35187897360176</v>
      </c>
      <c r="AP939" s="6" t="n">
        <v>0.135991427381616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1.34745916421482</v>
      </c>
      <c r="AO940" s="6" t="n">
        <v>1.34769187952651</v>
      </c>
      <c r="AP940" s="6" t="n">
        <v>0.133052878677945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1.35009298150501</v>
      </c>
      <c r="AO941" s="6" t="n">
        <v>1.35126293703339</v>
      </c>
      <c r="AP941" s="6" t="n">
        <v>0.133188268197074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1.34468168525708</v>
      </c>
      <c r="AO942" s="6" t="n">
        <v>1.34553810073267</v>
      </c>
      <c r="AP942" s="6" t="n">
        <v>0.132197557253126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1.34069855171693</v>
      </c>
      <c r="AO943" s="6" t="n">
        <v>1.34097836453522</v>
      </c>
      <c r="AP943" s="6" t="n">
        <v>0.131951211407084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1.34546973206984</v>
      </c>
      <c r="AO944" s="6" t="n">
        <v>1.34882979447317</v>
      </c>
      <c r="AP944" s="6" t="n">
        <v>0.13325249050109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1.34039722108773</v>
      </c>
      <c r="AO945" s="6" t="n">
        <v>1.3407547910001</v>
      </c>
      <c r="AP945" s="6" t="n">
        <v>0.131228306808249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1.33881209162845</v>
      </c>
      <c r="AO946" s="6" t="n">
        <v>1.34775518568961</v>
      </c>
      <c r="AP946" s="6" t="n">
        <v>0.137007106699818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1.36022385513892</v>
      </c>
      <c r="AO947" s="6" t="n">
        <v>1.36022385513892</v>
      </c>
      <c r="AP947" s="6" t="n">
        <v>0.141869894207942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1.3074694648754</v>
      </c>
      <c r="AO948" s="6" t="n">
        <v>1.31341120095693</v>
      </c>
      <c r="AP948" s="6" t="n">
        <v>0.129628419933337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1.34527478133162</v>
      </c>
      <c r="AO949" s="6" t="n">
        <v>1.34596300892321</v>
      </c>
      <c r="AP949" s="6" t="n">
        <v>0.133121859872517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1.35101917196466</v>
      </c>
      <c r="AO950" s="6" t="n">
        <v>1.35101917196466</v>
      </c>
      <c r="AP950" s="6" t="n">
        <v>0.133987007052087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1.33435251732377</v>
      </c>
      <c r="AO951" s="6" t="n">
        <v>1.33471426840532</v>
      </c>
      <c r="AP951" s="6" t="n">
        <v>0.12939495001917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1.34314107901313</v>
      </c>
      <c r="AO952" s="6" t="n">
        <v>1.34354209695587</v>
      </c>
      <c r="AP952" s="6" t="n">
        <v>0.13177025209317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1.33524179109041</v>
      </c>
      <c r="AO953" s="6" t="n">
        <v>1.33581615191117</v>
      </c>
      <c r="AP953" s="6" t="n">
        <v>0.130485696248046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1.29505741126979</v>
      </c>
      <c r="AO954" s="6" t="n">
        <v>1.30822063181497</v>
      </c>
      <c r="AP954" s="6" t="n">
        <v>0.132742249537694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1.33289979766284</v>
      </c>
      <c r="AO955" s="6" t="n">
        <v>1.33792212705406</v>
      </c>
      <c r="AP955" s="6" t="n">
        <v>0.132041473109938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1.33279443060772</v>
      </c>
      <c r="AO956" s="6" t="n">
        <v>1.33417174401971</v>
      </c>
      <c r="AP956" s="6" t="n">
        <v>0.129214974874258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1.34550268752184</v>
      </c>
      <c r="AO957" s="6" t="n">
        <v>1.34883863783562</v>
      </c>
      <c r="AP957" s="6" t="n">
        <v>0.141238431633108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1.35305170354358</v>
      </c>
      <c r="AO958" s="6" t="n">
        <v>1.35348253280657</v>
      </c>
      <c r="AP958" s="6" t="n">
        <v>0.134138067991645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1.28354697249642</v>
      </c>
      <c r="AO959" s="6" t="n">
        <v>1.29620135384931</v>
      </c>
      <c r="AP959" s="6" t="n">
        <v>0.126815604178559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1.34351605868585</v>
      </c>
      <c r="AO960" s="6" t="n">
        <v>1.34361816145853</v>
      </c>
      <c r="AP960" s="6" t="n">
        <v>0.132695520237941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1.3410775122329</v>
      </c>
      <c r="AO961" s="6" t="n">
        <v>1.34109234630385</v>
      </c>
      <c r="AP961" s="6" t="n">
        <v>0.131611976697474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1.34467085593464</v>
      </c>
      <c r="AO962" s="6" t="n">
        <v>1.34518518571959</v>
      </c>
      <c r="AP962" s="6" t="n">
        <v>0.130863844531318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1.33532841825657</v>
      </c>
      <c r="AO963" s="6" t="n">
        <v>1.33988050043924</v>
      </c>
      <c r="AP963" s="6" t="n">
        <v>0.13217500718994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1.34657148005512</v>
      </c>
      <c r="AO964" s="6" t="n">
        <v>1.35282893954114</v>
      </c>
      <c r="AP964" s="6" t="n">
        <v>0.138691896691866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1.32394594107587</v>
      </c>
      <c r="AO965" s="6" t="n">
        <v>1.33012141150735</v>
      </c>
      <c r="AP965" s="6" t="n">
        <v>0.133733671507761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1.35532498607733</v>
      </c>
      <c r="AO966" s="6" t="n">
        <v>1.35532498607733</v>
      </c>
      <c r="AP966" s="6" t="n">
        <v>0.13622599898821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1.31691048554061</v>
      </c>
      <c r="AO967" s="6" t="n">
        <v>1.32778084317653</v>
      </c>
      <c r="AP967" s="6" t="n">
        <v>0.131390529555416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1.32333037864308</v>
      </c>
      <c r="AO968" s="6" t="n">
        <v>1.32879574985931</v>
      </c>
      <c r="AP968" s="6" t="n">
        <v>0.133233955420954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1.31167431761096</v>
      </c>
      <c r="AO969" s="6" t="n">
        <v>1.32881040154258</v>
      </c>
      <c r="AP969" s="6" t="n">
        <v>0.135408723602951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1.34337107709279</v>
      </c>
      <c r="AO970" s="6" t="n">
        <v>1.34379184030165</v>
      </c>
      <c r="AP970" s="6" t="n">
        <v>0.132061479272643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1.31224600260586</v>
      </c>
      <c r="AO971" s="6" t="n">
        <v>1.32118654460749</v>
      </c>
      <c r="AP971" s="6" t="n">
        <v>0.130094212873351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1.30742339343292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1.34823016371729</v>
      </c>
      <c r="AO973" s="6" t="n">
        <v>1.34890361334304</v>
      </c>
      <c r="AP973" s="6" t="n">
        <v>0.133044275575591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1.34177335146203</v>
      </c>
      <c r="AO974" s="6" t="n">
        <v>1.341842380868</v>
      </c>
      <c r="AP974" s="6" t="n">
        <v>0.131512270535645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1.33745260701514</v>
      </c>
      <c r="AO975" s="6" t="n">
        <v>1.34050234451909</v>
      </c>
      <c r="AP975" s="6" t="n">
        <v>0.131762579110491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1.324431771058</v>
      </c>
      <c r="AO976" s="6" t="n">
        <v>1.32880234895499</v>
      </c>
      <c r="AP976" s="6" t="n">
        <v>0.131613791212942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1.32589962270194</v>
      </c>
      <c r="AO977" s="6" t="n">
        <v>1.32761483431156</v>
      </c>
      <c r="AP977" s="6" t="n">
        <v>0.1289336241076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1.34817062845546</v>
      </c>
      <c r="AO978" s="6" t="n">
        <v>1.34840632507928</v>
      </c>
      <c r="AP978" s="6" t="n">
        <v>0.132577447313947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1.30916670472691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1.33344653982992</v>
      </c>
      <c r="AO980" s="6" t="n">
        <v>1.33821206627795</v>
      </c>
      <c r="AP980" s="6" t="n">
        <v>0.130921223831546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1.34003978156516</v>
      </c>
      <c r="AO981" s="6" t="n">
        <v>1.34435145254464</v>
      </c>
      <c r="AP981" s="6" t="n">
        <v>0.133429422758606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1.35673531841515</v>
      </c>
      <c r="AO982" s="6" t="n">
        <v>1.35673531841515</v>
      </c>
      <c r="AP982" s="6" t="n">
        <v>0.13649110023288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1.33974719934269</v>
      </c>
      <c r="AO983" s="6" t="n">
        <v>1.33987713640009</v>
      </c>
      <c r="AP983" s="6" t="n">
        <v>0.130848128009594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1.34020351821304</v>
      </c>
      <c r="AO984" s="6" t="n">
        <v>1.34089183695731</v>
      </c>
      <c r="AP984" s="6" t="n">
        <v>0.131464872182525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1.34851595317686</v>
      </c>
      <c r="AO985" s="6" t="n">
        <v>1.34896421990013</v>
      </c>
      <c r="AP985" s="6" t="n">
        <v>0.132118315922784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1.31895601353465</v>
      </c>
      <c r="AO986" s="6" t="n">
        <v>1.31968956820142</v>
      </c>
      <c r="AP986" s="6" t="n">
        <v>0.131567371437563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1.33275628747515</v>
      </c>
      <c r="AO987" s="6" t="n">
        <v>1.33361645363616</v>
      </c>
      <c r="AP987" s="6" t="n">
        <v>0.129234717828706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1.35177014251397</v>
      </c>
      <c r="AO988" s="6" t="n">
        <v>1.35177014251397</v>
      </c>
      <c r="AP988" s="6" t="n">
        <v>0.135304022066721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1.34667783752169</v>
      </c>
      <c r="AO989" s="6" t="n">
        <v>1.34786406830985</v>
      </c>
      <c r="AP989" s="6" t="n">
        <v>0.133757810460065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1.34447471059734</v>
      </c>
      <c r="AO990" s="6" t="n">
        <v>1.34475607330003</v>
      </c>
      <c r="AP990" s="6" t="n">
        <v>0.132288395428535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1.35680173202177</v>
      </c>
      <c r="AO991" s="6" t="n">
        <v>1.35751115908903</v>
      </c>
      <c r="AP991" s="6" t="n">
        <v>0.137290384135809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1.33447127414186</v>
      </c>
      <c r="AO992" s="6" t="n">
        <v>1.33901449173711</v>
      </c>
      <c r="AP992" s="6" t="n">
        <v>0.132449863160951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1.29291990508862</v>
      </c>
      <c r="AO993" s="6" t="n">
        <v>1.30095016646558</v>
      </c>
      <c r="AP993" s="6" t="n">
        <v>0.13030371099137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1.32061033641434</v>
      </c>
      <c r="AO994" s="6" t="n">
        <v>1.32452544620997</v>
      </c>
      <c r="AP994" s="6" t="n">
        <v>0.127991126203044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1.34474227389511</v>
      </c>
      <c r="AO995" s="6" t="n">
        <v>1.34634314675342</v>
      </c>
      <c r="AP995" s="6" t="n">
        <v>0.132848693374079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1.30520157745288</v>
      </c>
      <c r="AO996" s="6" t="n">
        <v>1.31299553816058</v>
      </c>
      <c r="AP996" s="6" t="n">
        <v>0.127240121287894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1.34557526256948</v>
      </c>
      <c r="AO997" s="6" t="n">
        <v>1.34564596134749</v>
      </c>
      <c r="AP997" s="6" t="n">
        <v>0.132536769497829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1.35020813520255</v>
      </c>
      <c r="AO998" s="6" t="n">
        <v>1.35069142241514</v>
      </c>
      <c r="AP998" s="6" t="n">
        <v>0.135631231885478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1.34736840901455</v>
      </c>
      <c r="AO999" s="6" t="n">
        <v>1.34810545264405</v>
      </c>
      <c r="AP999" s="6" t="n">
        <v>0.131869839665749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1.34813141873377</v>
      </c>
      <c r="AO1000" s="6" t="n">
        <v>1.34815803441847</v>
      </c>
      <c r="AP1000" s="6" t="n">
        <v>0.132747669632833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1.357427679635</v>
      </c>
      <c r="AO1001" s="6" t="n">
        <v>1.357427679635</v>
      </c>
      <c r="AP1001" s="6" t="n">
        <v>0.138382648827703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1.34128677682101</v>
      </c>
      <c r="AO1002" s="6" t="n">
        <v>1.34128677682101</v>
      </c>
      <c r="AP1002" s="6" t="n">
        <v>0.131852225595045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1.34024147388068</v>
      </c>
      <c r="AO1003" s="6" t="n">
        <v>1.34030991720408</v>
      </c>
      <c r="AP1003" s="6" t="n">
        <v>0.130865784722154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1.34315049184061</v>
      </c>
      <c r="AO1004" s="6" t="n">
        <v>1.34722186048758</v>
      </c>
      <c r="AP1004" s="6" t="n">
        <v>0.132975650100696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1.33169756728042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1.34481048564053</v>
      </c>
      <c r="AO1006" s="6" t="n">
        <v>1.34535529311272</v>
      </c>
      <c r="AP1006" s="6" t="n">
        <v>0.132603977188887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1.33345780103027</v>
      </c>
      <c r="AO1007" s="6" t="n">
        <v>1.3338734547362</v>
      </c>
      <c r="AP1007" s="6" t="n">
        <v>0.129676597564541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1.32545040696677</v>
      </c>
      <c r="AO1008" s="6" t="n">
        <v>1.33049180391477</v>
      </c>
      <c r="AP1008" s="6" t="n">
        <v>0.133443075296847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1.35170922684959</v>
      </c>
      <c r="AO1009" s="6" t="n">
        <v>1.35332820378665</v>
      </c>
      <c r="AP1009" s="6" t="n">
        <v>0.136774272470574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1.28690133123397</v>
      </c>
      <c r="AO1010" s="6" t="n">
        <v>1.29434254144435</v>
      </c>
      <c r="AP1010" s="6" t="n">
        <v>0.128582125822617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1.32309798692151</v>
      </c>
      <c r="AO1011" s="6" t="n">
        <v>1.33217002791379</v>
      </c>
      <c r="AP1011" s="6" t="n">
        <v>0.132266841848799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1.33548046112295</v>
      </c>
      <c r="AO1012" s="6" t="n">
        <v>1.33771078608182</v>
      </c>
      <c r="AP1012" s="6" t="n">
        <v>0.131019655969046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1.32993861489023</v>
      </c>
      <c r="AO1013" s="6" t="n">
        <v>1.33129409385836</v>
      </c>
      <c r="AP1013" s="6" t="n">
        <v>0.128890275353701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1.34051899033504</v>
      </c>
      <c r="AO1014" s="6" t="n">
        <v>1.34767248640162</v>
      </c>
      <c r="AP1014" s="6" t="n">
        <v>0.135795442195313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1.33055656988205</v>
      </c>
      <c r="AO1015" s="6" t="n">
        <v>1.33167002116351</v>
      </c>
      <c r="AP1015" s="6" t="n">
        <v>0.129299103439563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1.33428305331828</v>
      </c>
      <c r="AO1016" s="6" t="n">
        <v>1.33461637749714</v>
      </c>
      <c r="AP1016" s="6" t="n">
        <v>0.129505515301852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1.35226710852208</v>
      </c>
      <c r="AO1017" s="6" t="n">
        <v>1.35243643106553</v>
      </c>
      <c r="AP1017" s="6" t="n">
        <v>0.133341522873479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1.33609515911243</v>
      </c>
      <c r="AO1018" s="6" t="n">
        <v>1.33871288735902</v>
      </c>
      <c r="AP1018" s="6" t="n">
        <v>0.130959400034095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1.34926586646811</v>
      </c>
      <c r="AO1019" s="6" t="n">
        <v>1.34940100877275</v>
      </c>
      <c r="AP1019" s="6" t="n">
        <v>0.133871239630277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1.3334098276106</v>
      </c>
      <c r="AO1020" s="6" t="n">
        <v>1.33374500610997</v>
      </c>
      <c r="AP1020" s="6" t="n">
        <v>0.129587880200401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1.35003766193612</v>
      </c>
      <c r="AO1021" s="6" t="n">
        <v>1.35100083248906</v>
      </c>
      <c r="AP1021" s="6" t="n">
        <v>0.133483504954369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1.33642777602316</v>
      </c>
      <c r="AO1022" s="6" t="n">
        <v>1.33700381245241</v>
      </c>
      <c r="AP1022" s="6" t="n">
        <v>0.130328625889793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1.32435308685342</v>
      </c>
      <c r="AO1023" s="6" t="n">
        <v>1.32564789361071</v>
      </c>
      <c r="AP1023" s="6" t="n">
        <v>0.128457649253227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1.34010941205972</v>
      </c>
      <c r="AO1024" s="6" t="n">
        <v>1.34234186417882</v>
      </c>
      <c r="AP1024" s="6" t="n">
        <v>0.131556843073073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1.32942743567108</v>
      </c>
      <c r="AO1025" s="6" t="n">
        <v>1.32942743567108</v>
      </c>
      <c r="AP1025" s="6" t="n">
        <v>0.129680741394765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1.34336339599058</v>
      </c>
      <c r="AO1026" s="6" t="n">
        <v>1.34336339599058</v>
      </c>
      <c r="AP1026" s="6" t="n">
        <v>0.132650319864887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1.34538590007785</v>
      </c>
      <c r="AO1027" s="6" t="n">
        <v>1.3501962816392</v>
      </c>
      <c r="AP1027" s="6" t="n">
        <v>0.134399078046161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1.34097749486454</v>
      </c>
      <c r="AO1028" s="6" t="n">
        <v>1.34144809429019</v>
      </c>
      <c r="AP1028" s="6" t="n">
        <v>0.131045564722929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1.34470949279302</v>
      </c>
      <c r="AO1029" s="6" t="n">
        <v>1.34501051772889</v>
      </c>
      <c r="AP1029" s="6" t="n">
        <v>0.131731960145733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1.35881950376499</v>
      </c>
      <c r="AO1030" s="6" t="n">
        <v>1.35881950376499</v>
      </c>
      <c r="AP1030" s="6" t="n">
        <v>0.136738012102519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1.33681088612774</v>
      </c>
      <c r="AO1031" s="6" t="n">
        <v>1.34435855412839</v>
      </c>
      <c r="AP1031" s="6" t="n">
        <v>0.135171102387096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1.35227101721442</v>
      </c>
      <c r="AO1032" s="6" t="n">
        <v>1.35242990242601</v>
      </c>
      <c r="AP1032" s="6" t="n">
        <v>0.133635934037275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1.36076070824676</v>
      </c>
      <c r="AO1033" s="6" t="n">
        <v>1.36076070824676</v>
      </c>
      <c r="AP1033" s="6" t="n">
        <v>0.140368785253692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1.33029928169804</v>
      </c>
      <c r="AO1034" s="6" t="n">
        <v>1.33403159401917</v>
      </c>
      <c r="AP1034" s="6" t="n">
        <v>0.130036270364456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1.32711834783071</v>
      </c>
      <c r="AO1035" s="6" t="n">
        <v>1.33255415718206</v>
      </c>
      <c r="AP1035" s="6" t="n">
        <v>0.130841874344489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1.32024975670271</v>
      </c>
      <c r="AO1036" s="6" t="n">
        <v>1.33049732951742</v>
      </c>
      <c r="AP1036" s="6" t="n">
        <v>0.132143176256551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1.3179656576515</v>
      </c>
      <c r="AO1037" s="6" t="n">
        <v>1.32606300514257</v>
      </c>
      <c r="AP1037" s="6" t="n">
        <v>0.130703383300638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1.33149817431075</v>
      </c>
      <c r="AO1038" s="6" t="n">
        <v>1.33262385891794</v>
      </c>
      <c r="AP1038" s="6" t="n">
        <v>0.129077962871808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1.34652112729819</v>
      </c>
      <c r="AO1039" s="6" t="n">
        <v>1.34652112729819</v>
      </c>
      <c r="AP1039" s="6" t="n">
        <v>0.13308798701184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1.34499697444695</v>
      </c>
      <c r="AO1040" s="6" t="n">
        <v>1.34525578004736</v>
      </c>
      <c r="AP1040" s="6" t="n">
        <v>0.131787112390781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1.30722265319908</v>
      </c>
      <c r="AO1041" s="6" t="n">
        <v>1.31054017841387</v>
      </c>
      <c r="AP1041" s="6" t="n">
        <v>0.132698377942438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1.32790775487622</v>
      </c>
      <c r="AO1042" s="6" t="n">
        <v>1.33358114762492</v>
      </c>
      <c r="AP1042" s="6" t="n">
        <v>0.133547355009847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1.35432681557708</v>
      </c>
      <c r="AO1043" s="6" t="n">
        <v>1.35432681557708</v>
      </c>
      <c r="AP1043" s="6" t="n">
        <v>0.137058999089814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1.31920267764632</v>
      </c>
      <c r="AO1044" s="6" t="n">
        <v>1.32043284125898</v>
      </c>
      <c r="AP1044" s="6" t="n">
        <v>0.127085693826738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1.3431435247137</v>
      </c>
      <c r="AO1045" s="6" t="n">
        <v>1.34328855867823</v>
      </c>
      <c r="AP1045" s="6" t="n">
        <v>0.13098299329724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1.35348477183243</v>
      </c>
      <c r="AO1046" s="6" t="n">
        <v>1.35348477183243</v>
      </c>
      <c r="AP1046" s="6" t="n">
        <v>0.137197813885069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1.33670380320913</v>
      </c>
      <c r="AO1047" s="6" t="n">
        <v>1.33735856180745</v>
      </c>
      <c r="AP1047" s="6" t="n">
        <v>0.130514046331565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1.35485530949127</v>
      </c>
      <c r="AO1048" s="6" t="n">
        <v>1.35486812898784</v>
      </c>
      <c r="AP1048" s="6" t="n">
        <v>0.134416997486502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1.34723625889626</v>
      </c>
      <c r="AO1049" s="6" t="n">
        <v>1.34723625889626</v>
      </c>
      <c r="AP1049" s="6" t="n">
        <v>0.134488781321209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1.30967663401859</v>
      </c>
      <c r="AO1050" s="6" t="n">
        <v>1.3136715607571</v>
      </c>
      <c r="AP1050" s="6" t="n">
        <v>0.130617826824393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1.34036233960628</v>
      </c>
      <c r="AO1051" s="6" t="n">
        <v>1.34087075204747</v>
      </c>
      <c r="AP1051" s="6" t="n">
        <v>0.131405781586254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1.34058015805426</v>
      </c>
      <c r="AO1052" s="6" t="n">
        <v>1.34082482729798</v>
      </c>
      <c r="AP1052" s="6" t="n">
        <v>0.131085297920664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1.32373854967651</v>
      </c>
      <c r="AO1053" s="6" t="n">
        <v>1.32423961887052</v>
      </c>
      <c r="AP1053" s="6" t="n">
        <v>0.128152300842876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1.35124489486544</v>
      </c>
      <c r="AO1054" s="6" t="n">
        <v>1.35154794788277</v>
      </c>
      <c r="AP1054" s="6" t="n">
        <v>0.13381666789442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1.3378107041398</v>
      </c>
      <c r="AO1055" s="6" t="n">
        <v>1.33862692215897</v>
      </c>
      <c r="AP1055" s="6" t="n">
        <v>0.13090211965451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1.3446617798003</v>
      </c>
      <c r="AO1056" s="6" t="n">
        <v>1.34515527873375</v>
      </c>
      <c r="AP1056" s="6" t="n">
        <v>0.133016916991444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1.33426352178516</v>
      </c>
      <c r="AO1057" s="6" t="n">
        <v>1.34116430485909</v>
      </c>
      <c r="AP1057" s="6" t="n">
        <v>0.133171233285356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1.33472122938838</v>
      </c>
      <c r="AO1058" s="6" t="n">
        <v>1.33536283802537</v>
      </c>
      <c r="AP1058" s="6" t="n">
        <v>0.130036847912972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1.34577794689473</v>
      </c>
      <c r="AO1059" s="6" t="n">
        <v>1.3460378682323</v>
      </c>
      <c r="AP1059" s="6" t="n">
        <v>0.13215017814619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1.33409328479617</v>
      </c>
      <c r="AO1060" s="6" t="n">
        <v>1.33615303420201</v>
      </c>
      <c r="AP1060" s="6" t="n">
        <v>0.129976152550747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1.35635588217101</v>
      </c>
      <c r="AO1061" s="6" t="n">
        <v>1.35635588217101</v>
      </c>
      <c r="AP1061" s="6" t="n">
        <v>0.135714524991663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1.31266643744886</v>
      </c>
      <c r="AO1062" s="6" t="n">
        <v>1.32841452318439</v>
      </c>
      <c r="AP1062" s="6" t="n">
        <v>0.134693098892693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1.34457637667818</v>
      </c>
      <c r="AO1064" s="6" t="n">
        <v>1.34490727499661</v>
      </c>
      <c r="AP1064" s="6" t="n">
        <v>0.132795709797063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1.34088962817832</v>
      </c>
      <c r="AO1065" s="6" t="n">
        <v>1.34126363281697</v>
      </c>
      <c r="AP1065" s="6" t="n">
        <v>0.131723316836396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1.30549516740594</v>
      </c>
      <c r="AO1066" s="6" t="n">
        <v>1.31442550211189</v>
      </c>
      <c r="AP1066" s="6" t="n">
        <v>0.131569258347461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1.34009705369474</v>
      </c>
      <c r="AO1067" s="6" t="n">
        <v>1.34039289010628</v>
      </c>
      <c r="AP1067" s="6" t="n">
        <v>0.130610997997371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1.34142214243512</v>
      </c>
      <c r="AO1068" s="6" t="n">
        <v>1.34147047948945</v>
      </c>
      <c r="AP1068" s="6" t="n">
        <v>0.131274691054929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1.33818748657317</v>
      </c>
      <c r="AO1069" s="6" t="n">
        <v>1.34415751383224</v>
      </c>
      <c r="AP1069" s="6" t="n">
        <v>0.136305228979222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1.35337217022309</v>
      </c>
      <c r="AO1070" s="6" t="n">
        <v>1.35337217022309</v>
      </c>
      <c r="AP1070" s="6" t="n">
        <v>0.136304760327373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1.35300340629969</v>
      </c>
      <c r="AO1071" s="6" t="n">
        <v>1.35338981008099</v>
      </c>
      <c r="AP1071" s="6" t="n">
        <v>0.133976865758051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1.3424778508364</v>
      </c>
      <c r="AO1072" s="6" t="n">
        <v>1.3442271038515</v>
      </c>
      <c r="AP1072" s="6" t="n">
        <v>0.132097217733183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1.34967487670866</v>
      </c>
      <c r="AO1073" s="6" t="n">
        <v>1.34967487670866</v>
      </c>
      <c r="AP1073" s="6" t="n">
        <v>0.135768588889324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1.36055195081142</v>
      </c>
      <c r="AO1074" s="6" t="n">
        <v>1.36055195081142</v>
      </c>
      <c r="AP1074" s="6" t="n">
        <v>0.138633879056904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1.34114789593502</v>
      </c>
      <c r="AO1075" s="6" t="n">
        <v>1.34121559911525</v>
      </c>
      <c r="AP1075" s="6" t="n">
        <v>0.130997645458517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1.35731093205587</v>
      </c>
      <c r="AO1076" s="6" t="n">
        <v>1.35731093205587</v>
      </c>
      <c r="AP1076" s="6" t="n">
        <v>0.137863647276443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1.35607071584267</v>
      </c>
      <c r="AO1077" s="6" t="n">
        <v>1.35607071584267</v>
      </c>
      <c r="AP1077" s="6" t="n">
        <v>0.136550054805745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1.33693172945998</v>
      </c>
      <c r="AO1078" s="6" t="n">
        <v>1.33719580635614</v>
      </c>
      <c r="AP1078" s="6" t="n">
        <v>0.130256706452638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1.35441157142779</v>
      </c>
      <c r="AO1079" s="6" t="n">
        <v>1.35441157142779</v>
      </c>
      <c r="AP1079" s="6" t="n">
        <v>0.135244301768175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1.32963465825593</v>
      </c>
      <c r="AO1080" s="6" t="n">
        <v>1.33679432235467</v>
      </c>
      <c r="AP1080" s="6" t="n">
        <v>0.132631882938135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1.3521133822941</v>
      </c>
      <c r="AO1081" s="6" t="n">
        <v>1.3521133822941</v>
      </c>
      <c r="AP1081" s="6" t="n">
        <v>0.134896670386433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1.33563454696817</v>
      </c>
      <c r="AO1082" s="6" t="n">
        <v>1.33610764383244</v>
      </c>
      <c r="AP1082" s="6" t="n">
        <v>0.130142742731211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1.34169713386921</v>
      </c>
      <c r="AO1083" s="6" t="n">
        <v>1.34219990604878</v>
      </c>
      <c r="AP1083" s="6" t="n">
        <v>0.131245710954152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1.33285664854466</v>
      </c>
      <c r="AO1084" s="6" t="n">
        <v>1.33364087958019</v>
      </c>
      <c r="AP1084" s="6" t="n">
        <v>0.12948257501804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1.32707705050368</v>
      </c>
      <c r="AO1085" s="6" t="n">
        <v>1.3274696238212</v>
      </c>
      <c r="AP1085" s="6" t="n">
        <v>0.128877864631075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1.31280204942464</v>
      </c>
      <c r="AO1086" s="6" t="n">
        <v>1.32205863426943</v>
      </c>
      <c r="AP1086" s="6" t="n">
        <v>0.1308736255723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1.30262327276907</v>
      </c>
      <c r="AO1087" s="6" t="n">
        <v>1.30992007425138</v>
      </c>
      <c r="AP1087" s="6" t="n">
        <v>0.128527420795646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1.33399418612733</v>
      </c>
      <c r="AO1088" s="6" t="n">
        <v>1.33495795891882</v>
      </c>
      <c r="AP1088" s="6" t="n">
        <v>0.130581310063142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1.35001687484233</v>
      </c>
      <c r="AO1089" s="6" t="n">
        <v>1.35001687484233</v>
      </c>
      <c r="AP1089" s="6" t="n">
        <v>0.136003923467623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1.33359663531549</v>
      </c>
      <c r="AO1090" s="6" t="n">
        <v>1.33413483945379</v>
      </c>
      <c r="AP1090" s="6" t="n">
        <v>0.129715816436418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1.33852876381743</v>
      </c>
      <c r="AO1091" s="6" t="n">
        <v>1.33928974219921</v>
      </c>
      <c r="AP1091" s="6" t="n">
        <v>0.130416220883874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1.33505358221244</v>
      </c>
      <c r="AO1092" s="6" t="n">
        <v>1.33526312115448</v>
      </c>
      <c r="AP1092" s="6" t="n">
        <v>0.130082961520226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1.33522083691113</v>
      </c>
      <c r="AO1093" s="6" t="n">
        <v>1.33577122692659</v>
      </c>
      <c r="AP1093" s="6" t="n">
        <v>0.130645911088429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1.35431723294844</v>
      </c>
      <c r="AO1094" s="6" t="n">
        <v>1.35463388838712</v>
      </c>
      <c r="AP1094" s="6" t="n">
        <v>0.134947044634456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1.34206318154711</v>
      </c>
      <c r="AO1095" s="6" t="n">
        <v>1.34225691515776</v>
      </c>
      <c r="AP1095" s="6" t="n">
        <v>0.132441357255201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1.35236735525505</v>
      </c>
      <c r="AO1096" s="6" t="n">
        <v>1.35236735525505</v>
      </c>
      <c r="AP1096" s="6" t="n">
        <v>0.136464147282515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1.30176527913697</v>
      </c>
      <c r="AO1097" s="6" t="n">
        <v>1.31524409562541</v>
      </c>
      <c r="AP1097" s="6" t="n">
        <v>0.129621591903399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1.30705139162536</v>
      </c>
      <c r="AO1098" s="6" t="n">
        <v>1.31379634573556</v>
      </c>
      <c r="AP1098" s="6" t="n">
        <v>0.1324292159086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1.33866296403214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1.35112188886132</v>
      </c>
      <c r="AO1100" s="6" t="n">
        <v>1.35112188886132</v>
      </c>
      <c r="AP1100" s="6" t="n">
        <v>0.135392397415677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1.32731307004581</v>
      </c>
      <c r="AO1101" s="6" t="n">
        <v>1.33315219114603</v>
      </c>
      <c r="AP1101" s="6" t="n">
        <v>0.131043737329391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1.34416526340929</v>
      </c>
      <c r="AO1102" s="6" t="n">
        <v>1.34431346116013</v>
      </c>
      <c r="AP1102" s="6" t="n">
        <v>0.131837216322884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1.34735721918185</v>
      </c>
      <c r="AO1103" s="6" t="n">
        <v>1.34735721918185</v>
      </c>
      <c r="AP1103" s="6" t="n">
        <v>0.133522267195122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1.33208884721129</v>
      </c>
      <c r="AO1104" s="6" t="n">
        <v>1.33270598789751</v>
      </c>
      <c r="AP1104" s="6" t="n">
        <v>0.129983624561065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1.31097918468881</v>
      </c>
      <c r="AO1105" s="6" t="n">
        <v>1.32029739225916</v>
      </c>
      <c r="AP1105" s="6" t="n">
        <v>0.129225329099345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1.34950379493653</v>
      </c>
      <c r="AO1106" s="6" t="n">
        <v>1.35043283993232</v>
      </c>
      <c r="AP1106" s="6" t="n">
        <v>0.134585294998121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1.32874110893734</v>
      </c>
      <c r="AO1107" s="6" t="n">
        <v>1.32907767176252</v>
      </c>
      <c r="AP1107" s="6" t="n">
        <v>0.128552863738299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1.34112585911073</v>
      </c>
      <c r="AO1108" s="6" t="n">
        <v>1.34311926207148</v>
      </c>
      <c r="AP1108" s="6" t="n">
        <v>0.132247185167278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1.29968415678582</v>
      </c>
      <c r="AO1109" s="6" t="n">
        <v>1.3119876505908</v>
      </c>
      <c r="AP1109" s="6" t="n">
        <v>0.129165662793562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1.32668714253875</v>
      </c>
      <c r="AO1110" s="6" t="n">
        <v>1.33201871364098</v>
      </c>
      <c r="AP1110" s="6" t="n">
        <v>0.130627545293178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1.34724250011655</v>
      </c>
      <c r="AO1111" s="6" t="n">
        <v>1.3474935091346</v>
      </c>
      <c r="AP1111" s="6" t="n">
        <v>0.132906757504691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1.35323048528941</v>
      </c>
      <c r="AO1112" s="6" t="n">
        <v>1.35323048528941</v>
      </c>
      <c r="AP1112" s="6" t="n">
        <v>0.135267582184932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1.34748494833134</v>
      </c>
      <c r="AO1113" s="6" t="n">
        <v>1.35351143978699</v>
      </c>
      <c r="AP1113" s="6" t="n">
        <v>0.138060306759642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1.34743319468424</v>
      </c>
      <c r="AO1114" s="6" t="n">
        <v>1.34760614004097</v>
      </c>
      <c r="AP1114" s="6" t="n">
        <v>0.132261967223577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1.31932288720617</v>
      </c>
      <c r="AO1115" s="6" t="n">
        <v>1.3255922923964</v>
      </c>
      <c r="AP1115" s="6" t="n">
        <v>0.130174934097199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1.32913338754106</v>
      </c>
      <c r="AO1116" s="6" t="n">
        <v>1.33360169604888</v>
      </c>
      <c r="AP1116" s="6" t="n">
        <v>0.130636528805032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1.35101673422876</v>
      </c>
      <c r="AO1117" s="6" t="n">
        <v>1.35101673422876</v>
      </c>
      <c r="AP1117" s="6" t="n">
        <v>0.134244300217412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1.33467640682682</v>
      </c>
      <c r="AO1118" s="6" t="n">
        <v>1.3372112992896</v>
      </c>
      <c r="AP1118" s="6" t="n">
        <v>0.130819134830509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1.34229589576972</v>
      </c>
      <c r="AO1119" s="6" t="n">
        <v>1.3423781521706</v>
      </c>
      <c r="AP1119" s="6" t="n">
        <v>0.131650625611537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1.36007028774405</v>
      </c>
      <c r="AO1120" s="6" t="n">
        <v>1.36230389637811</v>
      </c>
      <c r="AP1120" s="6" t="n">
        <v>0.140517079763308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1.29764907975709</v>
      </c>
      <c r="AO1121" s="6" t="n">
        <v>1.31403175866715</v>
      </c>
      <c r="AP1121" s="6" t="n">
        <v>0.132213309888005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1.34670297678415</v>
      </c>
      <c r="AO1122" s="6" t="n">
        <v>1.35123575621744</v>
      </c>
      <c r="AP1122" s="6" t="n">
        <v>0.13479536865986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1.35387273159894</v>
      </c>
      <c r="AO1123" s="6" t="n">
        <v>1.35419012597043</v>
      </c>
      <c r="AP1123" s="6" t="n">
        <v>0.133312558128149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1.34205599063294</v>
      </c>
      <c r="AO1124" s="6" t="n">
        <v>1.34217261442395</v>
      </c>
      <c r="AP1124" s="6" t="n">
        <v>0.132005366300275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1.33805202534882</v>
      </c>
      <c r="AO1125" s="6" t="n">
        <v>1.34278398555313</v>
      </c>
      <c r="AP1125" s="6" t="n">
        <v>0.133499808387502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1.35489434693097</v>
      </c>
      <c r="AO1126" s="6" t="n">
        <v>1.35489434693097</v>
      </c>
      <c r="AP1126" s="6" t="n">
        <v>0.134606235515391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1.32473139516628</v>
      </c>
      <c r="AO1127" s="6" t="n">
        <v>1.33037124541055</v>
      </c>
      <c r="AP1127" s="6" t="n">
        <v>0.130289534271222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1.33607306850135</v>
      </c>
      <c r="AO1128" s="6" t="n">
        <v>1.33845084025715</v>
      </c>
      <c r="AP1128" s="6" t="n">
        <v>0.131043479382175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1.34112727732562</v>
      </c>
      <c r="AO1129" s="6" t="n">
        <v>1.34414485051044</v>
      </c>
      <c r="AP1129" s="6" t="n">
        <v>0.13256382064112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1.34771286145496</v>
      </c>
      <c r="AO1130" s="6" t="n">
        <v>1.34836847007053</v>
      </c>
      <c r="AP1130" s="6" t="n">
        <v>0.132423855736908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1.32796239363634</v>
      </c>
      <c r="AO1131" s="6" t="n">
        <v>1.32810476692099</v>
      </c>
      <c r="AP1131" s="6" t="n">
        <v>0.129075218628251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1.33500019077418</v>
      </c>
      <c r="AO1133" s="6" t="n">
        <v>1.33505053956758</v>
      </c>
      <c r="AP1133" s="6" t="n">
        <v>0.130667326032276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1.34907856289022</v>
      </c>
      <c r="AO1134" s="6" t="n">
        <v>1.34978969449417</v>
      </c>
      <c r="AP1134" s="6" t="n">
        <v>0.132640583800462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1.31704537263961</v>
      </c>
      <c r="AO1135" s="6" t="n">
        <v>1.32558041653051</v>
      </c>
      <c r="AP1135" s="6" t="n">
        <v>0.13300059124956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1.30543598881931</v>
      </c>
      <c r="AO1136" s="6" t="n">
        <v>1.3097362609211</v>
      </c>
      <c r="AP1136" s="6" t="n">
        <v>0.130064744273049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1.31199512603423</v>
      </c>
      <c r="AO1137" s="6" t="n">
        <v>1.32598181665597</v>
      </c>
      <c r="AP1137" s="6" t="n">
        <v>0.127966880099816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1.34721810119618</v>
      </c>
      <c r="AO1138" s="6" t="n">
        <v>1.34721810119618</v>
      </c>
      <c r="AP1138" s="6" t="n">
        <v>0.13419495222778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1.34102070545895</v>
      </c>
      <c r="AO1139" s="6" t="n">
        <v>1.35057441458999</v>
      </c>
      <c r="AP1139" s="6" t="n">
        <v>0.138406828329148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1.34441815824964</v>
      </c>
      <c r="AO1140" s="6" t="n">
        <v>1.34457659516269</v>
      </c>
      <c r="AP1140" s="6" t="n">
        <v>0.13208457813911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1.33983721258059</v>
      </c>
      <c r="AO1141" s="6" t="n">
        <v>1.34000137421729</v>
      </c>
      <c r="AP1141" s="6" t="n">
        <v>0.131346392660221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1.34120159877921</v>
      </c>
      <c r="AO1142" s="6" t="n">
        <v>1.34194366217535</v>
      </c>
      <c r="AP1142" s="6" t="n">
        <v>0.131041335774616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1.32746490322691</v>
      </c>
      <c r="AO1143" s="6" t="n">
        <v>1.32746728976389</v>
      </c>
      <c r="AP1143" s="6" t="n">
        <v>0.129603930331723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1.35024979437361</v>
      </c>
      <c r="AO1144" s="6" t="n">
        <v>1.35045436961349</v>
      </c>
      <c r="AP1144" s="6" t="n">
        <v>0.133191156462356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1.33312202831545</v>
      </c>
      <c r="AO1145" s="6" t="n">
        <v>1.33692004643565</v>
      </c>
      <c r="AP1145" s="6" t="n">
        <v>0.131165054793943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1.32782528909536</v>
      </c>
      <c r="AO1146" s="6" t="n">
        <v>1.32937112641303</v>
      </c>
      <c r="AP1146" s="6" t="n">
        <v>0.128805195613715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1.28027265507833</v>
      </c>
      <c r="AO1147" s="6" t="n">
        <v>1.29410631162928</v>
      </c>
      <c r="AP1147" s="6" t="n">
        <v>0.132850934258287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1.35190445431602</v>
      </c>
      <c r="AO1148" s="6" t="n">
        <v>1.35190445431602</v>
      </c>
      <c r="AP1148" s="6" t="n">
        <v>0.133550399290593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1.32111323462315</v>
      </c>
      <c r="AO1149" s="6" t="n">
        <v>1.33107207299646</v>
      </c>
      <c r="AP1149" s="6" t="n">
        <v>0.132046915969509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1.34835522559792</v>
      </c>
      <c r="AO1150" s="6" t="n">
        <v>1.34853914856786</v>
      </c>
      <c r="AP1150" s="6" t="n">
        <v>0.134033725396629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1.30064748931617</v>
      </c>
      <c r="AO1151" s="6" t="n">
        <v>1.31147486790625</v>
      </c>
      <c r="AP1151" s="6" t="n">
        <v>0.133329265037083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1.30199554091976</v>
      </c>
      <c r="AO1152" s="6" t="n">
        <v>1.31280875967718</v>
      </c>
      <c r="AP1152" s="6" t="n">
        <v>0.129403417921919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1.33953992542645</v>
      </c>
      <c r="AO1153" s="6" t="n">
        <v>1.34606963943144</v>
      </c>
      <c r="AP1153" s="6" t="n">
        <v>0.134370423010622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1.33910582439668</v>
      </c>
      <c r="AO1154" s="6" t="n">
        <v>1.33914409905461</v>
      </c>
      <c r="AP1154" s="6" t="n">
        <v>0.13075094462223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1.34132851870588</v>
      </c>
      <c r="AO1155" s="6" t="n">
        <v>1.34414734118386</v>
      </c>
      <c r="AP1155" s="6" t="n">
        <v>0.132265194785953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1.34224925132043</v>
      </c>
      <c r="AO1156" s="6" t="n">
        <v>1.34265521551776</v>
      </c>
      <c r="AP1156" s="6" t="n">
        <v>0.132068535473169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1.3301913111694</v>
      </c>
      <c r="AO1157" s="6" t="n">
        <v>1.34352932880004</v>
      </c>
      <c r="AP1157" s="6" t="n">
        <v>0.142522044482622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1.34432176898164</v>
      </c>
      <c r="AO1158" s="6" t="n">
        <v>1.3444242459867</v>
      </c>
      <c r="AP1158" s="6" t="n">
        <v>0.131665355510863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1.35558839779174</v>
      </c>
      <c r="AO1159" s="6" t="n">
        <v>1.35558839779174</v>
      </c>
      <c r="AP1159" s="6" t="n">
        <v>0.135094460375462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1.32435581682334</v>
      </c>
      <c r="AO1160" s="6" t="n">
        <v>1.32435581682334</v>
      </c>
      <c r="AP1160" s="6" t="n">
        <v>0.13303576017936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1.34074163198424</v>
      </c>
      <c r="AO1161" s="6" t="n">
        <v>1.3407451117967</v>
      </c>
      <c r="AP1161" s="6" t="n">
        <v>0.131766315184994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1.33389941518455</v>
      </c>
      <c r="AO1162" s="6" t="n">
        <v>1.3349879654233</v>
      </c>
      <c r="AP1162" s="6" t="n">
        <v>0.129336580509938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1.35761582657245</v>
      </c>
      <c r="AO1163" s="6" t="n">
        <v>1.36228993144569</v>
      </c>
      <c r="AP1163" s="6" t="n">
        <v>0.139765834569896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1.35375335397847</v>
      </c>
      <c r="AO1164" s="6" t="n">
        <v>1.35450811635203</v>
      </c>
      <c r="AP1164" s="6" t="n">
        <v>0.134337356304316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1.33766199142541</v>
      </c>
      <c r="AO1165" s="6" t="n">
        <v>1.33849555977943</v>
      </c>
      <c r="AP1165" s="6" t="n">
        <v>0.130254706178694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1.35816009275049</v>
      </c>
      <c r="AO1166" s="6" t="n">
        <v>1.35873725705394</v>
      </c>
      <c r="AP1166" s="6" t="n">
        <v>0.135955932854673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1.33805770757646</v>
      </c>
      <c r="AO1167" s="6" t="n">
        <v>1.3384480691983</v>
      </c>
      <c r="AP1167" s="6" t="n">
        <v>0.130453062535797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1.35521941560753</v>
      </c>
      <c r="AO1168" s="6" t="n">
        <v>1.35521941560753</v>
      </c>
      <c r="AP1168" s="6" t="n">
        <v>0.137390880646631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1.34085493181044</v>
      </c>
      <c r="AO1169" s="6" t="n">
        <v>1.34372335020257</v>
      </c>
      <c r="AP1169" s="6" t="n">
        <v>0.132156355217673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1.34915384954264</v>
      </c>
      <c r="AO1170" s="6" t="n">
        <v>1.34975062623325</v>
      </c>
      <c r="AP1170" s="6" t="n">
        <v>0.134196545173897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1.33971142605889</v>
      </c>
      <c r="AO1171" s="6" t="n">
        <v>1.33971142605889</v>
      </c>
      <c r="AP1171" s="6" t="n">
        <v>0.131998206812714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1.3414737951016</v>
      </c>
      <c r="AO1172" s="6" t="n">
        <v>1.34454017309708</v>
      </c>
      <c r="AP1172" s="6" t="n">
        <v>0.132801149791965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1.34941224449852</v>
      </c>
      <c r="AO1173" s="6" t="n">
        <v>1.35115986259674</v>
      </c>
      <c r="AP1173" s="6" t="n">
        <v>0.135195820856716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1.32716993632911</v>
      </c>
      <c r="AO1174" s="6" t="n">
        <v>1.33262955486485</v>
      </c>
      <c r="AP1174" s="6" t="n">
        <v>0.130604025283869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1.34413392757225</v>
      </c>
      <c r="AO1175" s="6" t="n">
        <v>1.34472292176928</v>
      </c>
      <c r="AP1175" s="6" t="n">
        <v>0.131741694196532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1.32231933615787</v>
      </c>
      <c r="AO1176" s="6" t="n">
        <v>1.32716414777713</v>
      </c>
      <c r="AP1176" s="6" t="n">
        <v>0.135058449117729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1.34769278055455</v>
      </c>
      <c r="AO1177" s="6" t="n">
        <v>1.34769278055455</v>
      </c>
      <c r="AP1177" s="6" t="n">
        <v>0.138367822865536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1.34386678882848</v>
      </c>
      <c r="AO1178" s="6" t="n">
        <v>1.34677816742628</v>
      </c>
      <c r="AP1178" s="6" t="n">
        <v>0.133431590764765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1.31669456797412</v>
      </c>
      <c r="AO1179" s="6" t="n">
        <v>1.32578356333268</v>
      </c>
      <c r="AP1179" s="6" t="n">
        <v>0.131633132231166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1.34705389583366</v>
      </c>
      <c r="AO1180" s="6" t="n">
        <v>1.34760740703558</v>
      </c>
      <c r="AP1180" s="6" t="n">
        <v>0.132973095680104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1.33272148015973</v>
      </c>
      <c r="AO1181" s="6" t="n">
        <v>1.33406345063221</v>
      </c>
      <c r="AP1181" s="6" t="n">
        <v>0.129961287577718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1.33363719581351</v>
      </c>
      <c r="AO1182" s="6" t="n">
        <v>1.33805042301941</v>
      </c>
      <c r="AP1182" s="6" t="n">
        <v>0.131625595448515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1.3489493624988</v>
      </c>
      <c r="AO1183" s="6" t="n">
        <v>1.34921804293329</v>
      </c>
      <c r="AP1183" s="6" t="n">
        <v>0.133687510355024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1.3388244669617</v>
      </c>
      <c r="AO1184" s="6" t="n">
        <v>1.33976007603763</v>
      </c>
      <c r="AP1184" s="6" t="n">
        <v>0.131404807105347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1.33227397823924</v>
      </c>
      <c r="AO1185" s="6" t="n">
        <v>1.33228487356015</v>
      </c>
      <c r="AP1185" s="6" t="n">
        <v>0.129796729963981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1.34798356920256</v>
      </c>
      <c r="AO1186" s="6" t="n">
        <v>1.34923384063438</v>
      </c>
      <c r="AP1186" s="6" t="n">
        <v>0.134602385159195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1.31979630758662</v>
      </c>
      <c r="AO1187" s="6" t="n">
        <v>1.32790152823118</v>
      </c>
      <c r="AP1187" s="6" t="n">
        <v>0.130690124754664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1.33279025160287</v>
      </c>
      <c r="AO1188" s="6" t="n">
        <v>1.33344966893943</v>
      </c>
      <c r="AP1188" s="6" t="n">
        <v>0.130151580450062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1.35732242315659</v>
      </c>
      <c r="AO1189" s="6" t="n">
        <v>1.35732242315659</v>
      </c>
      <c r="AP1189" s="6" t="n">
        <v>0.138584298198347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1.35257975711397</v>
      </c>
      <c r="AO1190" s="6" t="n">
        <v>1.35336959008988</v>
      </c>
      <c r="AP1190" s="6" t="n">
        <v>0.136167795396523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1.33368400663742</v>
      </c>
      <c r="AO1191" s="6" t="n">
        <v>1.34086064437011</v>
      </c>
      <c r="AP1191" s="6" t="n">
        <v>0.136656196655219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1.34320795277079</v>
      </c>
      <c r="AO1192" s="6" t="n">
        <v>1.34335940769576</v>
      </c>
      <c r="AP1192" s="6" t="n">
        <v>0.131730506260485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1.35790960414752</v>
      </c>
      <c r="AO1193" s="6" t="n">
        <v>1.35790960414752</v>
      </c>
      <c r="AP1193" s="6" t="n">
        <v>0.138502267856573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1.34227300443287</v>
      </c>
      <c r="AO1194" s="6" t="n">
        <v>1.34310001596916</v>
      </c>
      <c r="AP1194" s="6" t="n">
        <v>0.131870402134111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1.34365351764047</v>
      </c>
      <c r="AO1195" s="6" t="n">
        <v>1.34366426388711</v>
      </c>
      <c r="AP1195" s="6" t="n">
        <v>0.131868640632174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1.34669874059752</v>
      </c>
      <c r="AO1196" s="6" t="n">
        <v>1.34670959969758</v>
      </c>
      <c r="AP1196" s="6" t="n">
        <v>0.132175067260378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1.29963031818133</v>
      </c>
      <c r="AO1197" s="6" t="n">
        <v>1.30212998628494</v>
      </c>
      <c r="AP1197" s="6" t="n">
        <v>0.12974688284694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1.34833904027539</v>
      </c>
      <c r="AO1198" s="6" t="n">
        <v>1.34909816823983</v>
      </c>
      <c r="AP1198" s="6" t="n">
        <v>0.134863363288758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1.3579760315586</v>
      </c>
      <c r="AO1199" s="6" t="n">
        <v>1.3579760315586</v>
      </c>
      <c r="AP1199" s="6" t="n">
        <v>0.139000760162507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1.33903296566253</v>
      </c>
      <c r="AO1200" s="6" t="n">
        <v>1.34026206130013</v>
      </c>
      <c r="AP1200" s="6" t="n">
        <v>0.130905251094391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1.35064845472025</v>
      </c>
      <c r="AO1201" s="6" t="n">
        <v>1.35064845472025</v>
      </c>
      <c r="AP1201" s="6" t="n">
        <v>0.137223258127967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1.32209811716409</v>
      </c>
      <c r="AO1202" s="6" t="n">
        <v>1.33040506081939</v>
      </c>
      <c r="AP1202" s="6" t="n">
        <v>0.131490061981542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1.34103976274299</v>
      </c>
      <c r="AO1203" s="6" t="n">
        <v>1.34209552645672</v>
      </c>
      <c r="AP1203" s="6" t="n">
        <v>0.130935943889672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1.35350306194605</v>
      </c>
      <c r="AO1204" s="6" t="n">
        <v>1.35434216470276</v>
      </c>
      <c r="AP1204" s="6" t="n">
        <v>0.136943119541759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1.35685668013269</v>
      </c>
      <c r="AO1205" s="6" t="n">
        <v>1.35685668013269</v>
      </c>
      <c r="AP1205" s="6" t="n">
        <v>0.136774021445693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1.35557135357779</v>
      </c>
      <c r="AO1206" s="6" t="n">
        <v>1.35557135357779</v>
      </c>
      <c r="AP1206" s="6" t="n">
        <v>0.13719165474426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1.35185251038211</v>
      </c>
      <c r="AO1207" s="6" t="n">
        <v>1.35185251038211</v>
      </c>
      <c r="AP1207" s="6" t="n">
        <v>0.134323140601672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1.32144365585575</v>
      </c>
      <c r="AO1208" s="6" t="n">
        <v>1.32848249184605</v>
      </c>
      <c r="AP1208" s="6" t="n">
        <v>0.130498806536381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1.34169681556765</v>
      </c>
      <c r="AO1209" s="6" t="n">
        <v>1.34470235707217</v>
      </c>
      <c r="AP1209" s="6" t="n">
        <v>0.132089594960673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1.33223599249622</v>
      </c>
      <c r="AO1210" s="6" t="n">
        <v>1.33258279785224</v>
      </c>
      <c r="AP1210" s="6" t="n">
        <v>0.128676084691759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1.33491799153069</v>
      </c>
      <c r="AO1211" s="6" t="n">
        <v>1.34316764065572</v>
      </c>
      <c r="AP1211" s="6" t="n">
        <v>0.13439051025952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1.33827430997429</v>
      </c>
      <c r="AO1212" s="6" t="n">
        <v>1.34005254918167</v>
      </c>
      <c r="AP1212" s="6" t="n">
        <v>0.131828029423557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1.33778870353849</v>
      </c>
      <c r="AO1213" s="6" t="n">
        <v>1.3378048193561</v>
      </c>
      <c r="AP1213" s="6" t="n">
        <v>0.130632622397482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1.34693431753882</v>
      </c>
      <c r="AO1214" s="6" t="n">
        <v>1.34748269910869</v>
      </c>
      <c r="AP1214" s="6" t="n">
        <v>0.133378060096333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1.34362747107978</v>
      </c>
      <c r="AO1215" s="6" t="n">
        <v>1.34426741928348</v>
      </c>
      <c r="AP1215" s="6" t="n">
        <v>0.131760216372789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1.32846566347565</v>
      </c>
      <c r="AO1216" s="6" t="n">
        <v>1.3340665580518</v>
      </c>
      <c r="AP1216" s="6" t="n">
        <v>0.131566452170988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1.32864191018852</v>
      </c>
      <c r="AO1217" s="6" t="n">
        <v>1.33618474431934</v>
      </c>
      <c r="AP1217" s="6" t="n">
        <v>0.13276369458349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1.31871125432872</v>
      </c>
      <c r="AO1218" s="6" t="n">
        <v>1.32610162033777</v>
      </c>
      <c r="AP1218" s="6" t="n">
        <v>0.13053623830784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1.3353671586591</v>
      </c>
      <c r="AO1219" s="6" t="n">
        <v>1.33904432653898</v>
      </c>
      <c r="AP1219" s="6" t="n">
        <v>0.13121340878292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1.35799586476584</v>
      </c>
      <c r="AO1220" s="6" t="n">
        <v>1.35799586476584</v>
      </c>
      <c r="AP1220" s="6" t="n">
        <v>0.138564021262596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1.35642367181831</v>
      </c>
      <c r="AO1221" s="6" t="n">
        <v>1.35642367181831</v>
      </c>
      <c r="AP1221" s="6" t="n">
        <v>0.13786238438183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1.33854087000737</v>
      </c>
      <c r="AO1222" s="6" t="n">
        <v>1.35083438522617</v>
      </c>
      <c r="AP1222" s="6" t="n">
        <v>0.139301655363753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1.35139842235912</v>
      </c>
      <c r="AO1223" s="6" t="n">
        <v>1.35139842235912</v>
      </c>
      <c r="AP1223" s="6" t="n">
        <v>0.134130216554657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1.30377550869775</v>
      </c>
      <c r="AO1224" s="6" t="n">
        <v>1.31559785761652</v>
      </c>
      <c r="AP1224" s="6" t="n">
        <v>0.1292783127645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1.35093560913107</v>
      </c>
      <c r="AO1225" s="6" t="n">
        <v>1.35093560913107</v>
      </c>
      <c r="AP1225" s="6" t="n">
        <v>0.135745273179277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1.34348889751846</v>
      </c>
      <c r="AO1226" s="6" t="n">
        <v>1.34352744589665</v>
      </c>
      <c r="AP1226" s="6" t="n">
        <v>0.132323979972928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1.34549636667734</v>
      </c>
      <c r="AO1227" s="6" t="n">
        <v>1.34562773982312</v>
      </c>
      <c r="AP1227" s="6" t="n">
        <v>0.132179421433614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1.32099695368296</v>
      </c>
      <c r="AO1228" s="6" t="n">
        <v>1.33452697655743</v>
      </c>
      <c r="AP1228" s="6" t="n">
        <v>0.129427721404665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1.3535112418848</v>
      </c>
      <c r="AO1229" s="6" t="n">
        <v>1.3535112418848</v>
      </c>
      <c r="AP1229" s="6" t="n">
        <v>0.136825815550303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1.35168639583436</v>
      </c>
      <c r="AO1230" s="6" t="n">
        <v>1.35168639583436</v>
      </c>
      <c r="AP1230" s="6" t="n">
        <v>0.136084640121374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1.34387833049528</v>
      </c>
      <c r="AO1231" s="6" t="n">
        <v>1.34513278007976</v>
      </c>
      <c r="AP1231" s="6" t="n">
        <v>0.131082456403143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1.34111142728231</v>
      </c>
      <c r="AO1232" s="6" t="n">
        <v>1.34202632890779</v>
      </c>
      <c r="AP1232" s="6" t="n">
        <v>0.131736860489994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1.29967260853906</v>
      </c>
      <c r="AO1233" s="6" t="n">
        <v>1.31544446669474</v>
      </c>
      <c r="AP1233" s="6" t="n">
        <v>0.131597214603637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1.35135305500653</v>
      </c>
      <c r="AO1234" s="6" t="n">
        <v>1.35193938267399</v>
      </c>
      <c r="AP1234" s="6" t="n">
        <v>0.133496892272815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1.34481533631987</v>
      </c>
      <c r="AO1235" s="6" t="n">
        <v>1.34481533631987</v>
      </c>
      <c r="AP1235" s="6" t="n">
        <v>0.134246364739128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1.31759207331651</v>
      </c>
      <c r="AO1236" s="6" t="n">
        <v>1.31759207331651</v>
      </c>
      <c r="AP1236" s="6" t="n">
        <v>0.132410499759954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1.31375200835374</v>
      </c>
      <c r="AO1237" s="6" t="n">
        <v>1.32651290196989</v>
      </c>
      <c r="AP1237" s="6" t="n">
        <v>0.132105777562198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1.3241602808785</v>
      </c>
      <c r="AO1238" s="6" t="n">
        <v>1.32490847710575</v>
      </c>
      <c r="AP1238" s="6" t="n">
        <v>0.128267770367349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1.31630566212217</v>
      </c>
      <c r="AO1239" s="6" t="n">
        <v>1.32580713806267</v>
      </c>
      <c r="AP1239" s="6" t="n">
        <v>0.131340919809796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1.32677809036214</v>
      </c>
      <c r="AO1240" s="6" t="n">
        <v>1.32767731429483</v>
      </c>
      <c r="AP1240" s="6" t="n">
        <v>0.129936549715312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1.35063234595392</v>
      </c>
      <c r="AO1241" s="6" t="n">
        <v>1.35173477274032</v>
      </c>
      <c r="AP1241" s="6" t="n">
        <v>0.134100042686714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1.34383821510405</v>
      </c>
      <c r="AO1242" s="6" t="n">
        <v>1.35007133465124</v>
      </c>
      <c r="AP1242" s="6" t="n">
        <v>0.138168763093063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1.31222711876175</v>
      </c>
      <c r="AO1243" s="6" t="n">
        <v>1.31891648628022</v>
      </c>
      <c r="AP1243" s="6" t="n">
        <v>0.130708978988871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1.33695120446239</v>
      </c>
      <c r="AO1244" s="6" t="n">
        <v>1.34028309705147</v>
      </c>
      <c r="AP1244" s="6" t="n">
        <v>0.131694298886254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1.32513295443706</v>
      </c>
      <c r="AO1245" s="6" t="n">
        <v>1.32513295443706</v>
      </c>
      <c r="AP1245" s="6" t="n">
        <v>0.12945922256645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1.34743004594062</v>
      </c>
      <c r="AO1246" s="6" t="n">
        <v>1.34885790851454</v>
      </c>
      <c r="AP1246" s="6" t="n">
        <v>0.132903188889147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1.33943487958094</v>
      </c>
      <c r="AO1247" s="6" t="n">
        <v>1.34013888158992</v>
      </c>
      <c r="AP1247" s="6" t="n">
        <v>0.131394858899608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1.36401896946756</v>
      </c>
      <c r="AO1248" s="6" t="n">
        <v>1.36401896946756</v>
      </c>
      <c r="AP1248" s="6" t="n">
        <v>0.141954179729739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1.34090831479305</v>
      </c>
      <c r="AO1249" s="6" t="n">
        <v>1.34149987255609</v>
      </c>
      <c r="AP1249" s="6" t="n">
        <v>0.131965565362371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1.33950763567162</v>
      </c>
      <c r="AO1250" s="6" t="n">
        <v>1.34016737781709</v>
      </c>
      <c r="AP1250" s="6" t="n">
        <v>0.131081212902699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1.33779751441146</v>
      </c>
      <c r="AO1251" s="6" t="n">
        <v>1.34386742544674</v>
      </c>
      <c r="AP1251" s="6" t="n">
        <v>0.133640677958405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1.30557479126791</v>
      </c>
      <c r="AO1252" s="6" t="n">
        <v>1.32116886117839</v>
      </c>
      <c r="AP1252" s="6" t="n">
        <v>0.13505737653021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1.33718097554952</v>
      </c>
      <c r="AO1253" s="6" t="n">
        <v>1.33851087585116</v>
      </c>
      <c r="AP1253" s="6" t="n">
        <v>0.130717292066308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1.35238826765086</v>
      </c>
      <c r="AO1254" s="6" t="n">
        <v>1.35259258791231</v>
      </c>
      <c r="AP1254" s="6" t="n">
        <v>0.134116911743331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1.34921972506276</v>
      </c>
      <c r="AO1255" s="6" t="n">
        <v>1.35281886320464</v>
      </c>
      <c r="AP1255" s="6" t="n">
        <v>0.135114891270514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1.29990726123674</v>
      </c>
      <c r="AO1256" s="6" t="n">
        <v>1.31351196927194</v>
      </c>
      <c r="AP1256" s="6" t="n">
        <v>0.13102053705292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1.35950432049775</v>
      </c>
      <c r="AO1257" s="6" t="n">
        <v>1.36012431337959</v>
      </c>
      <c r="AP1257" s="6" t="n">
        <v>0.135705470057178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1.33833632907387</v>
      </c>
      <c r="AO1258" s="6" t="n">
        <v>1.33868488895012</v>
      </c>
      <c r="AP1258" s="6" t="n">
        <v>0.131004760303352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1.32987315345556</v>
      </c>
      <c r="AO1259" s="6" t="n">
        <v>1.32987692653976</v>
      </c>
      <c r="AP1259" s="6" t="n">
        <v>0.129655185296736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1.30854805384338</v>
      </c>
      <c r="AO1260" s="6" t="n">
        <v>1.32042330092413</v>
      </c>
      <c r="AP1260" s="6" t="n">
        <v>0.130691955184502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1.33135895571116</v>
      </c>
      <c r="AO1261" s="6" t="n">
        <v>1.3319693492227</v>
      </c>
      <c r="AP1261" s="6" t="n">
        <v>0.12935202666278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1.35179396401924</v>
      </c>
      <c r="AO1262" s="6" t="n">
        <v>1.35179396401924</v>
      </c>
      <c r="AP1262" s="6" t="n">
        <v>0.135479254208173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1.31646767822221</v>
      </c>
      <c r="AO1263" s="6" t="n">
        <v>1.31696347466191</v>
      </c>
      <c r="AP1263" s="6" t="n">
        <v>0.127266923900458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1.36159175389819</v>
      </c>
      <c r="AO1264" s="6" t="n">
        <v>1.36172798450648</v>
      </c>
      <c r="AP1264" s="6" t="n">
        <v>0.138260914224126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1.34073604240906</v>
      </c>
      <c r="AO1265" s="6" t="n">
        <v>1.34379089509063</v>
      </c>
      <c r="AP1265" s="6" t="n">
        <v>0.132104157019203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1.30347786456673</v>
      </c>
      <c r="AO1266" s="6" t="n">
        <v>1.31112439730161</v>
      </c>
      <c r="AP1266" s="6" t="n">
        <v>0.131308671235059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1.35426736665066</v>
      </c>
      <c r="AO1267" s="6" t="n">
        <v>1.35426736665066</v>
      </c>
      <c r="AP1267" s="6" t="n">
        <v>0.134729725383555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1.29147012215257</v>
      </c>
      <c r="AO1268" s="6" t="n">
        <v>1.30165718121265</v>
      </c>
      <c r="AP1268" s="6" t="n">
        <v>0.126897458259002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1.34122394351859</v>
      </c>
      <c r="AO1269" s="6" t="n">
        <v>1.34123108128991</v>
      </c>
      <c r="AP1269" s="6" t="n">
        <v>0.13131799260917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1.3551815971573</v>
      </c>
      <c r="AO1270" s="6" t="n">
        <v>1.3551815971573</v>
      </c>
      <c r="AP1270" s="6" t="n">
        <v>0.137405030976958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1.33130641584562</v>
      </c>
      <c r="AO1271" s="6" t="n">
        <v>1.33160473513551</v>
      </c>
      <c r="AP1271" s="6" t="n">
        <v>0.129424322415063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1.30877188679477</v>
      </c>
      <c r="AO1272" s="6" t="n">
        <v>1.31261413443955</v>
      </c>
      <c r="AP1272" s="6" t="n">
        <v>0.13451046799571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1.32353655044696</v>
      </c>
      <c r="AO1273" s="6" t="n">
        <v>1.32971720295187</v>
      </c>
      <c r="AP1273" s="6" t="n">
        <v>0.130679658174521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1.3451927692556</v>
      </c>
      <c r="AO1274" s="6" t="n">
        <v>1.34725372047722</v>
      </c>
      <c r="AP1274" s="6" t="n">
        <v>0.132719981630283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1.34245059176686</v>
      </c>
      <c r="AO1275" s="6" t="n">
        <v>1.34414830817239</v>
      </c>
      <c r="AP1275" s="6" t="n">
        <v>0.132224463625919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1.34309480424355</v>
      </c>
      <c r="AO1276" s="6" t="n">
        <v>1.34315810015382</v>
      </c>
      <c r="AP1276" s="6" t="n">
        <v>0.131184569019023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1.34021888749745</v>
      </c>
      <c r="AO1277" s="6" t="n">
        <v>1.34082714400216</v>
      </c>
      <c r="AP1277" s="6" t="n">
        <v>0.131397842387641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1.32970188947543</v>
      </c>
      <c r="AO1278" s="6" t="n">
        <v>1.33020995120419</v>
      </c>
      <c r="AP1278" s="6" t="n">
        <v>0.129549379604601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1.32726033756711</v>
      </c>
      <c r="AO1279" s="6" t="n">
        <v>1.33096554721374</v>
      </c>
      <c r="AP1279" s="6" t="n">
        <v>0.129559136114579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1.30946977913289</v>
      </c>
      <c r="AO1280" s="6" t="n">
        <v>1.32205115308184</v>
      </c>
      <c r="AP1280" s="6" t="n">
        <v>0.131562399828198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1.33520181682097</v>
      </c>
      <c r="AO1281" s="6" t="n">
        <v>1.33525309445011</v>
      </c>
      <c r="AP1281" s="6" t="n">
        <v>0.130487348142899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1.31225481372452</v>
      </c>
      <c r="AO1282" s="6" t="n">
        <v>1.32193702428696</v>
      </c>
      <c r="AP1282" s="6" t="n">
        <v>0.129261528187345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1.30591966680603</v>
      </c>
      <c r="AO1283" s="6" t="n">
        <v>1.31528101884708</v>
      </c>
      <c r="AP1283" s="6" t="n">
        <v>0.131323530331776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1.33145837795147</v>
      </c>
      <c r="AO1284" s="6" t="n">
        <v>1.3319184135404</v>
      </c>
      <c r="AP1284" s="6" t="n">
        <v>0.129289126150447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1.32882100229316</v>
      </c>
      <c r="AO1285" s="6" t="n">
        <v>1.33380763482762</v>
      </c>
      <c r="AP1285" s="6" t="n">
        <v>0.130419367760761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1.35785671481671</v>
      </c>
      <c r="AO1286" s="6" t="n">
        <v>1.35785671481671</v>
      </c>
      <c r="AP1286" s="6" t="n">
        <v>0.138208106920552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1.35430024321481</v>
      </c>
      <c r="AO1287" s="6" t="n">
        <v>1.35430024321481</v>
      </c>
      <c r="AP1287" s="6" t="n">
        <v>0.134559791038328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1.33145548355073</v>
      </c>
      <c r="AO1288" s="6" t="n">
        <v>1.33195499017501</v>
      </c>
      <c r="AP1288" s="6" t="n">
        <v>0.129982089644996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1.34978005164717</v>
      </c>
      <c r="AO1289" s="6" t="n">
        <v>1.35076752788627</v>
      </c>
      <c r="AP1289" s="6" t="n">
        <v>0.133322836068333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1.35886392790565</v>
      </c>
      <c r="AO1290" s="6" t="n">
        <v>1.35919627098251</v>
      </c>
      <c r="AP1290" s="6" t="n">
        <v>0.138707639792913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1.34056880205736</v>
      </c>
      <c r="AO1291" s="6" t="n">
        <v>1.34276147422548</v>
      </c>
      <c r="AP1291" s="6" t="n">
        <v>0.131598092805888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1.3183035232488</v>
      </c>
      <c r="AO1292" s="6" t="n">
        <v>1.31994544111855</v>
      </c>
      <c r="AP1292" s="6" t="n">
        <v>0.127162032141633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1.34339038466006</v>
      </c>
      <c r="AO1293" s="6" t="n">
        <v>1.3450546664425</v>
      </c>
      <c r="AP1293" s="6" t="n">
        <v>0.133040761993843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1.32325815761348</v>
      </c>
      <c r="AO1294" s="6" t="n">
        <v>1.32494891459619</v>
      </c>
      <c r="AP1294" s="6" t="n">
        <v>0.12803870311016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1.35497551813374</v>
      </c>
      <c r="AO1295" s="6" t="n">
        <v>1.35500436276429</v>
      </c>
      <c r="AP1295" s="6" t="n">
        <v>0.136314680464094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1.35105539475752</v>
      </c>
      <c r="AO1296" s="6" t="n">
        <v>1.35115029286909</v>
      </c>
      <c r="AP1296" s="6" t="n">
        <v>0.134085893728542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1.34560476924946</v>
      </c>
      <c r="AO1297" s="6" t="n">
        <v>1.34560476924946</v>
      </c>
      <c r="AP1297" s="6" t="n">
        <v>0.133165537312937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1.33796878747065</v>
      </c>
      <c r="AO1298" s="6" t="n">
        <v>1.33803917356002</v>
      </c>
      <c r="AP1298" s="6" t="n">
        <v>0.130813442525952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1.34193745607017</v>
      </c>
      <c r="AO1299" s="6" t="n">
        <v>1.3423346819861</v>
      </c>
      <c r="AP1299" s="6" t="n">
        <v>0.133379162764782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1.32969333267566</v>
      </c>
      <c r="AO1300" s="6" t="n">
        <v>1.33524989878517</v>
      </c>
      <c r="AP1300" s="6" t="n">
        <v>0.133182156754922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1.33760184423583</v>
      </c>
      <c r="AO1301" s="6" t="n">
        <v>1.33881890928082</v>
      </c>
      <c r="AP1301" s="6" t="n">
        <v>0.130483832650423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1.33561581151626</v>
      </c>
      <c r="AO1302" s="6" t="n">
        <v>1.33603145897282</v>
      </c>
      <c r="AP1302" s="6" t="n">
        <v>0.129996237655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1.34242577874971</v>
      </c>
      <c r="AO1303" s="6" t="n">
        <v>1.34256212349445</v>
      </c>
      <c r="AP1303" s="6" t="n">
        <v>0.133172192048982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1.31845603250516</v>
      </c>
      <c r="AO1304" s="6" t="n">
        <v>1.31926761974983</v>
      </c>
      <c r="AP1304" s="6" t="n">
        <v>0.127511956556687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1.34667926132916</v>
      </c>
      <c r="AO1305" s="6" t="n">
        <v>1.34774575465106</v>
      </c>
      <c r="AP1305" s="6" t="n">
        <v>0.131848877979025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1.34941908885208</v>
      </c>
      <c r="AO1306" s="6" t="n">
        <v>1.34941908885208</v>
      </c>
      <c r="AP1306" s="6" t="n">
        <v>0.134961863232208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1.35082217619033</v>
      </c>
      <c r="AO1307" s="6" t="n">
        <v>1.35082217619033</v>
      </c>
      <c r="AP1307" s="6" t="n">
        <v>0.134519864859902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1.34815294411335</v>
      </c>
      <c r="AO1308" s="6" t="n">
        <v>1.34871905121667</v>
      </c>
      <c r="AP1308" s="6" t="n">
        <v>0.132927157156725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1.32628417538639</v>
      </c>
      <c r="AO1309" s="6" t="n">
        <v>1.3276409642644</v>
      </c>
      <c r="AP1309" s="6" t="n">
        <v>0.128053613836898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1.34491617894517</v>
      </c>
      <c r="AO1310" s="6" t="n">
        <v>1.34854058076882</v>
      </c>
      <c r="AP1310" s="6" t="n">
        <v>0.13403660735141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1.26610632848489</v>
      </c>
      <c r="AO1311" s="6" t="n">
        <v>1.26964020646408</v>
      </c>
      <c r="AP1311" s="6" t="n">
        <v>0.12832264952362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1.36239849679913</v>
      </c>
      <c r="AO1312" s="6" t="n">
        <v>1.36239849679913</v>
      </c>
      <c r="AP1312" s="6" t="n">
        <v>0.14146558000972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1.01002972015175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519.616023470212</v>
      </c>
      <c r="K16" s="13" t="n">
        <f aca="false">IF(Inputs!$F$33=1,Inputs!$F$60*Time!$F$16^((K8-Inputs!$F$212)/12),INDEX(Operations!$J$11:$BN$11,1,K12))</f>
        <v>520.04833998674</v>
      </c>
      <c r="L16" s="13" t="n">
        <f aca="false">IF(Inputs!$F$33=1,Inputs!$F$60*Time!$F$16^((L8-Inputs!$F$212)/12),INDEX(Operations!$J$11:$BN$11,1,L12))</f>
        <v>520.481016187268</v>
      </c>
      <c r="M16" s="13" t="n">
        <f aca="false">IF(Inputs!$F$33=1,Inputs!$F$60*Time!$F$16^((M8-Inputs!$F$212)/12),INDEX(Operations!$J$11:$BN$11,1,M12))</f>
        <v>520.914052371053</v>
      </c>
      <c r="N16" s="13" t="n">
        <f aca="false">IF(Inputs!$F$33=1,Inputs!$F$60*Time!$F$16^((N8-Inputs!$F$212)/12),INDEX(Operations!$J$11:$BN$11,1,N12))</f>
        <v>521.347448837596</v>
      </c>
      <c r="O16" s="13" t="n">
        <f aca="false">IF(Inputs!$F$33=1,Inputs!$F$60*Time!$F$16^((O8-Inputs!$F$212)/12),INDEX(Operations!$J$11:$BN$11,1,O12))</f>
        <v>521.78120588665</v>
      </c>
      <c r="P16" s="13" t="n">
        <f aca="false">IF(Inputs!$F$33=1,Inputs!$F$60*Time!$F$16^((P8-Inputs!$F$212)/12),INDEX(Operations!$J$11:$BN$11,1,P12))</f>
        <v>522.215323818218</v>
      </c>
      <c r="Q16" s="13" t="n">
        <f aca="false">IF(Inputs!$F$33=1,Inputs!$F$60*Time!$F$16^((Q8-Inputs!$F$212)/12),INDEX(Operations!$J$11:$BN$11,1,Q12))</f>
        <v>522.649802932551</v>
      </c>
      <c r="R16" s="13" t="n">
        <f aca="false">IF(Inputs!$F$33=1,Inputs!$F$60*Time!$F$16^((R8-Inputs!$F$212)/12),INDEX(Operations!$J$11:$BN$11,1,R12))</f>
        <v>523.084643530149</v>
      </c>
      <c r="S16" s="13" t="n">
        <f aca="false">IF(Inputs!$F$33=1,Inputs!$F$60*Time!$F$16^((S8-Inputs!$F$212)/12),INDEX(Operations!$J$11:$BN$11,1,S12))</f>
        <v>523.519845911765</v>
      </c>
      <c r="T16" s="13" t="n">
        <f aca="false">IF(Inputs!$F$33=1,Inputs!$F$60*Time!$F$16^((T8-Inputs!$F$212)/12),INDEX(Operations!$J$11:$BN$11,1,T12))</f>
        <v>523.955410378399</v>
      </c>
      <c r="U16" s="13" t="n">
        <f aca="false">IF(Inputs!$F$33=1,Inputs!$F$60*Time!$F$16^((U8-Inputs!$F$212)/12),INDEX(Operations!$J$11:$BN$11,1,U12))</f>
        <v>524.391337231305</v>
      </c>
      <c r="V16" s="13" t="n">
        <f aca="false">IF(Inputs!$F$33=1,Inputs!$F$60*Time!$F$16^((V8-Inputs!$F$212)/12),INDEX(Operations!$J$11:$BN$11,1,V12))</f>
        <v>524.827626771983</v>
      </c>
      <c r="W16" s="13" t="n">
        <f aca="false">IF(Inputs!$F$33=1,Inputs!$F$60*Time!$F$16^((W8-Inputs!$F$212)/12),INDEX(Operations!$J$11:$BN$11,1,W12))</f>
        <v>525.264279302188</v>
      </c>
      <c r="X16" s="13" t="n">
        <f aca="false">IF(Inputs!$F$33=1,Inputs!$F$60*Time!$F$16^((X8-Inputs!$F$212)/12),INDEX(Operations!$J$11:$BN$11,1,X12))</f>
        <v>525.701295123925</v>
      </c>
      <c r="Y16" s="13" t="n">
        <f aca="false">IF(Inputs!$F$33=1,Inputs!$F$60*Time!$F$16^((Y8-Inputs!$F$212)/12),INDEX(Operations!$J$11:$BN$11,1,Y12))</f>
        <v>526.138674539448</v>
      </c>
      <c r="Z16" s="13" t="n">
        <f aca="false">IF(Inputs!$F$33=1,Inputs!$F$60*Time!$F$16^((Z8-Inputs!$F$212)/12),INDEX(Operations!$J$11:$BN$11,1,Z12))</f>
        <v>526.576417851265</v>
      </c>
      <c r="AA16" s="13" t="n">
        <f aca="false">IF(Inputs!$F$33=1,Inputs!$F$60*Time!$F$16^((AA8-Inputs!$F$212)/12),INDEX(Operations!$J$11:$BN$11,1,AA12))</f>
        <v>527.014525362136</v>
      </c>
      <c r="AB16" s="13" t="n">
        <f aca="false">IF(Inputs!$F$33=1,Inputs!$F$60*Time!$F$16^((AB8-Inputs!$F$212)/12),INDEX(Operations!$J$11:$BN$11,1,AB12))</f>
        <v>527.45299737507</v>
      </c>
      <c r="AC16" s="13" t="n">
        <f aca="false">IF(Inputs!$F$33=1,Inputs!$F$60*Time!$F$16^((AC8-Inputs!$F$212)/12),INDEX(Operations!$J$11:$BN$11,1,AC12))</f>
        <v>527.891834193331</v>
      </c>
      <c r="AD16" s="13" t="n">
        <f aca="false">IF(Inputs!$F$33=1,Inputs!$F$60*Time!$F$16^((AD8-Inputs!$F$212)/12),INDEX(Operations!$J$11:$BN$11,1,AD12))</f>
        <v>528.331036120434</v>
      </c>
      <c r="AE16" s="13" t="n">
        <f aca="false">IF(Inputs!$F$33=1,Inputs!$F$60*Time!$F$16^((AE8-Inputs!$F$212)/12),INDEX(Operations!$J$11:$BN$11,1,AE12))</f>
        <v>528.770603460147</v>
      </c>
      <c r="AF16" s="13" t="n">
        <f aca="false">IF(Inputs!$F$33=1,Inputs!$F$60*Time!$F$16^((AF8-Inputs!$F$212)/12),INDEX(Operations!$J$11:$BN$11,1,AF12))</f>
        <v>529.21053651649</v>
      </c>
      <c r="AG16" s="13" t="n">
        <f aca="false">IF(Inputs!$F$33=1,Inputs!$F$60*Time!$F$16^((AG8-Inputs!$F$212)/12),INDEX(Operations!$J$11:$BN$11,1,AG12))</f>
        <v>529.650835593736</v>
      </c>
      <c r="AH16" s="13" t="n">
        <f aca="false">IF(Inputs!$F$33=1,Inputs!$F$60*Time!$F$16^((AH8-Inputs!$F$212)/12),INDEX(Operations!$J$11:$BN$11,1,AH12))</f>
        <v>530.091500996413</v>
      </c>
      <c r="AI16" s="13" t="n">
        <f aca="false">IF(Inputs!$F$33=1,Inputs!$F$60*Time!$F$16^((AI8-Inputs!$F$212)/12),INDEX(Operations!$J$11:$BN$11,1,AI12))</f>
        <v>530.532533029299</v>
      </c>
      <c r="AJ16" s="13" t="n">
        <f aca="false">IF(Inputs!$F$33=1,Inputs!$F$60*Time!$F$16^((AJ8-Inputs!$F$212)/12),INDEX(Operations!$J$11:$BN$11,1,AJ12))</f>
        <v>530.973931997429</v>
      </c>
      <c r="AK16" s="13" t="n">
        <f aca="false">IF(Inputs!$F$33=1,Inputs!$F$60*Time!$F$16^((AK8-Inputs!$F$212)/12),INDEX(Operations!$J$11:$BN$11,1,AK12))</f>
        <v>531.415698206091</v>
      </c>
      <c r="AL16" s="13" t="n">
        <f aca="false">IF(Inputs!$F$33=1,Inputs!$F$60*Time!$F$16^((AL8-Inputs!$F$212)/12),INDEX(Operations!$J$11:$BN$11,1,AL12))</f>
        <v>531.857831960824</v>
      </c>
      <c r="AM16" s="13" t="n">
        <f aca="false">IF(Inputs!$F$33=1,Inputs!$F$60*Time!$F$16^((AM8-Inputs!$F$212)/12),INDEX(Operations!$J$11:$BN$11,1,AM12))</f>
        <v>532.300333567425</v>
      </c>
      <c r="AN16" s="13" t="n">
        <f aca="false">IF(Inputs!$F$33=1,Inputs!$F$60*Time!$F$16^((AN8-Inputs!$F$212)/12),INDEX(Operations!$J$11:$BN$11,1,AN12))</f>
        <v>532.743203331943</v>
      </c>
      <c r="AO16" s="13" t="n">
        <f aca="false">IF(Inputs!$F$33=1,Inputs!$F$60*Time!$F$16^((AO8-Inputs!$F$212)/12),INDEX(Operations!$J$11:$BN$11,1,AO12))</f>
        <v>533.186441560684</v>
      </c>
      <c r="AP16" s="13" t="n">
        <f aca="false">IF(Inputs!$F$33=1,Inputs!$F$60*Time!$F$16^((AP8-Inputs!$F$212)/12),INDEX(Operations!$J$11:$BN$11,1,AP12))</f>
        <v>533.630048560205</v>
      </c>
      <c r="AQ16" s="13" t="n">
        <f aca="false">IF(Inputs!$F$33=1,Inputs!$F$60*Time!$F$16^((AQ8-Inputs!$F$212)/12),INDEX(Operations!$J$11:$BN$11,1,AQ12))</f>
        <v>534.074024637323</v>
      </c>
      <c r="AR16" s="13" t="n">
        <f aca="false">IF(Inputs!$F$33=1,Inputs!$F$60*Time!$F$16^((AR8-Inputs!$F$212)/12),INDEX(Operations!$J$11:$BN$11,1,AR12))</f>
        <v>534.518370099107</v>
      </c>
      <c r="AS16" s="13" t="n">
        <f aca="false">IF(Inputs!$F$33=1,Inputs!$F$60*Time!$F$16^((AS8-Inputs!$F$212)/12),INDEX(Operations!$J$11:$BN$11,1,AS12))</f>
        <v>534.963085252881</v>
      </c>
      <c r="AT16" s="13" t="n">
        <f aca="false">IF(Inputs!$F$33=1,Inputs!$F$60*Time!$F$16^((AT8-Inputs!$F$212)/12),INDEX(Operations!$J$11:$BN$11,1,AT12))</f>
        <v>535.408170406227</v>
      </c>
      <c r="AU16" s="13" t="n">
        <f aca="false">IF(Inputs!$F$33=1,Inputs!$F$60*Time!$F$16^((AU8-Inputs!$F$212)/12),INDEX(Operations!$J$11:$BN$11,1,AU12))</f>
        <v>535.853625866982</v>
      </c>
      <c r="AV16" s="13" t="n">
        <f aca="false">IF(Inputs!$F$33=1,Inputs!$F$60*Time!$F$16^((AV8-Inputs!$F$212)/12),INDEX(Operations!$J$11:$BN$11,1,AV12))</f>
        <v>536.299451943237</v>
      </c>
      <c r="AW16" s="13" t="n">
        <f aca="false">IF(Inputs!$F$33=1,Inputs!$F$60*Time!$F$16^((AW8-Inputs!$F$212)/12),INDEX(Operations!$J$11:$BN$11,1,AW12))</f>
        <v>536.745648943344</v>
      </c>
      <c r="AX16" s="13" t="n">
        <f aca="false">IF(Inputs!$F$33=1,Inputs!$F$60*Time!$F$16^((AX8-Inputs!$F$212)/12),INDEX(Operations!$J$11:$BN$11,1,AX12))</f>
        <v>537.192217175907</v>
      </c>
      <c r="AY16" s="13" t="n">
        <f aca="false">IF(Inputs!$F$33=1,Inputs!$F$60*Time!$F$16^((AY8-Inputs!$F$212)/12),INDEX(Operations!$J$11:$BN$11,1,AY12))</f>
        <v>537.639156949789</v>
      </c>
      <c r="AZ16" s="13" t="n">
        <f aca="false">IF(Inputs!$F$33=1,Inputs!$F$60*Time!$F$16^((AZ8-Inputs!$F$212)/12),INDEX(Operations!$J$11:$BN$11,1,AZ12))</f>
        <v>538.086468574109</v>
      </c>
      <c r="BA16" s="13" t="n">
        <f aca="false">IF(Inputs!$F$33=1,Inputs!$F$60*Time!$F$16^((BA8-Inputs!$F$212)/12),INDEX(Operations!$J$11:$BN$11,1,BA12))</f>
        <v>538.534152358244</v>
      </c>
      <c r="BB16" s="13" t="n">
        <f aca="false">IF(Inputs!$F$33=1,Inputs!$F$60*Time!$F$16^((BB8-Inputs!$F$212)/12),INDEX(Operations!$J$11:$BN$11,1,BB12))</f>
        <v>538.982208611829</v>
      </c>
      <c r="BC16" s="13" t="n">
        <f aca="false">IF(Inputs!$F$33=1,Inputs!$F$60*Time!$F$16^((BC8-Inputs!$F$212)/12),INDEX(Operations!$J$11:$BN$11,1,BC12))</f>
        <v>539.430637644754</v>
      </c>
      <c r="BD16" s="13" t="n">
        <f aca="false">IF(Inputs!$F$33=1,Inputs!$F$60*Time!$F$16^((BD8-Inputs!$F$212)/12),INDEX(Operations!$J$11:$BN$11,1,BD12))</f>
        <v>539.87943976717</v>
      </c>
      <c r="BE16" s="13" t="n">
        <f aca="false">IF(Inputs!$F$33=1,Inputs!$F$60*Time!$F$16^((BE8-Inputs!$F$212)/12),INDEX(Operations!$J$11:$BN$11,1,BE12))</f>
        <v>540.328615289484</v>
      </c>
      <c r="BF16" s="13" t="n">
        <f aca="false">IF(Inputs!$F$33=1,Inputs!$F$60*Time!$F$16^((BF8-Inputs!$F$212)/12),INDEX(Operations!$J$11:$BN$11,1,BF12))</f>
        <v>540.778164522362</v>
      </c>
      <c r="BG16" s="13" t="n">
        <f aca="false">IF(Inputs!$F$33=1,Inputs!$F$60*Time!$F$16^((BG8-Inputs!$F$212)/12),INDEX(Operations!$J$11:$BN$11,1,BG12))</f>
        <v>541.228087776727</v>
      </c>
      <c r="BH16" s="13" t="n">
        <f aca="false">IF(Inputs!$F$33=1,Inputs!$F$60*Time!$F$16^((BH8-Inputs!$F$212)/12),INDEX(Operations!$J$11:$BN$11,1,BH12))</f>
        <v>541.678385363765</v>
      </c>
      <c r="BI16" s="13" t="n">
        <f aca="false">IF(Inputs!$F$33=1,Inputs!$F$60*Time!$F$16^((BI8-Inputs!$F$212)/12),INDEX(Operations!$J$11:$BN$11,1,BI12))</f>
        <v>542.129057594915</v>
      </c>
      <c r="BJ16" s="13" t="n">
        <f aca="false">IF(Inputs!$F$33=1,Inputs!$F$60*Time!$F$16^((BJ8-Inputs!$F$212)/12),INDEX(Operations!$J$11:$BN$11,1,BJ12))</f>
        <v>542.580104781879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1.75708095058784</v>
      </c>
      <c r="J38" s="13" t="n">
        <f aca="false">I37*(J18+Inputs!$F$71)/100*J11/Inputs!$F$248/J16</f>
        <v>0</v>
      </c>
      <c r="K38" s="13" t="n">
        <f aca="false">J37*(K18+Inputs!$F$71)/100*K11/Inputs!$F$248/K16</f>
        <v>0.0195446116976362</v>
      </c>
      <c r="L38" s="13" t="n">
        <f aca="false">K37*(L18+Inputs!$F$71)/100*L11/Inputs!$F$248/L16</f>
        <v>0.0202011033789584</v>
      </c>
      <c r="M38" s="13" t="n">
        <f aca="false">L37*(M18+Inputs!$F$71)/100*M11/Inputs!$F$248/M16</f>
        <v>0.019754275844945</v>
      </c>
      <c r="N38" s="13" t="n">
        <f aca="false">M37*(N18+Inputs!$F$71)/100*N11/Inputs!$F$248/N16</f>
        <v>0.0210483041773643</v>
      </c>
      <c r="O38" s="13" t="n">
        <f aca="false">N37*(O18+Inputs!$F$71)/100*O11/Inputs!$F$248/O16</f>
        <v>0.0222977276258408</v>
      </c>
      <c r="P38" s="13" t="n">
        <f aca="false">O37*(P18+Inputs!$F$71)/100*P11/Inputs!$F$248/P16</f>
        <v>0.0219604441048855</v>
      </c>
      <c r="Q38" s="13" t="n">
        <f aca="false">P37*(Q18+Inputs!$F$71)/100*Q11/Inputs!$F$248/Q16</f>
        <v>0.0272061914908092</v>
      </c>
      <c r="R38" s="13" t="n">
        <f aca="false">Q37*(R18+Inputs!$F$71)/100*R11/Inputs!$F$248/R16</f>
        <v>0.0300444639285334</v>
      </c>
      <c r="S38" s="13" t="n">
        <f aca="false">R37*(S18+Inputs!$F$71)/100*S11/Inputs!$F$248/S16</f>
        <v>0.0358617426370076</v>
      </c>
      <c r="T38" s="13" t="n">
        <f aca="false">S37*(T18+Inputs!$F$71)/100*T11/Inputs!$F$248/T16</f>
        <v>0.0209026703557457</v>
      </c>
      <c r="U38" s="13" t="n">
        <f aca="false">T37*(U18+Inputs!$F$71)/100*U11/Inputs!$F$248/U16</f>
        <v>0.0283013448884828</v>
      </c>
      <c r="V38" s="13" t="n">
        <f aca="false">U37*(V18+Inputs!$F$71)/100*V11/Inputs!$F$248/V16</f>
        <v>0.0356471050168431</v>
      </c>
      <c r="W38" s="13" t="n">
        <f aca="false">V37*(W18+Inputs!$F$71)/100*W11/Inputs!$F$248/W16</f>
        <v>0.0419215714897462</v>
      </c>
      <c r="X38" s="13" t="n">
        <f aca="false">W37*(X18+Inputs!$F$71)/100*X11/Inputs!$F$248/X16</f>
        <v>0.0510030031881047</v>
      </c>
      <c r="Y38" s="13" t="n">
        <f aca="false">X37*(Y18+Inputs!$F$71)/100*Y11/Inputs!$F$248/Y16</f>
        <v>0.0565207281618819</v>
      </c>
      <c r="Z38" s="13" t="n">
        <f aca="false">Y37*(Z18+Inputs!$F$71)/100*Z11/Inputs!$F$248/Z16</f>
        <v>0.0652564235703564</v>
      </c>
      <c r="AA38" s="13" t="n">
        <f aca="false">Z37*(AA18+Inputs!$F$71)/100*AA11/Inputs!$F$248/AA16</f>
        <v>0.0713224155581292</v>
      </c>
      <c r="AB38" s="13" t="n">
        <f aca="false">AA37*(AB18+Inputs!$F$71)/100*AB11/Inputs!$F$248/AB16</f>
        <v>0.071473922282188</v>
      </c>
      <c r="AC38" s="13" t="n">
        <f aca="false">AB37*(AC18+Inputs!$F$71)/100*AC11/Inputs!$F$248/AC16</f>
        <v>0.080337153079895</v>
      </c>
      <c r="AD38" s="13" t="n">
        <f aca="false">AC37*(AD18+Inputs!$F$71)/100*AD11/Inputs!$F$248/AD16</f>
        <v>0.0803254862219794</v>
      </c>
      <c r="AE38" s="13" t="n">
        <f aca="false">AD37*(AE18+Inputs!$F$71)/100*AE11/Inputs!$F$248/AE16</f>
        <v>0.0843200391031118</v>
      </c>
      <c r="AF38" s="13" t="n">
        <f aca="false">AE37*(AF18+Inputs!$F$71)/100*AF11/Inputs!$F$248/AF16</f>
        <v>0.0815322036782487</v>
      </c>
      <c r="AG38" s="13" t="n">
        <f aca="false">AF37*(AG18+Inputs!$F$71)/100*AG11/Inputs!$F$248/AG16</f>
        <v>0.0827961731155611</v>
      </c>
      <c r="AH38" s="13" t="n">
        <f aca="false">AG37*(AH18+Inputs!$F$71)/100*AH11/Inputs!$F$248/AH16</f>
        <v>0.0800037861642743</v>
      </c>
      <c r="AI38" s="13" t="n">
        <f aca="false">AH37*(AI18+Inputs!$F$71)/100*AI11/Inputs!$F$248/AI16</f>
        <v>0.0735093557332442</v>
      </c>
      <c r="AJ38" s="13" t="n">
        <f aca="false">AI37*(AJ18+Inputs!$F$71)/100*AJ11/Inputs!$F$248/AJ16</f>
        <v>0.0707905731674044</v>
      </c>
      <c r="AK38" s="13" t="n">
        <f aca="false">AJ37*(AK18+Inputs!$F$71)/100*AK11/Inputs!$F$248/AK16</f>
        <v>0.0625762963662872</v>
      </c>
      <c r="AL38" s="13" t="n">
        <f aca="false">AK37*(AL18+Inputs!$F$71)/100*AL11/Inputs!$F$248/AL16</f>
        <v>0.0577767162309339</v>
      </c>
      <c r="AM38" s="13" t="n">
        <f aca="false">AL37*(AM18+Inputs!$F$71)/100*AM11/Inputs!$F$248/AM16</f>
        <v>0.0503707083020268</v>
      </c>
      <c r="AN38" s="13" t="n">
        <f aca="false">AM37*(AN18+Inputs!$F$71)/100*AN11/Inputs!$F$248/AN16</f>
        <v>0.0385775178450959</v>
      </c>
      <c r="AO38" s="13" t="n">
        <f aca="false">AN37*(AO18+Inputs!$F$71)/100*AO11/Inputs!$F$248/AO16</f>
        <v>0.0350882619455208</v>
      </c>
      <c r="AP38" s="13" t="n">
        <f aca="false">AO37*(AP18+Inputs!$F$71)/100*AP11/Inputs!$F$248/AP16</f>
        <v>0.0269142242589077</v>
      </c>
      <c r="AQ38" s="13" t="n">
        <f aca="false">AP37*(AQ18+Inputs!$F$71)/100*AQ11/Inputs!$F$248/AQ16</f>
        <v>0.0359394877297495</v>
      </c>
      <c r="AR38" s="13" t="n">
        <f aca="false">AQ37*(AR18+Inputs!$F$71)/100*AR11/Inputs!$F$248/AR16</f>
        <v>0.0292369270349664</v>
      </c>
      <c r="AS38" s="13" t="n">
        <f aca="false">AR37*(AS18+Inputs!$F$71)/100*AS11/Inputs!$F$248/AS16</f>
        <v>0.0254483367077762</v>
      </c>
      <c r="AT38" s="13" t="n">
        <f aca="false">AS37*(AT18+Inputs!$F$71)/100*AT11/Inputs!$F$248/AT16</f>
        <v>0.0216537108587356</v>
      </c>
      <c r="AU38" s="13" t="n">
        <f aca="false">AT37*(AU18+Inputs!$F$71)/100*AU11/Inputs!$F$248/AU16</f>
        <v>0.0181881634158905</v>
      </c>
      <c r="AV38" s="13" t="n">
        <f aca="false">AU37*(AV18+Inputs!$F$71)/100*AV11/Inputs!$F$248/AV16</f>
        <v>0.0167980747857658</v>
      </c>
      <c r="AW38" s="13" t="n">
        <f aca="false">AV37*(AW18+Inputs!$F$71)/100*AW11/Inputs!$F$248/AW16</f>
        <v>0.0150508173996704</v>
      </c>
      <c r="AX38" s="13" t="n">
        <f aca="false">AW37*(AX18+Inputs!$F$71)/100*AX11/Inputs!$F$248/AX16</f>
        <v>0.014906307365562</v>
      </c>
      <c r="AY38" s="13" t="n">
        <f aca="false">AX37*(AY18+Inputs!$F$71)/100*AY11/Inputs!$F$248/AY16</f>
        <v>0.0146725806797689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520.69748926254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523.302199479148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525.919939363562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528.550774094719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531.194769177603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533.851990444879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536.522504058528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539.206376511495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541.90367462935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544.614465571944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547.338816835087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550.076796252225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552.828471996132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555.593912580606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558.373186862173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561.166364041804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563.97351366664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566.794705631718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569.630010181715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572.479497912697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575.343239773876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578.221307069375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581.113771460008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584.02070496506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586.94217996408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589.878269198686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592.829045774377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595.794583162347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598.774955201322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601.770236099393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604.780500435868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607.805823163122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610.846279608474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613.901945476052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616.972896848684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620.059210189791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623.16096234529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626.278230545509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629.411092407108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632.559625935013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635.723909524358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638.904021962436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642.100042430663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645.312050506546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648.540126165669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651.784349783678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655.04480213829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658.321564411298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661.614718190595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664.924345472205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668.250528662325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671.593350579376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674.952894456067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678.329243941463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681.722483103074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685.132696428943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688.559968829753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520.69748926254</v>
      </c>
      <c r="K11" s="13" t="n">
        <f aca="false">K10/(1-Inputs!$F$43*Time!K39)</f>
        <v>523.302199479148</v>
      </c>
      <c r="L11" s="13" t="n">
        <f aca="false">L10/(1-Inputs!$F$43*Time!L39)</f>
        <v>525.919939363562</v>
      </c>
      <c r="M11" s="13" t="n">
        <f aca="false">M10/(1-Inputs!$F$43*Time!M39)</f>
        <v>528.550774094719</v>
      </c>
      <c r="N11" s="13" t="n">
        <f aca="false">N10/(1-Inputs!$F$43*Time!N39)</f>
        <v>531.194769177603</v>
      </c>
      <c r="O11" s="13" t="n">
        <f aca="false">O10/(1-Inputs!$F$43*Time!O39)</f>
        <v>533.851990444879</v>
      </c>
      <c r="P11" s="13" t="n">
        <f aca="false">P10/(1-Inputs!$F$43*Time!P39)</f>
        <v>536.522504058528</v>
      </c>
      <c r="Q11" s="13" t="n">
        <f aca="false">Q10/(1-Inputs!$F$43*Time!Q39)</f>
        <v>539.206376511495</v>
      </c>
      <c r="R11" s="13" t="n">
        <f aca="false">R10/(1-Inputs!$F$43*Time!R39)</f>
        <v>541.90367462935</v>
      </c>
      <c r="S11" s="13" t="n">
        <f aca="false">S10/(1-Inputs!$F$43*Time!S39)</f>
        <v>544.614465571944</v>
      </c>
      <c r="T11" s="13" t="n">
        <f aca="false">T10/(1-Inputs!$F$43*Time!T39)</f>
        <v>547.338816835087</v>
      </c>
      <c r="U11" s="13" t="n">
        <f aca="false">U10/(1-Inputs!$F$43*Time!U39)</f>
        <v>550.076796252225</v>
      </c>
      <c r="V11" s="13" t="n">
        <f aca="false">V10/(1-Inputs!$F$43*Time!V39)</f>
        <v>552.828471996132</v>
      </c>
      <c r="W11" s="13" t="n">
        <f aca="false">W10/(1-Inputs!$F$43*Time!W39)</f>
        <v>555.593912580606</v>
      </c>
      <c r="X11" s="13" t="n">
        <f aca="false">X10/(1-Inputs!$F$43*Time!X39)</f>
        <v>558.373186862173</v>
      </c>
      <c r="Y11" s="13" t="n">
        <f aca="false">Y10/(1-Inputs!$F$43*Time!Y39)</f>
        <v>561.166364041804</v>
      </c>
      <c r="Z11" s="13" t="n">
        <f aca="false">Z10/(1-Inputs!$F$43*Time!Z39)</f>
        <v>563.97351366664</v>
      </c>
      <c r="AA11" s="13" t="n">
        <f aca="false">AA10/(1-Inputs!$F$43*Time!AA39)</f>
        <v>566.794705631718</v>
      </c>
      <c r="AB11" s="13" t="n">
        <f aca="false">AB10/(1-Inputs!$F$43*Time!AB39)</f>
        <v>569.630010181715</v>
      </c>
      <c r="AC11" s="13" t="n">
        <f aca="false">AC10/(1-Inputs!$F$43*Time!AC39)</f>
        <v>572.479497912697</v>
      </c>
      <c r="AD11" s="13" t="n">
        <f aca="false">AD10/(1-Inputs!$F$43*Time!AD39)</f>
        <v>575.343239773876</v>
      </c>
      <c r="AE11" s="13" t="n">
        <f aca="false">AE10/(1-Inputs!$F$43*Time!AE39)</f>
        <v>578.221307069375</v>
      </c>
      <c r="AF11" s="13" t="n">
        <f aca="false">AF10/(1-Inputs!$F$43*Time!AF39)</f>
        <v>581.113771460008</v>
      </c>
      <c r="AG11" s="13" t="n">
        <f aca="false">AG10/(1-Inputs!$F$43*Time!AG39)</f>
        <v>584.02070496506</v>
      </c>
      <c r="AH11" s="13" t="n">
        <f aca="false">AH10/(1-Inputs!$F$43*Time!AH39)</f>
        <v>586.94217996408</v>
      </c>
      <c r="AI11" s="13" t="n">
        <f aca="false">AI10/(1-Inputs!$F$43*Time!AI39)</f>
        <v>589.878269198686</v>
      </c>
      <c r="AJ11" s="13" t="n">
        <f aca="false">AJ10/(1-Inputs!$F$43*Time!AJ39)</f>
        <v>592.829045774377</v>
      </c>
      <c r="AK11" s="13" t="n">
        <f aca="false">AK10/(1-Inputs!$F$43*Time!AK39)</f>
        <v>595.794583162347</v>
      </c>
      <c r="AL11" s="13" t="n">
        <f aca="false">AL10/(1-Inputs!$F$43*Time!AL39)</f>
        <v>598.774955201322</v>
      </c>
      <c r="AM11" s="13" t="n">
        <f aca="false">AM10/(1-Inputs!$F$43*Time!AM39)</f>
        <v>601.770236099393</v>
      </c>
      <c r="AN11" s="13" t="n">
        <f aca="false">AN10/(1-Inputs!$F$43*Time!AN39)</f>
        <v>604.780500435868</v>
      </c>
      <c r="AO11" s="13" t="n">
        <f aca="false">AO10/(1-Inputs!$F$43*Time!AO39)</f>
        <v>607.805823163122</v>
      </c>
      <c r="AP11" s="13" t="n">
        <f aca="false">AP10/(1-Inputs!$F$43*Time!AP39)</f>
        <v>610.846279608474</v>
      </c>
      <c r="AQ11" s="13" t="n">
        <f aca="false">AQ10/(1-Inputs!$F$43*Time!AQ39)</f>
        <v>613.901945476052</v>
      </c>
      <c r="AR11" s="13" t="n">
        <f aca="false">AR10/(1-Inputs!$F$43*Time!AR39)</f>
        <v>616.972896848684</v>
      </c>
      <c r="AS11" s="13" t="n">
        <f aca="false">AS10/(1-Inputs!$F$43*Time!AS39)</f>
        <v>620.059210189791</v>
      </c>
      <c r="AT11" s="13" t="n">
        <f aca="false">AT10/(1-Inputs!$F$43*Time!AT39)</f>
        <v>623.16096234529</v>
      </c>
      <c r="AU11" s="13" t="n">
        <f aca="false">AU10/(1-Inputs!$F$43*Time!AU39)</f>
        <v>626.278230545509</v>
      </c>
      <c r="AV11" s="13" t="n">
        <f aca="false">AV10/(1-Inputs!$F$43*Time!AV39)</f>
        <v>629.411092407108</v>
      </c>
      <c r="AW11" s="13" t="n">
        <f aca="false">AW10/(1-Inputs!$F$43*Time!AW39)</f>
        <v>632.559625935013</v>
      </c>
      <c r="AX11" s="13" t="n">
        <f aca="false">AX10/(1-Inputs!$F$43*Time!AX39)</f>
        <v>635.723909524358</v>
      </c>
      <c r="AY11" s="13" t="n">
        <f aca="false">AY10/(1-Inputs!$F$43*Time!AY39)</f>
        <v>638.904021962436</v>
      </c>
      <c r="AZ11" s="13" t="n">
        <f aca="false">AZ10/(1-Inputs!$F$43*Time!AZ39)</f>
        <v>642.100042430663</v>
      </c>
      <c r="BA11" s="13" t="n">
        <f aca="false">BA10/(1-Inputs!$F$43*Time!BA39)</f>
        <v>645.312050506546</v>
      </c>
      <c r="BB11" s="13" t="n">
        <f aca="false">BB10/(1-Inputs!$F$43*Time!BB39)</f>
        <v>648.540126165669</v>
      </c>
      <c r="BC11" s="13" t="n">
        <f aca="false">BC10/(1-Inputs!$F$43*Time!BC39)</f>
        <v>651.784349783678</v>
      </c>
      <c r="BD11" s="13" t="n">
        <f aca="false">BD10/(1-Inputs!$F$43*Time!BD39)</f>
        <v>655.04480213829</v>
      </c>
      <c r="BE11" s="13" t="n">
        <f aca="false">BE10/(1-Inputs!$F$43*Time!BE39)</f>
        <v>658.321564411298</v>
      </c>
      <c r="BF11" s="13" t="n">
        <f aca="false">BF10/(1-Inputs!$F$43*Time!BF39)</f>
        <v>661.614718190595</v>
      </c>
      <c r="BG11" s="13" t="n">
        <f aca="false">BG10/(1-Inputs!$F$43*Time!BG39)</f>
        <v>664.924345472205</v>
      </c>
      <c r="BH11" s="13" t="n">
        <f aca="false">BH10/(1-Inputs!$F$43*Time!BH39)</f>
        <v>668.250528662325</v>
      </c>
      <c r="BI11" s="13" t="n">
        <f aca="false">BI10/(1-Inputs!$F$43*Time!BI39)</f>
        <v>671.593350579376</v>
      </c>
      <c r="BJ11" s="13" t="n">
        <f aca="false">BJ10/(1-Inputs!$F$43*Time!BJ39)</f>
        <v>674.952894456067</v>
      </c>
      <c r="BK11" s="13" t="n">
        <f aca="false">BK10/(1-Inputs!$F$43*Time!BK39)</f>
        <v>678.329243941463</v>
      </c>
      <c r="BL11" s="13" t="n">
        <f aca="false">BL10/(1-Inputs!$F$43*Time!BL39)</f>
        <v>681.722483103074</v>
      </c>
      <c r="BM11" s="13" t="n">
        <f aca="false">BM10/(1-Inputs!$F$43*Time!BM39)</f>
        <v>685.132696428943</v>
      </c>
      <c r="BN11" s="13" t="n">
        <f aca="false">BN10/(1-Inputs!$F$43*Time!BN39)</f>
        <v>688.559968829753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93.6696627054344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93.6696627054344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93.3391069315254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92.6779953837075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93.3717015244424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94.7591138059124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94.0125790004828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92.5195093896238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93.4276907335079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95.244053421276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95.380353046159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95.6529522959249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95.2904321469787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94.5653918490864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92.4238844668952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88.1408697025127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90.0919056540184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93.9939775570296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93.1825922497788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91.5598216352772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92.2701637577676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93.6908480027484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91.9778051041419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88.5517193069289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90.527879519724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94.4801999453142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93.744873250668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92.2742198613754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92.9582831816534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94.3264098222094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92.6364110239876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89.2564134275438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90.2888431184819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92.3537025003581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93.1218479772255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94.6581389309602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94.4910737176791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94.156943291117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92.648067283054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89.6303152669281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91.1617247383385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94.2245436811594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94.1752718060975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94.0767280559736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93.2660829937732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91.6447928693725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90.7553866796524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88.9765743002121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90.4699701800511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93.4567619397292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93.4567619397292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93.6696627054344</v>
      </c>
      <c r="P32" s="13" t="n">
        <f aca="false">IF(Time!P30&gt;0,P31+Inputs!$F$37,0)</f>
        <v>93.6696627054344</v>
      </c>
      <c r="Q32" s="13" t="n">
        <f aca="false">IF(Time!Q30&gt;0,Q31+Inputs!$F$37,0)</f>
        <v>93.3391069315254</v>
      </c>
      <c r="R32" s="13" t="n">
        <f aca="false">IF(Time!R30&gt;0,R31+Inputs!$F$37,0)</f>
        <v>92.6779953837075</v>
      </c>
      <c r="S32" s="13" t="n">
        <f aca="false">IF(Time!S30&gt;0,S31+Inputs!$F$37,0)</f>
        <v>93.3717015244424</v>
      </c>
      <c r="T32" s="13" t="n">
        <f aca="false">IF(Time!T30&gt;0,T31+Inputs!$F$37,0)</f>
        <v>94.7591138059124</v>
      </c>
      <c r="U32" s="13" t="n">
        <f aca="false">IF(Time!U30&gt;0,U31+Inputs!$F$37,0)</f>
        <v>94.0125790004828</v>
      </c>
      <c r="V32" s="13" t="n">
        <f aca="false">IF(Time!V30&gt;0,V31+Inputs!$F$37,0)</f>
        <v>92.5195093896238</v>
      </c>
      <c r="W32" s="13" t="n">
        <f aca="false">IF(Time!W30&gt;0,W31+Inputs!$F$37,0)</f>
        <v>93.4276907335079</v>
      </c>
      <c r="X32" s="13" t="n">
        <f aca="false">IF(Time!X30&gt;0,X31+Inputs!$F$37,0)</f>
        <v>95.244053421276</v>
      </c>
      <c r="Y32" s="13" t="n">
        <f aca="false">IF(Time!Y30&gt;0,Y31+Inputs!$F$37,0)</f>
        <v>95.380353046159</v>
      </c>
      <c r="Z32" s="13" t="n">
        <f aca="false">IF(Time!Z30&gt;0,Z31+Inputs!$F$37,0)</f>
        <v>95.6529522959249</v>
      </c>
      <c r="AA32" s="13" t="n">
        <f aca="false">IF(Time!AA30&gt;0,AA31+Inputs!$F$37,0)</f>
        <v>95.2904321469787</v>
      </c>
      <c r="AB32" s="13" t="n">
        <f aca="false">IF(Time!AB30&gt;0,AB31+Inputs!$F$37,0)</f>
        <v>94.5653918490864</v>
      </c>
      <c r="AC32" s="13" t="n">
        <f aca="false">IF(Time!AC30&gt;0,AC31+Inputs!$F$37,0)</f>
        <v>92.4238844668952</v>
      </c>
      <c r="AD32" s="13" t="n">
        <f aca="false">IF(Time!AD30&gt;0,AD31+Inputs!$F$37,0)</f>
        <v>88.1408697025127</v>
      </c>
      <c r="AE32" s="13" t="n">
        <f aca="false">IF(Time!AE30&gt;0,AE31+Inputs!$F$37,0)</f>
        <v>90.0919056540184</v>
      </c>
      <c r="AF32" s="13" t="n">
        <f aca="false">IF(Time!AF30&gt;0,AF31+Inputs!$F$37,0)</f>
        <v>93.9939775570296</v>
      </c>
      <c r="AG32" s="13" t="n">
        <f aca="false">IF(Time!AG30&gt;0,AG31+Inputs!$F$37,0)</f>
        <v>93.1825922497788</v>
      </c>
      <c r="AH32" s="13" t="n">
        <f aca="false">IF(Time!AH30&gt;0,AH31+Inputs!$F$37,0)</f>
        <v>91.5598216352772</v>
      </c>
      <c r="AI32" s="13" t="n">
        <f aca="false">IF(Time!AI30&gt;0,AI31+Inputs!$F$37,0)</f>
        <v>92.2701637577676</v>
      </c>
      <c r="AJ32" s="13" t="n">
        <f aca="false">IF(Time!AJ30&gt;0,AJ31+Inputs!$F$37,0)</f>
        <v>93.6908480027484</v>
      </c>
      <c r="AK32" s="13" t="n">
        <f aca="false">IF(Time!AK30&gt;0,AK31+Inputs!$F$37,0)</f>
        <v>91.9778051041419</v>
      </c>
      <c r="AL32" s="13" t="n">
        <f aca="false">IF(Time!AL30&gt;0,AL31+Inputs!$F$37,0)</f>
        <v>88.5517193069289</v>
      </c>
      <c r="AM32" s="13" t="n">
        <f aca="false">IF(Time!AM30&gt;0,AM31+Inputs!$F$37,0)</f>
        <v>90.527879519724</v>
      </c>
      <c r="AN32" s="13" t="n">
        <f aca="false">IF(Time!AN30&gt;0,AN31+Inputs!$F$37,0)</f>
        <v>94.4801999453142</v>
      </c>
      <c r="AO32" s="13" t="n">
        <f aca="false">IF(Time!AO30&gt;0,AO31+Inputs!$F$37,0)</f>
        <v>93.744873250668</v>
      </c>
      <c r="AP32" s="13" t="n">
        <f aca="false">IF(Time!AP30&gt;0,AP31+Inputs!$F$37,0)</f>
        <v>92.2742198613754</v>
      </c>
      <c r="AQ32" s="13" t="n">
        <f aca="false">IF(Time!AQ30&gt;0,AQ31+Inputs!$F$37,0)</f>
        <v>92.9582831816534</v>
      </c>
      <c r="AR32" s="13" t="n">
        <f aca="false">IF(Time!AR30&gt;0,AR31+Inputs!$F$37,0)</f>
        <v>94.3264098222094</v>
      </c>
      <c r="AS32" s="13" t="n">
        <f aca="false">IF(Time!AS30&gt;0,AS31+Inputs!$F$37,0)</f>
        <v>92.6364110239876</v>
      </c>
      <c r="AT32" s="13" t="n">
        <f aca="false">IF(Time!AT30&gt;0,AT31+Inputs!$F$37,0)</f>
        <v>89.2564134275438</v>
      </c>
      <c r="AU32" s="13" t="n">
        <f aca="false">IF(Time!AU30&gt;0,AU31+Inputs!$F$37,0)</f>
        <v>90.2888431184819</v>
      </c>
      <c r="AV32" s="13" t="n">
        <f aca="false">IF(Time!AV30&gt;0,AV31+Inputs!$F$37,0)</f>
        <v>92.3537025003581</v>
      </c>
      <c r="AW32" s="13" t="n">
        <f aca="false">IF(Time!AW30&gt;0,AW31+Inputs!$F$37,0)</f>
        <v>93.1218479772255</v>
      </c>
      <c r="AX32" s="13" t="n">
        <f aca="false">IF(Time!AX30&gt;0,AX31+Inputs!$F$37,0)</f>
        <v>94.6581389309602</v>
      </c>
      <c r="AY32" s="13" t="n">
        <f aca="false">IF(Time!AY30&gt;0,AY31+Inputs!$F$37,0)</f>
        <v>94.4910737176791</v>
      </c>
      <c r="AZ32" s="13" t="n">
        <f aca="false">IF(Time!AZ30&gt;0,AZ31+Inputs!$F$37,0)</f>
        <v>94.156943291117</v>
      </c>
      <c r="BA32" s="13" t="n">
        <f aca="false">IF(Time!BA30&gt;0,BA31+Inputs!$F$37,0)</f>
        <v>92.648067283054</v>
      </c>
      <c r="BB32" s="13" t="n">
        <f aca="false">IF(Time!BB30&gt;0,BB31+Inputs!$F$37,0)</f>
        <v>89.6303152669281</v>
      </c>
      <c r="BC32" s="13" t="n">
        <f aca="false">IF(Time!BC30&gt;0,BC31+Inputs!$F$37,0)</f>
        <v>91.1617247383385</v>
      </c>
      <c r="BD32" s="13" t="n">
        <f aca="false">IF(Time!BD30&gt;0,BD31+Inputs!$F$37,0)</f>
        <v>94.2245436811594</v>
      </c>
      <c r="BE32" s="13" t="n">
        <f aca="false">IF(Time!BE30&gt;0,BE31+Inputs!$F$37,0)</f>
        <v>94.1752718060975</v>
      </c>
      <c r="BF32" s="13" t="n">
        <f aca="false">IF(Time!BF30&gt;0,BF31+Inputs!$F$37,0)</f>
        <v>94.0767280559736</v>
      </c>
      <c r="BG32" s="13" t="n">
        <f aca="false">IF(Time!BG30&gt;0,BG31+Inputs!$F$37,0)</f>
        <v>93.2660829937732</v>
      </c>
      <c r="BH32" s="13" t="n">
        <f aca="false">IF(Time!BH30&gt;0,BH31+Inputs!$F$37,0)</f>
        <v>91.6447928693725</v>
      </c>
      <c r="BI32" s="13" t="n">
        <f aca="false">IF(Time!BI30&gt;0,BI31+Inputs!$F$37,0)</f>
        <v>90.7553866796524</v>
      </c>
      <c r="BJ32" s="13" t="n">
        <f aca="false">IF(Time!BJ30&gt;0,BJ31+Inputs!$F$37,0)</f>
        <v>88.9765743002121</v>
      </c>
      <c r="BK32" s="13" t="n">
        <f aca="false">IF(Time!BK30&gt;0,BK31+Inputs!$F$37,0)</f>
        <v>90.4699701800511</v>
      </c>
      <c r="BL32" s="13" t="n">
        <f aca="false">IF(Time!BL30&gt;0,BL31+Inputs!$F$37,0)</f>
        <v>93.4567619397292</v>
      </c>
      <c r="BM32" s="13" t="n">
        <f aca="false">IF(Time!BM30&gt;0,BM31+Inputs!$F$37,0)</f>
        <v>93.4567619397292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62.958144351769</v>
      </c>
      <c r="K37" s="13" t="n">
        <f aca="false">IF(Inputs!$F$312=1,INDEX(Inputs!$AJ$313:$AJ$1312,Inputs!$F$311),IF(AND(Inputs!$F$55=1,Inputs!K303&gt;0),Inputs!K303,Inputs!$F$38))</f>
        <v>62.958144351769</v>
      </c>
      <c r="L37" s="13" t="n">
        <f aca="false">IF(Inputs!$F$312=1,INDEX(Inputs!$AJ$313:$AJ$1312,Inputs!$F$311),IF(AND(Inputs!$F$55=1,Inputs!L303&gt;0),Inputs!L303,Inputs!$F$38))</f>
        <v>62.958144351769</v>
      </c>
      <c r="M37" s="13" t="n">
        <f aca="false">IF(Inputs!$F$312=1,INDEX(Inputs!$AJ$313:$AJ$1312,Inputs!$F$311),IF(AND(Inputs!$F$55=1,Inputs!M303&gt;0),Inputs!M303,Inputs!$F$38))</f>
        <v>62.958144351769</v>
      </c>
      <c r="N37" s="13" t="n">
        <f aca="false">IF(Inputs!$F$312=1,INDEX(Inputs!$AJ$313:$AJ$1312,Inputs!$F$311),IF(AND(Inputs!$F$55=1,Inputs!N303&gt;0),Inputs!N303,Inputs!$F$38))</f>
        <v>62.958144351769</v>
      </c>
      <c r="O37" s="13" t="n">
        <f aca="false">IF(Inputs!$F$312=1,INDEX(Inputs!$AJ$313:$AJ$1312,Inputs!$F$311),IF(AND(Inputs!$F$55=1,Inputs!O303&gt;0),Inputs!O303,Inputs!$F$38))</f>
        <v>62.958144351769</v>
      </c>
      <c r="P37" s="13" t="n">
        <f aca="false">IF(Inputs!$F$312=1,INDEX(Inputs!$AJ$313:$AJ$1312,Inputs!$F$311),IF(AND(Inputs!$F$55=1,Inputs!P303&gt;0),Inputs!P303,Inputs!$F$38))</f>
        <v>62.958144351769</v>
      </c>
      <c r="Q37" s="13" t="n">
        <f aca="false">IF(Inputs!$F$312=1,INDEX(Inputs!$AJ$313:$AJ$1312,Inputs!$F$311),IF(AND(Inputs!$F$55=1,Inputs!Q303&gt;0),Inputs!Q303,Inputs!$F$38))</f>
        <v>62.958144351769</v>
      </c>
      <c r="R37" s="13" t="n">
        <f aca="false">IF(Inputs!$F$312=1,INDEX(Inputs!$AJ$313:$AJ$1312,Inputs!$F$311),IF(AND(Inputs!$F$55=1,Inputs!R303&gt;0),Inputs!R303,Inputs!$F$38))</f>
        <v>62.958144351769</v>
      </c>
      <c r="S37" s="13" t="n">
        <f aca="false">IF(Inputs!$F$312=1,INDEX(Inputs!$AJ$313:$AJ$1312,Inputs!$F$311),IF(AND(Inputs!$F$55=1,Inputs!S303&gt;0),Inputs!S303,Inputs!$F$38))</f>
        <v>62.958144351769</v>
      </c>
      <c r="T37" s="13" t="n">
        <f aca="false">IF(Inputs!$F$312=1,INDEX(Inputs!$AJ$313:$AJ$1312,Inputs!$F$311),IF(AND(Inputs!$F$55=1,Inputs!T303&gt;0),Inputs!T303,Inputs!$F$38))</f>
        <v>62.958144351769</v>
      </c>
      <c r="U37" s="13" t="n">
        <f aca="false">IF(Inputs!$F$312=1,INDEX(Inputs!$AJ$313:$AJ$1312,Inputs!$F$311),IF(AND(Inputs!$F$55=1,Inputs!U303&gt;0),Inputs!U303,Inputs!$F$38))</f>
        <v>62.958144351769</v>
      </c>
      <c r="V37" s="13" t="n">
        <f aca="false">IF(Inputs!$F$312=1,INDEX(Inputs!$AJ$313:$AJ$1312,Inputs!$F$311),IF(AND(Inputs!$F$55=1,Inputs!V303&gt;0),Inputs!V303,Inputs!$F$38))</f>
        <v>62.958144351769</v>
      </c>
      <c r="W37" s="13" t="n">
        <f aca="false">IF(Inputs!$F$312=1,INDEX(Inputs!$AJ$313:$AJ$1312,Inputs!$F$311),IF(AND(Inputs!$F$55=1,Inputs!W303&gt;0),Inputs!W303,Inputs!$F$38))</f>
        <v>62.958144351769</v>
      </c>
      <c r="X37" s="13" t="n">
        <f aca="false">IF(Inputs!$F$312=1,INDEX(Inputs!$AJ$313:$AJ$1312,Inputs!$F$311),IF(AND(Inputs!$F$55=1,Inputs!X303&gt;0),Inputs!X303,Inputs!$F$38))</f>
        <v>62.958144351769</v>
      </c>
      <c r="Y37" s="13" t="n">
        <f aca="false">IF(Inputs!$F$312=1,INDEX(Inputs!$AJ$313:$AJ$1312,Inputs!$F$311),IF(AND(Inputs!$F$55=1,Inputs!Y303&gt;0),Inputs!Y303,Inputs!$F$38))</f>
        <v>62.958144351769</v>
      </c>
      <c r="Z37" s="13" t="n">
        <f aca="false">IF(Inputs!$F$312=1,INDEX(Inputs!$AJ$313:$AJ$1312,Inputs!$F$311),IF(AND(Inputs!$F$55=1,Inputs!Z303&gt;0),Inputs!Z303,Inputs!$F$38))</f>
        <v>62.958144351769</v>
      </c>
      <c r="AA37" s="13" t="n">
        <f aca="false">IF(Inputs!$F$312=1,INDEX(Inputs!$AJ$313:$AJ$1312,Inputs!$F$311),IF(AND(Inputs!$F$55=1,Inputs!AA303&gt;0),Inputs!AA303,Inputs!$F$38))</f>
        <v>62.958144351769</v>
      </c>
      <c r="AB37" s="13" t="n">
        <f aca="false">IF(Inputs!$F$312=1,INDEX(Inputs!$AJ$313:$AJ$1312,Inputs!$F$311),IF(AND(Inputs!$F$55=1,Inputs!AB303&gt;0),Inputs!AB303,Inputs!$F$38))</f>
        <v>62.958144351769</v>
      </c>
      <c r="AC37" s="13" t="n">
        <f aca="false">IF(Inputs!$F$312=1,INDEX(Inputs!$AJ$313:$AJ$1312,Inputs!$F$311),IF(AND(Inputs!$F$55=1,Inputs!AC303&gt;0),Inputs!AC303,Inputs!$F$38))</f>
        <v>62.958144351769</v>
      </c>
      <c r="AD37" s="13" t="n">
        <f aca="false">IF(Inputs!$F$312=1,INDEX(Inputs!$AJ$313:$AJ$1312,Inputs!$F$311),IF(AND(Inputs!$F$55=1,Inputs!AD303&gt;0),Inputs!AD303,Inputs!$F$38))</f>
        <v>62.958144351769</v>
      </c>
      <c r="AE37" s="13" t="n">
        <f aca="false">IF(Inputs!$F$312=1,INDEX(Inputs!$AJ$313:$AJ$1312,Inputs!$F$311),IF(AND(Inputs!$F$55=1,Inputs!AE303&gt;0),Inputs!AE303,Inputs!$F$38))</f>
        <v>62.958144351769</v>
      </c>
      <c r="AF37" s="13" t="n">
        <f aca="false">IF(Inputs!$F$312=1,INDEX(Inputs!$AJ$313:$AJ$1312,Inputs!$F$311),IF(AND(Inputs!$F$55=1,Inputs!AF303&gt;0),Inputs!AF303,Inputs!$F$38))</f>
        <v>62.958144351769</v>
      </c>
      <c r="AG37" s="13" t="n">
        <f aca="false">IF(Inputs!$F$312=1,INDEX(Inputs!$AJ$313:$AJ$1312,Inputs!$F$311),IF(AND(Inputs!$F$55=1,Inputs!AG303&gt;0),Inputs!AG303,Inputs!$F$38))</f>
        <v>62.958144351769</v>
      </c>
      <c r="AH37" s="13" t="n">
        <f aca="false">IF(Inputs!$F$312=1,INDEX(Inputs!$AJ$313:$AJ$1312,Inputs!$F$311),IF(AND(Inputs!$F$55=1,Inputs!AH303&gt;0),Inputs!AH303,Inputs!$F$38))</f>
        <v>62.958144351769</v>
      </c>
      <c r="AI37" s="13" t="n">
        <f aca="false">IF(Inputs!$F$312=1,INDEX(Inputs!$AJ$313:$AJ$1312,Inputs!$F$311),IF(AND(Inputs!$F$55=1,Inputs!AI303&gt;0),Inputs!AI303,Inputs!$F$38))</f>
        <v>62.958144351769</v>
      </c>
      <c r="AJ37" s="13" t="n">
        <f aca="false">IF(Inputs!$F$312=1,INDEX(Inputs!$AJ$313:$AJ$1312,Inputs!$F$311),IF(AND(Inputs!$F$55=1,Inputs!AJ303&gt;0),Inputs!AJ303,Inputs!$F$38))</f>
        <v>62.958144351769</v>
      </c>
      <c r="AK37" s="13" t="n">
        <f aca="false">IF(Inputs!$F$312=1,INDEX(Inputs!$AJ$313:$AJ$1312,Inputs!$F$311),IF(AND(Inputs!$F$55=1,Inputs!AK303&gt;0),Inputs!AK303,Inputs!$F$38))</f>
        <v>62.958144351769</v>
      </c>
      <c r="AL37" s="13" t="n">
        <f aca="false">IF(Inputs!$F$312=1,INDEX(Inputs!$AJ$313:$AJ$1312,Inputs!$F$311),IF(AND(Inputs!$F$55=1,Inputs!AL303&gt;0),Inputs!AL303,Inputs!$F$38))</f>
        <v>62.958144351769</v>
      </c>
      <c r="AM37" s="13" t="n">
        <f aca="false">IF(Inputs!$F$312=1,INDEX(Inputs!$AJ$313:$AJ$1312,Inputs!$F$311),IF(AND(Inputs!$F$55=1,Inputs!AM303&gt;0),Inputs!AM303,Inputs!$F$38))</f>
        <v>62.958144351769</v>
      </c>
      <c r="AN37" s="13" t="n">
        <f aca="false">IF(Inputs!$F$312=1,INDEX(Inputs!$AJ$313:$AJ$1312,Inputs!$F$311),IF(AND(Inputs!$F$55=1,Inputs!AN303&gt;0),Inputs!AN303,Inputs!$F$38))</f>
        <v>62.958144351769</v>
      </c>
      <c r="AO37" s="13" t="n">
        <f aca="false">IF(Inputs!$F$312=1,INDEX(Inputs!$AJ$313:$AJ$1312,Inputs!$F$311),IF(AND(Inputs!$F$55=1,Inputs!AO303&gt;0),Inputs!AO303,Inputs!$F$38))</f>
        <v>62.958144351769</v>
      </c>
      <c r="AP37" s="13" t="n">
        <f aca="false">IF(Inputs!$F$312=1,INDEX(Inputs!$AJ$313:$AJ$1312,Inputs!$F$311),IF(AND(Inputs!$F$55=1,Inputs!AP303&gt;0),Inputs!AP303,Inputs!$F$38))</f>
        <v>62.958144351769</v>
      </c>
      <c r="AQ37" s="13" t="n">
        <f aca="false">IF(Inputs!$F$312=1,INDEX(Inputs!$AJ$313:$AJ$1312,Inputs!$F$311),IF(AND(Inputs!$F$55=1,Inputs!AQ303&gt;0),Inputs!AQ303,Inputs!$F$38))</f>
        <v>62.958144351769</v>
      </c>
      <c r="AR37" s="13" t="n">
        <f aca="false">IF(Inputs!$F$312=1,INDEX(Inputs!$AJ$313:$AJ$1312,Inputs!$F$311),IF(AND(Inputs!$F$55=1,Inputs!AR303&gt;0),Inputs!AR303,Inputs!$F$38))</f>
        <v>62.958144351769</v>
      </c>
      <c r="AS37" s="13" t="n">
        <f aca="false">IF(Inputs!$F$312=1,INDEX(Inputs!$AJ$313:$AJ$1312,Inputs!$F$311),IF(AND(Inputs!$F$55=1,Inputs!AS303&gt;0),Inputs!AS303,Inputs!$F$38))</f>
        <v>62.958144351769</v>
      </c>
      <c r="AT37" s="13" t="n">
        <f aca="false">IF(Inputs!$F$312=1,INDEX(Inputs!$AJ$313:$AJ$1312,Inputs!$F$311),IF(AND(Inputs!$F$55=1,Inputs!AT303&gt;0),Inputs!AT303,Inputs!$F$38))</f>
        <v>62.958144351769</v>
      </c>
      <c r="AU37" s="13" t="n">
        <f aca="false">IF(Inputs!$F$312=1,INDEX(Inputs!$AJ$313:$AJ$1312,Inputs!$F$311),IF(AND(Inputs!$F$55=1,Inputs!AU303&gt;0),Inputs!AU303,Inputs!$F$38))</f>
        <v>62.958144351769</v>
      </c>
      <c r="AV37" s="13" t="n">
        <f aca="false">IF(Inputs!$F$312=1,INDEX(Inputs!$AJ$313:$AJ$1312,Inputs!$F$311),IF(AND(Inputs!$F$55=1,Inputs!AV303&gt;0),Inputs!AV303,Inputs!$F$38))</f>
        <v>62.958144351769</v>
      </c>
      <c r="AW37" s="13" t="n">
        <f aca="false">IF(Inputs!$F$312=1,INDEX(Inputs!$AJ$313:$AJ$1312,Inputs!$F$311),IF(AND(Inputs!$F$55=1,Inputs!AW303&gt;0),Inputs!AW303,Inputs!$F$38))</f>
        <v>62.958144351769</v>
      </c>
      <c r="AX37" s="13" t="n">
        <f aca="false">IF(Inputs!$F$312=1,INDEX(Inputs!$AJ$313:$AJ$1312,Inputs!$F$311),IF(AND(Inputs!$F$55=1,Inputs!AX303&gt;0),Inputs!AX303,Inputs!$F$38))</f>
        <v>62.958144351769</v>
      </c>
      <c r="AY37" s="13" t="n">
        <f aca="false">IF(Inputs!$F$312=1,INDEX(Inputs!$AJ$313:$AJ$1312,Inputs!$F$311),IF(AND(Inputs!$F$55=1,Inputs!AY303&gt;0),Inputs!AY303,Inputs!$F$38))</f>
        <v>62.958144351769</v>
      </c>
      <c r="AZ37" s="13" t="n">
        <f aca="false">IF(Inputs!$F$312=1,INDEX(Inputs!$AJ$313:$AJ$1312,Inputs!$F$311),IF(AND(Inputs!$F$55=1,Inputs!AZ303&gt;0),Inputs!AZ303,Inputs!$F$38))</f>
        <v>62.958144351769</v>
      </c>
      <c r="BA37" s="13" t="n">
        <f aca="false">IF(Inputs!$F$312=1,INDEX(Inputs!$AJ$313:$AJ$1312,Inputs!$F$311),IF(AND(Inputs!$F$55=1,Inputs!BA303&gt;0),Inputs!BA303,Inputs!$F$38))</f>
        <v>62.958144351769</v>
      </c>
      <c r="BB37" s="13" t="n">
        <f aca="false">IF(Inputs!$F$312=1,INDEX(Inputs!$AJ$313:$AJ$1312,Inputs!$F$311),IF(AND(Inputs!$F$55=1,Inputs!BB303&gt;0),Inputs!BB303,Inputs!$F$38))</f>
        <v>62.958144351769</v>
      </c>
      <c r="BC37" s="13" t="n">
        <f aca="false">IF(Inputs!$F$312=1,INDEX(Inputs!$AJ$313:$AJ$1312,Inputs!$F$311),IF(AND(Inputs!$F$55=1,Inputs!BC303&gt;0),Inputs!BC303,Inputs!$F$38))</f>
        <v>62.958144351769</v>
      </c>
      <c r="BD37" s="13" t="n">
        <f aca="false">IF(Inputs!$F$312=1,INDEX(Inputs!$AJ$313:$AJ$1312,Inputs!$F$311),IF(AND(Inputs!$F$55=1,Inputs!BD303&gt;0),Inputs!BD303,Inputs!$F$38))</f>
        <v>62.958144351769</v>
      </c>
      <c r="BE37" s="13" t="n">
        <f aca="false">IF(Inputs!$F$312=1,INDEX(Inputs!$AJ$313:$AJ$1312,Inputs!$F$311),IF(AND(Inputs!$F$55=1,Inputs!BE303&gt;0),Inputs!BE303,Inputs!$F$38))</f>
        <v>62.958144351769</v>
      </c>
      <c r="BF37" s="13" t="n">
        <f aca="false">IF(Inputs!$F$312=1,INDEX(Inputs!$AJ$313:$AJ$1312,Inputs!$F$311),IF(AND(Inputs!$F$55=1,Inputs!BF303&gt;0),Inputs!BF303,Inputs!$F$38))</f>
        <v>62.958144351769</v>
      </c>
      <c r="BG37" s="13" t="n">
        <f aca="false">IF(Inputs!$F$312=1,INDEX(Inputs!$AJ$313:$AJ$1312,Inputs!$F$311),IF(AND(Inputs!$F$55=1,Inputs!BG303&gt;0),Inputs!BG303,Inputs!$F$38))</f>
        <v>62.958144351769</v>
      </c>
      <c r="BH37" s="13" t="n">
        <f aca="false">IF(Inputs!$F$312=1,INDEX(Inputs!$AJ$313:$AJ$1312,Inputs!$F$311),IF(AND(Inputs!$F$55=1,Inputs!BH303&gt;0),Inputs!BH303,Inputs!$F$38))</f>
        <v>62.958144351769</v>
      </c>
      <c r="BI37" s="13" t="n">
        <f aca="false">IF(Inputs!$F$312=1,INDEX(Inputs!$AJ$313:$AJ$1312,Inputs!$F$311),IF(AND(Inputs!$F$55=1,Inputs!BI303&gt;0),Inputs!BI303,Inputs!$F$38))</f>
        <v>62.958144351769</v>
      </c>
      <c r="BJ37" s="13" t="n">
        <f aca="false">IF(Inputs!$F$312=1,INDEX(Inputs!$AJ$313:$AJ$1312,Inputs!$F$311),IF(AND(Inputs!$F$55=1,Inputs!BJ303&gt;0),Inputs!BJ303,Inputs!$F$38))</f>
        <v>62.958144351769</v>
      </c>
      <c r="BK37" s="13" t="n">
        <f aca="false">IF(Inputs!$F$312=1,INDEX(Inputs!$AJ$313:$AJ$1312,Inputs!$F$311),IF(AND(Inputs!$F$55=1,Inputs!BK303&gt;0),Inputs!BK303,Inputs!$F$38))</f>
        <v>62.958144351769</v>
      </c>
      <c r="BL37" s="13" t="n">
        <f aca="false">IF(Inputs!$F$312=1,INDEX(Inputs!$AJ$313:$AJ$1312,Inputs!$F$311),IF(AND(Inputs!$F$55=1,Inputs!BL303&gt;0),Inputs!BL303,Inputs!$F$38))</f>
        <v>62.958144351769</v>
      </c>
      <c r="BM37" s="13" t="n">
        <f aca="false">IF(Inputs!$F$312=1,INDEX(Inputs!$AJ$313:$AJ$1312,Inputs!$F$311),IF(AND(Inputs!$F$55=1,Inputs!BM303&gt;0),Inputs!BM303,Inputs!$F$38))</f>
        <v>62.958144351769</v>
      </c>
      <c r="BN37" s="13" t="n">
        <f aca="false">IF(Inputs!$F$312=1,INDEX(Inputs!$AJ$313:$AJ$1312,Inputs!$F$311),IF(AND(Inputs!$F$55=1,Inputs!BN303&gt;0),Inputs!BN303,Inputs!$F$38))</f>
        <v>62.958144351769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501484.252125943</v>
      </c>
      <c r="P38" s="15" t="n">
        <f aca="false">$F$34*Inputs!$F$215*Time!P30*P32/100*P37/100*P36</f>
        <v>1503700.43595959</v>
      </c>
      <c r="Q38" s="15" t="n">
        <f aca="false">$F$34*Inputs!$F$215*Time!Q30*Q32/100*Q37/100*Q36</f>
        <v>1497269.45053822</v>
      </c>
      <c r="R38" s="15" t="n">
        <f aca="false">$F$34*Inputs!$F$215*Time!R30*R32/100*R37/100*R36</f>
        <v>1485547.90738584</v>
      </c>
      <c r="S38" s="15" t="n">
        <f aca="false">$F$34*Inputs!$F$215*Time!S30*S32/100*S37/100*S36</f>
        <v>1495542.52437297</v>
      </c>
      <c r="T38" s="15" t="n">
        <f aca="false">$F$34*Inputs!$F$215*Time!T30*T32/100*T37/100*T36</f>
        <v>1516623.21974038</v>
      </c>
      <c r="U38" s="15" t="n">
        <f aca="false">$F$34*Inputs!$F$215*Time!U30*U32/100*U37/100*U36</f>
        <v>1503542.28989755</v>
      </c>
      <c r="V38" s="15" t="n">
        <f aca="false">$F$34*Inputs!$F$215*Time!V30*V32/100*V37/100*V36</f>
        <v>1478549.01747089</v>
      </c>
      <c r="W38" s="15" t="n">
        <f aca="false">$F$34*Inputs!$F$215*Time!W30*W32/100*W37/100*W36</f>
        <v>1491937.04639231</v>
      </c>
      <c r="X38" s="15" t="n">
        <f aca="false">$F$34*Inputs!$F$215*Time!X30*X32/100*X37/100*X36</f>
        <v>1519794.90463793</v>
      </c>
      <c r="Y38" s="15" t="n">
        <f aca="false">$F$34*Inputs!$F$215*Time!Y30*Y32/100*Y37/100*Y36</f>
        <v>1520820.7269805</v>
      </c>
      <c r="Z38" s="15" t="n">
        <f aca="false">$F$34*Inputs!$F$215*Time!Z30*Z32/100*Z37/100*Z36</f>
        <v>1524014.89349831</v>
      </c>
      <c r="AA38" s="15" t="n">
        <f aca="false">$F$34*Inputs!$F$215*Time!AA30*AA32/100*AA37/100*AA36</f>
        <v>1517090.94262369</v>
      </c>
      <c r="AB38" s="15" t="n">
        <f aca="false">$F$34*Inputs!$F$215*Time!AB30*AB32/100*AB37/100*AB36</f>
        <v>1504408.51741573</v>
      </c>
      <c r="AC38" s="15" t="n">
        <f aca="false">$F$34*Inputs!$F$215*Time!AC30*AC32/100*AC37/100*AC36</f>
        <v>1469226.53578981</v>
      </c>
      <c r="AD38" s="15" t="n">
        <f aca="false">$F$34*Inputs!$F$215*Time!AD30*AD32/100*AD37/100*AD36</f>
        <v>1400079.24353061</v>
      </c>
      <c r="AE38" s="15" t="n">
        <f aca="false">$F$34*Inputs!$F$215*Time!AE30*AE32/100*AE37/100*AE36</f>
        <v>1429985.22025655</v>
      </c>
      <c r="AF38" s="15" t="n">
        <f aca="false">$F$34*Inputs!$F$215*Time!AF30*AF32/100*AF37/100*AF36</f>
        <v>1490788.53144831</v>
      </c>
      <c r="AG38" s="15" t="n">
        <f aca="false">$F$34*Inputs!$F$215*Time!AG30*AG32/100*AG37/100*AG36</f>
        <v>1476796.96757433</v>
      </c>
      <c r="AH38" s="15" t="n">
        <f aca="false">$F$34*Inputs!$F$215*Time!AH30*AH32/100*AH37/100*AH36</f>
        <v>1449975.55299392</v>
      </c>
      <c r="AI38" s="15" t="n">
        <f aca="false">$F$34*Inputs!$F$215*Time!AI30*AI32/100*AI37/100*AI36</f>
        <v>1460113.17608048</v>
      </c>
      <c r="AJ38" s="15" t="n">
        <f aca="false">$F$34*Inputs!$F$215*Time!AJ30*AJ32/100*AJ37/100*AJ36</f>
        <v>1481465.81124031</v>
      </c>
      <c r="AK38" s="15" t="n">
        <f aca="false">$F$34*Inputs!$F$215*Time!AK30*AK32/100*AK37/100*AK36</f>
        <v>1453270.60124509</v>
      </c>
      <c r="AL38" s="15" t="n">
        <f aca="false">$F$34*Inputs!$F$215*Time!AL30*AL32/100*AL37/100*AL36</f>
        <v>1398070.83050955</v>
      </c>
      <c r="AM38" s="15" t="n">
        <f aca="false">$F$34*Inputs!$F$215*Time!AM30*AM32/100*AM37/100*AM36</f>
        <v>1428180.18124709</v>
      </c>
      <c r="AN38" s="15" t="n">
        <f aca="false">$F$34*Inputs!$F$215*Time!AN30*AN32/100*AN37/100*AN36</f>
        <v>1489394.28210243</v>
      </c>
      <c r="AO38" s="15" t="n">
        <f aca="false">$F$34*Inputs!$F$215*Time!AO30*AO32/100*AO37/100*AO36</f>
        <v>1476673.13991016</v>
      </c>
      <c r="AP38" s="15" t="n">
        <f aca="false">$F$34*Inputs!$F$215*Time!AP30*AP32/100*AP37/100*AP36</f>
        <v>1452395.67749621</v>
      </c>
      <c r="AQ38" s="15" t="n">
        <f aca="false">$F$34*Inputs!$F$215*Time!AQ30*AQ32/100*AQ37/100*AQ36</f>
        <v>1462042.91981327</v>
      </c>
      <c r="AR38" s="15" t="n">
        <f aca="false">$F$34*Inputs!$F$215*Time!AR30*AR32/100*AR37/100*AR36</f>
        <v>1482424.34988912</v>
      </c>
      <c r="AS38" s="15" t="n">
        <f aca="false">$F$34*Inputs!$F$215*Time!AS30*AS32/100*AS37/100*AS36</f>
        <v>1454748.46652734</v>
      </c>
      <c r="AT38" s="15" t="n">
        <f aca="false">$F$34*Inputs!$F$215*Time!AT30*AT32/100*AT37/100*AT36</f>
        <v>1400594.17309028</v>
      </c>
      <c r="AU38" s="15" t="n">
        <f aca="false">$F$34*Inputs!$F$215*Time!AU30*AU32/100*AU37/100*AU36</f>
        <v>1415707.10739567</v>
      </c>
      <c r="AV38" s="15" t="n">
        <f aca="false">$F$34*Inputs!$F$215*Time!AV30*AV32/100*AV37/100*AV36</f>
        <v>1446970.97379459</v>
      </c>
      <c r="AW38" s="15" t="n">
        <f aca="false">$F$34*Inputs!$F$215*Time!AW30*AW32/100*AW37/100*AW36</f>
        <v>1457884.17305491</v>
      </c>
      <c r="AX38" s="15" t="n">
        <f aca="false">$F$34*Inputs!$F$215*Time!AX30*AX32/100*AX37/100*AX36</f>
        <v>1480795.43565354</v>
      </c>
      <c r="AY38" s="15" t="n">
        <f aca="false">$F$34*Inputs!$F$215*Time!AY30*AY32/100*AY37/100*AY36</f>
        <v>1477043.55532308</v>
      </c>
      <c r="AZ38" s="15" t="n">
        <f aca="false">$F$34*Inputs!$F$215*Time!AZ30*AZ32/100*AZ37/100*AZ36</f>
        <v>1470686.22203761</v>
      </c>
      <c r="BA38" s="15" t="n">
        <f aca="false">$F$34*Inputs!$F$215*Time!BA30*BA32/100*BA37/100*BA36</f>
        <v>1446002.13063541</v>
      </c>
      <c r="BB38" s="15" t="n">
        <f aca="false">$F$34*Inputs!$F$215*Time!BB30*BB32/100*BB37/100*BB36</f>
        <v>1397822.83327431</v>
      </c>
      <c r="BC38" s="15" t="n">
        <f aca="false">$F$34*Inputs!$F$215*Time!BC30*BC32/100*BC37/100*BC36</f>
        <v>1420607.5480136</v>
      </c>
      <c r="BD38" s="15" t="n">
        <f aca="false">$F$34*Inputs!$F$215*Time!BD30*BD32/100*BD37/100*BD36</f>
        <v>1467201.44554157</v>
      </c>
      <c r="BE38" s="15" t="n">
        <f aca="false">$F$34*Inputs!$F$215*Time!BE30*BE32/100*BE37/100*BE36</f>
        <v>1465299.6449968</v>
      </c>
      <c r="BF38" s="15" t="n">
        <f aca="false">$F$34*Inputs!$F$215*Time!BF30*BF32/100*BF37/100*BF36</f>
        <v>1462632.99023716</v>
      </c>
      <c r="BG38" s="15" t="n">
        <f aca="false">$F$34*Inputs!$F$215*Time!BG30*BG32/100*BG37/100*BG36</f>
        <v>1448906.08250931</v>
      </c>
      <c r="BH38" s="15" t="n">
        <f aca="false">$F$34*Inputs!$F$215*Time!BH30*BH32/100*BH37/100*BH36</f>
        <v>1422614.95039949</v>
      </c>
      <c r="BI38" s="15" t="n">
        <f aca="false">$F$34*Inputs!$F$215*Time!BI30*BI32/100*BI37/100*BI36</f>
        <v>1407715.20256443</v>
      </c>
      <c r="BJ38" s="15" t="n">
        <f aca="false">$F$34*Inputs!$F$215*Time!BJ30*BJ32/100*BJ37/100*BJ36</f>
        <v>1379051.9382337</v>
      </c>
      <c r="BK38" s="15" t="n">
        <f aca="false">$F$34*Inputs!$F$215*Time!BK30*BK32/100*BK37/100*BK36</f>
        <v>1401108.21584275</v>
      </c>
      <c r="BL38" s="15" t="n">
        <f aca="false">$F$34*Inputs!$F$215*Time!BL30*BL32/100*BL37/100*BL36</f>
        <v>1446238.73709887</v>
      </c>
      <c r="BM38" s="15" t="n">
        <f aca="false">$F$34*Inputs!$F$215*Time!BM30*BM32/100*BM37/100*BM36</f>
        <v>963533.649334849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6456.90967504727</v>
      </c>
      <c r="P39" s="13" t="n">
        <f aca="false">$F$35*(1+IF(Inputs!$F$312=1,INDEX(Inputs!$AK$313:$AK$1312,Inputs!$F$311),Inputs!$F$127)/100*P33)*(1+Inputs!$F$128/100)*(1+Inputs!$F$122/100)*Inputs!$F$39</f>
        <v>6459.57627923633</v>
      </c>
      <c r="Q39" s="13" t="n">
        <f aca="false">$F$35*(1+IF(Inputs!$F$312=1,INDEX(Inputs!$AK$313:$AK$1312,Inputs!$F$311),Inputs!$F$127)/100*Q33)*(1+Inputs!$F$128/100)*(1+Inputs!$F$122/100)*Inputs!$F$39</f>
        <v>6463.57618551992</v>
      </c>
      <c r="R39" s="13" t="n">
        <f aca="false">$F$35*(1+IF(Inputs!$F$312=1,INDEX(Inputs!$AK$313:$AK$1312,Inputs!$F$311),Inputs!$F$127)/100*R33)*(1+Inputs!$F$128/100)*(1+Inputs!$F$122/100)*Inputs!$F$39</f>
        <v>6467.57609180352</v>
      </c>
      <c r="S39" s="13" t="n">
        <f aca="false">$F$35*(1+IF(Inputs!$F$312=1,INDEX(Inputs!$AK$313:$AK$1312,Inputs!$F$311),Inputs!$F$127)/100*S33)*(1+Inputs!$F$128/100)*(1+Inputs!$F$122/100)*Inputs!$F$39</f>
        <v>6471.57599808712</v>
      </c>
      <c r="T39" s="13" t="n">
        <f aca="false">$F$35*(1+IF(Inputs!$F$312=1,INDEX(Inputs!$AK$313:$AK$1312,Inputs!$F$311),Inputs!$F$127)/100*T33)*(1+Inputs!$F$128/100)*(1+Inputs!$F$122/100)*Inputs!$F$39</f>
        <v>6475.57590437071</v>
      </c>
      <c r="U39" s="13" t="n">
        <f aca="false">$F$35*(1+IF(Inputs!$F$312=1,INDEX(Inputs!$AK$313:$AK$1312,Inputs!$F$311),Inputs!$F$127)/100*U33)*(1+Inputs!$F$128/100)*(1+Inputs!$F$122/100)*Inputs!$F$39</f>
        <v>6479.57581065431</v>
      </c>
      <c r="V39" s="13" t="n">
        <f aca="false">$F$35*(1+IF(Inputs!$F$312=1,INDEX(Inputs!$AK$313:$AK$1312,Inputs!$F$311),Inputs!$F$127)/100*V33)*(1+Inputs!$F$128/100)*(1+Inputs!$F$122/100)*Inputs!$F$39</f>
        <v>6483.5757169379</v>
      </c>
      <c r="W39" s="13" t="n">
        <f aca="false">$F$35*(1+IF(Inputs!$F$312=1,INDEX(Inputs!$AK$313:$AK$1312,Inputs!$F$311),Inputs!$F$127)/100*W33)*(1+Inputs!$F$128/100)*(1+Inputs!$F$122/100)*Inputs!$F$39</f>
        <v>6487.5756232215</v>
      </c>
      <c r="X39" s="13" t="n">
        <f aca="false">$F$35*(1+IF(Inputs!$F$312=1,INDEX(Inputs!$AK$313:$AK$1312,Inputs!$F$311),Inputs!$F$127)/100*X33)*(1+Inputs!$F$128/100)*(1+Inputs!$F$122/100)*Inputs!$F$39</f>
        <v>6491.57552950509</v>
      </c>
      <c r="Y39" s="13" t="n">
        <f aca="false">$F$35*(1+IF(Inputs!$F$312=1,INDEX(Inputs!$AK$313:$AK$1312,Inputs!$F$311),Inputs!$F$127)/100*Y33)*(1+Inputs!$F$128/100)*(1+Inputs!$F$122/100)*Inputs!$F$39</f>
        <v>6495.57543578869</v>
      </c>
      <c r="Z39" s="13" t="n">
        <f aca="false">$F$35*(1+IF(Inputs!$F$312=1,INDEX(Inputs!$AK$313:$AK$1312,Inputs!$F$311),Inputs!$F$127)/100*Z33)*(1+Inputs!$F$128/100)*(1+Inputs!$F$122/100)*Inputs!$F$39</f>
        <v>6499.57534207228</v>
      </c>
      <c r="AA39" s="13" t="n">
        <f aca="false">$F$35*(1+IF(Inputs!$F$312=1,INDEX(Inputs!$AK$313:$AK$1312,Inputs!$F$311),Inputs!$F$127)/100*AA33)*(1+Inputs!$F$128/100)*(1+Inputs!$F$122/100)*Inputs!$F$39</f>
        <v>6503.57524835588</v>
      </c>
      <c r="AB39" s="13" t="n">
        <f aca="false">$F$35*(1+IF(Inputs!$F$312=1,INDEX(Inputs!$AK$313:$AK$1312,Inputs!$F$311),Inputs!$F$127)/100*AB33)*(1+Inputs!$F$128/100)*(1+Inputs!$F$122/100)*Inputs!$F$39</f>
        <v>6507.57515463947</v>
      </c>
      <c r="AC39" s="13" t="n">
        <f aca="false">$F$35*(1+IF(Inputs!$F$312=1,INDEX(Inputs!$AK$313:$AK$1312,Inputs!$F$311),Inputs!$F$127)/100*AC33)*(1+Inputs!$F$128/100)*(1+Inputs!$F$122/100)*Inputs!$F$39</f>
        <v>6511.57506092307</v>
      </c>
      <c r="AD39" s="13" t="n">
        <f aca="false">$F$35*(1+IF(Inputs!$F$312=1,INDEX(Inputs!$AK$313:$AK$1312,Inputs!$F$311),Inputs!$F$127)/100*AD33)*(1+Inputs!$F$128/100)*(1+Inputs!$F$122/100)*Inputs!$F$39</f>
        <v>6515.57496720667</v>
      </c>
      <c r="AE39" s="13" t="n">
        <f aca="false">$F$35*(1+IF(Inputs!$F$312=1,INDEX(Inputs!$AK$313:$AK$1312,Inputs!$F$311),Inputs!$F$127)/100*AE33)*(1+Inputs!$F$128/100)*(1+Inputs!$F$122/100)*Inputs!$F$39</f>
        <v>6519.57487349026</v>
      </c>
      <c r="AF39" s="13" t="n">
        <f aca="false">$F$35*(1+IF(Inputs!$F$312=1,INDEX(Inputs!$AK$313:$AK$1312,Inputs!$F$311),Inputs!$F$127)/100*AF33)*(1+Inputs!$F$128/100)*(1+Inputs!$F$122/100)*Inputs!$F$39</f>
        <v>6523.57477977386</v>
      </c>
      <c r="AG39" s="13" t="n">
        <f aca="false">$F$35*(1+IF(Inputs!$F$312=1,INDEX(Inputs!$AK$313:$AK$1312,Inputs!$F$311),Inputs!$F$127)/100*AG33)*(1+Inputs!$F$128/100)*(1+Inputs!$F$122/100)*Inputs!$F$39</f>
        <v>6527.57468605745</v>
      </c>
      <c r="AH39" s="13" t="n">
        <f aca="false">$F$35*(1+IF(Inputs!$F$312=1,INDEX(Inputs!$AK$313:$AK$1312,Inputs!$F$311),Inputs!$F$127)/100*AH33)*(1+Inputs!$F$128/100)*(1+Inputs!$F$122/100)*Inputs!$F$39</f>
        <v>6531.57459234105</v>
      </c>
      <c r="AI39" s="13" t="n">
        <f aca="false">$F$35*(1+IF(Inputs!$F$312=1,INDEX(Inputs!$AK$313:$AK$1312,Inputs!$F$311),Inputs!$F$127)/100*AI33)*(1+Inputs!$F$128/100)*(1+Inputs!$F$122/100)*Inputs!$F$39</f>
        <v>6535.57449862464</v>
      </c>
      <c r="AJ39" s="13" t="n">
        <f aca="false">$F$35*(1+IF(Inputs!$F$312=1,INDEX(Inputs!$AK$313:$AK$1312,Inputs!$F$311),Inputs!$F$127)/100*AJ33)*(1+Inputs!$F$128/100)*(1+Inputs!$F$122/100)*Inputs!$F$39</f>
        <v>6539.57440490824</v>
      </c>
      <c r="AK39" s="13" t="n">
        <f aca="false">$F$35*(1+IF(Inputs!$F$312=1,INDEX(Inputs!$AK$313:$AK$1312,Inputs!$F$311),Inputs!$F$127)/100*AK33)*(1+Inputs!$F$128/100)*(1+Inputs!$F$122/100)*Inputs!$F$39</f>
        <v>6543.57431119183</v>
      </c>
      <c r="AL39" s="13" t="n">
        <f aca="false">$F$35*(1+IF(Inputs!$F$312=1,INDEX(Inputs!$AK$313:$AK$1312,Inputs!$F$311),Inputs!$F$127)/100*AL33)*(1+Inputs!$F$128/100)*(1+Inputs!$F$122/100)*Inputs!$F$39</f>
        <v>6547.57421747543</v>
      </c>
      <c r="AM39" s="13" t="n">
        <f aca="false">$F$35*(1+IF(Inputs!$F$312=1,INDEX(Inputs!$AK$313:$AK$1312,Inputs!$F$311),Inputs!$F$127)/100*AM33)*(1+Inputs!$F$128/100)*(1+Inputs!$F$122/100)*Inputs!$F$39</f>
        <v>6551.57412375903</v>
      </c>
      <c r="AN39" s="13" t="n">
        <f aca="false">$F$35*(1+IF(Inputs!$F$312=1,INDEX(Inputs!$AK$313:$AK$1312,Inputs!$F$311),Inputs!$F$127)/100*AN33)*(1+Inputs!$F$128/100)*(1+Inputs!$F$122/100)*Inputs!$F$39</f>
        <v>6555.57403004262</v>
      </c>
      <c r="AO39" s="13" t="n">
        <f aca="false">$F$35*(1+IF(Inputs!$F$312=1,INDEX(Inputs!$AK$313:$AK$1312,Inputs!$F$311),Inputs!$F$127)/100*AO33)*(1+Inputs!$F$128/100)*(1+Inputs!$F$122/100)*Inputs!$F$39</f>
        <v>6559.57393632622</v>
      </c>
      <c r="AP39" s="13" t="n">
        <f aca="false">$F$35*(1+IF(Inputs!$F$312=1,INDEX(Inputs!$AK$313:$AK$1312,Inputs!$F$311),Inputs!$F$127)/100*AP33)*(1+Inputs!$F$128/100)*(1+Inputs!$F$122/100)*Inputs!$F$39</f>
        <v>6563.57384260981</v>
      </c>
      <c r="AQ39" s="13" t="n">
        <f aca="false">$F$35*(1+IF(Inputs!$F$312=1,INDEX(Inputs!$AK$313:$AK$1312,Inputs!$F$311),Inputs!$F$127)/100*AQ33)*(1+Inputs!$F$128/100)*(1+Inputs!$F$122/100)*Inputs!$F$39</f>
        <v>6567.57374889341</v>
      </c>
      <c r="AR39" s="13" t="n">
        <f aca="false">$F$35*(1+IF(Inputs!$F$312=1,INDEX(Inputs!$AK$313:$AK$1312,Inputs!$F$311),Inputs!$F$127)/100*AR33)*(1+Inputs!$F$128/100)*(1+Inputs!$F$122/100)*Inputs!$F$39</f>
        <v>6571.573655177</v>
      </c>
      <c r="AS39" s="13" t="n">
        <f aca="false">$F$35*(1+IF(Inputs!$F$312=1,INDEX(Inputs!$AK$313:$AK$1312,Inputs!$F$311),Inputs!$F$127)/100*AS33)*(1+Inputs!$F$128/100)*(1+Inputs!$F$122/100)*Inputs!$F$39</f>
        <v>6575.5735614606</v>
      </c>
      <c r="AT39" s="13" t="n">
        <f aca="false">$F$35*(1+IF(Inputs!$F$312=1,INDEX(Inputs!$AK$313:$AK$1312,Inputs!$F$311),Inputs!$F$127)/100*AT33)*(1+Inputs!$F$128/100)*(1+Inputs!$F$122/100)*Inputs!$F$39</f>
        <v>6579.57346774419</v>
      </c>
      <c r="AU39" s="13" t="n">
        <f aca="false">$F$35*(1+IF(Inputs!$F$312=1,INDEX(Inputs!$AK$313:$AK$1312,Inputs!$F$311),Inputs!$F$127)/100*AU33)*(1+Inputs!$F$128/100)*(1+Inputs!$F$122/100)*Inputs!$F$39</f>
        <v>6583.57337402779</v>
      </c>
      <c r="AV39" s="13" t="n">
        <f aca="false">$F$35*(1+IF(Inputs!$F$312=1,INDEX(Inputs!$AK$313:$AK$1312,Inputs!$F$311),Inputs!$F$127)/100*AV33)*(1+Inputs!$F$128/100)*(1+Inputs!$F$122/100)*Inputs!$F$39</f>
        <v>6587.57328031138</v>
      </c>
      <c r="AW39" s="13" t="n">
        <f aca="false">$F$35*(1+IF(Inputs!$F$312=1,INDEX(Inputs!$AK$313:$AK$1312,Inputs!$F$311),Inputs!$F$127)/100*AW33)*(1+Inputs!$F$128/100)*(1+Inputs!$F$122/100)*Inputs!$F$39</f>
        <v>6591.57318659498</v>
      </c>
      <c r="AX39" s="13" t="n">
        <f aca="false">$F$35*(1+IF(Inputs!$F$312=1,INDEX(Inputs!$AK$313:$AK$1312,Inputs!$F$311),Inputs!$F$127)/100*AX33)*(1+Inputs!$F$128/100)*(1+Inputs!$F$122/100)*Inputs!$F$39</f>
        <v>6595.57309287858</v>
      </c>
      <c r="AY39" s="13" t="n">
        <f aca="false">$F$35*(1+IF(Inputs!$F$312=1,INDEX(Inputs!$AK$313:$AK$1312,Inputs!$F$311),Inputs!$F$127)/100*AY33)*(1+Inputs!$F$128/100)*(1+Inputs!$F$122/100)*Inputs!$F$39</f>
        <v>6599.57299916217</v>
      </c>
      <c r="AZ39" s="13" t="n">
        <f aca="false">$F$35*(1+IF(Inputs!$F$312=1,INDEX(Inputs!$AK$313:$AK$1312,Inputs!$F$311),Inputs!$F$127)/100*AZ33)*(1+Inputs!$F$128/100)*(1+Inputs!$F$122/100)*Inputs!$F$39</f>
        <v>6603.57290544577</v>
      </c>
      <c r="BA39" s="13" t="n">
        <f aca="false">$F$35*(1+IF(Inputs!$F$312=1,INDEX(Inputs!$AK$313:$AK$1312,Inputs!$F$311),Inputs!$F$127)/100*BA33)*(1+Inputs!$F$128/100)*(1+Inputs!$F$122/100)*Inputs!$F$39</f>
        <v>6607.57281172936</v>
      </c>
      <c r="BB39" s="13" t="n">
        <f aca="false">$F$35*(1+IF(Inputs!$F$312=1,INDEX(Inputs!$AK$313:$AK$1312,Inputs!$F$311),Inputs!$F$127)/100*BB33)*(1+Inputs!$F$128/100)*(1+Inputs!$F$122/100)*Inputs!$F$39</f>
        <v>6611.57271801296</v>
      </c>
      <c r="BC39" s="13" t="n">
        <f aca="false">$F$35*(1+IF(Inputs!$F$312=1,INDEX(Inputs!$AK$313:$AK$1312,Inputs!$F$311),Inputs!$F$127)/100*BC33)*(1+Inputs!$F$128/100)*(1+Inputs!$F$122/100)*Inputs!$F$39</f>
        <v>6615.57262429655</v>
      </c>
      <c r="BD39" s="13" t="n">
        <f aca="false">$F$35*(1+IF(Inputs!$F$312=1,INDEX(Inputs!$AK$313:$AK$1312,Inputs!$F$311),Inputs!$F$127)/100*BD33)*(1+Inputs!$F$128/100)*(1+Inputs!$F$122/100)*Inputs!$F$39</f>
        <v>6619.57253058015</v>
      </c>
      <c r="BE39" s="13" t="n">
        <f aca="false">$F$35*(1+IF(Inputs!$F$312=1,INDEX(Inputs!$AK$313:$AK$1312,Inputs!$F$311),Inputs!$F$127)/100*BE33)*(1+Inputs!$F$128/100)*(1+Inputs!$F$122/100)*Inputs!$F$39</f>
        <v>6623.57243686374</v>
      </c>
      <c r="BF39" s="13" t="n">
        <f aca="false">$F$35*(1+IF(Inputs!$F$312=1,INDEX(Inputs!$AK$313:$AK$1312,Inputs!$F$311),Inputs!$F$127)/100*BF33)*(1+Inputs!$F$128/100)*(1+Inputs!$F$122/100)*Inputs!$F$39</f>
        <v>6627.57234314734</v>
      </c>
      <c r="BG39" s="13" t="n">
        <f aca="false">$F$35*(1+IF(Inputs!$F$312=1,INDEX(Inputs!$AK$313:$AK$1312,Inputs!$F$311),Inputs!$F$127)/100*BG33)*(1+Inputs!$F$128/100)*(1+Inputs!$F$122/100)*Inputs!$F$39</f>
        <v>6631.57224943094</v>
      </c>
      <c r="BH39" s="13" t="n">
        <f aca="false">$F$35*(1+IF(Inputs!$F$312=1,INDEX(Inputs!$AK$313:$AK$1312,Inputs!$F$311),Inputs!$F$127)/100*BH33)*(1+Inputs!$F$128/100)*(1+Inputs!$F$122/100)*Inputs!$F$39</f>
        <v>6635.57215571453</v>
      </c>
      <c r="BI39" s="13" t="n">
        <f aca="false">$F$35*(1+IF(Inputs!$F$312=1,INDEX(Inputs!$AK$313:$AK$1312,Inputs!$F$311),Inputs!$F$127)/100*BI33)*(1+Inputs!$F$128/100)*(1+Inputs!$F$122/100)*Inputs!$F$39</f>
        <v>6639.57206199813</v>
      </c>
      <c r="BJ39" s="13" t="n">
        <f aca="false">$F$35*(1+IF(Inputs!$F$312=1,INDEX(Inputs!$AK$313:$AK$1312,Inputs!$F$311),Inputs!$F$127)/100*BJ33)*(1+Inputs!$F$128/100)*(1+Inputs!$F$122/100)*Inputs!$F$39</f>
        <v>6643.57196828172</v>
      </c>
      <c r="BK39" s="13" t="n">
        <f aca="false">$F$35*(1+IF(Inputs!$F$312=1,INDEX(Inputs!$AK$313:$AK$1312,Inputs!$F$311),Inputs!$F$127)/100*BK33)*(1+Inputs!$F$128/100)*(1+Inputs!$F$122/100)*Inputs!$F$39</f>
        <v>6647.57187456532</v>
      </c>
      <c r="BL39" s="13" t="n">
        <f aca="false">$F$35*(1+IF(Inputs!$F$312=1,INDEX(Inputs!$AK$313:$AK$1312,Inputs!$F$311),Inputs!$F$127)/100*BL33)*(1+Inputs!$F$128/100)*(1+Inputs!$F$122/100)*Inputs!$F$39</f>
        <v>6651.57178084891</v>
      </c>
      <c r="BM39" s="13" t="n">
        <f aca="false">$F$35*(1+IF(Inputs!$F$312=1,INDEX(Inputs!$AK$313:$AK$1312,Inputs!$F$311),Inputs!$F$127)/100*BM33)*(1+Inputs!$F$128/100)*(1+Inputs!$F$122/100)*Inputs!$F$39</f>
        <v>6654.90503608524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3400527.25119322</v>
      </c>
      <c r="P42" s="15" t="n">
        <f aca="false">P38*P39*(1000*Inputs!$F$123/Inputs!$F$124)</f>
        <v>10200691.3142617</v>
      </c>
      <c r="Q42" s="15" t="n">
        <f aca="false">Q38*Q39*(1000*Inputs!$F$123/Inputs!$F$124)</f>
        <v>10163354.7427779</v>
      </c>
      <c r="R42" s="15" t="n">
        <f aca="false">R38*R39*(1000*Inputs!$F$123/Inputs!$F$124)</f>
        <v>10090030.0031216</v>
      </c>
      <c r="S42" s="15" t="n">
        <f aca="false">S38*S39*(1000*Inputs!$F$123/Inputs!$F$124)</f>
        <v>10164196.9262055</v>
      </c>
      <c r="T42" s="15" t="n">
        <f aca="false">T38*T39*(1000*Inputs!$F$123/Inputs!$F$124)</f>
        <v>10313839.0054727</v>
      </c>
      <c r="U42" s="15" t="n">
        <f aca="false">U38*U39*(1000*Inputs!$F$123/Inputs!$F$124)</f>
        <v>10231197.5924717</v>
      </c>
      <c r="V42" s="15" t="n">
        <f aca="false">V38*V39*(1000*Inputs!$F$123/Inputs!$F$124)</f>
        <v>10067335.9827555</v>
      </c>
      <c r="W42" s="15" t="n">
        <f aca="false">W38*W39*(1000*Inputs!$F$123/Inputs!$F$124)</f>
        <v>10164761.1977183</v>
      </c>
      <c r="X42" s="15" t="n">
        <f aca="false">X38*X39*(1000*Inputs!$F$123/Inputs!$F$124)</f>
        <v>10360944.5009535</v>
      </c>
      <c r="Y42" s="15" t="n">
        <f aca="false">Y38*Y39*(1000*Inputs!$F$123/Inputs!$F$124)</f>
        <v>10374326.2709329</v>
      </c>
      <c r="Z42" s="15" t="n">
        <f aca="false">Z38*Z39*(1000*Inputs!$F$123/Inputs!$F$124)</f>
        <v>10402517.1952841</v>
      </c>
      <c r="AA42" s="15" t="n">
        <f aca="false">AA38*AA39*(1000*Inputs!$F$123/Inputs!$F$124)</f>
        <v>10361628.8947498</v>
      </c>
      <c r="AB42" s="15" t="n">
        <f aca="false">AB38*AB39*(1000*Inputs!$F$123/Inputs!$F$124)</f>
        <v>10281328.2435451</v>
      </c>
      <c r="AC42" s="15" t="n">
        <f aca="false">AC38*AC39*(1000*Inputs!$F$123/Inputs!$F$124)</f>
        <v>10047061.5656223</v>
      </c>
      <c r="AD42" s="15" t="n">
        <f aca="false">AD38*AD39*(1000*Inputs!$F$123/Inputs!$F$124)</f>
        <v>9580090.505669</v>
      </c>
      <c r="AE42" s="15" t="n">
        <f aca="false">AE38*AE39*(1000*Inputs!$F$123/Inputs!$F$124)</f>
        <v>9790730.01649518</v>
      </c>
      <c r="AF42" s="15" t="n">
        <f aca="false">AF38*AF39*(1000*Inputs!$F$123/Inputs!$F$124)</f>
        <v>10213296.4278971</v>
      </c>
      <c r="AG42" s="15" t="n">
        <f aca="false">AG38*AG39*(1000*Inputs!$F$123/Inputs!$F$124)</f>
        <v>10123644.595357</v>
      </c>
      <c r="AH42" s="15" t="n">
        <f aca="false">AH38*AH39*(1000*Inputs!$F$123/Inputs!$F$124)</f>
        <v>9945870.94661085</v>
      </c>
      <c r="AI42" s="15" t="n">
        <f aca="false">AI38*AI39*(1000*Inputs!$F$123/Inputs!$F$124)</f>
        <v>10021541.7097071</v>
      </c>
      <c r="AJ42" s="15" t="n">
        <f aca="false">AJ38*AJ39*(1000*Inputs!$F$123/Inputs!$F$124)</f>
        <v>10174319.4088604</v>
      </c>
      <c r="AK42" s="15" t="n">
        <f aca="false">AK38*AK39*(1000*Inputs!$F$123/Inputs!$F$124)</f>
        <v>9986786.73383933</v>
      </c>
      <c r="AL42" s="15" t="n">
        <f aca="false">AL38*AL39*(1000*Inputs!$F$123/Inputs!$F$124)</f>
        <v>9613330.05702643</v>
      </c>
      <c r="AM42" s="15" t="n">
        <f aca="false">AM38*AM39*(1000*Inputs!$F$123/Inputs!$F$124)</f>
        <v>9826365.40433158</v>
      </c>
      <c r="AN42" s="15" t="n">
        <f aca="false">AN38*AN39*(1000*Inputs!$F$123/Inputs!$F$124)</f>
        <v>10253795.6276056</v>
      </c>
      <c r="AO42" s="15" t="n">
        <f aca="false">AO38*AO39*(1000*Inputs!$F$123/Inputs!$F$124)</f>
        <v>10172419.3580802</v>
      </c>
      <c r="AP42" s="15" t="n">
        <f aca="false">AP38*AP39*(1000*Inputs!$F$123/Inputs!$F$124)</f>
        <v>10011279.1699687</v>
      </c>
      <c r="AQ42" s="15" t="n">
        <f aca="false">AQ38*AQ39*(1000*Inputs!$F$123/Inputs!$F$124)</f>
        <v>10083918.5479374</v>
      </c>
      <c r="AR42" s="15" t="n">
        <f aca="false">AR38*AR39*(1000*Inputs!$F$123/Inputs!$F$124)</f>
        <v>10230719.2891229</v>
      </c>
      <c r="AS42" s="15" t="n">
        <f aca="false">AS38*AS39*(1000*Inputs!$F$123/Inputs!$F$124)</f>
        <v>10045829.3730573</v>
      </c>
      <c r="AT42" s="15" t="n">
        <f aca="false">AT38*AT39*(1000*Inputs!$F$123/Inputs!$F$124)</f>
        <v>9677747.89628122</v>
      </c>
      <c r="AU42" s="15" t="n">
        <f aca="false">AU38*AU39*(1000*Inputs!$F$123/Inputs!$F$124)</f>
        <v>9788121.26785746</v>
      </c>
      <c r="AV42" s="15" t="n">
        <f aca="false">AV38*AV39*(1000*Inputs!$F$123/Inputs!$F$124)</f>
        <v>10010356.1094253</v>
      </c>
      <c r="AW42" s="15" t="n">
        <f aca="false">AW38*AW39*(1000*Inputs!$F$123/Inputs!$F$124)</f>
        <v>10091979.2394822</v>
      </c>
      <c r="AX42" s="15" t="n">
        <f aca="false">AX38*AX39*(1000*Inputs!$F$123/Inputs!$F$124)</f>
        <v>10256799.203882</v>
      </c>
      <c r="AY42" s="15" t="n">
        <f aca="false">AY38*AY39*(1000*Inputs!$F$123/Inputs!$F$124)</f>
        <v>10237016.136638</v>
      </c>
      <c r="AZ42" s="15" t="n">
        <f aca="false">AZ38*AZ39*(1000*Inputs!$F$123/Inputs!$F$124)</f>
        <v>10199132.8674421</v>
      </c>
      <c r="BA42" s="15" t="n">
        <f aca="false">BA38*BA39*(1000*Inputs!$F$123/Inputs!$F$124)</f>
        <v>10034024.0853669</v>
      </c>
      <c r="BB42" s="15" t="n">
        <f aca="false">BB38*BB39*(1000*Inputs!$F$123/Inputs!$F$124)</f>
        <v>9705572.49897058</v>
      </c>
      <c r="BC42" s="15" t="n">
        <f aca="false">BC38*BC39*(1000*Inputs!$F$123/Inputs!$F$124)</f>
        <v>9869742.17879869</v>
      </c>
      <c r="BD42" s="15" t="n">
        <f aca="false">BD38*BD39*(1000*Inputs!$F$123/Inputs!$F$124)</f>
        <v>10199618.7836416</v>
      </c>
      <c r="BE42" s="15" t="n">
        <f aca="false">BE38*BE39*(1000*Inputs!$F$123/Inputs!$F$124)</f>
        <v>10192553.1167109</v>
      </c>
      <c r="BF42" s="15" t="n">
        <f aca="false">BF38*BF39*(1000*Inputs!$F$123/Inputs!$F$124)</f>
        <v>10180147.9706593</v>
      </c>
      <c r="BG42" s="15" t="n">
        <f aca="false">BG38*BG39*(1000*Inputs!$F$123/Inputs!$F$124)</f>
        <v>10090692.9192677</v>
      </c>
      <c r="BH42" s="15" t="n">
        <f aca="false">BH38*BH39*(1000*Inputs!$F$123/Inputs!$F$124)</f>
        <v>9913568.07763458</v>
      </c>
      <c r="BI42" s="15" t="n">
        <f aca="false">BI38*BI39*(1000*Inputs!$F$123/Inputs!$F$124)</f>
        <v>9815651.67674328</v>
      </c>
      <c r="BJ42" s="15" t="n">
        <f aca="false">BJ38*BJ39*(1000*Inputs!$F$123/Inputs!$F$124)</f>
        <v>9621582.6705091</v>
      </c>
      <c r="BK42" s="15" t="n">
        <f aca="false">BK38*BK39*(1000*Inputs!$F$123/Inputs!$F$124)</f>
        <v>9781353.84879605</v>
      </c>
      <c r="BL42" s="15" t="n">
        <f aca="false">BL38*BL39*(1000*Inputs!$F$123/Inputs!$F$124)</f>
        <v>10102492.1287966</v>
      </c>
      <c r="BM42" s="15" t="n">
        <f aca="false">BM38*BM39*(1000*Inputs!$F$123/Inputs!$F$124)</f>
        <v>6733998.22229232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2.33622751361291</v>
      </c>
      <c r="K46" s="13" t="n">
        <f aca="false">Inputs!$F$136*(Inputs!$F$137*K20/100+(1-Inputs!$F$137)*K26/100*Inputs!$F$138/K11)</f>
        <v>2.37969741011124</v>
      </c>
      <c r="L46" s="13" t="n">
        <f aca="false">Inputs!$F$136*(Inputs!$F$137*L20/100+(1-Inputs!$F$137)*L26/100*Inputs!$F$138/L11)</f>
        <v>2.4242099667026</v>
      </c>
      <c r="M46" s="13" t="n">
        <f aca="false">Inputs!$F$136*(Inputs!$F$137*M20/100+(1-Inputs!$F$137)*M26/100*Inputs!$F$138/M11)</f>
        <v>2.46979454516295</v>
      </c>
      <c r="N46" s="13" t="n">
        <f aca="false">Inputs!$F$136*(Inputs!$F$137*N20/100+(1-Inputs!$F$137)*N26/100*Inputs!$F$138/N11)</f>
        <v>2.51648139696718</v>
      </c>
      <c r="O46" s="13" t="n">
        <f aca="false">Inputs!$F$136*(Inputs!$F$137*O20/100+(1-Inputs!$F$137)*O26/100*Inputs!$F$138/O11)</f>
        <v>2.56430169102133</v>
      </c>
      <c r="P46" s="13" t="n">
        <f aca="false">Inputs!$F$136*(Inputs!$F$137*P20/100+(1-Inputs!$F$137)*P26/100*Inputs!$F$138/P11)</f>
        <v>2.61328754226796</v>
      </c>
      <c r="Q46" s="13" t="n">
        <f aca="false">Inputs!$F$136*(Inputs!$F$137*Q20/100+(1-Inputs!$F$137)*Q26/100*Inputs!$F$138/Q11)</f>
        <v>2.66347204119249</v>
      </c>
      <c r="R46" s="13" t="n">
        <f aca="false">Inputs!$F$136*(Inputs!$F$137*R20/100+(1-Inputs!$F$137)*R26/100*Inputs!$F$138/R11)</f>
        <v>2.71488928425878</v>
      </c>
      <c r="S46" s="13" t="n">
        <f aca="false">Inputs!$F$136*(Inputs!$F$137*S20/100+(1-Inputs!$F$137)*S26/100*Inputs!$F$138/S11)</f>
        <v>2.76757440530342</v>
      </c>
      <c r="T46" s="13" t="n">
        <f aca="false">Inputs!$F$136*(Inputs!$F$137*T20/100+(1-Inputs!$F$137)*T26/100*Inputs!$F$138/T11)</f>
        <v>2.82156360791908</v>
      </c>
      <c r="U46" s="13" t="n">
        <f aca="false">Inputs!$F$136*(Inputs!$F$137*U20/100+(1-Inputs!$F$137)*U26/100*Inputs!$F$138/U11)</f>
        <v>2.876894198858</v>
      </c>
      <c r="V46" s="13" t="n">
        <f aca="false">Inputs!$F$136*(Inputs!$F$137*V20/100+(1-Inputs!$F$137)*V26/100*Inputs!$F$138/V11)</f>
        <v>2.93360462248807</v>
      </c>
      <c r="W46" s="13" t="n">
        <f aca="false">Inputs!$F$136*(Inputs!$F$137*W20/100+(1-Inputs!$F$137)*W26/100*Inputs!$F$138/W11)</f>
        <v>2.99173449633464</v>
      </c>
      <c r="X46" s="13" t="n">
        <f aca="false">Inputs!$F$136*(Inputs!$F$137*X20/100+(1-Inputs!$F$137)*X26/100*Inputs!$F$138/X11)</f>
        <v>3.05132464774241</v>
      </c>
      <c r="Y46" s="13" t="n">
        <f aca="false">Inputs!$F$136*(Inputs!$F$137*Y20/100+(1-Inputs!$F$137)*Y26/100*Inputs!$F$138/Y11)</f>
        <v>3.11241715169285</v>
      </c>
      <c r="Z46" s="13" t="n">
        <f aca="false">Inputs!$F$136*(Inputs!$F$137*Z20/100+(1-Inputs!$F$137)*Z26/100*Inputs!$F$138/Z11)</f>
        <v>3.17505536981357</v>
      </c>
      <c r="AA46" s="13" t="n">
        <f aca="false">Inputs!$F$136*(Inputs!$F$137*AA20/100+(1-Inputs!$F$137)*AA26/100*Inputs!$F$138/AA11)</f>
        <v>3.2392839906175</v>
      </c>
      <c r="AB46" s="13" t="n">
        <f aca="false">Inputs!$F$136*(Inputs!$F$137*AB20/100+(1-Inputs!$F$137)*AB26/100*Inputs!$F$138/AB11)</f>
        <v>3.30514907101051</v>
      </c>
      <c r="AC46" s="13" t="n">
        <f aca="false">Inputs!$F$136*(Inputs!$F$137*AC20/100+(1-Inputs!$F$137)*AC26/100*Inputs!$F$138/AC11)</f>
        <v>3.37269807910788</v>
      </c>
      <c r="AD46" s="13" t="n">
        <f aca="false">Inputs!$F$136*(Inputs!$F$137*AD20/100+(1-Inputs!$F$137)*AD26/100*Inputs!$F$138/AD11)</f>
        <v>3.44197993840064</v>
      </c>
      <c r="AE46" s="13" t="n">
        <f aca="false">Inputs!$F$136*(Inputs!$F$137*AE20/100+(1-Inputs!$F$137)*AE26/100*Inputs!$F$138/AE11)</f>
        <v>3.51304507331484</v>
      </c>
      <c r="AF46" s="13" t="n">
        <f aca="false">Inputs!$F$136*(Inputs!$F$137*AF20/100+(1-Inputs!$F$137)*AF26/100*Inputs!$F$138/AF11)</f>
        <v>3.58594545620745</v>
      </c>
      <c r="AG46" s="13" t="n">
        <f aca="false">Inputs!$F$136*(Inputs!$F$137*AG20/100+(1-Inputs!$F$137)*AG26/100*Inputs!$F$138/AG11)</f>
        <v>3.66073465584451</v>
      </c>
      <c r="AH46" s="13" t="n">
        <f aca="false">Inputs!$F$136*(Inputs!$F$137*AH20/100+(1-Inputs!$F$137)*AH26/100*Inputs!$F$138/AH11)</f>
        <v>3.73746788740841</v>
      </c>
      <c r="AI46" s="13" t="n">
        <f aca="false">Inputs!$F$136*(Inputs!$F$137*AI20/100+(1-Inputs!$F$137)*AI26/100*Inputs!$F$138/AI11)</f>
        <v>3.81620206408249</v>
      </c>
      <c r="AJ46" s="13" t="n">
        <f aca="false">Inputs!$F$136*(Inputs!$F$137*AJ20/100+(1-Inputs!$F$137)*AJ26/100*Inputs!$F$138/AJ11)</f>
        <v>3.89699585026302</v>
      </c>
      <c r="AK46" s="13" t="n">
        <f aca="false">Inputs!$F$136*(Inputs!$F$137*AK20/100+(1-Inputs!$F$137)*AK26/100*Inputs!$F$138/AK11)</f>
        <v>3.97990971644986</v>
      </c>
      <c r="AL46" s="13" t="n">
        <f aca="false">Inputs!$F$136*(Inputs!$F$137*AL20/100+(1-Inputs!$F$137)*AL26/100*Inputs!$F$138/AL11)</f>
        <v>4.06500599586905</v>
      </c>
      <c r="AM46" s="13" t="n">
        <f aca="false">Inputs!$F$136*(Inputs!$F$137*AM20/100+(1-Inputs!$F$137)*AM26/100*Inputs!$F$138/AM11)</f>
        <v>4.15234894288191</v>
      </c>
      <c r="AN46" s="13" t="n">
        <f aca="false">Inputs!$F$136*(Inputs!$F$137*AN20/100+(1-Inputs!$F$137)*AN26/100*Inputs!$F$138/AN11)</f>
        <v>4.24200479323732</v>
      </c>
      <c r="AO46" s="13" t="n">
        <f aca="false">Inputs!$F$136*(Inputs!$F$137*AO20/100+(1-Inputs!$F$137)*AO26/100*Inputs!$F$138/AO11)</f>
        <v>4.33404182622536</v>
      </c>
      <c r="AP46" s="13" t="n">
        <f aca="false">Inputs!$F$136*(Inputs!$F$137*AP20/100+(1-Inputs!$F$137)*AP26/100*Inputs!$F$138/AP11)</f>
        <v>4.42853042879247</v>
      </c>
      <c r="AQ46" s="13" t="n">
        <f aca="false">Inputs!$F$136*(Inputs!$F$137*AQ20/100+(1-Inputs!$F$137)*AQ26/100*Inputs!$F$138/AQ11)</f>
        <v>4.52554316168021</v>
      </c>
      <c r="AR46" s="13" t="n">
        <f aca="false">Inputs!$F$136*(Inputs!$F$137*AR20/100+(1-Inputs!$F$137)*AR26/100*Inputs!$F$138/AR11)</f>
        <v>4.62515482765153</v>
      </c>
      <c r="AS46" s="13" t="n">
        <f aca="false">Inputs!$F$136*(Inputs!$F$137*AS20/100+(1-Inputs!$F$137)*AS26/100*Inputs!$F$138/AS11)</f>
        <v>4.72744254187061</v>
      </c>
      <c r="AT46" s="13" t="n">
        <f aca="false">Inputs!$F$136*(Inputs!$F$137*AT20/100+(1-Inputs!$F$137)*AT26/100*Inputs!$F$138/AT11)</f>
        <v>4.83248580450453</v>
      </c>
      <c r="AU46" s="13" t="n">
        <f aca="false">Inputs!$F$136*(Inputs!$F$137*AU20/100+(1-Inputs!$F$137)*AU26/100*Inputs!$F$138/AU11)</f>
        <v>4.94036657561668</v>
      </c>
      <c r="AV46" s="13" t="n">
        <f aca="false">Inputs!$F$136*(Inputs!$F$137*AV20/100+(1-Inputs!$F$137)*AV26/100*Inputs!$F$138/AV11)</f>
        <v>5.05116935242486</v>
      </c>
      <c r="AW46" s="13" t="n">
        <f aca="false">Inputs!$F$136*(Inputs!$F$137*AW20/100+(1-Inputs!$F$137)*AW26/100*Inputs!$F$138/AW11)</f>
        <v>5.16498124899845</v>
      </c>
      <c r="AX46" s="13" t="n">
        <f aca="false">Inputs!$F$136*(Inputs!$F$137*AX20/100+(1-Inputs!$F$137)*AX26/100*Inputs!$F$138/AX11)</f>
        <v>5.28189207847209</v>
      </c>
      <c r="AY46" s="13" t="n">
        <f aca="false">Inputs!$F$136*(Inputs!$F$137*AY20/100+(1-Inputs!$F$137)*AY26/100*Inputs!$F$138/AY11)</f>
        <v>5.40199443785533</v>
      </c>
      <c r="AZ46" s="13" t="n">
        <f aca="false">Inputs!$F$136*(Inputs!$F$137*AZ20/100+(1-Inputs!$F$137)*AZ26/100*Inputs!$F$138/AZ11)</f>
        <v>5.52538379552036</v>
      </c>
      <c r="BA46" s="13" t="n">
        <f aca="false">Inputs!$F$136*(Inputs!$F$137*BA20/100+(1-Inputs!$F$137)*BA26/100*Inputs!$F$138/BA11)</f>
        <v>5.65215858145261</v>
      </c>
      <c r="BB46" s="13" t="n">
        <f aca="false">Inputs!$F$136*(Inputs!$F$137*BB20/100+(1-Inputs!$F$137)*BB26/100*Inputs!$F$138/BB11)</f>
        <v>5.78242028035158</v>
      </c>
      <c r="BC46" s="13" t="n">
        <f aca="false">Inputs!$F$136*(Inputs!$F$137*BC20/100+(1-Inputs!$F$137)*BC26/100*Inputs!$F$138/BC11)</f>
        <v>5.91627352767204</v>
      </c>
      <c r="BD46" s="13" t="n">
        <f aca="false">Inputs!$F$136*(Inputs!$F$137*BD20/100+(1-Inputs!$F$137)*BD26/100*Inputs!$F$138/BD11)</f>
        <v>6.05382620869864</v>
      </c>
      <c r="BE46" s="13" t="n">
        <f aca="false">Inputs!$F$136*(Inputs!$F$137*BE20/100+(1-Inputs!$F$137)*BE26/100*Inputs!$F$138/BE11)</f>
        <v>6.19518956074988</v>
      </c>
      <c r="BF46" s="13" t="n">
        <f aca="false">Inputs!$F$136*(Inputs!$F$137*BF20/100+(1-Inputs!$F$137)*BF26/100*Inputs!$F$138/BF11)</f>
        <v>6.34047827861049</v>
      </c>
      <c r="BG46" s="13" t="n">
        <f aca="false">Inputs!$F$136*(Inputs!$F$137*BG20/100+(1-Inputs!$F$137)*BG26/100*Inputs!$F$138/BG11)</f>
        <v>6.48981062329426</v>
      </c>
      <c r="BH46" s="13" t="n">
        <f aca="false">Inputs!$F$136*(Inputs!$F$137*BH20/100+(1-Inputs!$F$137)*BH26/100*Inputs!$F$138/BH11)</f>
        <v>6.64330853424275</v>
      </c>
      <c r="BI46" s="13" t="n">
        <f aca="false">Inputs!$F$136*(Inputs!$F$137*BI20/100+(1-Inputs!$F$137)*BI26/100*Inputs!$F$138/BI11)</f>
        <v>6.80109774506855</v>
      </c>
      <c r="BJ46" s="13" t="n">
        <f aca="false">Inputs!$F$136*(Inputs!$F$137*BJ20/100+(1-Inputs!$F$137)*BJ26/100*Inputs!$F$138/BJ11)</f>
        <v>6.96330790295527</v>
      </c>
      <c r="BK46" s="13" t="n">
        <f aca="false">Inputs!$F$136*(Inputs!$F$137*BK20/100+(1-Inputs!$F$137)*BK26/100*Inputs!$F$138/BK11)</f>
        <v>7.13007269182992</v>
      </c>
      <c r="BL46" s="13" t="n">
        <f aca="false">Inputs!$F$136*(Inputs!$F$137*BL20/100+(1-Inputs!$F$137)*BL26/100*Inputs!$F$138/BL11)</f>
        <v>7.30152995942698</v>
      </c>
      <c r="BM46" s="13" t="n">
        <f aca="false">Inputs!$F$136*(Inputs!$F$137*BM20/100+(1-Inputs!$F$137)*BM26/100*Inputs!$F$138/BM11)</f>
        <v>7.47782184836744</v>
      </c>
      <c r="BN46" s="13" t="n">
        <f aca="false">Inputs!$F$136*(Inputs!$F$137*BN20/100+(1-Inputs!$F$137)*BN26/100*Inputs!$F$138/BN11)</f>
        <v>7.65909493137962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0.979342996694586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0.98390799229921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0.991737926972709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0.995892391854756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0.98862860333569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3552.63106105355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20.2042497454396</v>
      </c>
      <c r="P48" s="13" t="n">
        <f aca="false">$F$34*1000*Time!P30*(P45+P46)*P47/1000000</f>
        <v>60.9060579939288</v>
      </c>
      <c r="Q48" s="13" t="n">
        <f aca="false">$F$34*1000*Time!Q30*(Q45+Q46)*Q47/1000000</f>
        <v>61.2049153141826</v>
      </c>
      <c r="R48" s="13" t="n">
        <f aca="false">$F$34*1000*Time!R30*(R45+R46)*R47/1000000</f>
        <v>61.5094559778567</v>
      </c>
      <c r="S48" s="13" t="n">
        <f aca="false">$F$34*1000*Time!S30*(S45+S46)*S47/1000000</f>
        <v>61.8198185856788</v>
      </c>
      <c r="T48" s="13" t="n">
        <f aca="false">$F$34*1000*Time!T30*(T45+T46)*T47/1000000</f>
        <v>62.1361456743786</v>
      </c>
      <c r="U48" s="13" t="n">
        <f aca="false">$F$34*1000*Time!U30*(U45+U46)*U47/1000000</f>
        <v>62.4585838363582</v>
      </c>
      <c r="V48" s="13" t="n">
        <f aca="false">$F$34*1000*Time!V30*(V45+V46)*V47/1000000</f>
        <v>62.7872838430985</v>
      </c>
      <c r="W48" s="13" t="n">
        <f aca="false">$F$34*1000*Time!W30*(W45+W46)*W47/1000000</f>
        <v>63.1224007724174</v>
      </c>
      <c r="X48" s="13" t="n">
        <f aca="false">$F$34*1000*Time!X30*(X45+X46)*X47/1000000</f>
        <v>63.4640941397015</v>
      </c>
      <c r="Y48" s="13" t="n">
        <f aca="false">$F$34*1000*Time!Y30*(Y45+Y46)*Y47/1000000</f>
        <v>63.8125280332383</v>
      </c>
      <c r="Z48" s="13" t="n">
        <f aca="false">$F$34*1000*Time!Z30*(Z45+Z46)*Z47/1000000</f>
        <v>64.1678712537744</v>
      </c>
      <c r="AA48" s="13" t="n">
        <f aca="false">$F$34*1000*Time!AA30*(AA45+AA46)*AA47/1000000</f>
        <v>64.5302974584377</v>
      </c>
      <c r="AB48" s="13" t="n">
        <f aca="false">$F$34*1000*Time!AB30*(AB45+AB46)*AB47/1000000</f>
        <v>64.8999853091562</v>
      </c>
      <c r="AC48" s="13" t="n">
        <f aca="false">$F$34*1000*Time!AC30*(AC45+AC46)*AC47/1000000</f>
        <v>65.2771186257193</v>
      </c>
      <c r="AD48" s="13" t="n">
        <f aca="false">$F$34*1000*Time!AD30*(AD45+AD46)*AD47/1000000</f>
        <v>64.3055087362538</v>
      </c>
      <c r="AE48" s="13" t="n">
        <f aca="false">$F$34*1000*Time!AE30*(AE45+AE46)*AE47/1000000</f>
        <v>66.0544836768668</v>
      </c>
      <c r="AF48" s="13" t="n">
        <f aca="false">$F$34*1000*Time!AF30*(AF45+AF46)*AF47/1000000</f>
        <v>66.4551102858105</v>
      </c>
      <c r="AG48" s="13" t="n">
        <f aca="false">$F$34*1000*Time!AG30*(AG45+AG46)*AG47/1000000</f>
        <v>66.8639724503303</v>
      </c>
      <c r="AH48" s="13" t="n">
        <f aca="false">$F$34*1000*Time!AH30*(AH45+AH46)*AH47/1000000</f>
        <v>67.2812822483611</v>
      </c>
      <c r="AI48" s="13" t="n">
        <f aca="false">$F$34*1000*Time!AI30*(AI45+AI46)*AI47/1000000</f>
        <v>67.7072579400431</v>
      </c>
      <c r="AJ48" s="13" t="n">
        <f aca="false">$F$34*1000*Time!AJ30*(AJ45+AJ46)*AJ47/1000000</f>
        <v>68.1421241576334</v>
      </c>
      <c r="AK48" s="13" t="n">
        <f aca="false">$F$34*1000*Time!AK30*(AK45+AK46)*AK47/1000000</f>
        <v>68.586112101367</v>
      </c>
      <c r="AL48" s="13" t="n">
        <f aca="false">$F$34*1000*Time!AL30*(AL45+AL46)*AL47/1000000</f>
        <v>67.9284762236361</v>
      </c>
      <c r="AM48" s="13" t="n">
        <f aca="false">$F$34*1000*Time!AM30*(AM45+AM46)*AM47/1000000</f>
        <v>69.5024120264077</v>
      </c>
      <c r="AN48" s="13" t="n">
        <f aca="false">$F$34*1000*Time!AN30*(AN45+AN46)*AN47/1000000</f>
        <v>69.9752210979029</v>
      </c>
      <c r="AO48" s="13" t="n">
        <f aca="false">$F$34*1000*Time!AO30*(AO45+AO46)*AO47/1000000</f>
        <v>70.4581465123695</v>
      </c>
      <c r="AP48" s="13" t="n">
        <f aca="false">$F$34*1000*Time!AP30*(AP45+AP46)*AP47/1000000</f>
        <v>70.9514554695357</v>
      </c>
      <c r="AQ48" s="13" t="n">
        <f aca="false">$F$34*1000*Time!AQ30*(AQ45+AQ46)*AQ47/1000000</f>
        <v>71.4554230481387</v>
      </c>
      <c r="AR48" s="13" t="n">
        <f aca="false">$F$34*1000*Time!AR30*(AR45+AR46)*AR47/1000000</f>
        <v>71.9703324490297</v>
      </c>
      <c r="AS48" s="13" t="n">
        <f aca="false">$F$34*1000*Time!AS30*(AS45+AS46)*AS47/1000000</f>
        <v>72.496475245906</v>
      </c>
      <c r="AT48" s="13" t="n">
        <f aca="false">$F$34*1000*Time!AT30*(AT45+AT46)*AT47/1000000</f>
        <v>72.430738149544</v>
      </c>
      <c r="AU48" s="13" t="n">
        <f aca="false">$F$34*1000*Time!AU30*(AU45+AU46)*AU47/1000000</f>
        <v>73.5836707463571</v>
      </c>
      <c r="AV48" s="13" t="n">
        <f aca="false">$F$34*1000*Time!AV30*(AV45+AV46)*AV47/1000000</f>
        <v>74.1453508298034</v>
      </c>
      <c r="AW48" s="13" t="n">
        <f aca="false">$F$34*1000*Time!AW30*(AW45+AW46)*AW47/1000000</f>
        <v>74.7195196277956</v>
      </c>
      <c r="AX48" s="13" t="n">
        <f aca="false">$F$34*1000*Time!AX30*(AX45+AX46)*AX47/1000000</f>
        <v>75.3065146234966</v>
      </c>
      <c r="AY48" s="13" t="n">
        <f aca="false">$F$34*1000*Time!AY30*(AY45+AY46)*AY47/1000000</f>
        <v>75.9066833515153</v>
      </c>
      <c r="AZ48" s="13" t="n">
        <f aca="false">$F$34*1000*Time!AZ30*(AZ45+AZ46)*AZ47/1000000</f>
        <v>76.5203837092163</v>
      </c>
      <c r="BA48" s="13" t="n">
        <f aca="false">$F$34*1000*Time!BA30*(BA45+BA46)*BA47/1000000</f>
        <v>77.1479842778095</v>
      </c>
      <c r="BB48" s="13" t="n">
        <f aca="false">$F$34*1000*Time!BB30*(BB45+BB46)*BB47/1000000</f>
        <v>77.4703343718614</v>
      </c>
      <c r="BC48" s="13" t="n">
        <f aca="false">$F$34*1000*Time!BC30*(BC45+BC46)*BC47/1000000</f>
        <v>78.4464157892233</v>
      </c>
      <c r="BD48" s="13" t="n">
        <f aca="false">$F$34*1000*Time!BD30*(BD45+BD46)*BD47/1000000</f>
        <v>79.1180403466732</v>
      </c>
      <c r="BE48" s="13" t="n">
        <f aca="false">$F$34*1000*Time!BE30*(BE45+BE46)*BE47/1000000</f>
        <v>79.8051530599981</v>
      </c>
      <c r="BF48" s="13" t="n">
        <f aca="false">$F$34*1000*Time!BF30*(BF45+BF46)*BF47/1000000</f>
        <v>80.5081811104786</v>
      </c>
      <c r="BG48" s="13" t="n">
        <f aca="false">$F$34*1000*Time!BG30*(BG45+BG46)*BG47/1000000</f>
        <v>81.2275645131688</v>
      </c>
      <c r="BH48" s="13" t="n">
        <f aca="false">$F$34*1000*Time!BH30*(BH45+BH46)*BH47/1000000</f>
        <v>81.9637565156675</v>
      </c>
      <c r="BI48" s="13" t="n">
        <f aca="false">$F$34*1000*Time!BI30*(BI45+BI46)*BI47/1000000</f>
        <v>82.717224009432</v>
      </c>
      <c r="BJ48" s="13" t="n">
        <f aca="false">$F$34*1000*Time!BJ30*(BJ45+BJ46)*BJ47/1000000</f>
        <v>82.5390676954576</v>
      </c>
      <c r="BK48" s="13" t="n">
        <f aca="false">$F$34*1000*Time!BK30*(BK45+BK46)*BK47/1000000</f>
        <v>84.2779238147436</v>
      </c>
      <c r="BL48" s="13" t="n">
        <f aca="false">$F$34*1000*Time!BL30*(BL45+BL46)*BL47/1000000</f>
        <v>85.0861620139339</v>
      </c>
      <c r="BM48" s="13" t="n">
        <f aca="false">$F$34*1000*Time!BM30*(BM45+BM46)*BM47/1000000</f>
        <v>57.2757922644139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3.91708934774747</v>
      </c>
      <c r="K49" s="13" t="n">
        <f aca="false">Inputs!$F$139*(Inputs!$F$140*K20/100+(1-Inputs!$F$140)*K26/100*Inputs!$F$138/K11)</f>
        <v>3.98357150307114</v>
      </c>
      <c r="L49" s="13" t="n">
        <f aca="false">Inputs!$F$139*(Inputs!$F$140*L20/100+(1-Inputs!$F$140)*L26/100*Inputs!$F$138/L11)</f>
        <v>4.05152909619701</v>
      </c>
      <c r="M49" s="13" t="n">
        <f aca="false">Inputs!$F$139*(Inputs!$F$140*M20/100+(1-Inputs!$F$140)*M26/100*Inputs!$F$138/M11)</f>
        <v>4.12100195489227</v>
      </c>
      <c r="N49" s="13" t="n">
        <f aca="false">Inputs!$F$139*(Inputs!$F$140*N20/100+(1-Inputs!$F$140)*N26/100*Inputs!$F$138/N11)</f>
        <v>4.19203109258433</v>
      </c>
      <c r="O49" s="13" t="n">
        <f aca="false">Inputs!$F$139*(Inputs!$F$140*O20/100+(1-Inputs!$F$140)*O26/100*Inputs!$F$138/O11)</f>
        <v>4.26465874507629</v>
      </c>
      <c r="P49" s="13" t="n">
        <f aca="false">Inputs!$F$139*(Inputs!$F$140*P20/100+(1-Inputs!$F$140)*P26/100*Inputs!$F$138/P11)</f>
        <v>4.33892840841564</v>
      </c>
      <c r="Q49" s="13" t="n">
        <f aca="false">Inputs!$F$139*(Inputs!$F$140*Q20/100+(1-Inputs!$F$140)*Q26/100*Inputs!$F$138/Q11)</f>
        <v>4.41488487795299</v>
      </c>
      <c r="R49" s="13" t="n">
        <f aca="false">Inputs!$F$139*(Inputs!$F$140*R20/100+(1-Inputs!$F$140)*R26/100*Inputs!$F$138/R11)</f>
        <v>4.49257428862811</v>
      </c>
      <c r="S49" s="13" t="n">
        <f aca="false">Inputs!$F$139*(Inputs!$F$140*S20/100+(1-Inputs!$F$140)*S26/100*Inputs!$F$138/S11)</f>
        <v>4.57204415652226</v>
      </c>
      <c r="T49" s="13" t="n">
        <f aca="false">Inputs!$F$139*(Inputs!$F$140*T20/100+(1-Inputs!$F$140)*T26/100*Inputs!$F$138/T11)</f>
        <v>4.65334342171665</v>
      </c>
      <c r="U49" s="13" t="n">
        <f aca="false">Inputs!$F$139*(Inputs!$F$140*U20/100+(1-Inputs!$F$140)*U26/100*Inputs!$F$138/U11)</f>
        <v>4.73652249249832</v>
      </c>
      <c r="V49" s="13" t="n">
        <f aca="false">Inputs!$F$139*(Inputs!$F$140*V20/100+(1-Inputs!$F$140)*V26/100*Inputs!$F$138/V11)</f>
        <v>4.82163329095607</v>
      </c>
      <c r="W49" s="13" t="n">
        <f aca="false">Inputs!$F$139*(Inputs!$F$140*W20/100+(1-Inputs!$F$140)*W26/100*Inputs!$F$138/W11)</f>
        <v>4.90872930001025</v>
      </c>
      <c r="X49" s="13" t="n">
        <f aca="false">Inputs!$F$139*(Inputs!$F$140*X20/100+(1-Inputs!$F$140)*X26/100*Inputs!$F$138/X11)</f>
        <v>4.99786561192173</v>
      </c>
      <c r="Y49" s="13" t="n">
        <f aca="false">Inputs!$F$139*(Inputs!$F$140*Y20/100+(1-Inputs!$F$140)*Y26/100*Inputs!$F$138/Y11)</f>
        <v>5.0890989783268</v>
      </c>
      <c r="Z49" s="13" t="n">
        <f aca="false">Inputs!$F$139*(Inputs!$F$140*Z20/100+(1-Inputs!$F$140)*Z26/100*Inputs!$F$138/Z11)</f>
        <v>5.1824878618462</v>
      </c>
      <c r="AA49" s="13" t="n">
        <f aca="false">Inputs!$F$139*(Inputs!$F$140*AA20/100+(1-Inputs!$F$140)*AA26/100*Inputs!$F$138/AA11)</f>
        <v>5.27809248931799</v>
      </c>
      <c r="AB49" s="13" t="n">
        <f aca="false">Inputs!$F$139*(Inputs!$F$140*AB20/100+(1-Inputs!$F$140)*AB26/100*Inputs!$F$138/AB11)</f>
        <v>5.37597490670553</v>
      </c>
      <c r="AC49" s="13" t="n">
        <f aca="false">Inputs!$F$139*(Inputs!$F$140*AC20/100+(1-Inputs!$F$140)*AC26/100*Inputs!$F$138/AC11)</f>
        <v>5.47619903573358</v>
      </c>
      <c r="AD49" s="13" t="n">
        <f aca="false">Inputs!$F$139*(Inputs!$F$140*AD20/100+(1-Inputs!$F$140)*AD26/100*Inputs!$F$138/AD11)</f>
        <v>5.57883073230708</v>
      </c>
      <c r="AE49" s="13" t="n">
        <f aca="false">Inputs!$F$139*(Inputs!$F$140*AE20/100+(1-Inputs!$F$140)*AE26/100*Inputs!$F$138/AE11)</f>
        <v>5.68393784676888</v>
      </c>
      <c r="AF49" s="13" t="n">
        <f aca="false">Inputs!$F$139*(Inputs!$F$140*AF20/100+(1-Inputs!$F$140)*AF26/100*Inputs!$F$138/AF11)</f>
        <v>5.79159028605463</v>
      </c>
      <c r="AG49" s="13" t="n">
        <f aca="false">Inputs!$F$139*(Inputs!$F$140*AG20/100+(1-Inputs!$F$140)*AG26/100*Inputs!$F$138/AG11)</f>
        <v>5.9018600778047</v>
      </c>
      <c r="AH49" s="13" t="n">
        <f aca="false">Inputs!$F$139*(Inputs!$F$140*AH20/100+(1-Inputs!$F$140)*AH26/100*Inputs!$F$138/AH11)</f>
        <v>6.01482143649499</v>
      </c>
      <c r="AI49" s="13" t="n">
        <f aca="false">Inputs!$F$139*(Inputs!$F$140*AI20/100+(1-Inputs!$F$140)*AI26/100*Inputs!$F$138/AI11)</f>
        <v>6.13055083165048</v>
      </c>
      <c r="AJ49" s="13" t="n">
        <f aca="false">Inputs!$F$139*(Inputs!$F$140*AJ20/100+(1-Inputs!$F$140)*AJ26/100*Inputs!$F$138/AJ11)</f>
        <v>6.24912705820727</v>
      </c>
      <c r="AK49" s="13" t="n">
        <f aca="false">Inputs!$F$139*(Inputs!$F$140*AK20/100+(1-Inputs!$F$140)*AK26/100*Inputs!$F$138/AK11)</f>
        <v>6.37063130909107</v>
      </c>
      <c r="AL49" s="13" t="n">
        <f aca="false">Inputs!$F$139*(Inputs!$F$140*AL20/100+(1-Inputs!$F$140)*AL26/100*Inputs!$F$138/AL11)</f>
        <v>6.49514725008214</v>
      </c>
      <c r="AM49" s="13" t="n">
        <f aca="false">Inputs!$F$139*(Inputs!$F$140*AM20/100+(1-Inputs!$F$140)*AM26/100*Inputs!$F$138/AM11)</f>
        <v>6.62276109703899</v>
      </c>
      <c r="AN49" s="13" t="n">
        <f aca="false">Inputs!$F$139*(Inputs!$F$140*AN20/100+(1-Inputs!$F$140)*AN26/100*Inputs!$F$138/AN11)</f>
        <v>6.75356169555535</v>
      </c>
      <c r="AO49" s="13" t="n">
        <f aca="false">Inputs!$F$139*(Inputs!$F$140*AO20/100+(1-Inputs!$F$140)*AO26/100*Inputs!$F$138/AO11)</f>
        <v>6.88764060312742</v>
      </c>
      <c r="AP49" s="13" t="n">
        <f aca="false">Inputs!$F$139*(Inputs!$F$140*AP20/100+(1-Inputs!$F$140)*AP26/100*Inputs!$F$138/AP11)</f>
        <v>7.0250921739106</v>
      </c>
      <c r="AQ49" s="13" t="n">
        <f aca="false">Inputs!$F$139*(Inputs!$F$140*AQ20/100+(1-Inputs!$F$140)*AQ26/100*Inputs!$F$138/AQ11)</f>
        <v>7.16601364614765</v>
      </c>
      <c r="AR49" s="13" t="n">
        <f aca="false">Inputs!$F$139*(Inputs!$F$140*AR20/100+(1-Inputs!$F$140)*AR26/100*Inputs!$F$138/AR11)</f>
        <v>7.31050523235279</v>
      </c>
      <c r="AS49" s="13" t="n">
        <f aca="false">Inputs!$F$139*(Inputs!$F$140*AS20/100+(1-Inputs!$F$140)*AS26/100*Inputs!$F$138/AS11)</f>
        <v>7.45867021233866</v>
      </c>
      <c r="AT49" s="13" t="n">
        <f aca="false">Inputs!$F$139*(Inputs!$F$140*AT20/100+(1-Inputs!$F$140)*AT26/100*Inputs!$F$138/AT11)</f>
        <v>7.61061502917625</v>
      </c>
      <c r="AU49" s="13" t="n">
        <f aca="false">Inputs!$F$139*(Inputs!$F$140*AU20/100+(1-Inputs!$F$140)*AU26/100*Inputs!$F$138/AU11)</f>
        <v>7.76644938818037</v>
      </c>
      <c r="AV49" s="13" t="n">
        <f aca="false">Inputs!$F$139*(Inputs!$F$140*AV20/100+(1-Inputs!$F$140)*AV26/100*Inputs!$F$138/AV11)</f>
        <v>7.92628635901634</v>
      </c>
      <c r="AW49" s="13" t="n">
        <f aca="false">Inputs!$F$139*(Inputs!$F$140*AW20/100+(1-Inputs!$F$140)*AW26/100*Inputs!$F$138/AW11)</f>
        <v>8.09024248102664</v>
      </c>
      <c r="AX49" s="13" t="n">
        <f aca="false">Inputs!$F$139*(Inputs!$F$140*AX20/100+(1-Inputs!$F$140)*AX26/100*Inputs!$F$138/AX11)</f>
        <v>8.25843787187929</v>
      </c>
      <c r="AY49" s="13" t="n">
        <f aca="false">Inputs!$F$139*(Inputs!$F$140*AY20/100+(1-Inputs!$F$140)*AY26/100*Inputs!$F$138/AY11)</f>
        <v>8.43099633964293</v>
      </c>
      <c r="AZ49" s="13" t="n">
        <f aca="false">Inputs!$F$139*(Inputs!$F$140*AZ20/100+(1-Inputs!$F$140)*AZ26/100*Inputs!$F$138/AZ11)</f>
        <v>8.60804549839708</v>
      </c>
      <c r="BA49" s="13" t="n">
        <f aca="false">Inputs!$F$139*(Inputs!$F$140*BA20/100+(1-Inputs!$F$140)*BA26/100*Inputs!$F$138/BA11)</f>
        <v>8.78971688748924</v>
      </c>
      <c r="BB49" s="13" t="n">
        <f aca="false">Inputs!$F$139*(Inputs!$F$140*BB20/100+(1-Inputs!$F$140)*BB26/100*Inputs!$F$138/BB11)</f>
        <v>8.97614609455421</v>
      </c>
      <c r="BC49" s="13" t="n">
        <f aca="false">Inputs!$F$139*(Inputs!$F$140*BC20/100+(1-Inputs!$F$140)*BC26/100*Inputs!$F$138/BC11)</f>
        <v>9.16747288241457</v>
      </c>
      <c r="BD49" s="13" t="n">
        <f aca="false">Inputs!$F$139*(Inputs!$F$140*BD20/100+(1-Inputs!$F$140)*BD26/100*Inputs!$F$138/BD11)</f>
        <v>9.36384131998511</v>
      </c>
      <c r="BE49" s="13" t="n">
        <f aca="false">Inputs!$F$139*(Inputs!$F$140*BE20/100+(1-Inputs!$F$140)*BE26/100*Inputs!$F$138/BE11)</f>
        <v>9.56539991730771</v>
      </c>
      <c r="BF49" s="13" t="n">
        <f aca="false">Inputs!$F$139*(Inputs!$F$140*BF20/100+(1-Inputs!$F$140)*BF26/100*Inputs!$F$138/BF11)</f>
        <v>9.77230176484743</v>
      </c>
      <c r="BG49" s="13" t="n">
        <f aca="false">Inputs!$F$139*(Inputs!$F$140*BG20/100+(1-Inputs!$F$140)*BG26/100*Inputs!$F$138/BG11)</f>
        <v>9.98470467718447</v>
      </c>
      <c r="BH49" s="13" t="n">
        <f aca="false">Inputs!$F$139*(Inputs!$F$140*BH20/100+(1-Inputs!$F$140)*BH26/100*Inputs!$F$138/BH11)</f>
        <v>10.202771341241</v>
      </c>
      <c r="BI49" s="13" t="n">
        <f aca="false">Inputs!$F$139*(Inputs!$F$140*BI20/100+(1-Inputs!$F$140)*BI26/100*Inputs!$F$138/BI11)</f>
        <v>10.4266694691866</v>
      </c>
      <c r="BJ49" s="13" t="n">
        <f aca="false">Inputs!$F$139*(Inputs!$F$140*BJ20/100+(1-Inputs!$F$140)*BJ26/100*Inputs!$F$138/BJ11)</f>
        <v>10.6565719561695</v>
      </c>
      <c r="BK49" s="13" t="n">
        <f aca="false">Inputs!$F$139*(Inputs!$F$140*BK20/100+(1-Inputs!$F$140)*BK26/100*Inputs!$F$138/BK11)</f>
        <v>10.8926570430274</v>
      </c>
      <c r="BL49" s="13" t="n">
        <f aca="false">Inputs!$F$139*(Inputs!$F$140*BL20/100+(1-Inputs!$F$140)*BL26/100*Inputs!$F$138/BL11)</f>
        <v>11.1351084841341</v>
      </c>
      <c r="BM49" s="13" t="n">
        <f aca="false">Inputs!$F$139*(Inputs!$F$140*BM20/100+(1-Inputs!$F$140)*BM26/100*Inputs!$F$138/BM11)</f>
        <v>11.3841157205457</v>
      </c>
      <c r="BN49" s="13" t="n">
        <f aca="false">Inputs!$F$139*(Inputs!$F$140*BN20/100+(1-Inputs!$F$140)*BN26/100*Inputs!$F$138/BN11)</f>
        <v>11.6398740586124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518.683296158088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2.13865920134695</v>
      </c>
      <c r="P50" s="13" t="n">
        <f aca="false">P38*P49/1000000</f>
        <v>6.52444853933204</v>
      </c>
      <c r="Q50" s="13" t="n">
        <f aca="false">Q38*Q49/1000000</f>
        <v>6.61027225540216</v>
      </c>
      <c r="R50" s="13" t="n">
        <f aca="false">R38*R49/1000000</f>
        <v>6.6739343332469</v>
      </c>
      <c r="S50" s="13" t="n">
        <f aca="false">S38*S49/1000000</f>
        <v>6.83768645939</v>
      </c>
      <c r="T50" s="13" t="n">
        <f aca="false">T38*T49/1000000</f>
        <v>7.0573686828016</v>
      </c>
      <c r="U50" s="13" t="n">
        <f aca="false">U38*U49/1000000</f>
        <v>7.12156187452215</v>
      </c>
      <c r="V50" s="13" t="n">
        <f aca="false">V38*V49/1000000</f>
        <v>7.12902116494801</v>
      </c>
      <c r="W50" s="13" t="n">
        <f aca="false">W38*W49/1000000</f>
        <v>7.3235150933967</v>
      </c>
      <c r="X50" s="13" t="n">
        <f aca="false">X38*X49/1000000</f>
        <v>7.59573069106376</v>
      </c>
      <c r="Y50" s="13" t="n">
        <f aca="false">Y38*Y49/1000000</f>
        <v>7.73960720789469</v>
      </c>
      <c r="Z50" s="13" t="n">
        <f aca="false">Z38*Z49/1000000</f>
        <v>7.89818868682781</v>
      </c>
      <c r="AA50" s="13" t="n">
        <f aca="false">AA38*AA49/1000000</f>
        <v>8.00734630987446</v>
      </c>
      <c r="AB50" s="13" t="n">
        <f aca="false">AB38*AB49/1000000</f>
        <v>8.08766243906101</v>
      </c>
      <c r="AC50" s="13" t="n">
        <f aca="false">AC38*AC49/1000000</f>
        <v>8.04577693856635</v>
      </c>
      <c r="AD50" s="13" t="n">
        <f aca="false">AD38*AD49/1000000</f>
        <v>7.81080511147383</v>
      </c>
      <c r="AE50" s="13" t="n">
        <f aca="false">AE38*AE49/1000000</f>
        <v>8.12794711373635</v>
      </c>
      <c r="AF50" s="13" t="n">
        <f aca="false">AF38*AF49/1000000</f>
        <v>8.63403637729766</v>
      </c>
      <c r="AG50" s="13" t="n">
        <f aca="false">AG38*AG49/1000000</f>
        <v>8.71584906595</v>
      </c>
      <c r="AH50" s="13" t="n">
        <f aca="false">AH38*AH49/1000000</f>
        <v>8.72134403854153</v>
      </c>
      <c r="AI50" s="13" t="n">
        <f aca="false">AI38*AI49/1000000</f>
        <v>8.95129804592401</v>
      </c>
      <c r="AJ50" s="13" t="n">
        <f aca="false">AJ38*AJ49/1000000</f>
        <v>9.25786808683079</v>
      </c>
      <c r="AK50" s="13" t="n">
        <f aca="false">AK38*AK49/1000000</f>
        <v>9.25825119287357</v>
      </c>
      <c r="AL50" s="13" t="n">
        <f aca="false">AL38*AL49/1000000</f>
        <v>9.08067591020417</v>
      </c>
      <c r="AM50" s="13" t="n">
        <f aca="false">AM38*AM49/1000000</f>
        <v>9.45849614392529</v>
      </c>
      <c r="AN50" s="13" t="n">
        <f aca="false">AN38*AN49/1000000</f>
        <v>10.0587161731861</v>
      </c>
      <c r="AO50" s="13" t="n">
        <f aca="false">AO38*AO49/1000000</f>
        <v>10.1707938759929</v>
      </c>
      <c r="AP50" s="13" t="n">
        <f aca="false">AP38*AP49/1000000</f>
        <v>10.2032135074002</v>
      </c>
      <c r="AQ50" s="13" t="n">
        <f aca="false">AQ38*AQ49/1000000</f>
        <v>10.4770195146355</v>
      </c>
      <c r="AR50" s="13" t="n">
        <f aca="false">AR38*AR49/1000000</f>
        <v>10.8372709664316</v>
      </c>
      <c r="AS50" s="13" t="n">
        <f aca="false">AS38*AS49/1000000</f>
        <v>10.8504890537328</v>
      </c>
      <c r="AT50" s="13" t="n">
        <f aca="false">AT38*AT49/1000000</f>
        <v>10.6593830634976</v>
      </c>
      <c r="AU50" s="13" t="n">
        <f aca="false">AU38*AU49/1000000</f>
        <v>10.9950175980757</v>
      </c>
      <c r="AV50" s="13" t="n">
        <f aca="false">AV38*AV49/1000000</f>
        <v>11.4691062914807</v>
      </c>
      <c r="AW50" s="13" t="n">
        <f aca="false">AW38*AW49/1000000</f>
        <v>11.7946364692652</v>
      </c>
      <c r="AX50" s="13" t="n">
        <f aca="false">AX38*AX49/1000000</f>
        <v>12.2290571063072</v>
      </c>
      <c r="AY50" s="13" t="n">
        <f aca="false">AY38*AY49/1000000</f>
        <v>12.452948808422</v>
      </c>
      <c r="AZ50" s="13" t="n">
        <f aca="false">AZ38*AZ49/1000000</f>
        <v>12.6597339131654</v>
      </c>
      <c r="BA50" s="13" t="n">
        <f aca="false">BA38*BA49/1000000</f>
        <v>12.7099493469915</v>
      </c>
      <c r="BB50" s="13" t="n">
        <f aca="false">BB38*BB49/1000000</f>
        <v>12.5470619657739</v>
      </c>
      <c r="BC50" s="13" t="n">
        <f aca="false">BC38*BC49/1000000</f>
        <v>13.0233811729681</v>
      </c>
      <c r="BD50" s="13" t="n">
        <f aca="false">BD38*BD49/1000000</f>
        <v>13.7386415205041</v>
      </c>
      <c r="BE50" s="13" t="n">
        <f aca="false">BE38*BE49/1000000</f>
        <v>14.0161771030834</v>
      </c>
      <c r="BF50" s="13" t="n">
        <f aca="false">BF38*BF49/1000000</f>
        <v>14.2932909518187</v>
      </c>
      <c r="BG50" s="13" t="n">
        <f aca="false">BG38*BG49/1000000</f>
        <v>14.4668993388317</v>
      </c>
      <c r="BH50" s="13" t="n">
        <f aca="false">BH38*BH49/1000000</f>
        <v>14.5146150455569</v>
      </c>
      <c r="BI50" s="13" t="n">
        <f aca="false">BI38*BI49/1000000</f>
        <v>14.6777811238884</v>
      </c>
      <c r="BJ50" s="13" t="n">
        <f aca="false">BJ38*BJ49/1000000</f>
        <v>14.6959662110825</v>
      </c>
      <c r="BK50" s="13" t="n">
        <f aca="false">BK38*BK49/1000000</f>
        <v>15.2617912753431</v>
      </c>
      <c r="BL50" s="13" t="n">
        <f aca="false">BL38*BL49/1000000</f>
        <v>16.1040252315531</v>
      </c>
      <c r="BM50" s="13" t="n">
        <f aca="false">BM38*BM49/1000000</f>
        <v>10.9689785646676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4026.54717613377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21.1862788907555</v>
      </c>
      <c r="P51" s="13" t="n">
        <f aca="false">P38*P40*(1000*Inputs!$F$123/Inputs!$F$124)*P41/1000000</f>
        <v>63.54822720094</v>
      </c>
      <c r="Q51" s="13" t="n">
        <f aca="false">Q38*Q40*(1000*Inputs!$F$123/Inputs!$F$124)*Q41/1000000</f>
        <v>64.5742323227048</v>
      </c>
      <c r="R51" s="13" t="n">
        <f aca="false">R38*R40*(1000*Inputs!$F$123/Inputs!$F$124)*R41/1000000</f>
        <v>64.1007106600639</v>
      </c>
      <c r="S51" s="13" t="n">
        <f aca="false">S38*S40*(1000*Inputs!$F$123/Inputs!$F$124)*S41/1000000</f>
        <v>65.8554780218993</v>
      </c>
      <c r="T51" s="13" t="n">
        <f aca="false">T38*T40*(1000*Inputs!$F$123/Inputs!$F$124)*T41/1000000</f>
        <v>66.8170840526969</v>
      </c>
      <c r="U51" s="13" t="n">
        <f aca="false">U38*U40*(1000*Inputs!$F$123/Inputs!$F$124)*U41/1000000</f>
        <v>67.5993013394871</v>
      </c>
      <c r="V51" s="13" t="n">
        <f aca="false">V38*V40*(1000*Inputs!$F$123/Inputs!$F$124)*V41/1000000</f>
        <v>66.5087442864205</v>
      </c>
      <c r="W51" s="13" t="n">
        <f aca="false">W38*W40*(1000*Inputs!$F$123/Inputs!$F$124)*W41/1000000</f>
        <v>68.487299973079</v>
      </c>
      <c r="X51" s="13" t="n">
        <f aca="false">X38*X40*(1000*Inputs!$F$123/Inputs!$F$124)*X41/1000000</f>
        <v>69.8008606106867</v>
      </c>
      <c r="Y51" s="13" t="n">
        <f aca="false">Y38*Y40*(1000*Inputs!$F$123/Inputs!$F$124)*Y41/1000000</f>
        <v>71.2803997044139</v>
      </c>
      <c r="Z51" s="13" t="n">
        <f aca="false">Z38*Z40*(1000*Inputs!$F$123/Inputs!$F$124)*Z41/1000000</f>
        <v>71.4656496214243</v>
      </c>
      <c r="AA51" s="13" t="n">
        <f aca="false">AA38*AA40*(1000*Inputs!$F$123/Inputs!$F$124)*AA41/1000000</f>
        <v>72.5998704237227</v>
      </c>
      <c r="AB51" s="13" t="n">
        <f aca="false">AB38*AB40*(1000*Inputs!$F$123/Inputs!$F$124)*AB41/1000000</f>
        <v>72.0287420365053</v>
      </c>
      <c r="AC51" s="13" t="n">
        <f aca="false">AC38*AC40*(1000*Inputs!$F$123/Inputs!$F$124)*AC41/1000000</f>
        <v>71.7868159464744</v>
      </c>
      <c r="AD51" s="13" t="n">
        <f aca="false">AD38*AD40*(1000*Inputs!$F$123/Inputs!$F$124)*AD41/1000000</f>
        <v>68.4422292491219</v>
      </c>
      <c r="AE51" s="13" t="n">
        <f aca="false">AE38*AE40*(1000*Inputs!$F$123/Inputs!$F$124)*AE41/1000000</f>
        <v>71.3376411966393</v>
      </c>
      <c r="AF51" s="13" t="n">
        <f aca="false">AF38*AF40*(1000*Inputs!$F$123/Inputs!$F$124)*AF41/1000000</f>
        <v>74.4078280378716</v>
      </c>
      <c r="AG51" s="13" t="n">
        <f aca="false">AG38*AG40*(1000*Inputs!$F$123/Inputs!$F$124)*AG41/1000000</f>
        <v>75.2209527207299</v>
      </c>
      <c r="AH51" s="13" t="n">
        <f aca="false">AH38*AH40*(1000*Inputs!$F$123/Inputs!$F$124)*AH41/1000000</f>
        <v>73.8913995754474</v>
      </c>
      <c r="AI51" s="13" t="n">
        <f aca="false">AI38*AI40*(1000*Inputs!$F$123/Inputs!$F$124)*AI41/1000000</f>
        <v>75.933771785428</v>
      </c>
      <c r="AJ51" s="13" t="n">
        <f aca="false">AJ38*AJ40*(1000*Inputs!$F$123/Inputs!$F$124)*AJ41/1000000</f>
        <v>77.0823679996874</v>
      </c>
      <c r="AK51" s="13" t="n">
        <f aca="false">AK38*AK40*(1000*Inputs!$F$123/Inputs!$F$124)*AK41/1000000</f>
        <v>77.1658118685624</v>
      </c>
      <c r="AL51" s="13" t="n">
        <f aca="false">AL38*AL40*(1000*Inputs!$F$123/Inputs!$F$124)*AL41/1000000</f>
        <v>74.2715291460799</v>
      </c>
      <c r="AM51" s="13" t="n">
        <f aca="false">AM38*AM40*(1000*Inputs!$F$123/Inputs!$F$124)*AM41/1000000</f>
        <v>77.4267460340106</v>
      </c>
      <c r="AN51" s="13" t="n">
        <f aca="false">AN38*AN40*(1000*Inputs!$F$123/Inputs!$F$124)*AN41/1000000</f>
        <v>80.7852782156511</v>
      </c>
      <c r="AO51" s="13" t="n">
        <f aca="false">AO38*AO40*(1000*Inputs!$F$123/Inputs!$F$124)*AO41/1000000</f>
        <v>81.7375321039774</v>
      </c>
      <c r="AP51" s="13" t="n">
        <f aca="false">AP38*AP40*(1000*Inputs!$F$123/Inputs!$F$124)*AP41/1000000</f>
        <v>80.4333984281615</v>
      </c>
      <c r="AQ51" s="13" t="n">
        <f aca="false">AQ38*AQ40*(1000*Inputs!$F$123/Inputs!$F$124)*AQ41/1000000</f>
        <v>82.6277609246905</v>
      </c>
      <c r="AR51" s="13" t="n">
        <f aca="false">AR38*AR40*(1000*Inputs!$F$123/Inputs!$F$124)*AR41/1000000</f>
        <v>83.8209379422206</v>
      </c>
      <c r="AS51" s="13" t="n">
        <f aca="false">AS38*AS40*(1000*Inputs!$F$123/Inputs!$F$124)*AS41/1000000</f>
        <v>83.9425319249869</v>
      </c>
      <c r="AT51" s="13" t="n">
        <f aca="false">AT38*AT40*(1000*Inputs!$F$123/Inputs!$F$124)*AT41/1000000</f>
        <v>80.8575121551756</v>
      </c>
      <c r="AU51" s="13" t="n">
        <f aca="false">AU38*AU40*(1000*Inputs!$F$123/Inputs!$F$124)*AU41/1000000</f>
        <v>83.4056442648229</v>
      </c>
      <c r="AV51" s="13" t="n">
        <f aca="false">AV38*AV40*(1000*Inputs!$F$123/Inputs!$F$124)*AV41/1000000</f>
        <v>85.2894945827093</v>
      </c>
      <c r="AW51" s="13" t="n">
        <f aca="false">AW38*AW40*(1000*Inputs!$F$123/Inputs!$F$124)*AW41/1000000</f>
        <v>87.6945294324122</v>
      </c>
      <c r="AX51" s="13" t="n">
        <f aca="false">AX38*AX40*(1000*Inputs!$F$123/Inputs!$F$124)*AX41/1000000</f>
        <v>89.1164812942379</v>
      </c>
      <c r="AY51" s="13" t="n">
        <f aca="false">AY38*AY40*(1000*Inputs!$F$123/Inputs!$F$124)*AY41/1000000</f>
        <v>90.7130594775159</v>
      </c>
      <c r="AZ51" s="13" t="n">
        <f aca="false">AZ38*AZ40*(1000*Inputs!$F$123/Inputs!$F$124)*AZ41/1000000</f>
        <v>90.3669884178367</v>
      </c>
      <c r="BA51" s="13" t="n">
        <f aca="false">BA38*BA40*(1000*Inputs!$F$123/Inputs!$F$124)*BA41/1000000</f>
        <v>90.6717625791838</v>
      </c>
      <c r="BB51" s="13" t="n">
        <f aca="false">BB38*BB40*(1000*Inputs!$F$123/Inputs!$F$124)*BB41/1000000</f>
        <v>87.6936848070138</v>
      </c>
      <c r="BC51" s="13" t="n">
        <f aca="false">BC38*BC40*(1000*Inputs!$F$123/Inputs!$F$124)*BC41/1000000</f>
        <v>90.9501537199188</v>
      </c>
      <c r="BD51" s="13" t="n">
        <f aca="false">BD38*BD40*(1000*Inputs!$F$123/Inputs!$F$124)*BD41/1000000</f>
        <v>93.9792382372378</v>
      </c>
      <c r="BE51" s="13" t="n">
        <f aca="false">BE38*BE40*(1000*Inputs!$F$123/Inputs!$F$124)*BE41/1000000</f>
        <v>95.7814794272233</v>
      </c>
      <c r="BF51" s="13" t="n">
        <f aca="false">BF38*BF40*(1000*Inputs!$F$123/Inputs!$F$124)*BF41/1000000</f>
        <v>95.6539937721924</v>
      </c>
      <c r="BG51" s="13" t="n">
        <f aca="false">BG38*BG40*(1000*Inputs!$F$123/Inputs!$F$124)*BG41/1000000</f>
        <v>96.6987126089324</v>
      </c>
      <c r="BH51" s="13" t="n">
        <f aca="false">BH38*BH40*(1000*Inputs!$F$123/Inputs!$F$124)*BH41/1000000</f>
        <v>94.9905195839531</v>
      </c>
      <c r="BI51" s="13" t="n">
        <f aca="false">BI38*BI40*(1000*Inputs!$F$123/Inputs!$F$124)*BI41/1000000</f>
        <v>95.9224365060237</v>
      </c>
      <c r="BJ51" s="13" t="n">
        <f aca="false">BJ38*BJ40*(1000*Inputs!$F$123/Inputs!$F$124)*BJ41/1000000</f>
        <v>94.0152390053408</v>
      </c>
      <c r="BK51" s="13" t="n">
        <f aca="false">BK38*BK40*(1000*Inputs!$F$123/Inputs!$F$124)*BK41/1000000</f>
        <v>97.4768777109069</v>
      </c>
      <c r="BL51" s="13" t="n">
        <f aca="false">BL38*BL40*(1000*Inputs!$F$123/Inputs!$F$124)*BL41/1000000</f>
        <v>100.665798611289</v>
      </c>
      <c r="BM51" s="13" t="n">
        <f aca="false">BM38*BM40*(1000*Inputs!$F$123/Inputs!$F$124)*BM41/1000000</f>
        <v>68.4361576953038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120.726762188551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0.67561298393248</v>
      </c>
      <c r="P53" s="13" t="n">
        <f aca="false">P42*Inputs!$F$148*(1+Inputs!$F$149/100)^(Time!P26-Inputs!$F$256)/1000000</f>
        <v>2.02666204030102</v>
      </c>
      <c r="Q53" s="13" t="n">
        <f aca="false">Q42*Inputs!$F$148*(1+Inputs!$F$149/100)^(Time!Q26-Inputs!$F$256)/1000000</f>
        <v>2.04953271245068</v>
      </c>
      <c r="R53" s="13" t="n">
        <f aca="false">R42*Inputs!$F$148*(1+Inputs!$F$149/100)^(Time!R26-Inputs!$F$256)/1000000</f>
        <v>2.03474611330492</v>
      </c>
      <c r="S53" s="13" t="n">
        <f aca="false">S42*Inputs!$F$148*(1+Inputs!$F$149/100)^(Time!S26-Inputs!$F$256)/1000000</f>
        <v>2.08044808457706</v>
      </c>
      <c r="T53" s="13" t="n">
        <f aca="false">T42*Inputs!$F$148*(1+Inputs!$F$149/100)^(Time!T26-Inputs!$F$256)/1000000</f>
        <v>2.11107741805454</v>
      </c>
      <c r="U53" s="13" t="n">
        <f aca="false">U42*Inputs!$F$148*(1+Inputs!$F$149/100)^(Time!U26-Inputs!$F$256)/1000000</f>
        <v>2.12557447701533</v>
      </c>
      <c r="V53" s="13" t="n">
        <f aca="false">V42*Inputs!$F$148*(1+Inputs!$F$149/100)^(Time!V26-Inputs!$F$256)/1000000</f>
        <v>2.09153153607636</v>
      </c>
      <c r="W53" s="13" t="n">
        <f aca="false">W42*Inputs!$F$148*(1+Inputs!$F$149/100)^(Time!W26-Inputs!$F$256)/1000000</f>
        <v>2.14344861616832</v>
      </c>
      <c r="X53" s="13" t="n">
        <f aca="false">X42*Inputs!$F$148*(1+Inputs!$F$149/100)^(Time!X26-Inputs!$F$256)/1000000</f>
        <v>2.18481789397578</v>
      </c>
      <c r="Y53" s="13" t="n">
        <f aca="false">Y42*Inputs!$F$148*(1+Inputs!$F$149/100)^(Time!Y26-Inputs!$F$256)/1000000</f>
        <v>2.22045431067411</v>
      </c>
      <c r="Z53" s="13" t="n">
        <f aca="false">Z42*Inputs!$F$148*(1+Inputs!$F$149/100)^(Time!Z26-Inputs!$F$256)/1000000</f>
        <v>2.22648811545936</v>
      </c>
      <c r="AA53" s="13" t="n">
        <f aca="false">AA42*Inputs!$F$148*(1+Inputs!$F$149/100)^(Time!AA26-Inputs!$F$256)/1000000</f>
        <v>2.25100269533232</v>
      </c>
      <c r="AB53" s="13" t="n">
        <f aca="false">AB42*Inputs!$F$148*(1+Inputs!$F$149/100)^(Time!AB26-Inputs!$F$256)/1000000</f>
        <v>2.23355785300735</v>
      </c>
      <c r="AC53" s="13" t="n">
        <f aca="false">AC42*Inputs!$F$148*(1+Inputs!$F$149/100)^(Time!AC26-Inputs!$F$256)/1000000</f>
        <v>2.2154047725047</v>
      </c>
      <c r="AD53" s="13" t="n">
        <f aca="false">AD42*Inputs!$F$148*(1+Inputs!$F$149/100)^(Time!AD26-Inputs!$F$256)/1000000</f>
        <v>2.11243636646029</v>
      </c>
      <c r="AE53" s="13" t="n">
        <f aca="false">AE42*Inputs!$F$148*(1+Inputs!$F$149/100)^(Time!AE26-Inputs!$F$256)/1000000</f>
        <v>2.19126620366813</v>
      </c>
      <c r="AF53" s="13" t="n">
        <f aca="false">AF42*Inputs!$F$148*(1+Inputs!$F$149/100)^(Time!AF26-Inputs!$F$256)/1000000</f>
        <v>2.28584091817361</v>
      </c>
      <c r="AG53" s="13" t="n">
        <f aca="false">AG42*Inputs!$F$148*(1+Inputs!$F$149/100)^(Time!AG26-Inputs!$F$256)/1000000</f>
        <v>2.29976255352916</v>
      </c>
      <c r="AH53" s="13" t="n">
        <f aca="false">AH42*Inputs!$F$148*(1+Inputs!$F$149/100)^(Time!AH26-Inputs!$F$256)/1000000</f>
        <v>2.25937816660806</v>
      </c>
      <c r="AI53" s="13" t="n">
        <f aca="false">AI42*Inputs!$F$148*(1+Inputs!$F$149/100)^(Time!AI26-Inputs!$F$256)/1000000</f>
        <v>2.31071662261168</v>
      </c>
      <c r="AJ53" s="13" t="n">
        <f aca="false">AJ42*Inputs!$F$148*(1+Inputs!$F$149/100)^(Time!AJ26-Inputs!$F$256)/1000000</f>
        <v>2.34594333514991</v>
      </c>
      <c r="AK53" s="13" t="n">
        <f aca="false">AK42*Inputs!$F$148*(1+Inputs!$F$149/100)^(Time!AK26-Inputs!$F$256)/1000000</f>
        <v>2.33724354021875</v>
      </c>
      <c r="AL53" s="13" t="n">
        <f aca="false">AL42*Inputs!$F$148*(1+Inputs!$F$149/100)^(Time!AL26-Inputs!$F$256)/1000000</f>
        <v>2.24984213387101</v>
      </c>
      <c r="AM53" s="13" t="n">
        <f aca="false">AM42*Inputs!$F$148*(1+Inputs!$F$149/100)^(Time!AM26-Inputs!$F$256)/1000000</f>
        <v>2.33419505416011</v>
      </c>
      <c r="AN53" s="13" t="n">
        <f aca="false">AN42*Inputs!$F$148*(1+Inputs!$F$149/100)^(Time!AN26-Inputs!$F$256)/1000000</f>
        <v>2.43572857872505</v>
      </c>
      <c r="AO53" s="13" t="n">
        <f aca="false">AO42*Inputs!$F$148*(1+Inputs!$F$149/100)^(Time!AO26-Inputs!$F$256)/1000000</f>
        <v>2.45264409851547</v>
      </c>
      <c r="AP53" s="13" t="n">
        <f aca="false">AP42*Inputs!$F$148*(1+Inputs!$F$149/100)^(Time!AP26-Inputs!$F$256)/1000000</f>
        <v>2.41379203024211</v>
      </c>
      <c r="AQ53" s="13" t="n">
        <f aca="false">AQ42*Inputs!$F$148*(1+Inputs!$F$149/100)^(Time!AQ26-Inputs!$F$256)/1000000</f>
        <v>2.46777549986836</v>
      </c>
      <c r="AR53" s="13" t="n">
        <f aca="false">AR42*Inputs!$F$148*(1+Inputs!$F$149/100)^(Time!AR26-Inputs!$F$256)/1000000</f>
        <v>2.50370114432274</v>
      </c>
      <c r="AS53" s="13" t="n">
        <f aca="false">AS42*Inputs!$F$148*(1+Inputs!$F$149/100)^(Time!AS26-Inputs!$F$256)/1000000</f>
        <v>2.49533098240624</v>
      </c>
      <c r="AT53" s="13" t="n">
        <f aca="false">AT42*Inputs!$F$148*(1+Inputs!$F$149/100)^(Time!AT26-Inputs!$F$256)/1000000</f>
        <v>2.40390148674781</v>
      </c>
      <c r="AU53" s="13" t="n">
        <f aca="false">AU42*Inputs!$F$148*(1+Inputs!$F$149/100)^(Time!AU26-Inputs!$F$256)/1000000</f>
        <v>2.46778741430862</v>
      </c>
      <c r="AV53" s="13" t="n">
        <f aca="false">AV42*Inputs!$F$148*(1+Inputs!$F$149/100)^(Time!AV26-Inputs!$F$256)/1000000</f>
        <v>2.52381740515506</v>
      </c>
      <c r="AW53" s="13" t="n">
        <f aca="false">AW42*Inputs!$F$148*(1+Inputs!$F$149/100)^(Time!AW26-Inputs!$F$256)/1000000</f>
        <v>2.58256222529219</v>
      </c>
      <c r="AX53" s="13" t="n">
        <f aca="false">AX42*Inputs!$F$148*(1+Inputs!$F$149/100)^(Time!AX26-Inputs!$F$256)/1000000</f>
        <v>2.62474005819615</v>
      </c>
      <c r="AY53" s="13" t="n">
        <f aca="false">AY42*Inputs!$F$148*(1+Inputs!$F$149/100)^(Time!AY26-Inputs!$F$256)/1000000</f>
        <v>2.65897268563719</v>
      </c>
      <c r="AZ53" s="13" t="n">
        <f aca="false">AZ42*Inputs!$F$148*(1+Inputs!$F$149/100)^(Time!AZ26-Inputs!$F$256)/1000000</f>
        <v>2.64913284786709</v>
      </c>
      <c r="BA53" s="13" t="n">
        <f aca="false">BA42*Inputs!$F$148*(1+Inputs!$F$149/100)^(Time!BA26-Inputs!$F$256)/1000000</f>
        <v>2.64534103962645</v>
      </c>
      <c r="BB53" s="13" t="n">
        <f aca="false">BB42*Inputs!$F$148*(1+Inputs!$F$149/100)^(Time!BB26-Inputs!$F$256)/1000000</f>
        <v>2.55874901496789</v>
      </c>
      <c r="BC53" s="13" t="n">
        <f aca="false">BC42*Inputs!$F$148*(1+Inputs!$F$149/100)^(Time!BC26-Inputs!$F$256)/1000000</f>
        <v>2.64106068723682</v>
      </c>
      <c r="BD53" s="13" t="n">
        <f aca="false">BD42*Inputs!$F$148*(1+Inputs!$F$149/100)^(Time!BD26-Inputs!$F$256)/1000000</f>
        <v>2.72933291531602</v>
      </c>
      <c r="BE53" s="13" t="n">
        <f aca="false">BE42*Inputs!$F$148*(1+Inputs!$F$149/100)^(Time!BE26-Inputs!$F$256)/1000000</f>
        <v>2.76835383480409</v>
      </c>
      <c r="BF53" s="13" t="n">
        <f aca="false">BF42*Inputs!$F$148*(1+Inputs!$F$149/100)^(Time!BF26-Inputs!$F$256)/1000000</f>
        <v>2.76498452848309</v>
      </c>
      <c r="BG53" s="13" t="n">
        <f aca="false">BG42*Inputs!$F$148*(1+Inputs!$F$149/100)^(Time!BG26-Inputs!$F$256)/1000000</f>
        <v>2.78179836207888</v>
      </c>
      <c r="BH53" s="13" t="n">
        <f aca="false">BH42*Inputs!$F$148*(1+Inputs!$F$149/100)^(Time!BH26-Inputs!$F$256)/1000000</f>
        <v>2.7329686535266</v>
      </c>
      <c r="BI53" s="13" t="n">
        <f aca="false">BI42*Inputs!$F$148*(1+Inputs!$F$149/100)^(Time!BI26-Inputs!$F$256)/1000000</f>
        <v>2.74656472406745</v>
      </c>
      <c r="BJ53" s="13" t="n">
        <f aca="false">BJ42*Inputs!$F$148*(1+Inputs!$F$149/100)^(Time!BJ26-Inputs!$F$256)/1000000</f>
        <v>2.69226134166233</v>
      </c>
      <c r="BK53" s="13" t="n">
        <f aca="false">BK42*Inputs!$F$148*(1+Inputs!$F$149/100)^(Time!BK26-Inputs!$F$256)/1000000</f>
        <v>2.77802219906124</v>
      </c>
      <c r="BL53" s="13" t="n">
        <f aca="false">BL42*Inputs!$F$148*(1+Inputs!$F$149/100)^(Time!BL26-Inputs!$F$256)/1000000</f>
        <v>2.86922933506723</v>
      </c>
      <c r="BM53" s="13" t="n">
        <f aca="false">BM42*Inputs!$F$148*(1+Inputs!$F$149/100)^(Time!BM26-Inputs!$F$256)/1000000</f>
        <v>1.9412245780837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209.785642003885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0.824551726645846</v>
      </c>
      <c r="P54" s="13" t="n">
        <f aca="false">MAX(0,P43-P42)*P41/1000000</f>
        <v>2.83937841684773</v>
      </c>
      <c r="Q54" s="13" t="n">
        <f aca="false">MAX(0,Q43-Q42)*Q41/1000000</f>
        <v>2.03082502166063</v>
      </c>
      <c r="R54" s="13" t="n">
        <f aca="false">MAX(0,R43-R42)*R41/1000000</f>
        <v>3.59809648677334</v>
      </c>
      <c r="S54" s="13" t="n">
        <f aca="false">MAX(0,S43-S42)*S41/1000000</f>
        <v>2.06599266816086</v>
      </c>
      <c r="T54" s="13" t="n">
        <f aca="false">MAX(0,T43-T42)*T41/1000000</f>
        <v>2.22203352926468</v>
      </c>
      <c r="U54" s="13" t="n">
        <f aca="false">MAX(0,U43-U42)*U41/1000000</f>
        <v>2.04738637369116</v>
      </c>
      <c r="V54" s="13" t="n">
        <f aca="false">MAX(0,V43-V42)*V41/1000000</f>
        <v>3.89322450070558</v>
      </c>
      <c r="W54" s="13" t="n">
        <f aca="false">MAX(0,W43-W42)*W41/1000000</f>
        <v>2.14566049224165</v>
      </c>
      <c r="X54" s="13" t="n">
        <f aca="false">MAX(0,X43-X42)*X41/1000000</f>
        <v>1.99472255574244</v>
      </c>
      <c r="Y54" s="13" t="n">
        <f aca="false">MAX(0,Y43-Y42)*Y41/1000000</f>
        <v>0.7497158420671</v>
      </c>
      <c r="Z54" s="13" t="n">
        <f aca="false">MAX(0,Z43-Z42)*Z41/1000000</f>
        <v>1.74918204824459</v>
      </c>
      <c r="AA54" s="13" t="n">
        <f aca="false">MAX(0,AA43-AA42)*AA41/1000000</f>
        <v>0.853632962824578</v>
      </c>
      <c r="AB54" s="13" t="n">
        <f aca="false">MAX(0,AB43-AB42)*AB41/1000000</f>
        <v>2.63288130075639</v>
      </c>
      <c r="AC54" s="13" t="n">
        <f aca="false">MAX(0,AC43-AC42)*AC41/1000000</f>
        <v>3.53149707983065</v>
      </c>
      <c r="AD54" s="13" t="n">
        <f aca="false">MAX(0,AD43-AD42)*AD41/1000000</f>
        <v>7.6946955795975</v>
      </c>
      <c r="AE54" s="13" t="n">
        <f aca="false">MAX(0,AE43-AE42)*AE41/1000000</f>
        <v>5.04778798229388</v>
      </c>
      <c r="AF54" s="13" t="n">
        <f aca="false">MAX(0,AF43-AF42)*AF41/1000000</f>
        <v>3.23494131404624</v>
      </c>
      <c r="AG54" s="13" t="n">
        <f aca="false">MAX(0,AG43-AG42)*AG41/1000000</f>
        <v>2.67455690995977</v>
      </c>
      <c r="AH54" s="13" t="n">
        <f aca="false">MAX(0,AH43-AH42)*AH41/1000000</f>
        <v>5.28711874999441</v>
      </c>
      <c r="AI54" s="13" t="n">
        <f aca="false">MAX(0,AI43-AI42)*AI41/1000000</f>
        <v>3.50204253156875</v>
      </c>
      <c r="AJ54" s="13" t="n">
        <f aca="false">MAX(0,AJ43-AJ42)*AJ41/1000000</f>
        <v>3.66109959446425</v>
      </c>
      <c r="AK54" s="13" t="n">
        <f aca="false">MAX(0,AK43-AK42)*AK41/1000000</f>
        <v>4.28865978459601</v>
      </c>
      <c r="AL54" s="13" t="n">
        <f aca="false">MAX(0,AL43-AL42)*AL41/1000000</f>
        <v>8.07197290760235</v>
      </c>
      <c r="AM54" s="13" t="n">
        <f aca="false">MAX(0,AM43-AM42)*AM41/1000000</f>
        <v>5.18283928324873</v>
      </c>
      <c r="AN54" s="13" t="n">
        <f aca="false">MAX(0,AN43-AN42)*AN41/1000000</f>
        <v>3.18219589303123</v>
      </c>
      <c r="AO54" s="13" t="n">
        <f aca="false">MAX(0,AO43-AO42)*AO41/1000000</f>
        <v>2.50265665246211</v>
      </c>
      <c r="AP54" s="13" t="n">
        <f aca="false">MAX(0,AP43-AP42)*AP41/1000000</f>
        <v>5.19676933096974</v>
      </c>
      <c r="AQ54" s="13" t="n">
        <f aca="false">MAX(0,AQ43-AQ42)*AQ41/1000000</f>
        <v>3.27889563547651</v>
      </c>
      <c r="AR54" s="13" t="n">
        <f aca="false">MAX(0,AR43-AR42)*AR41/1000000</f>
        <v>3.50010753449793</v>
      </c>
      <c r="AS54" s="13" t="n">
        <f aca="false">MAX(0,AS43-AS42)*AS41/1000000</f>
        <v>4.14802454659233</v>
      </c>
      <c r="AT54" s="13" t="n">
        <f aca="false">MAX(0,AT43-AT42)*AT41/1000000</f>
        <v>8.1982164818887</v>
      </c>
      <c r="AU54" s="13" t="n">
        <f aca="false">MAX(0,AU43-AU42)*AU41/1000000</f>
        <v>5.93655880415299</v>
      </c>
      <c r="AV54" s="13" t="n">
        <f aca="false">MAX(0,AV43-AV42)*AV41/1000000</f>
        <v>5.52273327616748</v>
      </c>
      <c r="AW54" s="13" t="n">
        <f aca="false">MAX(0,AW43-AW42)*AW41/1000000</f>
        <v>3.40940058477378</v>
      </c>
      <c r="AX54" s="13" t="n">
        <f aca="false">MAX(0,AX43-AX42)*AX41/1000000</f>
        <v>3.48724730132688</v>
      </c>
      <c r="AY54" s="13" t="n">
        <f aca="false">MAX(0,AY43-AY42)*AY41/1000000</f>
        <v>2.18939919072441</v>
      </c>
      <c r="AZ54" s="13" t="n">
        <f aca="false">MAX(0,AZ43-AZ42)*AZ41/1000000</f>
        <v>4.06917338971593</v>
      </c>
      <c r="BA54" s="13" t="n">
        <f aca="false">MAX(0,BA43-BA42)*BA41/1000000</f>
        <v>4.59690447549397</v>
      </c>
      <c r="BB54" s="13" t="n">
        <f aca="false">MAX(0,BB43-BB42)*BB41/1000000</f>
        <v>8.62193783182208</v>
      </c>
      <c r="BC54" s="13" t="n">
        <f aca="false">MAX(0,BC43-BC42)*BC41/1000000</f>
        <v>5.67169355652796</v>
      </c>
      <c r="BD54" s="13" t="n">
        <f aca="false">MAX(0,BD43-BD42)*BD41/1000000</f>
        <v>4.22907782300124</v>
      </c>
      <c r="BE54" s="13" t="n">
        <f aca="false">MAX(0,BE43-BE42)*BE41/1000000</f>
        <v>2.74249156439292</v>
      </c>
      <c r="BF54" s="13" t="n">
        <f aca="false">MAX(0,BF43-BF42)*BF41/1000000</f>
        <v>4.49718040340832</v>
      </c>
      <c r="BG54" s="13" t="n">
        <f aca="false">MAX(0,BG43-BG42)*BG41/1000000</f>
        <v>3.77662035574407</v>
      </c>
      <c r="BH54" s="13" t="n">
        <f aca="false">MAX(0,BH43-BH42)*BH41/1000000</f>
        <v>7.15001007460735</v>
      </c>
      <c r="BI54" s="13" t="n">
        <f aca="false">MAX(0,BI43-BI42)*BI41/1000000</f>
        <v>7.11724733812121</v>
      </c>
      <c r="BJ54" s="13" t="n">
        <f aca="false">MAX(0,BJ43-BJ42)*BJ41/1000000</f>
        <v>10.1562863788469</v>
      </c>
      <c r="BK54" s="13" t="n">
        <f aca="false">MAX(0,BK43-BK42)*BK41/1000000</f>
        <v>7.02331493997259</v>
      </c>
      <c r="BL54" s="13" t="n">
        <f aca="false">MAX(0,BL43-BL42)*BL41/1000000</f>
        <v>5.54918510050285</v>
      </c>
      <c r="BM54" s="13" t="n">
        <f aca="false">MAX(0,BM43-BM42)*BM41/1000000</f>
        <v>2.20781789683406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4071.31435721164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22.3429089467866</v>
      </c>
      <c r="P55" s="13" t="n">
        <f aca="false">P48+P50</f>
        <v>67.4305065332608</v>
      </c>
      <c r="Q55" s="13" t="n">
        <f aca="false">Q48+Q50</f>
        <v>67.8151875695848</v>
      </c>
      <c r="R55" s="13" t="n">
        <f aca="false">R48+R50</f>
        <v>68.1833903111036</v>
      </c>
      <c r="S55" s="13" t="n">
        <f aca="false">S48+S50</f>
        <v>68.6575050450689</v>
      </c>
      <c r="T55" s="13" t="n">
        <f aca="false">T48+T50</f>
        <v>69.1935143571802</v>
      </c>
      <c r="U55" s="13" t="n">
        <f aca="false">U48+U50</f>
        <v>69.5801457108804</v>
      </c>
      <c r="V55" s="13" t="n">
        <f aca="false">V48+V50</f>
        <v>69.9163050080466</v>
      </c>
      <c r="W55" s="13" t="n">
        <f aca="false">W48+W50</f>
        <v>70.4459158658141</v>
      </c>
      <c r="X55" s="13" t="n">
        <f aca="false">X48+X50</f>
        <v>71.0598248307653</v>
      </c>
      <c r="Y55" s="13" t="n">
        <f aca="false">Y48+Y50</f>
        <v>71.5521352411329</v>
      </c>
      <c r="Z55" s="13" t="n">
        <f aca="false">Z48+Z50</f>
        <v>72.0660599406022</v>
      </c>
      <c r="AA55" s="13" t="n">
        <f aca="false">AA48+AA50</f>
        <v>72.5376437683121</v>
      </c>
      <c r="AB55" s="13" t="n">
        <f aca="false">AB48+AB50</f>
        <v>72.9876477482172</v>
      </c>
      <c r="AC55" s="13" t="n">
        <f aca="false">AC48+AC50</f>
        <v>73.3228955642856</v>
      </c>
      <c r="AD55" s="13" t="n">
        <f aca="false">AD48+AD50</f>
        <v>72.1163138477277</v>
      </c>
      <c r="AE55" s="13" t="n">
        <f aca="false">AE48+AE50</f>
        <v>74.1824307906031</v>
      </c>
      <c r="AF55" s="13" t="n">
        <f aca="false">AF48+AF50</f>
        <v>75.0891466631081</v>
      </c>
      <c r="AG55" s="13" t="n">
        <f aca="false">AG48+AG50</f>
        <v>75.5798215162803</v>
      </c>
      <c r="AH55" s="13" t="n">
        <f aca="false">AH48+AH50</f>
        <v>76.0026262869026</v>
      </c>
      <c r="AI55" s="13" t="n">
        <f aca="false">AI48+AI50</f>
        <v>76.6585559859671</v>
      </c>
      <c r="AJ55" s="13" t="n">
        <f aca="false">AJ48+AJ50</f>
        <v>77.3999922444642</v>
      </c>
      <c r="AK55" s="13" t="n">
        <f aca="false">AK48+AK50</f>
        <v>77.8443632942405</v>
      </c>
      <c r="AL55" s="13" t="n">
        <f aca="false">AL48+AL50</f>
        <v>77.0091521338403</v>
      </c>
      <c r="AM55" s="13" t="n">
        <f aca="false">AM48+AM50</f>
        <v>78.960908170333</v>
      </c>
      <c r="AN55" s="13" t="n">
        <f aca="false">AN48+AN50</f>
        <v>80.033937271089</v>
      </c>
      <c r="AO55" s="13" t="n">
        <f aca="false">AO48+AO50</f>
        <v>80.6289403883624</v>
      </c>
      <c r="AP55" s="13" t="n">
        <f aca="false">AP48+AP50</f>
        <v>81.1546689769359</v>
      </c>
      <c r="AQ55" s="13" t="n">
        <f aca="false">AQ48+AQ50</f>
        <v>81.9324425627742</v>
      </c>
      <c r="AR55" s="13" t="n">
        <f aca="false">AR48+AR50</f>
        <v>82.8076034154613</v>
      </c>
      <c r="AS55" s="13" t="n">
        <f aca="false">AS48+AS50</f>
        <v>83.3469642996389</v>
      </c>
      <c r="AT55" s="13" t="n">
        <f aca="false">AT48+AT50</f>
        <v>83.0901212130416</v>
      </c>
      <c r="AU55" s="13" t="n">
        <f aca="false">AU48+AU50</f>
        <v>84.5786883444328</v>
      </c>
      <c r="AV55" s="13" t="n">
        <f aca="false">AV48+AV50</f>
        <v>85.6144571212841</v>
      </c>
      <c r="AW55" s="13" t="n">
        <f aca="false">AW48+AW50</f>
        <v>86.5141560970609</v>
      </c>
      <c r="AX55" s="13" t="n">
        <f aca="false">AX48+AX50</f>
        <v>87.5355717298038</v>
      </c>
      <c r="AY55" s="13" t="n">
        <f aca="false">AY48+AY50</f>
        <v>88.3596321599373</v>
      </c>
      <c r="AZ55" s="13" t="n">
        <f aca="false">AZ48+AZ50</f>
        <v>89.1801176223817</v>
      </c>
      <c r="BA55" s="13" t="n">
        <f aca="false">BA48+BA50</f>
        <v>89.857933624801</v>
      </c>
      <c r="BB55" s="13" t="n">
        <f aca="false">BB48+BB50</f>
        <v>90.0173963376353</v>
      </c>
      <c r="BC55" s="13" t="n">
        <f aca="false">BC48+BC50</f>
        <v>91.4697969621914</v>
      </c>
      <c r="BD55" s="13" t="n">
        <f aca="false">BD48+BD50</f>
        <v>92.8566818671772</v>
      </c>
      <c r="BE55" s="13" t="n">
        <f aca="false">BE48+BE50</f>
        <v>93.8213301630816</v>
      </c>
      <c r="BF55" s="13" t="n">
        <f aca="false">BF48+BF50</f>
        <v>94.8014720622973</v>
      </c>
      <c r="BG55" s="13" t="n">
        <f aca="false">BG48+BG50</f>
        <v>95.6944638520005</v>
      </c>
      <c r="BH55" s="13" t="n">
        <f aca="false">BH48+BH50</f>
        <v>96.4783715612244</v>
      </c>
      <c r="BI55" s="13" t="n">
        <f aca="false">BI48+BI50</f>
        <v>97.3950051333203</v>
      </c>
      <c r="BJ55" s="13" t="n">
        <f aca="false">BJ48+BJ50</f>
        <v>97.2350339065402</v>
      </c>
      <c r="BK55" s="13" t="n">
        <f aca="false">BK48+BK50</f>
        <v>99.5397150900867</v>
      </c>
      <c r="BL55" s="13" t="n">
        <f aca="false">BL48+BL50</f>
        <v>101.190187245487</v>
      </c>
      <c r="BM55" s="13" t="n">
        <f aca="false">BM48+BM50</f>
        <v>68.2447708290815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9118.72066949393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48.8456917158716</v>
      </c>
      <c r="P56" s="13" t="n">
        <f aca="false">P55+P51+P52+P53+P54</f>
        <v>147.35635463178</v>
      </c>
      <c r="Q56" s="13" t="n">
        <f aca="false">Q55+Q51+Q52+Q53+Q54</f>
        <v>147.963527629736</v>
      </c>
      <c r="R56" s="13" t="n">
        <f aca="false">R55+R51+R52+R53+R54</f>
        <v>149.601197718282</v>
      </c>
      <c r="S56" s="13" t="n">
        <f aca="false">S55+S51+S52+S53+S54</f>
        <v>150.325580073091</v>
      </c>
      <c r="T56" s="13" t="n">
        <f aca="false">T55+T51+T52+T53+T54</f>
        <v>152.203227316438</v>
      </c>
      <c r="U56" s="13" t="n">
        <f aca="false">U55+U51+U52+U53+U54</f>
        <v>153.258977208741</v>
      </c>
      <c r="V56" s="13" t="n">
        <f aca="false">V55+V51+V52+V53+V54</f>
        <v>154.44721605988</v>
      </c>
      <c r="W56" s="13" t="n">
        <f aca="false">W55+W51+W52+W53+W54</f>
        <v>155.241090773446</v>
      </c>
      <c r="X56" s="13" t="n">
        <f aca="false">X55+X51+X52+X53+X54</f>
        <v>157.25819778073</v>
      </c>
      <c r="Y56" s="13" t="n">
        <f aca="false">Y55+Y51+Y52+Y53+Y54</f>
        <v>158.001752411824</v>
      </c>
      <c r="Z56" s="13" t="n">
        <f aca="false">Z55+Z51+Z52+Z53+Z54</f>
        <v>159.908621193634</v>
      </c>
      <c r="AA56" s="13" t="n">
        <f aca="false">AA55+AA51+AA52+AA53+AA54</f>
        <v>160.62418287343</v>
      </c>
      <c r="AB56" s="13" t="n">
        <f aca="false">AB55+AB51+AB52+AB53+AB54</f>
        <v>162.470089028408</v>
      </c>
      <c r="AC56" s="13" t="n">
        <f aca="false">AC55+AC51+AC52+AC53+AC54</f>
        <v>163.493812039244</v>
      </c>
      <c r="AD56" s="13" t="n">
        <f aca="false">AD55+AD51+AD52+AD53+AD54</f>
        <v>163.141744034178</v>
      </c>
      <c r="AE56" s="13" t="n">
        <f aca="false">AE55+AE51+AE52+AE53+AE54</f>
        <v>165.51540614457</v>
      </c>
      <c r="AF56" s="13" t="n">
        <f aca="false">AF55+AF51+AF52+AF53+AF54</f>
        <v>167.98546695934</v>
      </c>
      <c r="AG56" s="13" t="n">
        <f aca="false">AG55+AG51+AG52+AG53+AG54</f>
        <v>168.722717871435</v>
      </c>
      <c r="AH56" s="13" t="n">
        <f aca="false">AH55+AH51+AH52+AH53+AH54</f>
        <v>170.602748455484</v>
      </c>
      <c r="AI56" s="13" t="n">
        <f aca="false">AI55+AI51+AI52+AI53+AI54</f>
        <v>171.546925459076</v>
      </c>
      <c r="AJ56" s="13" t="n">
        <f aca="false">AJ55+AJ51+AJ52+AJ53+AJ54</f>
        <v>173.849062235446</v>
      </c>
      <c r="AK56" s="13" t="n">
        <f aca="false">AK55+AK51+AK52+AK53+AK54</f>
        <v>175.048740544488</v>
      </c>
      <c r="AL56" s="13" t="n">
        <f aca="false">AL55+AL51+AL52+AL53+AL54</f>
        <v>175.162550268999</v>
      </c>
      <c r="AM56" s="13" t="n">
        <f aca="false">AM55+AM51+AM52+AM53+AM54</f>
        <v>177.443739144928</v>
      </c>
      <c r="AN56" s="13" t="n">
        <f aca="false">AN55+AN51+AN52+AN53+AN54</f>
        <v>180.200594715316</v>
      </c>
      <c r="AO56" s="13" t="n">
        <f aca="false">AO55+AO51+AO52+AO53+AO54</f>
        <v>181.06390960554</v>
      </c>
      <c r="AP56" s="13" t="n">
        <f aca="false">AP55+AP51+AP52+AP53+AP54</f>
        <v>183.168535344481</v>
      </c>
      <c r="AQ56" s="13" t="n">
        <f aca="false">AQ55+AQ51+AQ52+AQ53+AQ54</f>
        <v>184.255143030466</v>
      </c>
      <c r="AR56" s="13" t="n">
        <f aca="false">AR55+AR51+AR52+AR53+AR54</f>
        <v>186.811805213347</v>
      </c>
      <c r="AS56" s="13" t="n">
        <f aca="false">AS55+AS51+AS52+AS53+AS54</f>
        <v>188.168562377637</v>
      </c>
      <c r="AT56" s="13" t="n">
        <f aca="false">AT55+AT51+AT52+AT53+AT54</f>
        <v>188.941898341351</v>
      </c>
      <c r="AU56" s="13" t="n">
        <f aca="false">AU55+AU51+AU52+AU53+AU54</f>
        <v>190.758533647995</v>
      </c>
      <c r="AV56" s="13" t="n">
        <f aca="false">AV55+AV51+AV52+AV53+AV54</f>
        <v>193.55853159488</v>
      </c>
      <c r="AW56" s="13" t="n">
        <f aca="false">AW55+AW51+AW52+AW53+AW54</f>
        <v>194.786050982121</v>
      </c>
      <c r="AX56" s="13" t="n">
        <f aca="false">AX55+AX51+AX52+AX53+AX54</f>
        <v>197.591190031272</v>
      </c>
      <c r="AY56" s="13" t="n">
        <f aca="false">AY55+AY51+AY52+AY53+AY54</f>
        <v>198.725247196036</v>
      </c>
      <c r="AZ56" s="13" t="n">
        <f aca="false">AZ55+AZ51+AZ52+AZ53+AZ54</f>
        <v>201.314969170225</v>
      </c>
      <c r="BA56" s="13" t="n">
        <f aca="false">BA55+BA51+BA52+BA53+BA54</f>
        <v>202.881206092678</v>
      </c>
      <c r="BB56" s="13" t="n">
        <f aca="false">BB55+BB51+BB52+BB53+BB54</f>
        <v>204.167068237249</v>
      </c>
      <c r="BC56" s="13" t="n">
        <f aca="false">BC55+BC51+BC52+BC53+BC54</f>
        <v>205.984345059891</v>
      </c>
      <c r="BD56" s="13" t="n">
        <f aca="false">BD55+BD51+BD52+BD53+BD54</f>
        <v>209.298760592229</v>
      </c>
      <c r="BE56" s="13" t="n">
        <f aca="false">BE55+BE51+BE52+BE53+BE54</f>
        <v>210.594069725528</v>
      </c>
      <c r="BF56" s="13" t="n">
        <f aca="false">BF55+BF51+BF52+BF53+BF54</f>
        <v>213.45462696212</v>
      </c>
      <c r="BG56" s="13" t="n">
        <f aca="false">BG55+BG51+BG52+BG53+BG54</f>
        <v>214.664216135822</v>
      </c>
      <c r="BH56" s="13" t="n">
        <f aca="false">BH55+BH51+BH52+BH53+BH54</f>
        <v>217.324921011987</v>
      </c>
      <c r="BI56" s="13" t="n">
        <f aca="false">BI55+BI51+BI52+BI53+BI54</f>
        <v>219.2176761844</v>
      </c>
      <c r="BJ56" s="13" t="n">
        <f aca="false">BJ55+BJ51+BJ52+BJ53+BJ54</f>
        <v>220.311467538146</v>
      </c>
      <c r="BK56" s="13" t="n">
        <f aca="false">BK55+BK51+BK52+BK53+BK54</f>
        <v>223.005464865521</v>
      </c>
      <c r="BL56" s="13" t="n">
        <f aca="false">BL55+BL51+BL52+BL53+BL54</f>
        <v>226.730236901688</v>
      </c>
      <c r="BM56" s="13" t="n">
        <f aca="false">BM55+BM51+BM52+BM53+BM54</f>
        <v>151.72301936353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379.972857764499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1.45656716833736</v>
      </c>
      <c r="P60" s="13" t="n">
        <f aca="false">Inputs!$F$151*(Inputs!$F$152*P21+(1-Inputs!$F$152)*P27*Inputs!$F$153/P11)*Time!P30/12*Inputs!$F$40</f>
        <v>4.45142647516605</v>
      </c>
      <c r="Q60" s="13" t="n">
        <f aca="false">Inputs!$F$151*(Inputs!$F$152*Q21+(1-Inputs!$F$152)*Q27*Inputs!$F$153/Q11)*Time!Q30/12*Inputs!$F$40</f>
        <v>4.53511947402165</v>
      </c>
      <c r="R60" s="13" t="n">
        <f aca="false">Inputs!$F$151*(Inputs!$F$152*R21+(1-Inputs!$F$152)*R27*Inputs!$F$153/R11)*Time!R30/12*Inputs!$F$40</f>
        <v>4.62083603464854</v>
      </c>
      <c r="S60" s="13" t="n">
        <f aca="false">Inputs!$F$151*(Inputs!$F$152*S21+(1-Inputs!$F$152)*S27*Inputs!$F$153/S11)*Time!S30/12*Inputs!$F$40</f>
        <v>4.70863337422239</v>
      </c>
      <c r="T60" s="13" t="n">
        <f aca="false">Inputs!$F$151*(Inputs!$F$152*T21+(1-Inputs!$F$152)*T27*Inputs!$F$153/T11)*Time!T30/12*Inputs!$F$40</f>
        <v>4.79857044653475</v>
      </c>
      <c r="U60" s="13" t="n">
        <f aca="false">Inputs!$F$151*(Inputs!$F$152*U21+(1-Inputs!$F$152)*U27*Inputs!$F$153/U11)*Time!U30/12*Inputs!$F$40</f>
        <v>4.89070799615662</v>
      </c>
      <c r="V60" s="13" t="n">
        <f aca="false">Inputs!$F$151*(Inputs!$F$152*V21+(1-Inputs!$F$152)*V27*Inputs!$F$153/V11)*Time!V30/12*Inputs!$F$40</f>
        <v>4.98510861430791</v>
      </c>
      <c r="W60" s="13" t="n">
        <f aca="false">Inputs!$F$151*(Inputs!$F$152*W21+(1-Inputs!$F$152)*W27*Inputs!$F$153/W11)*Time!W30/12*Inputs!$F$40</f>
        <v>5.08183679648675</v>
      </c>
      <c r="X60" s="13" t="n">
        <f aca="false">Inputs!$F$151*(Inputs!$F$152*X21+(1-Inputs!$F$152)*X27*Inputs!$F$153/X11)*Time!X30/12*Inputs!$F$40</f>
        <v>5.1809590019142</v>
      </c>
      <c r="Y60" s="13" t="n">
        <f aca="false">Inputs!$F$151*(Inputs!$F$152*Y21+(1-Inputs!$F$152)*Y27*Inputs!$F$153/Y11)*Time!Y30/12*Inputs!$F$40</f>
        <v>5.28254371485188</v>
      </c>
      <c r="Z60" s="13" t="n">
        <f aca="false">Inputs!$F$151*(Inputs!$F$152*Z21+(1-Inputs!$F$152)*Z27*Inputs!$F$153/Z11)*Time!Z30/12*Inputs!$F$40</f>
        <v>5.38666150785157</v>
      </c>
      <c r="AA60" s="13" t="n">
        <f aca="false">Inputs!$F$151*(Inputs!$F$152*AA21+(1-Inputs!$F$152)*AA27*Inputs!$F$153/AA11)*Time!AA30/12*Inputs!$F$40</f>
        <v>5.49338510699789</v>
      </c>
      <c r="AB60" s="13" t="n">
        <f aca="false">Inputs!$F$151*(Inputs!$F$152*AB21+(1-Inputs!$F$152)*AB27*Inputs!$F$153/AB11)*Time!AB30/12*Inputs!$F$40</f>
        <v>5.60278945920712</v>
      </c>
      <c r="AC60" s="13" t="n">
        <f aca="false">Inputs!$F$151*(Inputs!$F$152*AC21+(1-Inputs!$F$152)*AC27*Inputs!$F$153/AC11)*Time!AC30/12*Inputs!$F$40</f>
        <v>5.71495180164707</v>
      </c>
      <c r="AD60" s="13" t="n">
        <f aca="false">Inputs!$F$151*(Inputs!$F$152*AD21+(1-Inputs!$F$152)*AD27*Inputs!$F$153/AD11)*Time!AD30/12*Inputs!$F$40</f>
        <v>5.82995173334515</v>
      </c>
      <c r="AE60" s="13" t="n">
        <f aca="false">Inputs!$F$151*(Inputs!$F$152*AE21+(1-Inputs!$F$152)*AE27*Inputs!$F$153/AE11)*Time!AE30/12*Inputs!$F$40</f>
        <v>5.94787128905363</v>
      </c>
      <c r="AF60" s="13" t="n">
        <f aca="false">Inputs!$F$151*(Inputs!$F$152*AF21+(1-Inputs!$F$152)*AF27*Inputs!$F$153/AF11)*Time!AF30/12*Inputs!$F$40</f>
        <v>6.06879501544374</v>
      </c>
      <c r="AG60" s="13" t="n">
        <f aca="false">Inputs!$F$151*(Inputs!$F$152*AG21+(1-Inputs!$F$152)*AG27*Inputs!$F$153/AG11)*Time!AG30/12*Inputs!$F$40</f>
        <v>6.1928100497019</v>
      </c>
      <c r="AH60" s="13" t="n">
        <f aca="false">Inputs!$F$151*(Inputs!$F$152*AH21+(1-Inputs!$F$152)*AH27*Inputs!$F$153/AH11)*Time!AH30/12*Inputs!$F$40</f>
        <v>6.32000620060432</v>
      </c>
      <c r="AI60" s="13" t="n">
        <f aca="false">Inputs!$F$151*(Inputs!$F$152*AI21+(1-Inputs!$F$152)*AI27*Inputs!$F$153/AI11)*Time!AI30/12*Inputs!$F$40</f>
        <v>6.45047603214808</v>
      </c>
      <c r="AJ60" s="13" t="n">
        <f aca="false">Inputs!$F$151*(Inputs!$F$152*AJ21+(1-Inputs!$F$152)*AJ27*Inputs!$F$153/AJ11)*Time!AJ30/12*Inputs!$F$40</f>
        <v>6.58431494981978</v>
      </c>
      <c r="AK60" s="13" t="n">
        <f aca="false">Inputs!$F$151*(Inputs!$F$152*AK21+(1-Inputs!$F$152)*AK27*Inputs!$F$153/AK11)*Time!AK30/12*Inputs!$F$40</f>
        <v>6.72162128958483</v>
      </c>
      <c r="AL60" s="13" t="n">
        <f aca="false">Inputs!$F$151*(Inputs!$F$152*AL21+(1-Inputs!$F$152)*AL27*Inputs!$F$153/AL11)*Time!AL30/12*Inputs!$F$40</f>
        <v>6.86249640968374</v>
      </c>
      <c r="AM60" s="13" t="n">
        <f aca="false">Inputs!$F$151*(Inputs!$F$152*AM21+(1-Inputs!$F$152)*AM27*Inputs!$F$153/AM11)*Time!AM30/12*Inputs!$F$40</f>
        <v>7.00704478532391</v>
      </c>
      <c r="AN60" s="13" t="n">
        <f aca="false">Inputs!$F$151*(Inputs!$F$152*AN21+(1-Inputs!$F$152)*AN27*Inputs!$F$153/AN11)*Time!AN30/12*Inputs!$F$40</f>
        <v>7.15537410635866</v>
      </c>
      <c r="AO60" s="13" t="n">
        <f aca="false">Inputs!$F$151*(Inputs!$F$152*AO21+(1-Inputs!$F$152)*AO27*Inputs!$F$153/AO11)*Time!AO30/12*Inputs!$F$40</f>
        <v>7.30759537804774</v>
      </c>
      <c r="AP60" s="13" t="n">
        <f aca="false">Inputs!$F$151*(Inputs!$F$152*AP21+(1-Inputs!$F$152)*AP27*Inputs!$F$153/AP11)*Time!AP30/12*Inputs!$F$40</f>
        <v>7.4638230249971</v>
      </c>
      <c r="AQ60" s="13" t="n">
        <f aca="false">Inputs!$F$151*(Inputs!$F$152*AQ21+(1-Inputs!$F$152)*AQ27*Inputs!$F$153/AQ11)*Time!AQ30/12*Inputs!$F$40</f>
        <v>7.62417499837806</v>
      </c>
      <c r="AR60" s="13" t="n">
        <f aca="false">Inputs!$F$151*(Inputs!$F$152*AR21+(1-Inputs!$F$152)*AR27*Inputs!$F$153/AR11)*Time!AR30/12*Inputs!$F$40</f>
        <v>7.78877288652992</v>
      </c>
      <c r="AS60" s="13" t="n">
        <f aca="false">Inputs!$F$151*(Inputs!$F$152*AS21+(1-Inputs!$F$152)*AS27*Inputs!$F$153/AS11)*Time!AS30/12*Inputs!$F$40</f>
        <v>7.9577420290528</v>
      </c>
      <c r="AT60" s="13" t="n">
        <f aca="false">Inputs!$F$151*(Inputs!$F$152*AT21+(1-Inputs!$F$152)*AT27*Inputs!$F$153/AT11)*Time!AT30/12*Inputs!$F$40</f>
        <v>8.13121163450122</v>
      </c>
      <c r="AU60" s="13" t="n">
        <f aca="false">Inputs!$F$151*(Inputs!$F$152*AU21+(1-Inputs!$F$152)*AU27*Inputs!$F$153/AU11)*Time!AU30/12*Inputs!$F$40</f>
        <v>8.30931490179215</v>
      </c>
      <c r="AV60" s="13" t="n">
        <f aca="false">Inputs!$F$151*(Inputs!$F$152*AV21+(1-Inputs!$F$152)*AV27*Inputs!$F$153/AV11)*Time!AV30/12*Inputs!$F$40</f>
        <v>8.49218914544526</v>
      </c>
      <c r="AW60" s="13" t="n">
        <f aca="false">Inputs!$F$151*(Inputs!$F$152*AW21+(1-Inputs!$F$152)*AW27*Inputs!$F$153/AW11)*Time!AW30/12*Inputs!$F$40</f>
        <v>8.67997592477619</v>
      </c>
      <c r="AX60" s="13" t="n">
        <f aca="false">Inputs!$F$151*(Inputs!$F$152*AX21+(1-Inputs!$F$152)*AX27*Inputs!$F$153/AX11)*Time!AX30/12*Inputs!$F$40</f>
        <v>8.87282117716828</v>
      </c>
      <c r="AY60" s="13" t="n">
        <f aca="false">Inputs!$F$151*(Inputs!$F$152*AY21+(1-Inputs!$F$152)*AY27*Inputs!$F$153/AY11)*Time!AY30/12*Inputs!$F$40</f>
        <v>9.07087535555145</v>
      </c>
      <c r="AZ60" s="13" t="n">
        <f aca="false">Inputs!$F$151*(Inputs!$F$152*AZ21+(1-Inputs!$F$152)*AZ27*Inputs!$F$153/AZ11)*Time!AZ30/12*Inputs!$F$40</f>
        <v>9.27429357022146</v>
      </c>
      <c r="BA60" s="13" t="n">
        <f aca="false">Inputs!$F$151*(Inputs!$F$152*BA21+(1-Inputs!$F$152)*BA27*Inputs!$F$153/BA11)*Time!BA30/12*Inputs!$F$40</f>
        <v>9.48323573513676</v>
      </c>
      <c r="BB60" s="13" t="n">
        <f aca="false">Inputs!$F$151*(Inputs!$F$152*BB21+(1-Inputs!$F$152)*BB27*Inputs!$F$153/BB11)*Time!BB30/12*Inputs!$F$40</f>
        <v>9.69786671883461</v>
      </c>
      <c r="BC60" s="13" t="n">
        <f aca="false">Inputs!$F$151*(Inputs!$F$152*BC21+(1-Inputs!$F$152)*BC27*Inputs!$F$153/BC11)*Time!BC30/12*Inputs!$F$40</f>
        <v>9.91835650011251</v>
      </c>
      <c r="BD60" s="13" t="n">
        <f aca="false">Inputs!$F$151*(Inputs!$F$152*BD21+(1-Inputs!$F$152)*BD27*Inputs!$F$153/BD11)*Time!BD30/12*Inputs!$F$40</f>
        <v>10.1448803286258</v>
      </c>
      <c r="BE60" s="13" t="n">
        <f aca="false">Inputs!$F$151*(Inputs!$F$152*BE21+(1-Inputs!$F$152)*BE27*Inputs!$F$153/BE11)*Time!BE30/12*Inputs!$F$40</f>
        <v>10.3776188905569</v>
      </c>
      <c r="BF60" s="13" t="n">
        <f aca="false">Inputs!$F$151*(Inputs!$F$152*BF21+(1-Inputs!$F$152)*BF27*Inputs!$F$153/BF11)*Time!BF30/12*Inputs!$F$40</f>
        <v>10.6167584795163</v>
      </c>
      <c r="BG60" s="13" t="n">
        <f aca="false">Inputs!$F$151*(Inputs!$F$152*BG21+(1-Inputs!$F$152)*BG27*Inputs!$F$153/BG11)*Time!BG30/12*Inputs!$F$40</f>
        <v>10.8624911728415</v>
      </c>
      <c r="BH60" s="13" t="n">
        <f aca="false">Inputs!$F$151*(Inputs!$F$152*BH21+(1-Inputs!$F$152)*BH27*Inputs!$F$153/BH11)*Time!BH30/12*Inputs!$F$40</f>
        <v>11.1150150134639</v>
      </c>
      <c r="BI60" s="13" t="n">
        <f aca="false">Inputs!$F$151*(Inputs!$F$152*BI21+(1-Inputs!$F$152)*BI27*Inputs!$F$153/BI11)*Time!BI30/12*Inputs!$F$40</f>
        <v>11.3745341975206</v>
      </c>
      <c r="BJ60" s="13" t="n">
        <f aca="false">Inputs!$F$151*(Inputs!$F$152*BJ21+(1-Inputs!$F$152)*BJ27*Inputs!$F$153/BJ11)*Time!BJ30/12*Inputs!$F$40</f>
        <v>11.6412592678914</v>
      </c>
      <c r="BK60" s="13" t="n">
        <f aca="false">Inputs!$F$151*(Inputs!$F$152*BK21+(1-Inputs!$F$152)*BK27*Inputs!$F$153/BK11)*Time!BK30/12*Inputs!$F$40</f>
        <v>11.9154073138508</v>
      </c>
      <c r="BL60" s="13" t="n">
        <f aca="false">Inputs!$F$151*(Inputs!$F$152*BL21+(1-Inputs!$F$152)*BL27*Inputs!$F$153/BL11)*Time!BL30/12*Inputs!$F$40</f>
        <v>12.1972021770259</v>
      </c>
      <c r="BM60" s="13" t="n">
        <f aca="false">Inputs!$F$151*(Inputs!$F$152*BM21+(1-Inputs!$F$152)*BM27*Inputs!$F$153/BM11)*Time!BM30/12*Inputs!$F$40</f>
        <v>8.32458310924095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4.69655897156034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0.0590877503445437</v>
      </c>
      <c r="P61" s="13" t="n">
        <f aca="false">IF(Time!P30&gt;0,Inputs!$F$154*MAX(-1,MIN(1,(P32-Inputs!$F$216)/Inputs!$F$217))*P21*Time!P30/12,0)</f>
        <v>0.179202538739512</v>
      </c>
      <c r="Q61" s="13" t="n">
        <f aca="false">IF(Time!Q30&gt;0,Inputs!$F$154*MAX(-1,MIN(1,(Q32-Inputs!$F$216)/Inputs!$F$217))*Q21*Time!Q30/12,0)</f>
        <v>0.145296822665961</v>
      </c>
      <c r="R61" s="13" t="n">
        <f aca="false">IF(Time!R30&gt;0,Inputs!$F$154*MAX(-1,MIN(1,(R32-Inputs!$F$216)/Inputs!$F$217))*R21*Time!R30/12,0)</f>
        <v>0.0743691887458481</v>
      </c>
      <c r="S61" s="13" t="n">
        <f aca="false">IF(Time!S30&gt;0,Inputs!$F$154*MAX(-1,MIN(1,(S32-Inputs!$F$216)/Inputs!$F$217))*S21*Time!S30/12,0)</f>
        <v>0.15210776194307</v>
      </c>
      <c r="T61" s="13" t="n">
        <f aca="false">IF(Time!T30&gt;0,Inputs!$F$154*MAX(-1,MIN(1,(T32-Inputs!$F$216)/Inputs!$F$217))*T21*Time!T30/12,0)</f>
        <v>0.309304912188794</v>
      </c>
      <c r="U61" s="13" t="n">
        <f aca="false">IF(Time!U30&gt;0,Inputs!$F$154*MAX(-1,MIN(1,(U32-Inputs!$F$216)/Inputs!$F$217))*U21*Time!U30/12,0)</f>
        <v>0.228084402799784</v>
      </c>
      <c r="V61" s="13" t="n">
        <f aca="false">IF(Time!V30&gt;0,Inputs!$F$154*MAX(-1,MIN(1,(V32-Inputs!$F$216)/Inputs!$F$217))*V21*Time!V30/12,0)</f>
        <v>0.0595198050627645</v>
      </c>
      <c r="W61" s="13" t="n">
        <f aca="false">IF(Time!W30&gt;0,Inputs!$F$154*MAX(-1,MIN(1,(W32-Inputs!$F$216)/Inputs!$F$217))*W21*Time!W30/12,0)</f>
        <v>0.165358942927682</v>
      </c>
      <c r="X61" s="13" t="n">
        <f aca="false">IF(Time!X30&gt;0,Inputs!$F$154*MAX(-1,MIN(1,(X32-Inputs!$F$216)/Inputs!$F$217))*X21*Time!X30/12,0)</f>
        <v>0.351269343667872</v>
      </c>
      <c r="Y61" s="13" t="n">
        <f aca="false">IF(Time!Y30&gt;0,Inputs!$F$154*MAX(-1,MIN(1,(Y32-Inputs!$F$216)/Inputs!$F$217))*Y21*Time!Y30/12,0)</f>
        <v>0.355112285257038</v>
      </c>
      <c r="Z61" s="13" t="n">
        <f aca="false">IF(Time!Z30&gt;0,Inputs!$F$154*MAX(-1,MIN(1,(Z32-Inputs!$F$216)/Inputs!$F$217))*Z21*Time!Z30/12,0)</f>
        <v>0.358997269228565</v>
      </c>
      <c r="AA61" s="13" t="n">
        <f aca="false">IF(Time!AA30&gt;0,Inputs!$F$154*MAX(-1,MIN(1,(AA32-Inputs!$F$216)/Inputs!$F$217))*AA21*Time!AA30/12,0)</f>
        <v>0.362924755532693</v>
      </c>
      <c r="AB61" s="13" t="n">
        <f aca="false">IF(Time!AB30&gt;0,Inputs!$F$154*MAX(-1,MIN(1,(AB32-Inputs!$F$216)/Inputs!$F$217))*AB21*Time!AB30/12,0)</f>
        <v>0.313743326342113</v>
      </c>
      <c r="AC61" s="13" t="n">
        <f aca="false">IF(Time!AC30&gt;0,Inputs!$F$154*MAX(-1,MIN(1,(AC32-Inputs!$F$216)/Inputs!$F$217))*AC21*Time!AC30/12,0)</f>
        <v>0.0524075353951739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-0.241099869043029</v>
      </c>
      <c r="AF61" s="13" t="n">
        <f aca="false">IF(Time!AF30&gt;0,Inputs!$F$154*MAX(-1,MIN(1,(AF32-Inputs!$F$216)/Inputs!$F$217))*AF21*Time!AF30/12,0)</f>
        <v>0.254708151235959</v>
      </c>
      <c r="AG61" s="13" t="n">
        <f aca="false">IF(Time!AG30&gt;0,Inputs!$F$154*MAX(-1,MIN(1,(AG32-Inputs!$F$216)/Inputs!$F$217))*AG21*Time!AG30/12,0)</f>
        <v>0.152715477392822</v>
      </c>
      <c r="AH61" s="13" t="n">
        <f aca="false">IF(Time!AH30&gt;0,Inputs!$F$154*MAX(-1,MIN(1,(AH32-Inputs!$F$216)/Inputs!$F$217))*AH21*Time!AH30/12,0)</f>
        <v>-0.057464835285378</v>
      </c>
      <c r="AI61" s="13" t="n">
        <f aca="false">IF(Time!AI30&gt;0,Inputs!$F$154*MAX(-1,MIN(1,(AI32-Inputs!$F$216)/Inputs!$F$217))*AI21*Time!AI30/12,0)</f>
        <v>0.0356554572118378</v>
      </c>
      <c r="AJ61" s="13" t="n">
        <f aca="false">IF(Time!AJ30&gt;0,Inputs!$F$154*MAX(-1,MIN(1,(AJ32-Inputs!$F$216)/Inputs!$F$217))*AJ21*Time!AJ30/12,0)</f>
        <v>0.225594723803475</v>
      </c>
      <c r="AK61" s="13" t="n">
        <f aca="false">IF(Time!AK30&gt;0,Inputs!$F$154*MAX(-1,MIN(1,(AK32-Inputs!$F$216)/Inputs!$F$217))*AK21*Time!AK30/12,0)</f>
        <v>-0.00299366313151081</v>
      </c>
      <c r="AL61" s="13" t="n">
        <f aca="false">IF(Time!AL30&gt;0,Inputs!$F$154*MAX(-1,MIN(1,(AL32-Inputs!$F$216)/Inputs!$F$217))*AL21*Time!AL30/12,0)</f>
        <v>-0.409068953600295</v>
      </c>
      <c r="AM61" s="13" t="n">
        <f aca="false">IF(Time!AM30&gt;0,Inputs!$F$154*MAX(-1,MIN(1,(AM32-Inputs!$F$216)/Inputs!$F$217))*AM21*Time!AM30/12,0)</f>
        <v>-0.202928977792907</v>
      </c>
      <c r="AN61" s="13" t="n">
        <f aca="false">IF(Time!AN30&gt;0,Inputs!$F$154*MAX(-1,MIN(1,(AN32-Inputs!$F$216)/Inputs!$F$217))*AN21*Time!AN30/12,0)</f>
        <v>0.345631132622963</v>
      </c>
      <c r="AO61" s="13" t="n">
        <f aca="false">IF(Time!AO30&gt;0,Inputs!$F$154*MAX(-1,MIN(1,(AO32-Inputs!$F$216)/Inputs!$F$217))*AO21*Time!AO30/12,0)</f>
        <v>0.245819026076856</v>
      </c>
      <c r="AP61" s="13" t="n">
        <f aca="false">IF(Time!AP30&gt;0,Inputs!$F$154*MAX(-1,MIN(1,(AP32-Inputs!$F$216)/Inputs!$F$217))*AP21*Time!AP30/12,0)</f>
        <v>0.0390549389882663</v>
      </c>
      <c r="AQ61" s="13" t="n">
        <f aca="false">IF(Time!AQ30&gt;0,Inputs!$F$154*MAX(-1,MIN(1,(AQ32-Inputs!$F$216)/Inputs!$F$217))*AQ21*Time!AQ30/12,0)</f>
        <v>0.137973719049764</v>
      </c>
      <c r="AR61" s="13" t="n">
        <f aca="false">IF(Time!AR30&gt;0,Inputs!$F$154*MAX(-1,MIN(1,(AR32-Inputs!$F$216)/Inputs!$F$217))*AR21*Time!AR30/12,0)</f>
        <v>0.338621224090195</v>
      </c>
      <c r="AS61" s="13" t="n">
        <f aca="false">IF(Time!AS30&gt;0,Inputs!$F$154*MAX(-1,MIN(1,(AS32-Inputs!$F$216)/Inputs!$F$217))*AS21*Time!AS30/12,0)</f>
        <v>0.0936464016587693</v>
      </c>
      <c r="AT61" s="13" t="n">
        <f aca="false">IF(Time!AT30&gt;0,Inputs!$F$154*MAX(-1,MIN(1,(AT32-Inputs!$F$216)/Inputs!$F$217))*AT21*Time!AT30/12,0)</f>
        <v>-0.408129058197995</v>
      </c>
      <c r="AU61" s="13" t="n">
        <f aca="false">IF(Time!AU30&gt;0,Inputs!$F$154*MAX(-1,MIN(1,(AU32-Inputs!$F$216)/Inputs!$F$217))*AU21*Time!AU30/12,0)</f>
        <v>-0.257332194944533</v>
      </c>
      <c r="AV61" s="13" t="n">
        <f aca="false">IF(Time!AV30&gt;0,Inputs!$F$154*MAX(-1,MIN(1,(AV32-Inputs!$F$216)/Inputs!$F$217))*AV21*Time!AV30/12,0)</f>
        <v>0.053773446676823</v>
      </c>
      <c r="AW61" s="13" t="n">
        <f aca="false">IF(Time!AW30&gt;0,Inputs!$F$154*MAX(-1,MIN(1,(AW32-Inputs!$F$216)/Inputs!$F$217))*AW21*Time!AW30/12,0)</f>
        <v>0.172420619530798</v>
      </c>
      <c r="AX61" s="13" t="n">
        <f aca="false">IF(Time!AX30&gt;0,Inputs!$F$154*MAX(-1,MIN(1,(AX32-Inputs!$F$216)/Inputs!$F$217))*AX21*Time!AX30/12,0)</f>
        <v>0.413007859263252</v>
      </c>
      <c r="AY61" s="13" t="n">
        <f aca="false">IF(Time!AY30&gt;0,Inputs!$F$154*MAX(-1,MIN(1,(AY32-Inputs!$F$216)/Inputs!$F$217))*AY21*Time!AY30/12,0)</f>
        <v>0.391284520747748</v>
      </c>
      <c r="AZ61" s="13" t="n">
        <f aca="false">IF(Time!AZ30&gt;0,Inputs!$F$154*MAX(-1,MIN(1,(AZ32-Inputs!$F$216)/Inputs!$F$217))*AZ21*Time!AZ30/12,0)</f>
        <v>0.342507639574108</v>
      </c>
      <c r="BA61" s="13" t="n">
        <f aca="false">IF(Time!BA30&gt;0,Inputs!$F$154*MAX(-1,MIN(1,(BA32-Inputs!$F$216)/Inputs!$F$217))*BA21*Time!BA30/12,0)</f>
        <v>0.104034427299608</v>
      </c>
      <c r="BB61" s="13" t="n">
        <f aca="false">IF(Time!BB30&gt;0,Inputs!$F$154*MAX(-1,MIN(1,(BB32-Inputs!$F$216)/Inputs!$F$217))*BB21*Time!BB30/12,0)</f>
        <v>-0.384567874646263</v>
      </c>
      <c r="BC61" s="13" t="n">
        <f aca="false">IF(Time!BC30&gt;0,Inputs!$F$154*MAX(-1,MIN(1,(BC32-Inputs!$F$216)/Inputs!$F$217))*BC21*Time!BC30/12,0)</f>
        <v>-0.137529077313122</v>
      </c>
      <c r="BD61" s="13" t="n">
        <f aca="false">IF(Time!BD30&gt;0,Inputs!$F$154*MAX(-1,MIN(1,(BD32-Inputs!$F$216)/Inputs!$F$217))*BD21*Time!BD30/12,0)</f>
        <v>0.368955734955217</v>
      </c>
      <c r="BE61" s="13" t="n">
        <f aca="false">IF(Time!BE30&gt;0,Inputs!$F$154*MAX(-1,MIN(1,(BE32-Inputs!$F$216)/Inputs!$F$217))*BE21*Time!BE30/12,0)</f>
        <v>0.364730688256973</v>
      </c>
      <c r="BF61" s="13" t="n">
        <f aca="false">IF(Time!BF30&gt;0,Inputs!$F$154*MAX(-1,MIN(1,(BF32-Inputs!$F$216)/Inputs!$F$217))*BF21*Time!BF30/12,0)</f>
        <v>0.352017174938993</v>
      </c>
      <c r="BG61" s="13" t="n">
        <f aca="false">IF(Time!BG30&gt;0,Inputs!$F$154*MAX(-1,MIN(1,(BG32-Inputs!$F$216)/Inputs!$F$217))*BG21*Time!BG30/12,0)</f>
        <v>0.216956090482153</v>
      </c>
      <c r="BH61" s="13" t="n">
        <f aca="false">IF(Time!BH30&gt;0,Inputs!$F$154*MAX(-1,MIN(1,(BH32-Inputs!$F$216)/Inputs!$F$217))*BH21*Time!BH30/12,0)</f>
        <v>-0.0615342333861342</v>
      </c>
      <c r="BI61" s="13" t="n">
        <f aca="false">IF(Time!BI30&gt;0,Inputs!$F$154*MAX(-1,MIN(1,(BI32-Inputs!$F$216)/Inputs!$F$217))*BI21*Time!BI30/12,0)</f>
        <v>-0.217969140400012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-0.273849125130313</v>
      </c>
      <c r="BL61" s="13" t="n">
        <f aca="false">IF(Time!BL30&gt;0,Inputs!$F$154*MAX(-1,MIN(1,(BL32-Inputs!$F$216)/Inputs!$F$217))*BL21*Time!BL30/12,0)</f>
        <v>0.263587916208461</v>
      </c>
      <c r="BM61" s="13" t="n">
        <f aca="false">IF(Time!BM30&gt;0,Inputs!$F$154*MAX(-1,MIN(1,(BM32-Inputs!$F$216)/Inputs!$F$217))*BM21*Time!BM30/12,0)</f>
        <v>0.177647739506753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2337.47139577737</v>
      </c>
      <c r="P63" s="15" t="n">
        <f aca="false">IF(P31&gt;0,Inputs!$F$258*(Inputs!$F$129*P32/P31*P37/Inputs!$F$131+Inputs!$F$130*Inputs!$F$132)*Time!P30/12,0)</f>
        <v>7012.41418733211</v>
      </c>
      <c r="Q63" s="15" t="n">
        <f aca="false">IF(Q31&gt;0,Inputs!$F$258*(Inputs!$F$129*Q32/Q31*Q37/Inputs!$F$131+Inputs!$F$130*Inputs!$F$132)*Time!Q30/12,0)</f>
        <v>7012.41418733211</v>
      </c>
      <c r="R63" s="15" t="n">
        <f aca="false">IF(R31&gt;0,Inputs!$F$258*(Inputs!$F$129*R32/R31*R37/Inputs!$F$131+Inputs!$F$130*Inputs!$F$132)*Time!R30/12,0)</f>
        <v>7012.41418733211</v>
      </c>
      <c r="S63" s="15" t="n">
        <f aca="false">IF(S31&gt;0,Inputs!$F$258*(Inputs!$F$129*S32/S31*S37/Inputs!$F$131+Inputs!$F$130*Inputs!$F$132)*Time!S30/12,0)</f>
        <v>7012.41418733211</v>
      </c>
      <c r="T63" s="15" t="n">
        <f aca="false">IF(T31&gt;0,Inputs!$F$258*(Inputs!$F$129*T32/T31*T37/Inputs!$F$131+Inputs!$F$130*Inputs!$F$132)*Time!T30/12,0)</f>
        <v>7012.41418733211</v>
      </c>
      <c r="U63" s="15" t="n">
        <f aca="false">IF(U31&gt;0,Inputs!$F$258*(Inputs!$F$129*U32/U31*U37/Inputs!$F$131+Inputs!$F$130*Inputs!$F$132)*Time!U30/12,0)</f>
        <v>7012.41418733211</v>
      </c>
      <c r="V63" s="15" t="n">
        <f aca="false">IF(V31&gt;0,Inputs!$F$258*(Inputs!$F$129*V32/V31*V37/Inputs!$F$131+Inputs!$F$130*Inputs!$F$132)*Time!V30/12,0)</f>
        <v>7012.41418733211</v>
      </c>
      <c r="W63" s="15" t="n">
        <f aca="false">IF(W31&gt;0,Inputs!$F$258*(Inputs!$F$129*W32/W31*W37/Inputs!$F$131+Inputs!$F$130*Inputs!$F$132)*Time!W30/12,0)</f>
        <v>7012.41418733211</v>
      </c>
      <c r="X63" s="15" t="n">
        <f aca="false">IF(X31&gt;0,Inputs!$F$258*(Inputs!$F$129*X32/X31*X37/Inputs!$F$131+Inputs!$F$130*Inputs!$F$132)*Time!X30/12,0)</f>
        <v>7012.41418733211</v>
      </c>
      <c r="Y63" s="15" t="n">
        <f aca="false">IF(Y31&gt;0,Inputs!$F$258*(Inputs!$F$129*Y32/Y31*Y37/Inputs!$F$131+Inputs!$F$130*Inputs!$F$132)*Time!Y30/12,0)</f>
        <v>7012.41418733211</v>
      </c>
      <c r="Z63" s="15" t="n">
        <f aca="false">IF(Z31&gt;0,Inputs!$F$258*(Inputs!$F$129*Z32/Z31*Z37/Inputs!$F$131+Inputs!$F$130*Inputs!$F$132)*Time!Z30/12,0)</f>
        <v>7012.41418733211</v>
      </c>
      <c r="AA63" s="15" t="n">
        <f aca="false">IF(AA31&gt;0,Inputs!$F$258*(Inputs!$F$129*AA32/AA31*AA37/Inputs!$F$131+Inputs!$F$130*Inputs!$F$132)*Time!AA30/12,0)</f>
        <v>7012.41418733211</v>
      </c>
      <c r="AB63" s="15" t="n">
        <f aca="false">IF(AB31&gt;0,Inputs!$F$258*(Inputs!$F$129*AB32/AB31*AB37/Inputs!$F$131+Inputs!$F$130*Inputs!$F$132)*Time!AB30/12,0)</f>
        <v>7012.41418733211</v>
      </c>
      <c r="AC63" s="15" t="n">
        <f aca="false">IF(AC31&gt;0,Inputs!$F$258*(Inputs!$F$129*AC32/AC31*AC37/Inputs!$F$131+Inputs!$F$130*Inputs!$F$132)*Time!AC30/12,0)</f>
        <v>7012.41418733211</v>
      </c>
      <c r="AD63" s="15" t="n">
        <f aca="false">IF(AD31&gt;0,Inputs!$F$258*(Inputs!$F$129*AD32/AD31*AD37/Inputs!$F$131+Inputs!$F$130*Inputs!$F$132)*Time!AD30/12,0)</f>
        <v>7012.41418733211</v>
      </c>
      <c r="AE63" s="15" t="n">
        <f aca="false">IF(AE31&gt;0,Inputs!$F$258*(Inputs!$F$129*AE32/AE31*AE37/Inputs!$F$131+Inputs!$F$130*Inputs!$F$132)*Time!AE30/12,0)</f>
        <v>7012.41418733211</v>
      </c>
      <c r="AF63" s="15" t="n">
        <f aca="false">IF(AF31&gt;0,Inputs!$F$258*(Inputs!$F$129*AF32/AF31*AF37/Inputs!$F$131+Inputs!$F$130*Inputs!$F$132)*Time!AF30/12,0)</f>
        <v>7012.41418733211</v>
      </c>
      <c r="AG63" s="15" t="n">
        <f aca="false">IF(AG31&gt;0,Inputs!$F$258*(Inputs!$F$129*AG32/AG31*AG37/Inputs!$F$131+Inputs!$F$130*Inputs!$F$132)*Time!AG30/12,0)</f>
        <v>7012.41418733211</v>
      </c>
      <c r="AH63" s="15" t="n">
        <f aca="false">IF(AH31&gt;0,Inputs!$F$258*(Inputs!$F$129*AH32/AH31*AH37/Inputs!$F$131+Inputs!$F$130*Inputs!$F$132)*Time!AH30/12,0)</f>
        <v>7012.41418733211</v>
      </c>
      <c r="AI63" s="15" t="n">
        <f aca="false">IF(AI31&gt;0,Inputs!$F$258*(Inputs!$F$129*AI32/AI31*AI37/Inputs!$F$131+Inputs!$F$130*Inputs!$F$132)*Time!AI30/12,0)</f>
        <v>7012.41418733211</v>
      </c>
      <c r="AJ63" s="15" t="n">
        <f aca="false">IF(AJ31&gt;0,Inputs!$F$258*(Inputs!$F$129*AJ32/AJ31*AJ37/Inputs!$F$131+Inputs!$F$130*Inputs!$F$132)*Time!AJ30/12,0)</f>
        <v>7012.41418733211</v>
      </c>
      <c r="AK63" s="15" t="n">
        <f aca="false">IF(AK31&gt;0,Inputs!$F$258*(Inputs!$F$129*AK32/AK31*AK37/Inputs!$F$131+Inputs!$F$130*Inputs!$F$132)*Time!AK30/12,0)</f>
        <v>7012.41418733211</v>
      </c>
      <c r="AL63" s="15" t="n">
        <f aca="false">IF(AL31&gt;0,Inputs!$F$258*(Inputs!$F$129*AL32/AL31*AL37/Inputs!$F$131+Inputs!$F$130*Inputs!$F$132)*Time!AL30/12,0)</f>
        <v>7012.41418733211</v>
      </c>
      <c r="AM63" s="15" t="n">
        <f aca="false">IF(AM31&gt;0,Inputs!$F$258*(Inputs!$F$129*AM32/AM31*AM37/Inputs!$F$131+Inputs!$F$130*Inputs!$F$132)*Time!AM30/12,0)</f>
        <v>7012.41418733211</v>
      </c>
      <c r="AN63" s="15" t="n">
        <f aca="false">IF(AN31&gt;0,Inputs!$F$258*(Inputs!$F$129*AN32/AN31*AN37/Inputs!$F$131+Inputs!$F$130*Inputs!$F$132)*Time!AN30/12,0)</f>
        <v>7012.41418733211</v>
      </c>
      <c r="AO63" s="15" t="n">
        <f aca="false">IF(AO31&gt;0,Inputs!$F$258*(Inputs!$F$129*AO32/AO31*AO37/Inputs!$F$131+Inputs!$F$130*Inputs!$F$132)*Time!AO30/12,0)</f>
        <v>7012.41418733211</v>
      </c>
      <c r="AP63" s="15" t="n">
        <f aca="false">IF(AP31&gt;0,Inputs!$F$258*(Inputs!$F$129*AP32/AP31*AP37/Inputs!$F$131+Inputs!$F$130*Inputs!$F$132)*Time!AP30/12,0)</f>
        <v>7012.41418733211</v>
      </c>
      <c r="AQ63" s="15" t="n">
        <f aca="false">IF(AQ31&gt;0,Inputs!$F$258*(Inputs!$F$129*AQ32/AQ31*AQ37/Inputs!$F$131+Inputs!$F$130*Inputs!$F$132)*Time!AQ30/12,0)</f>
        <v>7012.41418733211</v>
      </c>
      <c r="AR63" s="15" t="n">
        <f aca="false">IF(AR31&gt;0,Inputs!$F$258*(Inputs!$F$129*AR32/AR31*AR37/Inputs!$F$131+Inputs!$F$130*Inputs!$F$132)*Time!AR30/12,0)</f>
        <v>7012.41418733211</v>
      </c>
      <c r="AS63" s="15" t="n">
        <f aca="false">IF(AS31&gt;0,Inputs!$F$258*(Inputs!$F$129*AS32/AS31*AS37/Inputs!$F$131+Inputs!$F$130*Inputs!$F$132)*Time!AS30/12,0)</f>
        <v>7012.41418733211</v>
      </c>
      <c r="AT63" s="15" t="n">
        <f aca="false">IF(AT31&gt;0,Inputs!$F$258*(Inputs!$F$129*AT32/AT31*AT37/Inputs!$F$131+Inputs!$F$130*Inputs!$F$132)*Time!AT30/12,0)</f>
        <v>7012.41418733211</v>
      </c>
      <c r="AU63" s="15" t="n">
        <f aca="false">IF(AU31&gt;0,Inputs!$F$258*(Inputs!$F$129*AU32/AU31*AU37/Inputs!$F$131+Inputs!$F$130*Inputs!$F$132)*Time!AU30/12,0)</f>
        <v>7012.41418733211</v>
      </c>
      <c r="AV63" s="15" t="n">
        <f aca="false">IF(AV31&gt;0,Inputs!$F$258*(Inputs!$F$129*AV32/AV31*AV37/Inputs!$F$131+Inputs!$F$130*Inputs!$F$132)*Time!AV30/12,0)</f>
        <v>7012.41418733211</v>
      </c>
      <c r="AW63" s="15" t="n">
        <f aca="false">IF(AW31&gt;0,Inputs!$F$258*(Inputs!$F$129*AW32/AW31*AW37/Inputs!$F$131+Inputs!$F$130*Inputs!$F$132)*Time!AW30/12,0)</f>
        <v>7012.41418733211</v>
      </c>
      <c r="AX63" s="15" t="n">
        <f aca="false">IF(AX31&gt;0,Inputs!$F$258*(Inputs!$F$129*AX32/AX31*AX37/Inputs!$F$131+Inputs!$F$130*Inputs!$F$132)*Time!AX30/12,0)</f>
        <v>7012.41418733211</v>
      </c>
      <c r="AY63" s="15" t="n">
        <f aca="false">IF(AY31&gt;0,Inputs!$F$258*(Inputs!$F$129*AY32/AY31*AY37/Inputs!$F$131+Inputs!$F$130*Inputs!$F$132)*Time!AY30/12,0)</f>
        <v>7012.41418733211</v>
      </c>
      <c r="AZ63" s="15" t="n">
        <f aca="false">IF(AZ31&gt;0,Inputs!$F$258*(Inputs!$F$129*AZ32/AZ31*AZ37/Inputs!$F$131+Inputs!$F$130*Inputs!$F$132)*Time!AZ30/12,0)</f>
        <v>7012.41418733211</v>
      </c>
      <c r="BA63" s="15" t="n">
        <f aca="false">IF(BA31&gt;0,Inputs!$F$258*(Inputs!$F$129*BA32/BA31*BA37/Inputs!$F$131+Inputs!$F$130*Inputs!$F$132)*Time!BA30/12,0)</f>
        <v>7012.41418733211</v>
      </c>
      <c r="BB63" s="15" t="n">
        <f aca="false">IF(BB31&gt;0,Inputs!$F$258*(Inputs!$F$129*BB32/BB31*BB37/Inputs!$F$131+Inputs!$F$130*Inputs!$F$132)*Time!BB30/12,0)</f>
        <v>7012.41418733211</v>
      </c>
      <c r="BC63" s="15" t="n">
        <f aca="false">IF(BC31&gt;0,Inputs!$F$258*(Inputs!$F$129*BC32/BC31*BC37/Inputs!$F$131+Inputs!$F$130*Inputs!$F$132)*Time!BC30/12,0)</f>
        <v>7012.41418733211</v>
      </c>
      <c r="BD63" s="15" t="n">
        <f aca="false">IF(BD31&gt;0,Inputs!$F$258*(Inputs!$F$129*BD32/BD31*BD37/Inputs!$F$131+Inputs!$F$130*Inputs!$F$132)*Time!BD30/12,0)</f>
        <v>7012.41418733211</v>
      </c>
      <c r="BE63" s="15" t="n">
        <f aca="false">IF(BE31&gt;0,Inputs!$F$258*(Inputs!$F$129*BE32/BE31*BE37/Inputs!$F$131+Inputs!$F$130*Inputs!$F$132)*Time!BE30/12,0)</f>
        <v>7012.41418733211</v>
      </c>
      <c r="BF63" s="15" t="n">
        <f aca="false">IF(BF31&gt;0,Inputs!$F$258*(Inputs!$F$129*BF32/BF31*BF37/Inputs!$F$131+Inputs!$F$130*Inputs!$F$132)*Time!BF30/12,0)</f>
        <v>7012.41418733211</v>
      </c>
      <c r="BG63" s="15" t="n">
        <f aca="false">IF(BG31&gt;0,Inputs!$F$258*(Inputs!$F$129*BG32/BG31*BG37/Inputs!$F$131+Inputs!$F$130*Inputs!$F$132)*Time!BG30/12,0)</f>
        <v>7012.41418733211</v>
      </c>
      <c r="BH63" s="15" t="n">
        <f aca="false">IF(BH31&gt;0,Inputs!$F$258*(Inputs!$F$129*BH32/BH31*BH37/Inputs!$F$131+Inputs!$F$130*Inputs!$F$132)*Time!BH30/12,0)</f>
        <v>7012.41418733211</v>
      </c>
      <c r="BI63" s="15" t="n">
        <f aca="false">IF(BI31&gt;0,Inputs!$F$258*(Inputs!$F$129*BI32/BI31*BI37/Inputs!$F$131+Inputs!$F$130*Inputs!$F$132)*Time!BI30/12,0)</f>
        <v>7012.41418733211</v>
      </c>
      <c r="BJ63" s="15" t="n">
        <f aca="false">IF(BJ31&gt;0,Inputs!$F$258*(Inputs!$F$129*BJ32/BJ31*BJ37/Inputs!$F$131+Inputs!$F$130*Inputs!$F$132)*Time!BJ30/12,0)</f>
        <v>7012.41418733211</v>
      </c>
      <c r="BK63" s="15" t="n">
        <f aca="false">IF(BK31&gt;0,Inputs!$F$258*(Inputs!$F$129*BK32/BK31*BK37/Inputs!$F$131+Inputs!$F$130*Inputs!$F$132)*Time!BK30/12,0)</f>
        <v>7012.41418733211</v>
      </c>
      <c r="BL63" s="15" t="n">
        <f aca="false">IF(BL31&gt;0,Inputs!$F$258*(Inputs!$F$129*BL32/BL31*BL37/Inputs!$F$131+Inputs!$F$130*Inputs!$F$132)*Time!BL30/12,0)</f>
        <v>7012.41418733211</v>
      </c>
      <c r="BM63" s="15" t="n">
        <f aca="false">IF(BM31&gt;0,Inputs!$F$258*(Inputs!$F$129*BM32/BM31*BM37/Inputs!$F$131+Inputs!$F$130*Inputs!$F$132)*Time!BM30/12,0)</f>
        <v>4674.94279155474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240.842906110126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1.20607006342054</v>
      </c>
      <c r="P64" s="13" t="n">
        <f aca="false">P63*Inputs!$F$156*P21/1000000</f>
        <v>3.65779397594958</v>
      </c>
      <c r="Q64" s="13" t="n">
        <f aca="false">Q63*Inputs!$F$156*Q21/1000000</f>
        <v>3.69781081444736</v>
      </c>
      <c r="R64" s="13" t="n">
        <f aca="false">R63*Inputs!$F$156*R21/1000000</f>
        <v>3.73826544342047</v>
      </c>
      <c r="S64" s="13" t="n">
        <f aca="false">S63*Inputs!$F$156*S21/1000000</f>
        <v>3.7791626523652</v>
      </c>
      <c r="T64" s="13" t="n">
        <f aca="false">T63*Inputs!$F$156*T21/1000000</f>
        <v>3.82050728317572</v>
      </c>
      <c r="U64" s="13" t="n">
        <f aca="false">U63*Inputs!$F$156*U21/1000000</f>
        <v>3.86230423071724</v>
      </c>
      <c r="V64" s="13" t="n">
        <f aca="false">V63*Inputs!$F$156*V21/1000000</f>
        <v>3.90455844340558</v>
      </c>
      <c r="W64" s="13" t="n">
        <f aca="false">W63*Inputs!$F$156*W21/1000000</f>
        <v>3.94727492379301</v>
      </c>
      <c r="X64" s="13" t="n">
        <f aca="false">X63*Inputs!$F$156*X21/1000000</f>
        <v>3.9904587291605</v>
      </c>
      <c r="Y64" s="13" t="n">
        <f aca="false">Y63*Inputs!$F$156*Y21/1000000</f>
        <v>4.03411497211646</v>
      </c>
      <c r="Z64" s="13" t="n">
        <f aca="false">Z63*Inputs!$F$156*Z21/1000000</f>
        <v>4.07824882120203</v>
      </c>
      <c r="AA64" s="13" t="n">
        <f aca="false">AA63*Inputs!$F$156*AA21/1000000</f>
        <v>4.12286550150302</v>
      </c>
      <c r="AB64" s="13" t="n">
        <f aca="false">AB63*Inputs!$F$156*AB21/1000000</f>
        <v>4.16797029526848</v>
      </c>
      <c r="AC64" s="13" t="n">
        <f aca="false">AC63*Inputs!$F$156*AC21/1000000</f>
        <v>4.21356854253609</v>
      </c>
      <c r="AD64" s="13" t="n">
        <f aca="false">AD63*Inputs!$F$156*AD21/1000000</f>
        <v>4.25966564176438</v>
      </c>
      <c r="AE64" s="13" t="n">
        <f aca="false">AE63*Inputs!$F$156*AE21/1000000</f>
        <v>4.30626705047188</v>
      </c>
      <c r="AF64" s="13" t="n">
        <f aca="false">AF63*Inputs!$F$156*AF21/1000000</f>
        <v>4.3533782858832</v>
      </c>
      <c r="AG64" s="13" t="n">
        <f aca="false">AG63*Inputs!$F$156*AG21/1000000</f>
        <v>4.40100492558226</v>
      </c>
      <c r="AH64" s="13" t="n">
        <f aca="false">AH63*Inputs!$F$156*AH21/1000000</f>
        <v>4.44915260817263</v>
      </c>
      <c r="AI64" s="13" t="n">
        <f aca="false">AI63*Inputs!$F$156*AI21/1000000</f>
        <v>4.49782703394507</v>
      </c>
      <c r="AJ64" s="13" t="n">
        <f aca="false">AJ63*Inputs!$F$156*AJ21/1000000</f>
        <v>4.54703396555242</v>
      </c>
      <c r="AK64" s="13" t="n">
        <f aca="false">AK63*Inputs!$F$156*AK21/1000000</f>
        <v>4.59677922869186</v>
      </c>
      <c r="AL64" s="13" t="n">
        <f aca="false">AL63*Inputs!$F$156*AL21/1000000</f>
        <v>4.64706871279458</v>
      </c>
      <c r="AM64" s="13" t="n">
        <f aca="false">AM63*Inputs!$F$156*AM21/1000000</f>
        <v>4.69790837172308</v>
      </c>
      <c r="AN64" s="13" t="n">
        <f aca="false">AN63*Inputs!$F$156*AN21/1000000</f>
        <v>4.74930422447606</v>
      </c>
      <c r="AO64" s="13" t="n">
        <f aca="false">AO63*Inputs!$F$156*AO21/1000000</f>
        <v>4.80126235590099</v>
      </c>
      <c r="AP64" s="13" t="n">
        <f aca="false">AP63*Inputs!$F$156*AP21/1000000</f>
        <v>4.85378891741453</v>
      </c>
      <c r="AQ64" s="13" t="n">
        <f aca="false">AQ63*Inputs!$F$156*AQ21/1000000</f>
        <v>4.90689012773081</v>
      </c>
      <c r="AR64" s="13" t="n">
        <f aca="false">AR63*Inputs!$F$156*AR21/1000000</f>
        <v>4.96057227359765</v>
      </c>
      <c r="AS64" s="13" t="n">
        <f aca="false">AS63*Inputs!$F$156*AS21/1000000</f>
        <v>5.01484171054088</v>
      </c>
      <c r="AT64" s="13" t="n">
        <f aca="false">AT63*Inputs!$F$156*AT21/1000000</f>
        <v>5.0697048636168</v>
      </c>
      <c r="AU64" s="13" t="n">
        <f aca="false">AU63*Inputs!$F$156*AU21/1000000</f>
        <v>5.12516822817279</v>
      </c>
      <c r="AV64" s="13" t="n">
        <f aca="false">AV63*Inputs!$F$156*AV21/1000000</f>
        <v>5.18123837061637</v>
      </c>
      <c r="AW64" s="13" t="n">
        <f aca="false">AW63*Inputs!$F$156*AW21/1000000</f>
        <v>5.23792192919258</v>
      </c>
      <c r="AX64" s="13" t="n">
        <f aca="false">AX63*Inputs!$F$156*AX21/1000000</f>
        <v>5.29522561476992</v>
      </c>
      <c r="AY64" s="13" t="n">
        <f aca="false">AY63*Inputs!$F$156*AY21/1000000</f>
        <v>5.35315621163482</v>
      </c>
      <c r="AZ64" s="13" t="n">
        <f aca="false">AZ63*Inputs!$F$156*AZ21/1000000</f>
        <v>5.41172057829486</v>
      </c>
      <c r="BA64" s="13" t="n">
        <f aca="false">BA63*Inputs!$F$156*BA21/1000000</f>
        <v>5.47092564829078</v>
      </c>
      <c r="BB64" s="13" t="n">
        <f aca="false">BB63*Inputs!$F$156*BB21/1000000</f>
        <v>5.53077843101735</v>
      </c>
      <c r="BC64" s="13" t="n">
        <f aca="false">BC63*Inputs!$F$156*BC21/1000000</f>
        <v>5.59128601255318</v>
      </c>
      <c r="BD64" s="13" t="n">
        <f aca="false">BD63*Inputs!$F$156*BD21/1000000</f>
        <v>5.65245555649973</v>
      </c>
      <c r="BE64" s="13" t="n">
        <f aca="false">BE63*Inputs!$F$156*BE21/1000000</f>
        <v>5.71429430482935</v>
      </c>
      <c r="BF64" s="13" t="n">
        <f aca="false">BF63*Inputs!$F$156*BF21/1000000</f>
        <v>5.77680957874272</v>
      </c>
      <c r="BG64" s="13" t="n">
        <f aca="false">BG63*Inputs!$F$156*BG21/1000000</f>
        <v>5.84000877953559</v>
      </c>
      <c r="BH64" s="13" t="n">
        <f aca="false">BH63*Inputs!$F$156*BH21/1000000</f>
        <v>5.90389938947506</v>
      </c>
      <c r="BI64" s="13" t="n">
        <f aca="false">BI63*Inputs!$F$156*BI21/1000000</f>
        <v>5.96848897268538</v>
      </c>
      <c r="BJ64" s="13" t="n">
        <f aca="false">BJ63*Inputs!$F$156*BJ21/1000000</f>
        <v>6.03378517604351</v>
      </c>
      <c r="BK64" s="13" t="n">
        <f aca="false">BK63*Inputs!$F$156*BK21/1000000</f>
        <v>6.09979573008445</v>
      </c>
      <c r="BL64" s="13" t="n">
        <f aca="false">BL63*Inputs!$F$156*BL21/1000000</f>
        <v>6.16652844991646</v>
      </c>
      <c r="BM64" s="13" t="n">
        <f aca="false">BM63*Inputs!$F$156*BM21/1000000</f>
        <v>4.15599415743087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169.793803447671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0.594325849771651</v>
      </c>
      <c r="P66" s="13" t="n">
        <f aca="false">Inputs!$F$159*(Inputs!$F$218*P21+(1-Inputs!$F$218)*P27*Inputs!$F$153/P11)*Time!P30/12*Inputs!$F$40</f>
        <v>1.8219397374573</v>
      </c>
      <c r="Q66" s="13" t="n">
        <f aca="false">Inputs!$F$159*(Inputs!$F$218*Q21+(1-Inputs!$F$218)*Q27*Inputs!$F$153/Q11)*Time!Q30/12*Inputs!$F$40</f>
        <v>1.86194418529884</v>
      </c>
      <c r="R66" s="13" t="n">
        <f aca="false">Inputs!$F$159*(Inputs!$F$218*R21+(1-Inputs!$F$218)*R27*Inputs!$F$153/R11)*Time!R30/12*Inputs!$F$40</f>
        <v>1.90302179893816</v>
      </c>
      <c r="S66" s="13" t="n">
        <f aca="false">Inputs!$F$159*(Inputs!$F$218*S21+(1-Inputs!$F$218)*S27*Inputs!$F$153/S11)*Time!S30/12*Inputs!$F$40</f>
        <v>1.94520444010193</v>
      </c>
      <c r="T66" s="13" t="n">
        <f aca="false">Inputs!$F$159*(Inputs!$F$218*T21+(1-Inputs!$F$218)*T27*Inputs!$F$153/T11)*Time!T30/12*Inputs!$F$40</f>
        <v>1.98852495615083</v>
      </c>
      <c r="U66" s="13" t="n">
        <f aca="false">Inputs!$F$159*(Inputs!$F$218*U21+(1-Inputs!$F$218)*U27*Inputs!$F$153/U11)*Time!U30/12*Inputs!$F$40</f>
        <v>2.03301721103277</v>
      </c>
      <c r="V66" s="13" t="n">
        <f aca="false">Inputs!$F$159*(Inputs!$F$218*V21+(1-Inputs!$F$218)*V27*Inputs!$F$153/V11)*Time!V30/12*Inputs!$F$40</f>
        <v>2.0787161172134</v>
      </c>
      <c r="W66" s="13" t="n">
        <f aca="false">Inputs!$F$159*(Inputs!$F$218*W21+(1-Inputs!$F$218)*W27*Inputs!$F$153/W11)*Time!W30/12*Inputs!$F$40</f>
        <v>2.12565766861465</v>
      </c>
      <c r="X66" s="13" t="n">
        <f aca="false">Inputs!$F$159*(Inputs!$F$218*X21+(1-Inputs!$F$218)*X27*Inputs!$F$153/X11)*Time!X30/12*Inputs!$F$40</f>
        <v>2.1738789745935</v>
      </c>
      <c r="Y66" s="13" t="n">
        <f aca="false">Inputs!$F$159*(Inputs!$F$218*Y21+(1-Inputs!$F$218)*Y27*Inputs!$F$153/Y11)*Time!Y30/12*Inputs!$F$40</f>
        <v>2.22341829499353</v>
      </c>
      <c r="Z66" s="13" t="n">
        <f aca="false">Inputs!$F$159*(Inputs!$F$218*Z21+(1-Inputs!$F$218)*Z27*Inputs!$F$153/Z11)*Time!Z30/12*Inputs!$F$40</f>
        <v>2.27431507630349</v>
      </c>
      <c r="AA66" s="13" t="n">
        <f aca="false">Inputs!$F$159*(Inputs!$F$218*AA21+(1-Inputs!$F$218)*AA27*Inputs!$F$153/AA11)*Time!AA30/12*Inputs!$F$40</f>
        <v>2.32660998895765</v>
      </c>
      <c r="AB66" s="13" t="n">
        <f aca="false">Inputs!$F$159*(Inputs!$F$218*AB21+(1-Inputs!$F$218)*AB27*Inputs!$F$153/AB11)*Time!AB30/12*Inputs!$F$40</f>
        <v>2.3803449658143</v>
      </c>
      <c r="AC66" s="13" t="n">
        <f aca="false">Inputs!$F$159*(Inputs!$F$218*AC21+(1-Inputs!$F$218)*AC27*Inputs!$F$153/AC11)*Time!AC30/12*Inputs!$F$40</f>
        <v>2.43556324184942</v>
      </c>
      <c r="AD66" s="13" t="n">
        <f aca="false">Inputs!$F$159*(Inputs!$F$218*AD21+(1-Inputs!$F$218)*AD27*Inputs!$F$153/AD11)*Time!AD30/12*Inputs!$F$40</f>
        <v>2.4923093951042</v>
      </c>
      <c r="AE66" s="13" t="n">
        <f aca="false">Inputs!$F$159*(Inputs!$F$218*AE21+(1-Inputs!$F$218)*AE27*Inputs!$F$153/AE11)*Time!AE30/12*Inputs!$F$40</f>
        <v>2.55062938892582</v>
      </c>
      <c r="AF66" s="13" t="n">
        <f aca="false">Inputs!$F$159*(Inputs!$F$218*AF21+(1-Inputs!$F$218)*AF27*Inputs!$F$153/AF11)*Time!AF30/12*Inputs!$F$40</f>
        <v>2.61057061554265</v>
      </c>
      <c r="AG66" s="13" t="n">
        <f aca="false">Inputs!$F$159*(Inputs!$F$218*AG21+(1-Inputs!$F$218)*AG27*Inputs!$F$153/AG11)*Time!AG30/12*Inputs!$F$40</f>
        <v>2.67218194101597</v>
      </c>
      <c r="AH66" s="13" t="n">
        <f aca="false">Inputs!$F$159*(Inputs!$F$218*AH21+(1-Inputs!$F$218)*AH27*Inputs!$F$153/AH11)*Time!AH30/12*Inputs!$F$40</f>
        <v>2.73551375161168</v>
      </c>
      <c r="AI66" s="13" t="n">
        <f aca="false">Inputs!$F$159*(Inputs!$F$218*AI21+(1-Inputs!$F$218)*AI27*Inputs!$F$153/AI11)*Time!AI30/12*Inputs!$F$40</f>
        <v>2.8006180016371</v>
      </c>
      <c r="AJ66" s="13" t="n">
        <f aca="false">Inputs!$F$159*(Inputs!$F$218*AJ21+(1-Inputs!$F$218)*AJ27*Inputs!$F$153/AJ11)*Time!AJ30/12*Inputs!$F$40</f>
        <v>2.86754826278908</v>
      </c>
      <c r="AK66" s="13" t="n">
        <f aca="false">Inputs!$F$159*(Inputs!$F$218*AK21+(1-Inputs!$F$218)*AK27*Inputs!$F$153/AK11)*Time!AK30/12*Inputs!$F$40</f>
        <v>2.93635977506125</v>
      </c>
      <c r="AL66" s="13" t="n">
        <f aca="false">Inputs!$F$159*(Inputs!$F$218*AL21+(1-Inputs!$F$218)*AL27*Inputs!$F$153/AL11)*Time!AL30/12*Inputs!$F$40</f>
        <v>3.00710949925983</v>
      </c>
      <c r="AM66" s="13" t="n">
        <f aca="false">Inputs!$F$159*(Inputs!$F$218*AM21+(1-Inputs!$F$218)*AM27*Inputs!$F$153/AM11)*Time!AM30/12*Inputs!$F$40</f>
        <v>3.07985617117878</v>
      </c>
      <c r="AN66" s="13" t="n">
        <f aca="false">Inputs!$F$159*(Inputs!$F$218*AN21+(1-Inputs!$F$218)*AN27*Inputs!$F$153/AN11)*Time!AN30/12*Inputs!$F$40</f>
        <v>3.15466035748683</v>
      </c>
      <c r="AO66" s="13" t="n">
        <f aca="false">Inputs!$F$159*(Inputs!$F$218*AO21+(1-Inputs!$F$218)*AO27*Inputs!$F$153/AO11)*Time!AO30/12*Inputs!$F$40</f>
        <v>3.23158451338059</v>
      </c>
      <c r="AP66" s="13" t="n">
        <f aca="false">Inputs!$F$159*(Inputs!$F$218*AP21+(1-Inputs!$F$218)*AP27*Inputs!$F$153/AP11)*Time!AP30/12*Inputs!$F$40</f>
        <v>3.31069304205958</v>
      </c>
      <c r="AQ66" s="13" t="n">
        <f aca="false">Inputs!$F$159*(Inputs!$F$218*AQ21+(1-Inputs!$F$218)*AQ27*Inputs!$F$153/AQ11)*Time!AQ30/12*Inputs!$F$40</f>
        <v>3.39205235608084</v>
      </c>
      <c r="AR66" s="13" t="n">
        <f aca="false">Inputs!$F$159*(Inputs!$F$218*AR21+(1-Inputs!$F$218)*AR27*Inputs!$F$153/AR11)*Time!AR30/12*Inputs!$F$40</f>
        <v>3.47573094065257</v>
      </c>
      <c r="AS66" s="13" t="n">
        <f aca="false">Inputs!$F$159*(Inputs!$F$218*AS21+(1-Inputs!$F$218)*AS27*Inputs!$F$153/AS11)*Time!AS30/12*Inputs!$F$40</f>
        <v>3.56179941892818</v>
      </c>
      <c r="AT66" s="13" t="n">
        <f aca="false">Inputs!$F$159*(Inputs!$F$218*AT21+(1-Inputs!$F$218)*AT27*Inputs!$F$153/AT11)*Time!AT30/12*Inputs!$F$40</f>
        <v>3.65033061936407</v>
      </c>
      <c r="AU66" s="13" t="n">
        <f aca="false">Inputs!$F$159*(Inputs!$F$218*AU21+(1-Inputs!$F$218)*AU27*Inputs!$F$153/AU11)*Time!AU30/12*Inputs!$F$40</f>
        <v>3.74139964520639</v>
      </c>
      <c r="AV66" s="13" t="n">
        <f aca="false">Inputs!$F$159*(Inputs!$F$218*AV21+(1-Inputs!$F$218)*AV27*Inputs!$F$153/AV11)*Time!AV30/12*Inputs!$F$40</f>
        <v>3.83508394617413</v>
      </c>
      <c r="AW66" s="13" t="n">
        <f aca="false">Inputs!$F$159*(Inputs!$F$218*AW21+(1-Inputs!$F$218)*AW27*Inputs!$F$153/AW11)*Time!AW30/12*Inputs!$F$40</f>
        <v>3.93146339240812</v>
      </c>
      <c r="AX66" s="13" t="n">
        <f aca="false">Inputs!$F$159*(Inputs!$F$218*AX21+(1-Inputs!$F$218)*AX27*Inputs!$F$153/AX11)*Time!AX30/12*Inputs!$F$40</f>
        <v>4.03062035075761</v>
      </c>
      <c r="AY66" s="13" t="n">
        <f aca="false">Inputs!$F$159*(Inputs!$F$218*AY21+(1-Inputs!$F$218)*AY27*Inputs!$F$153/AY11)*Time!AY30/12*Inputs!$F$40</f>
        <v>4.13263976347833</v>
      </c>
      <c r="AZ66" s="13" t="n">
        <f aca="false">Inputs!$F$159*(Inputs!$F$218*AZ21+(1-Inputs!$F$218)*AZ27*Inputs!$F$153/AZ11)*Time!AZ30/12*Inputs!$F$40</f>
        <v>4.23760922941844</v>
      </c>
      <c r="BA66" s="13" t="n">
        <f aca="false">Inputs!$F$159*(Inputs!$F$218*BA21+(1-Inputs!$F$218)*BA27*Inputs!$F$153/BA11)*Time!BA30/12*Inputs!$F$40</f>
        <v>4.34561908777105</v>
      </c>
      <c r="BB66" s="13" t="n">
        <f aca="false">Inputs!$F$159*(Inputs!$F$218*BB21+(1-Inputs!$F$218)*BB27*Inputs!$F$153/BB11)*Time!BB30/12*Inputs!$F$40</f>
        <v>4.4567625044745</v>
      </c>
      <c r="BC66" s="13" t="n">
        <f aca="false">Inputs!$F$159*(Inputs!$F$218*BC21+(1-Inputs!$F$218)*BC27*Inputs!$F$153/BC11)*Time!BC30/12*Inputs!$F$40</f>
        <v>4.57113556134428</v>
      </c>
      <c r="BD66" s="13" t="n">
        <f aca="false">Inputs!$F$159*(Inputs!$F$218*BD21+(1-Inputs!$F$218)*BD27*Inputs!$F$153/BD11)*Time!BD30/12*Inputs!$F$40</f>
        <v>4.68883734802288</v>
      </c>
      <c r="BE66" s="13" t="n">
        <f aca="false">Inputs!$F$159*(Inputs!$F$218*BE21+(1-Inputs!$F$218)*BE27*Inputs!$F$153/BE11)*Time!BE30/12*Inputs!$F$40</f>
        <v>4.80997005683695</v>
      </c>
      <c r="BF66" s="13" t="n">
        <f aca="false">Inputs!$F$159*(Inputs!$F$218*BF21+(1-Inputs!$F$218)*BF27*Inputs!$F$153/BF11)*Time!BF30/12*Inputs!$F$40</f>
        <v>4.93463908065359</v>
      </c>
      <c r="BG66" s="13" t="n">
        <f aca="false">Inputs!$F$159*(Inputs!$F$218*BG21+(1-Inputs!$F$218)*BG27*Inputs!$F$153/BG11)*Time!BG30/12*Inputs!$F$40</f>
        <v>5.06295311383078</v>
      </c>
      <c r="BH66" s="13" t="n">
        <f aca="false">Inputs!$F$159*(Inputs!$F$218*BH21+(1-Inputs!$F$218)*BH27*Inputs!$F$153/BH11)*Time!BH30/12*Inputs!$F$40</f>
        <v>5.19502425635987</v>
      </c>
      <c r="BI66" s="13" t="n">
        <f aca="false">Inputs!$F$159*(Inputs!$F$218*BI21+(1-Inputs!$F$218)*BI27*Inputs!$F$153/BI11)*Time!BI30/12*Inputs!$F$40</f>
        <v>5.33096812130106</v>
      </c>
      <c r="BJ66" s="13" t="n">
        <f aca="false">Inputs!$F$159*(Inputs!$F$218*BJ21+(1-Inputs!$F$218)*BJ27*Inputs!$F$153/BJ11)*Time!BJ30/12*Inputs!$F$40</f>
        <v>5.4709039456162</v>
      </c>
      <c r="BK66" s="13" t="n">
        <f aca="false">Inputs!$F$159*(Inputs!$F$218*BK21+(1-Inputs!$F$218)*BK27*Inputs!$F$153/BK11)*Time!BK30/12*Inputs!$F$40</f>
        <v>5.61495470450641</v>
      </c>
      <c r="BL66" s="13" t="n">
        <f aca="false">Inputs!$F$159*(Inputs!$F$218*BL21+(1-Inputs!$F$218)*BL27*Inputs!$F$153/BL11)*Time!BL30/12*Inputs!$F$40</f>
        <v>5.76324722936529</v>
      </c>
      <c r="BM66" s="13" t="n">
        <f aca="false">Inputs!$F$159*(Inputs!$F$218*BM21+(1-Inputs!$F$218)*BM27*Inputs!$F$153/BM11)*Time!BM30/12*Inputs!$F$40</f>
        <v>3.94394155297494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50.8805340808893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0.140168032938453</v>
      </c>
      <c r="P67" s="13" t="n">
        <f aca="false">Inputs!$F$160*P27/P11*Time!P30/12*Inputs!$F$40</f>
        <v>0.433817821341188</v>
      </c>
      <c r="Q67" s="13" t="n">
        <f aca="false">Inputs!$F$160*Q27/Q11*Time!Q30/12*Inputs!$F$40</f>
        <v>0.447553074139834</v>
      </c>
      <c r="R67" s="13" t="n">
        <f aca="false">Inputs!$F$160*R27/R11*Time!R30/12*Inputs!$F$40</f>
        <v>0.461723203423866</v>
      </c>
      <c r="S67" s="13" t="n">
        <f aca="false">Inputs!$F$160*S27/S11*Time!S30/12*Inputs!$F$40</f>
        <v>0.476341977964804</v>
      </c>
      <c r="T67" s="13" t="n">
        <f aca="false">Inputs!$F$160*T27/T11*Time!T30/12*Inputs!$F$40</f>
        <v>0.491423602471899</v>
      </c>
      <c r="U67" s="13" t="n">
        <f aca="false">Inputs!$F$160*U27/U11*Time!U30/12*Inputs!$F$40</f>
        <v>0.506982731394508</v>
      </c>
      <c r="V67" s="13" t="n">
        <f aca="false">Inputs!$F$160*V27/V11*Time!V30/12*Inputs!$F$40</f>
        <v>0.523034483161467</v>
      </c>
      <c r="W67" s="13" t="n">
        <f aca="false">Inputs!$F$160*W27/W11*Time!W30/12*Inputs!$F$40</f>
        <v>0.539594454871301</v>
      </c>
      <c r="X67" s="13" t="n">
        <f aca="false">Inputs!$F$160*X27/X11*Time!X30/12*Inputs!$F$40</f>
        <v>0.556678737447549</v>
      </c>
      <c r="Y67" s="13" t="n">
        <f aca="false">Inputs!$F$160*Y27/Y11*Time!Y30/12*Inputs!$F$40</f>
        <v>0.574303931273922</v>
      </c>
      <c r="Z67" s="13" t="n">
        <f aca="false">Inputs!$F$160*Z27/Z11*Time!Z30/12*Inputs!$F$40</f>
        <v>0.592487162324497</v>
      </c>
      <c r="AA67" s="13" t="n">
        <f aca="false">Inputs!$F$160*AA27/AA11*Time!AA30/12*Inputs!$F$40</f>
        <v>0.611246098804608</v>
      </c>
      <c r="AB67" s="13" t="n">
        <f aca="false">Inputs!$F$160*AB27/AB11*Time!AB30/12*Inputs!$F$40</f>
        <v>0.630598968318617</v>
      </c>
      <c r="AC67" s="13" t="n">
        <f aca="false">Inputs!$F$160*AC27/AC11*Time!AC30/12*Inputs!$F$40</f>
        <v>0.650564575581232</v>
      </c>
      <c r="AD67" s="13" t="n">
        <f aca="false">Inputs!$F$160*AD27/AD11*Time!AD30/12*Inputs!$F$40</f>
        <v>0.671162320689598</v>
      </c>
      <c r="AE67" s="13" t="n">
        <f aca="false">Inputs!$F$160*AE27/AE11*Time!AE30/12*Inputs!$F$40</f>
        <v>0.692412217973895</v>
      </c>
      <c r="AF67" s="13" t="n">
        <f aca="false">Inputs!$F$160*AF27/AF11*Time!AF30/12*Inputs!$F$40</f>
        <v>0.714334915444783</v>
      </c>
      <c r="AG67" s="13" t="n">
        <f aca="false">Inputs!$F$160*AG27/AG11*Time!AG30/12*Inputs!$F$40</f>
        <v>0.736951714856573</v>
      </c>
      <c r="AH67" s="13" t="n">
        <f aca="false">Inputs!$F$160*AH27/AH11*Time!AH30/12*Inputs!$F$40</f>
        <v>0.760284592405627</v>
      </c>
      <c r="AI67" s="13" t="n">
        <f aca="false">Inputs!$F$160*AI27/AI11*Time!AI30/12*Inputs!$F$40</f>
        <v>0.784356220084089</v>
      </c>
      <c r="AJ67" s="13" t="n">
        <f aca="false">Inputs!$F$160*AJ27/AJ11*Time!AJ30/12*Inputs!$F$40</f>
        <v>0.809189987709723</v>
      </c>
      <c r="AK67" s="13" t="n">
        <f aca="false">Inputs!$F$160*AK27/AK11*Time!AK30/12*Inputs!$F$40</f>
        <v>0.83481002565322</v>
      </c>
      <c r="AL67" s="13" t="n">
        <f aca="false">Inputs!$F$160*AL27/AL11*Time!AL30/12*Inputs!$F$40</f>
        <v>0.861241228285104</v>
      </c>
      <c r="AM67" s="13" t="n">
        <f aca="false">Inputs!$F$160*AM27/AM11*Time!AM30/12*Inputs!$F$40</f>
        <v>0.888509278164984</v>
      </c>
      <c r="AN67" s="13" t="n">
        <f aca="false">Inputs!$F$160*AN27/AN11*Time!AN30/12*Inputs!$F$40</f>
        <v>0.916640670996678</v>
      </c>
      <c r="AO67" s="13" t="n">
        <f aca="false">Inputs!$F$160*AO27/AO11*Time!AO30/12*Inputs!$F$40</f>
        <v>0.945662741373446</v>
      </c>
      <c r="AP67" s="13" t="n">
        <f aca="false">Inputs!$F$160*AP27/AP11*Time!AP30/12*Inputs!$F$40</f>
        <v>0.975603689338352</v>
      </c>
      <c r="AQ67" s="13" t="n">
        <f aca="false">Inputs!$F$160*AQ27/AQ11*Time!AQ30/12*Inputs!$F$40</f>
        <v>1.00649260778556</v>
      </c>
      <c r="AR67" s="13" t="n">
        <f aca="false">Inputs!$F$160*AR27/AR11*Time!AR30/12*Inputs!$F$40</f>
        <v>1.03835951072921</v>
      </c>
      <c r="AS67" s="13" t="n">
        <f aca="false">Inputs!$F$160*AS27/AS11*Time!AS30/12*Inputs!$F$40</f>
        <v>1.07123536246727</v>
      </c>
      <c r="AT67" s="13" t="n">
        <f aca="false">Inputs!$F$160*AT27/AT11*Time!AT30/12*Inputs!$F$40</f>
        <v>1.10515210766886</v>
      </c>
      <c r="AU67" s="13" t="n">
        <f aca="false">Inputs!$F$160*AU27/AU11*Time!AU30/12*Inputs!$F$40</f>
        <v>1.14014270241405</v>
      </c>
      <c r="AV67" s="13" t="n">
        <f aca="false">Inputs!$F$160*AV27/AV11*Time!AV30/12*Inputs!$F$40</f>
        <v>1.1762411462165</v>
      </c>
      <c r="AW67" s="13" t="n">
        <f aca="false">Inputs!$F$160*AW27/AW11*Time!AW30/12*Inputs!$F$40</f>
        <v>1.21348251506001</v>
      </c>
      <c r="AX67" s="13" t="n">
        <f aca="false">Inputs!$F$160*AX27/AX11*Time!AX30/12*Inputs!$F$40</f>
        <v>1.25190299548093</v>
      </c>
      <c r="AY67" s="13" t="n">
        <f aca="false">Inputs!$F$160*AY27/AY11*Time!AY30/12*Inputs!$F$40</f>
        <v>1.29153991972981</v>
      </c>
      <c r="AZ67" s="13" t="n">
        <f aca="false">Inputs!$F$160*AZ27/AZ11*Time!AZ30/12*Inputs!$F$40</f>
        <v>1.33243180204619</v>
      </c>
      <c r="BA67" s="13" t="n">
        <f aca="false">Inputs!$F$160*BA27/BA11*Time!BA30/12*Inputs!$F$40</f>
        <v>1.37461837608199</v>
      </c>
      <c r="BB67" s="13" t="n">
        <f aca="false">Inputs!$F$160*BB27/BB11*Time!BB30/12*Inputs!$F$40</f>
        <v>1.41814063350972</v>
      </c>
      <c r="BC67" s="13" t="n">
        <f aca="false">Inputs!$F$160*BC27/BC11*Time!BC30/12*Inputs!$F$40</f>
        <v>1.46304086385312</v>
      </c>
      <c r="BD67" s="13" t="n">
        <f aca="false">Inputs!$F$160*BD27/BD11*Time!BD30/12*Inputs!$F$40</f>
        <v>1.50936269557881</v>
      </c>
      <c r="BE67" s="13" t="n">
        <f aca="false">Inputs!$F$160*BE27/BE11*Time!BE30/12*Inputs!$F$40</f>
        <v>1.55715113848908</v>
      </c>
      <c r="BF67" s="13" t="n">
        <f aca="false">Inputs!$F$160*BF27/BF11*Time!BF30/12*Inputs!$F$40</f>
        <v>1.60645262745679</v>
      </c>
      <c r="BG67" s="13" t="n">
        <f aca="false">Inputs!$F$160*BG27/BG11*Time!BG30/12*Inputs!$F$40</f>
        <v>1.65731506754501</v>
      </c>
      <c r="BH67" s="13" t="n">
        <f aca="false">Inputs!$F$160*BH27/BH11*Time!BH30/12*Inputs!$F$40</f>
        <v>1.70978788055522</v>
      </c>
      <c r="BI67" s="13" t="n">
        <f aca="false">Inputs!$F$160*BI27/BI11*Time!BI30/12*Inputs!$F$40</f>
        <v>1.7639220530493</v>
      </c>
      <c r="BJ67" s="13" t="n">
        <f aca="false">Inputs!$F$160*BJ27/BJ11*Time!BJ30/12*Inputs!$F$40</f>
        <v>1.81977018589187</v>
      </c>
      <c r="BK67" s="13" t="n">
        <f aca="false">Inputs!$F$160*BK27/BK11*Time!BK30/12*Inputs!$F$40</f>
        <v>1.87738654536136</v>
      </c>
      <c r="BL67" s="13" t="n">
        <f aca="false">Inputs!$F$160*BL27/BL11*Time!BL30/12*Inputs!$F$40</f>
        <v>1.93682711587918</v>
      </c>
      <c r="BM67" s="13" t="n">
        <f aca="false">Inputs!$F$160*BM27/BM11*Time!BM30/12*Inputs!$F$40</f>
        <v>1.33209976960562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22.392228964664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0.122885999207326</v>
      </c>
      <c r="P68" s="13" t="n">
        <f aca="false">Inputs!$F$161/100*P55</f>
        <v>0.370867785932935</v>
      </c>
      <c r="Q68" s="13" t="n">
        <f aca="false">Inputs!$F$161/100*Q55</f>
        <v>0.372983531632716</v>
      </c>
      <c r="R68" s="13" t="n">
        <f aca="false">Inputs!$F$161/100*R55</f>
        <v>0.37500864671107</v>
      </c>
      <c r="S68" s="13" t="n">
        <f aca="false">Inputs!$F$161/100*S55</f>
        <v>0.377616277747879</v>
      </c>
      <c r="T68" s="13" t="n">
        <f aca="false">Inputs!$F$161/100*T55</f>
        <v>0.380564328964491</v>
      </c>
      <c r="U68" s="13" t="n">
        <f aca="false">Inputs!$F$161/100*U55</f>
        <v>0.382690801409842</v>
      </c>
      <c r="V68" s="13" t="n">
        <f aca="false">Inputs!$F$161/100*V55</f>
        <v>0.384539677544256</v>
      </c>
      <c r="W68" s="13" t="n">
        <f aca="false">Inputs!$F$161/100*W55</f>
        <v>0.387452537261977</v>
      </c>
      <c r="X68" s="13" t="n">
        <f aca="false">Inputs!$F$161/100*X55</f>
        <v>0.390829036569209</v>
      </c>
      <c r="Y68" s="13" t="n">
        <f aca="false">Inputs!$F$161/100*Y55</f>
        <v>0.393536743826231</v>
      </c>
      <c r="Z68" s="13" t="n">
        <f aca="false">Inputs!$F$161/100*Z55</f>
        <v>0.396363329673312</v>
      </c>
      <c r="AA68" s="13" t="n">
        <f aca="false">Inputs!$F$161/100*AA55</f>
        <v>0.398957040725717</v>
      </c>
      <c r="AB68" s="13" t="n">
        <f aca="false">Inputs!$F$161/100*AB55</f>
        <v>0.401432062615195</v>
      </c>
      <c r="AC68" s="13" t="n">
        <f aca="false">Inputs!$F$161/100*AC55</f>
        <v>0.403275925603571</v>
      </c>
      <c r="AD68" s="13" t="n">
        <f aca="false">Inputs!$F$161/100*AD55</f>
        <v>0.396639726162502</v>
      </c>
      <c r="AE68" s="13" t="n">
        <f aca="false">Inputs!$F$161/100*AE55</f>
        <v>0.408003369348317</v>
      </c>
      <c r="AF68" s="13" t="n">
        <f aca="false">Inputs!$F$161/100*AF55</f>
        <v>0.412990306647095</v>
      </c>
      <c r="AG68" s="13" t="n">
        <f aca="false">Inputs!$F$161/100*AG55</f>
        <v>0.415689018339542</v>
      </c>
      <c r="AH68" s="13" t="n">
        <f aca="false">Inputs!$F$161/100*AH55</f>
        <v>0.418014444577964</v>
      </c>
      <c r="AI68" s="13" t="n">
        <f aca="false">Inputs!$F$161/100*AI55</f>
        <v>0.421622057922819</v>
      </c>
      <c r="AJ68" s="13" t="n">
        <f aca="false">Inputs!$F$161/100*AJ55</f>
        <v>0.425699957344553</v>
      </c>
      <c r="AK68" s="13" t="n">
        <f aca="false">Inputs!$F$161/100*AK55</f>
        <v>0.428143998118323</v>
      </c>
      <c r="AL68" s="13" t="n">
        <f aca="false">Inputs!$F$161/100*AL55</f>
        <v>0.423550336736121</v>
      </c>
      <c r="AM68" s="13" t="n">
        <f aca="false">Inputs!$F$161/100*AM55</f>
        <v>0.434284994936832</v>
      </c>
      <c r="AN68" s="13" t="n">
        <f aca="false">Inputs!$F$161/100*AN55</f>
        <v>0.44018665499099</v>
      </c>
      <c r="AO68" s="13" t="n">
        <f aca="false">Inputs!$F$161/100*AO55</f>
        <v>0.443459172135993</v>
      </c>
      <c r="AP68" s="13" t="n">
        <f aca="false">Inputs!$F$161/100*AP55</f>
        <v>0.446350679373147</v>
      </c>
      <c r="AQ68" s="13" t="n">
        <f aca="false">Inputs!$F$161/100*AQ55</f>
        <v>0.450628434095258</v>
      </c>
      <c r="AR68" s="13" t="n">
        <f aca="false">Inputs!$F$161/100*AR55</f>
        <v>0.455441818785037</v>
      </c>
      <c r="AS68" s="13" t="n">
        <f aca="false">Inputs!$F$161/100*AS55</f>
        <v>0.458408303648014</v>
      </c>
      <c r="AT68" s="13" t="n">
        <f aca="false">Inputs!$F$161/100*AT55</f>
        <v>0.456995666671729</v>
      </c>
      <c r="AU68" s="13" t="n">
        <f aca="false">Inputs!$F$161/100*AU55</f>
        <v>0.46518278589438</v>
      </c>
      <c r="AV68" s="13" t="n">
        <f aca="false">Inputs!$F$161/100*AV55</f>
        <v>0.470879514167062</v>
      </c>
      <c r="AW68" s="13" t="n">
        <f aca="false">Inputs!$F$161/100*AW55</f>
        <v>0.475827858533835</v>
      </c>
      <c r="AX68" s="13" t="n">
        <f aca="false">Inputs!$F$161/100*AX55</f>
        <v>0.481445644513921</v>
      </c>
      <c r="AY68" s="13" t="n">
        <f aca="false">Inputs!$F$161/100*AY55</f>
        <v>0.485977976879655</v>
      </c>
      <c r="AZ68" s="13" t="n">
        <f aca="false">Inputs!$F$161/100*AZ55</f>
        <v>0.490490646923099</v>
      </c>
      <c r="BA68" s="13" t="n">
        <f aca="false">Inputs!$F$161/100*BA55</f>
        <v>0.494218634936406</v>
      </c>
      <c r="BB68" s="13" t="n">
        <f aca="false">Inputs!$F$161/100*BB55</f>
        <v>0.495095679856994</v>
      </c>
      <c r="BC68" s="13" t="n">
        <f aca="false">Inputs!$F$161/100*BC55</f>
        <v>0.503083883292053</v>
      </c>
      <c r="BD68" s="13" t="n">
        <f aca="false">Inputs!$F$161/100*BD55</f>
        <v>0.510711750269475</v>
      </c>
      <c r="BE68" s="13" t="n">
        <f aca="false">Inputs!$F$161/100*BE55</f>
        <v>0.516017315896949</v>
      </c>
      <c r="BF68" s="13" t="n">
        <f aca="false">Inputs!$F$161/100*BF55</f>
        <v>0.521408096342635</v>
      </c>
      <c r="BG68" s="13" t="n">
        <f aca="false">Inputs!$F$161/100*BG55</f>
        <v>0.526319551186003</v>
      </c>
      <c r="BH68" s="13" t="n">
        <f aca="false">Inputs!$F$161/100*BH55</f>
        <v>0.530631043586734</v>
      </c>
      <c r="BI68" s="13" t="n">
        <f aca="false">Inputs!$F$161/100*BI55</f>
        <v>0.535672528233262</v>
      </c>
      <c r="BJ68" s="13" t="n">
        <f aca="false">Inputs!$F$161/100*BJ55</f>
        <v>0.534792686485971</v>
      </c>
      <c r="BK68" s="13" t="n">
        <f aca="false">Inputs!$F$161/100*BK55</f>
        <v>0.547468432995477</v>
      </c>
      <c r="BL68" s="13" t="n">
        <f aca="false">Inputs!$F$161/100*BL55</f>
        <v>0.556546029850178</v>
      </c>
      <c r="BM68" s="13" t="n">
        <f aca="false">Inputs!$F$161/100*BM55</f>
        <v>0.375346239559948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145.124782263849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0.594403935928643</v>
      </c>
      <c r="P69" s="13" t="n">
        <f aca="false">Inputs!$F$162*(Inputs!$F$219*P21+(1-Inputs!$F$219)*P27*Inputs!$F$153/P11)*P38/1000000</f>
        <v>1.81374223192995</v>
      </c>
      <c r="Q69" s="13" t="n">
        <f aca="false">Inputs!$F$162*(Inputs!$F$219*Q21+(1-Inputs!$F$219)*Q27*Inputs!$F$153/Q11)*Q38/1000000</f>
        <v>1.83799120973747</v>
      </c>
      <c r="R69" s="13" t="n">
        <f aca="false">Inputs!$F$162*(Inputs!$F$219*R21+(1-Inputs!$F$219)*R27*Inputs!$F$153/R11)*R38/1000000</f>
        <v>1.85608983396338</v>
      </c>
      <c r="S69" s="13" t="n">
        <f aca="false">Inputs!$F$162*(Inputs!$F$219*S21+(1-Inputs!$F$219)*S27*Inputs!$F$153/S11)*S38/1000000</f>
        <v>1.90204095938663</v>
      </c>
      <c r="T69" s="13" t="n">
        <f aca="false">Inputs!$F$162*(Inputs!$F$219*T21+(1-Inputs!$F$219)*T27*Inputs!$F$153/T11)*T38/1000000</f>
        <v>1.96357608995204</v>
      </c>
      <c r="U69" s="13" t="n">
        <f aca="false">Inputs!$F$162*(Inputs!$F$219*U21+(1-Inputs!$F$219)*U27*Inputs!$F$153/U11)*U38/1000000</f>
        <v>1.98186944248652</v>
      </c>
      <c r="V69" s="13" t="n">
        <f aca="false">Inputs!$F$162*(Inputs!$F$219*V21+(1-Inputs!$F$219)*V27*Inputs!$F$153/V11)*V38/1000000</f>
        <v>1.98438142926394</v>
      </c>
      <c r="W69" s="13" t="n">
        <f aca="false">Inputs!$F$162*(Inputs!$F$219*W21+(1-Inputs!$F$219)*W27*Inputs!$F$153/W11)*W38/1000000</f>
        <v>2.0389701940118</v>
      </c>
      <c r="X69" s="13" t="n">
        <f aca="false">Inputs!$F$162*(Inputs!$F$219*X21+(1-Inputs!$F$219)*X27*Inputs!$F$153/X11)*X38/1000000</f>
        <v>2.11522939043458</v>
      </c>
      <c r="Y69" s="13" t="n">
        <f aca="false">Inputs!$F$162*(Inputs!$F$219*Y21+(1-Inputs!$F$219)*Y27*Inputs!$F$153/Y11)*Y38/1000000</f>
        <v>2.15577786509785</v>
      </c>
      <c r="Z69" s="13" t="n">
        <f aca="false">Inputs!$F$162*(Inputs!$F$219*Z21+(1-Inputs!$F$219)*Z27*Inputs!$F$153/Z11)*Z38/1000000</f>
        <v>2.20044393613984</v>
      </c>
      <c r="AA69" s="13" t="n">
        <f aca="false">Inputs!$F$162*(Inputs!$F$219*AA21+(1-Inputs!$F$219)*AA27*Inputs!$F$153/AA11)*AA38/1000000</f>
        <v>2.23136006049585</v>
      </c>
      <c r="AB69" s="13" t="n">
        <f aca="false">Inputs!$F$162*(Inputs!$F$219*AB21+(1-Inputs!$F$219)*AB27*Inputs!$F$153/AB11)*AB38/1000000</f>
        <v>2.25425379612645</v>
      </c>
      <c r="AC69" s="13" t="n">
        <f aca="false">Inputs!$F$162*(Inputs!$F$219*AC21+(1-Inputs!$F$219)*AC27*Inputs!$F$153/AC11)*AC38/1000000</f>
        <v>2.24309167499871</v>
      </c>
      <c r="AD69" s="13" t="n">
        <f aca="false">Inputs!$F$162*(Inputs!$F$219*AD21+(1-Inputs!$F$219)*AD27*Inputs!$F$153/AD11)*AD38/1000000</f>
        <v>2.17808365239205</v>
      </c>
      <c r="AE69" s="13" t="n">
        <f aca="false">Inputs!$F$162*(Inputs!$F$219*AE21+(1-Inputs!$F$219)*AE27*Inputs!$F$153/AE11)*AE38/1000000</f>
        <v>2.26704321805646</v>
      </c>
      <c r="AF69" s="13" t="n">
        <f aca="false">Inputs!$F$162*(Inputs!$F$219*AF21+(1-Inputs!$F$219)*AF27*Inputs!$F$153/AF11)*AF38/1000000</f>
        <v>2.408759397837</v>
      </c>
      <c r="AG69" s="13" t="n">
        <f aca="false">Inputs!$F$162*(Inputs!$F$219*AG21+(1-Inputs!$F$219)*AG27*Inputs!$F$153/AG11)*AG38/1000000</f>
        <v>2.43214962767613</v>
      </c>
      <c r="AH69" s="13" t="n">
        <f aca="false">Inputs!$F$162*(Inputs!$F$219*AH21+(1-Inputs!$F$219)*AH27*Inputs!$F$153/AH11)*AH38/1000000</f>
        <v>2.43425153758927</v>
      </c>
      <c r="AI69" s="13" t="n">
        <f aca="false">Inputs!$F$162*(Inputs!$F$219*AI21+(1-Inputs!$F$219)*AI27*Inputs!$F$153/AI11)*AI38/1000000</f>
        <v>2.49902087388884</v>
      </c>
      <c r="AJ69" s="13" t="n">
        <f aca="false">Inputs!$F$162*(Inputs!$F$219*AJ21+(1-Inputs!$F$219)*AJ27*Inputs!$F$153/AJ11)*AJ38/1000000</f>
        <v>2.58521729916497</v>
      </c>
      <c r="AK69" s="13" t="n">
        <f aca="false">Inputs!$F$162*(Inputs!$F$219*AK21+(1-Inputs!$F$219)*AK27*Inputs!$F$153/AK11)*AK38/1000000</f>
        <v>2.58593480892506</v>
      </c>
      <c r="AL69" s="13" t="n">
        <f aca="false">Inputs!$F$162*(Inputs!$F$219*AL21+(1-Inputs!$F$219)*AL27*Inputs!$F$153/AL11)*AL38/1000000</f>
        <v>2.53693689489018</v>
      </c>
      <c r="AM69" s="13" t="n">
        <f aca="false">Inputs!$F$162*(Inputs!$F$219*AM21+(1-Inputs!$F$219)*AM27*Inputs!$F$153/AM11)*AM38/1000000</f>
        <v>2.64311929380906</v>
      </c>
      <c r="AN69" s="13" t="n">
        <f aca="false">Inputs!$F$162*(Inputs!$F$219*AN21+(1-Inputs!$F$219)*AN27*Inputs!$F$153/AN11)*AN38/1000000</f>
        <v>2.81151692356041</v>
      </c>
      <c r="AO69" s="13" t="n">
        <f aca="false">Inputs!$F$162*(Inputs!$F$219*AO21+(1-Inputs!$F$219)*AO27*Inputs!$F$153/AO11)*AO38/1000000</f>
        <v>2.8435229940479</v>
      </c>
      <c r="AP69" s="13" t="n">
        <f aca="false">Inputs!$F$162*(Inputs!$F$219*AP21+(1-Inputs!$F$219)*AP27*Inputs!$F$153/AP11)*AP38/1000000</f>
        <v>2.85326992210562</v>
      </c>
      <c r="AQ69" s="13" t="n">
        <f aca="false">Inputs!$F$162*(Inputs!$F$219*AQ21+(1-Inputs!$F$219)*AQ27*Inputs!$F$153/AQ11)*AQ38/1000000</f>
        <v>2.93054137014984</v>
      </c>
      <c r="AR69" s="13" t="n">
        <f aca="false">Inputs!$F$162*(Inputs!$F$219*AR21+(1-Inputs!$F$219)*AR27*Inputs!$F$153/AR11)*AR38/1000000</f>
        <v>3.03203676804665</v>
      </c>
      <c r="AS69" s="13" t="n">
        <f aca="false">Inputs!$F$162*(Inputs!$F$219*AS21+(1-Inputs!$F$219)*AS27*Inputs!$F$153/AS11)*AS38/1000000</f>
        <v>3.03646624850352</v>
      </c>
      <c r="AT69" s="13" t="n">
        <f aca="false">Inputs!$F$162*(Inputs!$F$219*AT21+(1-Inputs!$F$219)*AT27*Inputs!$F$153/AT11)*AT38/1000000</f>
        <v>2.98370576626155</v>
      </c>
      <c r="AU69" s="13" t="n">
        <f aca="false">Inputs!$F$162*(Inputs!$F$219*AU21+(1-Inputs!$F$219)*AU27*Inputs!$F$153/AU11)*AU38/1000000</f>
        <v>3.07839805425176</v>
      </c>
      <c r="AV69" s="13" t="n">
        <f aca="false">Inputs!$F$162*(Inputs!$F$219*AV21+(1-Inputs!$F$219)*AV27*Inputs!$F$153/AV11)*AV38/1000000</f>
        <v>3.21191076118019</v>
      </c>
      <c r="AW69" s="13" t="n">
        <f aca="false">Inputs!$F$162*(Inputs!$F$219*AW21+(1-Inputs!$F$219)*AW27*Inputs!$F$153/AW11)*AW38/1000000</f>
        <v>3.30387493831096</v>
      </c>
      <c r="AX69" s="13" t="n">
        <f aca="false">Inputs!$F$162*(Inputs!$F$219*AX21+(1-Inputs!$F$219)*AX27*Inputs!$F$153/AX11)*AX38/1000000</f>
        <v>3.42639351715416</v>
      </c>
      <c r="AY69" s="13" t="n">
        <f aca="false">Inputs!$F$162*(Inputs!$F$219*AY21+(1-Inputs!$F$219)*AY27*Inputs!$F$153/AY11)*AY38/1000000</f>
        <v>3.48997048745865</v>
      </c>
      <c r="AZ69" s="13" t="n">
        <f aca="false">Inputs!$F$162*(Inputs!$F$219*AZ21+(1-Inputs!$F$219)*AZ27*Inputs!$F$153/AZ11)*AZ38/1000000</f>
        <v>3.54878305450837</v>
      </c>
      <c r="BA69" s="13" t="n">
        <f aca="false">Inputs!$F$162*(Inputs!$F$219*BA21+(1-Inputs!$F$219)*BA27*Inputs!$F$153/BA11)*BA38/1000000</f>
        <v>3.563723732256</v>
      </c>
      <c r="BB69" s="13" t="n">
        <f aca="false">Inputs!$F$162*(Inputs!$F$219*BB21+(1-Inputs!$F$219)*BB27*Inputs!$F$153/BB11)*BB38/1000000</f>
        <v>3.51890531987685</v>
      </c>
      <c r="BC69" s="13" t="n">
        <f aca="false">Inputs!$F$162*(Inputs!$F$219*BC21+(1-Inputs!$F$219)*BC27*Inputs!$F$153/BC11)*BC38/1000000</f>
        <v>3.65337785409151</v>
      </c>
      <c r="BD69" s="13" t="n">
        <f aca="false">Inputs!$F$162*(Inputs!$F$219*BD21+(1-Inputs!$F$219)*BD27*Inputs!$F$153/BD11)*BD38/1000000</f>
        <v>3.85496005863934</v>
      </c>
      <c r="BE69" s="13" t="n">
        <f aca="false">Inputs!$F$162*(Inputs!$F$219*BE21+(1-Inputs!$F$219)*BE27*Inputs!$F$153/BE11)*BE38/1000000</f>
        <v>3.93378705241136</v>
      </c>
      <c r="BF69" s="13" t="n">
        <f aca="false">Inputs!$F$162*(Inputs!$F$219*BF21+(1-Inputs!$F$219)*BF27*Inputs!$F$153/BF11)*BF38/1000000</f>
        <v>4.0125327513512</v>
      </c>
      <c r="BG69" s="13" t="n">
        <f aca="false">Inputs!$F$162*(Inputs!$F$219*BG21+(1-Inputs!$F$219)*BG27*Inputs!$F$153/BG11)*BG38/1000000</f>
        <v>4.06225130444153</v>
      </c>
      <c r="BH69" s="13" t="n">
        <f aca="false">Inputs!$F$162*(Inputs!$F$219*BH21+(1-Inputs!$F$219)*BH27*Inputs!$F$153/BH11)*BH38/1000000</f>
        <v>4.07663364275615</v>
      </c>
      <c r="BI69" s="13" t="n">
        <f aca="false">Inputs!$F$162*(Inputs!$F$219*BI21+(1-Inputs!$F$219)*BI27*Inputs!$F$153/BI11)*BI38/1000000</f>
        <v>4.1234548820876</v>
      </c>
      <c r="BJ69" s="13" t="n">
        <f aca="false">Inputs!$F$162*(Inputs!$F$219*BJ21+(1-Inputs!$F$219)*BJ27*Inputs!$F$153/BJ11)*BJ38/1000000</f>
        <v>4.12955717695289</v>
      </c>
      <c r="BK69" s="13" t="n">
        <f aca="false">Inputs!$F$162*(Inputs!$F$219*BK21+(1-Inputs!$F$219)*BK27*Inputs!$F$153/BK11)*BK38/1000000</f>
        <v>4.289583717522</v>
      </c>
      <c r="BL69" s="13" t="n">
        <f aca="false">Inputs!$F$162*(Inputs!$F$219*BL21+(1-Inputs!$F$219)*BL27*Inputs!$F$153/BL11)*BL38/1000000</f>
        <v>4.52739263415896</v>
      </c>
      <c r="BM69" s="13" t="n">
        <f aca="false">Inputs!$F$162*(Inputs!$F$219*BM21+(1-Inputs!$F$219)*BM27*Inputs!$F$153/BM11)*BM38/1000000</f>
        <v>3.08449267758093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1275.55538489105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5.50826944360905</v>
      </c>
      <c r="P72" s="13" t="n">
        <f aca="false">P60+P61+P62+P64+P65+P66+P67+P68+P69+P70+P71</f>
        <v>16.7737825366395</v>
      </c>
      <c r="Q72" s="13" t="n">
        <f aca="false">Q60+Q61+Q62+Q64+Q65+Q66+Q67+Q68+Q69+Q70+Q71</f>
        <v>16.9848464954071</v>
      </c>
      <c r="R72" s="13" t="n">
        <f aca="false">R60+R61+R62+R64+R65+R66+R67+R68+R69+R70+R71</f>
        <v>17.1570671933171</v>
      </c>
      <c r="S72" s="13" t="n">
        <f aca="false">S60+S61+S62+S64+S65+S66+S67+S68+S69+S70+S71</f>
        <v>17.5109213196313</v>
      </c>
      <c r="T72" s="13" t="n">
        <f aca="false">T60+T61+T62+T64+T65+T66+T67+T68+T69+T70+T71</f>
        <v>17.9648064798605</v>
      </c>
      <c r="U72" s="13" t="n">
        <f aca="false">U60+U61+U62+U64+U65+U66+U67+U68+U69+U70+U71</f>
        <v>18.1409778471665</v>
      </c>
      <c r="V72" s="13" t="n">
        <f aca="false">V60+V61+V62+V64+V65+V66+V67+V68+V69+V70+V71</f>
        <v>18.2186360473106</v>
      </c>
      <c r="W72" s="13" t="n">
        <f aca="false">W60+W61+W62+W64+W65+W66+W67+W68+W69+W70+W71</f>
        <v>18.6288548618221</v>
      </c>
      <c r="X72" s="13" t="n">
        <f aca="false">X60+X61+X62+X64+X65+X66+X67+X68+X69+X70+X71</f>
        <v>19.1464250456404</v>
      </c>
      <c r="Y72" s="13" t="n">
        <f aca="false">Y60+Y61+Y62+Y64+Y65+Y66+Y67+Y68+Y69+Y70+Y71</f>
        <v>19.4508280068367</v>
      </c>
      <c r="Z72" s="13" t="n">
        <f aca="false">Z60+Z61+Z62+Z64+Z65+Z66+Z67+Z68+Z69+Z70+Z71</f>
        <v>19.764926864877</v>
      </c>
      <c r="AA72" s="13" t="n">
        <f aca="false">AA60+AA61+AA62+AA64+AA65+AA66+AA67+AA68+AA69+AA70+AA71</f>
        <v>20.0706444468244</v>
      </c>
      <c r="AB72" s="13" t="n">
        <f aca="false">AB60+AB61+AB62+AB64+AB65+AB66+AB67+AB68+AB69+AB70+AB71</f>
        <v>20.3208169006134</v>
      </c>
      <c r="AC72" s="13" t="n">
        <f aca="false">AC60+AC61+AC62+AC64+AC65+AC66+AC67+AC68+AC69+AC70+AC71</f>
        <v>20.330002951082</v>
      </c>
      <c r="AD72" s="13" t="n">
        <f aca="false">AD60+AD61+AD62+AD64+AD65+AD66+AD67+AD68+AD69+AD70+AD71</f>
        <v>20.1168338912183</v>
      </c>
      <c r="AE72" s="13" t="n">
        <f aca="false">AE60+AE61+AE62+AE64+AE65+AE66+AE67+AE68+AE69+AE70+AE71</f>
        <v>20.643042320634</v>
      </c>
      <c r="AF72" s="13" t="n">
        <f aca="false">AF60+AF61+AF62+AF64+AF65+AF66+AF67+AF68+AF69+AF70+AF71</f>
        <v>21.5839040067091</v>
      </c>
      <c r="AG72" s="13" t="n">
        <f aca="false">AG60+AG61+AG62+AG64+AG65+AG66+AG67+AG68+AG69+AG70+AG71</f>
        <v>21.8128518048409</v>
      </c>
      <c r="AH72" s="13" t="n">
        <f aca="false">AH60+AH61+AH62+AH64+AH65+AH66+AH67+AH68+AH69+AH70+AH71</f>
        <v>21.9186249493616</v>
      </c>
      <c r="AI72" s="13" t="n">
        <f aca="false">AI60+AI61+AI62+AI64+AI65+AI66+AI67+AI68+AI69+AI70+AI71</f>
        <v>22.3985016562196</v>
      </c>
      <c r="AJ72" s="13" t="n">
        <f aca="false">AJ60+AJ61+AJ62+AJ64+AJ65+AJ66+AJ67+AJ68+AJ69+AJ70+AJ71</f>
        <v>23.0041321121626</v>
      </c>
      <c r="AK72" s="13" t="n">
        <f aca="false">AK60+AK61+AK62+AK64+AK65+AK66+AK67+AK68+AK69+AK70+AK71</f>
        <v>23.1113490638312</v>
      </c>
      <c r="AL72" s="13" t="n">
        <f aca="false">AL60+AL61+AL62+AL64+AL65+AL66+AL67+AL68+AL69+AL70+AL71</f>
        <v>22.9917480692794</v>
      </c>
      <c r="AM72" s="13" t="n">
        <f aca="false">AM60+AM61+AM62+AM64+AM65+AM66+AM67+AM68+AM69+AM70+AM71</f>
        <v>23.6624940274923</v>
      </c>
      <c r="AN72" s="13" t="n">
        <f aca="false">AN60+AN61+AN62+AN64+AN65+AN66+AN67+AN68+AN69+AN70+AN71</f>
        <v>24.7408723684298</v>
      </c>
      <c r="AO72" s="13" t="n">
        <f aca="false">AO60+AO61+AO62+AO64+AO65+AO66+AO67+AO68+AO69+AO70+AO71</f>
        <v>25.0399009435354</v>
      </c>
      <c r="AP72" s="13" t="n">
        <f aca="false">AP60+AP61+AP62+AP64+AP65+AP66+AP67+AP68+AP69+AP70+AP71</f>
        <v>25.2176000447684</v>
      </c>
      <c r="AQ72" s="13" t="n">
        <f aca="false">AQ60+AQ61+AQ62+AQ64+AQ65+AQ66+AQ67+AQ68+AQ69+AQ70+AQ71</f>
        <v>25.7783815106186</v>
      </c>
      <c r="AR72" s="13" t="n">
        <f aca="false">AR60+AR61+AR62+AR64+AR65+AR66+AR67+AR68+AR69+AR70+AR71</f>
        <v>26.4743728511939</v>
      </c>
      <c r="AS72" s="13" t="n">
        <f aca="false">AS60+AS61+AS62+AS64+AS65+AS66+AS67+AS68+AS69+AS70+AS71</f>
        <v>26.6347904358895</v>
      </c>
      <c r="AT72" s="13" t="n">
        <f aca="false">AT60+AT61+AT62+AT64+AT65+AT66+AT67+AT68+AT69+AT70+AT71</f>
        <v>26.4860467020816</v>
      </c>
      <c r="AU72" s="13" t="n">
        <f aca="false">AU60+AU61+AU62+AU64+AU65+AU66+AU67+AU68+AU69+AU70+AU71</f>
        <v>27.1563906550211</v>
      </c>
      <c r="AV72" s="13" t="n">
        <f aca="false">AV60+AV61+AV62+AV64+AV65+AV66+AV67+AV68+AV69+AV70+AV71</f>
        <v>28.03309833492</v>
      </c>
      <c r="AW72" s="13" t="n">
        <f aca="false">AW60+AW61+AW62+AW64+AW65+AW66+AW67+AW68+AW69+AW70+AW71</f>
        <v>28.6850455237557</v>
      </c>
      <c r="AX72" s="13" t="n">
        <f aca="false">AX60+AX61+AX62+AX64+AX65+AX66+AX67+AX68+AX69+AX70+AX71</f>
        <v>29.5004296176495</v>
      </c>
      <c r="AY72" s="13" t="n">
        <f aca="false">AY60+AY61+AY62+AY64+AY65+AY66+AY67+AY68+AY69+AY70+AY71</f>
        <v>30.0040355550344</v>
      </c>
      <c r="AZ72" s="13" t="n">
        <f aca="false">AZ60+AZ61+AZ62+AZ64+AZ65+AZ66+AZ67+AZ68+AZ69+AZ70+AZ71</f>
        <v>30.4866585036159</v>
      </c>
      <c r="BA72" s="13" t="n">
        <f aca="false">BA60+BA61+BA62+BA64+BA65+BA66+BA67+BA68+BA69+BA70+BA71</f>
        <v>30.7460872203568</v>
      </c>
      <c r="BB72" s="13" t="n">
        <f aca="false">BB60+BB61+BB62+BB64+BB65+BB66+BB67+BB68+BB69+BB70+BB71</f>
        <v>30.704248729171</v>
      </c>
      <c r="BC72" s="13" t="n">
        <f aca="false">BC60+BC61+BC62+BC64+BC65+BC66+BC67+BC68+BC69+BC70+BC71</f>
        <v>31.5962480812465</v>
      </c>
      <c r="BD72" s="13" t="n">
        <f aca="false">BD60+BD61+BD62+BD64+BD65+BD66+BD67+BD68+BD69+BD70+BD71</f>
        <v>32.8265699197959</v>
      </c>
      <c r="BE72" s="13" t="n">
        <f aca="false">BE60+BE61+BE62+BE64+BE65+BE66+BE67+BE68+BE69+BE70+BE71</f>
        <v>33.4335741032235</v>
      </c>
      <c r="BF72" s="13" t="n">
        <f aca="false">BF60+BF61+BF62+BF64+BF65+BF66+BF67+BF68+BF69+BF70+BF71</f>
        <v>34.0449164280454</v>
      </c>
      <c r="BG72" s="13" t="n">
        <f aca="false">BG60+BG61+BG62+BG64+BG65+BG66+BG67+BG68+BG69+BG70+BG71</f>
        <v>34.5175910882392</v>
      </c>
      <c r="BH72" s="13" t="n">
        <f aca="false">BH60+BH61+BH62+BH64+BH65+BH66+BH67+BH68+BH69+BH70+BH71</f>
        <v>34.8244614519129</v>
      </c>
      <c r="BI72" s="13" t="n">
        <f aca="false">BI60+BI61+BI62+BI64+BI65+BI66+BI67+BI68+BI69+BI70+BI71</f>
        <v>35.3005033850381</v>
      </c>
      <c r="BJ72" s="13" t="n">
        <f aca="false">BJ60+BJ61+BJ62+BJ64+BJ65+BJ66+BJ67+BJ68+BJ69+BJ70+BJ71</f>
        <v>35.5875163738557</v>
      </c>
      <c r="BK72" s="13" t="n">
        <f aca="false">BK60+BK61+BK62+BK64+BK65+BK66+BK67+BK68+BK69+BK70+BK71</f>
        <v>36.6272218387035</v>
      </c>
      <c r="BL72" s="13" t="n">
        <f aca="false">BL60+BL61+BL62+BL64+BL65+BL66+BL67+BL68+BL69+BL70+BL71</f>
        <v>38.0364374973652</v>
      </c>
      <c r="BM72" s="13" t="n">
        <f aca="false">BM60+BM61+BM62+BM64+BM65+BM66+BM67+BM68+BM69+BM70+BM71</f>
        <v>25.8570973851951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4031.67863320397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21.1467869978598</v>
      </c>
      <c r="P73" s="13" t="n">
        <f aca="false">P42*P41/1000000</f>
        <v>63.4348236373987</v>
      </c>
      <c r="Q73" s="13" t="n">
        <f aca="false">Q42*Q41/1000000</f>
        <v>64.4666922786381</v>
      </c>
      <c r="R73" s="13" t="n">
        <f aca="false">R42*R41/1000000</f>
        <v>64.001589608558</v>
      </c>
      <c r="S73" s="13" t="n">
        <f aca="false">S42*S41/1000000</f>
        <v>65.7614749781439</v>
      </c>
      <c r="T73" s="13" t="n">
        <f aca="false">T42*T41/1000000</f>
        <v>66.7296462879733</v>
      </c>
      <c r="U73" s="13" t="n">
        <f aca="false">U42*U41/1000000</f>
        <v>67.518862763657</v>
      </c>
      <c r="V73" s="13" t="n">
        <f aca="false">V42*V41/1000000</f>
        <v>66.4374889128771</v>
      </c>
      <c r="W73" s="13" t="n">
        <f aca="false">W42*W41/1000000</f>
        <v>68.4220368469738</v>
      </c>
      <c r="X73" s="13" t="n">
        <f aca="false">X42*X41/1000000</f>
        <v>69.7426051261119</v>
      </c>
      <c r="Y73" s="13" t="n">
        <f aca="false">Y42*Y41/1000000</f>
        <v>71.2293354439327</v>
      </c>
      <c r="Z73" s="13" t="n">
        <f aca="false">Z42*Z41/1000000</f>
        <v>71.4228921872469</v>
      </c>
      <c r="AA73" s="13" t="n">
        <f aca="false">AA42*AA41/1000000</f>
        <v>72.5649993488952</v>
      </c>
      <c r="AB73" s="13" t="n">
        <f aca="false">AB42*AB41/1000000</f>
        <v>72.0026344194449</v>
      </c>
      <c r="AC73" s="13" t="n">
        <f aca="false">AC42*AC41/1000000</f>
        <v>71.7692482370072</v>
      </c>
      <c r="AD73" s="13" t="n">
        <f aca="false">AD42*AD41/1000000</f>
        <v>68.4335304550078</v>
      </c>
      <c r="AE73" s="13" t="n">
        <f aca="false">AE42*AE41/1000000</f>
        <v>71.3369570748194</v>
      </c>
      <c r="AF73" s="13" t="n">
        <f aca="false">AF42*AF41/1000000</f>
        <v>74.4158492412512</v>
      </c>
      <c r="AG73" s="13" t="n">
        <f aca="false">AG42*AG41/1000000</f>
        <v>75.2378830482957</v>
      </c>
      <c r="AH73" s="13" t="n">
        <f aca="false">AH42*AH41/1000000</f>
        <v>73.916687616409</v>
      </c>
      <c r="AI73" s="13" t="n">
        <f aca="false">AI42*AI41/1000000</f>
        <v>75.9686462258519</v>
      </c>
      <c r="AJ73" s="13" t="n">
        <f aca="false">AJ42*AJ41/1000000</f>
        <v>77.1267828992672</v>
      </c>
      <c r="AK73" s="13" t="n">
        <f aca="false">AK42*AK41/1000000</f>
        <v>77.2192886183187</v>
      </c>
      <c r="AL73" s="13" t="n">
        <f aca="false">AL42*AL41/1000000</f>
        <v>74.3316672360037</v>
      </c>
      <c r="AM73" s="13" t="n">
        <f aca="false">AM42*AM41/1000000</f>
        <v>77.4984652999717</v>
      </c>
      <c r="AN73" s="13" t="n">
        <f aca="false">AN42*AN41/1000000</f>
        <v>80.869517053447</v>
      </c>
      <c r="AO73" s="13" t="n">
        <f aca="false">AO42*AO41/1000000</f>
        <v>81.8322740224227</v>
      </c>
      <c r="AP73" s="13" t="n">
        <f aca="false">AP42*AP41/1000000</f>
        <v>80.535977874438</v>
      </c>
      <c r="AQ73" s="13" t="n">
        <f aca="false">AQ42*AQ41/1000000</f>
        <v>82.742733652906</v>
      </c>
      <c r="AR73" s="13" t="n">
        <f aca="false">AR42*AR41/1000000</f>
        <v>83.947294615018</v>
      </c>
      <c r="AS73" s="13" t="n">
        <f aca="false">AS42*AS41/1000000</f>
        <v>84.0788001003432</v>
      </c>
      <c r="AT73" s="13" t="n">
        <f aca="false">AT42*AT41/1000000</f>
        <v>80.9981337106176</v>
      </c>
      <c r="AU73" s="13" t="n">
        <f aca="false">AU42*AU41/1000000</f>
        <v>83.5603443074802</v>
      </c>
      <c r="AV73" s="13" t="n">
        <f aca="false">AV42*AV41/1000000</f>
        <v>85.4575439201889</v>
      </c>
      <c r="AW73" s="13" t="n">
        <f aca="false">AW42*AW41/1000000</f>
        <v>87.8774405890921</v>
      </c>
      <c r="AX73" s="13" t="n">
        <f aca="false">AX42*AX41/1000000</f>
        <v>89.3126354389566</v>
      </c>
      <c r="AY73" s="13" t="n">
        <f aca="false">AY42*AY41/1000000</f>
        <v>90.9231788066188</v>
      </c>
      <c r="AZ73" s="13" t="n">
        <f aca="false">AZ42*AZ41/1000000</f>
        <v>90.5867070053733</v>
      </c>
      <c r="BA73" s="13" t="n">
        <f aca="false">BA42*BA41/1000000</f>
        <v>90.9026478970297</v>
      </c>
      <c r="BB73" s="13" t="n">
        <f aca="false">BB42*BB41/1000000</f>
        <v>87.9270601711689</v>
      </c>
      <c r="BC73" s="13" t="n">
        <f aca="false">BC42*BC41/1000000</f>
        <v>91.2026325919079</v>
      </c>
      <c r="BD73" s="13" t="n">
        <f aca="false">BD42*BD41/1000000</f>
        <v>94.2509001400496</v>
      </c>
      <c r="BE73" s="13" t="n">
        <f aca="false">BE42*BE41/1000000</f>
        <v>96.0693211070116</v>
      </c>
      <c r="BF73" s="13" t="n">
        <f aca="false">BF42*BF41/1000000</f>
        <v>95.9523971189035</v>
      </c>
      <c r="BG73" s="13" t="n">
        <f aca="false">BG42*BG41/1000000</f>
        <v>97.0114285690886</v>
      </c>
      <c r="BH73" s="13" t="n">
        <f aca="false">BH42*BH41/1000000</f>
        <v>95.3085589981507</v>
      </c>
      <c r="BI73" s="13" t="n">
        <f aca="false">BI42*BI41/1000000</f>
        <v>96.2545394155027</v>
      </c>
      <c r="BJ73" s="13" t="n">
        <f aca="false">BJ42*BJ41/1000000</f>
        <v>94.3514540753663</v>
      </c>
      <c r="BK73" s="13" t="n">
        <f aca="false">BK42*BK41/1000000</f>
        <v>97.8365711614233</v>
      </c>
      <c r="BL73" s="13" t="n">
        <f aca="false">BL42*BL41/1000000</f>
        <v>101.048710162795</v>
      </c>
      <c r="BM73" s="13" t="n">
        <f aca="false">BM42*BM41/1000000</f>
        <v>68.7029559087508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5052.53776935249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26.4632908761893</v>
      </c>
      <c r="P74" s="13" t="n">
        <f aca="false">P73+P52+P53+P54</f>
        <v>79.8124445349774</v>
      </c>
      <c r="Q74" s="13" t="n">
        <f aca="false">Q73+Q52+Q53+Q54</f>
        <v>80.0408000160842</v>
      </c>
      <c r="R74" s="13" t="n">
        <f aca="false">R73+R52+R53+R54</f>
        <v>81.3186863556727</v>
      </c>
      <c r="S74" s="13" t="n">
        <f aca="false">S73+S52+S53+S54</f>
        <v>81.5740719842666</v>
      </c>
      <c r="T74" s="13" t="n">
        <f aca="false">T73+T52+T53+T54</f>
        <v>82.9222751945345</v>
      </c>
      <c r="U74" s="13" t="n">
        <f aca="false">U73+U52+U53+U54</f>
        <v>83.5983929220307</v>
      </c>
      <c r="V74" s="13" t="n">
        <f aca="false">V73+V52+V53+V54</f>
        <v>84.4596556782897</v>
      </c>
      <c r="W74" s="13" t="n">
        <f aca="false">W73+W52+W53+W54</f>
        <v>84.7299117815271</v>
      </c>
      <c r="X74" s="13" t="n">
        <f aca="false">X73+X52+X53+X54</f>
        <v>86.1401174653902</v>
      </c>
      <c r="Y74" s="13" t="n">
        <f aca="false">Y73+Y52+Y53+Y54</f>
        <v>86.3985529102094</v>
      </c>
      <c r="Z74" s="13" t="n">
        <f aca="false">Z73+Z52+Z53+Z54</f>
        <v>87.7998038188543</v>
      </c>
      <c r="AA74" s="13" t="n">
        <f aca="false">AA73+AA52+AA53+AA54</f>
        <v>88.0516680302906</v>
      </c>
      <c r="AB74" s="13" t="n">
        <f aca="false">AB73+AB52+AB53+AB54</f>
        <v>89.4563336631307</v>
      </c>
      <c r="AC74" s="13" t="n">
        <f aca="false">AC73+AC52+AC53+AC54</f>
        <v>90.1533487654909</v>
      </c>
      <c r="AD74" s="13" t="n">
        <f aca="false">AD73+AD52+AD53+AD54</f>
        <v>91.0167313923365</v>
      </c>
      <c r="AE74" s="13" t="n">
        <f aca="false">AE73+AE52+AE53+AE54</f>
        <v>91.3322912321473</v>
      </c>
      <c r="AF74" s="13" t="n">
        <f aca="false">AF73+AF52+AF53+AF54</f>
        <v>92.9043414996109</v>
      </c>
      <c r="AG74" s="13" t="n">
        <f aca="false">AG73+AG52+AG53+AG54</f>
        <v>93.1598266827211</v>
      </c>
      <c r="AH74" s="13" t="n">
        <f aca="false">AH73+AH52+AH53+AH54</f>
        <v>94.6254102095435</v>
      </c>
      <c r="AI74" s="13" t="n">
        <f aca="false">AI73+AI52+AI53+AI54</f>
        <v>94.9232439135327</v>
      </c>
      <c r="AJ74" s="13" t="n">
        <f aca="false">AJ73+AJ52+AJ53+AJ54</f>
        <v>96.4934848905614</v>
      </c>
      <c r="AK74" s="13" t="n">
        <f aca="false">AK73+AK52+AK53+AK54</f>
        <v>97.2578540000038</v>
      </c>
      <c r="AL74" s="13" t="n">
        <f aca="false">AL73+AL52+AL53+AL54</f>
        <v>98.2135362250823</v>
      </c>
      <c r="AM74" s="13" t="n">
        <f aca="false">AM73+AM52+AM53+AM54</f>
        <v>98.554550240556</v>
      </c>
      <c r="AN74" s="13" t="n">
        <f aca="false">AN73+AN52+AN53+AN54</f>
        <v>100.250896282023</v>
      </c>
      <c r="AO74" s="13" t="n">
        <f aca="false">AO73+AO52+AO53+AO54</f>
        <v>100.529711135623</v>
      </c>
      <c r="AP74" s="13" t="n">
        <f aca="false">AP73+AP52+AP53+AP54</f>
        <v>102.116445813821</v>
      </c>
      <c r="AQ74" s="13" t="n">
        <f aca="false">AQ73+AQ52+AQ53+AQ54</f>
        <v>102.437673195907</v>
      </c>
      <c r="AR74" s="13" t="n">
        <f aca="false">AR73+AR52+AR53+AR54</f>
        <v>104.130558470683</v>
      </c>
      <c r="AS74" s="13" t="n">
        <f aca="false">AS73+AS52+AS53+AS54</f>
        <v>104.957866253355</v>
      </c>
      <c r="AT74" s="13" t="n">
        <f aca="false">AT73+AT52+AT53+AT54</f>
        <v>105.992398683751</v>
      </c>
      <c r="AU74" s="13" t="n">
        <f aca="false">AU73+AU52+AU53+AU54</f>
        <v>106.33454534622</v>
      </c>
      <c r="AV74" s="13" t="n">
        <f aca="false">AV73+AV52+AV53+AV54</f>
        <v>108.112123811076</v>
      </c>
      <c r="AW74" s="13" t="n">
        <f aca="false">AW73+AW52+AW53+AW54</f>
        <v>108.45480604174</v>
      </c>
      <c r="AX74" s="13" t="n">
        <f aca="false">AX73+AX52+AX53+AX54</f>
        <v>110.251772446187</v>
      </c>
      <c r="AY74" s="13" t="n">
        <f aca="false">AY73+AY52+AY53+AY54</f>
        <v>110.575734365201</v>
      </c>
      <c r="AZ74" s="13" t="n">
        <f aca="false">AZ73+AZ52+AZ53+AZ54</f>
        <v>112.35457013538</v>
      </c>
      <c r="BA74" s="13" t="n">
        <f aca="false">BA73+BA52+BA53+BA54</f>
        <v>113.254157785723</v>
      </c>
      <c r="BB74" s="13" t="n">
        <f aca="false">BB73+BB52+BB53+BB54</f>
        <v>114.383047263768</v>
      </c>
      <c r="BC74" s="13" t="n">
        <f aca="false">BC73+BC52+BC53+BC54</f>
        <v>114.767026969689</v>
      </c>
      <c r="BD74" s="13" t="n">
        <f aca="false">BD73+BD52+BD53+BD54</f>
        <v>116.713740627864</v>
      </c>
      <c r="BE74" s="13" t="n">
        <f aca="false">BE73+BE52+BE53+BE54</f>
        <v>117.060581242235</v>
      </c>
      <c r="BF74" s="13" t="n">
        <f aca="false">BF73+BF52+BF53+BF54</f>
        <v>118.951558246534</v>
      </c>
      <c r="BG74" s="13" t="n">
        <f aca="false">BG73+BG52+BG53+BG54</f>
        <v>119.282468243978</v>
      </c>
      <c r="BH74" s="13" t="n">
        <f aca="false">BH73+BH52+BH53+BH54</f>
        <v>121.16458886496</v>
      </c>
      <c r="BI74" s="13" t="n">
        <f aca="false">BI73+BI52+BI53+BI54</f>
        <v>122.154773960558</v>
      </c>
      <c r="BJ74" s="13" t="n">
        <f aca="false">BJ73+BJ52+BJ53+BJ54</f>
        <v>123.412648701631</v>
      </c>
      <c r="BK74" s="13" t="n">
        <f aca="false">BK73+BK52+BK53+BK54</f>
        <v>123.825443225951</v>
      </c>
      <c r="BL74" s="13" t="n">
        <f aca="false">BL73+BL52+BL53+BL54</f>
        <v>125.922961207707</v>
      </c>
      <c r="BM74" s="13" t="n">
        <f aca="false">BM73+BM52+BM53+BM54</f>
        <v>83.7450467478959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0.126717991213169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0.112045410533401</v>
      </c>
      <c r="Q75" s="13" t="n">
        <f aca="false">SUMIFS(Construction!$J$38:$BJ$38,Construction!$J$12:$BJ$12,Time!Q20,Construction!$J$8:$BJ$8,"&gt;"&amp;Time!$F$14)</f>
        <v>0.0146725806797689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6398.98712758228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31.9715603197984</v>
      </c>
      <c r="P83" s="13" t="n">
        <f aca="false">P72+P74+P75+P76+P79+P82</f>
        <v>96.6982724821503</v>
      </c>
      <c r="Q83" s="13" t="n">
        <f aca="false">Q72+Q74+Q75+Q76+Q79+Q82</f>
        <v>97.0403190921711</v>
      </c>
      <c r="R83" s="13" t="n">
        <f aca="false">R72+R74+R75+R76+R79+R82</f>
        <v>98.4757535489897</v>
      </c>
      <c r="S83" s="13" t="n">
        <f aca="false">S72+S74+S75+S76+S79+S82</f>
        <v>99.0849933038979</v>
      </c>
      <c r="T83" s="13" t="n">
        <f aca="false">T72+T74+T75+T76+T79+T82</f>
        <v>100.887081674395</v>
      </c>
      <c r="U83" s="13" t="n">
        <f aca="false">U72+U74+U75+U76+U79+U82</f>
        <v>101.739370769197</v>
      </c>
      <c r="V83" s="13" t="n">
        <f aca="false">V72+V74+V75+V76+V79+V82</f>
        <v>105.175901540329</v>
      </c>
      <c r="W83" s="13" t="n">
        <f aca="false">W72+W74+W75+W76+W79+W82</f>
        <v>103.358766643349</v>
      </c>
      <c r="X83" s="13" t="n">
        <f aca="false">X72+X74+X75+X76+X79+X82</f>
        <v>105.286542511031</v>
      </c>
      <c r="Y83" s="13" t="n">
        <f aca="false">Y72+Y74+Y75+Y76+Y79+Y82</f>
        <v>105.849380917046</v>
      </c>
      <c r="Z83" s="13" t="n">
        <f aca="false">Z72+Z74+Z75+Z76+Z79+Z82</f>
        <v>107.564730683731</v>
      </c>
      <c r="AA83" s="13" t="n">
        <f aca="false">AA72+AA74+AA75+AA76+AA79+AA82</f>
        <v>108.122312477115</v>
      </c>
      <c r="AB83" s="13" t="n">
        <f aca="false">AB72+AB74+AB75+AB76+AB79+AB82</f>
        <v>109.777150563744</v>
      </c>
      <c r="AC83" s="13" t="n">
        <f aca="false">AC72+AC74+AC75+AC76+AC79+AC82</f>
        <v>110.483351716573</v>
      </c>
      <c r="AD83" s="13" t="n">
        <f aca="false">AD72+AD74+AD75+AD76+AD79+AD82</f>
        <v>122.970020545356</v>
      </c>
      <c r="AE83" s="13" t="n">
        <f aca="false">AE72+AE74+AE75+AE76+AE79+AE82</f>
        <v>111.975333552781</v>
      </c>
      <c r="AF83" s="13" t="n">
        <f aca="false">AF72+AF74+AF75+AF76+AF79+AF82</f>
        <v>114.48824550632</v>
      </c>
      <c r="AG83" s="13" t="n">
        <f aca="false">AG72+AG74+AG75+AG76+AG79+AG82</f>
        <v>114.972678487562</v>
      </c>
      <c r="AH83" s="13" t="n">
        <f aca="false">AH72+AH74+AH75+AH76+AH79+AH82</f>
        <v>116.544035158905</v>
      </c>
      <c r="AI83" s="13" t="n">
        <f aca="false">AI72+AI74+AI75+AI76+AI79+AI82</f>
        <v>117.321745569752</v>
      </c>
      <c r="AJ83" s="13" t="n">
        <f aca="false">AJ72+AJ74+AJ75+AJ76+AJ79+AJ82</f>
        <v>119.497617002724</v>
      </c>
      <c r="AK83" s="13" t="n">
        <f aca="false">AK72+AK74+AK75+AK76+AK79+AK82</f>
        <v>120.369203063835</v>
      </c>
      <c r="AL83" s="13" t="n">
        <f aca="false">AL72+AL74+AL75+AL76+AL79+AL82</f>
        <v>124.177852023857</v>
      </c>
      <c r="AM83" s="13" t="n">
        <f aca="false">AM72+AM74+AM75+AM76+AM79+AM82</f>
        <v>122.217044268048</v>
      </c>
      <c r="AN83" s="13" t="n">
        <f aca="false">AN72+AN74+AN75+AN76+AN79+AN82</f>
        <v>124.991768650452</v>
      </c>
      <c r="AO83" s="13" t="n">
        <f aca="false">AO72+AO74+AO75+AO76+AO79+AO82</f>
        <v>125.569612079159</v>
      </c>
      <c r="AP83" s="13" t="n">
        <f aca="false">AP72+AP74+AP75+AP76+AP79+AP82</f>
        <v>127.33404585859</v>
      </c>
      <c r="AQ83" s="13" t="n">
        <f aca="false">AQ72+AQ74+AQ75+AQ76+AQ79+AQ82</f>
        <v>128.216054706526</v>
      </c>
      <c r="AR83" s="13" t="n">
        <f aca="false">AR72+AR74+AR75+AR76+AR79+AR82</f>
        <v>130.604931321877</v>
      </c>
      <c r="AS83" s="13" t="n">
        <f aca="false">AS72+AS74+AS75+AS76+AS79+AS82</f>
        <v>131.592656689244</v>
      </c>
      <c r="AT83" s="13" t="n">
        <f aca="false">AT72+AT74+AT75+AT76+AT79+AT82</f>
        <v>146.565779898754</v>
      </c>
      <c r="AU83" s="13" t="n">
        <f aca="false">AU72+AU74+AU75+AU76+AU79+AU82</f>
        <v>133.490936001241</v>
      </c>
      <c r="AV83" s="13" t="n">
        <f aca="false">AV72+AV74+AV75+AV76+AV79+AV82</f>
        <v>136.145222145996</v>
      </c>
      <c r="AW83" s="13" t="n">
        <f aca="false">AW72+AW74+AW75+AW76+AW79+AW82</f>
        <v>137.139851565496</v>
      </c>
      <c r="AX83" s="13" t="n">
        <f aca="false">AX72+AX74+AX75+AX76+AX79+AX82</f>
        <v>139.752202063837</v>
      </c>
      <c r="AY83" s="13" t="n">
        <f aca="false">AY72+AY74+AY75+AY76+AY79+AY82</f>
        <v>140.579769920236</v>
      </c>
      <c r="AZ83" s="13" t="n">
        <f aca="false">AZ72+AZ74+AZ75+AZ76+AZ79+AZ82</f>
        <v>142.841228638996</v>
      </c>
      <c r="BA83" s="13" t="n">
        <f aca="false">BA72+BA74+BA75+BA76+BA79+BA82</f>
        <v>144.000245006079</v>
      </c>
      <c r="BB83" s="13" t="n">
        <f aca="false">BB72+BB74+BB75+BB76+BB79+BB82</f>
        <v>148.62514199848</v>
      </c>
      <c r="BC83" s="13" t="n">
        <f aca="false">BC72+BC74+BC75+BC76+BC79+BC82</f>
        <v>146.363275050935</v>
      </c>
      <c r="BD83" s="13" t="n">
        <f aca="false">BD72+BD74+BD75+BD76+BD79+BD82</f>
        <v>149.54031054766</v>
      </c>
      <c r="BE83" s="13" t="n">
        <f aca="false">BE72+BE74+BE75+BE76+BE79+BE82</f>
        <v>150.494155345458</v>
      </c>
      <c r="BF83" s="13" t="n">
        <f aca="false">BF72+BF74+BF75+BF76+BF79+BF82</f>
        <v>152.99647467458</v>
      </c>
      <c r="BG83" s="13" t="n">
        <f aca="false">BG72+BG74+BG75+BG76+BG79+BG82</f>
        <v>153.800059332217</v>
      </c>
      <c r="BH83" s="13" t="n">
        <f aca="false">BH72+BH74+BH75+BH76+BH79+BH82</f>
        <v>155.989050316873</v>
      </c>
      <c r="BI83" s="13" t="n">
        <f aca="false">BI72+BI74+BI75+BI76+BI79+BI82</f>
        <v>157.455277345596</v>
      </c>
      <c r="BJ83" s="13" t="n">
        <f aca="false">BJ72+BJ74+BJ75+BJ76+BJ79+BJ82</f>
        <v>175.766417242165</v>
      </c>
      <c r="BK83" s="13" t="n">
        <f aca="false">BK72+BK74+BK75+BK76+BK79+BK82</f>
        <v>160.452665064654</v>
      </c>
      <c r="BL83" s="13" t="n">
        <f aca="false">BL72+BL74+BL75+BL76+BL79+BL82</f>
        <v>163.959398705072</v>
      </c>
      <c r="BM83" s="13" t="n">
        <f aca="false">BM72+BM74+BM75+BM76+BM79+BM82</f>
        <v>128.671333989445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2719.73354191166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16.8741313960732</v>
      </c>
      <c r="P84" s="13" t="n">
        <f aca="false">P56-P83+P58</f>
        <v>50.6580821496292</v>
      </c>
      <c r="Q84" s="13" t="n">
        <f aca="false">Q56-Q83+Q58</f>
        <v>50.9232085375646</v>
      </c>
      <c r="R84" s="13" t="n">
        <f aca="false">R56-R83+R58</f>
        <v>51.1254441692925</v>
      </c>
      <c r="S84" s="13" t="n">
        <f aca="false">S56-S83+S58</f>
        <v>51.240586769193</v>
      </c>
      <c r="T84" s="13" t="n">
        <f aca="false">T56-T83+T58</f>
        <v>51.3161456420434</v>
      </c>
      <c r="U84" s="13" t="n">
        <f aca="false">U56-U83+U58</f>
        <v>51.5196064395441</v>
      </c>
      <c r="V84" s="13" t="n">
        <f aca="false">V56-V83+V58</f>
        <v>49.2713145195501</v>
      </c>
      <c r="W84" s="13" t="n">
        <f aca="false">W56-W83+W58</f>
        <v>51.8823241300972</v>
      </c>
      <c r="X84" s="13" t="n">
        <f aca="false">X56-X83+X58</f>
        <v>51.9716552696997</v>
      </c>
      <c r="Y84" s="13" t="n">
        <f aca="false">Y56-Y83+Y58</f>
        <v>52.1523714947775</v>
      </c>
      <c r="Z84" s="13" t="n">
        <f aca="false">Z56-Z83+Z58</f>
        <v>52.3438905099027</v>
      </c>
      <c r="AA84" s="13" t="n">
        <f aca="false">AA56-AA83+AA58</f>
        <v>52.5018703963153</v>
      </c>
      <c r="AB84" s="13" t="n">
        <f aca="false">AB56-AB83+AB58</f>
        <v>52.6929384646642</v>
      </c>
      <c r="AC84" s="13" t="n">
        <f aca="false">AC56-AC83+AC58</f>
        <v>53.0104603226708</v>
      </c>
      <c r="AD84" s="13" t="n">
        <f aca="false">AD56-AD83+AD58</f>
        <v>40.1717234888226</v>
      </c>
      <c r="AE84" s="13" t="n">
        <f aca="false">AE56-AE83+AE58</f>
        <v>53.540072591789</v>
      </c>
      <c r="AF84" s="13" t="n">
        <f aca="false">AF56-AF83+AF58</f>
        <v>53.4972214530195</v>
      </c>
      <c r="AG84" s="13" t="n">
        <f aca="false">AG56-AG83+AG58</f>
        <v>53.7500393838735</v>
      </c>
      <c r="AH84" s="13" t="n">
        <f aca="false">AH56-AH83+AH58</f>
        <v>54.0587132965794</v>
      </c>
      <c r="AI84" s="13" t="n">
        <f aca="false">AI56-AI83+AI58</f>
        <v>54.2251798893235</v>
      </c>
      <c r="AJ84" s="13" t="n">
        <f aca="false">AJ56-AJ83+AJ58</f>
        <v>54.3514452327217</v>
      </c>
      <c r="AK84" s="13" t="n">
        <f aca="false">AK56-AK83+AK58</f>
        <v>54.679537480653</v>
      </c>
      <c r="AL84" s="13" t="n">
        <f aca="false">AL56-AL83+AL58</f>
        <v>50.9846982451415</v>
      </c>
      <c r="AM84" s="13" t="n">
        <f aca="false">AM56-AM83+AM58</f>
        <v>55.2266948768797</v>
      </c>
      <c r="AN84" s="13" t="n">
        <f aca="false">AN56-AN83+AN58</f>
        <v>55.2088260648634</v>
      </c>
      <c r="AO84" s="13" t="n">
        <f aca="false">AO56-AO83+AO58</f>
        <v>55.4942975263817</v>
      </c>
      <c r="AP84" s="13" t="n">
        <f aca="false">AP56-AP83+AP58</f>
        <v>55.8344894858909</v>
      </c>
      <c r="AQ84" s="13" t="n">
        <f aca="false">AQ56-AQ83+AQ58</f>
        <v>56.0390883239402</v>
      </c>
      <c r="AR84" s="13" t="n">
        <f aca="false">AR56-AR83+AR58</f>
        <v>56.2068738914701</v>
      </c>
      <c r="AS84" s="13" t="n">
        <f aca="false">AS56-AS83+AS58</f>
        <v>56.575905688393</v>
      </c>
      <c r="AT84" s="13" t="n">
        <f aca="false">AT56-AT83+AT58</f>
        <v>42.3761184425965</v>
      </c>
      <c r="AU84" s="13" t="n">
        <f aca="false">AU56-AU83+AU58</f>
        <v>57.2675976467544</v>
      </c>
      <c r="AV84" s="13" t="n">
        <f aca="false">AV56-AV83+AV58</f>
        <v>57.4133094488844</v>
      </c>
      <c r="AW84" s="13" t="n">
        <f aca="false">AW56-AW83+AW58</f>
        <v>57.6461994166253</v>
      </c>
      <c r="AX84" s="13" t="n">
        <f aca="false">AX56-AX83+AX58</f>
        <v>57.8389879674355</v>
      </c>
      <c r="AY84" s="13" t="n">
        <f aca="false">AY56-AY83+AY58</f>
        <v>58.1454772758</v>
      </c>
      <c r="AZ84" s="13" t="n">
        <f aca="false">AZ56-AZ83+AZ58</f>
        <v>58.4737405312293</v>
      </c>
      <c r="BA84" s="13" t="n">
        <f aca="false">BA56-BA83+BA58</f>
        <v>58.8809610865984</v>
      </c>
      <c r="BB84" s="13" t="n">
        <f aca="false">BB56-BB83+BB58</f>
        <v>55.5419262387689</v>
      </c>
      <c r="BC84" s="13" t="n">
        <f aca="false">BC56-BC83+BC58</f>
        <v>59.6210700089557</v>
      </c>
      <c r="BD84" s="13" t="n">
        <f aca="false">BD56-BD83+BD58</f>
        <v>59.7584500445695</v>
      </c>
      <c r="BE84" s="13" t="n">
        <f aca="false">BE56-BE83+BE58</f>
        <v>60.0999143800698</v>
      </c>
      <c r="BF84" s="13" t="n">
        <f aca="false">BF56-BF83+BF58</f>
        <v>60.4581522875409</v>
      </c>
      <c r="BG84" s="13" t="n">
        <f aca="false">BG56-BG83+BG58</f>
        <v>60.8641568036052</v>
      </c>
      <c r="BH84" s="13" t="n">
        <f aca="false">BH56-BH83+BH58</f>
        <v>61.3358706951139</v>
      </c>
      <c r="BI84" s="13" t="n">
        <f aca="false">BI56-BI83+BI58</f>
        <v>61.7623988388032</v>
      </c>
      <c r="BJ84" s="13" t="n">
        <f aca="false">BJ56-BJ83+BJ58</f>
        <v>44.545050295981</v>
      </c>
      <c r="BK84" s="13" t="n">
        <f aca="false">BK56-BK83+BK58</f>
        <v>62.5527998008668</v>
      </c>
      <c r="BL84" s="13" t="n">
        <f aca="false">BL56-BL83+BL58</f>
        <v>62.7708381966165</v>
      </c>
      <c r="BM84" s="13" t="n">
        <f aca="false">BM56-BM83+BM58</f>
        <v>23.0516853740852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36.0337070035118</v>
      </c>
      <c r="P88" s="13" t="n">
        <f aca="false">(1-P86)*(P56/MAX(Time!P31,1)*Inputs!$F$168+P55/MAX(Time!P31,1)*P87)</f>
        <v>36.0382389045113</v>
      </c>
      <c r="Q88" s="13" t="n">
        <f aca="false">(1-Q86)*(Q56/MAX(Time!Q31,1)*Inputs!$F$168+Q55/MAX(Time!Q31,1)*Q87)</f>
        <v>36.7865123941332</v>
      </c>
      <c r="R88" s="13" t="n">
        <f aca="false">(1-R86)*(R56/MAX(Time!R31,1)*Inputs!$F$168+R55/MAX(Time!R31,1)*R87)</f>
        <v>36.5872494419712</v>
      </c>
      <c r="S88" s="13" t="n">
        <f aca="false">(1-S86)*(S56/MAX(Time!S31,1)*Inputs!$F$168+S55/MAX(Time!S31,1)*S87)</f>
        <v>37.3737630015972</v>
      </c>
      <c r="T88" s="13" t="n">
        <f aca="false">(1-T86)*(T56/MAX(Time!T31,1)*Inputs!$F$168+T55/MAX(Time!T31,1)*T87)</f>
        <v>37.2236153763029</v>
      </c>
      <c r="U88" s="13" t="n">
        <f aca="false">(1-U86)*(U56/MAX(Time!U31,1)*Inputs!$F$168+U55/MAX(Time!U31,1)*U87)</f>
        <v>37.8937031560075</v>
      </c>
      <c r="V88" s="13" t="n">
        <f aca="false">(1-V86)*(V56/MAX(Time!V31,1)*Inputs!$F$168+V55/MAX(Time!V31,1)*V87)</f>
        <v>37.7724169711662</v>
      </c>
      <c r="W88" s="13" t="n">
        <f aca="false">(1-W86)*(W56/MAX(Time!W31,1)*Inputs!$F$168+W55/MAX(Time!W31,1)*W87)</f>
        <v>38.5958512972657</v>
      </c>
      <c r="X88" s="13" t="n">
        <f aca="false">(1-X86)*(X56/MAX(Time!X31,1)*Inputs!$F$168+X55/MAX(Time!X31,1)*X87)</f>
        <v>38.459885326809</v>
      </c>
      <c r="Y88" s="13" t="n">
        <f aca="false">(1-Y86)*(Y56/MAX(Time!Y31,1)*Inputs!$F$168+Y55/MAX(Time!Y31,1)*Y87)</f>
        <v>39.2822036382987</v>
      </c>
      <c r="Z88" s="13" t="n">
        <f aca="false">(1-Z86)*(Z56/MAX(Time!Z31,1)*Inputs!$F$168+Z55/MAX(Time!Z31,1)*Z87)</f>
        <v>39.1080867049648</v>
      </c>
      <c r="AA88" s="13" t="n">
        <f aca="false">(1-AA86)*(AA56/MAX(Time!AA31,1)*Inputs!$F$168+AA55/MAX(Time!AA31,1)*AA87)</f>
        <v>39.9341891121788</v>
      </c>
      <c r="AB88" s="13" t="n">
        <f aca="false">(1-AB86)*(AB56/MAX(Time!AB31,1)*Inputs!$F$168+AB55/MAX(Time!AB31,1)*AB87)</f>
        <v>39.7345326428172</v>
      </c>
      <c r="AC88" s="13" t="n">
        <f aca="false">(1-AC86)*(AC56/MAX(Time!AC31,1)*Inputs!$F$168+AC55/MAX(Time!AC31,1)*AC87)</f>
        <v>40.4242941855273</v>
      </c>
      <c r="AD88" s="13" t="n">
        <f aca="false">(1-AD86)*(AD56/MAX(Time!AD31,1)*Inputs!$F$168+AD55/MAX(Time!AD31,1)*AD87)</f>
        <v>39.8987960953153</v>
      </c>
      <c r="AE88" s="13" t="n">
        <f aca="false">(1-AE86)*(AE56/MAX(Time!AE31,1)*Inputs!$F$168+AE55/MAX(Time!AE31,1)*AE87)</f>
        <v>41.1502390967164</v>
      </c>
      <c r="AF88" s="13" t="n">
        <f aca="false">(1-AF86)*(AF56/MAX(Time!AF31,1)*Inputs!$F$168+AF55/MAX(Time!AF31,1)*AF87)</f>
        <v>41.0834022454906</v>
      </c>
      <c r="AG88" s="13" t="n">
        <f aca="false">(1-AG86)*(AG56/MAX(Time!AG31,1)*Inputs!$F$168+AG55/MAX(Time!AG31,1)*AG87)</f>
        <v>41.9476370398596</v>
      </c>
      <c r="AH88" s="13" t="n">
        <f aca="false">(1-AH86)*(AH56/MAX(Time!AH31,1)*Inputs!$F$168+AH55/MAX(Time!AH31,1)*AH87)</f>
        <v>41.7234982635696</v>
      </c>
      <c r="AI88" s="13" t="n">
        <f aca="false">(1-AI86)*(AI56/MAX(Time!AI31,1)*Inputs!$F$168+AI55/MAX(Time!AI31,1)*AI87)</f>
        <v>42.6497880975603</v>
      </c>
      <c r="AJ88" s="13" t="n">
        <f aca="false">(1-AJ86)*(AJ56/MAX(Time!AJ31,1)*Inputs!$F$168+AJ55/MAX(Time!AJ31,1)*AJ87)</f>
        <v>42.5174336988862</v>
      </c>
      <c r="AK88" s="13" t="n">
        <f aca="false">(1-AK86)*(AK56/MAX(Time!AK31,1)*Inputs!$F$168+AK55/MAX(Time!AK31,1)*AK87)</f>
        <v>43.281282002758</v>
      </c>
      <c r="AL88" s="13" t="n">
        <f aca="false">(1-AL86)*(AL56/MAX(Time!AL31,1)*Inputs!$F$168+AL55/MAX(Time!AL31,1)*AL87)</f>
        <v>42.8386671853529</v>
      </c>
      <c r="AM88" s="13" t="n">
        <f aca="false">(1-AM86)*(AM56/MAX(Time!AM31,1)*Inputs!$F$168+AM55/MAX(Time!AM31,1)*AM87)</f>
        <v>44.115846748739</v>
      </c>
      <c r="AN88" s="13" t="n">
        <f aca="false">(1-AN86)*(AN56/MAX(Time!AN31,1)*Inputs!$F$168+AN55/MAX(Time!AN31,1)*AN87)</f>
        <v>44.0707976205935</v>
      </c>
      <c r="AO88" s="13" t="n">
        <f aca="false">(1-AO86)*(AO56/MAX(Time!AO31,1)*Inputs!$F$168+AO55/MAX(Time!AO31,1)*AO87)</f>
        <v>45.0158891284493</v>
      </c>
      <c r="AP88" s="13" t="n">
        <f aca="false">(1-AP86)*(AP56/MAX(Time!AP31,1)*Inputs!$F$168+AP55/MAX(Time!AP31,1)*AP87)</f>
        <v>44.7966526657698</v>
      </c>
      <c r="AQ88" s="13" t="n">
        <f aca="false">(1-AQ86)*(AQ56/MAX(Time!AQ31,1)*Inputs!$F$168+AQ55/MAX(Time!AQ31,1)*AQ87)</f>
        <v>45.809289703707</v>
      </c>
      <c r="AR88" s="13" t="n">
        <f aca="false">(1-AR86)*(AR56/MAX(Time!AR31,1)*Inputs!$F$168+AR55/MAX(Time!AR31,1)*AR87)</f>
        <v>45.6876697532641</v>
      </c>
      <c r="AS88" s="13" t="n">
        <f aca="false">(1-AS86)*(AS56/MAX(Time!AS31,1)*Inputs!$F$168+AS55/MAX(Time!AS31,1)*AS87)</f>
        <v>46.5251939944708</v>
      </c>
      <c r="AT88" s="13" t="n">
        <f aca="false">(1-AT86)*(AT56/MAX(Time!AT31,1)*Inputs!$F$168+AT55/MAX(Time!AT31,1)*AT87)</f>
        <v>46.2086164421781</v>
      </c>
      <c r="AU88" s="13" t="n">
        <f aca="false">(1-AU86)*(AU56/MAX(Time!AU31,1)*Inputs!$F$168+AU55/MAX(Time!AU31,1)*AU87)</f>
        <v>47.4261547743634</v>
      </c>
      <c r="AV88" s="13" t="n">
        <f aca="false">(1-AV86)*(AV56/MAX(Time!AV31,1)*Inputs!$F$168+AV55/MAX(Time!AV31,1)*AV87)</f>
        <v>47.3376843574435</v>
      </c>
      <c r="AW88" s="13" t="n">
        <f aca="false">(1-AW86)*(AW56/MAX(Time!AW31,1)*Inputs!$F$168+AW55/MAX(Time!AW31,1)*AW87)</f>
        <v>48.4274712386489</v>
      </c>
      <c r="AX88" s="13" t="n">
        <f aca="false">(1-AX86)*(AX56/MAX(Time!AX31,1)*Inputs!$F$168+AX55/MAX(Time!AX31,1)*AX87)</f>
        <v>48.3239323446047</v>
      </c>
      <c r="AY88" s="13" t="n">
        <f aca="false">(1-AY86)*(AY56/MAX(Time!AY31,1)*Inputs!$F$168+AY55/MAX(Time!AY31,1)*AY87)</f>
        <v>49.406829413379</v>
      </c>
      <c r="AZ88" s="13" t="n">
        <f aca="false">(1-AZ86)*(AZ56/MAX(Time!AZ31,1)*Inputs!$F$168+AZ55/MAX(Time!AZ31,1)*AZ87)</f>
        <v>49.2346391992398</v>
      </c>
      <c r="BA88" s="13" t="n">
        <f aca="false">(1-BA86)*(BA56/MAX(Time!BA31,1)*Inputs!$F$168+BA55/MAX(Time!BA31,1)*BA87)</f>
        <v>50.1629355723654</v>
      </c>
      <c r="BB88" s="13" t="n">
        <f aca="false">(1-BB86)*(BB56/MAX(Time!BB31,1)*Inputs!$F$168+BB55/MAX(Time!BB31,1)*BB87)</f>
        <v>49.932163427588</v>
      </c>
      <c r="BC88" s="13" t="n">
        <f aca="false">(1-BC86)*(BC56/MAX(Time!BC31,1)*Inputs!$F$168+BC55/MAX(Time!BC31,1)*BC87)</f>
        <v>51.2115775010778</v>
      </c>
      <c r="BD88" s="13" t="n">
        <f aca="false">(1-BD86)*(BD56/MAX(Time!BD31,1)*Inputs!$F$168+BD55/MAX(Time!BD31,1)*BD87)</f>
        <v>51.1871968839691</v>
      </c>
      <c r="BE88" s="13" t="n">
        <f aca="false">(1-BE86)*(BE56/MAX(Time!BE31,1)*Inputs!$F$168+BE55/MAX(Time!BE31,1)*BE87)</f>
        <v>52.3576416444683</v>
      </c>
      <c r="BF88" s="13" t="n">
        <f aca="false">(1-BF86)*(BF56/MAX(Time!BF31,1)*Inputs!$F$168+BF55/MAX(Time!BF31,1)*BF87)</f>
        <v>52.2035772461708</v>
      </c>
      <c r="BG88" s="13" t="n">
        <f aca="false">(1-BG86)*(BG56/MAX(Time!BG31,1)*Inputs!$F$168+BG55/MAX(Time!BG31,1)*BG87)</f>
        <v>53.3695564978564</v>
      </c>
      <c r="BH88" s="13" t="n">
        <f aca="false">(1-BH86)*(BH56/MAX(Time!BH31,1)*Inputs!$F$168+BH55/MAX(Time!BH31,1)*BH87)</f>
        <v>53.1501165518446</v>
      </c>
      <c r="BI88" s="13" t="n">
        <f aca="false">(1-BI86)*(BI56/MAX(Time!BI31,1)*Inputs!$F$168+BI55/MAX(Time!BI31,1)*BI87)</f>
        <v>54.2021726829559</v>
      </c>
      <c r="BJ88" s="13" t="n">
        <f aca="false">(1-BJ86)*(BJ56/MAX(Time!BJ31,1)*Inputs!$F$168+BJ55/MAX(Time!BJ31,1)*BJ87)</f>
        <v>53.8805219522639</v>
      </c>
      <c r="BK88" s="13" t="n">
        <f aca="false">(1-BK86)*(BK56/MAX(Time!BK31,1)*Inputs!$F$168+BK55/MAX(Time!BK31,1)*BK87)</f>
        <v>55.4433476184998</v>
      </c>
      <c r="BL88" s="13" t="n">
        <f aca="false">(1-BL86)*(BL56/MAX(Time!BL31,1)*Inputs!$F$168+BL55/MAX(Time!BL31,1)*BL87)</f>
        <v>55.4503296770433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16.208364632832</v>
      </c>
      <c r="P90" s="13" t="n">
        <f aca="false">(1-P86)*(P73+P54)/MAX(Time!P31,1)*Inputs!$F$169</f>
        <v>16.208364632832</v>
      </c>
      <c r="Q90" s="13" t="n">
        <f aca="false">(1-Q86)*(Q73+Q54)/MAX(Time!Q31,1)*Inputs!$F$169</f>
        <v>16.5325319254886</v>
      </c>
      <c r="R90" s="13" t="n">
        <f aca="false">(1-R86)*(R73+R54)/MAX(Time!R31,1)*Inputs!$F$169</f>
        <v>16.5325319254886</v>
      </c>
      <c r="S90" s="13" t="n">
        <f aca="false">(1-S86)*(S73+S54)/MAX(Time!S31,1)*Inputs!$F$169</f>
        <v>16.8631825639984</v>
      </c>
      <c r="T90" s="13" t="n">
        <f aca="false">(1-T86)*(T73+T54)/MAX(Time!T31,1)*Inputs!$F$169</f>
        <v>16.8631825639984</v>
      </c>
      <c r="U90" s="13" t="n">
        <f aca="false">(1-U86)*(U73+U54)/MAX(Time!U31,1)*Inputs!$F$169</f>
        <v>17.2004462152784</v>
      </c>
      <c r="V90" s="13" t="n">
        <f aca="false">(1-V86)*(V73+V54)/MAX(Time!V31,1)*Inputs!$F$169</f>
        <v>17.2004462152784</v>
      </c>
      <c r="W90" s="13" t="n">
        <f aca="false">(1-W86)*(W73+W54)/MAX(Time!W31,1)*Inputs!$F$169</f>
        <v>17.544455139584</v>
      </c>
      <c r="X90" s="13" t="n">
        <f aca="false">(1-X86)*(X73+X54)/MAX(Time!X31,1)*Inputs!$F$169</f>
        <v>17.544455139584</v>
      </c>
      <c r="Y90" s="13" t="n">
        <f aca="false">(1-Y86)*(Y73+Y54)/MAX(Time!Y31,1)*Inputs!$F$169</f>
        <v>17.8953442423756</v>
      </c>
      <c r="Z90" s="13" t="n">
        <f aca="false">(1-Z86)*(Z73+Z54)/MAX(Time!Z31,1)*Inputs!$F$169</f>
        <v>17.8953442423756</v>
      </c>
      <c r="AA90" s="13" t="n">
        <f aca="false">(1-AA86)*(AA73+AA54)/MAX(Time!AA31,1)*Inputs!$F$169</f>
        <v>18.2532511272231</v>
      </c>
      <c r="AB90" s="13" t="n">
        <f aca="false">(1-AB86)*(AB73+AB54)/MAX(Time!AB31,1)*Inputs!$F$169</f>
        <v>18.2532511272231</v>
      </c>
      <c r="AC90" s="13" t="n">
        <f aca="false">(1-AC86)*(AC73+AC54)/MAX(Time!AC31,1)*Inputs!$F$169</f>
        <v>18.6183161497676</v>
      </c>
      <c r="AD90" s="13" t="n">
        <f aca="false">(1-AD86)*(AD73+AD54)/MAX(Time!AD31,1)*Inputs!$F$169</f>
        <v>18.6183161497676</v>
      </c>
      <c r="AE90" s="13" t="n">
        <f aca="false">(1-AE86)*(AE73+AE54)/MAX(Time!AE31,1)*Inputs!$F$169</f>
        <v>18.990682472763</v>
      </c>
      <c r="AF90" s="13" t="n">
        <f aca="false">(1-AF86)*(AF73+AF54)/MAX(Time!AF31,1)*Inputs!$F$169</f>
        <v>18.990682472763</v>
      </c>
      <c r="AG90" s="13" t="n">
        <f aca="false">(1-AG86)*(AG73+AG54)/MAX(Time!AG31,1)*Inputs!$F$169</f>
        <v>19.3704961222182</v>
      </c>
      <c r="AH90" s="13" t="n">
        <f aca="false">(1-AH86)*(AH73+AH54)/MAX(Time!AH31,1)*Inputs!$F$169</f>
        <v>19.3704961222182</v>
      </c>
      <c r="AI90" s="13" t="n">
        <f aca="false">(1-AI86)*(AI73+AI54)/MAX(Time!AI31,1)*Inputs!$F$169</f>
        <v>19.7579060446626</v>
      </c>
      <c r="AJ90" s="13" t="n">
        <f aca="false">(1-AJ86)*(AJ73+AJ54)/MAX(Time!AJ31,1)*Inputs!$F$169</f>
        <v>19.7579060446626</v>
      </c>
      <c r="AK90" s="13" t="n">
        <f aca="false">(1-AK86)*(AK73+AK54)/MAX(Time!AK31,1)*Inputs!$F$169</f>
        <v>20.1530641655558</v>
      </c>
      <c r="AL90" s="13" t="n">
        <f aca="false">(1-AL86)*(AL73+AL54)/MAX(Time!AL31,1)*Inputs!$F$169</f>
        <v>20.1530641655558</v>
      </c>
      <c r="AM90" s="13" t="n">
        <f aca="false">(1-AM86)*(AM73+AM54)/MAX(Time!AM31,1)*Inputs!$F$169</f>
        <v>20.556125448867</v>
      </c>
      <c r="AN90" s="13" t="n">
        <f aca="false">(1-AN86)*(AN73+AN54)/MAX(Time!AN31,1)*Inputs!$F$169</f>
        <v>20.556125448867</v>
      </c>
      <c r="AO90" s="13" t="n">
        <f aca="false">(1-AO86)*(AO73+AO54)/MAX(Time!AO31,1)*Inputs!$F$169</f>
        <v>20.9672479578443</v>
      </c>
      <c r="AP90" s="13" t="n">
        <f aca="false">(1-AP86)*(AP73+AP54)/MAX(Time!AP31,1)*Inputs!$F$169</f>
        <v>20.9672479578443</v>
      </c>
      <c r="AQ90" s="13" t="n">
        <f aca="false">(1-AQ86)*(AQ73+AQ54)/MAX(Time!AQ31,1)*Inputs!$F$169</f>
        <v>21.3865929170012</v>
      </c>
      <c r="AR90" s="13" t="n">
        <f aca="false">(1-AR86)*(AR73+AR54)/MAX(Time!AR31,1)*Inputs!$F$169</f>
        <v>21.3865929170012</v>
      </c>
      <c r="AS90" s="13" t="n">
        <f aca="false">(1-AS86)*(AS73+AS54)/MAX(Time!AS31,1)*Inputs!$F$169</f>
        <v>21.8143247753412</v>
      </c>
      <c r="AT90" s="13" t="n">
        <f aca="false">(1-AT86)*(AT73+AT54)/MAX(Time!AT31,1)*Inputs!$F$169</f>
        <v>21.8143247753412</v>
      </c>
      <c r="AU90" s="13" t="n">
        <f aca="false">(1-AU86)*(AU73+AU54)/MAX(Time!AU31,1)*Inputs!$F$169</f>
        <v>22.250611270848</v>
      </c>
      <c r="AV90" s="13" t="n">
        <f aca="false">(1-AV86)*(AV73+AV54)/MAX(Time!AV31,1)*Inputs!$F$169</f>
        <v>22.250611270848</v>
      </c>
      <c r="AW90" s="13" t="n">
        <f aca="false">(1-AW86)*(AW73+AW54)/MAX(Time!AW31,1)*Inputs!$F$169</f>
        <v>22.695623496265</v>
      </c>
      <c r="AX90" s="13" t="n">
        <f aca="false">(1-AX86)*(AX73+AX54)/MAX(Time!AX31,1)*Inputs!$F$169</f>
        <v>22.695623496265</v>
      </c>
      <c r="AY90" s="13" t="n">
        <f aca="false">(1-AY86)*(AY73+AY54)/MAX(Time!AY31,1)*Inputs!$F$169</f>
        <v>23.1495359661903</v>
      </c>
      <c r="AZ90" s="13" t="n">
        <f aca="false">(1-AZ86)*(AZ73+AZ54)/MAX(Time!AZ31,1)*Inputs!$F$169</f>
        <v>23.1495359661903</v>
      </c>
      <c r="BA90" s="13" t="n">
        <f aca="false">(1-BA86)*(BA73+BA54)/MAX(Time!BA31,1)*Inputs!$F$169</f>
        <v>23.6125266855141</v>
      </c>
      <c r="BB90" s="13" t="n">
        <f aca="false">(1-BB86)*(BB73+BB54)/MAX(Time!BB31,1)*Inputs!$F$169</f>
        <v>23.6125266855141</v>
      </c>
      <c r="BC90" s="13" t="n">
        <f aca="false">(1-BC86)*(BC73+BC54)/MAX(Time!BC31,1)*Inputs!$F$169</f>
        <v>24.0847772192244</v>
      </c>
      <c r="BD90" s="13" t="n">
        <f aca="false">(1-BD86)*(BD73+BD54)/MAX(Time!BD31,1)*Inputs!$F$169</f>
        <v>24.0847772192244</v>
      </c>
      <c r="BE90" s="13" t="n">
        <f aca="false">(1-BE86)*(BE73+BE54)/MAX(Time!BE31,1)*Inputs!$F$169</f>
        <v>24.5664727636089</v>
      </c>
      <c r="BF90" s="13" t="n">
        <f aca="false">(1-BF86)*(BF73+BF54)/MAX(Time!BF31,1)*Inputs!$F$169</f>
        <v>24.5664727636089</v>
      </c>
      <c r="BG90" s="13" t="n">
        <f aca="false">(1-BG86)*(BG73+BG54)/MAX(Time!BG31,1)*Inputs!$F$169</f>
        <v>25.057802218881</v>
      </c>
      <c r="BH90" s="13" t="n">
        <f aca="false">(1-BH86)*(BH73+BH54)/MAX(Time!BH31,1)*Inputs!$F$169</f>
        <v>25.057802218881</v>
      </c>
      <c r="BI90" s="13" t="n">
        <f aca="false">(1-BI86)*(BI73+BI54)/MAX(Time!BI31,1)*Inputs!$F$169</f>
        <v>25.5589582632587</v>
      </c>
      <c r="BJ90" s="13" t="n">
        <f aca="false">(1-BJ86)*(BJ73+BJ54)/MAX(Time!BJ31,1)*Inputs!$F$169</f>
        <v>25.5589582632587</v>
      </c>
      <c r="BK90" s="13" t="n">
        <f aca="false">(1-BK86)*(BK73+BK54)/MAX(Time!BK31,1)*Inputs!$F$169</f>
        <v>26.0701374285238</v>
      </c>
      <c r="BL90" s="13" t="n">
        <f aca="false">(1-BL86)*(BL73+BL54)/MAX(Time!BL31,1)*Inputs!$F$169</f>
        <v>26.0701374285238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2.20915679591003</v>
      </c>
      <c r="P91" s="13" t="n">
        <f aca="false">(1-P86)*(P52+P53)/MAX(Time!P31,1)*Inputs!$F$170</f>
        <v>2.20732214359745</v>
      </c>
      <c r="Q91" s="13" t="n">
        <f aca="false">(1-Q86)*(Q52+Q53)/MAX(Time!Q31,1)*Inputs!$F$170</f>
        <v>2.24474299156665</v>
      </c>
      <c r="R91" s="13" t="n">
        <f aca="false">(1-R86)*(R52+R53)/MAX(Time!R31,1)*Inputs!$F$170</f>
        <v>2.23679352070783</v>
      </c>
      <c r="S91" s="13" t="n">
        <f aca="false">(1-S86)*(S52+S53)/MAX(Time!S31,1)*Inputs!$F$170</f>
        <v>2.27844270794948</v>
      </c>
      <c r="T91" s="13" t="n">
        <f aca="false">(1-T86)*(T52+T53)/MAX(Time!T31,1)*Inputs!$F$170</f>
        <v>2.27781446368965</v>
      </c>
      <c r="U91" s="13" t="n">
        <f aca="false">(1-U86)*(U52+U53)/MAX(Time!U31,1)*Inputs!$F$170</f>
        <v>2.31299073373889</v>
      </c>
      <c r="V91" s="13" t="n">
        <f aca="false">(1-V86)*(V52+V53)/MAX(Time!V31,1)*Inputs!$F$170</f>
        <v>2.30363189098483</v>
      </c>
      <c r="W91" s="13" t="n">
        <f aca="false">(1-W86)*(W52+W53)/MAX(Time!W31,1)*Inputs!$F$170</f>
        <v>2.34732836060414</v>
      </c>
      <c r="X91" s="13" t="n">
        <f aca="false">(1-X86)*(X52+X53)/MAX(Time!X31,1)*Inputs!$F$170</f>
        <v>2.3482809429678</v>
      </c>
      <c r="Y91" s="13" t="n">
        <f aca="false">(1-Y86)*(Y52+Y53)/MAX(Time!Y31,1)*Inputs!$F$170</f>
        <v>2.38997264489662</v>
      </c>
      <c r="Z91" s="13" t="n">
        <f aca="false">(1-Z86)*(Z52+Z53)/MAX(Time!Z31,1)*Inputs!$F$170</f>
        <v>2.3849559103309</v>
      </c>
      <c r="AA91" s="13" t="n">
        <f aca="false">(1-AA86)*(AA52+AA53)/MAX(Time!AA31,1)*Inputs!$F$170</f>
        <v>2.42536503622721</v>
      </c>
      <c r="AB91" s="13" t="n">
        <f aca="false">(1-AB86)*(AB52+AB53)/MAX(Time!AB31,1)*Inputs!$F$170</f>
        <v>2.41643770808631</v>
      </c>
      <c r="AC91" s="13" t="n">
        <f aca="false">(1-AC86)*(AC52+AC53)/MAX(Time!AC31,1)*Inputs!$F$170</f>
        <v>2.44823133769006</v>
      </c>
      <c r="AD91" s="13" t="n">
        <f aca="false">(1-AD86)*(AD52+AD53)/MAX(Time!AD31,1)*Inputs!$F$170</f>
        <v>2.42747369963008</v>
      </c>
      <c r="AE91" s="13" t="n">
        <f aca="false">(1-AE86)*(AE52+AE53)/MAX(Time!AE31,1)*Inputs!$F$170</f>
        <v>2.47749384116586</v>
      </c>
      <c r="AF91" s="13" t="n">
        <f aca="false">(1-AF86)*(AF52+AF53)/MAX(Time!AF31,1)*Inputs!$F$170</f>
        <v>2.48699200179025</v>
      </c>
      <c r="AG91" s="13" t="n">
        <f aca="false">(1-AG86)*(AG52+AG53)/MAX(Time!AG31,1)*Inputs!$F$170</f>
        <v>2.52719116980092</v>
      </c>
      <c r="AH91" s="13" t="n">
        <f aca="false">(1-AH86)*(AH52+AH53)/MAX(Time!AH31,1)*Inputs!$F$170</f>
        <v>2.51439193094675</v>
      </c>
      <c r="AI91" s="13" t="n">
        <f aca="false">(1-AI86)*(AI52+AI53)/MAX(Time!AI31,1)*Inputs!$F$170</f>
        <v>2.5611969872009</v>
      </c>
      <c r="AJ91" s="13" t="n">
        <f aca="false">(1-AJ86)*(AJ52+AJ53)/MAX(Time!AJ31,1)*Inputs!$F$170</f>
        <v>2.5606960429614</v>
      </c>
      <c r="AK91" s="13" t="n">
        <f aca="false">(1-AK86)*(AK52+AK53)/MAX(Time!AK31,1)*Inputs!$F$170</f>
        <v>2.59613828523447</v>
      </c>
      <c r="AL91" s="13" t="n">
        <f aca="false">(1-AL86)*(AL52+AL53)/MAX(Time!AL31,1)*Inputs!$F$170</f>
        <v>2.57770044806677</v>
      </c>
      <c r="AM91" s="13" t="n">
        <f aca="false">(1-AM86)*(AM52+AM53)/MAX(Time!AM31,1)*Inputs!$F$170</f>
        <v>2.63092469458601</v>
      </c>
      <c r="AN91" s="13" t="n">
        <f aca="false">(1-AN86)*(AN52+AN53)/MAX(Time!AN31,1)*Inputs!$F$170</f>
        <v>2.64117119601266</v>
      </c>
      <c r="AO91" s="13" t="n">
        <f aca="false">(1-AO86)*(AO52+AO53)/MAX(Time!AO31,1)*Inputs!$F$170</f>
        <v>2.68421775592352</v>
      </c>
      <c r="AP91" s="13" t="n">
        <f aca="false">(1-AP86)*(AP52+AP53)/MAX(Time!AP31,1)*Inputs!$F$170</f>
        <v>2.67125520789353</v>
      </c>
      <c r="AQ91" s="13" t="n">
        <f aca="false">(1-AQ86)*(AQ52+AQ53)/MAX(Time!AQ31,1)*Inputs!$F$170</f>
        <v>2.72089125539085</v>
      </c>
      <c r="AR91" s="13" t="n">
        <f aca="false">(1-AR86)*(AR52+AR53)/MAX(Time!AR31,1)*Inputs!$F$170</f>
        <v>2.72007983497286</v>
      </c>
      <c r="AS91" s="13" t="n">
        <f aca="false">(1-AS86)*(AS52+AS53)/MAX(Time!AS31,1)*Inputs!$F$170</f>
        <v>2.75786400105814</v>
      </c>
      <c r="AT91" s="13" t="n">
        <f aca="false">(1-AT86)*(AT52+AT53)/MAX(Time!AT31,1)*Inputs!$F$170</f>
        <v>2.73848616705075</v>
      </c>
      <c r="AU91" s="13" t="n">
        <f aca="false">(1-AU86)*(AU52+AU53)/MAX(Time!AU31,1)*Inputs!$F$170</f>
        <v>2.79076943114693</v>
      </c>
      <c r="AV91" s="13" t="n">
        <f aca="false">(1-AV86)*(AV52+AV53)/MAX(Time!AV31,1)*Inputs!$F$170</f>
        <v>2.79323586109554</v>
      </c>
      <c r="AW91" s="13" t="n">
        <f aca="false">(1-AW86)*(AW52+AW53)/MAX(Time!AW31,1)*Inputs!$F$170</f>
        <v>2.84551903887418</v>
      </c>
      <c r="AX91" s="13" t="n">
        <f aca="false">(1-AX86)*(AX52+AX53)/MAX(Time!AX31,1)*Inputs!$F$170</f>
        <v>2.84541679987563</v>
      </c>
      <c r="AY91" s="13" t="n">
        <f aca="false">(1-AY86)*(AY52+AY53)/MAX(Time!AY31,1)*Inputs!$F$170</f>
        <v>2.89444580682729</v>
      </c>
      <c r="AZ91" s="13" t="n">
        <f aca="false">(1-AZ86)*(AZ52+AZ53)/MAX(Time!AZ31,1)*Inputs!$F$170</f>
        <v>2.88565593591691</v>
      </c>
      <c r="BA91" s="13" t="n">
        <f aca="false">(1-BA86)*(BA52+BA53)/MAX(Time!BA31,1)*Inputs!$F$170</f>
        <v>2.92658330986798</v>
      </c>
      <c r="BB91" s="13" t="n">
        <f aca="false">(1-BB86)*(BB52+BB53)/MAX(Time!BB31,1)*Inputs!$F$170</f>
        <v>2.90772542295286</v>
      </c>
      <c r="BC91" s="13" t="n">
        <f aca="false">(1-BC86)*(BC52+BC53)/MAX(Time!BC31,1)*Inputs!$F$170</f>
        <v>2.96564102009713</v>
      </c>
      <c r="BD91" s="13" t="n">
        <f aca="false">(1-BD86)*(BD52+BD53)/MAX(Time!BD31,1)*Inputs!$F$170</f>
        <v>2.97289608665427</v>
      </c>
      <c r="BE91" s="13" t="n">
        <f aca="false">(1-BE86)*(BE52+BE53)/MAX(Time!BE31,1)*Inputs!$F$170</f>
        <v>3.02465777417075</v>
      </c>
      <c r="BF91" s="13" t="n">
        <f aca="false">(1-BF86)*(BF52+BF53)/MAX(Time!BF31,1)*Inputs!$F$170</f>
        <v>3.01662729199278</v>
      </c>
      <c r="BG91" s="13" t="n">
        <f aca="false">(1-BG86)*(BG52+BG53)/MAX(Time!BG31,1)*Inputs!$F$170</f>
        <v>3.06537336781415</v>
      </c>
      <c r="BH91" s="13" t="n">
        <f aca="false">(1-BH86)*(BH52+BH53)/MAX(Time!BH31,1)*Inputs!$F$170</f>
        <v>3.04989453133727</v>
      </c>
      <c r="BI91" s="13" t="n">
        <f aca="false">(1-BI86)*(BI52+BI53)/MAX(Time!BI31,1)*Inputs!$F$170</f>
        <v>3.09609679235181</v>
      </c>
      <c r="BJ91" s="13" t="n">
        <f aca="false">(1-BJ86)*(BJ52+BJ53)/MAX(Time!BJ31,1)*Inputs!$F$170</f>
        <v>3.0823219968616</v>
      </c>
      <c r="BK91" s="13" t="n">
        <f aca="false">(1-BK86)*(BK52+BK53)/MAX(Time!BK31,1)*Inputs!$F$170</f>
        <v>3.14346250683233</v>
      </c>
      <c r="BL91" s="13" t="n">
        <f aca="false">(1-BL86)*(BL52+BL53)/MAX(Time!BL31,1)*Inputs!$F$170</f>
        <v>3.15082596919713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1.56829191720039</v>
      </c>
      <c r="P92" s="13" t="n">
        <f aca="false">(1-P86)*(P60+P61+P62+P64)/MAX(Time!P31,1)*Inputs!$F$171</f>
        <v>1.582363098369</v>
      </c>
      <c r="Q92" s="13" t="n">
        <f aca="false">(1-Q86)*(Q60+Q61+Q62+Q64)/MAX(Time!Q31,1)*Inputs!$F$171</f>
        <v>1.62604372147285</v>
      </c>
      <c r="R92" s="13" t="n">
        <f aca="false">(1-R86)*(R60+R61+R62+R64)/MAX(Time!R31,1)*Inputs!$F$171</f>
        <v>1.6110939513999</v>
      </c>
      <c r="S92" s="13" t="n">
        <f aca="false">(1-S86)*(S60+S61+S62+S64)/MAX(Time!S31,1)*Inputs!$F$171</f>
        <v>1.67463806692825</v>
      </c>
      <c r="T92" s="13" t="n">
        <f aca="false">(1-T86)*(T60+T61+T62+T64)/MAX(Time!T31,1)*Inputs!$F$171</f>
        <v>1.69697969557219</v>
      </c>
      <c r="U92" s="13" t="n">
        <f aca="false">(1-U86)*(U60+U61+U62+U64)/MAX(Time!U31,1)*Inputs!$F$171</f>
        <v>1.72698542654055</v>
      </c>
      <c r="V92" s="13" t="n">
        <f aca="false">(1-V86)*(V60+V61+V62+V64)/MAX(Time!V31,1)*Inputs!$F$171</f>
        <v>1.70567952106313</v>
      </c>
      <c r="W92" s="13" t="n">
        <f aca="false">(1-W86)*(W60+W61+W62+W64)/MAX(Time!W31,1)*Inputs!$F$171</f>
        <v>1.77734748347336</v>
      </c>
      <c r="X92" s="13" t="n">
        <f aca="false">(1-X86)*(X60+X61+X62+X64)/MAX(Time!X31,1)*Inputs!$F$171</f>
        <v>1.80460959568715</v>
      </c>
      <c r="Y92" s="13" t="n">
        <f aca="false">(1-Y86)*(Y60+Y61+Y62+Y64)/MAX(Time!Y31,1)*Inputs!$F$171</f>
        <v>1.86203287746238</v>
      </c>
      <c r="Z92" s="13" t="n">
        <f aca="false">(1-Z86)*(Z60+Z61+Z62+Z64)/MAX(Time!Z31,1)*Inputs!$F$171</f>
        <v>1.8592655841665</v>
      </c>
      <c r="AA92" s="13" t="n">
        <f aca="false">(1-AA86)*(AA60+AA61+AA62+AA64)/MAX(Time!AA31,1)*Inputs!$F$171</f>
        <v>1.91868137376422</v>
      </c>
      <c r="AB92" s="13" t="n">
        <f aca="false">(1-AB86)*(AB60+AB61+AB62+AB64)/MAX(Time!AB31,1)*Inputs!$F$171</f>
        <v>1.9074198914812</v>
      </c>
      <c r="AC92" s="13" t="n">
        <f aca="false">(1-AC86)*(AC60+AC61+AC62+AC64)/MAX(Time!AC31,1)*Inputs!$F$171</f>
        <v>1.91421888795457</v>
      </c>
      <c r="AD92" s="13" t="n">
        <f aca="false">(1-AD86)*(AD60+AD61+AD62+AD64)/MAX(Time!AD31,1)*Inputs!$F$171</f>
        <v>1.85290839910915</v>
      </c>
      <c r="AE92" s="13" t="n">
        <f aca="false">(1-AE86)*(AE60+AE61+AE62+AE64)/MAX(Time!AE31,1)*Inputs!$F$171</f>
        <v>1.93606781967793</v>
      </c>
      <c r="AF92" s="13" t="n">
        <f aca="false">(1-AF86)*(AF60+AF61+AF62+AF64)/MAX(Time!AF31,1)*Inputs!$F$171</f>
        <v>2.01571184109115</v>
      </c>
      <c r="AG92" s="13" t="n">
        <f aca="false">(1-AG86)*(AG60+AG61+AG62+AG64)/MAX(Time!AG31,1)*Inputs!$F$171</f>
        <v>2.06372293643635</v>
      </c>
      <c r="AH92" s="13" t="n">
        <f aca="false">(1-AH86)*(AH60+AH61+AH62+AH64)/MAX(Time!AH31,1)*Inputs!$F$171</f>
        <v>2.02743594653629</v>
      </c>
      <c r="AI92" s="13" t="n">
        <f aca="false">(1-AI86)*(AI60+AI61+AI62+AI64)/MAX(Time!AI31,1)*Inputs!$F$171</f>
        <v>2.10929131628697</v>
      </c>
      <c r="AJ92" s="13" t="n">
        <f aca="false">(1-AJ86)*(AJ60+AJ61+AJ62+AJ64)/MAX(Time!AJ31,1)*Inputs!$F$171</f>
        <v>2.1388209066428</v>
      </c>
      <c r="AK92" s="13" t="n">
        <f aca="false">(1-AK86)*(AK60+AK61+AK62+AK64)/MAX(Time!AK31,1)*Inputs!$F$171</f>
        <v>2.15865364614957</v>
      </c>
      <c r="AL92" s="13" t="n">
        <f aca="false">(1-AL86)*(AL60+AL61+AL62+AL64)/MAX(Time!AL31,1)*Inputs!$F$171</f>
        <v>2.10332601598685</v>
      </c>
      <c r="AM92" s="13" t="n">
        <f aca="false">(1-AM86)*(AM60+AM61+AM62+AM64)/MAX(Time!AM31,1)*Inputs!$F$171</f>
        <v>2.20800311600705</v>
      </c>
      <c r="AN92" s="13" t="n">
        <f aca="false">(1-AN86)*(AN60+AN61+AN62+AN64)/MAX(Time!AN31,1)*Inputs!$F$171</f>
        <v>2.29725175010992</v>
      </c>
      <c r="AO92" s="13" t="n">
        <f aca="false">(1-AO86)*(AO60+AO61+AO62+AO64)/MAX(Time!AO31,1)*Inputs!$F$171</f>
        <v>2.35596173408869</v>
      </c>
      <c r="AP92" s="13" t="n">
        <f aca="false">(1-AP86)*(AP60+AP61+AP62+AP64)/MAX(Time!AP31,1)*Inputs!$F$171</f>
        <v>2.32119084454921</v>
      </c>
      <c r="AQ92" s="13" t="n">
        <f aca="false">(1-AQ86)*(AQ60+AQ61+AQ62+AQ64)/MAX(Time!AQ31,1)*Inputs!$F$171</f>
        <v>2.41484690269375</v>
      </c>
      <c r="AR92" s="13" t="n">
        <f aca="false">(1-AR86)*(AR60+AR61+AR62+AR64)/MAX(Time!AR31,1)*Inputs!$F$171</f>
        <v>2.44716783086196</v>
      </c>
      <c r="AS92" s="13" t="n">
        <f aca="false">(1-AS86)*(AS60+AS61+AS62+AS64)/MAX(Time!AS31,1)*Inputs!$F$171</f>
        <v>2.47394166483025</v>
      </c>
      <c r="AT92" s="13" t="n">
        <f aca="false">(1-AT86)*(AT60+AT61+AT62+AT64)/MAX(Time!AT31,1)*Inputs!$F$171</f>
        <v>2.40593255497508</v>
      </c>
      <c r="AU92" s="13" t="n">
        <f aca="false">(1-AU86)*(AU60+AU61+AU62+AU64)/MAX(Time!AU31,1)*Inputs!$F$171</f>
        <v>2.51307711240275</v>
      </c>
      <c r="AV92" s="13" t="n">
        <f aca="false">(1-AV86)*(AV60+AV61+AV62+AV64)/MAX(Time!AV31,1)*Inputs!$F$171</f>
        <v>2.56532592974</v>
      </c>
      <c r="AW92" s="13" t="n">
        <f aca="false">(1-AW86)*(AW60+AW61+AW62+AW64)/MAX(Time!AW31,1)*Inputs!$F$171</f>
        <v>2.67166926488258</v>
      </c>
      <c r="AX92" s="13" t="n">
        <f aca="false">(1-AX86)*(AX60+AX61+AX62+AX64)/MAX(Time!AX31,1)*Inputs!$F$171</f>
        <v>2.71173950246864</v>
      </c>
      <c r="AY92" s="13" t="n">
        <f aca="false">(1-AY86)*(AY60+AY61+AY62+AY64)/MAX(Time!AY31,1)*Inputs!$F$171</f>
        <v>2.79923227733167</v>
      </c>
      <c r="AZ92" s="13" t="n">
        <f aca="false">(1-AZ86)*(AZ60+AZ61+AZ62+AZ64)/MAX(Time!AZ31,1)*Inputs!$F$171</f>
        <v>2.7920527608538</v>
      </c>
      <c r="BA92" s="13" t="n">
        <f aca="false">(1-BA86)*(BA60+BA61+BA62+BA64)/MAX(Time!BA31,1)*Inputs!$F$171</f>
        <v>2.83140586918201</v>
      </c>
      <c r="BB92" s="13" t="n">
        <f aca="false">(1-BB86)*(BB60+BB61+BB62+BB64)/MAX(Time!BB31,1)*Inputs!$F$171</f>
        <v>2.76949879242583</v>
      </c>
      <c r="BC92" s="13" t="n">
        <f aca="false">(1-BC86)*(BC60+BC61+BC62+BC64)/MAX(Time!BC31,1)*Inputs!$F$171</f>
        <v>2.90680628063543</v>
      </c>
      <c r="BD92" s="13" t="n">
        <f aca="false">(1-BD86)*(BD60+BD61+BD62+BD64)/MAX(Time!BD31,1)*Inputs!$F$171</f>
        <v>2.99276113186255</v>
      </c>
      <c r="BE92" s="13" t="n">
        <f aca="false">(1-BE86)*(BE60+BE61+BE62+BE64)/MAX(Time!BE31,1)*Inputs!$F$171</f>
        <v>3.09445943638613</v>
      </c>
      <c r="BF92" s="13" t="n">
        <f aca="false">(1-BF86)*(BF60+BF61+BF62+BF64)/MAX(Time!BF31,1)*Inputs!$F$171</f>
        <v>3.09506413722148</v>
      </c>
      <c r="BG92" s="13" t="n">
        <f aca="false">(1-BG86)*(BG60+BG61+BG62+BG64)/MAX(Time!BG31,1)*Inputs!$F$171</f>
        <v>3.17923908991632</v>
      </c>
      <c r="BH92" s="13" t="n">
        <f aca="false">(1-BH86)*(BH60+BH61+BH62+BH64)/MAX(Time!BH31,1)*Inputs!$F$171</f>
        <v>3.13762164517913</v>
      </c>
      <c r="BI92" s="13" t="n">
        <f aca="false">(1-BI86)*(BI60+BI61+BI62+BI64)/MAX(Time!BI31,1)*Inputs!$F$171</f>
        <v>3.20386320852206</v>
      </c>
      <c r="BJ92" s="13" t="n">
        <f aca="false">(1-BJ86)*(BJ60+BJ61+BJ62+BJ64)/MAX(Time!BJ31,1)*Inputs!$F$171</f>
        <v>3.17623584937689</v>
      </c>
      <c r="BK92" s="13" t="n">
        <f aca="false">(1-BK86)*(BK60+BK61+BK62+BK64)/MAX(Time!BK31,1)*Inputs!$F$171</f>
        <v>3.33214272512837</v>
      </c>
      <c r="BL92" s="13" t="n">
        <f aca="false">(1-BL86)*(BL60+BL61+BL62+BL64)/MAX(Time!BL31,1)*Inputs!$F$171</f>
        <v>3.42647923809582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1.14069305506636</v>
      </c>
      <c r="P93" s="13" t="n">
        <f aca="false">(1-P86)*(P65+P66+P67+P68+P69+P70+P71)/MAX(Time!P31,1)*Inputs!$F$172</f>
        <v>1.15249274999613</v>
      </c>
      <c r="Q93" s="13" t="n">
        <f aca="false">(1-Q86)*(Q65+Q66+Q67+Q68+Q69+Q70+Q71)/MAX(Time!Q31,1)*Inputs!$F$172</f>
        <v>1.18912420594268</v>
      </c>
      <c r="R93" s="13" t="n">
        <f aca="false">(1-R86)*(R65+R66+R67+R68+R69+R70+R71)/MAX(Time!R31,1)*Inputs!$F$172</f>
        <v>1.18625396055397</v>
      </c>
      <c r="S93" s="13" t="n">
        <f aca="false">(1-S86)*(S65+S66+S67+S68+S69+S70+S71)/MAX(Time!S31,1)*Inputs!$F$172</f>
        <v>1.2277245827344</v>
      </c>
      <c r="T93" s="13" t="n">
        <f aca="false">(1-T86)*(T65+T66+T67+T68+T69+T70+T71)/MAX(Time!T31,1)*Inputs!$F$172</f>
        <v>1.23206483918767</v>
      </c>
      <c r="U93" s="13" t="n">
        <f aca="false">(1-U86)*(U65+U66+U67+U68+U69+U70+U71)/MAX(Time!U31,1)*Inputs!$F$172</f>
        <v>1.26328564716821</v>
      </c>
      <c r="V93" s="13" t="n">
        <f aca="false">(1-V86)*(V65+V66+V67+V68+V69+V70+V71)/MAX(Time!V31,1)*Inputs!$F$172</f>
        <v>1.26475026925925</v>
      </c>
      <c r="W93" s="13" t="n">
        <f aca="false">(1-W86)*(W65+W66+W67+W68+W69+W70+W71)/MAX(Time!W31,1)*Inputs!$F$172</f>
        <v>1.3103080184861</v>
      </c>
      <c r="X93" s="13" t="n">
        <f aca="false">(1-X86)*(X65+X66+X67+X68+X69+X70+X71)/MAX(Time!X31,1)*Inputs!$F$172</f>
        <v>1.31709014001508</v>
      </c>
      <c r="Y93" s="13" t="n">
        <f aca="false">(1-Y86)*(Y65+Y66+Y67+Y68+Y69+Y70+Y71)/MAX(Time!Y31,1)*Inputs!$F$172</f>
        <v>1.36186126731718</v>
      </c>
      <c r="Z93" s="13" t="n">
        <f aca="false">(1-Z86)*(Z65+Z66+Z67+Z68+Z69+Z70+Z71)/MAX(Time!Z31,1)*Inputs!$F$172</f>
        <v>1.36327683945476</v>
      </c>
      <c r="AA93" s="13" t="n">
        <f aca="false">(1-AA86)*(AA65+AA66+AA67+AA68+AA69+AA70+AA71)/MAX(Time!AA31,1)*Inputs!$F$172</f>
        <v>1.40794477764314</v>
      </c>
      <c r="AB93" s="13" t="n">
        <f aca="false">(1-AB86)*(AB65+AB66+AB67+AB68+AB69+AB70+AB71)/MAX(Time!AB31,1)*Inputs!$F$172</f>
        <v>1.40575677709706</v>
      </c>
      <c r="AC93" s="13" t="n">
        <f aca="false">(1-AC86)*(AC65+AC66+AC67+AC68+AC69+AC70+AC71)/MAX(Time!AC31,1)*Inputs!$F$172</f>
        <v>1.43688049958641</v>
      </c>
      <c r="AD93" s="13" t="n">
        <f aca="false">(1-AD86)*(AD65+AD66+AD67+AD68+AD69+AD70+AD71)/MAX(Time!AD31,1)*Inputs!$F$172</f>
        <v>1.42701017011122</v>
      </c>
      <c r="AE93" s="13" t="n">
        <f aca="false">(1-AE86)*(AE65+AE66+AE67+AE68+AE69+AE70+AE71)/MAX(Time!AE31,1)*Inputs!$F$172</f>
        <v>1.48543090749898</v>
      </c>
      <c r="AF93" s="13" t="n">
        <f aca="false">(1-AF86)*(AF65+AF66+AF67+AF68+AF69+AF70+AF71)/MAX(Time!AF31,1)*Inputs!$F$172</f>
        <v>1.50340294261142</v>
      </c>
      <c r="AG93" s="13" t="n">
        <f aca="false">(1-AG86)*(AG65+AG66+AG67+AG68+AG69+AG70+AG71)/MAX(Time!AG31,1)*Inputs!$F$172</f>
        <v>1.55166686547098</v>
      </c>
      <c r="AH93" s="13" t="n">
        <f aca="false">(1-AH86)*(AH65+AH66+AH67+AH68+AH69+AH70+AH71)/MAX(Time!AH31,1)*Inputs!$F$172</f>
        <v>1.5462529039031</v>
      </c>
      <c r="AI93" s="13" t="n">
        <f aca="false">(1-AI86)*(AI65+AI66+AI67+AI68+AI69+AI70+AI71)/MAX(Time!AI31,1)*Inputs!$F$172</f>
        <v>1.60316752176048</v>
      </c>
      <c r="AJ93" s="13" t="n">
        <f aca="false">(1-AJ86)*(AJ65+AJ66+AJ67+AJ68+AJ69+AJ70+AJ71)/MAX(Time!AJ31,1)*Inputs!$F$172</f>
        <v>1.61185280729675</v>
      </c>
      <c r="AK93" s="13" t="n">
        <f aca="false">(1-AK86)*(AK65+AK66+AK67+AK68+AK69+AK70+AK71)/MAX(Time!AK31,1)*Inputs!$F$172</f>
        <v>1.65090938635008</v>
      </c>
      <c r="AL93" s="13" t="n">
        <f aca="false">(1-AL86)*(AL65+AL66+AL67+AL68+AL69+AL70+AL71)/MAX(Time!AL31,1)*Inputs!$F$172</f>
        <v>1.6453285605261</v>
      </c>
      <c r="AM93" s="13" t="n">
        <f aca="false">(1-AM86)*(AM65+AM66+AM67+AM68+AM69+AM70+AM71)/MAX(Time!AM31,1)*Inputs!$F$172</f>
        <v>1.7139572200414</v>
      </c>
      <c r="AN93" s="13" t="n">
        <f aca="false">(1-AN86)*(AN65+AN66+AN67+AN68+AN69+AN70+AN71)/MAX(Time!AN31,1)*Inputs!$F$172</f>
        <v>1.73658613604711</v>
      </c>
      <c r="AO93" s="13" t="n">
        <f aca="false">(1-AO86)*(AO65+AO66+AO67+AO68+AO69+AO70+AO71)/MAX(Time!AO31,1)*Inputs!$F$172</f>
        <v>1.79429809080667</v>
      </c>
      <c r="AP93" s="13" t="n">
        <f aca="false">(1-AP86)*(AP65+AP66+AP67+AP68+AP69+AP70+AP71)/MAX(Time!AP31,1)*Inputs!$F$172</f>
        <v>1.79037438014129</v>
      </c>
      <c r="AQ93" s="13" t="n">
        <f aca="false">(1-AQ86)*(AQ65+AQ66+AQ67+AQ68+AQ69+AQ70+AQ71)/MAX(Time!AQ31,1)*Inputs!$F$172</f>
        <v>1.85781301619331</v>
      </c>
      <c r="AR93" s="13" t="n">
        <f aca="false">(1-AR86)*(AR65+AR66+AR67+AR68+AR69+AR70+AR71)/MAX(Time!AR31,1)*Inputs!$F$172</f>
        <v>1.86930600357182</v>
      </c>
      <c r="AS93" s="13" t="n">
        <f aca="false">(1-AS86)*(AS65+AS66+AS67+AS68+AS69+AS70+AS71)/MAX(Time!AS31,1)*Inputs!$F$172</f>
        <v>1.91640840701968</v>
      </c>
      <c r="AT93" s="13" t="n">
        <f aca="false">(1-AT86)*(AT65+AT66+AT67+AT68+AT69+AT70+AT71)/MAX(Time!AT31,1)*Inputs!$F$172</f>
        <v>1.91244462471214</v>
      </c>
      <c r="AU93" s="13" t="n">
        <f aca="false">(1-AU86)*(AU65+AU66+AU67+AU68+AU69+AU70+AU71)/MAX(Time!AU31,1)*Inputs!$F$172</f>
        <v>1.98798211218638</v>
      </c>
      <c r="AV93" s="13" t="n">
        <f aca="false">(1-AV86)*(AV65+AV66+AV67+AV68+AV69+AV70+AV71)/MAX(Time!AV31,1)*Inputs!$F$172</f>
        <v>2.00528792921436</v>
      </c>
      <c r="AW93" s="13" t="n">
        <f aca="false">(1-AW86)*(AW65+AW66+AW67+AW68+AW69+AW70+AW71)/MAX(Time!AW31,1)*Inputs!$F$172</f>
        <v>2.08275816999406</v>
      </c>
      <c r="AX93" s="13" t="n">
        <f aca="false">(1-AX86)*(AX65+AX66+AX67+AX68+AX69+AX70+AX71)/MAX(Time!AX31,1)*Inputs!$F$172</f>
        <v>2.09811315258292</v>
      </c>
      <c r="AY93" s="13" t="n">
        <f aca="false">(1-AY86)*(AY65+AY66+AY67+AY68+AY69+AY70+AY71)/MAX(Time!AY31,1)*Inputs!$F$172</f>
        <v>2.17381228980111</v>
      </c>
      <c r="AZ93" s="13" t="n">
        <f aca="false">(1-AZ86)*(AZ65+AZ66+AZ67+AZ68+AZ69+AZ70+AZ71)/MAX(Time!AZ31,1)*Inputs!$F$172</f>
        <v>2.17859808212705</v>
      </c>
      <c r="BA93" s="13" t="n">
        <f aca="false">(1-BA86)*(BA65+BA66+BA67+BA68+BA69+BA70+BA71)/MAX(Time!BA31,1)*Inputs!$F$172</f>
        <v>2.23663048582186</v>
      </c>
      <c r="BB93" s="13" t="n">
        <f aca="false">(1-BB86)*(BB65+BB66+BB67+BB68+BB69+BB70+BB71)/MAX(Time!BB31,1)*Inputs!$F$172</f>
        <v>2.23662871776509</v>
      </c>
      <c r="BC93" s="13" t="n">
        <f aca="false">(1-BC86)*(BC65+BC66+BC67+BC68+BC69+BC70+BC71)/MAX(Time!BC31,1)*Inputs!$F$172</f>
        <v>2.33014091515129</v>
      </c>
      <c r="BD93" s="13" t="n">
        <f aca="false">(1-BD86)*(BD65+BD66+BD67+BD68+BD69+BD70+BD71)/MAX(Time!BD31,1)*Inputs!$F$172</f>
        <v>2.35939700723461</v>
      </c>
      <c r="BE93" s="13" t="n">
        <f aca="false">(1-BE86)*(BE65+BE66+BE67+BE68+BE69+BE70+BE71)/MAX(Time!BE31,1)*Inputs!$F$172</f>
        <v>2.44701693431389</v>
      </c>
      <c r="BF93" s="13" t="n">
        <f aca="false">(1-BF86)*(BF65+BF66+BF67+BF68+BF69+BF70+BF71)/MAX(Time!BF31,1)*Inputs!$F$172</f>
        <v>2.45573745430765</v>
      </c>
      <c r="BG93" s="13" t="n">
        <f aca="false">(1-BG86)*(BG65+BG66+BG67+BG68+BG69+BG70+BG71)/MAX(Time!BG31,1)*Inputs!$F$172</f>
        <v>2.54190860426698</v>
      </c>
      <c r="BH93" s="13" t="n">
        <f aca="false">(1-BH86)*(BH65+BH66+BH67+BH68+BH69+BH70+BH71)/MAX(Time!BH31,1)*Inputs!$F$172</f>
        <v>2.54027967850232</v>
      </c>
      <c r="BI93" s="13" t="n">
        <f aca="false">(1-BI86)*(BI65+BI66+BI67+BI68+BI69+BI70+BI71)/MAX(Time!BI31,1)*Inputs!$F$172</f>
        <v>2.61490108571499</v>
      </c>
      <c r="BJ93" s="13" t="n">
        <f aca="false">(1-BJ86)*(BJ65+BJ66+BJ67+BJ68+BJ69+BJ70+BJ71)/MAX(Time!BJ31,1)*Inputs!$F$172</f>
        <v>2.62607660288219</v>
      </c>
      <c r="BK93" s="13" t="n">
        <f aca="false">(1-BK86)*(BK65+BK66+BK67+BK68+BK69+BK70+BK71)/MAX(Time!BK31,1)*Inputs!$F$172</f>
        <v>2.73866752438049</v>
      </c>
      <c r="BL93" s="13" t="n">
        <f aca="false">(1-BL86)*(BL65+BL66+BL67+BL68+BL69+BL70+BL71)/MAX(Time!BL31,1)*Inputs!$F$172</f>
        <v>2.77511383212677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14.9072006025031</v>
      </c>
      <c r="P95" s="13" t="n">
        <f aca="false">P88+P89-P90-P91-P92-P93-P94</f>
        <v>14.8876962797167</v>
      </c>
      <c r="Q95" s="13" t="n">
        <f aca="false">Q88+Q89-Q90-Q91-Q92-Q93-Q94</f>
        <v>15.1940695496623</v>
      </c>
      <c r="R95" s="13" t="n">
        <f aca="false">R88+R89-R90-R91-R92-R93-R94</f>
        <v>15.0205760838208</v>
      </c>
      <c r="S95" s="13" t="n">
        <f aca="false">S88+S89-S90-S91-S92-S93-S94</f>
        <v>15.3297750799866</v>
      </c>
      <c r="T95" s="13" t="n">
        <f aca="false">T88+T89-T90-T91-T92-T93-T94</f>
        <v>15.1535738138549</v>
      </c>
      <c r="U95" s="13" t="n">
        <f aca="false">U88+U89-U90-U91-U92-U93-U94</f>
        <v>15.3899951332814</v>
      </c>
      <c r="V95" s="13" t="n">
        <f aca="false">V88+V89-V90-V91-V92-V93-V94</f>
        <v>15.2979090745806</v>
      </c>
      <c r="W95" s="13" t="n">
        <f aca="false">W88+W89-W90-W91-W92-W93-W94</f>
        <v>15.6164122951181</v>
      </c>
      <c r="X95" s="13" t="n">
        <f aca="false">X88+X89-X90-X91-X92-X93-X94</f>
        <v>15.4454495085551</v>
      </c>
      <c r="Y95" s="13" t="n">
        <f aca="false">Y88+Y89-Y90-Y91-Y92-Y93-Y94</f>
        <v>15.7729926062469</v>
      </c>
      <c r="Z95" s="13" t="n">
        <f aca="false">Z88+Z89-Z90-Z91-Z92-Z93-Z94</f>
        <v>15.6052441286371</v>
      </c>
      <c r="AA95" s="13" t="n">
        <f aca="false">AA88+AA89-AA90-AA91-AA92-AA93-AA94</f>
        <v>15.9289467973211</v>
      </c>
      <c r="AB95" s="13" t="n">
        <f aca="false">AB88+AB89-AB90-AB91-AB92-AB93-AB94</f>
        <v>15.7516671389295</v>
      </c>
      <c r="AC95" s="13" t="n">
        <f aca="false">AC88+AC89-AC90-AC91-AC92-AC93-AC94</f>
        <v>16.0066473105286</v>
      </c>
      <c r="AD95" s="13" t="n">
        <f aca="false">AD88+AD89-AD90-AD91-AD92-AD93-AD94</f>
        <v>15.5730876766972</v>
      </c>
      <c r="AE95" s="13" t="n">
        <f aca="false">AE88+AE89-AE90-AE91-AE92-AE93-AE94</f>
        <v>16.2605640556106</v>
      </c>
      <c r="AF95" s="13" t="n">
        <f aca="false">AF88+AF89-AF90-AF91-AF92-AF93-AF94</f>
        <v>16.0866129872349</v>
      </c>
      <c r="AG95" s="13" t="n">
        <f aca="false">AG88+AG89-AG90-AG91-AG92-AG93-AG94</f>
        <v>16.4345599459332</v>
      </c>
      <c r="AH95" s="13" t="n">
        <f aca="false">AH88+AH89-AH90-AH91-AH92-AH93-AH94</f>
        <v>16.2649213599652</v>
      </c>
      <c r="AI95" s="13" t="n">
        <f aca="false">AI88+AI89-AI90-AI91-AI92-AI93-AI94</f>
        <v>16.6182262276494</v>
      </c>
      <c r="AJ95" s="13" t="n">
        <f aca="false">AJ88+AJ89-AJ90-AJ91-AJ92-AJ93-AJ94</f>
        <v>16.4481578973226</v>
      </c>
      <c r="AK95" s="13" t="n">
        <f aca="false">AK88+AK89-AK90-AK91-AK92-AK93-AK94</f>
        <v>16.7225165194681</v>
      </c>
      <c r="AL95" s="13" t="n">
        <f aca="false">AL88+AL89-AL90-AL91-AL92-AL93-AL94</f>
        <v>16.3592479952174</v>
      </c>
      <c r="AM95" s="13" t="n">
        <f aca="false">AM88+AM89-AM90-AM91-AM92-AM93-AM94</f>
        <v>17.0068362692376</v>
      </c>
      <c r="AN95" s="13" t="n">
        <f aca="false">AN88+AN89-AN90-AN91-AN92-AN93-AN94</f>
        <v>16.8396630895569</v>
      </c>
      <c r="AO95" s="13" t="n">
        <f aca="false">AO88+AO89-AO90-AO91-AO92-AO93-AO94</f>
        <v>17.2141635897861</v>
      </c>
      <c r="AP95" s="13" t="n">
        <f aca="false">AP88+AP89-AP90-AP91-AP92-AP93-AP94</f>
        <v>17.0465842753414</v>
      </c>
      <c r="AQ95" s="13" t="n">
        <f aca="false">AQ88+AQ89-AQ90-AQ91-AQ92-AQ93-AQ94</f>
        <v>17.4291456124279</v>
      </c>
      <c r="AR95" s="13" t="n">
        <f aca="false">AR88+AR89-AR90-AR91-AR92-AR93-AR94</f>
        <v>17.2645231668563</v>
      </c>
      <c r="AS95" s="13" t="n">
        <f aca="false">AS88+AS89-AS90-AS91-AS92-AS93-AS94</f>
        <v>17.5626551462215</v>
      </c>
      <c r="AT95" s="13" t="n">
        <f aca="false">AT88+AT89-AT90-AT91-AT92-AT93-AT94</f>
        <v>17.337428320099</v>
      </c>
      <c r="AU95" s="13" t="n">
        <f aca="false">AU88+AU89-AU90-AU91-AU92-AU93-AU94</f>
        <v>17.8837148477794</v>
      </c>
      <c r="AV95" s="13" t="n">
        <f aca="false">AV88+AV89-AV90-AV91-AV92-AV93-AV94</f>
        <v>17.7232233665456</v>
      </c>
      <c r="AW95" s="13" t="n">
        <f aca="false">AW88+AW89-AW90-AW91-AW92-AW93-AW94</f>
        <v>18.1319012686331</v>
      </c>
      <c r="AX95" s="13" t="n">
        <f aca="false">AX88+AX89-AX90-AX91-AX92-AX93-AX94</f>
        <v>17.9730393934125</v>
      </c>
      <c r="AY95" s="13" t="n">
        <f aca="false">AY88+AY89-AY90-AY91-AY92-AY93-AY94</f>
        <v>18.3898030732287</v>
      </c>
      <c r="AZ95" s="13" t="n">
        <f aca="false">AZ88+AZ89-AZ90-AZ91-AZ92-AZ93-AZ94</f>
        <v>18.2287964541517</v>
      </c>
      <c r="BA95" s="13" t="n">
        <f aca="false">BA88+BA89-BA90-BA91-BA92-BA93-BA94</f>
        <v>18.5557892219795</v>
      </c>
      <c r="BB95" s="13" t="n">
        <f aca="false">BB88+BB89-BB90-BB91-BB92-BB93-BB94</f>
        <v>18.4057838089301</v>
      </c>
      <c r="BC95" s="13" t="n">
        <f aca="false">BC88+BC89-BC90-BC91-BC92-BC93-BC94</f>
        <v>18.9242120659696</v>
      </c>
      <c r="BD95" s="13" t="n">
        <f aca="false">BD88+BD89-BD90-BD91-BD92-BD93-BD94</f>
        <v>18.7773654389933</v>
      </c>
      <c r="BE95" s="13" t="n">
        <f aca="false">BE88+BE89-BE90-BE91-BE92-BE93-BE94</f>
        <v>19.2250347359887</v>
      </c>
      <c r="BF95" s="13" t="n">
        <f aca="false">BF88+BF89-BF90-BF91-BF92-BF93-BF94</f>
        <v>19.06967559904</v>
      </c>
      <c r="BG95" s="13" t="n">
        <f aca="false">BG88+BG89-BG90-BG91-BG92-BG93-BG94</f>
        <v>19.5252332169779</v>
      </c>
      <c r="BH95" s="13" t="n">
        <f aca="false">BH88+BH89-BH90-BH91-BH92-BH93-BH94</f>
        <v>19.3645184779448</v>
      </c>
      <c r="BI95" s="13" t="n">
        <f aca="false">BI88+BI89-BI90-BI91-BI92-BI93-BI94</f>
        <v>19.7283533331084</v>
      </c>
      <c r="BJ95" s="13" t="n">
        <f aca="false">BJ88+BJ89-BJ90-BJ91-BJ92-BJ93-BJ94</f>
        <v>19.4369292398845</v>
      </c>
      <c r="BK95" s="13" t="n">
        <f aca="false">BK88+BK89-BK90-BK91-BK92-BK93-BK94</f>
        <v>20.1589374336347</v>
      </c>
      <c r="BL95" s="13" t="n">
        <f aca="false">BL88+BL89-BL90-BL91-BL92-BL93-BL94</f>
        <v>20.0277732090998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14.9072006025031</v>
      </c>
      <c r="P96" s="13" t="n">
        <f aca="false">P95-O95</f>
        <v>-0.0195043227863483</v>
      </c>
      <c r="Q96" s="13" t="n">
        <f aca="false">Q95-P95</f>
        <v>0.306373269945631</v>
      </c>
      <c r="R96" s="13" t="n">
        <f aca="false">R95-Q95</f>
        <v>-0.173493465841498</v>
      </c>
      <c r="S96" s="13" t="n">
        <f aca="false">S95-R95</f>
        <v>0.309198996165799</v>
      </c>
      <c r="T96" s="13" t="n">
        <f aca="false">T95-S95</f>
        <v>-0.176201266131699</v>
      </c>
      <c r="U96" s="13" t="n">
        <f aca="false">U95-T95</f>
        <v>0.236421319426473</v>
      </c>
      <c r="V96" s="13" t="n">
        <f aca="false">V95-U95</f>
        <v>-0.0920860587008168</v>
      </c>
      <c r="W96" s="13" t="n">
        <f aca="false">W95-V95</f>
        <v>0.318503220537524</v>
      </c>
      <c r="X96" s="13" t="n">
        <f aca="false">X95-W95</f>
        <v>-0.170962786563068</v>
      </c>
      <c r="Y96" s="13" t="n">
        <f aca="false">Y95-X95</f>
        <v>0.327543097691812</v>
      </c>
      <c r="Z96" s="13" t="n">
        <f aca="false">Z95-Y95</f>
        <v>-0.167748477609814</v>
      </c>
      <c r="AA96" s="13" t="n">
        <f aca="false">AA95-Z95</f>
        <v>0.323702668684041</v>
      </c>
      <c r="AB96" s="13" t="n">
        <f aca="false">AB95-AA95</f>
        <v>-0.177279658391576</v>
      </c>
      <c r="AC96" s="13" t="n">
        <f aca="false">AC95-AB95</f>
        <v>0.254980171599126</v>
      </c>
      <c r="AD96" s="13" t="n">
        <f aca="false">AD95-AC95</f>
        <v>-0.433559633831393</v>
      </c>
      <c r="AE96" s="13" t="n">
        <f aca="false">AE95-AD95</f>
        <v>0.687476378913388</v>
      </c>
      <c r="AF96" s="13" t="n">
        <f aca="false">AF95-AE95</f>
        <v>-0.173951068375761</v>
      </c>
      <c r="AG96" s="13" t="n">
        <f aca="false">AG95-AF95</f>
        <v>0.347946958698302</v>
      </c>
      <c r="AH96" s="13" t="n">
        <f aca="false">AH95-AG95</f>
        <v>-0.16963858596797</v>
      </c>
      <c r="AI96" s="13" t="n">
        <f aca="false">AI95-AH95</f>
        <v>0.353304867684148</v>
      </c>
      <c r="AJ96" s="13" t="n">
        <f aca="false">AJ95-AI95</f>
        <v>-0.170068330326714</v>
      </c>
      <c r="AK96" s="13" t="n">
        <f aca="false">AK95-AJ95</f>
        <v>0.274358622145446</v>
      </c>
      <c r="AL96" s="13" t="n">
        <f aca="false">AL95-AK95</f>
        <v>-0.363268524250699</v>
      </c>
      <c r="AM96" s="13" t="n">
        <f aca="false">AM95-AL95</f>
        <v>0.64758827402019</v>
      </c>
      <c r="AN96" s="13" t="n">
        <f aca="false">AN95-AM95</f>
        <v>-0.167173179680713</v>
      </c>
      <c r="AO96" s="13" t="n">
        <f aca="false">AO95-AN95</f>
        <v>0.374500500229235</v>
      </c>
      <c r="AP96" s="13" t="n">
        <f aca="false">AP95-AO95</f>
        <v>-0.167579314444669</v>
      </c>
      <c r="AQ96" s="13" t="n">
        <f aca="false">AQ95-AP95</f>
        <v>0.382561337086511</v>
      </c>
      <c r="AR96" s="13" t="n">
        <f aca="false">AR95-AQ95</f>
        <v>-0.164622445571627</v>
      </c>
      <c r="AS96" s="13" t="n">
        <f aca="false">AS95-AR95</f>
        <v>0.298131979365202</v>
      </c>
      <c r="AT96" s="13" t="n">
        <f aca="false">AT95-AS95</f>
        <v>-0.225226826122562</v>
      </c>
      <c r="AU96" s="13" t="n">
        <f aca="false">AU95-AT95</f>
        <v>0.546286527680394</v>
      </c>
      <c r="AV96" s="13" t="n">
        <f aca="false">AV95-AU95</f>
        <v>-0.160491481233748</v>
      </c>
      <c r="AW96" s="13" t="n">
        <f aca="false">AW95-AV95</f>
        <v>0.408677902087479</v>
      </c>
      <c r="AX96" s="13" t="n">
        <f aca="false">AX95-AW95</f>
        <v>-0.158861875220573</v>
      </c>
      <c r="AY96" s="13" t="n">
        <f aca="false">AY95-AX95</f>
        <v>0.416763679816157</v>
      </c>
      <c r="AZ96" s="13" t="n">
        <f aca="false">AZ95-AY95</f>
        <v>-0.161006619076957</v>
      </c>
      <c r="BA96" s="13" t="n">
        <f aca="false">BA95-AZ95</f>
        <v>0.326992767827775</v>
      </c>
      <c r="BB96" s="13" t="n">
        <f aca="false">BB95-BA95</f>
        <v>-0.150005413049339</v>
      </c>
      <c r="BC96" s="13" t="n">
        <f aca="false">BC95-BB95</f>
        <v>0.518428257039446</v>
      </c>
      <c r="BD96" s="13" t="n">
        <f aca="false">BD95-BC95</f>
        <v>-0.14684662697633</v>
      </c>
      <c r="BE96" s="13" t="n">
        <f aca="false">BE95-BD95</f>
        <v>0.447669296995404</v>
      </c>
      <c r="BF96" s="13" t="n">
        <f aca="false">BF95-BE95</f>
        <v>-0.155359136948686</v>
      </c>
      <c r="BG96" s="13" t="n">
        <f aca="false">BG95-BF95</f>
        <v>0.455557617937934</v>
      </c>
      <c r="BH96" s="13" t="n">
        <f aca="false">BH95-BG95</f>
        <v>-0.160714739033089</v>
      </c>
      <c r="BI96" s="13" t="n">
        <f aca="false">BI95-BH95</f>
        <v>0.363834855163599</v>
      </c>
      <c r="BJ96" s="13" t="n">
        <f aca="false">BJ95-BI95</f>
        <v>-0.291424093223895</v>
      </c>
      <c r="BK96" s="13" t="n">
        <f aca="false">BK95-BJ95</f>
        <v>0.722008193750192</v>
      </c>
      <c r="BL96" s="13" t="n">
        <f aca="false">BL95-BK95</f>
        <v>-0.131164224534942</v>
      </c>
      <c r="BM96" s="13" t="n">
        <f aca="false">BM95-BL95</f>
        <v>-20.0277732090998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-5.13145707019371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0.0394918928956933</v>
      </c>
      <c r="P98" s="13" t="n">
        <f aca="false">P51-P73</f>
        <v>0.113403563541297</v>
      </c>
      <c r="Q98" s="13" t="n">
        <f aca="false">Q51-Q73</f>
        <v>0.107540044066681</v>
      </c>
      <c r="R98" s="13" t="n">
        <f aca="false">R51-R73</f>
        <v>0.099121051505918</v>
      </c>
      <c r="S98" s="13" t="n">
        <f aca="false">S51-S73</f>
        <v>0.0940030437554356</v>
      </c>
      <c r="T98" s="13" t="n">
        <f aca="false">T51-T73</f>
        <v>0.0874377647236599</v>
      </c>
      <c r="U98" s="13" t="n">
        <f aca="false">U51-U73</f>
        <v>0.080438575830172</v>
      </c>
      <c r="V98" s="13" t="n">
        <f aca="false">V51-V73</f>
        <v>0.071255373543309</v>
      </c>
      <c r="W98" s="13" t="n">
        <f aca="false">W51-W73</f>
        <v>0.0652631261051795</v>
      </c>
      <c r="X98" s="13" t="n">
        <f aca="false">X51-X73</f>
        <v>0.0582554845748007</v>
      </c>
      <c r="Y98" s="13" t="n">
        <f aca="false">Y51-Y73</f>
        <v>0.0510642604812404</v>
      </c>
      <c r="Z98" s="13" t="n">
        <f aca="false">Z51-Z73</f>
        <v>0.0427574341774459</v>
      </c>
      <c r="AA98" s="13" t="n">
        <f aca="false">AA51-AA73</f>
        <v>0.0348710748275494</v>
      </c>
      <c r="AB98" s="13" t="n">
        <f aca="false">AB51-AB73</f>
        <v>0.0261076170603758</v>
      </c>
      <c r="AC98" s="13" t="n">
        <f aca="false">AC51-AC73</f>
        <v>0.0175677094671727</v>
      </c>
      <c r="AD98" s="13" t="n">
        <f aca="false">AD51-AD73</f>
        <v>0.00869879411406771</v>
      </c>
      <c r="AE98" s="13" t="n">
        <f aca="false">AE51-AE73</f>
        <v>0.000684121819929828</v>
      </c>
      <c r="AF98" s="13" t="n">
        <f aca="false">AF51-AF73</f>
        <v>-0.00802120337954193</v>
      </c>
      <c r="AG98" s="13" t="n">
        <f aca="false">AG51-AG73</f>
        <v>-0.0169303275658308</v>
      </c>
      <c r="AH98" s="13" t="n">
        <f aca="false">AH51-AH73</f>
        <v>-0.0252880409616125</v>
      </c>
      <c r="AI98" s="13" t="n">
        <f aca="false">AI51-AI73</f>
        <v>-0.0348744404239056</v>
      </c>
      <c r="AJ98" s="13" t="n">
        <f aca="false">AJ51-AJ73</f>
        <v>-0.0444148995798344</v>
      </c>
      <c r="AK98" s="13" t="n">
        <f aca="false">AK51-AK73</f>
        <v>-0.0534767497562854</v>
      </c>
      <c r="AL98" s="13" t="n">
        <f aca="false">AL51-AL73</f>
        <v>-0.0601380899238109</v>
      </c>
      <c r="AM98" s="13" t="n">
        <f aca="false">AM51-AM73</f>
        <v>-0.0717192659610646</v>
      </c>
      <c r="AN98" s="13" t="n">
        <f aca="false">AN51-AN73</f>
        <v>-0.0842388377958798</v>
      </c>
      <c r="AO98" s="13" t="n">
        <f aca="false">AO51-AO73</f>
        <v>-0.0947419184452798</v>
      </c>
      <c r="AP98" s="13" t="n">
        <f aca="false">AP51-AP73</f>
        <v>-0.10257944627655</v>
      </c>
      <c r="AQ98" s="13" t="n">
        <f aca="false">AQ51-AQ73</f>
        <v>-0.11497272821552</v>
      </c>
      <c r="AR98" s="13" t="n">
        <f aca="false">AR51-AR73</f>
        <v>-0.126356672797414</v>
      </c>
      <c r="AS98" s="13" t="n">
        <f aca="false">AS51-AS73</f>
        <v>-0.136268175356363</v>
      </c>
      <c r="AT98" s="13" t="n">
        <f aca="false">AT51-AT73</f>
        <v>-0.140621555441925</v>
      </c>
      <c r="AU98" s="13" t="n">
        <f aca="false">AU51-AU73</f>
        <v>-0.154700042657311</v>
      </c>
      <c r="AV98" s="13" t="n">
        <f aca="false">AV51-AV73</f>
        <v>-0.168049337479573</v>
      </c>
      <c r="AW98" s="13" t="n">
        <f aca="false">AW51-AW73</f>
        <v>-0.18291115667985</v>
      </c>
      <c r="AX98" s="13" t="n">
        <f aca="false">AX51-AX73</f>
        <v>-0.196154144718705</v>
      </c>
      <c r="AY98" s="13" t="n">
        <f aca="false">AY51-AY73</f>
        <v>-0.21011932910281</v>
      </c>
      <c r="AZ98" s="13" t="n">
        <f aca="false">AZ51-AZ73</f>
        <v>-0.219718587536519</v>
      </c>
      <c r="BA98" s="13" t="n">
        <f aca="false">BA51-BA73</f>
        <v>-0.230885317845889</v>
      </c>
      <c r="BB98" s="13" t="n">
        <f aca="false">BB51-BB73</f>
        <v>-0.233375364155037</v>
      </c>
      <c r="BC98" s="13" t="n">
        <f aca="false">BC51-BC73</f>
        <v>-0.252478871989112</v>
      </c>
      <c r="BD98" s="13" t="n">
        <f aca="false">BD51-BD73</f>
        <v>-0.271661902811786</v>
      </c>
      <c r="BE98" s="13" t="n">
        <f aca="false">BE51-BE73</f>
        <v>-0.287841679788286</v>
      </c>
      <c r="BF98" s="13" t="n">
        <f aca="false">BF51-BF73</f>
        <v>-0.298403346711069</v>
      </c>
      <c r="BG98" s="13" t="n">
        <f aca="false">BG51-BG73</f>
        <v>-0.31271596015614</v>
      </c>
      <c r="BH98" s="13" t="n">
        <f aca="false">BH51-BH73</f>
        <v>-0.318039414197614</v>
      </c>
      <c r="BI98" s="13" t="n">
        <f aca="false">BI51-BI73</f>
        <v>-0.332102909478962</v>
      </c>
      <c r="BJ98" s="13" t="n">
        <f aca="false">BJ51-BJ73</f>
        <v>-0.336215070025531</v>
      </c>
      <c r="BK98" s="13" t="n">
        <f aca="false">BK51-BK73</f>
        <v>-0.359693450516417</v>
      </c>
      <c r="BL98" s="13" t="n">
        <f aca="false">BL51-BL73</f>
        <v>-0.382911551505245</v>
      </c>
      <c r="BM98" s="13" t="n">
        <f aca="false">BM51-BM73</f>
        <v>-0.266798213446961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836.799904366386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7.53119913929747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22.5935974178924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22.5935974178924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22.5935974178924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22.5935974178924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22.5935974178924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22.5935974178924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22.5935974178924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22.5935974178924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22.5935974178924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21.756797513526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20.0831977047933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20.0831977047933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20.0831977047933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20.0831977047933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20.0831977047933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20.0831977047933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20.0831977047933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20.0831977047933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20.0831977047933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20.0831977047933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20.0831977047933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20.0831977047933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20.0831977047933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20.0831977047933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20.0831977047933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20.0831977047933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20.0831977047933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20.0831977047933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20.0831977047933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20.0831977047933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20.0831977047933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20.0831977047933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20.0831977047933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20.0831977047933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20.0831977047933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20.0831977047933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20.0831977047933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20.0831977047933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20.0831977047933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13.6677317713176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0.836799904366386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0.836799904366386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0.836799904366386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0.836799904366386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0.836799904366386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0.836799904366386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0.836799904366386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0.836799904366386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0.836799904366386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0.557866602910924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225.935974178924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7.53119913929747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22.5935974178924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22.5935974178924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22.5935974178924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22.5935974178924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22.5935974178924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22.5935974178924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22.5935974178924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22.5935974178924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22.5935974178924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15.0623982785949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610.863930187462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6.69439923493109</v>
      </c>
      <c r="Z12" s="13" t="n">
        <f aca="false">Z10-Z11</f>
        <v>20.0831977047933</v>
      </c>
      <c r="AA12" s="13" t="n">
        <f aca="false">AA10-AA11</f>
        <v>20.0831977047933</v>
      </c>
      <c r="AB12" s="13" t="n">
        <f aca="false">AB10-AB11</f>
        <v>20.0831977047933</v>
      </c>
      <c r="AC12" s="13" t="n">
        <f aca="false">AC10-AC11</f>
        <v>20.0831977047933</v>
      </c>
      <c r="AD12" s="13" t="n">
        <f aca="false">AD10-AD11</f>
        <v>20.0831977047933</v>
      </c>
      <c r="AE12" s="13" t="n">
        <f aca="false">AE10-AE11</f>
        <v>20.0831977047933</v>
      </c>
      <c r="AF12" s="13" t="n">
        <f aca="false">AF10-AF11</f>
        <v>20.0831977047933</v>
      </c>
      <c r="AG12" s="13" t="n">
        <f aca="false">AG10-AG11</f>
        <v>20.0831977047933</v>
      </c>
      <c r="AH12" s="13" t="n">
        <f aca="false">AH10-AH11</f>
        <v>20.0831977047933</v>
      </c>
      <c r="AI12" s="13" t="n">
        <f aca="false">AI10-AI11</f>
        <v>20.0831977047933</v>
      </c>
      <c r="AJ12" s="13" t="n">
        <f aca="false">AJ10-AJ11</f>
        <v>20.0831977047933</v>
      </c>
      <c r="AK12" s="13" t="n">
        <f aca="false">AK10-AK11</f>
        <v>20.0831977047933</v>
      </c>
      <c r="AL12" s="13" t="n">
        <f aca="false">AL10-AL11</f>
        <v>20.0831977047933</v>
      </c>
      <c r="AM12" s="13" t="n">
        <f aca="false">AM10-AM11</f>
        <v>20.0831977047933</v>
      </c>
      <c r="AN12" s="13" t="n">
        <f aca="false">AN10-AN11</f>
        <v>20.0831977047933</v>
      </c>
      <c r="AO12" s="13" t="n">
        <f aca="false">AO10-AO11</f>
        <v>20.0831977047933</v>
      </c>
      <c r="AP12" s="13" t="n">
        <f aca="false">AP10-AP11</f>
        <v>20.0831977047933</v>
      </c>
      <c r="AQ12" s="13" t="n">
        <f aca="false">AQ10-AQ11</f>
        <v>20.0831977047933</v>
      </c>
      <c r="AR12" s="13" t="n">
        <f aca="false">AR10-AR11</f>
        <v>20.0831977047933</v>
      </c>
      <c r="AS12" s="13" t="n">
        <f aca="false">AS10-AS11</f>
        <v>20.0831977047933</v>
      </c>
      <c r="AT12" s="13" t="n">
        <f aca="false">AT10-AT11</f>
        <v>20.0831977047933</v>
      </c>
      <c r="AU12" s="13" t="n">
        <f aca="false">AU10-AU11</f>
        <v>20.0831977047933</v>
      </c>
      <c r="AV12" s="13" t="n">
        <f aca="false">AV10-AV11</f>
        <v>20.0831977047933</v>
      </c>
      <c r="AW12" s="13" t="n">
        <f aca="false">AW10-AW11</f>
        <v>20.0831977047933</v>
      </c>
      <c r="AX12" s="13" t="n">
        <f aca="false">AX10-AX11</f>
        <v>20.0831977047933</v>
      </c>
      <c r="AY12" s="13" t="n">
        <f aca="false">AY10-AY11</f>
        <v>20.0831977047933</v>
      </c>
      <c r="AZ12" s="13" t="n">
        <f aca="false">AZ10-AZ11</f>
        <v>20.0831977047933</v>
      </c>
      <c r="BA12" s="13" t="n">
        <f aca="false">BA10-BA11</f>
        <v>20.0831977047933</v>
      </c>
      <c r="BB12" s="13" t="n">
        <f aca="false">BB10-BB11</f>
        <v>20.0831977047933</v>
      </c>
      <c r="BC12" s="13" t="n">
        <f aca="false">BC10-BC11</f>
        <v>13.6677317713176</v>
      </c>
      <c r="BD12" s="13" t="n">
        <f aca="false">BD10-BD11</f>
        <v>0.836799904366386</v>
      </c>
      <c r="BE12" s="13" t="n">
        <f aca="false">BE10-BE11</f>
        <v>0.836799904366386</v>
      </c>
      <c r="BF12" s="13" t="n">
        <f aca="false">BF10-BF11</f>
        <v>0.836799904366386</v>
      </c>
      <c r="BG12" s="13" t="n">
        <f aca="false">BG10-BG11</f>
        <v>0.836799904366386</v>
      </c>
      <c r="BH12" s="13" t="n">
        <f aca="false">BH10-BH11</f>
        <v>0.836799904366386</v>
      </c>
      <c r="BI12" s="13" t="n">
        <f aca="false">BI10-BI11</f>
        <v>0.836799904366386</v>
      </c>
      <c r="BJ12" s="13" t="n">
        <f aca="false">BJ10-BJ11</f>
        <v>0.836799904366386</v>
      </c>
      <c r="BK12" s="13" t="n">
        <f aca="false">BK10-BK11</f>
        <v>0.836799904366386</v>
      </c>
      <c r="BL12" s="13" t="n">
        <f aca="false">BL10-BL11</f>
        <v>0.836799904366386</v>
      </c>
      <c r="BM12" s="13" t="n">
        <f aca="false">BM10-BM11</f>
        <v>0.557866602910924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183.570679504384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3.20207636445449</v>
      </c>
      <c r="P13" s="13" t="n">
        <f aca="false">IF(Time!P20&gt;=Time!$F$12,Waterfall!P33*Inputs!$F$104/100*Time!P31/Inputs!$F$248,0)</f>
        <v>9.81207090153398</v>
      </c>
      <c r="Q13" s="13" t="n">
        <f aca="false">IF(Time!Q20&gt;=Time!$F$12,Waterfall!Q33*Inputs!$F$104/100*Time!Q31/Inputs!$F$248,0)</f>
        <v>9.40483794927452</v>
      </c>
      <c r="R13" s="13" t="n">
        <f aca="false">IF(Time!R20&gt;=Time!$F$12,Waterfall!R33*Inputs!$F$104/100*Time!R31/Inputs!$F$248,0)</f>
        <v>9.40911989049251</v>
      </c>
      <c r="S13" s="13" t="n">
        <f aca="false">IF(Time!S20&gt;=Time!$F$12,Waterfall!S33*Inputs!$F$104/100*Time!S31/Inputs!$F$248,0)</f>
        <v>9.06091646196817</v>
      </c>
      <c r="T13" s="13" t="n">
        <f aca="false">IF(Time!T20&gt;=Time!$F$12,Waterfall!T33*Inputs!$F$104/100*Time!T31/Inputs!$F$248,0)</f>
        <v>9.03401815370012</v>
      </c>
      <c r="U13" s="13" t="n">
        <f aca="false">IF(Time!U20&gt;=Time!$F$12,Waterfall!U33*Inputs!$F$104/100*Time!U31/Inputs!$F$248,0)</f>
        <v>8.72426727248989</v>
      </c>
      <c r="V13" s="13" t="n">
        <f aca="false">IF(Time!V20&gt;=Time!$F$12,Waterfall!V33*Inputs!$F$104/100*Time!V31/Inputs!$F$248,0)</f>
        <v>8.63579413701085</v>
      </c>
      <c r="W13" s="13" t="n">
        <f aca="false">IF(Time!W20&gt;=Time!$F$12,Waterfall!W33*Inputs!$F$104/100*Time!W31/Inputs!$F$248,0)</f>
        <v>8.25018249812935</v>
      </c>
      <c r="X13" s="13" t="n">
        <f aca="false">IF(Time!X20&gt;=Time!$F$12,Waterfall!X33*Inputs!$F$104/100*Time!X31/Inputs!$F$248,0)</f>
        <v>8.08130766388453</v>
      </c>
      <c r="Y13" s="13" t="n">
        <f aca="false">IF(Time!Y20&gt;=Time!$F$12,Waterfall!Y33*Inputs!$F$104/100*Time!Y31/Inputs!$F$248,0)</f>
        <v>7.68983257918155</v>
      </c>
      <c r="Z13" s="13" t="n">
        <f aca="false">IF(Time!Z20&gt;=Time!$F$12,Waterfall!Z33*Inputs!$F$104/100*Time!Z31/Inputs!$F$248,0)</f>
        <v>7.56986697546283</v>
      </c>
      <c r="AA13" s="13" t="n">
        <f aca="false">IF(Time!AA20&gt;=Time!$F$12,Waterfall!AA33*Inputs!$F$104/100*Time!AA31/Inputs!$F$248,0)</f>
        <v>7.1624094881743</v>
      </c>
      <c r="AB13" s="13" t="n">
        <f aca="false">IF(Time!AB20&gt;=Time!$F$12,Waterfall!AB33*Inputs!$F$104/100*Time!AB31/Inputs!$F$248,0)</f>
        <v>7.316850738648</v>
      </c>
      <c r="AC13" s="13" t="n">
        <f aca="false">IF(Time!AC20&gt;=Time!$F$12,Waterfall!AC33*Inputs!$F$104/100*Time!AC31/Inputs!$F$248,0)</f>
        <v>7.22847103418886</v>
      </c>
      <c r="AD13" s="13" t="n">
        <f aca="false">IF(Time!AD20&gt;=Time!$F$12,Waterfall!AD33*Inputs!$F$104/100*Time!AD31/Inputs!$F$248,0)</f>
        <v>7.30720863693476</v>
      </c>
      <c r="AE13" s="13" t="n">
        <f aca="false">IF(Time!AE20&gt;=Time!$F$12,Waterfall!AE33*Inputs!$F$104/100*Time!AE31/Inputs!$F$248,0)</f>
        <v>7.13236581080771</v>
      </c>
      <c r="AF13" s="13" t="n">
        <f aca="false">IF(Time!AF20&gt;=Time!$F$12,Waterfall!AF33*Inputs!$F$104/100*Time!AF31/Inputs!$F$248,0)</f>
        <v>7.14797301853723</v>
      </c>
      <c r="AG13" s="13" t="n">
        <f aca="false">IF(Time!AG20&gt;=Time!$F$12,Waterfall!AG33*Inputs!$F$104/100*Time!AG31/Inputs!$F$248,0)</f>
        <v>6.88318426788362</v>
      </c>
      <c r="AH13" s="13" t="n">
        <f aca="false">IF(Time!AH20&gt;=Time!$F$12,Waterfall!AH33*Inputs!$F$104/100*Time!AH31/Inputs!$F$248,0)</f>
        <v>6.80801135075738</v>
      </c>
      <c r="AI13" s="13" t="n">
        <f aca="false">IF(Time!AI20&gt;=Time!$F$12,Waterfall!AI33*Inputs!$F$104/100*Time!AI31/Inputs!$F$248,0)</f>
        <v>6.43535555954336</v>
      </c>
      <c r="AJ13" s="13" t="n">
        <f aca="false">IF(Time!AJ20&gt;=Time!$F$12,Waterfall!AJ33*Inputs!$F$104/100*Time!AJ31/Inputs!$F$248,0)</f>
        <v>6.21031061421784</v>
      </c>
      <c r="AK13" s="13" t="n">
        <f aca="false">IF(Time!AK20&gt;=Time!$F$12,Waterfall!AK33*Inputs!$F$104/100*Time!AK31/Inputs!$F$248,0)</f>
        <v>5.48278340805745</v>
      </c>
      <c r="AL13" s="13" t="n">
        <f aca="false">IF(Time!AL20&gt;=Time!$F$12,Waterfall!AL33*Inputs!$F$104/100*Time!AL31/Inputs!$F$248,0)</f>
        <v>4.24911656917837</v>
      </c>
      <c r="AM13" s="13" t="n">
        <f aca="false">IF(Time!AM20&gt;=Time!$F$12,Waterfall!AM33*Inputs!$F$104/100*Time!AM31/Inputs!$F$248,0)</f>
        <v>2.94971824540186</v>
      </c>
      <c r="AN13" s="13" t="n">
        <f aca="false">IF(Time!AN20&gt;=Time!$F$12,Waterfall!AN33*Inputs!$F$104/100*Time!AN31/Inputs!$F$248,0)</f>
        <v>1.73926117154889</v>
      </c>
      <c r="AO13" s="13" t="n">
        <f aca="false">IF(Time!AO20&gt;=Time!$F$12,Waterfall!AO33*Inputs!$F$104/100*Time!AO31/Inputs!$F$248,0)</f>
        <v>0.643368742921666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0.660028033762362</v>
      </c>
      <c r="P14" s="3" t="n">
        <f aca="false">IF(Waterfall!P33&gt;0,MIN(1,Inputs!$F$183*(Waterfall!$F$32+MAX(0,Waterfall!O43))/Waterfall!P33),1)</f>
        <v>0.792723859255015</v>
      </c>
      <c r="Q14" s="3" t="n">
        <f aca="false">IF(Waterfall!Q33&gt;0,MIN(1,Inputs!$F$183*(Waterfall!$F$32+MAX(0,Waterfall!P43))/Waterfall!Q33),1)</f>
        <v>0.924335139624747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179.736639367248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2.11346016678783</v>
      </c>
      <c r="P15" s="13" t="n">
        <f aca="false">P13*P14</f>
        <v>7.77826271234785</v>
      </c>
      <c r="Q15" s="13" t="n">
        <f aca="false">Q13*Q14</f>
        <v>8.69322219899078</v>
      </c>
      <c r="R15" s="13" t="n">
        <f aca="false">R13*R14</f>
        <v>9.40911989049251</v>
      </c>
      <c r="S15" s="13" t="n">
        <f aca="false">S13*S14</f>
        <v>9.06091646196817</v>
      </c>
      <c r="T15" s="13" t="n">
        <f aca="false">T13*T14</f>
        <v>9.03401815370012</v>
      </c>
      <c r="U15" s="13" t="n">
        <f aca="false">U13*U14</f>
        <v>8.72426727248989</v>
      </c>
      <c r="V15" s="13" t="n">
        <f aca="false">V13*V14</f>
        <v>8.63579413701085</v>
      </c>
      <c r="W15" s="13" t="n">
        <f aca="false">W13*W14</f>
        <v>8.25018249812935</v>
      </c>
      <c r="X15" s="13" t="n">
        <f aca="false">X13*X14</f>
        <v>8.08130766388453</v>
      </c>
      <c r="Y15" s="13" t="n">
        <f aca="false">Y13*Y14</f>
        <v>7.68983257918155</v>
      </c>
      <c r="Z15" s="13" t="n">
        <f aca="false">Z13*Z14</f>
        <v>7.56986697546283</v>
      </c>
      <c r="AA15" s="13" t="n">
        <f aca="false">AA13*AA14</f>
        <v>7.1624094881743</v>
      </c>
      <c r="AB15" s="13" t="n">
        <f aca="false">AB13*AB14</f>
        <v>7.316850738648</v>
      </c>
      <c r="AC15" s="13" t="n">
        <f aca="false">AC13*AC14</f>
        <v>7.22847103418886</v>
      </c>
      <c r="AD15" s="13" t="n">
        <f aca="false">AD13*AD14</f>
        <v>7.30720863693476</v>
      </c>
      <c r="AE15" s="13" t="n">
        <f aca="false">AE13*AE14</f>
        <v>7.13236581080771</v>
      </c>
      <c r="AF15" s="13" t="n">
        <f aca="false">AF13*AF14</f>
        <v>7.14797301853723</v>
      </c>
      <c r="AG15" s="13" t="n">
        <f aca="false">AG13*AG14</f>
        <v>6.88318426788362</v>
      </c>
      <c r="AH15" s="13" t="n">
        <f aca="false">AH13*AH14</f>
        <v>6.80801135075738</v>
      </c>
      <c r="AI15" s="13" t="n">
        <f aca="false">AI13*AI14</f>
        <v>6.43535555954336</v>
      </c>
      <c r="AJ15" s="13" t="n">
        <f aca="false">AJ13*AJ14</f>
        <v>6.21031061421784</v>
      </c>
      <c r="AK15" s="13" t="n">
        <f aca="false">AK13*AK14</f>
        <v>5.48278340805745</v>
      </c>
      <c r="AL15" s="13" t="n">
        <f aca="false">AL13*AL14</f>
        <v>4.24911656917837</v>
      </c>
      <c r="AM15" s="13" t="n">
        <f aca="false">AM13*AM14</f>
        <v>2.94971824540186</v>
      </c>
      <c r="AN15" s="13" t="n">
        <f aca="false">AN13*AN14</f>
        <v>1.73926117154889</v>
      </c>
      <c r="AO15" s="13" t="n">
        <f aca="false">AO13*AO14</f>
        <v>0.643368742921666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312.044452992129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21.7594966928779</v>
      </c>
      <c r="Q16" s="13" t="n">
        <f aca="false">Debt!Q112+Debt!Q110+Debt!Q104-Debt!Q103</f>
        <v>21.0149410790809</v>
      </c>
      <c r="R16" s="13" t="n">
        <f aca="false">Debt!R112+Debt!R110+Debt!R104-Debt!R103</f>
        <v>20.6873828069729</v>
      </c>
      <c r="S16" s="13" t="n">
        <f aca="false">Debt!S112+Debt!S110+Debt!S104-Debt!S103</f>
        <v>19.8965644072878</v>
      </c>
      <c r="T16" s="13" t="n">
        <f aca="false">Debt!T112+Debt!T110+Debt!T104-Debt!T103</f>
        <v>19.5122048453551</v>
      </c>
      <c r="U16" s="13" t="n">
        <f aca="false">Debt!U112+Debt!U110+Debt!U104-Debt!U103</f>
        <v>18.7497831707378</v>
      </c>
      <c r="V16" s="13" t="n">
        <f aca="false">Debt!V112+Debt!V110+Debt!V104-Debt!V103</f>
        <v>18.23719978844</v>
      </c>
      <c r="W16" s="13" t="n">
        <f aca="false">Debt!W112+Debt!W110+Debt!W104-Debt!W103</f>
        <v>17.3593343651312</v>
      </c>
      <c r="X16" s="13" t="n">
        <f aca="false">Debt!X112+Debt!X110+Debt!X104-Debt!X103</f>
        <v>16.83649315289</v>
      </c>
      <c r="Y16" s="13" t="n">
        <f aca="false">Debt!Y112+Debt!Y110+Debt!Y104-Debt!Y103</f>
        <v>16.4705934502378</v>
      </c>
      <c r="Z16" s="13" t="n">
        <f aca="false">Debt!Z112+Debt!Z110+Debt!Z104-Debt!Z103</f>
        <v>15.9386978198437</v>
      </c>
      <c r="AA16" s="13" t="n">
        <f aca="false">Debt!AA112+Debt!AA110+Debt!AA104-Debt!AA103</f>
        <v>15.0305294417684</v>
      </c>
      <c r="AB16" s="13" t="n">
        <f aca="false">Debt!AB112+Debt!AB110+Debt!AB104-Debt!AB103</f>
        <v>14.1167779548392</v>
      </c>
      <c r="AC16" s="13" t="n">
        <f aca="false">Debt!AC112+Debt!AC110+Debt!AC104-Debt!AC103</f>
        <v>12.8735007062223</v>
      </c>
      <c r="AD16" s="13" t="n">
        <f aca="false">Debt!AD112+Debt!AD110+Debt!AD104-Debt!AD103</f>
        <v>11.8227991565966</v>
      </c>
      <c r="AE16" s="13" t="n">
        <f aca="false">Debt!AE112+Debt!AE110+Debt!AE104-Debt!AE103</f>
        <v>10.4640606724586</v>
      </c>
      <c r="AF16" s="13" t="n">
        <f aca="false">Debt!AF112+Debt!AF110+Debt!AF104-Debt!AF103</f>
        <v>9.27972673570623</v>
      </c>
      <c r="AG16" s="13" t="n">
        <f aca="false">Debt!AG112+Debt!AG110+Debt!AG104-Debt!AG103</f>
        <v>8.05600275211913</v>
      </c>
      <c r="AH16" s="13" t="n">
        <f aca="false">Debt!AH112+Debt!AH110+Debt!AH104-Debt!AH103</f>
        <v>6.76249182271115</v>
      </c>
      <c r="AI16" s="13" t="n">
        <f aca="false">Debt!AI112+Debt!AI110+Debt!AI104-Debt!AI103</f>
        <v>5.29185009326651</v>
      </c>
      <c r="AJ16" s="13" t="n">
        <f aca="false">Debt!AJ112+Debt!AJ110+Debt!AJ104-Debt!AJ103</f>
        <v>3.92093741216236</v>
      </c>
      <c r="AK16" s="13" t="n">
        <f aca="false">Debt!AK112+Debt!AK110+Debt!AK104-Debt!AK103</f>
        <v>2.7171248887355</v>
      </c>
      <c r="AL16" s="13" t="n">
        <f aca="false">Debt!AL112+Debt!AL110+Debt!AL104-Debt!AL103</f>
        <v>2.17439050652746</v>
      </c>
      <c r="AM16" s="13" t="n">
        <f aca="false">Debt!AM112+Debt!AM110+Debt!AM104-Debt!AM103</f>
        <v>1.58171919904559</v>
      </c>
      <c r="AN16" s="13" t="n">
        <f aca="false">Debt!AN112+Debt!AN110+Debt!AN104-Debt!AN103</f>
        <v>0.992429965271668</v>
      </c>
      <c r="AO16" s="13" t="n">
        <f aca="false">Debt!AO112+Debt!AO110+Debt!AO104-Debt!AO103</f>
        <v>0.497420105843378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1375.47867482981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2.63624925352162</v>
      </c>
      <c r="Z18" s="13" t="n">
        <f aca="false">(Operations!Z84-Z16-Z15)*Z17-Z12</f>
        <v>8.75212800980282</v>
      </c>
      <c r="AA18" s="13" t="n">
        <f aca="false">(Operations!AA84-AA16-AA15)*AA17-AA12</f>
        <v>10.2257337615793</v>
      </c>
      <c r="AB18" s="13" t="n">
        <f aca="false">(Operations!AB84-AB16-AB15)*AB17-AB12</f>
        <v>11.1761120663838</v>
      </c>
      <c r="AC18" s="13" t="n">
        <f aca="false">(Operations!AC84-AC16-AC15)*AC17-AC12</f>
        <v>12.8252908774664</v>
      </c>
      <c r="AD18" s="13" t="n">
        <f aca="false">(Operations!AD84-AD16-AD15)*AD17-AD12</f>
        <v>0.958517990498013</v>
      </c>
      <c r="AE18" s="13" t="n">
        <f aca="false">(Operations!AE84-AE16-AE15)*AE17-AE12</f>
        <v>15.8604484037294</v>
      </c>
      <c r="AF18" s="13" t="n">
        <f aca="false">(Operations!AF84-AF16-AF15)*AF17-AF12</f>
        <v>16.9863239939828</v>
      </c>
      <c r="AG18" s="13" t="n">
        <f aca="false">(Operations!AG84-AG16-AG15)*AG17-AG12</f>
        <v>18.7276546590775</v>
      </c>
      <c r="AH18" s="13" t="n">
        <f aca="false">(Operations!AH84-AH16-AH15)*AH17-AH12</f>
        <v>20.4050124183176</v>
      </c>
      <c r="AI18" s="13" t="n">
        <f aca="false">(Operations!AI84-AI16-AI15)*AI17-AI12</f>
        <v>22.4147765317204</v>
      </c>
      <c r="AJ18" s="13" t="n">
        <f aca="false">(Operations!AJ84-AJ16-AJ15)*AJ17-AJ12</f>
        <v>24.1369995015483</v>
      </c>
      <c r="AK18" s="13" t="n">
        <f aca="false">(Operations!AK84-AK16-AK15)*AK17-AK12</f>
        <v>26.3964314790668</v>
      </c>
      <c r="AL18" s="13" t="n">
        <f aca="false">(Operations!AL84-AL16-AL15)*AL17-AL12</f>
        <v>24.4779934646424</v>
      </c>
      <c r="AM18" s="13" t="n">
        <f aca="false">(Operations!AM84-AM16-AM15)*AM17-AM12</f>
        <v>30.6120597276389</v>
      </c>
      <c r="AN18" s="13" t="n">
        <f aca="false">(Operations!AN84-AN16-AN15)*AN17-AN12</f>
        <v>32.3939372232496</v>
      </c>
      <c r="AO18" s="13" t="n">
        <f aca="false">(Operations!AO84-AO16-AO15)*AO17-AO12</f>
        <v>34.2703109728234</v>
      </c>
      <c r="AP18" s="13" t="n">
        <f aca="false">(Operations!AP84-AP16-AP15)*AP17-AP12</f>
        <v>35.7512917810977</v>
      </c>
      <c r="AQ18" s="13" t="n">
        <f aca="false">(Operations!AQ84-AQ16-AQ15)*AQ17-AQ12</f>
        <v>35.9558906191469</v>
      </c>
      <c r="AR18" s="13" t="n">
        <f aca="false">(Operations!AR84-AR16-AR15)*AR17-AR12</f>
        <v>36.1236761866768</v>
      </c>
      <c r="AS18" s="13" t="n">
        <f aca="false">(Operations!AS84-AS16-AS15)*AS17-AS12</f>
        <v>36.4927079835997</v>
      </c>
      <c r="AT18" s="13" t="n">
        <f aca="false">(Operations!AT84-AT16-AT15)*AT17-AT12</f>
        <v>22.2929207378032</v>
      </c>
      <c r="AU18" s="13" t="n">
        <f aca="false">(Operations!AU84-AU16-AU15)*AU17-AU12</f>
        <v>37.1843999419611</v>
      </c>
      <c r="AV18" s="13" t="n">
        <f aca="false">(Operations!AV84-AV16-AV15)*AV17-AV12</f>
        <v>37.3301117440912</v>
      </c>
      <c r="AW18" s="13" t="n">
        <f aca="false">(Operations!AW84-AW16-AW15)*AW17-AW12</f>
        <v>37.563001711832</v>
      </c>
      <c r="AX18" s="13" t="n">
        <f aca="false">(Operations!AX84-AX16-AX15)*AX17-AX12</f>
        <v>37.7557902626423</v>
      </c>
      <c r="AY18" s="13" t="n">
        <f aca="false">(Operations!AY84-AY16-AY15)*AY17-AY12</f>
        <v>38.0622795710068</v>
      </c>
      <c r="AZ18" s="13" t="n">
        <f aca="false">(Operations!AZ84-AZ16-AZ15)*AZ17-AZ12</f>
        <v>38.390542826436</v>
      </c>
      <c r="BA18" s="13" t="n">
        <f aca="false">(Operations!BA84-BA16-BA15)*BA17-BA12</f>
        <v>38.7977633818051</v>
      </c>
      <c r="BB18" s="13" t="n">
        <f aca="false">(Operations!BB84-BB16-BB15)*BB17-BB12</f>
        <v>35.4587285339757</v>
      </c>
      <c r="BC18" s="13" t="n">
        <f aca="false">(Operations!BC84-BC16-BC15)*BC17-BC12</f>
        <v>45.9533382376381</v>
      </c>
      <c r="BD18" s="13" t="n">
        <f aca="false">(Operations!BD84-BD16-BD15)*BD17-BD12</f>
        <v>58.9216501402031</v>
      </c>
      <c r="BE18" s="13" t="n">
        <f aca="false">(Operations!BE84-BE16-BE15)*BE17-BE12</f>
        <v>59.2631144757034</v>
      </c>
      <c r="BF18" s="13" t="n">
        <f aca="false">(Operations!BF84-BF16-BF15)*BF17-BF12</f>
        <v>59.6213523831745</v>
      </c>
      <c r="BG18" s="13" t="n">
        <f aca="false">(Operations!BG84-BG16-BG15)*BG17-BG12</f>
        <v>60.0273568992388</v>
      </c>
      <c r="BH18" s="13" t="n">
        <f aca="false">(Operations!BH84-BH16-BH15)*BH17-BH12</f>
        <v>60.4990707907475</v>
      </c>
      <c r="BI18" s="13" t="n">
        <f aca="false">(Operations!BI84-BI16-BI15)*BI17-BI12</f>
        <v>60.9255989344368</v>
      </c>
      <c r="BJ18" s="13" t="n">
        <f aca="false">(Operations!BJ84-BJ16-BJ15)*BJ17-BJ12</f>
        <v>43.7082503916146</v>
      </c>
      <c r="BK18" s="13" t="n">
        <f aca="false">(Operations!BK84-BK16-BK15)*BK17-BK12</f>
        <v>61.7159998965004</v>
      </c>
      <c r="BL18" s="13" t="n">
        <f aca="false">(Operations!BL84-BL16-BL15)*BL17-BL12</f>
        <v>61.9340382922501</v>
      </c>
      <c r="BM18" s="13" t="n">
        <f aca="false">(Operations!BM84-BM16-BM15)*BM17-BM12</f>
        <v>22.4938187711743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225.935974178924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2.63624925352162</v>
      </c>
      <c r="Z20" s="13" t="n">
        <f aca="false">MIN(Y21,MAX(0,Z18-Z19))</f>
        <v>8.75212800980282</v>
      </c>
      <c r="AA20" s="13" t="n">
        <f aca="false">MIN(Z21,MAX(0,AA18-AA19))</f>
        <v>10.2257337615793</v>
      </c>
      <c r="AB20" s="13" t="n">
        <f aca="false">MIN(AA21,MAX(0,AB18-AB19))</f>
        <v>11.1761120663838</v>
      </c>
      <c r="AC20" s="13" t="n">
        <f aca="false">MIN(AB21,MAX(0,AC18-AC19))</f>
        <v>12.8252908774664</v>
      </c>
      <c r="AD20" s="13" t="n">
        <f aca="false">MIN(AC21,MAX(0,AD18-AD19))</f>
        <v>0.958517990498013</v>
      </c>
      <c r="AE20" s="13" t="n">
        <f aca="false">MIN(AD21,MAX(0,AE18-AE19))</f>
        <v>15.8604484037294</v>
      </c>
      <c r="AF20" s="13" t="n">
        <f aca="false">MIN(AE21,MAX(0,AF18-AF19))</f>
        <v>16.9863239939828</v>
      </c>
      <c r="AG20" s="13" t="n">
        <f aca="false">MIN(AF21,MAX(0,AG18-AG19))</f>
        <v>18.7276546590775</v>
      </c>
      <c r="AH20" s="13" t="n">
        <f aca="false">MIN(AG21,MAX(0,AH18-AH19))</f>
        <v>20.4050124183176</v>
      </c>
      <c r="AI20" s="13" t="n">
        <f aca="false">MIN(AH21,MAX(0,AI18-AI19))</f>
        <v>22.4147765317204</v>
      </c>
      <c r="AJ20" s="13" t="n">
        <f aca="false">MIN(AI21,MAX(0,AJ18-AJ19))</f>
        <v>24.1369995015483</v>
      </c>
      <c r="AK20" s="13" t="n">
        <f aca="false">MIN(AJ21,MAX(0,AK18-AK19))</f>
        <v>26.3964314790668</v>
      </c>
      <c r="AL20" s="13" t="n">
        <f aca="false">MIN(AK21,MAX(0,AL18-AL19))</f>
        <v>24.4779934646424</v>
      </c>
      <c r="AM20" s="13" t="n">
        <f aca="false">MIN(AL21,MAX(0,AM18-AM19))</f>
        <v>9.95630176758714</v>
      </c>
      <c r="AN20" s="13" t="n">
        <f aca="false">MIN(AM21,MAX(0,AN18-AN19))</f>
        <v>0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7.53119913929747</v>
      </c>
      <c r="P21" s="13" t="n">
        <f aca="false">O21+P11-P20</f>
        <v>30.1247965571899</v>
      </c>
      <c r="Q21" s="13" t="n">
        <f aca="false">P21+Q11-Q20</f>
        <v>52.7183939750823</v>
      </c>
      <c r="R21" s="13" t="n">
        <f aca="false">Q21+R11-R20</f>
        <v>75.3119913929747</v>
      </c>
      <c r="S21" s="13" t="n">
        <f aca="false">R21+S11-S20</f>
        <v>97.9055888108672</v>
      </c>
      <c r="T21" s="13" t="n">
        <f aca="false">S21+T11-T20</f>
        <v>120.49918622876</v>
      </c>
      <c r="U21" s="13" t="n">
        <f aca="false">T21+U11-U20</f>
        <v>143.092783646652</v>
      </c>
      <c r="V21" s="13" t="n">
        <f aca="false">U21+V11-V20</f>
        <v>165.686381064544</v>
      </c>
      <c r="W21" s="13" t="n">
        <f aca="false">V21+W11-W20</f>
        <v>188.279978482437</v>
      </c>
      <c r="X21" s="13" t="n">
        <f aca="false">W21+X11-X20</f>
        <v>210.873575900329</v>
      </c>
      <c r="Y21" s="13" t="n">
        <f aca="false">X21+Y11-Y20</f>
        <v>223.299724925403</v>
      </c>
      <c r="Z21" s="13" t="n">
        <f aca="false">Y21+Z11-Z20</f>
        <v>214.5475969156</v>
      </c>
      <c r="AA21" s="13" t="n">
        <f aca="false">Z21+AA11-AA20</f>
        <v>204.32186315402</v>
      </c>
      <c r="AB21" s="13" t="n">
        <f aca="false">AA21+AB11-AB20</f>
        <v>193.145751087637</v>
      </c>
      <c r="AC21" s="13" t="n">
        <f aca="false">AB21+AC11-AC20</f>
        <v>180.32046021017</v>
      </c>
      <c r="AD21" s="13" t="n">
        <f aca="false">AC21+AD11-AD20</f>
        <v>179.361942219672</v>
      </c>
      <c r="AE21" s="13" t="n">
        <f aca="false">AD21+AE11-AE20</f>
        <v>163.501493815943</v>
      </c>
      <c r="AF21" s="13" t="n">
        <f aca="false">AE21+AF11-AF20</f>
        <v>146.51516982196</v>
      </c>
      <c r="AG21" s="13" t="n">
        <f aca="false">AF21+AG11-AG20</f>
        <v>127.787515162883</v>
      </c>
      <c r="AH21" s="13" t="n">
        <f aca="false">AG21+AH11-AH20</f>
        <v>107.382502744565</v>
      </c>
      <c r="AI21" s="13" t="n">
        <f aca="false">AH21+AI11-AI20</f>
        <v>84.9677262128447</v>
      </c>
      <c r="AJ21" s="13" t="n">
        <f aca="false">AI21+AJ11-AJ20</f>
        <v>60.8307267112964</v>
      </c>
      <c r="AK21" s="13" t="n">
        <f aca="false">AJ21+AK11-AK20</f>
        <v>34.4342952322296</v>
      </c>
      <c r="AL21" s="13" t="n">
        <f aca="false">AK21+AL11-AL20</f>
        <v>9.95630176758714</v>
      </c>
      <c r="AM21" s="13" t="n">
        <f aca="false">AL21+AM11-AM20</f>
        <v>0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1149.54270065088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20.6557579600518</v>
      </c>
      <c r="AN23" s="13" t="n">
        <f aca="false">MAX(0,AN18-AN19-AN20)</f>
        <v>32.3939372232496</v>
      </c>
      <c r="AO23" s="13" t="n">
        <f aca="false">MAX(0,AO18-AO19-AO20)</f>
        <v>34.2703109728234</v>
      </c>
      <c r="AP23" s="13" t="n">
        <f aca="false">MAX(0,AP18-AP19-AP20)</f>
        <v>35.7512917810977</v>
      </c>
      <c r="AQ23" s="13" t="n">
        <f aca="false">MAX(0,AQ18-AQ19-AQ20)</f>
        <v>35.9558906191469</v>
      </c>
      <c r="AR23" s="13" t="n">
        <f aca="false">MAX(0,AR18-AR19-AR20)</f>
        <v>36.1236761866768</v>
      </c>
      <c r="AS23" s="13" t="n">
        <f aca="false">MAX(0,AS18-AS19-AS20)</f>
        <v>36.4927079835997</v>
      </c>
      <c r="AT23" s="13" t="n">
        <f aca="false">MAX(0,AT18-AT19-AT20)</f>
        <v>22.2929207378032</v>
      </c>
      <c r="AU23" s="13" t="n">
        <f aca="false">MAX(0,AU18-AU19-AU20)</f>
        <v>37.1843999419611</v>
      </c>
      <c r="AV23" s="13" t="n">
        <f aca="false">MAX(0,AV18-AV19-AV20)</f>
        <v>37.3301117440912</v>
      </c>
      <c r="AW23" s="13" t="n">
        <f aca="false">MAX(0,AW18-AW19-AW20)</f>
        <v>37.563001711832</v>
      </c>
      <c r="AX23" s="13" t="n">
        <f aca="false">MAX(0,AX18-AX19-AX20)</f>
        <v>37.7557902626423</v>
      </c>
      <c r="AY23" s="13" t="n">
        <f aca="false">MAX(0,AY18-AY19-AY20)</f>
        <v>38.0622795710068</v>
      </c>
      <c r="AZ23" s="13" t="n">
        <f aca="false">MAX(0,AZ18-AZ19-AZ20)</f>
        <v>38.390542826436</v>
      </c>
      <c r="BA23" s="13" t="n">
        <f aca="false">MAX(0,BA18-BA19-BA20)</f>
        <v>38.7977633818051</v>
      </c>
      <c r="BB23" s="13" t="n">
        <f aca="false">MAX(0,BB18-BB19-BB20)</f>
        <v>35.4587285339757</v>
      </c>
      <c r="BC23" s="13" t="n">
        <f aca="false">MAX(0,BC18-BC19-BC20)</f>
        <v>45.9533382376381</v>
      </c>
      <c r="BD23" s="13" t="n">
        <f aca="false">MAX(0,BD18-BD19-BD20)</f>
        <v>58.9216501402031</v>
      </c>
      <c r="BE23" s="13" t="n">
        <f aca="false">MAX(0,BE18-BE19-BE20)</f>
        <v>59.2631144757034</v>
      </c>
      <c r="BF23" s="13" t="n">
        <f aca="false">MAX(0,BF18-BF19-BF20)</f>
        <v>59.6213523831745</v>
      </c>
      <c r="BG23" s="13" t="n">
        <f aca="false">MAX(0,BG18-BG19-BG20)</f>
        <v>60.0273568992388</v>
      </c>
      <c r="BH23" s="13" t="n">
        <f aca="false">MAX(0,BH18-BH19-BH20)</f>
        <v>60.4990707907475</v>
      </c>
      <c r="BI23" s="13" t="n">
        <f aca="false">MAX(0,BI18-BI19-BI20)</f>
        <v>60.9255989344368</v>
      </c>
      <c r="BJ23" s="13" t="n">
        <f aca="false">MAX(0,BJ18-BJ19-BJ20)</f>
        <v>43.7082503916146</v>
      </c>
      <c r="BK23" s="13" t="n">
        <f aca="false">MAX(0,BK18-BK19-BK20)</f>
        <v>61.7159998965004</v>
      </c>
      <c r="BL23" s="13" t="n">
        <f aca="false">MAX(0,BL18-BL19-BL20)</f>
        <v>61.9340382922501</v>
      </c>
      <c r="BM23" s="13" t="n">
        <f aca="false">MAX(0,BM18-BM19-BM20)</f>
        <v>22.4938187711743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344.862810195264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6.19672738801554</v>
      </c>
      <c r="AN25" s="13" t="n">
        <f aca="false">AN23*AN24</f>
        <v>9.71818116697487</v>
      </c>
      <c r="AO25" s="13" t="n">
        <f aca="false">AO23*AO24</f>
        <v>10.281093291847</v>
      </c>
      <c r="AP25" s="13" t="n">
        <f aca="false">AP23*AP24</f>
        <v>10.7253875343293</v>
      </c>
      <c r="AQ25" s="13" t="n">
        <f aca="false">AQ23*AQ24</f>
        <v>10.7867671857441</v>
      </c>
      <c r="AR25" s="13" t="n">
        <f aca="false">AR23*AR24</f>
        <v>10.837102856003</v>
      </c>
      <c r="AS25" s="13" t="n">
        <f aca="false">AS23*AS24</f>
        <v>10.9478123950799</v>
      </c>
      <c r="AT25" s="13" t="n">
        <f aca="false">AT23*AT24</f>
        <v>6.68787622134096</v>
      </c>
      <c r="AU25" s="13" t="n">
        <f aca="false">AU23*AU24</f>
        <v>11.1553199825883</v>
      </c>
      <c r="AV25" s="13" t="n">
        <f aca="false">AV23*AV24</f>
        <v>11.1990335232274</v>
      </c>
      <c r="AW25" s="13" t="n">
        <f aca="false">AW23*AW24</f>
        <v>11.2689005135496</v>
      </c>
      <c r="AX25" s="13" t="n">
        <f aca="false">AX23*AX24</f>
        <v>11.3267370787927</v>
      </c>
      <c r="AY25" s="13" t="n">
        <f aca="false">AY23*AY24</f>
        <v>11.418683871302</v>
      </c>
      <c r="AZ25" s="13" t="n">
        <f aca="false">AZ23*AZ24</f>
        <v>11.5171628479308</v>
      </c>
      <c r="BA25" s="13" t="n">
        <f aca="false">BA23*BA24</f>
        <v>11.6393290145415</v>
      </c>
      <c r="BB25" s="13" t="n">
        <f aca="false">BB23*BB24</f>
        <v>10.6376185601927</v>
      </c>
      <c r="BC25" s="13" t="n">
        <f aca="false">BC23*BC24</f>
        <v>13.7860014712914</v>
      </c>
      <c r="BD25" s="13" t="n">
        <f aca="false">BD23*BD24</f>
        <v>17.6764950420609</v>
      </c>
      <c r="BE25" s="13" t="n">
        <f aca="false">BE23*BE24</f>
        <v>17.778934342711</v>
      </c>
      <c r="BF25" s="13" t="n">
        <f aca="false">BF23*BF24</f>
        <v>17.8864057149524</v>
      </c>
      <c r="BG25" s="13" t="n">
        <f aca="false">BG23*BG24</f>
        <v>18.0082070697716</v>
      </c>
      <c r="BH25" s="13" t="n">
        <f aca="false">BH23*BH24</f>
        <v>18.1497212372243</v>
      </c>
      <c r="BI25" s="13" t="n">
        <f aca="false">BI23*BI24</f>
        <v>18.277679680331</v>
      </c>
      <c r="BJ25" s="13" t="n">
        <f aca="false">BJ23*BJ24</f>
        <v>13.1124751174844</v>
      </c>
      <c r="BK25" s="13" t="n">
        <f aca="false">BK23*BK24</f>
        <v>18.5147999689501</v>
      </c>
      <c r="BL25" s="13" t="n">
        <f aca="false">BL23*BL24</f>
        <v>18.580211487675</v>
      </c>
      <c r="BM25" s="13" t="n">
        <f aca="false">BM23*BM24</f>
        <v>6.74814563135229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16.8949386476953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0.119253558735222</v>
      </c>
      <c r="Z26" s="13" t="n">
        <f aca="false">IF(Time!Z30&gt;0,Inputs!$F$176/100*Operations!Z55*(Z8+Z9)/Time!Z30,0)</f>
        <v>0.360330299703011</v>
      </c>
      <c r="AA26" s="13" t="n">
        <f aca="false">IF(Time!AA30&gt;0,Inputs!$F$176/100*Operations!AA55*(AA8+AA9)/Time!AA30,0)</f>
        <v>0.362688218841561</v>
      </c>
      <c r="AB26" s="13" t="n">
        <f aca="false">IF(Time!AB30&gt;0,Inputs!$F$176/100*Operations!AB55*(AB8+AB9)/Time!AB30,0)</f>
        <v>0.364938238741086</v>
      </c>
      <c r="AC26" s="13" t="n">
        <f aca="false">IF(Time!AC30&gt;0,Inputs!$F$176/100*Operations!AC55*(AC8+AC9)/Time!AC30,0)</f>
        <v>0.366614477821428</v>
      </c>
      <c r="AD26" s="13" t="n">
        <f aca="false">IF(Time!AD30&gt;0,Inputs!$F$176/100*Operations!AD55*(AD8+AD9)/Time!AD30,0)</f>
        <v>0.360581569238638</v>
      </c>
      <c r="AE26" s="13" t="n">
        <f aca="false">IF(Time!AE30&gt;0,Inputs!$F$176/100*Operations!AE55*(AE8+AE9)/Time!AE30,0)</f>
        <v>0.370912153953016</v>
      </c>
      <c r="AF26" s="13" t="n">
        <f aca="false">IF(Time!AF30&gt;0,Inputs!$F$176/100*Operations!AF55*(AF8+AF9)/Time!AF30,0)</f>
        <v>0.375445733315541</v>
      </c>
      <c r="AG26" s="13" t="n">
        <f aca="false">IF(Time!AG30&gt;0,Inputs!$F$176/100*Operations!AG55*(AG8+AG9)/Time!AG30,0)</f>
        <v>0.377899107581401</v>
      </c>
      <c r="AH26" s="13" t="n">
        <f aca="false">IF(Time!AH30&gt;0,Inputs!$F$176/100*Operations!AH55*(AH8+AH9)/Time!AH30,0)</f>
        <v>0.380013131434513</v>
      </c>
      <c r="AI26" s="13" t="n">
        <f aca="false">IF(Time!AI30&gt;0,Inputs!$F$176/100*Operations!AI55*(AI8+AI9)/Time!AI30,0)</f>
        <v>0.383292779929835</v>
      </c>
      <c r="AJ26" s="13" t="n">
        <f aca="false">IF(Time!AJ30&gt;0,Inputs!$F$176/100*Operations!AJ55*(AJ8+AJ9)/Time!AJ30,0)</f>
        <v>0.386999961222321</v>
      </c>
      <c r="AK26" s="13" t="n">
        <f aca="false">IF(Time!AK30&gt;0,Inputs!$F$176/100*Operations!AK55*(AK8+AK9)/Time!AK30,0)</f>
        <v>0.389221816471203</v>
      </c>
      <c r="AL26" s="13" t="n">
        <f aca="false">IF(Time!AL30&gt;0,Inputs!$F$176/100*Operations!AL55*(AL8+AL9)/Time!AL30,0)</f>
        <v>0.385045760669201</v>
      </c>
      <c r="AM26" s="13" t="n">
        <f aca="false">IF(Time!AM30&gt;0,Inputs!$F$176/100*Operations!AM55*(AM8+AM9)/Time!AM30,0)</f>
        <v>0.394804540851665</v>
      </c>
      <c r="AN26" s="13" t="n">
        <f aca="false">IF(Time!AN30&gt;0,Inputs!$F$176/100*Operations!AN55*(AN8+AN9)/Time!AN30,0)</f>
        <v>0.400169686355445</v>
      </c>
      <c r="AO26" s="13" t="n">
        <f aca="false">IF(Time!AO30&gt;0,Inputs!$F$176/100*Operations!AO55*(AO8+AO9)/Time!AO30,0)</f>
        <v>0.403144701941812</v>
      </c>
      <c r="AP26" s="13" t="n">
        <f aca="false">IF(Time!AP30&gt;0,Inputs!$F$176/100*Operations!AP55*(AP8+AP9)/Time!AP30,0)</f>
        <v>0.405773344884679</v>
      </c>
      <c r="AQ26" s="13" t="n">
        <f aca="false">IF(Time!AQ30&gt;0,Inputs!$F$176/100*Operations!AQ55*(AQ8+AQ9)/Time!AQ30,0)</f>
        <v>0.409662212813871</v>
      </c>
      <c r="AR26" s="13" t="n">
        <f aca="false">IF(Time!AR30&gt;0,Inputs!$F$176/100*Operations!AR55*(AR8+AR9)/Time!AR30,0)</f>
        <v>0.414038017077306</v>
      </c>
      <c r="AS26" s="13" t="n">
        <f aca="false">IF(Time!AS30&gt;0,Inputs!$F$176/100*Operations!AS55*(AS8+AS9)/Time!AS30,0)</f>
        <v>0.416734821498194</v>
      </c>
      <c r="AT26" s="13" t="n">
        <f aca="false">IF(Time!AT30&gt;0,Inputs!$F$176/100*Operations!AT55*(AT8+AT9)/Time!AT30,0)</f>
        <v>0.415450606065208</v>
      </c>
      <c r="AU26" s="13" t="n">
        <f aca="false">IF(Time!AU30&gt;0,Inputs!$F$176/100*Operations!AU55*(AU8+AU9)/Time!AU30,0)</f>
        <v>0.422893441722164</v>
      </c>
      <c r="AV26" s="13" t="n">
        <f aca="false">IF(Time!AV30&gt;0,Inputs!$F$176/100*Operations!AV55*(AV8+AV9)/Time!AV30,0)</f>
        <v>0.42807228560642</v>
      </c>
      <c r="AW26" s="13" t="n">
        <f aca="false">IF(Time!AW30&gt;0,Inputs!$F$176/100*Operations!AW55*(AW8+AW9)/Time!AW30,0)</f>
        <v>0.432570780485304</v>
      </c>
      <c r="AX26" s="13" t="n">
        <f aca="false">IF(Time!AX30&gt;0,Inputs!$F$176/100*Operations!AX55*(AX8+AX9)/Time!AX30,0)</f>
        <v>0.437677858649019</v>
      </c>
      <c r="AY26" s="13" t="n">
        <f aca="false">IF(Time!AY30&gt;0,Inputs!$F$176/100*Operations!AY55*(AY8+AY9)/Time!AY30,0)</f>
        <v>0.441798160799687</v>
      </c>
      <c r="AZ26" s="13" t="n">
        <f aca="false">IF(Time!AZ30&gt;0,Inputs!$F$176/100*Operations!AZ55*(AZ8+AZ9)/Time!AZ30,0)</f>
        <v>0.445900588111909</v>
      </c>
      <c r="BA26" s="13" t="n">
        <f aca="false">IF(Time!BA30&gt;0,Inputs!$F$176/100*Operations!BA55*(BA8+BA9)/Time!BA30,0)</f>
        <v>0.449289668124005</v>
      </c>
      <c r="BB26" s="13" t="n">
        <f aca="false">IF(Time!BB30&gt;0,Inputs!$F$176/100*Operations!BB55*(BB8+BB9)/Time!BB30,0)</f>
        <v>0.450086981688176</v>
      </c>
      <c r="BC26" s="13" t="n">
        <f aca="false">IF(Time!BC30&gt;0,Inputs!$F$176/100*Operations!BC55*(BC8+BC9)/Time!BC30,0)</f>
        <v>0.457348984810957</v>
      </c>
      <c r="BD26" s="13" t="n">
        <f aca="false">IF(Time!BD30&gt;0,Inputs!$F$176/100*Operations!BD55*(BD8+BD9)/Time!BD30,0)</f>
        <v>0.464283409335886</v>
      </c>
      <c r="BE26" s="13" t="n">
        <f aca="false">IF(Time!BE30&gt;0,Inputs!$F$176/100*Operations!BE55*(BE8+BE9)/Time!BE30,0)</f>
        <v>0.469106650815408</v>
      </c>
      <c r="BF26" s="13" t="n">
        <f aca="false">IF(Time!BF30&gt;0,Inputs!$F$176/100*Operations!BF55*(BF8+BF9)/Time!BF30,0)</f>
        <v>0.474007360311487</v>
      </c>
      <c r="BG26" s="13" t="n">
        <f aca="false">IF(Time!BG30&gt;0,Inputs!$F$176/100*Operations!BG55*(BG8+BG9)/Time!BG30,0)</f>
        <v>0.478472319260003</v>
      </c>
      <c r="BH26" s="13" t="n">
        <f aca="false">IF(Time!BH30&gt;0,Inputs!$F$176/100*Operations!BH55*(BH8+BH9)/Time!BH30,0)</f>
        <v>0.482391857806122</v>
      </c>
      <c r="BI26" s="13" t="n">
        <f aca="false">IF(Time!BI30&gt;0,Inputs!$F$176/100*Operations!BI55*(BI8+BI9)/Time!BI30,0)</f>
        <v>0.486975025666602</v>
      </c>
      <c r="BJ26" s="13" t="n">
        <f aca="false">IF(Time!BJ30&gt;0,Inputs!$F$176/100*Operations!BJ55*(BJ8+BJ9)/Time!BJ30,0)</f>
        <v>0.486175169532701</v>
      </c>
      <c r="BK26" s="13" t="n">
        <f aca="false">IF(Time!BK30&gt;0,Inputs!$F$176/100*Operations!BK55*(BK8+BK9)/Time!BK30,0)</f>
        <v>0.497698575450433</v>
      </c>
      <c r="BL26" s="13" t="n">
        <f aca="false">IF(Time!BL30&gt;0,Inputs!$F$176/100*Operations!BL55*(BL8+BL9)/Time!BL30,0)</f>
        <v>0.505950936227435</v>
      </c>
      <c r="BM26" s="13" t="n">
        <f aca="false">IF(Time!BM30&gt;0,Inputs!$F$176/100*Operations!BM55*(BM8+BM9)/Time!BM30,0)</f>
        <v>0.341223854145407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349.846047002922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0.119253558735222</v>
      </c>
      <c r="Z27" s="13" t="n">
        <f aca="false">MAX(Z25,Z26)</f>
        <v>0.360330299703011</v>
      </c>
      <c r="AA27" s="13" t="n">
        <f aca="false">MAX(AA25,AA26)</f>
        <v>0.362688218841561</v>
      </c>
      <c r="AB27" s="13" t="n">
        <f aca="false">MAX(AB25,AB26)</f>
        <v>0.364938238741086</v>
      </c>
      <c r="AC27" s="13" t="n">
        <f aca="false">MAX(AC25,AC26)</f>
        <v>0.366614477821428</v>
      </c>
      <c r="AD27" s="13" t="n">
        <f aca="false">MAX(AD25,AD26)</f>
        <v>0.360581569238638</v>
      </c>
      <c r="AE27" s="13" t="n">
        <f aca="false">MAX(AE25,AE26)</f>
        <v>0.370912153953016</v>
      </c>
      <c r="AF27" s="13" t="n">
        <f aca="false">MAX(AF25,AF26)</f>
        <v>0.375445733315541</v>
      </c>
      <c r="AG27" s="13" t="n">
        <f aca="false">MAX(AG25,AG26)</f>
        <v>0.377899107581401</v>
      </c>
      <c r="AH27" s="13" t="n">
        <f aca="false">MAX(AH25,AH26)</f>
        <v>0.380013131434513</v>
      </c>
      <c r="AI27" s="13" t="n">
        <f aca="false">MAX(AI25,AI26)</f>
        <v>0.383292779929835</v>
      </c>
      <c r="AJ27" s="13" t="n">
        <f aca="false">MAX(AJ25,AJ26)</f>
        <v>0.386999961222321</v>
      </c>
      <c r="AK27" s="13" t="n">
        <f aca="false">MAX(AK25,AK26)</f>
        <v>0.389221816471203</v>
      </c>
      <c r="AL27" s="13" t="n">
        <f aca="false">MAX(AL25,AL26)</f>
        <v>0.385045760669201</v>
      </c>
      <c r="AM27" s="13" t="n">
        <f aca="false">MAX(AM25,AM26)</f>
        <v>6.19672738801554</v>
      </c>
      <c r="AN27" s="13" t="n">
        <f aca="false">MAX(AN25,AN26)</f>
        <v>9.71818116697487</v>
      </c>
      <c r="AO27" s="13" t="n">
        <f aca="false">MAX(AO25,AO26)</f>
        <v>10.281093291847</v>
      </c>
      <c r="AP27" s="13" t="n">
        <f aca="false">MAX(AP25,AP26)</f>
        <v>10.7253875343293</v>
      </c>
      <c r="AQ27" s="13" t="n">
        <f aca="false">MAX(AQ25,AQ26)</f>
        <v>10.7867671857441</v>
      </c>
      <c r="AR27" s="13" t="n">
        <f aca="false">MAX(AR25,AR26)</f>
        <v>10.837102856003</v>
      </c>
      <c r="AS27" s="13" t="n">
        <f aca="false">MAX(AS25,AS26)</f>
        <v>10.9478123950799</v>
      </c>
      <c r="AT27" s="13" t="n">
        <f aca="false">MAX(AT25,AT26)</f>
        <v>6.68787622134096</v>
      </c>
      <c r="AU27" s="13" t="n">
        <f aca="false">MAX(AU25,AU26)</f>
        <v>11.1553199825883</v>
      </c>
      <c r="AV27" s="13" t="n">
        <f aca="false">MAX(AV25,AV26)</f>
        <v>11.1990335232274</v>
      </c>
      <c r="AW27" s="13" t="n">
        <f aca="false">MAX(AW25,AW26)</f>
        <v>11.2689005135496</v>
      </c>
      <c r="AX27" s="13" t="n">
        <f aca="false">MAX(AX25,AX26)</f>
        <v>11.3267370787927</v>
      </c>
      <c r="AY27" s="13" t="n">
        <f aca="false">MAX(AY25,AY26)</f>
        <v>11.418683871302</v>
      </c>
      <c r="AZ27" s="13" t="n">
        <f aca="false">MAX(AZ25,AZ26)</f>
        <v>11.5171628479308</v>
      </c>
      <c r="BA27" s="13" t="n">
        <f aca="false">MAX(BA25,BA26)</f>
        <v>11.6393290145415</v>
      </c>
      <c r="BB27" s="13" t="n">
        <f aca="false">MAX(BB25,BB26)</f>
        <v>10.6376185601927</v>
      </c>
      <c r="BC27" s="13" t="n">
        <f aca="false">MAX(BC25,BC26)</f>
        <v>13.7860014712914</v>
      </c>
      <c r="BD27" s="13" t="n">
        <f aca="false">MAX(BD25,BD26)</f>
        <v>17.6764950420609</v>
      </c>
      <c r="BE27" s="13" t="n">
        <f aca="false">MAX(BE25,BE26)</f>
        <v>17.778934342711</v>
      </c>
      <c r="BF27" s="13" t="n">
        <f aca="false">MAX(BF25,BF26)</f>
        <v>17.8864057149524</v>
      </c>
      <c r="BG27" s="13" t="n">
        <f aca="false">MAX(BG25,BG26)</f>
        <v>18.0082070697716</v>
      </c>
      <c r="BH27" s="13" t="n">
        <f aca="false">MAX(BH25,BH26)</f>
        <v>18.1497212372243</v>
      </c>
      <c r="BI27" s="13" t="n">
        <f aca="false">MAX(BI25,BI26)</f>
        <v>18.277679680331</v>
      </c>
      <c r="BJ27" s="13" t="n">
        <f aca="false">MAX(BJ25,BJ26)</f>
        <v>13.1124751174844</v>
      </c>
      <c r="BK27" s="13" t="n">
        <f aca="false">MAX(BK25,BK26)</f>
        <v>18.5147999689501</v>
      </c>
      <c r="BL27" s="13" t="n">
        <f aca="false">MAX(BL25,BL26)</f>
        <v>18.580211487675</v>
      </c>
      <c r="BM27" s="13" t="n">
        <f aca="false">MAX(BM25,BM26)</f>
        <v>6.74814563135229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3.83404013713653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1.08861619766666</v>
      </c>
      <c r="P28" s="13" t="n">
        <f aca="false">P13-P15</f>
        <v>2.03380818918613</v>
      </c>
      <c r="Q28" s="13" t="n">
        <f aca="false">Q13-Q15</f>
        <v>0.711615750283739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1.51025761733539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2.14090638451051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3.44783054391364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5.33454298479883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7.68007748452953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10.4077639356287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13.3265487417689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16.3652948281654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19.3735354085384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22.2499187065436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24.8887802853552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27.2435431311547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29.2283790164207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30.750035365043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31.8132122084806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32.332563607222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33.4625966383692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31.8325007681594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30.751184010726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29.2465649003296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27.2555935032776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24.9304038490059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22.2298319181616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19.3426330320464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16.3577634998875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13.291595384636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10.3854071962074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7.63441820118306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5.25235710921323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3.46140282443336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2.04371784425864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49.6766687085055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-0.553523694519168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0.0133792295823248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84.589863273313</v>
      </c>
      <c r="L22" s="13" t="n">
        <f aca="false">K22+Construction!L14*$F$9/$F$10*(L21+(L19-L20)*K22)</f>
        <v>86.5316845693477</v>
      </c>
      <c r="M22" s="13" t="n">
        <f aca="false">L22+Construction!M14*$F$9/$F$10*(M21+(M19-M20)*L22)</f>
        <v>89.4752544312735</v>
      </c>
      <c r="N22" s="13" t="n">
        <f aca="false">M22+Construction!N14*$F$9/$F$10*(N21+(N19-N20)*M22)</f>
        <v>93.8893328183361</v>
      </c>
      <c r="O22" s="13" t="n">
        <f aca="false">N22+Construction!O14*$F$9/$F$10*(O21+(O19-O20)*N22)</f>
        <v>100.139516101668</v>
      </c>
      <c r="P22" s="13" t="n">
        <f aca="false">O22+Construction!P14*$F$9/$F$10*(P21+(P19-P20)*O22)</f>
        <v>108.473976812418</v>
      </c>
      <c r="Q22" s="13" t="n">
        <f aca="false">P22+Construction!Q14*$F$9/$F$10*(Q21+(Q19-Q20)*P22)</f>
        <v>119.118729374845</v>
      </c>
      <c r="R22" s="13" t="n">
        <f aca="false">Q22+Construction!R14*$F$9/$F$10*(R21+(R19-R20)*Q22)</f>
        <v>132.124637933063</v>
      </c>
      <c r="S22" s="13" t="n">
        <f aca="false">R22+Construction!S14*$F$9/$F$10*(S21+(S19-S20)*R22)</f>
        <v>147.505271952927</v>
      </c>
      <c r="T22" s="13" t="n">
        <f aca="false">S22+Construction!T14*$F$9/$F$10*(T21+(T19-T20)*S22)</f>
        <v>165.136320393105</v>
      </c>
      <c r="U22" s="13" t="n">
        <f aca="false">T22+Construction!U14*$F$9/$F$10*(U21+(U19-U20)*T22)</f>
        <v>184.895636339372</v>
      </c>
      <c r="V22" s="13" t="n">
        <f aca="false">U22+Construction!V14*$F$9/$F$10*(V21+(V19-V20)*U22)</f>
        <v>206.540076964587</v>
      </c>
      <c r="W22" s="13" t="n">
        <f aca="false">V22+Construction!W14*$F$9/$F$10*(W21+(W19-W20)*V22)</f>
        <v>229.767154720368</v>
      </c>
      <c r="X22" s="13" t="n">
        <f aca="false">W22+Construction!X14*$F$9/$F$10*(X21+(X19-X20)*W22)</f>
        <v>254.277271390813</v>
      </c>
      <c r="Y22" s="13" t="n">
        <f aca="false">X22+Construction!Y14*$F$9/$F$10*(Y21+(Y19-Y20)*X22)</f>
        <v>279.666506392003</v>
      </c>
      <c r="Z22" s="13" t="n">
        <f aca="false">Y22+Construction!Z14*$F$9/$F$10*(Z21+(Z19-Z20)*Y22)</f>
        <v>305.582266318647</v>
      </c>
      <c r="AA22" s="13" t="n">
        <f aca="false">Z22+Construction!AA14*$F$9/$F$10*(AA21+(AA19-AA20)*Z22)</f>
        <v>332.481809286031</v>
      </c>
      <c r="AB22" s="13" t="n">
        <f aca="false">AA22+Construction!AB14*$F$9/$F$10*(AB21+(AB19-AB20)*AA22)</f>
        <v>358.149132513102</v>
      </c>
      <c r="AC22" s="13" t="n">
        <f aca="false">AB22+Construction!AC14*$F$9/$F$10*(AC21+(AC19-AC20)*AB22)</f>
        <v>383.166283899321</v>
      </c>
      <c r="AD22" s="13" t="n">
        <f aca="false">AC22+Construction!AD14*$F$9/$F$10*(AD21+(AD19-AD20)*AC22)</f>
        <v>407.075383232655</v>
      </c>
      <c r="AE22" s="13" t="n">
        <f aca="false">AD22+Construction!AE14*$F$9/$F$10*(AE21+(AE19-AE20)*AD22)</f>
        <v>429.593298887243</v>
      </c>
      <c r="AF22" s="13" t="n">
        <f aca="false">AE22+Construction!AF14*$F$9/$F$10*(AF21+(AF19-AF20)*AE22)</f>
        <v>450.356971439045</v>
      </c>
      <c r="AG22" s="13" t="n">
        <f aca="false">AF22+Construction!AG14*$F$9/$F$10*(AG21+(AG19-AG20)*AF22)</f>
        <v>469.190037645684</v>
      </c>
      <c r="AH22" s="13" t="n">
        <f aca="false">AG22+Construction!AH14*$F$9/$F$10*(AH21+(AH19-AH20)*AG22)</f>
        <v>485.876428615844</v>
      </c>
      <c r="AI22" s="13" t="n">
        <f aca="false">AH22+Construction!AI14*$F$9/$F$10*(AI21+(AI19-AI20)*AH22)</f>
        <v>500.272070308219</v>
      </c>
      <c r="AJ22" s="13" t="n">
        <f aca="false">AI22+Construction!AJ14*$F$9/$F$10*(AJ21+(AJ19-AJ20)*AI22)</f>
        <v>512.426949642567</v>
      </c>
      <c r="AK22" s="13" t="n">
        <f aca="false">AJ22+Construction!AK14*$F$9/$F$10*(AK21+(AK19-AK20)*AJ22)</f>
        <v>522.33070856231</v>
      </c>
      <c r="AL22" s="13" t="n">
        <f aca="false">AK22+Construction!AL14*$F$9/$F$10*(AL21+(AL19-AL20)*AK22)</f>
        <v>530.221930609727</v>
      </c>
      <c r="AM22" s="13" t="n">
        <f aca="false">AL22+Construction!AM14*$F$9/$F$10*(AM21+(AM19-AM20)*AL22)</f>
        <v>536.323425884151</v>
      </c>
      <c r="AN22" s="13" t="n">
        <f aca="false">AM22+Construction!AN14*$F$9/$F$10*(AN21+(AN19-AN20)*AM22)</f>
        <v>540.869834458631</v>
      </c>
      <c r="AO22" s="13" t="n">
        <f aca="false">AN22+Construction!AO14*$F$9/$F$10*(AO21+(AO19-AO20)*AN22)</f>
        <v>544.5460742684</v>
      </c>
      <c r="AP22" s="13" t="n">
        <f aca="false">AO22+Construction!AP14*$F$9/$F$10*(AP21+(AP19-AP20)*AO22)</f>
        <v>584.786920679672</v>
      </c>
      <c r="AQ22" s="13" t="n">
        <f aca="false">AP22+Construction!AQ14*$F$9/$F$10*(AQ21+(AQ19-AQ20)*AP22)</f>
        <v>586.637413281782</v>
      </c>
      <c r="AR22" s="13" t="n">
        <f aca="false">AQ22+Construction!AR14*$F$9/$F$10*(AR21+(AR19-AR20)*AQ22)</f>
        <v>588.857272222892</v>
      </c>
      <c r="AS22" s="13" t="n">
        <f aca="false">AR22+Construction!AS14*$F$9/$F$10*(AS21+(AS19-AS20)*AR22)</f>
        <v>588.857272222892</v>
      </c>
      <c r="AT22" s="13" t="n">
        <f aca="false">AS22+Construction!AT14*$F$9/$F$10*(AT21+(AT19-AT20)*AS22)</f>
        <v>588.857272222892</v>
      </c>
      <c r="AU22" s="13" t="n">
        <f aca="false">AT22+Construction!AU14*$F$9/$F$10*(AU21+(AU19-AU20)*AT22)</f>
        <v>588.857272222892</v>
      </c>
      <c r="AV22" s="13" t="n">
        <f aca="false">AU22+Construction!AV14*$F$9/$F$10*(AV21+(AV19-AV20)*AU22)</f>
        <v>588.857272222892</v>
      </c>
      <c r="AW22" s="13" t="n">
        <f aca="false">AV22+Construction!AW14*$F$9/$F$10*(AW21+(AW19-AW20)*AV22)</f>
        <v>588.857272222892</v>
      </c>
      <c r="AX22" s="13" t="n">
        <f aca="false">AW22+Construction!AX14*$F$9/$F$10*(AX21+(AX19-AX20)*AW22)</f>
        <v>588.857272222892</v>
      </c>
      <c r="AY22" s="13" t="n">
        <f aca="false">AX22+Construction!AY14*$F$9/$F$10*(AY21+(AY19-AY20)*AX22)</f>
        <v>588.857272222892</v>
      </c>
      <c r="AZ22" s="13" t="n">
        <f aca="false">AY22+Construction!AZ14*$F$9/$F$10*(AZ21+(AZ19-AZ20)*AY22)</f>
        <v>588.857272222892</v>
      </c>
      <c r="BA22" s="13" t="n">
        <f aca="false">AZ22+Construction!BA14*$F$9/$F$10*(BA21+(BA19-BA20)*AZ22)</f>
        <v>588.857272222892</v>
      </c>
      <c r="BB22" s="13" t="n">
        <f aca="false">BA22+Construction!BB14*$F$9/$F$10*(BB21+(BB19-BB20)*BA22)</f>
        <v>588.857272222892</v>
      </c>
      <c r="BC22" s="13" t="n">
        <f aca="false">BB22+Construction!BC14*$F$9/$F$10*(BC21+(BC19-BC20)*BB22)</f>
        <v>588.857272222892</v>
      </c>
      <c r="BD22" s="13" t="n">
        <f aca="false">BC22+Construction!BD14*$F$9/$F$10*(BD21+(BD19-BD20)*BC22)</f>
        <v>588.857272222892</v>
      </c>
      <c r="BE22" s="13" t="n">
        <f aca="false">BD22+Construction!BE14*$F$9/$F$10*(BE21+(BE19-BE20)*BD22)</f>
        <v>588.857272222892</v>
      </c>
      <c r="BF22" s="13" t="n">
        <f aca="false">BE22+Construction!BF14*$F$9/$F$10*(BF21+(BF19-BF20)*BE22)</f>
        <v>588.857272222892</v>
      </c>
      <c r="BG22" s="13" t="n">
        <f aca="false">BF22+Construction!BG14*$F$9/$F$10*(BG21+(BG19-BG20)*BF22)</f>
        <v>588.857272222892</v>
      </c>
      <c r="BH22" s="13" t="n">
        <f aca="false">BG22+Construction!BH14*$F$9/$F$10*(BH21+(BH19-BH20)*BG22)</f>
        <v>588.857272222892</v>
      </c>
      <c r="BI22" s="13" t="n">
        <f aca="false">BH22+Construction!BI14*$F$9/$F$10*(BI21+(BI19-BI20)*BH22)</f>
        <v>588.857272222892</v>
      </c>
      <c r="BJ22" s="13" t="n">
        <f aca="false">BI22+Construction!BJ14*$F$9/$F$10*(BJ21+(BJ19-BJ20)*BI22)</f>
        <v>588.857272222892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857.336024772594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27.5695998186286</v>
      </c>
      <c r="M28" s="13" t="n">
        <f aca="false">L61</f>
        <v>28.2773771539383</v>
      </c>
      <c r="N28" s="13" t="n">
        <f aca="false">M61</f>
        <v>29.2779449731804</v>
      </c>
      <c r="O28" s="13" t="n">
        <f aca="false">N61</f>
        <v>30.7186846151395</v>
      </c>
      <c r="P28" s="13" t="n">
        <f aca="false">O61</f>
        <v>32.7040324384546</v>
      </c>
      <c r="Q28" s="13" t="n">
        <f aca="false">P61</f>
        <v>35.2939611894592</v>
      </c>
      <c r="R28" s="13" t="n">
        <f aca="false">Q61</f>
        <v>38.5814256851639</v>
      </c>
      <c r="S28" s="13" t="n">
        <f aca="false">R61</f>
        <v>42.5640838249945</v>
      </c>
      <c r="T28" s="13" t="n">
        <f aca="false">S61</f>
        <v>47.2546489789634</v>
      </c>
      <c r="U28" s="13" t="n">
        <f aca="false">T61</f>
        <v>52.6075305176185</v>
      </c>
      <c r="V28" s="13" t="n">
        <f aca="false">U61</f>
        <v>58.5956027692216</v>
      </c>
      <c r="W28" s="13" t="n">
        <f aca="false">V61</f>
        <v>65.1421534720513</v>
      </c>
      <c r="X28" s="13" t="n">
        <f aca="false">W61</f>
        <v>72.1531577000132</v>
      </c>
      <c r="Y28" s="13" t="n">
        <f aca="false">X61</f>
        <v>79.5486972468956</v>
      </c>
      <c r="Z28" s="13" t="n">
        <f aca="false">Y61</f>
        <v>87.2003028020839</v>
      </c>
      <c r="AA28" s="13" t="n">
        <f aca="false">Z61</f>
        <v>95.0123929626624</v>
      </c>
      <c r="AB28" s="13" t="n">
        <f aca="false">AA61</f>
        <v>103.116138145076</v>
      </c>
      <c r="AC28" s="13" t="n">
        <f aca="false">AB61</f>
        <v>110.846207148355</v>
      </c>
      <c r="AD28" s="13" t="n">
        <f aca="false">AC61</f>
        <v>118.392750571363</v>
      </c>
      <c r="AE28" s="13" t="n">
        <f aca="false">AD61</f>
        <v>125.606858253305</v>
      </c>
      <c r="AF28" s="13" t="n">
        <f aca="false">AE61</f>
        <v>132.413602413362</v>
      </c>
      <c r="AG28" s="13" t="n">
        <f aca="false">AF61</f>
        <v>138.696576969159</v>
      </c>
      <c r="AH28" s="13" t="n">
        <f aca="false">AG61</f>
        <v>144.412602151713</v>
      </c>
      <c r="AI28" s="13" t="n">
        <f aca="false">AH61</f>
        <v>149.493172427088</v>
      </c>
      <c r="AJ28" s="13" t="n">
        <f aca="false">AI61</f>
        <v>153.891157655194</v>
      </c>
      <c r="AK28" s="13" t="n">
        <f aca="false">AJ61</f>
        <v>157.630373114616</v>
      </c>
      <c r="AL28" s="13" t="n">
        <f aca="false">AK61</f>
        <v>160.698787009818</v>
      </c>
      <c r="AM28" s="13" t="n">
        <f aca="false">AL61</f>
        <v>163.176106858604</v>
      </c>
      <c r="AN28" s="13" t="n">
        <f aca="false">AM61</f>
        <v>165.123928571583</v>
      </c>
      <c r="AO28" s="13" t="n">
        <f aca="false">AN61</f>
        <v>166.598000303598</v>
      </c>
      <c r="AP28" s="13" t="n">
        <f aca="false">AO61</f>
        <v>167.828491015057</v>
      </c>
      <c r="AQ28" s="13" t="n">
        <f aca="false">AP61</f>
        <v>179.882972643493</v>
      </c>
      <c r="AR28" s="13" t="n">
        <f aca="false">AQ61</f>
        <v>189.174664533182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20.217706533661</v>
      </c>
      <c r="M29" s="13" t="n">
        <f aca="false">L62</f>
        <v>20.7367432462215</v>
      </c>
      <c r="N29" s="13" t="n">
        <f aca="false">M62</f>
        <v>21.4704929803323</v>
      </c>
      <c r="O29" s="13" t="n">
        <f aca="false">N62</f>
        <v>22.5270353844357</v>
      </c>
      <c r="P29" s="13" t="n">
        <f aca="false">O62</f>
        <v>23.9829571215333</v>
      </c>
      <c r="Q29" s="13" t="n">
        <f aca="false">P62</f>
        <v>25.8822382056034</v>
      </c>
      <c r="R29" s="13" t="n">
        <f aca="false">Q62</f>
        <v>28.2930455024535</v>
      </c>
      <c r="S29" s="13" t="n">
        <f aca="false">R62</f>
        <v>31.2136614716626</v>
      </c>
      <c r="T29" s="13" t="n">
        <f aca="false">S62</f>
        <v>34.6534092512398</v>
      </c>
      <c r="U29" s="13" t="n">
        <f aca="false">T62</f>
        <v>38.5788557129202</v>
      </c>
      <c r="V29" s="13" t="n">
        <f aca="false">U62</f>
        <v>42.9701086974292</v>
      </c>
      <c r="W29" s="13" t="n">
        <f aca="false">V62</f>
        <v>47.7709125461709</v>
      </c>
      <c r="X29" s="13" t="n">
        <f aca="false">W62</f>
        <v>52.9123156466764</v>
      </c>
      <c r="Y29" s="13" t="n">
        <f aca="false">X62</f>
        <v>58.3357113143901</v>
      </c>
      <c r="Z29" s="13" t="n">
        <f aca="false">Y62</f>
        <v>63.9468887215282</v>
      </c>
      <c r="AA29" s="13" t="n">
        <f aca="false">Z62</f>
        <v>69.6757548392857</v>
      </c>
      <c r="AB29" s="13" t="n">
        <f aca="false">AA62</f>
        <v>75.6185013063892</v>
      </c>
      <c r="AC29" s="13" t="n">
        <f aca="false">AB62</f>
        <v>81.2872185754607</v>
      </c>
      <c r="AD29" s="13" t="n">
        <f aca="false">AC62</f>
        <v>86.8213504189997</v>
      </c>
      <c r="AE29" s="13" t="n">
        <f aca="false">AD62</f>
        <v>92.1116960524236</v>
      </c>
      <c r="AF29" s="13" t="n">
        <f aca="false">AE62</f>
        <v>97.1033084364653</v>
      </c>
      <c r="AG29" s="13" t="n">
        <f aca="false">AF62</f>
        <v>101.710823110717</v>
      </c>
      <c r="AH29" s="13" t="n">
        <f aca="false">AG62</f>
        <v>105.902574911256</v>
      </c>
      <c r="AI29" s="13" t="n">
        <f aca="false">AH62</f>
        <v>109.628326446531</v>
      </c>
      <c r="AJ29" s="13" t="n">
        <f aca="false">AI62</f>
        <v>112.853515613809</v>
      </c>
      <c r="AK29" s="13" t="n">
        <f aca="false">AJ62</f>
        <v>115.595606950719</v>
      </c>
      <c r="AL29" s="13" t="n">
        <f aca="false">AK62</f>
        <v>117.845777140533</v>
      </c>
      <c r="AM29" s="13" t="n">
        <f aca="false">AL62</f>
        <v>119.662478362976</v>
      </c>
      <c r="AN29" s="13" t="n">
        <f aca="false">AM62</f>
        <v>121.090880952494</v>
      </c>
      <c r="AO29" s="13" t="n">
        <f aca="false">AN62</f>
        <v>122.171866889306</v>
      </c>
      <c r="AP29" s="13" t="n">
        <f aca="false">AO62</f>
        <v>123.074226744375</v>
      </c>
      <c r="AQ29" s="13" t="n">
        <f aca="false">AP62</f>
        <v>131.914179938562</v>
      </c>
      <c r="AR29" s="13" t="n">
        <f aca="false">AQ62</f>
        <v>138.728087324333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9.18986660620953</v>
      </c>
      <c r="M30" s="13" t="n">
        <f aca="false">L63</f>
        <v>9.42579238464612</v>
      </c>
      <c r="N30" s="13" t="n">
        <f aca="false">M63</f>
        <v>9.75931499106015</v>
      </c>
      <c r="O30" s="13" t="n">
        <f aca="false">N63</f>
        <v>10.2395615383798</v>
      </c>
      <c r="P30" s="13" t="n">
        <f aca="false">O63</f>
        <v>10.9013441461515</v>
      </c>
      <c r="Q30" s="13" t="n">
        <f aca="false">P63</f>
        <v>11.7646537298197</v>
      </c>
      <c r="R30" s="13" t="n">
        <f aca="false">Q63</f>
        <v>12.860475228388</v>
      </c>
      <c r="S30" s="13" t="n">
        <f aca="false">R63</f>
        <v>14.1880279416648</v>
      </c>
      <c r="T30" s="13" t="n">
        <f aca="false">S63</f>
        <v>15.7515496596545</v>
      </c>
      <c r="U30" s="13" t="n">
        <f aca="false">T63</f>
        <v>17.5358435058728</v>
      </c>
      <c r="V30" s="13" t="n">
        <f aca="false">U63</f>
        <v>19.5318675897405</v>
      </c>
      <c r="W30" s="13" t="n">
        <f aca="false">V63</f>
        <v>21.7140511573504</v>
      </c>
      <c r="X30" s="13" t="n">
        <f aca="false">W63</f>
        <v>24.0510525666711</v>
      </c>
      <c r="Y30" s="13" t="n">
        <f aca="false">X63</f>
        <v>26.5162324156319</v>
      </c>
      <c r="Z30" s="13" t="n">
        <f aca="false">Y63</f>
        <v>29.0667676006946</v>
      </c>
      <c r="AA30" s="13" t="n">
        <f aca="false">Z63</f>
        <v>31.6707976542208</v>
      </c>
      <c r="AB30" s="13" t="n">
        <f aca="false">AA63</f>
        <v>34.3720460483587</v>
      </c>
      <c r="AC30" s="13" t="n">
        <f aca="false">AB63</f>
        <v>36.9487357161185</v>
      </c>
      <c r="AD30" s="13" t="n">
        <f aca="false">AC63</f>
        <v>39.4642501904544</v>
      </c>
      <c r="AE30" s="13" t="n">
        <f aca="false">AD63</f>
        <v>41.8689527511016</v>
      </c>
      <c r="AF30" s="13" t="n">
        <f aca="false">AE63</f>
        <v>44.1378674711206</v>
      </c>
      <c r="AG30" s="13" t="n">
        <f aca="false">AF63</f>
        <v>46.2321923230531</v>
      </c>
      <c r="AH30" s="13" t="n">
        <f aca="false">AG63</f>
        <v>48.1375340505711</v>
      </c>
      <c r="AI30" s="13" t="n">
        <f aca="false">AH63</f>
        <v>49.831057475696</v>
      </c>
      <c r="AJ30" s="13" t="n">
        <f aca="false">AI63</f>
        <v>51.2970525517314</v>
      </c>
      <c r="AK30" s="13" t="n">
        <f aca="false">AJ63</f>
        <v>52.5434577048721</v>
      </c>
      <c r="AL30" s="13" t="n">
        <f aca="false">AK63</f>
        <v>53.5662623366058</v>
      </c>
      <c r="AM30" s="13" t="n">
        <f aca="false">AL63</f>
        <v>54.3920356195347</v>
      </c>
      <c r="AN30" s="13" t="n">
        <f aca="false">AM63</f>
        <v>55.0413095238609</v>
      </c>
      <c r="AO30" s="13" t="n">
        <f aca="false">AN63</f>
        <v>55.5326667678661</v>
      </c>
      <c r="AP30" s="13" t="n">
        <f aca="false">AO63</f>
        <v>55.9428303383522</v>
      </c>
      <c r="AQ30" s="13" t="n">
        <f aca="false">AP63</f>
        <v>59.9609908811644</v>
      </c>
      <c r="AR30" s="13" t="n">
        <f aca="false">AQ63</f>
        <v>63.0582215110606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34.9214931035962</v>
      </c>
      <c r="M31" s="13" t="n">
        <f aca="false">L64</f>
        <v>35.8180110616552</v>
      </c>
      <c r="N31" s="13" t="n">
        <f aca="false">M64</f>
        <v>37.0853969660286</v>
      </c>
      <c r="O31" s="13" t="n">
        <f aca="false">N64</f>
        <v>38.9103338458434</v>
      </c>
      <c r="P31" s="13" t="n">
        <f aca="false">O64</f>
        <v>41.4251077553758</v>
      </c>
      <c r="Q31" s="13" t="n">
        <f aca="false">P64</f>
        <v>44.7056841733149</v>
      </c>
      <c r="R31" s="13" t="n">
        <f aca="false">Q64</f>
        <v>48.8698058678743</v>
      </c>
      <c r="S31" s="13" t="n">
        <f aca="false">R64</f>
        <v>53.9145061783264</v>
      </c>
      <c r="T31" s="13" t="n">
        <f aca="false">S64</f>
        <v>59.855888706687</v>
      </c>
      <c r="U31" s="13" t="n">
        <f aca="false">T64</f>
        <v>66.6362053223167</v>
      </c>
      <c r="V31" s="13" t="n">
        <f aca="false">U64</f>
        <v>74.2210968410141</v>
      </c>
      <c r="W31" s="13" t="n">
        <f aca="false">V64</f>
        <v>82.5133943979316</v>
      </c>
      <c r="X31" s="13" t="n">
        <f aca="false">W64</f>
        <v>91.39399975335</v>
      </c>
      <c r="Y31" s="13" t="n">
        <f aca="false">X64</f>
        <v>100.761683179401</v>
      </c>
      <c r="Z31" s="13" t="n">
        <f aca="false">Y64</f>
        <v>110.45371688264</v>
      </c>
      <c r="AA31" s="13" t="n">
        <f aca="false">Z64</f>
        <v>120.349031086039</v>
      </c>
      <c r="AB31" s="13" t="n">
        <f aca="false">AA64</f>
        <v>130.613774983763</v>
      </c>
      <c r="AC31" s="13" t="n">
        <f aca="false">AB64</f>
        <v>140.40519572125</v>
      </c>
      <c r="AD31" s="13" t="n">
        <f aca="false">AC64</f>
        <v>149.964150723727</v>
      </c>
      <c r="AE31" s="13" t="n">
        <f aca="false">AD64</f>
        <v>159.102020454186</v>
      </c>
      <c r="AF31" s="13" t="n">
        <f aca="false">AE64</f>
        <v>167.723896390258</v>
      </c>
      <c r="AG31" s="13" t="n">
        <f aca="false">AF64</f>
        <v>175.682330827602</v>
      </c>
      <c r="AH31" s="13" t="n">
        <f aca="false">AG64</f>
        <v>182.92262939217</v>
      </c>
      <c r="AI31" s="13" t="n">
        <f aca="false">AH64</f>
        <v>189.358018407645</v>
      </c>
      <c r="AJ31" s="13" t="n">
        <f aca="false">AI64</f>
        <v>194.928799696579</v>
      </c>
      <c r="AK31" s="13" t="n">
        <f aca="false">AJ64</f>
        <v>199.665139278514</v>
      </c>
      <c r="AL31" s="13" t="n">
        <f aca="false">AK64</f>
        <v>203.551796879102</v>
      </c>
      <c r="AM31" s="13" t="n">
        <f aca="false">AL64</f>
        <v>206.689735354232</v>
      </c>
      <c r="AN31" s="13" t="n">
        <f aca="false">AM64</f>
        <v>209.156976190671</v>
      </c>
      <c r="AO31" s="13" t="n">
        <f aca="false">AN64</f>
        <v>211.024133717891</v>
      </c>
      <c r="AP31" s="13" t="n">
        <f aca="false">AO64</f>
        <v>212.582755285738</v>
      </c>
      <c r="AQ31" s="13" t="n">
        <f aca="false">AP64</f>
        <v>227.851765348425</v>
      </c>
      <c r="AR31" s="13" t="n">
        <f aca="false">AQ64</f>
        <v>239.62124174203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0.083650550311674</v>
      </c>
      <c r="AT32" s="13" t="n">
        <f aca="false">AS65</f>
        <v>0.083650550311674</v>
      </c>
      <c r="AU32" s="13" t="n">
        <f aca="false">AT65</f>
        <v>0.083650550311674</v>
      </c>
      <c r="AV32" s="13" t="n">
        <f aca="false">AU65</f>
        <v>0.083650550311674</v>
      </c>
      <c r="AW32" s="13" t="n">
        <f aca="false">AV65</f>
        <v>0.083650550311674</v>
      </c>
      <c r="AX32" s="13" t="n">
        <f aca="false">AW65</f>
        <v>0.083650550311674</v>
      </c>
      <c r="AY32" s="13" t="n">
        <f aca="false">AX65</f>
        <v>0.083650550311674</v>
      </c>
      <c r="AZ32" s="13" t="n">
        <f aca="false">AY65</f>
        <v>0.083650550311674</v>
      </c>
      <c r="BA32" s="13" t="n">
        <f aca="false">AZ65</f>
        <v>0.083650550311674</v>
      </c>
      <c r="BB32" s="13" t="n">
        <f aca="false">BA65</f>
        <v>0.083650550311674</v>
      </c>
      <c r="BC32" s="13" t="n">
        <f aca="false">BB65</f>
        <v>0.083650550311674</v>
      </c>
      <c r="BD32" s="13" t="n">
        <f aca="false">BC65</f>
        <v>0.083650550311674</v>
      </c>
      <c r="BE32" s="13" t="n">
        <f aca="false">BD65</f>
        <v>0.083650550311674</v>
      </c>
      <c r="BF32" s="13" t="n">
        <f aca="false">BE65</f>
        <v>0.083650550311674</v>
      </c>
      <c r="BG32" s="13" t="n">
        <f aca="false">BF65</f>
        <v>0.083650550311674</v>
      </c>
      <c r="BH32" s="13" t="n">
        <f aca="false">BG65</f>
        <v>0.083650550311674</v>
      </c>
      <c r="BI32" s="13" t="n">
        <f aca="false">BH65</f>
        <v>0.083650550311674</v>
      </c>
      <c r="BJ32" s="13" t="n">
        <f aca="false">BI65</f>
        <v>0.083650550311674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12.4348722379204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0.0918756913955798</v>
      </c>
      <c r="M33" s="13" t="n">
        <f aca="false">Construction!M14*M28*(Construction!M17+Inputs!$F$79)/100*Construction!M11/Inputs!$F$247*1</f>
        <v>0.0911945413214512</v>
      </c>
      <c r="N33" s="13" t="n">
        <f aca="false">Construction!N14*N28*(Construction!N17+Inputs!$F$79)/100*Construction!N11/Inputs!$F$247*1</f>
        <v>0.0975687516231239</v>
      </c>
      <c r="O33" s="13" t="n">
        <f aca="false">Construction!O14*O28*(Construction!O17+Inputs!$F$79)/100*Construction!O11/Inputs!$F$247*1</f>
        <v>0.109512110652972</v>
      </c>
      <c r="P33" s="13" t="n">
        <f aca="false">Construction!P14*P28*(Construction!P17+Inputs!$F$79)/100*Construction!P11/Inputs!$F$247*1</f>
        <v>0.105306984451824</v>
      </c>
      <c r="Q33" s="13" t="n">
        <f aca="false">Construction!Q14*Q28*(Construction!Q17+Inputs!$F$79)/100*Construction!Q11/Inputs!$F$247*1</f>
        <v>0.125822971640422</v>
      </c>
      <c r="R33" s="13" t="n">
        <f aca="false">Construction!R14*R28*(Construction!R17+Inputs!$F$79)/100*Construction!R11/Inputs!$F$247*1</f>
        <v>0.133105918613816</v>
      </c>
      <c r="S33" s="13" t="n">
        <f aca="false">Construction!S14*S28*(Construction!S17+Inputs!$F$79)/100*Construction!S11/Inputs!$F$247*1</f>
        <v>0.151740958836105</v>
      </c>
      <c r="T33" s="13" t="n">
        <f aca="false">Construction!T14*T28*(Construction!T17+Inputs!$F$79)/100*Construction!T11/Inputs!$F$247*1</f>
        <v>0.163028538977424</v>
      </c>
      <c r="U33" s="13" t="n">
        <f aca="false">Construction!U14*U28*(Construction!U17+Inputs!$F$79)/100*Construction!U11/Inputs!$F$247*1</f>
        <v>0.194340985653836</v>
      </c>
      <c r="V33" s="13" t="n">
        <f aca="false">Construction!V14*V28*(Construction!V17+Inputs!$F$79)/100*Construction!V11/Inputs!$F$247*1</f>
        <v>0.2164619225633</v>
      </c>
      <c r="W33" s="13" t="n">
        <f aca="false">Construction!W14*W28*(Construction!W17+Inputs!$F$79)/100*Construction!W11/Inputs!$F$247*1</f>
        <v>0.232883198662583</v>
      </c>
      <c r="X33" s="13" t="n">
        <f aca="false">Construction!X14*X28*(Construction!X17+Inputs!$F$79)/100*Construction!X11/Inputs!$F$247*1</f>
        <v>0.266545790070132</v>
      </c>
      <c r="Y33" s="13" t="n">
        <f aca="false">Construction!Y14*Y28*(Construction!Y17+Inputs!$F$79)/100*Construction!Y11/Inputs!$F$247*1</f>
        <v>0.284386592657652</v>
      </c>
      <c r="Z33" s="13" t="n">
        <f aca="false">Construction!Z14*Z28*(Construction!Z17+Inputs!$F$79)/100*Construction!Z11/Inputs!$F$247*1</f>
        <v>0.322132451934698</v>
      </c>
      <c r="AA33" s="13" t="n">
        <f aca="false">Construction!AA14*AA28*(Construction!AA17+Inputs!$F$79)/100*Construction!AA11/Inputs!$F$247*1</f>
        <v>0.357536913184774</v>
      </c>
      <c r="AB33" s="13" t="n">
        <f aca="false">Construction!AB14*AB28*(Construction!AB17+Inputs!$F$79)/100*Construction!AB11/Inputs!$F$247*1</f>
        <v>0.362997449642375</v>
      </c>
      <c r="AC33" s="13" t="n">
        <f aca="false">Construction!AC14*AC28*(Construction!AC17+Inputs!$F$79)/100*Construction!AC11/Inputs!$F$247*1</f>
        <v>0.417120435621881</v>
      </c>
      <c r="AD33" s="13" t="n">
        <f aca="false">Construction!AD14*AD28*(Construction!AD17+Inputs!$F$79)/100*Construction!AD11/Inputs!$F$247*1</f>
        <v>0.431146933330714</v>
      </c>
      <c r="AE33" s="13" t="n">
        <f aca="false">Construction!AE14*AE28*(Construction!AE17+Inputs!$F$79)/100*Construction!AE11/Inputs!$F$247*1</f>
        <v>0.472665585765978</v>
      </c>
      <c r="AF33" s="13" t="n">
        <f aca="false">Construction!AF14*AF28*(Construction!AF17+Inputs!$F$79)/100*Construction!AF11/Inputs!$F$247*1</f>
        <v>0.482206202121992</v>
      </c>
      <c r="AG33" s="13" t="n">
        <f aca="false">Construction!AG14*AG28*(Construction!AG17+Inputs!$F$79)/100*Construction!AG11/Inputs!$F$247*1</f>
        <v>0.526700251040382</v>
      </c>
      <c r="AH33" s="13" t="n">
        <f aca="false">Construction!AH14*AH28*(Construction!AH17+Inputs!$F$79)/100*Construction!AH11/Inputs!$F$247*1</f>
        <v>0.548406856671131</v>
      </c>
      <c r="AI33" s="13" t="n">
        <f aca="false">Construction!AI14*AI28*(Construction!AI17+Inputs!$F$79)/100*Construction!AI11/Inputs!$F$247*1</f>
        <v>0.549387408669549</v>
      </c>
      <c r="AJ33" s="13" t="n">
        <f aca="false">Construction!AJ14*AJ28*(Construction!AJ17+Inputs!$F$79)/100*Construction!AJ11/Inputs!$F$247*1</f>
        <v>0.5844016711956</v>
      </c>
      <c r="AK33" s="13" t="n">
        <f aca="false">Construction!AK14*AK28*(Construction!AK17+Inputs!$F$79)/100*Construction!AK11/Inputs!$F$247*1</f>
        <v>0.579291621196214</v>
      </c>
      <c r="AL33" s="13" t="n">
        <f aca="false">Construction!AL14*AL28*(Construction!AL17+Inputs!$F$79)/100*Construction!AL11/Inputs!$F$247*1</f>
        <v>0.610253643669782</v>
      </c>
      <c r="AM33" s="13" t="n">
        <f aca="false">Construction!AM14*AM28*(Construction!AM17+Inputs!$F$79)/100*Construction!AM11/Inputs!$F$247*1</f>
        <v>0.623876648556063</v>
      </c>
      <c r="AN33" s="13" t="n">
        <f aca="false">Construction!AN14*AN28*(Construction!AN17+Inputs!$F$79)/100*Construction!AN11/Inputs!$F$247*1</f>
        <v>0.570227966667198</v>
      </c>
      <c r="AO33" s="13" t="n">
        <f aca="false">Construction!AO14*AO28*(Construction!AO17+Inputs!$F$79)/100*Construction!AO11/Inputs!$F$247*1</f>
        <v>0.636959687827425</v>
      </c>
      <c r="AP33" s="13" t="n">
        <f aca="false">Construction!AP14*AP28*(Construction!AP17+Inputs!$F$79)/100*Construction!AP11/Inputs!$F$247*1</f>
        <v>0.620965416755709</v>
      </c>
      <c r="AQ33" s="13" t="n">
        <f aca="false">Construction!AQ14*AQ28*(Construction!AQ17+Inputs!$F$79)/100*Construction!AQ11/Inputs!$F$247*1</f>
        <v>0.687752565406956</v>
      </c>
      <c r="AR33" s="13" t="n">
        <f aca="false">Construction!AR14*AR28*(Construction!AR17+Inputs!$F$79)/100*Construction!AR11/Inputs!$F$247*1</f>
        <v>0.699946258772772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13.9292318927538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0.107417798019259</v>
      </c>
      <c r="M34" s="13" t="n">
        <f aca="false">Construction!M14*M29*(Construction!M17+Inputs!$F$80)/100*Construction!M11/Inputs!$F$247*1</f>
        <v>0.106621421524322</v>
      </c>
      <c r="N34" s="13" t="n">
        <f aca="false">Construction!N14*N29*(Construction!N17+Inputs!$F$80)/100*Construction!N11/Inputs!$F$247*1</f>
        <v>0.114073922009671</v>
      </c>
      <c r="O34" s="13" t="n">
        <f aca="false">Construction!O14*O29*(Construction!O17+Inputs!$F$80)/100*Construction!O11/Inputs!$F$247*1</f>
        <v>0.124924926226354</v>
      </c>
      <c r="P34" s="13" t="n">
        <f aca="false">Construction!P14*P29*(Construction!P17+Inputs!$F$80)/100*Construction!P11/Inputs!$F$247*1</f>
        <v>0.120127967448747</v>
      </c>
      <c r="Q34" s="13" t="n">
        <f aca="false">Construction!Q14*Q29*(Construction!Q17+Inputs!$F$80)/100*Construction!Q11/Inputs!$F$247*1</f>
        <v>0.143531389871296</v>
      </c>
      <c r="R34" s="13" t="n">
        <f aca="false">Construction!R14*R29*(Construction!R17+Inputs!$F$80)/100*Construction!R11/Inputs!$F$247*1</f>
        <v>0.151839344196501</v>
      </c>
      <c r="S34" s="13" t="n">
        <f aca="false">Construction!S14*S29*(Construction!S17+Inputs!$F$80)/100*Construction!S11/Inputs!$F$247*1</f>
        <v>0.173097093783409</v>
      </c>
      <c r="T34" s="13" t="n">
        <f aca="false">Construction!T14*T29*(Construction!T17+Inputs!$F$80)/100*Construction!T11/Inputs!$F$247*1</f>
        <v>0.185973296314987</v>
      </c>
      <c r="U34" s="13" t="n">
        <f aca="false">Construction!U14*U29*(Construction!U17+Inputs!$F$80)/100*Construction!U11/Inputs!$F$247*1</f>
        <v>0.218924289822013</v>
      </c>
      <c r="V34" s="13" t="n">
        <f aca="false">Construction!V14*V29*(Construction!V17+Inputs!$F$80)/100*Construction!V11/Inputs!$F$247*1</f>
        <v>0.243843430716606</v>
      </c>
      <c r="W34" s="13" t="n">
        <f aca="false">Construction!W14*W29*(Construction!W17+Inputs!$F$80)/100*Construction!W11/Inputs!$F$247*1</f>
        <v>0.262341928066055</v>
      </c>
      <c r="X34" s="13" t="n">
        <f aca="false">Construction!X14*X29*(Construction!X17+Inputs!$F$80)/100*Construction!X11/Inputs!$F$247*1</f>
        <v>0.300262693429431</v>
      </c>
      <c r="Y34" s="13" t="n">
        <f aca="false">Construction!Y14*Y29*(Construction!Y17+Inputs!$F$80)/100*Construction!Y11/Inputs!$F$247*1</f>
        <v>0.320360281301526</v>
      </c>
      <c r="Z34" s="13" t="n">
        <f aca="false">Construction!Z14*Z29*(Construction!Z17+Inputs!$F$80)/100*Construction!Z11/Inputs!$F$247*1</f>
        <v>0.362880830470028</v>
      </c>
      <c r="AA34" s="13" t="n">
        <f aca="false">Construction!AA14*AA29*(Construction!AA17+Inputs!$F$80)/100*Construction!AA11/Inputs!$F$247*1</f>
        <v>0.400190439669975</v>
      </c>
      <c r="AB34" s="13" t="n">
        <f aca="false">Construction!AB14*AB29*(Construction!AB17+Inputs!$F$80)/100*Construction!AB11/Inputs!$F$247*1</f>
        <v>0.406302408547079</v>
      </c>
      <c r="AC34" s="13" t="n">
        <f aca="false">Construction!AC14*AC29*(Construction!AC17+Inputs!$F$80)/100*Construction!AC11/Inputs!$F$247*1</f>
        <v>0.466882171801334</v>
      </c>
      <c r="AD34" s="13" t="n">
        <f aca="false">Construction!AD14*AD29*(Construction!AD17+Inputs!$F$80)/100*Construction!AD11/Inputs!$F$247*1</f>
        <v>0.48258200607894</v>
      </c>
      <c r="AE34" s="13" t="n">
        <f aca="false">Construction!AE14*AE29*(Construction!AE17+Inputs!$F$80)/100*Construction!AE11/Inputs!$F$247*1</f>
        <v>0.52905376090999</v>
      </c>
      <c r="AF34" s="13" t="n">
        <f aca="false">Construction!AF14*AF29*(Construction!AF17+Inputs!$F$80)/100*Construction!AF11/Inputs!$F$247*1</f>
        <v>0.539732556059353</v>
      </c>
      <c r="AG34" s="13" t="n">
        <f aca="false">Construction!AG14*AG29*(Construction!AG17+Inputs!$F$80)/100*Construction!AG11/Inputs!$F$247*1</f>
        <v>0.587690786535005</v>
      </c>
      <c r="AH34" s="13" t="n">
        <f aca="false">Construction!AH14*AH29*(Construction!AH17+Inputs!$F$80)/100*Construction!AH11/Inputs!$F$247*1</f>
        <v>0.611910961313623</v>
      </c>
      <c r="AI34" s="13" t="n">
        <f aca="false">Construction!AI14*AI29*(Construction!AI17+Inputs!$F$80)/100*Construction!AI11/Inputs!$F$247*1</f>
        <v>0.613005058713521</v>
      </c>
      <c r="AJ34" s="13" t="n">
        <f aca="false">Construction!AJ14*AJ29*(Construction!AJ17+Inputs!$F$80)/100*Construction!AJ11/Inputs!$F$247*1</f>
        <v>0.652073882856345</v>
      </c>
      <c r="AK34" s="13" t="n">
        <f aca="false">Construction!AK14*AK29*(Construction!AK17+Inputs!$F$80)/100*Construction!AK11/Inputs!$F$247*1</f>
        <v>0.646372102199434</v>
      </c>
      <c r="AL34" s="13" t="n">
        <f aca="false">Construction!AL14*AL29*(Construction!AL17+Inputs!$F$80)/100*Construction!AL11/Inputs!$F$247*1</f>
        <v>0.680919447305618</v>
      </c>
      <c r="AM34" s="13" t="n">
        <f aca="false">Construction!AM14*AM29*(Construction!AM17+Inputs!$F$80)/100*Construction!AM11/Inputs!$F$247*1</f>
        <v>0.694507728587786</v>
      </c>
      <c r="AN34" s="13" t="n">
        <f aca="false">Construction!AN14*AN29*(Construction!AN17+Inputs!$F$80)/100*Construction!AN11/Inputs!$F$247*1</f>
        <v>0.634785307037629</v>
      </c>
      <c r="AO34" s="13" t="n">
        <f aca="false">Construction!AO14*AO29*(Construction!AO17+Inputs!$F$80)/100*Construction!AO11/Inputs!$F$247*1</f>
        <v>0.709071940773653</v>
      </c>
      <c r="AP34" s="13" t="n">
        <f aca="false">Construction!AP14*AP29*(Construction!AP17+Inputs!$F$80)/100*Construction!AP11/Inputs!$F$247*1</f>
        <v>0.691266906880905</v>
      </c>
      <c r="AQ34" s="13" t="n">
        <f aca="false">Construction!AQ14*AQ29*(Construction!AQ17+Inputs!$F$80)/100*Construction!AQ11/Inputs!$F$247*1</f>
        <v>0.765615243232308</v>
      </c>
      <c r="AR34" s="13" t="n">
        <f aca="false">Construction!AR14*AR29*(Construction!AR17+Inputs!$F$80)/100*Construction!AR11/Inputs!$F$247*1</f>
        <v>0.779189423805005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6.09380473460421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0.0468478977658771</v>
      </c>
      <c r="M35" s="13" t="n">
        <f aca="false">Construction!M14*M30*(Construction!M17+Inputs!$F$81)/100*Construction!M11/Inputs!$F$247*1</f>
        <v>0.0465005757642542</v>
      </c>
      <c r="N35" s="13" t="n">
        <f aca="false">Construction!N14*N30*(Construction!N17+Inputs!$F$81)/100*Construction!N11/Inputs!$F$247*1</f>
        <v>0.04975081908776</v>
      </c>
      <c r="O35" s="13" t="n">
        <f aca="false">Construction!O14*O30*(Construction!O17+Inputs!$F$81)/100*Construction!O11/Inputs!$F$247*1</f>
        <v>0.0545797073222141</v>
      </c>
      <c r="P35" s="13" t="n">
        <f aca="false">Construction!P14*P30*(Construction!P17+Inputs!$F$81)/100*Construction!P11/Inputs!$F$247*1</f>
        <v>0.0524839157614161</v>
      </c>
      <c r="Q35" s="13" t="n">
        <f aca="false">Construction!Q14*Q30*(Construction!Q17+Inputs!$F$81)/100*Construction!Q11/Inputs!$F$247*1</f>
        <v>0.0627088723393085</v>
      </c>
      <c r="R35" s="13" t="n">
        <f aca="false">Construction!R14*R30*(Construction!R17+Inputs!$F$81)/100*Construction!R11/Inputs!$F$247*1</f>
        <v>0.0663386180531013</v>
      </c>
      <c r="S35" s="13" t="n">
        <f aca="false">Construction!S14*S30*(Construction!S17+Inputs!$F$81)/100*Construction!S11/Inputs!$F$247*1</f>
        <v>0.0756261300479463</v>
      </c>
      <c r="T35" s="13" t="n">
        <f aca="false">Construction!T14*T30*(Construction!T17+Inputs!$F$81)/100*Construction!T11/Inputs!$F$247*1</f>
        <v>0.0812517436610509</v>
      </c>
      <c r="U35" s="13" t="n">
        <f aca="false">Construction!U14*U30*(Construction!U17+Inputs!$F$81)/100*Construction!U11/Inputs!$F$247*1</f>
        <v>0.0957359634067846</v>
      </c>
      <c r="V35" s="13" t="n">
        <f aca="false">Construction!V14*V30*(Construction!V17+Inputs!$F$81)/100*Construction!V11/Inputs!$F$247*1</f>
        <v>0.106633146002434</v>
      </c>
      <c r="W35" s="13" t="n">
        <f aca="false">Construction!W14*W30*(Construction!W17+Inputs!$F$81)/100*Construction!W11/Inputs!$F$247*1</f>
        <v>0.114722570281335</v>
      </c>
      <c r="X35" s="13" t="n">
        <f aca="false">Construction!X14*X30*(Construction!X17+Inputs!$F$81)/100*Construction!X11/Inputs!$F$247*1</f>
        <v>0.131305385318154</v>
      </c>
      <c r="Y35" s="13" t="n">
        <f aca="false">Construction!Y14*Y30*(Construction!Y17+Inputs!$F$81)/100*Construction!Y11/Inputs!$F$247*1</f>
        <v>0.140094094595922</v>
      </c>
      <c r="Z35" s="13" t="n">
        <f aca="false">Construction!Z14*Z30*(Construction!Z17+Inputs!$F$81)/100*Construction!Z11/Inputs!$F$247*1</f>
        <v>0.15868840289557</v>
      </c>
      <c r="AA35" s="13" t="n">
        <f aca="false">Construction!AA14*AA30*(Construction!AA17+Inputs!$F$81)/100*Construction!AA11/Inputs!$F$247*1</f>
        <v>0.175086726365084</v>
      </c>
      <c r="AB35" s="13" t="n">
        <f aca="false">Construction!AB14*AB30*(Construction!AB17+Inputs!$F$81)/100*Construction!AB11/Inputs!$F$247*1</f>
        <v>0.177760764813428</v>
      </c>
      <c r="AC35" s="13" t="n">
        <f aca="false">Construction!AC14*AC30*(Construction!AC17+Inputs!$F$81)/100*Construction!AC11/Inputs!$F$247*1</f>
        <v>0.204264927283942</v>
      </c>
      <c r="AD35" s="13" t="n">
        <f aca="false">Construction!AD14*AD30*(Construction!AD17+Inputs!$F$81)/100*Construction!AD11/Inputs!$F$247*1</f>
        <v>0.211133738518931</v>
      </c>
      <c r="AE35" s="13" t="n">
        <f aca="false">Construction!AE14*AE30*(Construction!AE17+Inputs!$F$81)/100*Construction!AE11/Inputs!$F$247*1</f>
        <v>0.231465527125673</v>
      </c>
      <c r="AF35" s="13" t="n">
        <f aca="false">Construction!AF14*AF30*(Construction!AF17+Inputs!$F$81)/100*Construction!AF11/Inputs!$F$247*1</f>
        <v>0.236137590970495</v>
      </c>
      <c r="AG35" s="13" t="n">
        <f aca="false">Construction!AG14*AG30*(Construction!AG17+Inputs!$F$81)/100*Construction!AG11/Inputs!$F$247*1</f>
        <v>0.257179412072628</v>
      </c>
      <c r="AH35" s="13" t="n">
        <f aca="false">Construction!AH14*AH30*(Construction!AH17+Inputs!$F$81)/100*Construction!AH11/Inputs!$F$247*1</f>
        <v>0.267778404693538</v>
      </c>
      <c r="AI35" s="13" t="n">
        <f aca="false">Construction!AI14*AI30*(Construction!AI17+Inputs!$F$81)/100*Construction!AI11/Inputs!$F$247*1</f>
        <v>0.268257192744164</v>
      </c>
      <c r="AJ35" s="13" t="n">
        <f aca="false">Construction!AJ14*AJ30*(Construction!AJ17+Inputs!$F$81)/100*Construction!AJ11/Inputs!$F$247*1</f>
        <v>0.28535410400027</v>
      </c>
      <c r="AK35" s="13" t="n">
        <f aca="false">Construction!AK14*AK30*(Construction!AK17+Inputs!$F$81)/100*Construction!AK11/Inputs!$F$247*1</f>
        <v>0.282858947311228</v>
      </c>
      <c r="AL35" s="13" t="n">
        <f aca="false">Construction!AL14*AL30*(Construction!AL17+Inputs!$F$81)/100*Construction!AL11/Inputs!$F$247*1</f>
        <v>0.297977213764686</v>
      </c>
      <c r="AM35" s="13" t="n">
        <f aca="false">Construction!AM14*AM30*(Construction!AM17+Inputs!$F$81)/100*Construction!AM11/Inputs!$F$247*1</f>
        <v>0.303975934619283</v>
      </c>
      <c r="AN35" s="13" t="n">
        <f aca="false">Construction!AN14*AN30*(Construction!AN17+Inputs!$F$81)/100*Construction!AN11/Inputs!$F$247*1</f>
        <v>0.277836299074333</v>
      </c>
      <c r="AO35" s="13" t="n">
        <f aca="false">Construction!AO14*AO30*(Construction!AO17+Inputs!$F$81)/100*Construction!AO11/Inputs!$F$247*1</f>
        <v>0.310350478528527</v>
      </c>
      <c r="AP35" s="13" t="n">
        <f aca="false">Construction!AP14*AP30*(Construction!AP17+Inputs!$F$81)/100*Construction!AP11/Inputs!$F$247*1</f>
        <v>0.302557474079921</v>
      </c>
      <c r="AQ35" s="13" t="n">
        <f aca="false">Construction!AQ14*AQ30*(Construction!AQ17+Inputs!$F$81)/100*Construction!AQ11/Inputs!$F$247*1</f>
        <v>0.335098659871707</v>
      </c>
      <c r="AR35" s="13" t="n">
        <f aca="false">Construction!AR14*AR30*(Construction!AR17+Inputs!$F$81)/100*Construction!AR11/Inputs!$F$247*1</f>
        <v>0.341039881338986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28.5391180265535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0.221191012800001</v>
      </c>
      <c r="M36" s="13" t="n">
        <f aca="false">Construction!M14*M31*(Construction!M17+Inputs!$F$82)/100*Construction!M11/Inputs!$F$247*(1/(1-Inputs!$F$93/100))</f>
        <v>0.219551141877924</v>
      </c>
      <c r="N36" s="13" t="n">
        <f aca="false">Construction!N14*N31*(Construction!N17+Inputs!$F$82)/100*Construction!N11/Inputs!$F$247*(1/(1-Inputs!$F$93/100))</f>
        <v>0.234897073005197</v>
      </c>
      <c r="O36" s="13" t="n">
        <f aca="false">Construction!O14*O31*(Construction!O17+Inputs!$F$82)/100*Construction!O11/Inputs!$F$247*(1/(1-Inputs!$F$93/100))</f>
        <v>0.256507969325114</v>
      </c>
      <c r="P36" s="13" t="n">
        <f aca="false">Construction!P14*P31*(Construction!P17+Inputs!$F$82)/100*Construction!P11/Inputs!$F$247*(1/(1-Inputs!$F$93/100))</f>
        <v>0.246658388523676</v>
      </c>
      <c r="Q36" s="13" t="n">
        <f aca="false">Construction!Q14*Q31*(Construction!Q17+Inputs!$F$82)/100*Construction!Q11/Inputs!$F$247*(1/(1-Inputs!$F$93/100))</f>
        <v>0.294712564277109</v>
      </c>
      <c r="R36" s="13" t="n">
        <f aca="false">Construction!R14*R31*(Construction!R17+Inputs!$F$82)/100*Construction!R11/Inputs!$F$247*(1/(1-Inputs!$F$93/100))</f>
        <v>0.311771261508939</v>
      </c>
      <c r="S36" s="13" t="n">
        <f aca="false">Construction!S14*S31*(Construction!S17+Inputs!$F$82)/100*Construction!S11/Inputs!$F$247*(1/(1-Inputs!$F$93/100))</f>
        <v>0.355419733784837</v>
      </c>
      <c r="T36" s="13" t="n">
        <f aca="false">Construction!T14*T31*(Construction!T17+Inputs!$F$82)/100*Construction!T11/Inputs!$F$247*(1/(1-Inputs!$F$93/100))</f>
        <v>0.381858401100994</v>
      </c>
      <c r="U36" s="13" t="n">
        <f aca="false">Construction!U14*U31*(Construction!U17+Inputs!$F$82)/100*Construction!U11/Inputs!$F$247*(1/(1-Inputs!$F$93/100))</f>
        <v>0.448848316343901</v>
      </c>
      <c r="V36" s="13" t="n">
        <f aca="false">Construction!V14*V31*(Construction!V17+Inputs!$F$82)/100*Construction!V11/Inputs!$F$247*(1/(1-Inputs!$F$93/100))</f>
        <v>0.49993864736367</v>
      </c>
      <c r="W36" s="13" t="n">
        <f aca="false">Construction!W14*W31*(Construction!W17+Inputs!$F$82)/100*Construction!W11/Inputs!$F$247*(1/(1-Inputs!$F$93/100))</f>
        <v>0.537865089408739</v>
      </c>
      <c r="X36" s="13" t="n">
        <f aca="false">Construction!X14*X31*(Construction!X17+Inputs!$F$82)/100*Construction!X11/Inputs!$F$247*(1/(1-Inputs!$F$93/100))</f>
        <v>0.615611929202812</v>
      </c>
      <c r="Y36" s="13" t="n">
        <f aca="false">Construction!Y14*Y31*(Construction!Y17+Inputs!$F$82)/100*Construction!Y11/Inputs!$F$247*(1/(1-Inputs!$F$93/100))</f>
        <v>0.656816897762022</v>
      </c>
      <c r="Z36" s="13" t="n">
        <f aca="false">Construction!Z14*Z31*(Construction!Z17+Inputs!$F$82)/100*Construction!Z11/Inputs!$F$247*(1/(1-Inputs!$F$93/100))</f>
        <v>0.743994418903311</v>
      </c>
      <c r="AA36" s="13" t="n">
        <f aca="false">Construction!AA14*AA31*(Construction!AA17+Inputs!$F$82)/100*Construction!AA11/Inputs!$F$247*(1/(1-Inputs!$F$93/100))</f>
        <v>0.8198592018923</v>
      </c>
      <c r="AB36" s="13" t="n">
        <f aca="false">Construction!AB14*AB31*(Construction!AB17+Inputs!$F$82)/100*Construction!AB11/Inputs!$F$247*(1/(1-Inputs!$F$93/100))</f>
        <v>0.832380625266895</v>
      </c>
      <c r="AC36" s="13" t="n">
        <f aca="false">Construction!AC14*AC31*(Construction!AC17+Inputs!$F$82)/100*Construction!AC11/Inputs!$F$247*(1/(1-Inputs!$F$93/100))</f>
        <v>0.956488728382542</v>
      </c>
      <c r="AD36" s="13" t="n">
        <f aca="false">Construction!AD14*AD31*(Construction!AD17+Inputs!$F$82)/100*Construction!AD11/Inputs!$F$247*(1/(1-Inputs!$F$93/100))</f>
        <v>0.98865254921568</v>
      </c>
      <c r="AE36" s="13" t="n">
        <f aca="false">Construction!AE14*AE31*(Construction!AE17+Inputs!$F$82)/100*Construction!AE11/Inputs!$F$247*(1/(1-Inputs!$F$93/100))</f>
        <v>1.08385796156321</v>
      </c>
      <c r="AF36" s="13" t="n">
        <f aca="false">Construction!AF14*AF31*(Construction!AF17+Inputs!$F$82)/100*Construction!AF11/Inputs!$F$247*(1/(1-Inputs!$F$93/100))</f>
        <v>1.10573531694318</v>
      </c>
      <c r="AG36" s="13" t="n">
        <f aca="false">Construction!AG14*AG31*(Construction!AG17+Inputs!$F$82)/100*Construction!AG11/Inputs!$F$247*(1/(1-Inputs!$F$93/100))</f>
        <v>1.2035324120523</v>
      </c>
      <c r="AH36" s="13" t="n">
        <f aca="false">Construction!AH14*AH31*(Construction!AH17+Inputs!$F$82)/100*Construction!AH11/Inputs!$F$247*(1/(1-Inputs!$F$93/100))</f>
        <v>1.25313292653969</v>
      </c>
      <c r="AI36" s="13" t="n">
        <f aca="false">Construction!AI14*AI31*(Construction!AI17+Inputs!$F$82)/100*Construction!AI11/Inputs!$F$247*(1/(1-Inputs!$F$93/100))</f>
        <v>1.25537352944328</v>
      </c>
      <c r="AJ36" s="13" t="n">
        <f aca="false">Construction!AJ14*AJ31*(Construction!AJ17+Inputs!$F$82)/100*Construction!AJ11/Inputs!$F$247*(1/(1-Inputs!$F$93/100))</f>
        <v>1.33538260434113</v>
      </c>
      <c r="AK36" s="13" t="n">
        <f aca="false">Construction!AK14*AK31*(Construction!AK17+Inputs!$F$82)/100*Construction!AK11/Inputs!$F$247*(1/(1-Inputs!$F$93/100))</f>
        <v>1.32370592336496</v>
      </c>
      <c r="AL36" s="13" t="n">
        <f aca="false">Construction!AL14*AL31*(Construction!AL17+Inputs!$F$82)/100*Construction!AL11/Inputs!$F$247*(1/(1-Inputs!$F$93/100))</f>
        <v>1.39445545787918</v>
      </c>
      <c r="AM36" s="13" t="n">
        <f aca="false">Construction!AM14*AM31*(Construction!AM17+Inputs!$F$82)/100*Construction!AM11/Inputs!$F$247*(1/(1-Inputs!$F$93/100))</f>
        <v>1.42188503435509</v>
      </c>
      <c r="AN36" s="13" t="n">
        <f aca="false">Construction!AN14*AN31*(Construction!AN17+Inputs!$F$82)/100*Construction!AN11/Inputs!$F$247*(1/(1-Inputs!$F$93/100))</f>
        <v>1.29961365576253</v>
      </c>
      <c r="AO36" s="13" t="n">
        <f aca="false">Construction!AO14*AO31*(Construction!AO17+Inputs!$F$82)/100*Construction!AO11/Inputs!$F$247*(1/(1-Inputs!$F$93/100))</f>
        <v>1.45170275198706</v>
      </c>
      <c r="AP36" s="13" t="n">
        <f aca="false">Construction!AP14*AP31*(Construction!AP17+Inputs!$F$82)/100*Construction!AP11/Inputs!$F$247*(1/(1-Inputs!$F$93/100))</f>
        <v>1.41525000972635</v>
      </c>
      <c r="AQ36" s="13" t="n">
        <f aca="false">Construction!AQ14*AQ31*(Construction!AQ17+Inputs!$F$82)/100*Construction!AQ11/Inputs!$F$247*(1/(1-Inputs!$F$93/100))</f>
        <v>1.56746543143551</v>
      </c>
      <c r="AR36" s="13" t="n">
        <f aca="false">Construction!AR14*AR31*(Construction!AR17+Inputs!$F$82)/100*Construction!AR11/Inputs!$F$247*(1/(1-Inputs!$F$93/100))</f>
        <v>1.59525622974555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3.68771660036416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0.0306974275679147</v>
      </c>
      <c r="M38" s="13" t="n">
        <f aca="false">Construction!M14*(Inputs!$F$95/100*Inputs!$F$96/100)*M31*Construction!M11/Inputs!$F$248</f>
        <v>0.0304698422866958</v>
      </c>
      <c r="N38" s="13" t="n">
        <f aca="false">Construction!N14*(Inputs!$F$95/100*Inputs!$F$96/100)*N31*Construction!N11/Inputs!$F$248</f>
        <v>0.0325995879905487</v>
      </c>
      <c r="O38" s="13" t="n">
        <f aca="false">Construction!O14*(Inputs!$F$95/100*Inputs!$F$96/100)*O31*Construction!O11/Inputs!$F$248</f>
        <v>0.034203782505312</v>
      </c>
      <c r="P38" s="13" t="n">
        <f aca="false">Construction!P14*(Inputs!$F$95/100*Inputs!$F$96/100)*P31*Construction!P11/Inputs!$F$248</f>
        <v>0.0328904006233093</v>
      </c>
      <c r="Q38" s="13" t="n">
        <f aca="false">Construction!Q14*(Inputs!$F$95/100*Inputs!$F$96/100)*Q31*Construction!Q11/Inputs!$F$248</f>
        <v>0.0392981336082414</v>
      </c>
      <c r="R38" s="13" t="n">
        <f aca="false">Construction!R14*(Inputs!$F$95/100*Inputs!$F$96/100)*R31*Construction!R11/Inputs!$F$248</f>
        <v>0.0415728074574656</v>
      </c>
      <c r="S38" s="13" t="n">
        <f aca="false">Construction!S14*(Inputs!$F$95/100*Inputs!$F$96/100)*S31*Construction!S11/Inputs!$F$248</f>
        <v>0.0473930665953864</v>
      </c>
      <c r="T38" s="13" t="n">
        <f aca="false">Construction!T14*(Inputs!$F$95/100*Inputs!$F$96/100)*T31*Construction!T11/Inputs!$F$248</f>
        <v>0.0509185025847296</v>
      </c>
      <c r="U38" s="13" t="n">
        <f aca="false">Construction!U14*(Inputs!$F$95/100*Inputs!$F$96/100)*U31*Construction!U11/Inputs!$F$248</f>
        <v>0.0585759629525077</v>
      </c>
      <c r="V38" s="13" t="n">
        <f aca="false">Construction!V14*(Inputs!$F$95/100*Inputs!$F$96/100)*V31*Construction!V11/Inputs!$F$248</f>
        <v>0.0652433943053133</v>
      </c>
      <c r="W38" s="13" t="n">
        <f aca="false">Construction!W14*(Inputs!$F$95/100*Inputs!$F$96/100)*W31*Construction!W11/Inputs!$F$248</f>
        <v>0.0701929012618021</v>
      </c>
      <c r="X38" s="13" t="n">
        <f aca="false">Construction!X14*(Inputs!$F$95/100*Inputs!$F$96/100)*X31*Construction!X11/Inputs!$F$248</f>
        <v>0.0803390817009928</v>
      </c>
      <c r="Y38" s="13" t="n">
        <f aca="false">Construction!Y14*(Inputs!$F$95/100*Inputs!$F$96/100)*Y31*Construction!Y11/Inputs!$F$248</f>
        <v>0.0857164455539837</v>
      </c>
      <c r="Z38" s="13" t="n">
        <f aca="false">Construction!Z14*(Inputs!$F$95/100*Inputs!$F$96/100)*Z31*Construction!Z11/Inputs!$F$248</f>
        <v>0.0970933563336847</v>
      </c>
      <c r="AA38" s="13" t="n">
        <f aca="false">Construction!AA14*(Inputs!$F$95/100*Inputs!$F$96/100)*AA31*Construction!AA11/Inputs!$F$248</f>
        <v>0.105791744175221</v>
      </c>
      <c r="AB38" s="13" t="n">
        <f aca="false">Construction!AB14*(Inputs!$F$95/100*Inputs!$F$96/100)*AB31*Construction!AB11/Inputs!$F$248</f>
        <v>0.107407464551716</v>
      </c>
      <c r="AC38" s="13" t="n">
        <f aca="false">Construction!AC14*(Inputs!$F$95/100*Inputs!$F$96/100)*AC31*Construction!AC11/Inputs!$F$248</f>
        <v>0.123421937115515</v>
      </c>
      <c r="AD38" s="13" t="n">
        <f aca="false">Construction!AD14*(Inputs!$F$95/100*Inputs!$F$96/100)*AD31*Construction!AD11/Inputs!$F$248</f>
        <v>0.127572243286896</v>
      </c>
      <c r="AE38" s="13" t="n">
        <f aca="false">Construction!AE14*(Inputs!$F$95/100*Inputs!$F$96/100)*AE31*Construction!AE11/Inputs!$F$248</f>
        <v>0.139857214418426</v>
      </c>
      <c r="AF38" s="13" t="n">
        <f aca="false">Construction!AF14*(Inputs!$F$95/100*Inputs!$F$96/100)*AF31*Construction!AF11/Inputs!$F$248</f>
        <v>0.142680191312809</v>
      </c>
      <c r="AG38" s="13" t="n">
        <f aca="false">Construction!AG14*(Inputs!$F$95/100*Inputs!$F$96/100)*AG31*Construction!AG11/Inputs!$F$248</f>
        <v>0.154431988619277</v>
      </c>
      <c r="AH38" s="13" t="n">
        <f aca="false">Construction!AH14*(Inputs!$F$95/100*Inputs!$F$96/100)*AH31*Construction!AH11/Inputs!$F$248</f>
        <v>0.160796508604049</v>
      </c>
      <c r="AI38" s="13" t="n">
        <f aca="false">Construction!AI14*(Inputs!$F$95/100*Inputs!$F$96/100)*AI31*Construction!AI11/Inputs!$F$248</f>
        <v>0.16108401291938</v>
      </c>
      <c r="AJ38" s="13" t="n">
        <f aca="false">Construction!AJ14*(Inputs!$F$95/100*Inputs!$F$96/100)*AJ31*Construction!AJ11/Inputs!$F$248</f>
        <v>0.171350425705883</v>
      </c>
      <c r="AK38" s="13" t="n">
        <f aca="false">Construction!AK14*(Inputs!$F$95/100*Inputs!$F$96/100)*AK31*Construction!AK11/Inputs!$F$248</f>
        <v>0.169852125331448</v>
      </c>
      <c r="AL38" s="13" t="n">
        <f aca="false">Construction!AL14*(Inputs!$F$95/100*Inputs!$F$96/100)*AL31*Construction!AL11/Inputs!$F$248</f>
        <v>0.178930394599068</v>
      </c>
      <c r="AM38" s="13" t="n">
        <f aca="false">Construction!AM14*(Inputs!$F$95/100*Inputs!$F$96/100)*AM31*Construction!AM11/Inputs!$F$248</f>
        <v>0.181688771475083</v>
      </c>
      <c r="AN38" s="13" t="n">
        <f aca="false">Construction!AN14*(Inputs!$F$95/100*Inputs!$F$96/100)*AN31*Construction!AN11/Inputs!$F$248</f>
        <v>0.166064908767278</v>
      </c>
      <c r="AO38" s="13" t="n">
        <f aca="false">Construction!AO14*(Inputs!$F$95/100*Inputs!$F$96/100)*AO31*Construction!AO11/Inputs!$F$248</f>
        <v>0.1854988857627</v>
      </c>
      <c r="AP38" s="13" t="n">
        <f aca="false">Construction!AP14*(Inputs!$F$95/100*Inputs!$F$96/100)*AP31*Construction!AP11/Inputs!$F$248</f>
        <v>0.180840946619786</v>
      </c>
      <c r="AQ38" s="13" t="n">
        <f aca="false">Construction!AQ14*(Inputs!$F$95/100*Inputs!$F$96/100)*AQ31*Construction!AQ11/Inputs!$F$248</f>
        <v>0.200291065512444</v>
      </c>
      <c r="AR38" s="13" t="n">
        <f aca="false">Construction!AR14*(Inputs!$F$95/100*Inputs!$F$96/100)*AR31*Construction!AR11/Inputs!$F$248</f>
        <v>0.203842179618905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9.3029137600652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0.469991378388084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0.452848196433519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0.465047585690918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0.460878218568907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0.411087695558342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0.447637791799546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0.423991136074681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0.42659873005181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0.399701292394657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0.397533925272124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0.380204998627119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0.349606342311515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0.340970689986568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0.30926001610652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0.297425645315352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0.274818179732319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0.235149485616597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0.22899658757283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0.200475086768386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0.18628063000206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0.161208912248656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0.14840019604937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0.13185854843265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0.113376627560215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0.104428486449604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0.0905879449680875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0.0847278374333753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0.0775587031724542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0.0649617048287354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0.0676560603846266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0.0620275492257986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0.0292105805230025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0.00224640438976037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2.4389007671885</v>
      </c>
      <c r="L45" s="13" t="n">
        <f aca="false">Construction!L14*(Construction!L32+Construction!L38)+L33+L34+L35+L36+L37+L38+L39+L40+L41+L42+L43+L44</f>
        <v>3.10892759044722</v>
      </c>
      <c r="M45" s="13" t="n">
        <f aca="false">Construction!M14*(Construction!M32+Construction!M38)+M33+M34+M35+M36+M37+M38+M39+M40+M41+M42+M43+M44</f>
        <v>4.39501626312181</v>
      </c>
      <c r="N45" s="13" t="n">
        <f aca="false">Construction!N14*(Construction!N32+Construction!N38)+N33+N34+N35+N36+N37+N38+N39+N40+N41+N42+N43+N44</f>
        <v>6.32848072420605</v>
      </c>
      <c r="O45" s="13" t="n">
        <f aca="false">Construction!O14*(Construction!O32+Construction!O38)+O33+O34+O35+O36+O37+O38+O39+O40+O41+O42+O43+O44</f>
        <v>8.7206841991304</v>
      </c>
      <c r="P45" s="13" t="n">
        <f aca="false">Construction!P14*(Construction!P32+Construction!P38)+P33+P34+P35+P36+P37+P38+P39+P40+P41+P42+P43+P44</f>
        <v>11.376319287996</v>
      </c>
      <c r="Q45" s="13" t="n">
        <f aca="false">Construction!Q14*(Construction!Q32+Construction!Q38)+Q33+Q34+Q35+Q36+Q37+Q38+Q39+Q40+Q41+Q42+Q43+Q44</f>
        <v>14.4402604653048</v>
      </c>
      <c r="R45" s="13" t="n">
        <f aca="false">Construction!R14*(Construction!R32+Construction!R38)+R33+R34+R35+R36+R37+R38+R39+R40+R41+R42+R43+R44</f>
        <v>17.4939139140699</v>
      </c>
      <c r="S45" s="13" t="n">
        <f aca="false">Construction!S14*(Construction!S32+Construction!S38)+S33+S34+S35+S36+S37+S38+S39+S40+S41+S42+S43+S44</f>
        <v>20.6034111216379</v>
      </c>
      <c r="T45" s="13" t="n">
        <f aca="false">Construction!T14*(Construction!T32+Construction!T38)+T33+T34+T35+T36+T37+T38+T39+T40+T41+T42+T43+T44</f>
        <v>23.5126504815775</v>
      </c>
      <c r="U45" s="13" t="n">
        <f aca="false">Construction!U14*(Construction!U32+Construction!U38)+U33+U34+U35+U36+U37+U38+U39+U40+U41+U42+U43+U44</f>
        <v>26.3027397288064</v>
      </c>
      <c r="V45" s="13" t="n">
        <f aca="false">Construction!V14*(Construction!V32+Construction!V38)+V33+V34+V35+V36+V37+V38+V39+V40+V41+V42+V43+V44</f>
        <v>28.7558686707332</v>
      </c>
      <c r="W45" s="13" t="n">
        <f aca="false">Construction!W14*(Construction!W32+Construction!W38)+W33+W34+W35+W36+W37+W38+W39+W40+W41+W42+W43+W44</f>
        <v>30.7959910464128</v>
      </c>
      <c r="X45" s="13" t="n">
        <f aca="false">Construction!X14*(Construction!X32+Construction!X38)+X33+X34+X35+X36+X37+X38+X39+X40+X41+X42+X43+X44</f>
        <v>32.4850709347511</v>
      </c>
      <c r="Y45" s="13" t="n">
        <f aca="false">Construction!Y14*(Construction!Y32+Construction!Y38)+Y33+Y34+Y35+Y36+Y37+Y38+Y39+Y40+Y41+Y42+Y43+Y44</f>
        <v>33.6098465364582</v>
      </c>
      <c r="Z45" s="13" t="n">
        <f aca="false">Construction!Z14*(Construction!Z32+Construction!Z38)+Z33+Z34+Z35+Z36+Z37+Z38+Z39+Z40+Z41+Z42+Z43+Z44</f>
        <v>34.3147787130747</v>
      </c>
      <c r="AA45" s="13" t="n">
        <f aca="false">Construction!AA14*(Construction!AA32+Construction!AA38)+AA33+AA34+AA35+AA36+AA37+AA38+AA39+AA40+AA41+AA42+AA43+AA44</f>
        <v>35.5958798433889</v>
      </c>
      <c r="AB45" s="13" t="n">
        <f aca="false">Construction!AB14*(Construction!AB32+Construction!AB38)+AB33+AB34+AB35+AB36+AB37+AB38+AB39+AB40+AB41+AB42+AB43+AB44</f>
        <v>33.9544989665975</v>
      </c>
      <c r="AC45" s="13" t="n">
        <f aca="false">Construction!AC14*(Construction!AC32+Construction!AC38)+AC33+AC34+AC35+AC36+AC37+AC38+AC39+AC40+AC41+AC42+AC43+AC44</f>
        <v>33.1483587985041</v>
      </c>
      <c r="AD45" s="13" t="n">
        <f aca="false">Construction!AD14*(Construction!AD32+Construction!AD38)+AD33+AD34+AD35+AD36+AD37+AD38+AD39+AD40+AD41+AD42+AD43+AD44</f>
        <v>31.6881274575292</v>
      </c>
      <c r="AE45" s="13" t="n">
        <f aca="false">Construction!AE14*(Construction!AE32+Construction!AE38)+AE33+AE34+AE35+AE36+AE37+AE38+AE39+AE40+AE41+AE42+AE43+AE44</f>
        <v>29.8987741830629</v>
      </c>
      <c r="AF45" s="13" t="n">
        <f aca="false">Construction!AF14*(Construction!AF32+Construction!AF38)+AF33+AF34+AF35+AF36+AF37+AF38+AF39+AF40+AF41+AF42+AF43+AF44</f>
        <v>27.5981046186624</v>
      </c>
      <c r="AG45" s="13" t="n">
        <f aca="false">Construction!AG14*(Construction!AG32+Construction!AG38)+AG33+AG34+AG35+AG36+AG37+AG38+AG39+AG40+AG41+AG42+AG43+AG44</f>
        <v>25.1077669645305</v>
      </c>
      <c r="AH45" s="13" t="n">
        <f aca="false">Construction!AH14*(Construction!AH32+Construction!AH38)+AH33+AH34+AH35+AH36+AH37+AH38+AH39+AH40+AH41+AH42+AH43+AH44</f>
        <v>22.3165172383011</v>
      </c>
      <c r="AI45" s="13" t="n">
        <f aca="false">Construction!AI14*(Construction!AI32+Construction!AI38)+AI33+AI34+AI35+AI36+AI37+AI38+AI39+AI40+AI41+AI42+AI43+AI44</f>
        <v>19.3182473299376</v>
      </c>
      <c r="AJ45" s="13" t="n">
        <f aca="false">Construction!AJ14*(Construction!AJ32+Construction!AJ38)+AJ33+AJ34+AJ35+AJ36+AJ37+AJ38+AJ39+AJ40+AJ41+AJ42+AJ43+AJ44</f>
        <v>16.4245865591848</v>
      </c>
      <c r="AK45" s="13" t="n">
        <f aca="false">Construction!AK14*(Construction!AK32+Construction!AK38)+AK33+AK34+AK35+AK36+AK37+AK38+AK39+AK40+AK41+AK42+AK43+AK44</f>
        <v>13.4780758605788</v>
      </c>
      <c r="AL45" s="13" t="n">
        <f aca="false">Construction!AL14*(Construction!AL32+Construction!AL38)+AL33+AL34+AL35+AL36+AL37+AL38+AL39+AL40+AL41+AL42+AL43+AL44</f>
        <v>10.8816821958348</v>
      </c>
      <c r="AM45" s="13" t="n">
        <f aca="false">Construction!AM14*(Construction!AM32+Construction!AM38)+AM33+AM34+AM35+AM36+AM37+AM38+AM39+AM40+AM41+AM42+AM43+AM44</f>
        <v>8.55584992997899</v>
      </c>
      <c r="AN45" s="13" t="n">
        <f aca="false">Construction!AN14*(Construction!AN32+Construction!AN38)+AN33+AN34+AN35+AN36+AN37+AN38+AN39+AN40+AN41+AN42+AN43+AN44</f>
        <v>6.47489266657106</v>
      </c>
      <c r="AO45" s="13" t="n">
        <f aca="false">Construction!AO14*(Construction!AO32+Construction!AO38)+AO33+AO34+AO35+AO36+AO37+AO38+AO39+AO40+AO41+AO42+AO43+AO44</f>
        <v>5.40495764952263</v>
      </c>
      <c r="AP45" s="13" t="n">
        <f aca="false">Construction!AP14*(Construction!AP32+Construction!AP38)+AP33+AP34+AP35+AP36+AP37+AP38+AP39+AP40+AP41+AP42+AP43+AP44</f>
        <v>52.949577011794</v>
      </c>
      <c r="AQ45" s="13" t="n">
        <f aca="false">Construction!AQ14*(Construction!AQ32+Construction!AQ38)+AQ33+AQ34+AQ35+AQ36+AQ37+AQ38+AQ39+AQ40+AQ41+AQ42+AQ43+AQ44</f>
        <v>40.81396201412</v>
      </c>
      <c r="AR45" s="13" t="n">
        <f aca="false">Construction!AR14*(Construction!AR32+Construction!AR38)+AR33+AR34+AR35+AR36+AR37+AR38+AR39+AR40+AR41+AR42+AR43+AR44</f>
        <v>3.63489960725331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541.357309480679</v>
      </c>
      <c r="M46" s="13" t="n">
        <f aca="false">$F$25-M28-M29-M30-M31</f>
        <v>538.998051696313</v>
      </c>
      <c r="N46" s="13" t="n">
        <f aca="false">$F$25-N28-N29-N30-N31</f>
        <v>535.662825632173</v>
      </c>
      <c r="O46" s="13" t="n">
        <f aca="false">$F$25-O28-O29-O30-O31</f>
        <v>530.860360158976</v>
      </c>
      <c r="P46" s="13" t="n">
        <f aca="false">$F$25-P28-P29-P30-P31</f>
        <v>524.242534081259</v>
      </c>
      <c r="Q46" s="13" t="n">
        <f aca="false">$F$25-Q28-Q29-Q30-Q31</f>
        <v>515.609438244577</v>
      </c>
      <c r="R46" s="13" t="n">
        <f aca="false">$F$25-R28-R29-R30-R31</f>
        <v>504.651223258895</v>
      </c>
      <c r="S46" s="13" t="n">
        <f aca="false">$F$25-S28-S29-S30-S31</f>
        <v>491.375696126126</v>
      </c>
      <c r="T46" s="13" t="n">
        <f aca="false">$F$25-T28-T29-T30-T31</f>
        <v>475.74047894623</v>
      </c>
      <c r="U46" s="13" t="n">
        <f aca="false">$F$25-U28-U29-U30-U31</f>
        <v>457.897540484046</v>
      </c>
      <c r="V46" s="13" t="n">
        <f aca="false">$F$25-V28-V29-V30-V31</f>
        <v>437.937299645369</v>
      </c>
      <c r="W46" s="13" t="n">
        <f aca="false">$F$25-W28-W29-W30-W31</f>
        <v>416.11546396927</v>
      </c>
      <c r="X46" s="13" t="n">
        <f aca="false">$F$25-X28-X29-X30-X31</f>
        <v>392.745449876064</v>
      </c>
      <c r="Y46" s="13" t="n">
        <f aca="false">$F$25-Y28-Y29-Y30-Y31</f>
        <v>368.093651386455</v>
      </c>
      <c r="Z46" s="13" t="n">
        <f aca="false">$F$25-Z28-Z29-Z30-Z31</f>
        <v>342.588299535828</v>
      </c>
      <c r="AA46" s="13" t="n">
        <f aca="false">$F$25-AA28-AA29-AA30-AA31</f>
        <v>316.547999000566</v>
      </c>
      <c r="AB46" s="13" t="n">
        <f aca="false">$F$25-AB28-AB29-AB30-AB31</f>
        <v>289.535515059187</v>
      </c>
      <c r="AC46" s="13" t="n">
        <f aca="false">$F$25-AC28-AC29-AC30-AC31</f>
        <v>263.768618381589</v>
      </c>
      <c r="AD46" s="13" t="n">
        <f aca="false">$F$25-AD28-AD29-AD30-AD31</f>
        <v>238.61347363823</v>
      </c>
      <c r="AE46" s="13" t="n">
        <f aca="false">$F$25-AE28-AE29-AE30-AE31</f>
        <v>214.566448031758</v>
      </c>
      <c r="AF46" s="13" t="n">
        <f aca="false">$F$25-AF28-AF29-AF30-AF31</f>
        <v>191.877300831569</v>
      </c>
      <c r="AG46" s="13" t="n">
        <f aca="false">$F$25-AG28-AG29-AG30-AG31</f>
        <v>170.934052312244</v>
      </c>
      <c r="AH46" s="13" t="n">
        <f aca="false">$F$25-AH28-AH29-AH30-AH31</f>
        <v>151.880635037063</v>
      </c>
      <c r="AI46" s="13" t="n">
        <f aca="false">$F$25-AI28-AI29-AI30-AI31</f>
        <v>134.945400785814</v>
      </c>
      <c r="AJ46" s="13" t="n">
        <f aca="false">$F$25-AJ28-AJ29-AJ30-AJ31</f>
        <v>120.285450025461</v>
      </c>
      <c r="AK46" s="13" t="n">
        <f aca="false">$F$25-AK28-AK29-AK30-AK31</f>
        <v>107.821398494054</v>
      </c>
      <c r="AL46" s="13" t="n">
        <f aca="false">$F$25-AL28-AL29-AL30-AL31</f>
        <v>97.5933521767158</v>
      </c>
      <c r="AM46" s="13" t="n">
        <f aca="false">$F$25-AM28-AM29-AM30-AM31</f>
        <v>89.3356193474269</v>
      </c>
      <c r="AN46" s="13" t="n">
        <f aca="false">$F$25-AN28-AN29-AN30-AN31</f>
        <v>82.8428803041657</v>
      </c>
      <c r="AO46" s="13" t="n">
        <f aca="false">$F$25-AO28-AO29-AO30-AO31</f>
        <v>77.9293078641129</v>
      </c>
      <c r="AP46" s="13" t="n">
        <f aca="false">$F$25-AP28-AP29-AP30-AP31</f>
        <v>73.8276721592524</v>
      </c>
      <c r="AQ46" s="13" t="n">
        <f aca="false">$F$25-AQ28-AQ29-AQ30-AQ31</f>
        <v>33.6460667311303</v>
      </c>
      <c r="AR46" s="13" t="n">
        <f aca="false">$F$25-AR28-AR29-AR30-AR31</f>
        <v>2.67376043216856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1.85079756696989</v>
      </c>
      <c r="L47" s="13" t="n">
        <f aca="false">MIN($F$26*L45/(1-Inputs!$F$94/100*Inputs!$F$75*$F$26),L46)</f>
        <v>2.35925778436583</v>
      </c>
      <c r="M47" s="13" t="n">
        <f aca="false">MIN($F$26*M45/(1-Inputs!$F$94/100*Inputs!$F$75*$F$26),M46)</f>
        <v>3.33522606414033</v>
      </c>
      <c r="N47" s="13" t="n">
        <f aca="false">MIN($F$26*N45/(1-Inputs!$F$94/100*Inputs!$F$75*$F$26),N46)</f>
        <v>4.80246547319698</v>
      </c>
      <c r="O47" s="13" t="n">
        <f aca="false">MIN($F$26*O45/(1-Inputs!$F$94/100*Inputs!$F$75*$F$26),O46)</f>
        <v>6.61782607771669</v>
      </c>
      <c r="P47" s="13" t="n">
        <f aca="false">MIN($F$26*P45/(1-Inputs!$F$94/100*Inputs!$F$75*$F$26),P46)</f>
        <v>8.63309583668201</v>
      </c>
      <c r="Q47" s="13" t="n">
        <f aca="false">MIN($F$26*Q45/(1-Inputs!$F$94/100*Inputs!$F$75*$F$26),Q46)</f>
        <v>10.9582149856825</v>
      </c>
      <c r="R47" s="13" t="n">
        <f aca="false">MIN($F$26*R45/(1-Inputs!$F$94/100*Inputs!$F$75*$F$26),R46)</f>
        <v>13.2755271327687</v>
      </c>
      <c r="S47" s="13" t="n">
        <f aca="false">MIN($F$26*S45/(1-Inputs!$F$94/100*Inputs!$F$75*$F$26),S46)</f>
        <v>15.6352171798963</v>
      </c>
      <c r="T47" s="13" t="n">
        <f aca="false">MIN($F$26*T45/(1-Inputs!$F$94/100*Inputs!$F$75*$F$26),T46)</f>
        <v>17.8429384621836</v>
      </c>
      <c r="U47" s="13" t="n">
        <f aca="false">MIN($F$26*U45/(1-Inputs!$F$94/100*Inputs!$F$75*$F$26),U46)</f>
        <v>19.9602408386772</v>
      </c>
      <c r="V47" s="13" t="n">
        <f aca="false">MIN($F$26*V45/(1-Inputs!$F$94/100*Inputs!$F$75*$F$26),V46)</f>
        <v>21.8218356760987</v>
      </c>
      <c r="W47" s="13" t="n">
        <f aca="false">MIN($F$26*W45/(1-Inputs!$F$94/100*Inputs!$F$75*$F$26),W46)</f>
        <v>23.3700140932064</v>
      </c>
      <c r="X47" s="13" t="n">
        <f aca="false">MIN($F$26*X45/(1-Inputs!$F$94/100*Inputs!$F$75*$F$26),X46)</f>
        <v>24.6517984896081</v>
      </c>
      <c r="Y47" s="13" t="n">
        <f aca="false">MIN($F$26*Y45/(1-Inputs!$F$94/100*Inputs!$F$75*$F$26),Y46)</f>
        <v>25.5053518506275</v>
      </c>
      <c r="Z47" s="13" t="n">
        <f aca="false">MIN($F$26*Z45/(1-Inputs!$F$94/100*Inputs!$F$75*$F$26),Z46)</f>
        <v>26.0403005352616</v>
      </c>
      <c r="AA47" s="13" t="n">
        <f aca="false">MIN($F$26*AA45/(1-Inputs!$F$94/100*Inputs!$F$75*$F$26),AA46)</f>
        <v>27.0124839413792</v>
      </c>
      <c r="AB47" s="13" t="n">
        <f aca="false">MIN($F$26*AB45/(1-Inputs!$F$94/100*Inputs!$F$75*$F$26),AB46)</f>
        <v>25.7668966775978</v>
      </c>
      <c r="AC47" s="13" t="n">
        <f aca="false">MIN($F$26*AC45/(1-Inputs!$F$94/100*Inputs!$F$75*$F$26),AC46)</f>
        <v>25.1551447433591</v>
      </c>
      <c r="AD47" s="13" t="n">
        <f aca="false">MIN($F$26*AD45/(1-Inputs!$F$94/100*Inputs!$F$75*$F$26),AD46)</f>
        <v>24.0470256064722</v>
      </c>
      <c r="AE47" s="13" t="n">
        <f aca="false">MIN($F$26*AE45/(1-Inputs!$F$94/100*Inputs!$F$75*$F$26),AE46)</f>
        <v>22.6891472001895</v>
      </c>
      <c r="AF47" s="13" t="n">
        <f aca="false">MIN($F$26*AF45/(1-Inputs!$F$94/100*Inputs!$F$75*$F$26),AF46)</f>
        <v>20.9432485193249</v>
      </c>
      <c r="AG47" s="13" t="n">
        <f aca="false">MIN($F$26*AG45/(1-Inputs!$F$94/100*Inputs!$F$75*$F$26),AG46)</f>
        <v>19.0534172751804</v>
      </c>
      <c r="AH47" s="13" t="n">
        <f aca="false">MIN($F$26*AH45/(1-Inputs!$F$94/100*Inputs!$F$75*$F$26),AH46)</f>
        <v>16.9352342512495</v>
      </c>
      <c r="AI47" s="13" t="n">
        <f aca="false">MIN($F$26*AI45/(1-Inputs!$F$94/100*Inputs!$F$75*$F$26),AI46)</f>
        <v>14.6599507603532</v>
      </c>
      <c r="AJ47" s="13" t="n">
        <f aca="false">MIN($F$26*AJ45/(1-Inputs!$F$94/100*Inputs!$F$75*$F$26),AJ46)</f>
        <v>12.464051531407</v>
      </c>
      <c r="AK47" s="13" t="n">
        <f aca="false">MIN($F$26*AK45/(1-Inputs!$F$94/100*Inputs!$F$75*$F$26),AK46)</f>
        <v>10.2280463173378</v>
      </c>
      <c r="AL47" s="13" t="n">
        <f aca="false">MIN($F$26*AL45/(1-Inputs!$F$94/100*Inputs!$F$75*$F$26),AL46)</f>
        <v>8.25773282928897</v>
      </c>
      <c r="AM47" s="13" t="n">
        <f aca="false">MIN($F$26*AM45/(1-Inputs!$F$94/100*Inputs!$F$75*$F$26),AM46)</f>
        <v>6.49273904326125</v>
      </c>
      <c r="AN47" s="13" t="n">
        <f aca="false">MIN($F$26*AN45/(1-Inputs!$F$94/100*Inputs!$F$75*$F$26),AN46)</f>
        <v>4.91357244005274</v>
      </c>
      <c r="AO47" s="13" t="n">
        <f aca="false">MIN($F$26*AO45/(1-Inputs!$F$94/100*Inputs!$F$75*$F$26),AO46)</f>
        <v>4.1016357048604</v>
      </c>
      <c r="AP47" s="13" t="n">
        <f aca="false">MIN($F$26*AP45/(1-Inputs!$F$94/100*Inputs!$F$75*$F$26),AP46)</f>
        <v>40.1816054281223</v>
      </c>
      <c r="AQ47" s="13" t="n">
        <f aca="false">MIN($F$26*AQ45/(1-Inputs!$F$94/100*Inputs!$F$75*$F$26),AQ46)</f>
        <v>30.9723062989616</v>
      </c>
      <c r="AR47" s="13" t="n">
        <f aca="false">MIN($F$26*AR45/(1-Inputs!$F$94/100*Inputs!$F$75*$F$26),AR46)</f>
        <v>2.67376043216856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0.0602434608048698</v>
      </c>
      <c r="L48" s="13" t="n">
        <f aca="false">Inputs!$F$94/100*Inputs!$F$75*L47</f>
        <v>0.0767938408811079</v>
      </c>
      <c r="M48" s="13" t="n">
        <f aca="false">Inputs!$F$94/100*Inputs!$F$75*M47</f>
        <v>0.108561608387768</v>
      </c>
      <c r="N48" s="13" t="n">
        <f aca="false">Inputs!$F$94/100*Inputs!$F$75*N47</f>
        <v>0.156320251152562</v>
      </c>
      <c r="O48" s="13" t="n">
        <f aca="false">Inputs!$F$94/100*Inputs!$F$75*O47</f>
        <v>0.215410238829678</v>
      </c>
      <c r="P48" s="13" t="n">
        <f aca="false">Inputs!$F$94/100*Inputs!$F$75*P47</f>
        <v>0.281007269483999</v>
      </c>
      <c r="Q48" s="13" t="n">
        <f aca="false">Inputs!$F$94/100*Inputs!$F$75*Q47</f>
        <v>0.356689897783966</v>
      </c>
      <c r="R48" s="13" t="n">
        <f aca="false">Inputs!$F$94/100*Inputs!$F$75*R47</f>
        <v>0.432118408171621</v>
      </c>
      <c r="S48" s="13" t="n">
        <f aca="false">Inputs!$F$94/100*Inputs!$F$75*S47</f>
        <v>0.508926319205623</v>
      </c>
      <c r="T48" s="13" t="n">
        <f aca="false">Inputs!$F$94/100*Inputs!$F$75*T47</f>
        <v>0.580787646944078</v>
      </c>
      <c r="U48" s="13" t="n">
        <f aca="false">Inputs!$F$94/100*Inputs!$F$75*U47</f>
        <v>0.649705839298943</v>
      </c>
      <c r="V48" s="13" t="n">
        <f aca="false">Inputs!$F$94/100*Inputs!$F$75*V47</f>
        <v>0.710300751257014</v>
      </c>
      <c r="W48" s="13" t="n">
        <f aca="false">Inputs!$F$94/100*Inputs!$F$75*W47</f>
        <v>0.760693958733869</v>
      </c>
      <c r="X48" s="13" t="n">
        <f aca="false">Inputs!$F$94/100*Inputs!$F$75*X47</f>
        <v>0.802416040836744</v>
      </c>
      <c r="Y48" s="13" t="n">
        <f aca="false">Inputs!$F$94/100*Inputs!$F$75*Y47</f>
        <v>0.830199202737927</v>
      </c>
      <c r="Z48" s="13" t="n">
        <f aca="false">Inputs!$F$94/100*Inputs!$F$75*Z47</f>
        <v>0.847611782422766</v>
      </c>
      <c r="AA48" s="13" t="n">
        <f aca="false">Inputs!$F$94/100*Inputs!$F$75*AA47</f>
        <v>0.879256352291891</v>
      </c>
      <c r="AB48" s="13" t="n">
        <f aca="false">Inputs!$F$94/100*Inputs!$F$75*AB47</f>
        <v>0.83871248685581</v>
      </c>
      <c r="AC48" s="13" t="n">
        <f aca="false">Inputs!$F$94/100*Inputs!$F$75*AC47</f>
        <v>0.818799961396337</v>
      </c>
      <c r="AD48" s="13" t="n">
        <f aca="false">Inputs!$F$94/100*Inputs!$F$75*AD47</f>
        <v>0.782730683490671</v>
      </c>
      <c r="AE48" s="13" t="n">
        <f aca="false">Inputs!$F$94/100*Inputs!$F$75*AE47</f>
        <v>0.738531741366167</v>
      </c>
      <c r="AF48" s="13" t="n">
        <f aca="false">Inputs!$F$94/100*Inputs!$F$75*AF47</f>
        <v>0.681702739304024</v>
      </c>
      <c r="AG48" s="13" t="n">
        <f aca="false">Inputs!$F$94/100*Inputs!$F$75*AG47</f>
        <v>0.620188732307121</v>
      </c>
      <c r="AH48" s="13" t="n">
        <f aca="false">Inputs!$F$94/100*Inputs!$F$75*AH47</f>
        <v>0.55124187487817</v>
      </c>
      <c r="AI48" s="13" t="n">
        <f aca="false">Inputs!$F$94/100*Inputs!$F$75*AI47</f>
        <v>0.477181397249496</v>
      </c>
      <c r="AJ48" s="13" t="n">
        <f aca="false">Inputs!$F$94/100*Inputs!$F$75*AJ47</f>
        <v>0.405704877347299</v>
      </c>
      <c r="AK48" s="13" t="n">
        <f aca="false">Inputs!$F$94/100*Inputs!$F$75*AK47</f>
        <v>0.332922907629347</v>
      </c>
      <c r="AL48" s="13" t="n">
        <f aca="false">Inputs!$F$94/100*Inputs!$F$75*AL47</f>
        <v>0.268789203593356</v>
      </c>
      <c r="AM48" s="13" t="n">
        <f aca="false">Inputs!$F$94/100*Inputs!$F$75*AM47</f>
        <v>0.211338655858154</v>
      </c>
      <c r="AN48" s="13" t="n">
        <f aca="false">Inputs!$F$94/100*Inputs!$F$75*AN47</f>
        <v>0.159936782923717</v>
      </c>
      <c r="AO48" s="13" t="n">
        <f aca="false">Inputs!$F$94/100*Inputs!$F$75*AO47</f>
        <v>0.133508242193206</v>
      </c>
      <c r="AP48" s="13" t="n">
        <f aca="false">Inputs!$F$94/100*Inputs!$F$75*AP47</f>
        <v>1.30791125668538</v>
      </c>
      <c r="AQ48" s="13" t="n">
        <f aca="false">Inputs!$F$94/100*Inputs!$F$75*AQ47</f>
        <v>1.0081485700312</v>
      </c>
      <c r="AR48" s="13" t="n">
        <f aca="false">Inputs!$F$94/100*Inputs!$F$75*AR47</f>
        <v>0.0870309020670867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855.201277193908</v>
      </c>
      <c r="J49" s="13" t="n">
        <f aca="false">J45+J48</f>
        <v>121.592233969238</v>
      </c>
      <c r="K49" s="13" t="n">
        <f aca="false">K45+K48</f>
        <v>2.49914422799337</v>
      </c>
      <c r="L49" s="13" t="n">
        <f aca="false">L45+L48</f>
        <v>3.18572143132833</v>
      </c>
      <c r="M49" s="13" t="n">
        <f aca="false">M45+M48</f>
        <v>4.50357787150958</v>
      </c>
      <c r="N49" s="13" t="n">
        <f aca="false">N45+N48</f>
        <v>6.48480097535861</v>
      </c>
      <c r="O49" s="13" t="n">
        <f aca="false">O45+O48</f>
        <v>8.93609443796008</v>
      </c>
      <c r="P49" s="13" t="n">
        <f aca="false">P45+P48</f>
        <v>11.65732655748</v>
      </c>
      <c r="Q49" s="13" t="n">
        <f aca="false">Q45+Q48</f>
        <v>14.7969503630888</v>
      </c>
      <c r="R49" s="13" t="n">
        <f aca="false">R45+R48</f>
        <v>17.9260323222416</v>
      </c>
      <c r="S49" s="13" t="n">
        <f aca="false">S45+S48</f>
        <v>21.1123374408436</v>
      </c>
      <c r="T49" s="13" t="n">
        <f aca="false">T45+T48</f>
        <v>24.0934381285215</v>
      </c>
      <c r="U49" s="13" t="n">
        <f aca="false">U45+U48</f>
        <v>26.9524455681053</v>
      </c>
      <c r="V49" s="13" t="n">
        <f aca="false">V45+V48</f>
        <v>29.4661694219902</v>
      </c>
      <c r="W49" s="13" t="n">
        <f aca="false">W45+W48</f>
        <v>31.5566850051466</v>
      </c>
      <c r="X49" s="13" t="n">
        <f aca="false">X45+X48</f>
        <v>33.2874869755878</v>
      </c>
      <c r="Y49" s="13" t="n">
        <f aca="false">Y45+Y48</f>
        <v>34.4400457391961</v>
      </c>
      <c r="Z49" s="13" t="n">
        <f aca="false">Z45+Z48</f>
        <v>35.1623904954974</v>
      </c>
      <c r="AA49" s="13" t="n">
        <f aca="false">AA45+AA48</f>
        <v>36.4751361956808</v>
      </c>
      <c r="AB49" s="13" t="n">
        <f aca="false">AB45+AB48</f>
        <v>34.7932114534533</v>
      </c>
      <c r="AC49" s="13" t="n">
        <f aca="false">AC45+AC48</f>
        <v>33.9671587599004</v>
      </c>
      <c r="AD49" s="13" t="n">
        <f aca="false">AD45+AD48</f>
        <v>32.4708581410198</v>
      </c>
      <c r="AE49" s="13" t="n">
        <f aca="false">AE45+AE48</f>
        <v>30.6373059244291</v>
      </c>
      <c r="AF49" s="13" t="n">
        <f aca="false">AF45+AF48</f>
        <v>28.2798073579664</v>
      </c>
      <c r="AG49" s="13" t="n">
        <f aca="false">AG45+AG48</f>
        <v>25.7279556968376</v>
      </c>
      <c r="AH49" s="13" t="n">
        <f aca="false">AH45+AH48</f>
        <v>22.8677591131793</v>
      </c>
      <c r="AI49" s="13" t="n">
        <f aca="false">AI45+AI48</f>
        <v>19.7954287271871</v>
      </c>
      <c r="AJ49" s="13" t="n">
        <f aca="false">AJ45+AJ48</f>
        <v>16.8302914365321</v>
      </c>
      <c r="AK49" s="13" t="n">
        <f aca="false">AK45+AK48</f>
        <v>13.8109987682081</v>
      </c>
      <c r="AL49" s="13" t="n">
        <f aca="false">AL45+AL48</f>
        <v>11.1504713994281</v>
      </c>
      <c r="AM49" s="13" t="n">
        <f aca="false">AM45+AM48</f>
        <v>8.76718858583714</v>
      </c>
      <c r="AN49" s="13" t="n">
        <f aca="false">AN45+AN48</f>
        <v>6.63482944949478</v>
      </c>
      <c r="AO49" s="13" t="n">
        <f aca="false">AO45+AO48</f>
        <v>5.53846589171584</v>
      </c>
      <c r="AP49" s="13" t="n">
        <f aca="false">AP45+AP48</f>
        <v>54.2574882684794</v>
      </c>
      <c r="AQ49" s="13" t="n">
        <f aca="false">AQ45+AQ48</f>
        <v>41.8221105841512</v>
      </c>
      <c r="AR49" s="13" t="n">
        <f aca="false">AR45+AR48</f>
        <v>3.72193050932039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2.49914422799337</v>
      </c>
      <c r="L50" s="13" t="n">
        <f aca="false">L47/$F$26</f>
        <v>3.18572143132833</v>
      </c>
      <c r="M50" s="13" t="n">
        <f aca="false">M47/$F$26</f>
        <v>4.50357787150958</v>
      </c>
      <c r="N50" s="13" t="n">
        <f aca="false">N47/$F$26</f>
        <v>6.48480097535861</v>
      </c>
      <c r="O50" s="13" t="n">
        <f aca="false">O47/$F$26</f>
        <v>8.93609443796008</v>
      </c>
      <c r="P50" s="13" t="n">
        <f aca="false">P47/$F$26</f>
        <v>11.65732655748</v>
      </c>
      <c r="Q50" s="13" t="n">
        <f aca="false">Q47/$F$26</f>
        <v>14.7969503630888</v>
      </c>
      <c r="R50" s="13" t="n">
        <f aca="false">R47/$F$26</f>
        <v>17.9260323222416</v>
      </c>
      <c r="S50" s="13" t="n">
        <f aca="false">S47/$F$26</f>
        <v>21.1123374408435</v>
      </c>
      <c r="T50" s="13" t="n">
        <f aca="false">T47/$F$26</f>
        <v>24.0934381285215</v>
      </c>
      <c r="U50" s="13" t="n">
        <f aca="false">U47/$F$26</f>
        <v>26.9524455681053</v>
      </c>
      <c r="V50" s="13" t="n">
        <f aca="false">V47/$F$26</f>
        <v>29.4661694219902</v>
      </c>
      <c r="W50" s="13" t="n">
        <f aca="false">W47/$F$26</f>
        <v>31.5566850051466</v>
      </c>
      <c r="X50" s="13" t="n">
        <f aca="false">X47/$F$26</f>
        <v>33.2874869755878</v>
      </c>
      <c r="Y50" s="13" t="n">
        <f aca="false">Y47/$F$26</f>
        <v>34.4400457391961</v>
      </c>
      <c r="Z50" s="13" t="n">
        <f aca="false">Z47/$F$26</f>
        <v>35.1623904954974</v>
      </c>
      <c r="AA50" s="13" t="n">
        <f aca="false">AA47/$F$26</f>
        <v>36.4751361956808</v>
      </c>
      <c r="AB50" s="13" t="n">
        <f aca="false">AB47/$F$26</f>
        <v>34.7932114534533</v>
      </c>
      <c r="AC50" s="13" t="n">
        <f aca="false">AC47/$F$26</f>
        <v>33.9671587599004</v>
      </c>
      <c r="AD50" s="13" t="n">
        <f aca="false">AD47/$F$26</f>
        <v>32.4708581410198</v>
      </c>
      <c r="AE50" s="13" t="n">
        <f aca="false">AE47/$F$26</f>
        <v>30.6373059244291</v>
      </c>
      <c r="AF50" s="13" t="n">
        <f aca="false">AF47/$F$26</f>
        <v>28.2798073579664</v>
      </c>
      <c r="AG50" s="13" t="n">
        <f aca="false">AG47/$F$26</f>
        <v>25.7279556968376</v>
      </c>
      <c r="AH50" s="13" t="n">
        <f aca="false">AH47/$F$26</f>
        <v>22.8677591131793</v>
      </c>
      <c r="AI50" s="13" t="n">
        <f aca="false">AI47/$F$26</f>
        <v>19.7954287271871</v>
      </c>
      <c r="AJ50" s="13" t="n">
        <f aca="false">AJ47/$F$26</f>
        <v>16.8302914365321</v>
      </c>
      <c r="AK50" s="13" t="n">
        <f aca="false">AK47/$F$26</f>
        <v>13.8109987682081</v>
      </c>
      <c r="AL50" s="13" t="n">
        <f aca="false">AL47/$F$26</f>
        <v>11.1504713994281</v>
      </c>
      <c r="AM50" s="13" t="n">
        <f aca="false">AM47/$F$26</f>
        <v>8.76718858583714</v>
      </c>
      <c r="AN50" s="13" t="n">
        <f aca="false">AN47/$F$26</f>
        <v>6.63482944949478</v>
      </c>
      <c r="AO50" s="13" t="n">
        <f aca="false">AO47/$F$26</f>
        <v>5.53846589171584</v>
      </c>
      <c r="AP50" s="13" t="n">
        <f aca="false">AP47/$F$26</f>
        <v>54.2574882684794</v>
      </c>
      <c r="AQ50" s="13" t="n">
        <f aca="false">AQ47/$F$26</f>
        <v>41.8221105841512</v>
      </c>
      <c r="AR50" s="13" t="n">
        <f aca="false">AR47/$F$26</f>
        <v>3.61039644223816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0.111534067082232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0.083650550311674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0.083650550311674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0.027883516770558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0.027883516770558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0.555239270090966</v>
      </c>
      <c r="L57" s="13" t="n">
        <f aca="false">Inputs!$F$75*L47</f>
        <v>0.70777733530975</v>
      </c>
      <c r="M57" s="13" t="n">
        <f aca="false">Inputs!$F$75*M47</f>
        <v>1.0005678192421</v>
      </c>
      <c r="N57" s="13" t="n">
        <f aca="false">Inputs!$F$75*N47</f>
        <v>1.44073964195909</v>
      </c>
      <c r="O57" s="13" t="n">
        <f aca="false">Inputs!$F$75*O47</f>
        <v>1.98534782331501</v>
      </c>
      <c r="P57" s="13" t="n">
        <f aca="false">Inputs!$F$75*P47</f>
        <v>2.5899287510046</v>
      </c>
      <c r="Q57" s="13" t="n">
        <f aca="false">Inputs!$F$75*Q47</f>
        <v>3.28746449570475</v>
      </c>
      <c r="R57" s="13" t="n">
        <f aca="false">Inputs!$F$75*R47</f>
        <v>3.98265813983061</v>
      </c>
      <c r="S57" s="13" t="n">
        <f aca="false">Inputs!$F$75*S47</f>
        <v>4.69056515396888</v>
      </c>
      <c r="T57" s="13" t="n">
        <f aca="false">Inputs!$F$75*T47</f>
        <v>5.35288153865509</v>
      </c>
      <c r="U57" s="13" t="n">
        <f aca="false">Inputs!$F$75*U47</f>
        <v>5.98807225160316</v>
      </c>
      <c r="V57" s="13" t="n">
        <f aca="false">Inputs!$F$75*V47</f>
        <v>6.54655070282962</v>
      </c>
      <c r="W57" s="13" t="n">
        <f aca="false">Inputs!$F$75*W47</f>
        <v>7.01100422796193</v>
      </c>
      <c r="X57" s="13" t="n">
        <f aca="false">Inputs!$F$75*X47</f>
        <v>7.39553954688243</v>
      </c>
      <c r="Y57" s="13" t="n">
        <f aca="false">Inputs!$F$75*Y47</f>
        <v>7.65160555518826</v>
      </c>
      <c r="Z57" s="13" t="n">
        <f aca="false">Inputs!$F$75*Z47</f>
        <v>7.81209016057849</v>
      </c>
      <c r="AA57" s="13" t="n">
        <f aca="false">Inputs!$F$75*AA47</f>
        <v>8.10374518241375</v>
      </c>
      <c r="AB57" s="13" t="n">
        <f aca="false">Inputs!$F$75*AB47</f>
        <v>7.73006900327935</v>
      </c>
      <c r="AC57" s="13" t="n">
        <f aca="false">Inputs!$F$75*AC47</f>
        <v>7.54654342300771</v>
      </c>
      <c r="AD57" s="13" t="n">
        <f aca="false">Inputs!$F$75*AD47</f>
        <v>7.21410768194167</v>
      </c>
      <c r="AE57" s="13" t="n">
        <f aca="false">Inputs!$F$75*AE47</f>
        <v>6.80674416005684</v>
      </c>
      <c r="AF57" s="13" t="n">
        <f aca="false">Inputs!$F$75*AF47</f>
        <v>6.28297455579746</v>
      </c>
      <c r="AG57" s="13" t="n">
        <f aca="false">Inputs!$F$75*AG47</f>
        <v>5.71602518255411</v>
      </c>
      <c r="AH57" s="13" t="n">
        <f aca="false">Inputs!$F$75*AH47</f>
        <v>5.08057027537484</v>
      </c>
      <c r="AI57" s="13" t="n">
        <f aca="false">Inputs!$F$75*AI47</f>
        <v>4.39798522810595</v>
      </c>
      <c r="AJ57" s="13" t="n">
        <f aca="false">Inputs!$F$75*AJ47</f>
        <v>3.73921545942211</v>
      </c>
      <c r="AK57" s="13" t="n">
        <f aca="false">Inputs!$F$75*AK47</f>
        <v>3.06841389520135</v>
      </c>
      <c r="AL57" s="13" t="n">
        <f aca="false">Inputs!$F$75*AL47</f>
        <v>2.47731984878669</v>
      </c>
      <c r="AM57" s="13" t="n">
        <f aca="false">Inputs!$F$75*AM47</f>
        <v>1.94782171297838</v>
      </c>
      <c r="AN57" s="13" t="n">
        <f aca="false">Inputs!$F$75*AN47</f>
        <v>1.47407173201582</v>
      </c>
      <c r="AO57" s="13" t="n">
        <f aca="false">Inputs!$F$75*AO47</f>
        <v>1.23049071145812</v>
      </c>
      <c r="AP57" s="13" t="n">
        <f aca="false">Inputs!$F$75*AP47</f>
        <v>12.0544816284367</v>
      </c>
      <c r="AQ57" s="13" t="n">
        <f aca="false">Inputs!$F$75*AQ47</f>
        <v>9.29169188968848</v>
      </c>
      <c r="AR57" s="13" t="n">
        <f aca="false">Inputs!$F$75*AR47</f>
        <v>0.802128129650569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0.407175464733375</v>
      </c>
      <c r="L58" s="13" t="n">
        <f aca="false">Inputs!$F$76*L47</f>
        <v>0.519036712560483</v>
      </c>
      <c r="M58" s="13" t="n">
        <f aca="false">Inputs!$F$76*M47</f>
        <v>0.733749734110872</v>
      </c>
      <c r="N58" s="13" t="n">
        <f aca="false">Inputs!$F$76*N47</f>
        <v>1.05654240410334</v>
      </c>
      <c r="O58" s="13" t="n">
        <f aca="false">Inputs!$F$76*O47</f>
        <v>1.45592173709767</v>
      </c>
      <c r="P58" s="13" t="n">
        <f aca="false">Inputs!$F$76*P47</f>
        <v>1.89928108407004</v>
      </c>
      <c r="Q58" s="13" t="n">
        <f aca="false">Inputs!$F$76*Q47</f>
        <v>2.41080729685015</v>
      </c>
      <c r="R58" s="13" t="n">
        <f aca="false">Inputs!$F$76*R47</f>
        <v>2.92061596920911</v>
      </c>
      <c r="S58" s="13" t="n">
        <f aca="false">Inputs!$F$76*S47</f>
        <v>3.43974777957718</v>
      </c>
      <c r="T58" s="13" t="n">
        <f aca="false">Inputs!$F$76*T47</f>
        <v>3.9254464616804</v>
      </c>
      <c r="U58" s="13" t="n">
        <f aca="false">Inputs!$F$76*U47</f>
        <v>4.39125298450898</v>
      </c>
      <c r="V58" s="13" t="n">
        <f aca="false">Inputs!$F$76*V47</f>
        <v>4.80080384874172</v>
      </c>
      <c r="W58" s="13" t="n">
        <f aca="false">Inputs!$F$76*W47</f>
        <v>5.14140310050541</v>
      </c>
      <c r="X58" s="13" t="n">
        <f aca="false">Inputs!$F$76*X47</f>
        <v>5.42339566771379</v>
      </c>
      <c r="Y58" s="13" t="n">
        <f aca="false">Inputs!$F$76*Y47</f>
        <v>5.61117740713806</v>
      </c>
      <c r="Z58" s="13" t="n">
        <f aca="false">Inputs!$F$76*Z47</f>
        <v>5.72886611775756</v>
      </c>
      <c r="AA58" s="13" t="n">
        <f aca="false">Inputs!$F$76*AA47</f>
        <v>5.94274646710341</v>
      </c>
      <c r="AB58" s="13" t="n">
        <f aca="false">Inputs!$F$76*AB47</f>
        <v>5.66871726907153</v>
      </c>
      <c r="AC58" s="13" t="n">
        <f aca="false">Inputs!$F$76*AC47</f>
        <v>5.53413184353899</v>
      </c>
      <c r="AD58" s="13" t="n">
        <f aca="false">Inputs!$F$76*AD47</f>
        <v>5.29034563342389</v>
      </c>
      <c r="AE58" s="13" t="n">
        <f aca="false">Inputs!$F$76*AE47</f>
        <v>4.99161238404169</v>
      </c>
      <c r="AF58" s="13" t="n">
        <f aca="false">Inputs!$F$76*AF47</f>
        <v>4.60751467425147</v>
      </c>
      <c r="AG58" s="13" t="n">
        <f aca="false">Inputs!$F$76*AG47</f>
        <v>4.19175180053968</v>
      </c>
      <c r="AH58" s="13" t="n">
        <f aca="false">Inputs!$F$76*AH47</f>
        <v>3.72575153527488</v>
      </c>
      <c r="AI58" s="13" t="n">
        <f aca="false">Inputs!$F$76*AI47</f>
        <v>3.2251891672777</v>
      </c>
      <c r="AJ58" s="13" t="n">
        <f aca="false">Inputs!$F$76*AJ47</f>
        <v>2.74209133690955</v>
      </c>
      <c r="AK58" s="13" t="n">
        <f aca="false">Inputs!$F$76*AK47</f>
        <v>2.25017018981432</v>
      </c>
      <c r="AL58" s="13" t="n">
        <f aca="false">Inputs!$F$76*AL47</f>
        <v>1.81670122244357</v>
      </c>
      <c r="AM58" s="13" t="n">
        <f aca="false">Inputs!$F$76*AM47</f>
        <v>1.42840258951748</v>
      </c>
      <c r="AN58" s="13" t="n">
        <f aca="false">Inputs!$F$76*AN47</f>
        <v>1.0809859368116</v>
      </c>
      <c r="AO58" s="13" t="n">
        <f aca="false">Inputs!$F$76*AO47</f>
        <v>0.902359855069288</v>
      </c>
      <c r="AP58" s="13" t="n">
        <f aca="false">Inputs!$F$76*AP47</f>
        <v>8.8399531941869</v>
      </c>
      <c r="AQ58" s="13" t="n">
        <f aca="false">Inputs!$F$76*AQ47</f>
        <v>6.81390738577155</v>
      </c>
      <c r="AR58" s="13" t="n">
        <f aca="false">Inputs!$F$76*AR47</f>
        <v>0.588227295077084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0.185079756696989</v>
      </c>
      <c r="L59" s="13" t="n">
        <f aca="false">Inputs!$F$77*L47</f>
        <v>0.235925778436583</v>
      </c>
      <c r="M59" s="13" t="n">
        <f aca="false">Inputs!$F$77*M47</f>
        <v>0.333522606414033</v>
      </c>
      <c r="N59" s="13" t="n">
        <f aca="false">Inputs!$F$77*N47</f>
        <v>0.480246547319698</v>
      </c>
      <c r="O59" s="13" t="n">
        <f aca="false">Inputs!$F$77*O47</f>
        <v>0.661782607771669</v>
      </c>
      <c r="P59" s="13" t="n">
        <f aca="false">Inputs!$F$77*P47</f>
        <v>0.863309583668201</v>
      </c>
      <c r="Q59" s="13" t="n">
        <f aca="false">Inputs!$F$77*Q47</f>
        <v>1.09582149856825</v>
      </c>
      <c r="R59" s="13" t="n">
        <f aca="false">Inputs!$F$77*R47</f>
        <v>1.32755271327687</v>
      </c>
      <c r="S59" s="13" t="n">
        <f aca="false">Inputs!$F$77*S47</f>
        <v>1.56352171798963</v>
      </c>
      <c r="T59" s="13" t="n">
        <f aca="false">Inputs!$F$77*T47</f>
        <v>1.78429384621836</v>
      </c>
      <c r="U59" s="13" t="n">
        <f aca="false">Inputs!$F$77*U47</f>
        <v>1.99602408386772</v>
      </c>
      <c r="V59" s="13" t="n">
        <f aca="false">Inputs!$F$77*V47</f>
        <v>2.18218356760987</v>
      </c>
      <c r="W59" s="13" t="n">
        <f aca="false">Inputs!$F$77*W47</f>
        <v>2.33700140932064</v>
      </c>
      <c r="X59" s="13" t="n">
        <f aca="false">Inputs!$F$77*X47</f>
        <v>2.46517984896081</v>
      </c>
      <c r="Y59" s="13" t="n">
        <f aca="false">Inputs!$F$77*Y47</f>
        <v>2.55053518506276</v>
      </c>
      <c r="Z59" s="13" t="n">
        <f aca="false">Inputs!$F$77*Z47</f>
        <v>2.60403005352616</v>
      </c>
      <c r="AA59" s="13" t="n">
        <f aca="false">Inputs!$F$77*AA47</f>
        <v>2.70124839413792</v>
      </c>
      <c r="AB59" s="13" t="n">
        <f aca="false">Inputs!$F$77*AB47</f>
        <v>2.57668966775979</v>
      </c>
      <c r="AC59" s="13" t="n">
        <f aca="false">Inputs!$F$77*AC47</f>
        <v>2.51551447433591</v>
      </c>
      <c r="AD59" s="13" t="n">
        <f aca="false">Inputs!$F$77*AD47</f>
        <v>2.40470256064722</v>
      </c>
      <c r="AE59" s="13" t="n">
        <f aca="false">Inputs!$F$77*AE47</f>
        <v>2.26891472001895</v>
      </c>
      <c r="AF59" s="13" t="n">
        <f aca="false">Inputs!$F$77*AF47</f>
        <v>2.09432485193249</v>
      </c>
      <c r="AG59" s="13" t="n">
        <f aca="false">Inputs!$F$77*AG47</f>
        <v>1.90534172751804</v>
      </c>
      <c r="AH59" s="13" t="n">
        <f aca="false">Inputs!$F$77*AH47</f>
        <v>1.69352342512495</v>
      </c>
      <c r="AI59" s="13" t="n">
        <f aca="false">Inputs!$F$77*AI47</f>
        <v>1.46599507603532</v>
      </c>
      <c r="AJ59" s="13" t="n">
        <f aca="false">Inputs!$F$77*AJ47</f>
        <v>1.2464051531407</v>
      </c>
      <c r="AK59" s="13" t="n">
        <f aca="false">Inputs!$F$77*AK47</f>
        <v>1.02280463173378</v>
      </c>
      <c r="AL59" s="13" t="n">
        <f aca="false">Inputs!$F$77*AL47</f>
        <v>0.825773282928897</v>
      </c>
      <c r="AM59" s="13" t="n">
        <f aca="false">Inputs!$F$77*AM47</f>
        <v>0.649273904326125</v>
      </c>
      <c r="AN59" s="13" t="n">
        <f aca="false">Inputs!$F$77*AN47</f>
        <v>0.491357244005274</v>
      </c>
      <c r="AO59" s="13" t="n">
        <f aca="false">Inputs!$F$77*AO47</f>
        <v>0.41016357048604</v>
      </c>
      <c r="AP59" s="13" t="n">
        <f aca="false">Inputs!$F$77*AP47</f>
        <v>4.01816054281223</v>
      </c>
      <c r="AQ59" s="13" t="n">
        <f aca="false">Inputs!$F$77*AQ47</f>
        <v>3.09723062989616</v>
      </c>
      <c r="AR59" s="13" t="n">
        <f aca="false">Inputs!$F$77*AR47</f>
        <v>0.267376043216856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0.703303075448557</v>
      </c>
      <c r="L60" s="13" t="n">
        <f aca="false">Inputs!$F$78*L47</f>
        <v>0.896517958059017</v>
      </c>
      <c r="M60" s="13" t="n">
        <f aca="false">Inputs!$F$78*M47</f>
        <v>1.26738590437333</v>
      </c>
      <c r="N60" s="13" t="n">
        <f aca="false">Inputs!$F$78*N47</f>
        <v>1.82493687981485</v>
      </c>
      <c r="O60" s="13" t="n">
        <f aca="false">Inputs!$F$78*O47</f>
        <v>2.51477390953234</v>
      </c>
      <c r="P60" s="13" t="n">
        <f aca="false">Inputs!$F$78*P47</f>
        <v>3.28057641793916</v>
      </c>
      <c r="Q60" s="13" t="n">
        <f aca="false">Inputs!$F$78*Q47</f>
        <v>4.16412169455935</v>
      </c>
      <c r="R60" s="13" t="n">
        <f aca="false">Inputs!$F$78*R47</f>
        <v>5.0447003104521</v>
      </c>
      <c r="S60" s="13" t="n">
        <f aca="false">Inputs!$F$78*S47</f>
        <v>5.94138252836058</v>
      </c>
      <c r="T60" s="13" t="n">
        <f aca="false">Inputs!$F$78*T47</f>
        <v>6.78031661562979</v>
      </c>
      <c r="U60" s="13" t="n">
        <f aca="false">Inputs!$F$78*U47</f>
        <v>7.58489151869734</v>
      </c>
      <c r="V60" s="13" t="n">
        <f aca="false">Inputs!$F$78*V47</f>
        <v>8.29229755691752</v>
      </c>
      <c r="W60" s="13" t="n">
        <f aca="false">Inputs!$F$78*W47</f>
        <v>8.88060535541844</v>
      </c>
      <c r="X60" s="13" t="n">
        <f aca="false">Inputs!$F$78*X47</f>
        <v>9.36768342605108</v>
      </c>
      <c r="Y60" s="13" t="n">
        <f aca="false">Inputs!$F$78*Y47</f>
        <v>9.69203370323847</v>
      </c>
      <c r="Z60" s="13" t="n">
        <f aca="false">Inputs!$F$78*Z47</f>
        <v>9.89531420339942</v>
      </c>
      <c r="AA60" s="13" t="n">
        <f aca="false">Inputs!$F$78*AA47</f>
        <v>10.2647438977241</v>
      </c>
      <c r="AB60" s="13" t="n">
        <f aca="false">Inputs!$F$78*AB47</f>
        <v>9.79142073748718</v>
      </c>
      <c r="AC60" s="13" t="n">
        <f aca="false">Inputs!$F$78*AC47</f>
        <v>9.55895500247644</v>
      </c>
      <c r="AD60" s="13" t="n">
        <f aca="false">Inputs!$F$78*AD47</f>
        <v>9.13786973045945</v>
      </c>
      <c r="AE60" s="13" t="n">
        <f aca="false">Inputs!$F$78*AE47</f>
        <v>8.621875936072</v>
      </c>
      <c r="AF60" s="13" t="n">
        <f aca="false">Inputs!$F$78*AF47</f>
        <v>7.95843443734345</v>
      </c>
      <c r="AG60" s="13" t="n">
        <f aca="false">Inputs!$F$78*AG47</f>
        <v>7.24029856456854</v>
      </c>
      <c r="AH60" s="13" t="n">
        <f aca="false">Inputs!$F$78*AH47</f>
        <v>6.43538901547479</v>
      </c>
      <c r="AI60" s="13" t="n">
        <f aca="false">Inputs!$F$78*AI47</f>
        <v>5.5707812889342</v>
      </c>
      <c r="AJ60" s="13" t="n">
        <f aca="false">Inputs!$F$78*AJ47</f>
        <v>4.73633958193467</v>
      </c>
      <c r="AK60" s="13" t="n">
        <f aca="false">Inputs!$F$78*AK47</f>
        <v>3.88665760058838</v>
      </c>
      <c r="AL60" s="13" t="n">
        <f aca="false">Inputs!$F$78*AL47</f>
        <v>3.13793847512981</v>
      </c>
      <c r="AM60" s="13" t="n">
        <f aca="false">Inputs!$F$78*AM47</f>
        <v>2.46724083643928</v>
      </c>
      <c r="AN60" s="13" t="n">
        <f aca="false">Inputs!$F$78*AN47</f>
        <v>1.86715752722004</v>
      </c>
      <c r="AO60" s="13" t="n">
        <f aca="false">Inputs!$F$78*AO47</f>
        <v>1.55862156784695</v>
      </c>
      <c r="AP60" s="13" t="n">
        <f aca="false">Inputs!$F$78*AP47</f>
        <v>15.2690100626865</v>
      </c>
      <c r="AQ60" s="13" t="n">
        <f aca="false">Inputs!$F$78*AQ47</f>
        <v>11.7694763936054</v>
      </c>
      <c r="AR60" s="13" t="n">
        <f aca="false">Inputs!$F$78*AR47</f>
        <v>1.01602896422405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27.0143605485376</v>
      </c>
      <c r="K61" s="13" t="n">
        <f aca="false">K28+K57</f>
        <v>27.5695998186286</v>
      </c>
      <c r="L61" s="13" t="n">
        <f aca="false">L28+L57</f>
        <v>28.2773771539383</v>
      </c>
      <c r="M61" s="13" t="n">
        <f aca="false">M28+M57</f>
        <v>29.2779449731804</v>
      </c>
      <c r="N61" s="13" t="n">
        <f aca="false">N28+N57</f>
        <v>30.7186846151395</v>
      </c>
      <c r="O61" s="13" t="n">
        <f aca="false">O28+O57</f>
        <v>32.7040324384546</v>
      </c>
      <c r="P61" s="13" t="n">
        <f aca="false">P28+P57</f>
        <v>35.2939611894592</v>
      </c>
      <c r="Q61" s="13" t="n">
        <f aca="false">Q28+Q57</f>
        <v>38.5814256851639</v>
      </c>
      <c r="R61" s="13" t="n">
        <f aca="false">R28+R57</f>
        <v>42.5640838249945</v>
      </c>
      <c r="S61" s="13" t="n">
        <f aca="false">S28+S57</f>
        <v>47.2546489789634</v>
      </c>
      <c r="T61" s="13" t="n">
        <f aca="false">T28+T57</f>
        <v>52.6075305176185</v>
      </c>
      <c r="U61" s="13" t="n">
        <f aca="false">U28+U57</f>
        <v>58.5956027692216</v>
      </c>
      <c r="V61" s="13" t="n">
        <f aca="false">V28+V57</f>
        <v>65.1421534720513</v>
      </c>
      <c r="W61" s="13" t="n">
        <f aca="false">W28+W57</f>
        <v>72.1531577000132</v>
      </c>
      <c r="X61" s="13" t="n">
        <f aca="false">X28+X57</f>
        <v>79.5486972468956</v>
      </c>
      <c r="Y61" s="13" t="n">
        <f aca="false">Y28+Y57</f>
        <v>87.2003028020839</v>
      </c>
      <c r="Z61" s="13" t="n">
        <f aca="false">Z28+Z57</f>
        <v>95.0123929626624</v>
      </c>
      <c r="AA61" s="13" t="n">
        <f aca="false">AA28+AA57</f>
        <v>103.116138145076</v>
      </c>
      <c r="AB61" s="13" t="n">
        <f aca="false">AB28+AB57</f>
        <v>110.846207148355</v>
      </c>
      <c r="AC61" s="13" t="n">
        <f aca="false">AC28+AC57</f>
        <v>118.392750571363</v>
      </c>
      <c r="AD61" s="13" t="n">
        <f aca="false">AD28+AD57</f>
        <v>125.606858253305</v>
      </c>
      <c r="AE61" s="13" t="n">
        <f aca="false">AE28+AE57</f>
        <v>132.413602413362</v>
      </c>
      <c r="AF61" s="13" t="n">
        <f aca="false">AF28+AF57</f>
        <v>138.696576969159</v>
      </c>
      <c r="AG61" s="13" t="n">
        <f aca="false">AG28+AG57</f>
        <v>144.412602151713</v>
      </c>
      <c r="AH61" s="13" t="n">
        <f aca="false">AH28+AH57</f>
        <v>149.493172427088</v>
      </c>
      <c r="AI61" s="13" t="n">
        <f aca="false">AI28+AI57</f>
        <v>153.891157655194</v>
      </c>
      <c r="AJ61" s="13" t="n">
        <f aca="false">AJ28+AJ57</f>
        <v>157.630373114616</v>
      </c>
      <c r="AK61" s="13" t="n">
        <f aca="false">AK28+AK57</f>
        <v>160.698787009818</v>
      </c>
      <c r="AL61" s="13" t="n">
        <f aca="false">AL28+AL57</f>
        <v>163.176106858604</v>
      </c>
      <c r="AM61" s="13" t="n">
        <f aca="false">AM28+AM57</f>
        <v>165.123928571583</v>
      </c>
      <c r="AN61" s="13" t="n">
        <f aca="false">AN28+AN57</f>
        <v>166.598000303598</v>
      </c>
      <c r="AO61" s="13" t="n">
        <f aca="false">AO28+AO57</f>
        <v>167.828491015057</v>
      </c>
      <c r="AP61" s="13" t="n">
        <f aca="false">AP28+AP57</f>
        <v>179.882972643493</v>
      </c>
      <c r="AQ61" s="13" t="n">
        <f aca="false">AQ28+AQ57</f>
        <v>189.174664533182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19.8105310689276</v>
      </c>
      <c r="K62" s="13" t="n">
        <f aca="false">K29+K58</f>
        <v>20.217706533661</v>
      </c>
      <c r="L62" s="13" t="n">
        <f aca="false">L29+L58</f>
        <v>20.7367432462215</v>
      </c>
      <c r="M62" s="13" t="n">
        <f aca="false">M29+M58</f>
        <v>21.4704929803323</v>
      </c>
      <c r="N62" s="13" t="n">
        <f aca="false">N29+N58</f>
        <v>22.5270353844357</v>
      </c>
      <c r="O62" s="13" t="n">
        <f aca="false">O29+O58</f>
        <v>23.9829571215333</v>
      </c>
      <c r="P62" s="13" t="n">
        <f aca="false">P29+P58</f>
        <v>25.8822382056034</v>
      </c>
      <c r="Q62" s="13" t="n">
        <f aca="false">Q29+Q58</f>
        <v>28.2930455024535</v>
      </c>
      <c r="R62" s="13" t="n">
        <f aca="false">R29+R58</f>
        <v>31.2136614716626</v>
      </c>
      <c r="S62" s="13" t="n">
        <f aca="false">S29+S58</f>
        <v>34.6534092512398</v>
      </c>
      <c r="T62" s="13" t="n">
        <f aca="false">T29+T58</f>
        <v>38.5788557129202</v>
      </c>
      <c r="U62" s="13" t="n">
        <f aca="false">U29+U58</f>
        <v>42.9701086974292</v>
      </c>
      <c r="V62" s="13" t="n">
        <f aca="false">V29+V58</f>
        <v>47.7709125461709</v>
      </c>
      <c r="W62" s="13" t="n">
        <f aca="false">W29+W58</f>
        <v>52.9123156466764</v>
      </c>
      <c r="X62" s="13" t="n">
        <f aca="false">X29+X58</f>
        <v>58.3357113143901</v>
      </c>
      <c r="Y62" s="13" t="n">
        <f aca="false">Y29+Y58</f>
        <v>63.9468887215282</v>
      </c>
      <c r="Z62" s="13" t="n">
        <f aca="false">Z29+Z58</f>
        <v>69.6757548392857</v>
      </c>
      <c r="AA62" s="13" t="n">
        <f aca="false">AA29+AA58</f>
        <v>75.6185013063892</v>
      </c>
      <c r="AB62" s="13" t="n">
        <f aca="false">AB29+AB58</f>
        <v>81.2872185754607</v>
      </c>
      <c r="AC62" s="13" t="n">
        <f aca="false">AC29+AC58</f>
        <v>86.8213504189997</v>
      </c>
      <c r="AD62" s="13" t="n">
        <f aca="false">AD29+AD58</f>
        <v>92.1116960524236</v>
      </c>
      <c r="AE62" s="13" t="n">
        <f aca="false">AE29+AE58</f>
        <v>97.1033084364653</v>
      </c>
      <c r="AF62" s="13" t="n">
        <f aca="false">AF29+AF58</f>
        <v>101.710823110717</v>
      </c>
      <c r="AG62" s="13" t="n">
        <f aca="false">AG29+AG58</f>
        <v>105.902574911256</v>
      </c>
      <c r="AH62" s="13" t="n">
        <f aca="false">AH29+AH58</f>
        <v>109.628326446531</v>
      </c>
      <c r="AI62" s="13" t="n">
        <f aca="false">AI29+AI58</f>
        <v>112.853515613809</v>
      </c>
      <c r="AJ62" s="13" t="n">
        <f aca="false">AJ29+AJ58</f>
        <v>115.595606950719</v>
      </c>
      <c r="AK62" s="13" t="n">
        <f aca="false">AK29+AK58</f>
        <v>117.845777140533</v>
      </c>
      <c r="AL62" s="13" t="n">
        <f aca="false">AL29+AL58</f>
        <v>119.662478362976</v>
      </c>
      <c r="AM62" s="13" t="n">
        <f aca="false">AM29+AM58</f>
        <v>121.090880952494</v>
      </c>
      <c r="AN62" s="13" t="n">
        <f aca="false">AN29+AN58</f>
        <v>122.171866889306</v>
      </c>
      <c r="AO62" s="13" t="n">
        <f aca="false">AO29+AO58</f>
        <v>123.074226744375</v>
      </c>
      <c r="AP62" s="13" t="n">
        <f aca="false">AP29+AP58</f>
        <v>131.914179938562</v>
      </c>
      <c r="AQ62" s="13" t="n">
        <f aca="false">AQ29+AQ58</f>
        <v>138.728087324333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9.00478684951255</v>
      </c>
      <c r="K63" s="13" t="n">
        <f aca="false">K30+K59</f>
        <v>9.18986660620953</v>
      </c>
      <c r="L63" s="13" t="n">
        <f aca="false">L30+L59</f>
        <v>9.42579238464612</v>
      </c>
      <c r="M63" s="13" t="n">
        <f aca="false">M30+M59</f>
        <v>9.75931499106015</v>
      </c>
      <c r="N63" s="13" t="n">
        <f aca="false">N30+N59</f>
        <v>10.2395615383798</v>
      </c>
      <c r="O63" s="13" t="n">
        <f aca="false">O30+O59</f>
        <v>10.9013441461515</v>
      </c>
      <c r="P63" s="13" t="n">
        <f aca="false">P30+P59</f>
        <v>11.7646537298197</v>
      </c>
      <c r="Q63" s="13" t="n">
        <f aca="false">Q30+Q59</f>
        <v>12.860475228388</v>
      </c>
      <c r="R63" s="13" t="n">
        <f aca="false">R30+R59</f>
        <v>14.1880279416648</v>
      </c>
      <c r="S63" s="13" t="n">
        <f aca="false">S30+S59</f>
        <v>15.7515496596545</v>
      </c>
      <c r="T63" s="13" t="n">
        <f aca="false">T30+T59</f>
        <v>17.5358435058728</v>
      </c>
      <c r="U63" s="13" t="n">
        <f aca="false">U30+U59</f>
        <v>19.5318675897405</v>
      </c>
      <c r="V63" s="13" t="n">
        <f aca="false">V30+V59</f>
        <v>21.7140511573504</v>
      </c>
      <c r="W63" s="13" t="n">
        <f aca="false">W30+W59</f>
        <v>24.0510525666711</v>
      </c>
      <c r="X63" s="13" t="n">
        <f aca="false">X30+X59</f>
        <v>26.5162324156319</v>
      </c>
      <c r="Y63" s="13" t="n">
        <f aca="false">Y30+Y59</f>
        <v>29.0667676006946</v>
      </c>
      <c r="Z63" s="13" t="n">
        <f aca="false">Z30+Z59</f>
        <v>31.6707976542208</v>
      </c>
      <c r="AA63" s="13" t="n">
        <f aca="false">AA30+AA59</f>
        <v>34.3720460483587</v>
      </c>
      <c r="AB63" s="13" t="n">
        <f aca="false">AB30+AB59</f>
        <v>36.9487357161185</v>
      </c>
      <c r="AC63" s="13" t="n">
        <f aca="false">AC30+AC59</f>
        <v>39.4642501904544</v>
      </c>
      <c r="AD63" s="13" t="n">
        <f aca="false">AD30+AD59</f>
        <v>41.8689527511016</v>
      </c>
      <c r="AE63" s="13" t="n">
        <f aca="false">AE30+AE59</f>
        <v>44.1378674711206</v>
      </c>
      <c r="AF63" s="13" t="n">
        <f aca="false">AF30+AF59</f>
        <v>46.2321923230531</v>
      </c>
      <c r="AG63" s="13" t="n">
        <f aca="false">AG30+AG59</f>
        <v>48.1375340505711</v>
      </c>
      <c r="AH63" s="13" t="n">
        <f aca="false">AH30+AH59</f>
        <v>49.831057475696</v>
      </c>
      <c r="AI63" s="13" t="n">
        <f aca="false">AI30+AI59</f>
        <v>51.2970525517314</v>
      </c>
      <c r="AJ63" s="13" t="n">
        <f aca="false">AJ30+AJ59</f>
        <v>52.5434577048721</v>
      </c>
      <c r="AK63" s="13" t="n">
        <f aca="false">AK30+AK59</f>
        <v>53.5662623366058</v>
      </c>
      <c r="AL63" s="13" t="n">
        <f aca="false">AL30+AL59</f>
        <v>54.3920356195347</v>
      </c>
      <c r="AM63" s="13" t="n">
        <f aca="false">AM30+AM59</f>
        <v>55.0413095238609</v>
      </c>
      <c r="AN63" s="13" t="n">
        <f aca="false">AN30+AN59</f>
        <v>55.5326667678661</v>
      </c>
      <c r="AO63" s="13" t="n">
        <f aca="false">AO30+AO59</f>
        <v>55.9428303383522</v>
      </c>
      <c r="AP63" s="13" t="n">
        <f aca="false">AP30+AP59</f>
        <v>59.9609908811644</v>
      </c>
      <c r="AQ63" s="13" t="n">
        <f aca="false">AQ30+AQ59</f>
        <v>63.0582215110606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34.2181900281477</v>
      </c>
      <c r="K64" s="13" t="n">
        <f aca="false">K31+K60</f>
        <v>34.9214931035962</v>
      </c>
      <c r="L64" s="13" t="n">
        <f aca="false">L31+L60</f>
        <v>35.8180110616552</v>
      </c>
      <c r="M64" s="13" t="n">
        <f aca="false">M31+M60</f>
        <v>37.0853969660286</v>
      </c>
      <c r="N64" s="13" t="n">
        <f aca="false">N31+N60</f>
        <v>38.9103338458434</v>
      </c>
      <c r="O64" s="13" t="n">
        <f aca="false">O31+O60</f>
        <v>41.4251077553758</v>
      </c>
      <c r="P64" s="13" t="n">
        <f aca="false">P31+P60</f>
        <v>44.7056841733149</v>
      </c>
      <c r="Q64" s="13" t="n">
        <f aca="false">Q31+Q60</f>
        <v>48.8698058678743</v>
      </c>
      <c r="R64" s="13" t="n">
        <f aca="false">R31+R60</f>
        <v>53.9145061783264</v>
      </c>
      <c r="S64" s="13" t="n">
        <f aca="false">S31+S60</f>
        <v>59.855888706687</v>
      </c>
      <c r="T64" s="13" t="n">
        <f aca="false">T31+T60</f>
        <v>66.6362053223167</v>
      </c>
      <c r="U64" s="13" t="n">
        <f aca="false">U31+U60</f>
        <v>74.2210968410141</v>
      </c>
      <c r="V64" s="13" t="n">
        <f aca="false">V31+V60</f>
        <v>82.5133943979316</v>
      </c>
      <c r="W64" s="13" t="n">
        <f aca="false">W31+W60</f>
        <v>91.39399975335</v>
      </c>
      <c r="X64" s="13" t="n">
        <f aca="false">X31+X60</f>
        <v>100.761683179401</v>
      </c>
      <c r="Y64" s="13" t="n">
        <f aca="false">Y31+Y60</f>
        <v>110.45371688264</v>
      </c>
      <c r="Z64" s="13" t="n">
        <f aca="false">Z31+Z60</f>
        <v>120.349031086039</v>
      </c>
      <c r="AA64" s="13" t="n">
        <f aca="false">AA31+AA60</f>
        <v>130.613774983763</v>
      </c>
      <c r="AB64" s="13" t="n">
        <f aca="false">AB31+AB60</f>
        <v>140.40519572125</v>
      </c>
      <c r="AC64" s="13" t="n">
        <f aca="false">AC31+AC60</f>
        <v>149.964150723727</v>
      </c>
      <c r="AD64" s="13" t="n">
        <f aca="false">AD31+AD60</f>
        <v>159.102020454186</v>
      </c>
      <c r="AE64" s="13" t="n">
        <f aca="false">AE31+AE60</f>
        <v>167.723896390258</v>
      </c>
      <c r="AF64" s="13" t="n">
        <f aca="false">AF31+AF60</f>
        <v>175.682330827602</v>
      </c>
      <c r="AG64" s="13" t="n">
        <f aca="false">AG31+AG60</f>
        <v>182.92262939217</v>
      </c>
      <c r="AH64" s="13" t="n">
        <f aca="false">AH31+AH60</f>
        <v>189.358018407645</v>
      </c>
      <c r="AI64" s="13" t="n">
        <f aca="false">AI31+AI60</f>
        <v>194.928799696579</v>
      </c>
      <c r="AJ64" s="13" t="n">
        <f aca="false">AJ31+AJ60</f>
        <v>199.665139278514</v>
      </c>
      <c r="AK64" s="13" t="n">
        <f aca="false">AK31+AK60</f>
        <v>203.551796879102</v>
      </c>
      <c r="AL64" s="13" t="n">
        <f aca="false">AL31+AL60</f>
        <v>206.689735354232</v>
      </c>
      <c r="AM64" s="13" t="n">
        <f aca="false">AM31+AM60</f>
        <v>209.156976190671</v>
      </c>
      <c r="AN64" s="13" t="n">
        <f aca="false">AN31+AN60</f>
        <v>211.024133717891</v>
      </c>
      <c r="AO64" s="13" t="n">
        <f aca="false">AO31+AO60</f>
        <v>212.582755285738</v>
      </c>
      <c r="AP64" s="13" t="n">
        <f aca="false">AP31+AP60</f>
        <v>227.851765348425</v>
      </c>
      <c r="AQ64" s="13" t="n">
        <f aca="false">AQ31+AQ60</f>
        <v>239.62124174203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0.083650550311674</v>
      </c>
      <c r="AS65" s="13" t="n">
        <f aca="false">AS32+AS55</f>
        <v>0.083650550311674</v>
      </c>
      <c r="AT65" s="13" t="n">
        <f aca="false">AT32+AT55</f>
        <v>0.083650550311674</v>
      </c>
      <c r="AU65" s="13" t="n">
        <f aca="false">AU32+AU55</f>
        <v>0.083650550311674</v>
      </c>
      <c r="AV65" s="13" t="n">
        <f aca="false">AV32+AV55</f>
        <v>0.083650550311674</v>
      </c>
      <c r="AW65" s="13" t="n">
        <f aca="false">AW32+AW55</f>
        <v>0.083650550311674</v>
      </c>
      <c r="AX65" s="13" t="n">
        <f aca="false">AX32+AX55</f>
        <v>0.083650550311674</v>
      </c>
      <c r="AY65" s="13" t="n">
        <f aca="false">AY32+AY55</f>
        <v>0.083650550311674</v>
      </c>
      <c r="AZ65" s="13" t="n">
        <f aca="false">AZ32+AZ55</f>
        <v>0.083650550311674</v>
      </c>
      <c r="BA65" s="13" t="n">
        <f aca="false">BA32+BA55</f>
        <v>0.083650550311674</v>
      </c>
      <c r="BB65" s="13" t="n">
        <f aca="false">BB32+BB55</f>
        <v>0.083650550311674</v>
      </c>
      <c r="BC65" s="13" t="n">
        <f aca="false">BC32+BC55</f>
        <v>0.083650550311674</v>
      </c>
      <c r="BD65" s="13" t="n">
        <f aca="false">BD32+BD55</f>
        <v>0.083650550311674</v>
      </c>
      <c r="BE65" s="13" t="n">
        <f aca="false">BE32+BE55</f>
        <v>0.083650550311674</v>
      </c>
      <c r="BF65" s="13" t="n">
        <f aca="false">BF32+BF55</f>
        <v>0.083650550311674</v>
      </c>
      <c r="BG65" s="13" t="n">
        <f aca="false">BG32+BG55</f>
        <v>0.083650550311674</v>
      </c>
      <c r="BH65" s="13" t="n">
        <f aca="false">BH32+BH55</f>
        <v>0.083650550311674</v>
      </c>
      <c r="BI65" s="13" t="n">
        <f aca="false">BI32+BI55</f>
        <v>0.083650550311674</v>
      </c>
      <c r="BJ65" s="13" t="n">
        <f aca="false">BJ32+BJ55</f>
        <v>0.083650550311674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221.861651100822</v>
      </c>
      <c r="J67" s="13" t="n">
        <f aca="false">J50-J47+J56</f>
        <v>31.5443654741124</v>
      </c>
      <c r="K67" s="13" t="n">
        <f aca="false">K50-K47+K56</f>
        <v>0.648346661023482</v>
      </c>
      <c r="L67" s="13" t="n">
        <f aca="false">L50-L47+L56</f>
        <v>0.826463646962496</v>
      </c>
      <c r="M67" s="13" t="n">
        <f aca="false">M50-M47+M56</f>
        <v>1.16835180736925</v>
      </c>
      <c r="N67" s="13" t="n">
        <f aca="false">N50-N47+N56</f>
        <v>1.68233550216164</v>
      </c>
      <c r="O67" s="13" t="n">
        <f aca="false">O50-O47+O56</f>
        <v>2.31826836024339</v>
      </c>
      <c r="P67" s="13" t="n">
        <f aca="false">P50-P47+P56</f>
        <v>3.02423072079799</v>
      </c>
      <c r="Q67" s="13" t="n">
        <f aca="false">Q50-Q47+Q56</f>
        <v>3.83873537740626</v>
      </c>
      <c r="R67" s="13" t="n">
        <f aca="false">R50-R47+R56</f>
        <v>4.65050518947287</v>
      </c>
      <c r="S67" s="13" t="n">
        <f aca="false">S50-S47+S56</f>
        <v>5.47712026094729</v>
      </c>
      <c r="T67" s="13" t="n">
        <f aca="false">T50-T47+T56</f>
        <v>6.25049966633788</v>
      </c>
      <c r="U67" s="13" t="n">
        <f aca="false">U50-U47+U56</f>
        <v>6.99220472942813</v>
      </c>
      <c r="V67" s="13" t="n">
        <f aca="false">V50-V47+V56</f>
        <v>7.64433374589146</v>
      </c>
      <c r="W67" s="13" t="n">
        <f aca="false">W50-W47+W56</f>
        <v>8.18667091194022</v>
      </c>
      <c r="X67" s="13" t="n">
        <f aca="false">X50-X47+X56</f>
        <v>8.63568848597973</v>
      </c>
      <c r="Y67" s="13" t="n">
        <f aca="false">Y50-Y47+Y56</f>
        <v>8.93469388856859</v>
      </c>
      <c r="Z67" s="13" t="n">
        <f aca="false">Z50-Z47+Z56</f>
        <v>9.12208996023581</v>
      </c>
      <c r="AA67" s="13" t="n">
        <f aca="false">AA50-AA47+AA56</f>
        <v>9.46265225430165</v>
      </c>
      <c r="AB67" s="13" t="n">
        <f aca="false">AB50-AB47+AB56</f>
        <v>9.02631477585546</v>
      </c>
      <c r="AC67" s="13" t="n">
        <f aca="false">AC50-AC47+AC56</f>
        <v>8.81201401654134</v>
      </c>
      <c r="AD67" s="13" t="n">
        <f aca="false">AD50-AD47+AD56</f>
        <v>8.42383253454759</v>
      </c>
      <c r="AE67" s="13" t="n">
        <f aca="false">AE50-AE47+AE56</f>
        <v>7.94815872423961</v>
      </c>
      <c r="AF67" s="13" t="n">
        <f aca="false">AF50-AF47+AF56</f>
        <v>7.33655883864159</v>
      </c>
      <c r="AG67" s="13" t="n">
        <f aca="false">AG50-AG47+AG56</f>
        <v>6.67453842165728</v>
      </c>
      <c r="AH67" s="13" t="n">
        <f aca="false">AH50-AH47+AH56</f>
        <v>5.93252486192983</v>
      </c>
      <c r="AI67" s="13" t="n">
        <f aca="false">AI50-AI47+AI56</f>
        <v>5.1354779668339</v>
      </c>
      <c r="AJ67" s="13" t="n">
        <f aca="false">AJ50-AJ47+AJ56</f>
        <v>4.3662399051251</v>
      </c>
      <c r="AK67" s="13" t="n">
        <f aca="false">AK50-AK47+AK56</f>
        <v>3.58295245087028</v>
      </c>
      <c r="AL67" s="13" t="n">
        <f aca="false">AL50-AL47+AL56</f>
        <v>2.89273857013916</v>
      </c>
      <c r="AM67" s="13" t="n">
        <f aca="false">AM50-AM47+AM56</f>
        <v>2.27444954257589</v>
      </c>
      <c r="AN67" s="13" t="n">
        <f aca="false">AN50-AN47+AN56</f>
        <v>1.72125700944204</v>
      </c>
      <c r="AO67" s="13" t="n">
        <f aca="false">AO50-AO47+AO56</f>
        <v>1.43683018685544</v>
      </c>
      <c r="AP67" s="13" t="n">
        <f aca="false">AP50-AP47+AP56</f>
        <v>14.0758828403571</v>
      </c>
      <c r="AQ67" s="13" t="n">
        <f aca="false">AQ50-AQ47+AQ56</f>
        <v>10.8498042851896</v>
      </c>
      <c r="AR67" s="13" t="n">
        <f aca="false">AR50-AR47+AR56</f>
        <v>0.964519526840154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207.661651100822</v>
      </c>
      <c r="J68" s="13" t="n">
        <f aca="false">J67-IF(Construction!J8=1,Inputs!$F$68,0)</f>
        <v>17.3443654741124</v>
      </c>
      <c r="K68" s="13" t="n">
        <f aca="false">K67-IF(Construction!K8=1,Inputs!$F$68,0)</f>
        <v>0.648346661023482</v>
      </c>
      <c r="L68" s="13" t="n">
        <f aca="false">L67-IF(Construction!L8=1,Inputs!$F$68,0)</f>
        <v>0.826463646962496</v>
      </c>
      <c r="M68" s="13" t="n">
        <f aca="false">M67-IF(Construction!M8=1,Inputs!$F$68,0)</f>
        <v>1.16835180736925</v>
      </c>
      <c r="N68" s="13" t="n">
        <f aca="false">N67-IF(Construction!N8=1,Inputs!$F$68,0)</f>
        <v>1.68233550216164</v>
      </c>
      <c r="O68" s="13" t="n">
        <f aca="false">O67-IF(Construction!O8=1,Inputs!$F$68,0)</f>
        <v>2.31826836024339</v>
      </c>
      <c r="P68" s="13" t="n">
        <f aca="false">P67-IF(Construction!P8=1,Inputs!$F$68,0)</f>
        <v>3.02423072079799</v>
      </c>
      <c r="Q68" s="13" t="n">
        <f aca="false">Q67-IF(Construction!Q8=1,Inputs!$F$68,0)</f>
        <v>3.83873537740626</v>
      </c>
      <c r="R68" s="13" t="n">
        <f aca="false">R67-IF(Construction!R8=1,Inputs!$F$68,0)</f>
        <v>4.65050518947287</v>
      </c>
      <c r="S68" s="13" t="n">
        <f aca="false">S67-IF(Construction!S8=1,Inputs!$F$68,0)</f>
        <v>5.47712026094729</v>
      </c>
      <c r="T68" s="13" t="n">
        <f aca="false">T67-IF(Construction!T8=1,Inputs!$F$68,0)</f>
        <v>6.25049966633788</v>
      </c>
      <c r="U68" s="13" t="n">
        <f aca="false">U67-IF(Construction!U8=1,Inputs!$F$68,0)</f>
        <v>6.99220472942813</v>
      </c>
      <c r="V68" s="13" t="n">
        <f aca="false">V67-IF(Construction!V8=1,Inputs!$F$68,0)</f>
        <v>7.64433374589146</v>
      </c>
      <c r="W68" s="13" t="n">
        <f aca="false">W67-IF(Construction!W8=1,Inputs!$F$68,0)</f>
        <v>8.18667091194022</v>
      </c>
      <c r="X68" s="13" t="n">
        <f aca="false">X67-IF(Construction!X8=1,Inputs!$F$68,0)</f>
        <v>8.63568848597973</v>
      </c>
      <c r="Y68" s="13" t="n">
        <f aca="false">Y67-IF(Construction!Y8=1,Inputs!$F$68,0)</f>
        <v>8.93469388856859</v>
      </c>
      <c r="Z68" s="13" t="n">
        <f aca="false">Z67-IF(Construction!Z8=1,Inputs!$F$68,0)</f>
        <v>9.12208996023581</v>
      </c>
      <c r="AA68" s="13" t="n">
        <f aca="false">AA67-IF(Construction!AA8=1,Inputs!$F$68,0)</f>
        <v>9.46265225430165</v>
      </c>
      <c r="AB68" s="13" t="n">
        <f aca="false">AB67-IF(Construction!AB8=1,Inputs!$F$68,0)</f>
        <v>9.02631477585546</v>
      </c>
      <c r="AC68" s="13" t="n">
        <f aca="false">AC67-IF(Construction!AC8=1,Inputs!$F$68,0)</f>
        <v>8.81201401654134</v>
      </c>
      <c r="AD68" s="13" t="n">
        <f aca="false">AD67-IF(Construction!AD8=1,Inputs!$F$68,0)</f>
        <v>8.42383253454759</v>
      </c>
      <c r="AE68" s="13" t="n">
        <f aca="false">AE67-IF(Construction!AE8=1,Inputs!$F$68,0)</f>
        <v>7.94815872423961</v>
      </c>
      <c r="AF68" s="13" t="n">
        <f aca="false">AF67-IF(Construction!AF8=1,Inputs!$F$68,0)</f>
        <v>7.33655883864159</v>
      </c>
      <c r="AG68" s="13" t="n">
        <f aca="false">AG67-IF(Construction!AG8=1,Inputs!$F$68,0)</f>
        <v>6.67453842165728</v>
      </c>
      <c r="AH68" s="13" t="n">
        <f aca="false">AH67-IF(Construction!AH8=1,Inputs!$F$68,0)</f>
        <v>5.93252486192983</v>
      </c>
      <c r="AI68" s="13" t="n">
        <f aca="false">AI67-IF(Construction!AI8=1,Inputs!$F$68,0)</f>
        <v>5.1354779668339</v>
      </c>
      <c r="AJ68" s="13" t="n">
        <f aca="false">AJ67-IF(Construction!AJ8=1,Inputs!$F$68,0)</f>
        <v>4.3662399051251</v>
      </c>
      <c r="AK68" s="13" t="n">
        <f aca="false">AK67-IF(Construction!AK8=1,Inputs!$F$68,0)</f>
        <v>3.58295245087028</v>
      </c>
      <c r="AL68" s="13" t="n">
        <f aca="false">AL67-IF(Construction!AL8=1,Inputs!$F$68,0)</f>
        <v>2.89273857013916</v>
      </c>
      <c r="AM68" s="13" t="n">
        <f aca="false">AM67-IF(Construction!AM8=1,Inputs!$F$68,0)</f>
        <v>2.27444954257589</v>
      </c>
      <c r="AN68" s="13" t="n">
        <f aca="false">AN67-IF(Construction!AN8=1,Inputs!$F$68,0)</f>
        <v>1.72125700944204</v>
      </c>
      <c r="AO68" s="13" t="n">
        <f aca="false">AO67-IF(Construction!AO8=1,Inputs!$F$68,0)</f>
        <v>1.43683018685544</v>
      </c>
      <c r="AP68" s="13" t="n">
        <f aca="false">AP67-IF(Construction!AP8=1,Inputs!$F$68,0)</f>
        <v>14.0758828403571</v>
      </c>
      <c r="AQ68" s="13" t="n">
        <f aca="false">AQ67-IF(Construction!AQ8=1,Inputs!$F$68,0)</f>
        <v>10.8498042851896</v>
      </c>
      <c r="AR68" s="13" t="n">
        <f aca="false">AR67-IF(Construction!AR8=1,Inputs!$F$68,0)</f>
        <v>0.964519526840154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44.3723302201644</v>
      </c>
      <c r="J69" s="13" t="n">
        <f aca="false">(1-Inputs!$F$53)*J67</f>
        <v>6.30887309482249</v>
      </c>
      <c r="K69" s="13" t="n">
        <f aca="false">(1-Inputs!$F$53)*K67</f>
        <v>0.129669332204696</v>
      </c>
      <c r="L69" s="13" t="n">
        <f aca="false">(1-Inputs!$F$53)*L67</f>
        <v>0.165292729392499</v>
      </c>
      <c r="M69" s="13" t="n">
        <f aca="false">(1-Inputs!$F$53)*M67</f>
        <v>0.233670361473849</v>
      </c>
      <c r="N69" s="13" t="n">
        <f aca="false">(1-Inputs!$F$53)*N67</f>
        <v>0.336467100432327</v>
      </c>
      <c r="O69" s="13" t="n">
        <f aca="false">(1-Inputs!$F$53)*O67</f>
        <v>0.463653672048679</v>
      </c>
      <c r="P69" s="13" t="n">
        <f aca="false">(1-Inputs!$F$53)*P67</f>
        <v>0.604846144159598</v>
      </c>
      <c r="Q69" s="13" t="n">
        <f aca="false">(1-Inputs!$F$53)*Q67</f>
        <v>0.767747075481252</v>
      </c>
      <c r="R69" s="13" t="n">
        <f aca="false">(1-Inputs!$F$53)*R67</f>
        <v>0.930101037894575</v>
      </c>
      <c r="S69" s="13" t="n">
        <f aca="false">(1-Inputs!$F$53)*S67</f>
        <v>1.09542405218946</v>
      </c>
      <c r="T69" s="13" t="n">
        <f aca="false">(1-Inputs!$F$53)*T67</f>
        <v>1.25009993326758</v>
      </c>
      <c r="U69" s="13" t="n">
        <f aca="false">(1-Inputs!$F$53)*U67</f>
        <v>1.39844094588563</v>
      </c>
      <c r="V69" s="13" t="n">
        <f aca="false">(1-Inputs!$F$53)*V67</f>
        <v>1.52886674917829</v>
      </c>
      <c r="W69" s="13" t="n">
        <f aca="false">(1-Inputs!$F$53)*W67</f>
        <v>1.63733418238804</v>
      </c>
      <c r="X69" s="13" t="n">
        <f aca="false">(1-Inputs!$F$53)*X67</f>
        <v>1.72713769719595</v>
      </c>
      <c r="Y69" s="13" t="n">
        <f aca="false">(1-Inputs!$F$53)*Y67</f>
        <v>1.78693877771372</v>
      </c>
      <c r="Z69" s="13" t="n">
        <f aca="false">(1-Inputs!$F$53)*Z67</f>
        <v>1.82441799204716</v>
      </c>
      <c r="AA69" s="13" t="n">
        <f aca="false">(1-Inputs!$F$53)*AA67</f>
        <v>1.89253045086033</v>
      </c>
      <c r="AB69" s="13" t="n">
        <f aca="false">(1-Inputs!$F$53)*AB67</f>
        <v>1.80526295517109</v>
      </c>
      <c r="AC69" s="13" t="n">
        <f aca="false">(1-Inputs!$F$53)*AC67</f>
        <v>1.76240280330827</v>
      </c>
      <c r="AD69" s="13" t="n">
        <f aca="false">(1-Inputs!$F$53)*AD67</f>
        <v>1.68476650690952</v>
      </c>
      <c r="AE69" s="13" t="n">
        <f aca="false">(1-Inputs!$F$53)*AE67</f>
        <v>1.58963174484792</v>
      </c>
      <c r="AF69" s="13" t="n">
        <f aca="false">(1-Inputs!$F$53)*AF67</f>
        <v>1.46731176772832</v>
      </c>
      <c r="AG69" s="13" t="n">
        <f aca="false">(1-Inputs!$F$53)*AG67</f>
        <v>1.33490768433146</v>
      </c>
      <c r="AH69" s="13" t="n">
        <f aca="false">(1-Inputs!$F$53)*AH67</f>
        <v>1.18650497238597</v>
      </c>
      <c r="AI69" s="13" t="n">
        <f aca="false">(1-Inputs!$F$53)*AI67</f>
        <v>1.02709559336678</v>
      </c>
      <c r="AJ69" s="13" t="n">
        <f aca="false">(1-Inputs!$F$53)*AJ67</f>
        <v>0.873247981025021</v>
      </c>
      <c r="AK69" s="13" t="n">
        <f aca="false">(1-Inputs!$F$53)*AK67</f>
        <v>0.716590490174056</v>
      </c>
      <c r="AL69" s="13" t="n">
        <f aca="false">(1-Inputs!$F$53)*AL67</f>
        <v>0.578547714027831</v>
      </c>
      <c r="AM69" s="13" t="n">
        <f aca="false">(1-Inputs!$F$53)*AM67</f>
        <v>0.454889908515178</v>
      </c>
      <c r="AN69" s="13" t="n">
        <f aca="false">(1-Inputs!$F$53)*AN67</f>
        <v>0.344251401888408</v>
      </c>
      <c r="AO69" s="13" t="n">
        <f aca="false">(1-Inputs!$F$53)*AO67</f>
        <v>0.287366037371088</v>
      </c>
      <c r="AP69" s="13" t="n">
        <f aca="false">(1-Inputs!$F$53)*AP67</f>
        <v>2.81517656807142</v>
      </c>
      <c r="AQ69" s="13" t="n">
        <f aca="false">(1-Inputs!$F$53)*AQ67</f>
        <v>2.16996085703792</v>
      </c>
      <c r="AR69" s="13" t="n">
        <f aca="false">(1-Inputs!$F$53)*AR67</f>
        <v>0.192903905368031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177.489320880658</v>
      </c>
      <c r="J70" s="13" t="n">
        <f aca="false">Inputs!$F$53*J67</f>
        <v>25.23549237929</v>
      </c>
      <c r="K70" s="13" t="n">
        <f aca="false">Inputs!$F$53*K67</f>
        <v>0.518677328818786</v>
      </c>
      <c r="L70" s="13" t="n">
        <f aca="false">Inputs!$F$53*L67</f>
        <v>0.661170917569997</v>
      </c>
      <c r="M70" s="13" t="n">
        <f aca="false">Inputs!$F$53*M67</f>
        <v>0.934681445895398</v>
      </c>
      <c r="N70" s="13" t="n">
        <f aca="false">Inputs!$F$53*N67</f>
        <v>1.34586840172931</v>
      </c>
      <c r="O70" s="13" t="n">
        <f aca="false">Inputs!$F$53*O67</f>
        <v>1.85461468819472</v>
      </c>
      <c r="P70" s="13" t="n">
        <f aca="false">Inputs!$F$53*P67</f>
        <v>2.41938457663839</v>
      </c>
      <c r="Q70" s="13" t="n">
        <f aca="false">Inputs!$F$53*Q67</f>
        <v>3.07098830192501</v>
      </c>
      <c r="R70" s="13" t="n">
        <f aca="false">Inputs!$F$53*R67</f>
        <v>3.7204041515783</v>
      </c>
      <c r="S70" s="13" t="n">
        <f aca="false">Inputs!$F$53*S67</f>
        <v>4.38169620875784</v>
      </c>
      <c r="T70" s="13" t="n">
        <f aca="false">Inputs!$F$53*T67</f>
        <v>5.00039973307031</v>
      </c>
      <c r="U70" s="13" t="n">
        <f aca="false">Inputs!$F$53*U67</f>
        <v>5.5937637835425</v>
      </c>
      <c r="V70" s="13" t="n">
        <f aca="false">Inputs!$F$53*V67</f>
        <v>6.11546699671317</v>
      </c>
      <c r="W70" s="13" t="n">
        <f aca="false">Inputs!$F$53*W67</f>
        <v>6.54933672955218</v>
      </c>
      <c r="X70" s="13" t="n">
        <f aca="false">Inputs!$F$53*X67</f>
        <v>6.90855078878378</v>
      </c>
      <c r="Y70" s="13" t="n">
        <f aca="false">Inputs!$F$53*Y67</f>
        <v>7.14775511085487</v>
      </c>
      <c r="Z70" s="13" t="n">
        <f aca="false">Inputs!$F$53*Z67</f>
        <v>7.29767196818865</v>
      </c>
      <c r="AA70" s="13" t="n">
        <f aca="false">Inputs!$F$53*AA67</f>
        <v>7.57012180344132</v>
      </c>
      <c r="AB70" s="13" t="n">
        <f aca="false">Inputs!$F$53*AB67</f>
        <v>7.22105182068437</v>
      </c>
      <c r="AC70" s="13" t="n">
        <f aca="false">Inputs!$F$53*AC67</f>
        <v>7.04961121323307</v>
      </c>
      <c r="AD70" s="13" t="n">
        <f aca="false">Inputs!$F$53*AD67</f>
        <v>6.73906602763807</v>
      </c>
      <c r="AE70" s="13" t="n">
        <f aca="false">Inputs!$F$53*AE67</f>
        <v>6.35852697939168</v>
      </c>
      <c r="AF70" s="13" t="n">
        <f aca="false">Inputs!$F$53*AF67</f>
        <v>5.86924707091327</v>
      </c>
      <c r="AG70" s="13" t="n">
        <f aca="false">Inputs!$F$53*AG67</f>
        <v>5.33963073732582</v>
      </c>
      <c r="AH70" s="13" t="n">
        <f aca="false">Inputs!$F$53*AH67</f>
        <v>4.74601988954387</v>
      </c>
      <c r="AI70" s="13" t="n">
        <f aca="false">Inputs!$F$53*AI67</f>
        <v>4.10838237346712</v>
      </c>
      <c r="AJ70" s="13" t="n">
        <f aca="false">Inputs!$F$53*AJ67</f>
        <v>3.49299192410008</v>
      </c>
      <c r="AK70" s="13" t="n">
        <f aca="false">Inputs!$F$53*AK67</f>
        <v>2.86636196069623</v>
      </c>
      <c r="AL70" s="13" t="n">
        <f aca="false">Inputs!$F$53*AL67</f>
        <v>2.31419085611132</v>
      </c>
      <c r="AM70" s="13" t="n">
        <f aca="false">Inputs!$F$53*AM67</f>
        <v>1.81955963406071</v>
      </c>
      <c r="AN70" s="13" t="n">
        <f aca="false">Inputs!$F$53*AN67</f>
        <v>1.37700560755363</v>
      </c>
      <c r="AO70" s="13" t="n">
        <f aca="false">Inputs!$F$53*AO67</f>
        <v>1.14946414948435</v>
      </c>
      <c r="AP70" s="13" t="n">
        <f aca="false">Inputs!$F$53*AP67</f>
        <v>11.2607062722857</v>
      </c>
      <c r="AQ70" s="13" t="n">
        <f aca="false">Inputs!$F$53*AQ67</f>
        <v>8.67984342815167</v>
      </c>
      <c r="AR70" s="13" t="n">
        <f aca="false">Inputs!$F$53*AR67</f>
        <v>0.771615621472124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24.1945226095735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0.209387192117855</v>
      </c>
      <c r="M71" s="13" t="n">
        <f aca="false">IF(Construction!M8&lt;=Time!$F$11,L72*Inputs!$F$104/100*Construction!M11/Inputs!$F$248,0)</f>
        <v>0.209430275093366</v>
      </c>
      <c r="N71" s="13" t="n">
        <f aca="false">IF(Construction!N8&lt;=Time!$F$11,M72*Inputs!$F$104/100*Construction!N11/Inputs!$F$248,0)</f>
        <v>0.225642541847561</v>
      </c>
      <c r="O71" s="13" t="n">
        <f aca="false">IF(Construction!O8&lt;=Time!$F$11,N72*Inputs!$F$104/100*Construction!O11/Inputs!$F$248,0)</f>
        <v>0.238322267132037</v>
      </c>
      <c r="P71" s="13" t="n">
        <f aca="false">IF(Construction!P8&lt;=Time!$F$11,O72*Inputs!$F$104/100*Construction!P11/Inputs!$F$248,0)</f>
        <v>0.230511458367271</v>
      </c>
      <c r="Q71" s="13" t="n">
        <f aca="false">IF(Construction!Q8&lt;=Time!$F$11,P72*Inputs!$F$104/100*Construction!Q11/Inputs!$F$248,0)</f>
        <v>0.276589782629377</v>
      </c>
      <c r="R71" s="13" t="n">
        <f aca="false">IF(Construction!R8&lt;=Time!$F$11,Q72*Inputs!$F$104/100*Construction!R11/Inputs!$F$248,0)</f>
        <v>0.293806154976762</v>
      </c>
      <c r="S71" s="13" t="n">
        <f aca="false">IF(Construction!S8&lt;=Time!$F$11,R72*Inputs!$F$104/100*Construction!S11/Inputs!$F$248,0)</f>
        <v>0.335988321839835</v>
      </c>
      <c r="T71" s="13" t="n">
        <f aca="false">IF(Construction!T8&lt;=Time!$F$11,S72*Inputs!$F$104/100*Construction!T11/Inputs!$F$248,0)</f>
        <v>0.361986703705215</v>
      </c>
      <c r="U71" s="13" t="n">
        <f aca="false">IF(Construction!U8&lt;=Time!$F$11,T72*Inputs!$F$104/100*Construction!U11/Inputs!$F$248,0)</f>
        <v>0.417319305398504</v>
      </c>
      <c r="V71" s="13" t="n">
        <f aca="false">IF(Construction!V8&lt;=Time!$F$11,U72*Inputs!$F$104/100*Construction!V11/Inputs!$F$248,0)</f>
        <v>0.465819688129823</v>
      </c>
      <c r="W71" s="13" t="n">
        <f aca="false">IF(Construction!W8&lt;=Time!$F$11,V72*Inputs!$F$104/100*Construction!W11/Inputs!$F$248,0)</f>
        <v>0.502181375486296</v>
      </c>
      <c r="X71" s="13" t="n">
        <f aca="false">IF(Construction!X8&lt;=Time!$F$11,W72*Inputs!$F$104/100*Construction!X11/Inputs!$F$248,0)</f>
        <v>0.575815880201606</v>
      </c>
      <c r="Y71" s="13" t="n">
        <f aca="false">IF(Construction!Y8&lt;=Time!$F$11,X72*Inputs!$F$104/100*Construction!Y11/Inputs!$F$248,0)</f>
        <v>0.615680749749222</v>
      </c>
      <c r="Z71" s="13" t="n">
        <f aca="false">IF(Construction!Z8&lt;=Time!$F$11,Y72*Inputs!$F$104/100*Construction!Z11/Inputs!$F$248,0)</f>
        <v>0.698842670474595</v>
      </c>
      <c r="AA71" s="13" t="n">
        <f aca="false">IF(Construction!AA8&lt;=Time!$F$11,Z72*Inputs!$F$104/100*Construction!AA11/Inputs!$F$248,0)</f>
        <v>0.763362494066001</v>
      </c>
      <c r="AB71" s="13" t="n">
        <f aca="false">IF(Construction!AB8&lt;=Time!$F$11,AA72*Inputs!$F$104/100*Construction!AB11/Inputs!$F$248,0)</f>
        <v>0.777013983748762</v>
      </c>
      <c r="AC71" s="13" t="n">
        <f aca="false">IF(Construction!AC8&lt;=Time!$F$11,AB72*Inputs!$F$104/100*Construction!AC11/Inputs!$F$248,0)</f>
        <v>0.895133494203576</v>
      </c>
      <c r="AD71" s="13" t="n">
        <f aca="false">IF(Construction!AD8&lt;=Time!$F$11,AC72*Inputs!$F$104/100*Construction!AD11/Inputs!$F$248,0)</f>
        <v>0.928292528186582</v>
      </c>
      <c r="AE71" s="13" t="n">
        <f aca="false">IF(Construction!AE8&lt;=Time!$F$11,AD72*Inputs!$F$104/100*Construction!AE11/Inputs!$F$248,0)</f>
        <v>1.02109964245099</v>
      </c>
      <c r="AF71" s="13" t="n">
        <f aca="false">IF(Construction!AF8&lt;=Time!$F$11,AE72*Inputs!$F$104/100*Construction!AF11/Inputs!$F$248,0)</f>
        <v>1.04578268642316</v>
      </c>
      <c r="AG71" s="13" t="n">
        <f aca="false">IF(Construction!AG8&lt;=Time!$F$11,AF72*Inputs!$F$104/100*Construction!AG11/Inputs!$F$248,0)</f>
        <v>1.13643597953779</v>
      </c>
      <c r="AH71" s="13" t="n">
        <f aca="false">IF(Construction!AH8&lt;=Time!$F$11,AG72*Inputs!$F$104/100*Construction!AH11/Inputs!$F$248,0)</f>
        <v>1.18868807948618</v>
      </c>
      <c r="AI71" s="13" t="n">
        <f aca="false">IF(Construction!AI8&lt;=Time!$F$11,AH72*Inputs!$F$104/100*Construction!AI11/Inputs!$F$248,0)</f>
        <v>1.19668280330866</v>
      </c>
      <c r="AJ71" s="13" t="n">
        <f aca="false">IF(Construction!AJ8&lt;=Time!$F$11,AI72*Inputs!$F$104/100*Construction!AJ11/Inputs!$F$248,0)</f>
        <v>1.27937611212837</v>
      </c>
      <c r="AK71" s="13" t="n">
        <f aca="false">IF(Construction!AK8&lt;=Time!$F$11,AJ72*Inputs!$F$104/100*Construction!AK11/Inputs!$F$248,0)</f>
        <v>1.27536961058828</v>
      </c>
      <c r="AL71" s="13" t="n">
        <f aca="false">IF(Construction!AL8&lt;=Time!$F$11,AK72*Inputs!$F$104/100*Construction!AL11/Inputs!$F$248,0)</f>
        <v>1.35129946375611</v>
      </c>
      <c r="AM71" s="13" t="n">
        <f aca="false">IF(Construction!AM8&lt;=Time!$F$11,AL72*Inputs!$F$104/100*Construction!AM11/Inputs!$F$248,0)</f>
        <v>1.38087444729586</v>
      </c>
      <c r="AN71" s="13" t="n">
        <f aca="false">IF(Construction!AN8&lt;=Time!$F$11,AM72*Inputs!$F$104/100*Construction!AN11/Inputs!$F$248,0)</f>
        <v>1.27056514765465</v>
      </c>
      <c r="AO71" s="13" t="n">
        <f aca="false">IF(Construction!AO8&lt;=Time!$F$11,AN72*Inputs!$F$104/100*Construction!AO11/Inputs!$F$248,0)</f>
        <v>1.42805903426486</v>
      </c>
      <c r="AP71" s="13" t="n">
        <f aca="false">IF(Construction!AP8&lt;=Time!$F$11,AO72*Inputs!$F$104/100*Construction!AP11/Inputs!$F$248,0)</f>
        <v>1.40211847976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25.23549237929</v>
      </c>
      <c r="K72" s="13" t="n">
        <f aca="false">J72+K71+K70</f>
        <v>25.9512139636731</v>
      </c>
      <c r="L72" s="13" t="n">
        <f aca="false">K72+L71+L70</f>
        <v>26.8217720733609</v>
      </c>
      <c r="M72" s="13" t="n">
        <f aca="false">L72+M71+M70</f>
        <v>27.9658837943497</v>
      </c>
      <c r="N72" s="13" t="n">
        <f aca="false">M72+N71+N70</f>
        <v>29.5373947379265</v>
      </c>
      <c r="O72" s="13" t="n">
        <f aca="false">N72+O71+O70</f>
        <v>31.6303316932533</v>
      </c>
      <c r="P72" s="13" t="n">
        <f aca="false">O72+P71+P70</f>
        <v>34.280227728259</v>
      </c>
      <c r="Q72" s="13" t="n">
        <f aca="false">P72+Q71+Q70</f>
        <v>37.6278058128133</v>
      </c>
      <c r="R72" s="13" t="n">
        <f aca="false">Q72+R71+R70</f>
        <v>41.6420161193684</v>
      </c>
      <c r="S72" s="13" t="n">
        <f aca="false">R72+S71+S70</f>
        <v>46.3597006499661</v>
      </c>
      <c r="T72" s="13" t="n">
        <f aca="false">S72+T71+T70</f>
        <v>51.7220870867416</v>
      </c>
      <c r="U72" s="13" t="n">
        <f aca="false">T72+U71+U70</f>
        <v>57.7331701756826</v>
      </c>
      <c r="V72" s="13" t="n">
        <f aca="false">U72+V71+V70</f>
        <v>64.3144568605256</v>
      </c>
      <c r="W72" s="13" t="n">
        <f aca="false">V72+W71+W70</f>
        <v>71.3659749655641</v>
      </c>
      <c r="X72" s="13" t="n">
        <f aca="false">W72+X71+X70</f>
        <v>78.8503416345495</v>
      </c>
      <c r="Y72" s="13" t="n">
        <f aca="false">X72+Y71+Y70</f>
        <v>86.6137774951536</v>
      </c>
      <c r="Z72" s="13" t="n">
        <f aca="false">Y72+Z71+Z70</f>
        <v>94.6102921338168</v>
      </c>
      <c r="AA72" s="13" t="n">
        <f aca="false">Z72+AA71+AA70</f>
        <v>102.943776431324</v>
      </c>
      <c r="AB72" s="13" t="n">
        <f aca="false">AA72+AB71+AB70</f>
        <v>110.941842235757</v>
      </c>
      <c r="AC72" s="13" t="n">
        <f aca="false">AB72+AC71+AC70</f>
        <v>118.886586943194</v>
      </c>
      <c r="AD72" s="13" t="n">
        <f aca="false">AC72+AD71+AD70</f>
        <v>126.553945499019</v>
      </c>
      <c r="AE72" s="13" t="n">
        <f aca="false">AD72+AE71+AE70</f>
        <v>133.933572120861</v>
      </c>
      <c r="AF72" s="13" t="n">
        <f aca="false">AE72+AF71+AF70</f>
        <v>140.848601878198</v>
      </c>
      <c r="AG72" s="13" t="n">
        <f aca="false">AF72+AG71+AG70</f>
        <v>147.324668595061</v>
      </c>
      <c r="AH72" s="13" t="n">
        <f aca="false">AG72+AH71+AH70</f>
        <v>153.259376564091</v>
      </c>
      <c r="AI72" s="13" t="n">
        <f aca="false">AH72+AI71+AI70</f>
        <v>158.564441740867</v>
      </c>
      <c r="AJ72" s="13" t="n">
        <f aca="false">AI72+AJ71+AJ70</f>
        <v>163.336809777096</v>
      </c>
      <c r="AK72" s="13" t="n">
        <f aca="false">AJ72+AK71+AK70</f>
        <v>167.47854134838</v>
      </c>
      <c r="AL72" s="13" t="n">
        <f aca="false">AK72+AL71+AL70</f>
        <v>171.144031668248</v>
      </c>
      <c r="AM72" s="13" t="n">
        <f aca="false">AL72+AM71+AM70</f>
        <v>174.344465749604</v>
      </c>
      <c r="AN72" s="13" t="n">
        <f aca="false">AM72+AN71+AN70</f>
        <v>176.992036504812</v>
      </c>
      <c r="AO72" s="13" t="n">
        <f aca="false">AN72+AO71+AO70</f>
        <v>179.569559688562</v>
      </c>
      <c r="AP72" s="13" t="n">
        <f aca="false">AO72+AP71+AP70</f>
        <v>192.232384440607</v>
      </c>
      <c r="AQ72" s="13" t="n">
        <f aca="false">AP72+AQ71+AQ70</f>
        <v>200.912227868759</v>
      </c>
      <c r="AR72" s="13" t="n">
        <f aca="false">AQ72+AR71+AR70</f>
        <v>201.683843490231</v>
      </c>
      <c r="AS72" s="13" t="n">
        <f aca="false">AR72+AS71+AS70</f>
        <v>201.683843490231</v>
      </c>
      <c r="AT72" s="13" t="n">
        <f aca="false">AS72+AT71+AT70</f>
        <v>201.683843490231</v>
      </c>
      <c r="AU72" s="13" t="n">
        <f aca="false">AT72+AU71+AU70</f>
        <v>201.683843490231</v>
      </c>
      <c r="AV72" s="13" t="n">
        <f aca="false">AU72+AV71+AV70</f>
        <v>201.683843490231</v>
      </c>
      <c r="AW72" s="13" t="n">
        <f aca="false">AV72+AW71+AW70</f>
        <v>201.683843490231</v>
      </c>
      <c r="AX72" s="13" t="n">
        <f aca="false">AW72+AX71+AX70</f>
        <v>201.683843490231</v>
      </c>
      <c r="AY72" s="13" t="n">
        <f aca="false">AX72+AY71+AY70</f>
        <v>201.683843490231</v>
      </c>
      <c r="AZ72" s="13" t="n">
        <f aca="false">AY72+AZ71+AZ70</f>
        <v>201.683843490231</v>
      </c>
      <c r="BA72" s="13" t="n">
        <f aca="false">AZ72+BA71+BA70</f>
        <v>201.683843490231</v>
      </c>
      <c r="BB72" s="13" t="n">
        <f aca="false">BA72+BB71+BB70</f>
        <v>201.683843490231</v>
      </c>
      <c r="BC72" s="13" t="n">
        <f aca="false">BB72+BC71+BC70</f>
        <v>201.683843490231</v>
      </c>
      <c r="BD72" s="13" t="n">
        <f aca="false">BC72+BD71+BD70</f>
        <v>201.683843490231</v>
      </c>
      <c r="BE72" s="13" t="n">
        <f aca="false">BD72+BE71+BE70</f>
        <v>201.683843490231</v>
      </c>
      <c r="BF72" s="13" t="n">
        <f aca="false">BE72+BF71+BF70</f>
        <v>201.683843490231</v>
      </c>
      <c r="BG72" s="13" t="n">
        <f aca="false">BF72+BG71+BG70</f>
        <v>201.683843490231</v>
      </c>
      <c r="BH72" s="13" t="n">
        <f aca="false">BG72+BH71+BH70</f>
        <v>201.683843490231</v>
      </c>
      <c r="BI72" s="13" t="n">
        <f aca="false">BH72+BI71+BI70</f>
        <v>201.683843490231</v>
      </c>
      <c r="BJ72" s="13" t="n">
        <f aca="false">BI72+BJ71+BJ70</f>
        <v>201.683843490231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633.339626093086</v>
      </c>
      <c r="J73" s="13" t="n">
        <f aca="false">J47+J55</f>
        <v>90.0478684951254</v>
      </c>
      <c r="K73" s="13" t="n">
        <f aca="false">K47+K55</f>
        <v>1.85079756696989</v>
      </c>
      <c r="L73" s="13" t="n">
        <f aca="false">L47+L55</f>
        <v>2.35925778436583</v>
      </c>
      <c r="M73" s="13" t="n">
        <f aca="false">M47+M55</f>
        <v>3.33522606414033</v>
      </c>
      <c r="N73" s="13" t="n">
        <f aca="false">N47+N55</f>
        <v>4.80246547319698</v>
      </c>
      <c r="O73" s="13" t="n">
        <f aca="false">O47+O55</f>
        <v>6.61782607771669</v>
      </c>
      <c r="P73" s="13" t="n">
        <f aca="false">P47+P55</f>
        <v>8.63309583668201</v>
      </c>
      <c r="Q73" s="13" t="n">
        <f aca="false">Q47+Q55</f>
        <v>10.9582149856825</v>
      </c>
      <c r="R73" s="13" t="n">
        <f aca="false">R47+R55</f>
        <v>13.2755271327687</v>
      </c>
      <c r="S73" s="13" t="n">
        <f aca="false">S47+S55</f>
        <v>15.6352171798963</v>
      </c>
      <c r="T73" s="13" t="n">
        <f aca="false">T47+T55</f>
        <v>17.8429384621836</v>
      </c>
      <c r="U73" s="13" t="n">
        <f aca="false">U47+U55</f>
        <v>19.9602408386772</v>
      </c>
      <c r="V73" s="13" t="n">
        <f aca="false">V47+V55</f>
        <v>21.8218356760987</v>
      </c>
      <c r="W73" s="13" t="n">
        <f aca="false">W47+W55</f>
        <v>23.3700140932064</v>
      </c>
      <c r="X73" s="13" t="n">
        <f aca="false">X47+X55</f>
        <v>24.6517984896081</v>
      </c>
      <c r="Y73" s="13" t="n">
        <f aca="false">Y47+Y55</f>
        <v>25.5053518506275</v>
      </c>
      <c r="Z73" s="13" t="n">
        <f aca="false">Z47+Z55</f>
        <v>26.0403005352616</v>
      </c>
      <c r="AA73" s="13" t="n">
        <f aca="false">AA47+AA55</f>
        <v>27.0124839413792</v>
      </c>
      <c r="AB73" s="13" t="n">
        <f aca="false">AB47+AB55</f>
        <v>25.7668966775978</v>
      </c>
      <c r="AC73" s="13" t="n">
        <f aca="false">AC47+AC55</f>
        <v>25.1551447433591</v>
      </c>
      <c r="AD73" s="13" t="n">
        <f aca="false">AD47+AD55</f>
        <v>24.0470256064722</v>
      </c>
      <c r="AE73" s="13" t="n">
        <f aca="false">AE47+AE55</f>
        <v>22.6891472001895</v>
      </c>
      <c r="AF73" s="13" t="n">
        <f aca="false">AF47+AF55</f>
        <v>20.9432485193249</v>
      </c>
      <c r="AG73" s="13" t="n">
        <f aca="false">AG47+AG55</f>
        <v>19.0534172751804</v>
      </c>
      <c r="AH73" s="13" t="n">
        <f aca="false">AH47+AH55</f>
        <v>16.9352342512495</v>
      </c>
      <c r="AI73" s="13" t="n">
        <f aca="false">AI47+AI55</f>
        <v>14.6599507603532</v>
      </c>
      <c r="AJ73" s="13" t="n">
        <f aca="false">AJ47+AJ55</f>
        <v>12.464051531407</v>
      </c>
      <c r="AK73" s="13" t="n">
        <f aca="false">AK47+AK55</f>
        <v>10.2280463173378</v>
      </c>
      <c r="AL73" s="13" t="n">
        <f aca="false">AL47+AL55</f>
        <v>8.25773282928897</v>
      </c>
      <c r="AM73" s="13" t="n">
        <f aca="false">AM47+AM55</f>
        <v>6.49273904326125</v>
      </c>
      <c r="AN73" s="13" t="n">
        <f aca="false">AN47+AN55</f>
        <v>4.91357244005274</v>
      </c>
      <c r="AO73" s="13" t="n">
        <f aca="false">AO47+AO55</f>
        <v>4.1016357048604</v>
      </c>
      <c r="AP73" s="13" t="n">
        <f aca="false">AP47+AP55</f>
        <v>40.1816054281223</v>
      </c>
      <c r="AQ73" s="13" t="n">
        <f aca="false">AQ47+AQ55</f>
        <v>30.9723062989616</v>
      </c>
      <c r="AR73" s="13" t="n">
        <f aca="false">AR47+AR55</f>
        <v>2.75741098248024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106.965381756812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1.07831484890246</v>
      </c>
      <c r="L74" s="13" t="n">
        <f aca="false">L33+L34+L35+L36+L37+L38+L39+L40+L41+L42+L43+L48+Construction!L14*Construction!L38</f>
        <v>1.13104696132833</v>
      </c>
      <c r="M74" s="13" t="n">
        <f aca="false">M33+M34+M35+M36+M37+M38+M39+M40+M41+M42+M43+M48+Construction!M14*Construction!M38</f>
        <v>1.14658363423685</v>
      </c>
      <c r="N74" s="13" t="n">
        <f aca="false">N33+N34+N35+N36+N37+N38+N39+N40+N41+N42+N43+N48+Construction!N14*Construction!N38</f>
        <v>1.23863917444952</v>
      </c>
      <c r="O74" s="13" t="n">
        <f aca="false">O33+O34+O35+O36+O37+O38+O39+O40+O41+O42+O43+O48+Construction!O14*Construction!O38</f>
        <v>1.32770020068735</v>
      </c>
      <c r="P74" s="13" t="n">
        <f aca="false">P33+P34+P35+P36+P37+P38+P39+P40+P41+P42+P43+P48+Construction!P14*Construction!P38</f>
        <v>1.33916725838909</v>
      </c>
      <c r="Q74" s="13" t="n">
        <f aca="false">Q33+Q34+Q35+Q36+Q37+Q38+Q39+Q40+Q41+Q42+Q43+Q48+Construction!Q14*Construction!Q38</f>
        <v>1.54764400945241</v>
      </c>
      <c r="R74" s="13" t="n">
        <f aca="false">R33+R34+R35+R36+R37+R38+R39+R40+R41+R42+R43+R48+Construction!R14*Construction!R38</f>
        <v>1.64849239769612</v>
      </c>
      <c r="S74" s="13" t="n">
        <f aca="false">S33+S34+S35+S36+S37+S38+S39+S40+S41+S42+S43+S48+Construction!S14*Construction!S38</f>
        <v>1.82573389447991</v>
      </c>
      <c r="T74" s="13" t="n">
        <f aca="false">T33+T34+T35+T36+T37+T38+T39+T40+T41+T42+T43+T48+Construction!T14*Construction!T38</f>
        <v>1.92515836397607</v>
      </c>
      <c r="U74" s="13" t="n">
        <f aca="false">U33+U34+U35+U36+U37+U38+U39+U40+U41+U42+U43+U48+Construction!U14*Construction!U38</f>
        <v>2.12634511992351</v>
      </c>
      <c r="V74" s="13" t="n">
        <f aca="false">V33+V34+V35+V36+V37+V38+V39+V40+V41+V42+V43+V48+Construction!V14*Construction!V38</f>
        <v>2.29144101744473</v>
      </c>
      <c r="W74" s="13" t="n">
        <f aca="false">W33+W34+W35+W36+W37+W38+W39+W40+W41+W42+W43+W48+Construction!W14*Construction!W38</f>
        <v>2.41549085514664</v>
      </c>
      <c r="X74" s="13" t="n">
        <f aca="false">X33+X34+X35+X36+X37+X38+X39+X40+X41+X42+X43+X48+Construction!X14*Construction!X38</f>
        <v>2.61888075286055</v>
      </c>
      <c r="Y74" s="13" t="n">
        <f aca="false">Y33+Y34+Y35+Y36+Y37+Y38+Y39+Y40+Y41+Y42+Y43+Y48+Construction!Y14*Construction!Y38</f>
        <v>2.72884164010522</v>
      </c>
      <c r="Z74" s="13" t="n">
        <f aca="false">Z33+Z34+Z35+Z36+Z37+Z38+Z39+Z40+Z41+Z42+Z43+Z48+Construction!Z14*Construction!Z38</f>
        <v>2.92246683277015</v>
      </c>
      <c r="AA74" s="13" t="n">
        <f aca="false">AA33+AA34+AA35+AA36+AA37+AA38+AA39+AA40+AA41+AA42+AA43+AA48+Construction!AA14*Construction!AA38</f>
        <v>3.09221253295352</v>
      </c>
      <c r="AB74" s="13" t="n">
        <f aca="false">AB33+AB34+AB35+AB36+AB37+AB38+AB39+AB40+AB41+AB42+AB43+AB48+Construction!AB14*Construction!AB38</f>
        <v>3.0820073543624</v>
      </c>
      <c r="AC74" s="13" t="n">
        <f aca="false">AC33+AC34+AC35+AC36+AC37+AC38+AC39+AC40+AC41+AC42+AC43+AC48+Construction!AC14*Construction!AC38</f>
        <v>3.29855253717311</v>
      </c>
      <c r="AD74" s="13" t="n">
        <f aca="false">AD33+AD34+AD35+AD36+AD37+AD38+AD39+AD40+AD41+AD42+AD43+AD48+Construction!AD14*Construction!AD38</f>
        <v>3.32966399101983</v>
      </c>
      <c r="AE74" s="13" t="n">
        <f aca="false">AE33+AE34+AE35+AE36+AE37+AE38+AE39+AE40+AE41+AE42+AE43+AE48+Construction!AE14*Construction!AE38</f>
        <v>3.46257751988361</v>
      </c>
      <c r="AF74" s="13" t="n">
        <f aca="false">AF33+AF34+AF35+AF36+AF37+AF38+AF39+AF40+AF41+AF42+AF43+AF48+Construction!AF14*Construction!AF38</f>
        <v>3.45370690978462</v>
      </c>
      <c r="AG74" s="13" t="n">
        <f aca="false">AG33+AG34+AG35+AG36+AG37+AG38+AG39+AG40+AG41+AG42+AG43+AG48+Construction!AG14*Construction!AG38</f>
        <v>3.55967593229218</v>
      </c>
      <c r="AH74" s="13" t="n">
        <f aca="false">AH33+AH34+AH35+AH36+AH37+AH38+AH39+AH40+AH41+AH42+AH43+AH48+Construction!AH14*Construction!AH38</f>
        <v>3.58115556681565</v>
      </c>
      <c r="AI74" s="13" t="n">
        <f aca="false">AI33+AI34+AI35+AI36+AI37+AI38+AI39+AI40+AI41+AI42+AI43+AI48+Construction!AI14*Construction!AI38</f>
        <v>3.51788880264161</v>
      </c>
      <c r="AJ74" s="13" t="n">
        <f aca="false">AJ33+AJ34+AJ35+AJ36+AJ37+AJ38+AJ39+AJ40+AJ41+AJ42+AJ43+AJ48+Construction!AJ14*Construction!AJ38</f>
        <v>3.58098508289577</v>
      </c>
      <c r="AK74" s="13" t="n">
        <f aca="false">AK33+AK34+AK35+AK36+AK37+AK38+AK39+AK40+AK41+AK42+AK43+AK48+Construction!AK14*Construction!AK38</f>
        <v>3.49283946911721</v>
      </c>
      <c r="AL74" s="13" t="n">
        <f aca="false">AL33+AL34+AL35+AL36+AL37+AL38+AL39+AL40+AL41+AL42+AL43+AL48+Construction!AL14*Construction!AL38</f>
        <v>3.5420771621554</v>
      </c>
      <c r="AM74" s="13" t="n">
        <f aca="false">AM33+AM34+AM35+AM36+AM37+AM38+AM39+AM40+AM41+AM42+AM43+AM48+Construction!AM14*Construction!AM38</f>
        <v>3.52102678492805</v>
      </c>
      <c r="AN74" s="13" t="n">
        <f aca="false">AN33+AN34+AN35+AN36+AN37+AN38+AN39+AN40+AN41+AN42+AN43+AN48+Construction!AN14*Construction!AN38</f>
        <v>3.27783521222205</v>
      </c>
      <c r="AO74" s="13" t="n">
        <f aca="false">AO33+AO34+AO35+AO36+AO37+AO38+AO39+AO40+AO41+AO42+AO43+AO48+Construction!AO14*Construction!AO38</f>
        <v>3.48379142171584</v>
      </c>
      <c r="AP74" s="13" t="n">
        <f aca="false">AP33+AP34+AP35+AP36+AP37+AP38+AP39+AP40+AP41+AP42+AP43+AP48+Construction!AP14*Construction!AP38</f>
        <v>4.59865888938844</v>
      </c>
      <c r="AQ74" s="13" t="n">
        <f aca="false">AQ33+AQ34+AQ35+AQ36+AQ37+AQ38+AQ39+AQ40+AQ41+AQ42+AQ43+AQ48+Construction!AQ14*Construction!AQ38</f>
        <v>4.57621514705582</v>
      </c>
      <c r="AR74" s="13" t="n">
        <f aca="false">AR33+AR34+AR35+AR36+AR37+AR38+AR39+AR40+AR41+AR42+AR43+AR48+Construction!AR14*Construction!AR38</f>
        <v>3.72193050932039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855.201277193908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836.799904366386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65.6316640678679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4.1558165970551</v>
      </c>
      <c r="R23" s="13" t="n">
        <f aca="false">R21*R10</f>
        <v>4.11428544045523</v>
      </c>
      <c r="S23" s="13" t="n">
        <f aca="false">S21*S10</f>
        <v>3.94206164984607</v>
      </c>
      <c r="T23" s="13" t="n">
        <f aca="false">T21*T10</f>
        <v>3.88786748901843</v>
      </c>
      <c r="U23" s="13" t="n">
        <f aca="false">U21*U10</f>
        <v>3.72193645090613</v>
      </c>
      <c r="V23" s="13" t="n">
        <f aca="false">V21*V10</f>
        <v>3.63381876677502</v>
      </c>
      <c r="W23" s="13" t="n">
        <f aca="false">W21*W10</f>
        <v>3.4393659561936</v>
      </c>
      <c r="X23" s="13" t="n">
        <f aca="false">X21*X10</f>
        <v>3.35472361411709</v>
      </c>
      <c r="Y23" s="13" t="n">
        <f aca="false">Y21*Y10</f>
        <v>3.16455584337133</v>
      </c>
      <c r="Z23" s="13" t="n">
        <f aca="false">Z21*Z10</f>
        <v>3.07922567381402</v>
      </c>
      <c r="AA23" s="13" t="n">
        <f aca="false">AA21*AA10</f>
        <v>2.88787103619671</v>
      </c>
      <c r="AB23" s="13" t="n">
        <f aca="false">AB21*AB10</f>
        <v>2.78805955054938</v>
      </c>
      <c r="AC23" s="13" t="n">
        <f aca="false">AC21*AC10</f>
        <v>2.60470452081842</v>
      </c>
      <c r="AD23" s="13" t="n">
        <f aca="false">AD21*AD10</f>
        <v>2.47346971520851</v>
      </c>
      <c r="AE23" s="13" t="n">
        <f aca="false">AE21*AE10</f>
        <v>2.26143418420033</v>
      </c>
      <c r="AF23" s="13" t="n">
        <f aca="false">AF21*AF10</f>
        <v>2.11686093175143</v>
      </c>
      <c r="AG23" s="13" t="n">
        <f aca="false">AG21*AG10</f>
        <v>1.89697690330274</v>
      </c>
      <c r="AH23" s="13" t="n">
        <f aca="false">AH21*AH10</f>
        <v>1.73645914544685</v>
      </c>
      <c r="AI23" s="13" t="n">
        <f aca="false">AI21*AI10</f>
        <v>1.50983818342794</v>
      </c>
      <c r="AJ23" s="13" t="n">
        <f aca="false">AJ21*AJ10</f>
        <v>1.3273477384981</v>
      </c>
      <c r="AK23" s="13" t="n">
        <f aca="false">AK21*AK10</f>
        <v>1.0977507977188</v>
      </c>
      <c r="AL23" s="13" t="n">
        <f aca="false">AL21*AL10</f>
        <v>0.885239065967466</v>
      </c>
      <c r="AM23" s="13" t="n">
        <f aca="false">AM21*AM10</f>
        <v>0.636562801865728</v>
      </c>
      <c r="AN23" s="13" t="n">
        <f aca="false">AN21*AN10</f>
        <v>0.404038636508883</v>
      </c>
      <c r="AO23" s="13" t="n">
        <f aca="false">AO21*AO10</f>
        <v>0.200186693359395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72.9126941093121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4.61923052551595</v>
      </c>
      <c r="R37" s="13" t="n">
        <f aca="false">R35*R11</f>
        <v>4.57306824143873</v>
      </c>
      <c r="S37" s="13" t="n">
        <f aca="false">S35*S11</f>
        <v>4.37830471385588</v>
      </c>
      <c r="T37" s="13" t="n">
        <f aca="false">T35*T11</f>
        <v>4.31811322754963</v>
      </c>
      <c r="U37" s="13" t="n">
        <f aca="false">U35*U11</f>
        <v>4.13381964950006</v>
      </c>
      <c r="V37" s="13" t="n">
        <f aca="false">V35*V11</f>
        <v>4.03595053783349</v>
      </c>
      <c r="W37" s="13" t="n">
        <f aca="false">W35*W11</f>
        <v>3.81997886290436</v>
      </c>
      <c r="X37" s="13" t="n">
        <f aca="false">X35*X11</f>
        <v>3.72596968744668</v>
      </c>
      <c r="Y37" s="13" t="n">
        <f aca="false">Y35*Y11</f>
        <v>3.51475725064673</v>
      </c>
      <c r="Z37" s="13" t="n">
        <f aca="false">Z35*Z11</f>
        <v>3.41998413018538</v>
      </c>
      <c r="AA37" s="13" t="n">
        <f aca="false">AA35*AA11</f>
        <v>3.20745348345367</v>
      </c>
      <c r="AB37" s="13" t="n">
        <f aca="false">AB35*AB11</f>
        <v>3.09659649111726</v>
      </c>
      <c r="AC37" s="13" t="n">
        <f aca="false">AC35*AC11</f>
        <v>2.8929507183497</v>
      </c>
      <c r="AD37" s="13" t="n">
        <f aca="false">AD35*AD11</f>
        <v>2.74719298570586</v>
      </c>
      <c r="AE37" s="13" t="n">
        <f aca="false">AE35*AE11</f>
        <v>2.511692821736</v>
      </c>
      <c r="AF37" s="13" t="n">
        <f aca="false">AF35*AF11</f>
        <v>2.35112056058955</v>
      </c>
      <c r="AG37" s="13" t="n">
        <f aca="false">AG35*AG11</f>
        <v>2.10690335553997</v>
      </c>
      <c r="AH37" s="13" t="n">
        <f aca="false">AH35*AH11</f>
        <v>1.92862211128153</v>
      </c>
      <c r="AI37" s="13" t="n">
        <f aca="false">AI35*AI11</f>
        <v>1.67692243877522</v>
      </c>
      <c r="AJ37" s="13" t="n">
        <f aca="false">AJ35*AJ11</f>
        <v>1.47423692894785</v>
      </c>
      <c r="AK37" s="13" t="n">
        <f aca="false">AK35*AK11</f>
        <v>1.21923194490856</v>
      </c>
      <c r="AL37" s="13" t="n">
        <f aca="false">AL35*AL11</f>
        <v>0.983202882067071</v>
      </c>
      <c r="AM37" s="13" t="n">
        <f aca="false">AM35*AM11</f>
        <v>0.707007186501726</v>
      </c>
      <c r="AN37" s="13" t="n">
        <f aca="false">AN35*AN11</f>
        <v>0.448751040429777</v>
      </c>
      <c r="AO37" s="13" t="n">
        <f aca="false">AO35*AO11</f>
        <v>0.2223400902979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4.41177179778415</v>
      </c>
      <c r="W38" s="13" t="n">
        <f aca="false">Time!W35*(W35-W36)*W19</f>
        <v>4.54663695400216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6.04863333960494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6.66083822341002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7.80223002718171</v>
      </c>
      <c r="AN38" s="13" t="n">
        <f aca="false">Time!AN35*(AN35-AN36)*AN19</f>
        <v>6.43674714978341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4.41177179778415</v>
      </c>
      <c r="W41" s="13" t="n">
        <f aca="false">W38-W39+W40</f>
        <v>4.54663695400216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6.04863333960494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6.66083822341002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7.80223002718171</v>
      </c>
      <c r="AN41" s="13" t="n">
        <f aca="false">AN38-AN39+AN40</f>
        <v>6.43674714978341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48.9454860536488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31.9176866936493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2.02200045193039</v>
      </c>
      <c r="R51" s="13" t="n">
        <f aca="false">R49*R12</f>
        <v>2.00179358874167</v>
      </c>
      <c r="S51" s="13" t="n">
        <f aca="false">S49*S12</f>
        <v>1.91664742408623</v>
      </c>
      <c r="T51" s="13" t="n">
        <f aca="false">T49*T12</f>
        <v>1.89029798869502</v>
      </c>
      <c r="U51" s="13" t="n">
        <f aca="false">U49*U12</f>
        <v>1.80962160029142</v>
      </c>
      <c r="V51" s="13" t="n">
        <f aca="false">V49*V12</f>
        <v>1.76677840114639</v>
      </c>
      <c r="W51" s="13" t="n">
        <f aca="false">W49*W12</f>
        <v>1.67223460360792</v>
      </c>
      <c r="X51" s="13" t="n">
        <f aca="false">X49*X12</f>
        <v>1.63108113080115</v>
      </c>
      <c r="Y51" s="13" t="n">
        <f aca="false">Y49*Y12</f>
        <v>1.53862073816414</v>
      </c>
      <c r="Z51" s="13" t="n">
        <f aca="false">Z49*Z12</f>
        <v>1.49713284066125</v>
      </c>
      <c r="AA51" s="13" t="n">
        <f aca="false">AA49*AA12</f>
        <v>1.40409538821794</v>
      </c>
      <c r="AB51" s="13" t="n">
        <f aca="false">AB49*AB12</f>
        <v>1.35556661219851</v>
      </c>
      <c r="AC51" s="13" t="n">
        <f aca="false">AC49*AC12</f>
        <v>1.26641860370888</v>
      </c>
      <c r="AD51" s="13" t="n">
        <f aca="false">AD49*AD12</f>
        <v>1.20261167361368</v>
      </c>
      <c r="AE51" s="13" t="n">
        <f aca="false">AE49*AE12</f>
        <v>1.09951908135616</v>
      </c>
      <c r="AF51" s="13" t="n">
        <f aca="false">AF49*AF12</f>
        <v>1.02922694071733</v>
      </c>
      <c r="AG51" s="13" t="n">
        <f aca="false">AG49*AG12</f>
        <v>0.922318375058454</v>
      </c>
      <c r="AH51" s="13" t="n">
        <f aca="false">AH49*AH12</f>
        <v>0.844273946928669</v>
      </c>
      <c r="AI51" s="13" t="n">
        <f aca="false">AI49*AI12</f>
        <v>0.734089855029841</v>
      </c>
      <c r="AJ51" s="13" t="n">
        <f aca="false">AJ49*AJ12</f>
        <v>0.645362211409963</v>
      </c>
      <c r="AK51" s="13" t="n">
        <f aca="false">AK49*AK12</f>
        <v>0.533731185766337</v>
      </c>
      <c r="AL51" s="13" t="n">
        <f aca="false">AL49*AL12</f>
        <v>0.430407062647865</v>
      </c>
      <c r="AM51" s="13" t="n">
        <f aca="false">AM49*AM12</f>
        <v>0.309499587484306</v>
      </c>
      <c r="AN51" s="13" t="n">
        <f aca="false">AN49*AN12</f>
        <v>0.196445332590449</v>
      </c>
      <c r="AO51" s="13" t="n">
        <f aca="false">AO49*AO12</f>
        <v>0.0973316361449111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48.9454860536488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48.9454860536488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234.751179081971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148.159426120531</v>
      </c>
      <c r="AC63" s="13" t="n">
        <f aca="false">Time!AC35*AB75</f>
        <v>132.433213708357</v>
      </c>
      <c r="AD63" s="13" t="n">
        <f aca="false">Time!AD35*AC75</f>
        <v>117.150758843573</v>
      </c>
      <c r="AE63" s="13" t="n">
        <f aca="false">Time!AE35*AD75</f>
        <v>100.393775398922</v>
      </c>
      <c r="AF63" s="13" t="n">
        <f aca="false">Time!AF35*AE75</f>
        <v>83.168459834573</v>
      </c>
      <c r="AG63" s="13" t="n">
        <f aca="false">Time!AG35*AF75</f>
        <v>65.4700249586936</v>
      </c>
      <c r="AH63" s="13" t="n">
        <f aca="false">Time!AH35*AG75</f>
        <v>48.1178835008035</v>
      </c>
      <c r="AI63" s="13" t="n">
        <f aca="false">Time!AI35*AH75</f>
        <v>30.1693867645905</v>
      </c>
      <c r="AJ63" s="13" t="n">
        <f aca="false">Time!AJ35*AI75</f>
        <v>12.7286896835537</v>
      </c>
      <c r="AK63" s="13" t="n">
        <f aca="false">Time!AK35*AJ75</f>
        <v>0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133.386813927908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9.45532827820258</v>
      </c>
      <c r="R65" s="13" t="n">
        <f aca="false">R63*R13</f>
        <v>9.36083644723405</v>
      </c>
      <c r="S65" s="13" t="n">
        <f aca="false">S63*S13</f>
        <v>8.9613392514025</v>
      </c>
      <c r="T65" s="13" t="n">
        <f aca="false">T63*T13</f>
        <v>8.83814172083103</v>
      </c>
      <c r="U65" s="13" t="n">
        <f aca="false">U63*U13</f>
        <v>8.46093698459362</v>
      </c>
      <c r="V65" s="13" t="n">
        <f aca="false">V63*V13</f>
        <v>8.2606223949987</v>
      </c>
      <c r="W65" s="13" t="n">
        <f aca="false">W63*W13</f>
        <v>7.81858019505572</v>
      </c>
      <c r="X65" s="13" t="n">
        <f aca="false">X63*X13</f>
        <v>7.62616596875603</v>
      </c>
      <c r="Y65" s="13" t="n">
        <f aca="false">Y63*Y13</f>
        <v>7.69205486959494</v>
      </c>
      <c r="Z65" s="13" t="n">
        <f aca="false">Z63*Z13</f>
        <v>7.48464366285591</v>
      </c>
      <c r="AA65" s="13" t="n">
        <f aca="false">AA63*AA13</f>
        <v>7.01951982085231</v>
      </c>
      <c r="AB65" s="13" t="n">
        <f aca="false">AB63*AB13</f>
        <v>6.49560190171889</v>
      </c>
      <c r="AC65" s="13" t="n">
        <f aca="false">AC63*AC13</f>
        <v>5.74302353669104</v>
      </c>
      <c r="AD65" s="13" t="n">
        <f aca="false">AD63*AD13</f>
        <v>5.13612067660861</v>
      </c>
      <c r="AE65" s="13" t="n">
        <f aca="false">AE63*AE13</f>
        <v>4.32969846421055</v>
      </c>
      <c r="AF65" s="13" t="n">
        <f aca="false">AF63*AF13</f>
        <v>3.64626956252513</v>
      </c>
      <c r="AG65" s="13" t="n">
        <f aca="false">AG63*AG13</f>
        <v>3.0064077942606</v>
      </c>
      <c r="AH65" s="13" t="n">
        <f aca="false">AH63*AH13</f>
        <v>2.24621408757084</v>
      </c>
      <c r="AI65" s="13" t="n">
        <f aca="false">AI63*AI13</f>
        <v>1.38538941407695</v>
      </c>
      <c r="AJ65" s="13" t="n">
        <f aca="false">AJ63*AJ13</f>
        <v>0.594194091746335</v>
      </c>
      <c r="AK65" s="13" t="n">
        <f aca="false">AK63*AK13</f>
        <v>0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144.213155144541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5.88609162428269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7.95534889015449</v>
      </c>
      <c r="AA66" s="13" t="n">
        <f aca="false">Time!AA35*(AA63-AA64)*AA19</f>
        <v>8.18750591588019</v>
      </c>
      <c r="AB66" s="13" t="n">
        <f aca="false">Time!AB35*(AB63-AB64)*AB19</f>
        <v>8.22256108753067</v>
      </c>
      <c r="AC66" s="13" t="n">
        <f aca="false">Time!AC35*(AC63-AC64)*AC19</f>
        <v>8.03944762452319</v>
      </c>
      <c r="AD66" s="13" t="n">
        <f aca="false">Time!AD35*(AD63-AD64)*AD19</f>
        <v>8.26734982786622</v>
      </c>
      <c r="AE66" s="13" t="n">
        <f aca="false">Time!AE35*(AE63-AE64)*AE19</f>
        <v>7.95037469248215</v>
      </c>
      <c r="AF66" s="13" t="n">
        <f aca="false">Time!AF35*(AF63-AF64)*AF19</f>
        <v>7.40363516397884</v>
      </c>
      <c r="AG66" s="13" t="n">
        <f aca="false">Time!AG35*(AG63-AG64)*AG19</f>
        <v>6.51704196462586</v>
      </c>
      <c r="AH66" s="13" t="n">
        <f aca="false">Time!AH35*(AH63-AH64)*AH19</f>
        <v>5.58629543234278</v>
      </c>
      <c r="AI66" s="13" t="n">
        <f aca="false">Time!AI35*(AI63-AI64)*AI19</f>
        <v>4.07893829171535</v>
      </c>
      <c r="AJ66" s="13" t="n">
        <f aca="false">Time!AJ35*(AJ63-AJ64)*AJ19</f>
        <v>2.08605436092031</v>
      </c>
      <c r="AK66" s="13" t="n">
        <f aca="false">Time!AK35*(AK63-AK64)*AK19</f>
        <v>0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144.213155144541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5.88609162428269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7.95534889015449</v>
      </c>
      <c r="AA69" s="13" t="n">
        <f aca="false">AA66-AA67+AA68</f>
        <v>8.18750591588019</v>
      </c>
      <c r="AB69" s="13" t="n">
        <f aca="false">AB66-AB67+AB68</f>
        <v>8.22256108753067</v>
      </c>
      <c r="AC69" s="13" t="n">
        <f aca="false">AC66-AC67+AC68</f>
        <v>8.03944762452319</v>
      </c>
      <c r="AD69" s="13" t="n">
        <f aca="false">AD66-AD67+AD68</f>
        <v>8.26734982786622</v>
      </c>
      <c r="AE69" s="13" t="n">
        <f aca="false">AE66-AE67+AE68</f>
        <v>7.95037469248215</v>
      </c>
      <c r="AF69" s="13" t="n">
        <f aca="false">AF66-AF67+AF68</f>
        <v>7.40363516397884</v>
      </c>
      <c r="AG69" s="13" t="n">
        <f aca="false">AG66-AG67+AG68</f>
        <v>6.51704196462586</v>
      </c>
      <c r="AH69" s="13" t="n">
        <f aca="false">AH66-AH67+AH68</f>
        <v>5.58629543234278</v>
      </c>
      <c r="AI69" s="13" t="n">
        <f aca="false">AI66-AI67+AI68</f>
        <v>4.07893829171535</v>
      </c>
      <c r="AJ69" s="13" t="n">
        <f aca="false">AJ66-AJ67+AJ68</f>
        <v>2.08605436092031</v>
      </c>
      <c r="AK69" s="13" t="n">
        <f aca="false">AK66-AK67+AK68</f>
        <v>0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234.751179081971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139.936865033</v>
      </c>
      <c r="AC73" s="13" t="n">
        <f aca="false">AC63-AC69-AC70-AC71</f>
        <v>124.393766083834</v>
      </c>
      <c r="AD73" s="13" t="n">
        <f aca="false">AD63-AD69-AD70-AD71</f>
        <v>108.883409015707</v>
      </c>
      <c r="AE73" s="13" t="n">
        <f aca="false">AE63-AE69-AE70-AE71</f>
        <v>92.4434007064399</v>
      </c>
      <c r="AF73" s="13" t="n">
        <f aca="false">AF63-AF69-AF70-AF71</f>
        <v>75.7648246705942</v>
      </c>
      <c r="AG73" s="13" t="n">
        <f aca="false">AG63-AG69-AG70-AG71</f>
        <v>58.9529829940678</v>
      </c>
      <c r="AH73" s="13" t="n">
        <f aca="false">AH63-AH69-AH70-AH71</f>
        <v>42.5315880684607</v>
      </c>
      <c r="AI73" s="13" t="n">
        <f aca="false">AI63-AI69-AI70-AI71</f>
        <v>26.0904484728752</v>
      </c>
      <c r="AJ73" s="13" t="n">
        <f aca="false">AJ63-AJ69-AJ70-AJ71</f>
        <v>10.6426353226334</v>
      </c>
      <c r="AK73" s="13" t="n">
        <f aca="false">AK63-AK69-AK70-AK71</f>
        <v>0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96.4241155617131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6.41638788716743</v>
      </c>
      <c r="AB74" s="13" t="n">
        <f aca="false">Waterfall!AB28*AB73/(AB31+AB45+AB59+AB73+AB87+Inputs!$F$253)+Waterfall!AB29</f>
        <v>7.50365132464338</v>
      </c>
      <c r="AC74" s="13" t="n">
        <f aca="false">Waterfall!AC28*AC73/(AC31+AC45+AC59+AC73+AC87+Inputs!$F$253)+Waterfall!AC29</f>
        <v>7.24300724026038</v>
      </c>
      <c r="AD74" s="13" t="n">
        <f aca="false">Waterfall!AD28*AD73/(AD31+AD45+AD59+AD73+AD87+Inputs!$F$253)+Waterfall!AD29</f>
        <v>8.48963361678517</v>
      </c>
      <c r="AE74" s="13" t="n">
        <f aca="false">Waterfall!AE28*AE73/(AE31+AE45+AE59+AE73+AE87+Inputs!$F$253)+Waterfall!AE29</f>
        <v>9.27494087186686</v>
      </c>
      <c r="AF74" s="13" t="n">
        <f aca="false">Waterfall!AF28*AF73/(AF31+AF45+AF59+AF73+AF87+Inputs!$F$253)+Waterfall!AF29</f>
        <v>10.2947997119005</v>
      </c>
      <c r="AG74" s="13" t="n">
        <f aca="false">Waterfall!AG28*AG73/(AG31+AG45+AG59+AG73+AG87+Inputs!$F$253)+Waterfall!AG29</f>
        <v>10.8350994932643</v>
      </c>
      <c r="AH74" s="13" t="n">
        <f aca="false">Waterfall!AH28*AH73/(AH31+AH45+AH59+AH73+AH87+Inputs!$F$253)+Waterfall!AH29</f>
        <v>12.3622013038702</v>
      </c>
      <c r="AI74" s="13" t="n">
        <f aca="false">Waterfall!AI28*AI73/(AI31+AI45+AI59+AI73+AI87+Inputs!$F$253)+Waterfall!AI29</f>
        <v>13.3617587893215</v>
      </c>
      <c r="AJ74" s="13" t="n">
        <f aca="false">Waterfall!AJ28*AJ73/(AJ31+AJ45+AJ59+AJ73+AJ87+Inputs!$F$253)+Waterfall!AJ29</f>
        <v>10.6426353226334</v>
      </c>
      <c r="AK74" s="13" t="n">
        <f aca="false">Waterfall!AK28*AK73/(AK31+AK45+AK59+AK73+AK87+Inputs!$F$253)+Waterfall!AK29</f>
        <v>0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234.751179081971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148.159426120531</v>
      </c>
      <c r="AB75" s="13" t="n">
        <f aca="false">IF(Time!AB34=1,INDEX(Funding!$J$64:$BJ$64,1,Time!$F$14),Time!AB35*(AB73-AB74))</f>
        <v>132.433213708357</v>
      </c>
      <c r="AC75" s="13" t="n">
        <f aca="false">IF(Time!AC34=1,INDEX(Funding!$J$64:$BJ$64,1,Time!$F$14),Time!AC35*(AC73-AC74))</f>
        <v>117.150758843573</v>
      </c>
      <c r="AD75" s="13" t="n">
        <f aca="false">IF(Time!AD34=1,INDEX(Funding!$J$64:$BJ$64,1,Time!$F$14),Time!AD35*(AD73-AD74))</f>
        <v>100.393775398922</v>
      </c>
      <c r="AE75" s="13" t="n">
        <f aca="false">IF(Time!AE34=1,INDEX(Funding!$J$64:$BJ$64,1,Time!$F$14),Time!AE35*(AE73-AE74))</f>
        <v>83.168459834573</v>
      </c>
      <c r="AF75" s="13" t="n">
        <f aca="false">IF(Time!AF34=1,INDEX(Funding!$J$64:$BJ$64,1,Time!$F$14),Time!AF35*(AF73-AF74))</f>
        <v>65.4700249586936</v>
      </c>
      <c r="AG75" s="13" t="n">
        <f aca="false">IF(Time!AG34=1,INDEX(Funding!$J$64:$BJ$64,1,Time!$F$14),Time!AG35*(AG73-AG74))</f>
        <v>48.1178835008035</v>
      </c>
      <c r="AH75" s="13" t="n">
        <f aca="false">IF(Time!AH34=1,INDEX(Funding!$J$64:$BJ$64,1,Time!$F$14),Time!AH35*(AH73-AH74))</f>
        <v>30.1693867645905</v>
      </c>
      <c r="AI75" s="13" t="n">
        <f aca="false">IF(Time!AI34=1,INDEX(Funding!$J$64:$BJ$64,1,Time!$F$14),Time!AI35*(AI73-AI74))</f>
        <v>12.7286896835537</v>
      </c>
      <c r="AJ75" s="13" t="n">
        <f aca="false">IF(Time!AJ34=1,INDEX(Funding!$J$64:$BJ$64,1,Time!$F$14),Time!AJ35*(AJ73-AJ74))</f>
        <v>0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0.083650550311674</v>
      </c>
      <c r="Q77" s="13" t="n">
        <f aca="false">Time!Q35*P89</f>
        <v>0.0816044217044508</v>
      </c>
      <c r="R77" s="13" t="n">
        <f aca="false">Time!R35*Q89</f>
        <v>0.0794716973945999</v>
      </c>
      <c r="S77" s="13" t="n">
        <f aca="false">Time!S35*R89</f>
        <v>0.0772339178333106</v>
      </c>
      <c r="T77" s="13" t="n">
        <f aca="false">Time!T35*S89</f>
        <v>0.0749301945285692</v>
      </c>
      <c r="U77" s="13" t="n">
        <f aca="false">Time!U35*T89</f>
        <v>0.0725205007773465</v>
      </c>
      <c r="V77" s="13" t="n">
        <f aca="false">Time!V35*U89</f>
        <v>0.0700339576503315</v>
      </c>
      <c r="W77" s="13" t="n">
        <f aca="false">Time!W35*V89</f>
        <v>0.0673849704176277</v>
      </c>
      <c r="X77" s="13" t="n">
        <f aca="false">Time!X35*W89</f>
        <v>0.0646550052709852</v>
      </c>
      <c r="Y77" s="13" t="n">
        <f aca="false">Time!Y35*X89</f>
        <v>0.0620008177688971</v>
      </c>
      <c r="Z77" s="13" t="n">
        <f aca="false">Time!Z35*Y89</f>
        <v>0.0593453813402732</v>
      </c>
      <c r="AA77" s="13" t="n">
        <f aca="false">Time!AA35*Z89</f>
        <v>0.0565799356109824</v>
      </c>
      <c r="AB77" s="13" t="n">
        <f aca="false">Time!AB35*AA89</f>
        <v>0.0537337872419731</v>
      </c>
      <c r="AC77" s="13" t="n">
        <f aca="false">Time!AC35*AB89</f>
        <v>0.0507516661604426</v>
      </c>
      <c r="AD77" s="13" t="n">
        <f aca="false">Time!AD35*AC89</f>
        <v>0.0476707520111213</v>
      </c>
      <c r="AE77" s="13" t="n">
        <f aca="false">Time!AE35*AD89</f>
        <v>0.0443066185874562</v>
      </c>
      <c r="AF77" s="13" t="n">
        <f aca="false">Time!AF35*AE89</f>
        <v>0.0407978928947779</v>
      </c>
      <c r="AG77" s="13" t="n">
        <f aca="false">Time!AG35*AF89</f>
        <v>0.0371660748347486</v>
      </c>
      <c r="AH77" s="13" t="n">
        <f aca="false">Time!AH35*AG89</f>
        <v>0.0334664753690191</v>
      </c>
      <c r="AI77" s="13" t="n">
        <f aca="false">Time!AI35*AH89</f>
        <v>0.02958115031129</v>
      </c>
      <c r="AJ77" s="13" t="n">
        <f aca="false">Time!AJ35*AI89</f>
        <v>0.025581742313401</v>
      </c>
      <c r="AK77" s="13" t="n">
        <f aca="false">Time!AK35*AJ89</f>
        <v>0.021389252242584</v>
      </c>
      <c r="AL77" s="13" t="n">
        <f aca="false">Time!AL35*AK89</f>
        <v>0.0170610586920949</v>
      </c>
      <c r="AM77" s="13" t="n">
        <f aca="false">Time!AM35*AL89</f>
        <v>0.0124717073201936</v>
      </c>
      <c r="AN77" s="13" t="n">
        <f aca="false">Time!AN35*AM89</f>
        <v>0.00778696643241613</v>
      </c>
      <c r="AO77" s="13" t="n">
        <f aca="false">Time!AO35*AN89</f>
        <v>0.00392211081398116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0.0517027786110936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0.0033160565264442</v>
      </c>
      <c r="Q79" s="13" t="n">
        <f aca="false">Q77*Q14</f>
        <v>0.00319095352282123</v>
      </c>
      <c r="R79" s="13" t="n">
        <f aca="false">R77*R14</f>
        <v>0.00315906472615174</v>
      </c>
      <c r="S79" s="13" t="n">
        <f aca="false">S77*S14</f>
        <v>0.00302419703132039</v>
      </c>
      <c r="T79" s="13" t="n">
        <f aca="false">T77*T14</f>
        <v>0.00298262136994121</v>
      </c>
      <c r="U79" s="13" t="n">
        <f aca="false">U77*U14</f>
        <v>0.00285532550360621</v>
      </c>
      <c r="V79" s="13" t="n">
        <f aca="false">V77*V14</f>
        <v>0.002787725028924</v>
      </c>
      <c r="W79" s="13" t="n">
        <f aca="false">W77*W14</f>
        <v>0.00263854836332944</v>
      </c>
      <c r="X79" s="13" t="n">
        <f aca="false">X77*X14</f>
        <v>0.00257361403647999</v>
      </c>
      <c r="Y79" s="13" t="n">
        <f aca="false">Y77*Y14</f>
        <v>0.0025316334654257</v>
      </c>
      <c r="Z79" s="13" t="n">
        <f aca="false">Z77*Z14</f>
        <v>0.00246336963203048</v>
      </c>
      <c r="AA79" s="13" t="n">
        <f aca="false">AA77*AA14</f>
        <v>0.00231028659973983</v>
      </c>
      <c r="AB79" s="13" t="n">
        <f aca="false">AB77*AB14</f>
        <v>0.00223043776476733</v>
      </c>
      <c r="AC79" s="13" t="n">
        <f aca="false">AC77*AC14</f>
        <v>0.00208375439045009</v>
      </c>
      <c r="AD79" s="13" t="n">
        <f aca="false">AD77*AD14</f>
        <v>0.00197876701081304</v>
      </c>
      <c r="AE79" s="13" t="n">
        <f aca="false">AE77*AE14</f>
        <v>0.00180913933706413</v>
      </c>
      <c r="AF79" s="13" t="n">
        <f aca="false">AF77*AF14</f>
        <v>0.00169348124720241</v>
      </c>
      <c r="AG79" s="13" t="n">
        <f aca="false">AG77*AG14</f>
        <v>0.00157986239168195</v>
      </c>
      <c r="AH79" s="13" t="n">
        <f aca="false">AH77*AH14</f>
        <v>0.00144617812362781</v>
      </c>
      <c r="AI79" s="13" t="n">
        <f aca="false">AI77*AI14</f>
        <v>0.00125744101542311</v>
      </c>
      <c r="AJ79" s="13" t="n">
        <f aca="false">AJ77*AJ14</f>
        <v>0.00110545719828544</v>
      </c>
      <c r="AK79" s="13" t="n">
        <f aca="false">AK77*AK14</f>
        <v>0.000914241600799296</v>
      </c>
      <c r="AL79" s="13" t="n">
        <f aca="false">AL77*AL14</f>
        <v>0.000737255106024059</v>
      </c>
      <c r="AM79" s="13" t="n">
        <f aca="false">AM77*AM14</f>
        <v>0.000530149644342218</v>
      </c>
      <c r="AN79" s="13" t="n">
        <f aca="false">AN77*AN14</f>
        <v>0.000336496161600849</v>
      </c>
      <c r="AO79" s="13" t="n">
        <f aca="false">AO77*AO14</f>
        <v>0.000166721812797528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0.083650550311674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0.00204612860722321</v>
      </c>
      <c r="Q80" s="13" t="n">
        <f aca="false">Time!Q35*(Q77-Q78)*Q19</f>
        <v>0.00213272430985096</v>
      </c>
      <c r="R80" s="13" t="n">
        <f aca="false">Time!R35*(R77-R78)*R19</f>
        <v>0.00223777956128924</v>
      </c>
      <c r="S80" s="13" t="n">
        <f aca="false">Time!S35*(S77-S78)*S19</f>
        <v>0.00230372330474137</v>
      </c>
      <c r="T80" s="13" t="n">
        <f aca="false">Time!T35*(T77-T78)*T19</f>
        <v>0.00240969375122271</v>
      </c>
      <c r="U80" s="13" t="n">
        <f aca="false">Time!U35*(U77-U78)*U19</f>
        <v>0.00248654312701501</v>
      </c>
      <c r="V80" s="13" t="n">
        <f aca="false">Time!V35*(V77-V78)*V19</f>
        <v>0.00264898723270383</v>
      </c>
      <c r="W80" s="13" t="n">
        <f aca="false">Time!W35*(W77-W78)*W19</f>
        <v>0.00272996514664252</v>
      </c>
      <c r="X80" s="13" t="n">
        <f aca="false">Time!X35*(X77-X78)*X19</f>
        <v>0.00265418750208801</v>
      </c>
      <c r="Y80" s="13" t="n">
        <f aca="false">Time!Y35*(Y77-Y78)*Y19</f>
        <v>0.00265543642862398</v>
      </c>
      <c r="Z80" s="13" t="n">
        <f aca="false">Time!Z35*(Z77-Z78)*Z19</f>
        <v>0.00276544572929073</v>
      </c>
      <c r="AA80" s="13" t="n">
        <f aca="false">Time!AA35*(AA77-AA78)*AA19</f>
        <v>0.00284614836900934</v>
      </c>
      <c r="AB80" s="13" t="n">
        <f aca="false">Time!AB35*(AB77-AB78)*AB19</f>
        <v>0.00298212108153053</v>
      </c>
      <c r="AC80" s="13" t="n">
        <f aca="false">Time!AC35*(AC77-AC78)*AC19</f>
        <v>0.00308091414932127</v>
      </c>
      <c r="AD80" s="13" t="n">
        <f aca="false">Time!AD35*(AD77-AD78)*AD19</f>
        <v>0.00336413342366512</v>
      </c>
      <c r="AE80" s="13" t="n">
        <f aca="false">Time!AE35*(AE77-AE78)*AE19</f>
        <v>0.00350872569267828</v>
      </c>
      <c r="AF80" s="13" t="n">
        <f aca="false">Time!AF35*(AF77-AF78)*AF19</f>
        <v>0.00363181806002926</v>
      </c>
      <c r="AG80" s="13" t="n">
        <f aca="false">Time!AG35*(AG77-AG78)*AG19</f>
        <v>0.00369959946572953</v>
      </c>
      <c r="AH80" s="13" t="n">
        <f aca="false">Time!AH35*(AH77-AH78)*AH19</f>
        <v>0.00388532505772915</v>
      </c>
      <c r="AI80" s="13" t="n">
        <f aca="false">Time!AI35*(AI77-AI78)*AI19</f>
        <v>0.00399940799788894</v>
      </c>
      <c r="AJ80" s="13" t="n">
        <f aca="false">Time!AJ35*(AJ77-AJ78)*AJ19</f>
        <v>0.00419249007081701</v>
      </c>
      <c r="AK80" s="13" t="n">
        <f aca="false">Time!AK35*(AK77-AK78)*AK19</f>
        <v>0.0043281935504891</v>
      </c>
      <c r="AL80" s="13" t="n">
        <f aca="false">Time!AL35*(AL77-AL78)*AL19</f>
        <v>0.00458935137190134</v>
      </c>
      <c r="AM80" s="13" t="n">
        <f aca="false">Time!AM35*(AM77-AM78)*AM19</f>
        <v>0.00468474088777744</v>
      </c>
      <c r="AN80" s="13" t="n">
        <f aca="false">Time!AN35*(AN77-AN78)*AN19</f>
        <v>0.00386485561843497</v>
      </c>
      <c r="AO80" s="13" t="n">
        <f aca="false">Time!AO35*(AO77-AO78)*AO19</f>
        <v>0.00392211081398116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0.083650550311674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0.00204612860722321</v>
      </c>
      <c r="Q83" s="13" t="n">
        <f aca="false">Q80-Q81+Q82</f>
        <v>0.00213272430985096</v>
      </c>
      <c r="R83" s="13" t="n">
        <f aca="false">R80-R81+R82</f>
        <v>0.00223777956128924</v>
      </c>
      <c r="S83" s="13" t="n">
        <f aca="false">S80-S81+S82</f>
        <v>0.00230372330474137</v>
      </c>
      <c r="T83" s="13" t="n">
        <f aca="false">T80-T81+T82</f>
        <v>0.00240969375122271</v>
      </c>
      <c r="U83" s="13" t="n">
        <f aca="false">U80-U81+U82</f>
        <v>0.00248654312701501</v>
      </c>
      <c r="V83" s="13" t="n">
        <f aca="false">V80-V81+V82</f>
        <v>0.00264898723270383</v>
      </c>
      <c r="W83" s="13" t="n">
        <f aca="false">W80-W81+W82</f>
        <v>0.00272996514664252</v>
      </c>
      <c r="X83" s="13" t="n">
        <f aca="false">X80-X81+X82</f>
        <v>0.00265418750208801</v>
      </c>
      <c r="Y83" s="13" t="n">
        <f aca="false">Y80-Y81+Y82</f>
        <v>0.00265543642862398</v>
      </c>
      <c r="Z83" s="13" t="n">
        <f aca="false">Z80-Z81+Z82</f>
        <v>0.00276544572929073</v>
      </c>
      <c r="AA83" s="13" t="n">
        <f aca="false">AA80-AA81+AA82</f>
        <v>0.00284614836900934</v>
      </c>
      <c r="AB83" s="13" t="n">
        <f aca="false">AB80-AB81+AB82</f>
        <v>0.00298212108153053</v>
      </c>
      <c r="AC83" s="13" t="n">
        <f aca="false">AC80-AC81+AC82</f>
        <v>0.00308091414932127</v>
      </c>
      <c r="AD83" s="13" t="n">
        <f aca="false">AD80-AD81+AD82</f>
        <v>0.00336413342366512</v>
      </c>
      <c r="AE83" s="13" t="n">
        <f aca="false">AE80-AE81+AE82</f>
        <v>0.00350872569267828</v>
      </c>
      <c r="AF83" s="13" t="n">
        <f aca="false">AF80-AF81+AF82</f>
        <v>0.00363181806002926</v>
      </c>
      <c r="AG83" s="13" t="n">
        <f aca="false">AG80-AG81+AG82</f>
        <v>0.00369959946572953</v>
      </c>
      <c r="AH83" s="13" t="n">
        <f aca="false">AH80-AH81+AH82</f>
        <v>0.00388532505772915</v>
      </c>
      <c r="AI83" s="13" t="n">
        <f aca="false">AI80-AI81+AI82</f>
        <v>0.00399940799788894</v>
      </c>
      <c r="AJ83" s="13" t="n">
        <f aca="false">AJ80-AJ81+AJ82</f>
        <v>0.00419249007081701</v>
      </c>
      <c r="AK83" s="13" t="n">
        <f aca="false">AK80-AK81+AK82</f>
        <v>0.0043281935504891</v>
      </c>
      <c r="AL83" s="13" t="n">
        <f aca="false">AL80-AL81+AL82</f>
        <v>0.00458935137190134</v>
      </c>
      <c r="AM83" s="13" t="n">
        <f aca="false">AM80-AM81+AM82</f>
        <v>0.00468474088777744</v>
      </c>
      <c r="AN83" s="13" t="n">
        <f aca="false">AN80-AN81+AN82</f>
        <v>0.00386485561843497</v>
      </c>
      <c r="AO83" s="13" t="n">
        <f aca="false">AO80-AO81+AO82</f>
        <v>0.00392211081398116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0.0816044217044508</v>
      </c>
      <c r="Q87" s="13" t="n">
        <f aca="false">Q77-Q83-Q84-Q85</f>
        <v>0.0794716973945999</v>
      </c>
      <c r="R87" s="13" t="n">
        <f aca="false">R77-R83-R84-R85</f>
        <v>0.0772339178333106</v>
      </c>
      <c r="S87" s="13" t="n">
        <f aca="false">S77-S83-S84-S85</f>
        <v>0.0749301945285692</v>
      </c>
      <c r="T87" s="13" t="n">
        <f aca="false">T77-T83-T84-T85</f>
        <v>0.0725205007773465</v>
      </c>
      <c r="U87" s="13" t="n">
        <f aca="false">U77-U83-U84-U85</f>
        <v>0.0700339576503315</v>
      </c>
      <c r="V87" s="13" t="n">
        <f aca="false">V77-V83-V84-V85</f>
        <v>0.0673849704176277</v>
      </c>
      <c r="W87" s="13" t="n">
        <f aca="false">W77-W83-W84-W85</f>
        <v>0.0646550052709852</v>
      </c>
      <c r="X87" s="13" t="n">
        <f aca="false">X77-X83-X84-X85</f>
        <v>0.0620008177688971</v>
      </c>
      <c r="Y87" s="13" t="n">
        <f aca="false">Y77-Y83-Y84-Y85</f>
        <v>0.0593453813402732</v>
      </c>
      <c r="Z87" s="13" t="n">
        <f aca="false">Z77-Z83-Z84-Z85</f>
        <v>0.0565799356109824</v>
      </c>
      <c r="AA87" s="13" t="n">
        <f aca="false">AA77-AA83-AA84-AA85</f>
        <v>0.0537337872419731</v>
      </c>
      <c r="AB87" s="13" t="n">
        <f aca="false">AB77-AB83-AB84-AB85</f>
        <v>0.0507516661604426</v>
      </c>
      <c r="AC87" s="13" t="n">
        <f aca="false">AC77-AC83-AC84-AC85</f>
        <v>0.0476707520111213</v>
      </c>
      <c r="AD87" s="13" t="n">
        <f aca="false">AD77-AD83-AD84-AD85</f>
        <v>0.0443066185874562</v>
      </c>
      <c r="AE87" s="13" t="n">
        <f aca="false">AE77-AE83-AE84-AE85</f>
        <v>0.0407978928947779</v>
      </c>
      <c r="AF87" s="13" t="n">
        <f aca="false">AF77-AF83-AF84-AF85</f>
        <v>0.0371660748347486</v>
      </c>
      <c r="AG87" s="13" t="n">
        <f aca="false">AG77-AG83-AG84-AG85</f>
        <v>0.0334664753690191</v>
      </c>
      <c r="AH87" s="13" t="n">
        <f aca="false">AH77-AH83-AH84-AH85</f>
        <v>0.02958115031129</v>
      </c>
      <c r="AI87" s="13" t="n">
        <f aca="false">AI77-AI83-AI84-AI85</f>
        <v>0.025581742313401</v>
      </c>
      <c r="AJ87" s="13" t="n">
        <f aca="false">AJ77-AJ83-AJ84-AJ85</f>
        <v>0.021389252242584</v>
      </c>
      <c r="AK87" s="13" t="n">
        <f aca="false">AK77-AK83-AK84-AK85</f>
        <v>0.0170610586920949</v>
      </c>
      <c r="AL87" s="13" t="n">
        <f aca="false">AL77-AL83-AL84-AL85</f>
        <v>0.0124717073201936</v>
      </c>
      <c r="AM87" s="13" t="n">
        <f aca="false">AM77-AM83-AM84-AM85</f>
        <v>0.00778696643241613</v>
      </c>
      <c r="AN87" s="13" t="n">
        <f aca="false">AN77-AN83-AN84-AN85</f>
        <v>0.00392211081398116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0.083650550311674</v>
      </c>
      <c r="P89" s="13" t="n">
        <f aca="false">IF(Time!P34=1,INDEX(Funding!$J$65:$BJ$65,1,Time!$F$14),Time!P35*(P87-P88))</f>
        <v>0.0816044217044508</v>
      </c>
      <c r="Q89" s="13" t="n">
        <f aca="false">IF(Time!Q34=1,INDEX(Funding!$J$65:$BJ$65,1,Time!$F$14),Time!Q35*(Q87-Q88))</f>
        <v>0.0794716973945999</v>
      </c>
      <c r="R89" s="13" t="n">
        <f aca="false">IF(Time!R34=1,INDEX(Funding!$J$65:$BJ$65,1,Time!$F$14),Time!R35*(R87-R88))</f>
        <v>0.0772339178333106</v>
      </c>
      <c r="S89" s="13" t="n">
        <f aca="false">IF(Time!S34=1,INDEX(Funding!$J$65:$BJ$65,1,Time!$F$14),Time!S35*(S87-S88))</f>
        <v>0.0749301945285692</v>
      </c>
      <c r="T89" s="13" t="n">
        <f aca="false">IF(Time!T34=1,INDEX(Funding!$J$65:$BJ$65,1,Time!$F$14),Time!T35*(T87-T88))</f>
        <v>0.0725205007773465</v>
      </c>
      <c r="U89" s="13" t="n">
        <f aca="false">IF(Time!U34=1,INDEX(Funding!$J$65:$BJ$65,1,Time!$F$14),Time!U35*(U87-U88))</f>
        <v>0.0700339576503315</v>
      </c>
      <c r="V89" s="13" t="n">
        <f aca="false">IF(Time!V34=1,INDEX(Funding!$J$65:$BJ$65,1,Time!$F$14),Time!V35*(V87-V88))</f>
        <v>0.0673849704176277</v>
      </c>
      <c r="W89" s="13" t="n">
        <f aca="false">IF(Time!W34=1,INDEX(Funding!$J$65:$BJ$65,1,Time!$F$14),Time!W35*(W87-W88))</f>
        <v>0.0646550052709852</v>
      </c>
      <c r="X89" s="13" t="n">
        <f aca="false">IF(Time!X34=1,INDEX(Funding!$J$65:$BJ$65,1,Time!$F$14),Time!X35*(X87-X88))</f>
        <v>0.0620008177688971</v>
      </c>
      <c r="Y89" s="13" t="n">
        <f aca="false">IF(Time!Y34=1,INDEX(Funding!$J$65:$BJ$65,1,Time!$F$14),Time!Y35*(Y87-Y88))</f>
        <v>0.0593453813402732</v>
      </c>
      <c r="Z89" s="13" t="n">
        <f aca="false">IF(Time!Z34=1,INDEX(Funding!$J$65:$BJ$65,1,Time!$F$14),Time!Z35*(Z87-Z88))</f>
        <v>0.0565799356109824</v>
      </c>
      <c r="AA89" s="13" t="n">
        <f aca="false">IF(Time!AA34=1,INDEX(Funding!$J$65:$BJ$65,1,Time!$F$14),Time!AA35*(AA87-AA88))</f>
        <v>0.0537337872419731</v>
      </c>
      <c r="AB89" s="13" t="n">
        <f aca="false">IF(Time!AB34=1,INDEX(Funding!$J$65:$BJ$65,1,Time!$F$14),Time!AB35*(AB87-AB88))</f>
        <v>0.0507516661604426</v>
      </c>
      <c r="AC89" s="13" t="n">
        <f aca="false">IF(Time!AC34=1,INDEX(Funding!$J$65:$BJ$65,1,Time!$F$14),Time!AC35*(AC87-AC88))</f>
        <v>0.0476707520111213</v>
      </c>
      <c r="AD89" s="13" t="n">
        <f aca="false">IF(Time!AD34=1,INDEX(Funding!$J$65:$BJ$65,1,Time!$F$14),Time!AD35*(AD87-AD88))</f>
        <v>0.0443066185874562</v>
      </c>
      <c r="AE89" s="13" t="n">
        <f aca="false">IF(Time!AE34=1,INDEX(Funding!$J$65:$BJ$65,1,Time!$F$14),Time!AE35*(AE87-AE88))</f>
        <v>0.0407978928947779</v>
      </c>
      <c r="AF89" s="13" t="n">
        <f aca="false">IF(Time!AF34=1,INDEX(Funding!$J$65:$BJ$65,1,Time!$F$14),Time!AF35*(AF87-AF88))</f>
        <v>0.0371660748347486</v>
      </c>
      <c r="AG89" s="13" t="n">
        <f aca="false">IF(Time!AG34=1,INDEX(Funding!$J$65:$BJ$65,1,Time!$F$14),Time!AG35*(AG87-AG88))</f>
        <v>0.0334664753690191</v>
      </c>
      <c r="AH89" s="13" t="n">
        <f aca="false">IF(Time!AH34=1,INDEX(Funding!$J$65:$BJ$65,1,Time!$F$14),Time!AH35*(AH87-AH88))</f>
        <v>0.02958115031129</v>
      </c>
      <c r="AI89" s="13" t="n">
        <f aca="false">IF(Time!AI34=1,INDEX(Funding!$J$65:$BJ$65,1,Time!$F$14),Time!AI35*(AI87-AI88))</f>
        <v>0.025581742313401</v>
      </c>
      <c r="AJ89" s="13" t="n">
        <f aca="false">IF(Time!AJ34=1,INDEX(Funding!$J$65:$BJ$65,1,Time!$F$14),Time!AJ35*(AJ87-AJ88))</f>
        <v>0.021389252242584</v>
      </c>
      <c r="AK89" s="13" t="n">
        <f aca="false">IF(Time!AK34=1,INDEX(Funding!$J$65:$BJ$65,1,Time!$F$14),Time!AK35*(AK87-AK88))</f>
        <v>0.0170610586920949</v>
      </c>
      <c r="AL89" s="13" t="n">
        <f aca="false">IF(Time!AL34=1,INDEX(Funding!$J$65:$BJ$65,1,Time!$F$14),Time!AL35*(AL87-AL88))</f>
        <v>0.0124717073201936</v>
      </c>
      <c r="AM89" s="13" t="n">
        <f aca="false">IF(Time!AM34=1,INDEX(Funding!$J$65:$BJ$65,1,Time!$F$14),Time!AM35*(AM87-AM88))</f>
        <v>0.00778696643241613</v>
      </c>
      <c r="AN89" s="13" t="n">
        <f aca="false">IF(Time!AN34=1,INDEX(Funding!$J$65:$BJ$65,1,Time!$F$14),Time!AN35*(AN87-AN88))</f>
        <v>0.00392211081398116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-8.33420360298509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16.4780950177658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0.994908618605087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0.915414039310798</v>
      </c>
      <c r="Z108" s="13" t="n">
        <f aca="false">(Inputs!$F$95/100*Inputs!$F$96/100)*Z63*Time!Z25/Inputs!$F$248</f>
        <v>0.890730501065406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0.77302687973682</v>
      </c>
      <c r="AC108" s="13" t="n">
        <f aca="false">(Inputs!$F$95/100*Inputs!$F$96/100)*AC63*Time!AC25/Inputs!$F$248</f>
        <v>0.683464231951869</v>
      </c>
      <c r="AD108" s="13" t="n">
        <f aca="false">(Inputs!$F$95/100*Inputs!$F$96/100)*AD63*Time!AD25/Inputs!$F$248</f>
        <v>0.611238096278633</v>
      </c>
      <c r="AE108" s="13" t="n">
        <f aca="false">(Inputs!$F$95/100*Inputs!$F$96/100)*AE63*Time!AE25/Inputs!$F$248</f>
        <v>0.515267614091974</v>
      </c>
      <c r="AF108" s="13" t="n">
        <f aca="false">(Inputs!$F$95/100*Inputs!$F$96/100)*AF63*Time!AF25/Inputs!$F$248</f>
        <v>0.43393428742181</v>
      </c>
      <c r="AG108" s="13" t="n">
        <f aca="false">(Inputs!$F$95/100*Inputs!$F$96/100)*AG63*Time!AG25/Inputs!$F$248</f>
        <v>0.336022660976353</v>
      </c>
      <c r="AH108" s="13" t="n">
        <f aca="false">(Inputs!$F$95/100*Inputs!$F$96/100)*AH63*Time!AH25/Inputs!$F$248</f>
        <v>0.251056705038165</v>
      </c>
      <c r="AI108" s="13" t="n">
        <f aca="false">(Inputs!$F$95/100*Inputs!$F$96/100)*AI63*Time!AI25/Inputs!$F$248</f>
        <v>0.154843344371084</v>
      </c>
      <c r="AJ108" s="13" t="n">
        <f aca="false">(Inputs!$F$95/100*Inputs!$F$96/100)*AJ63*Time!AJ25/Inputs!$F$248</f>
        <v>0.0664123743379715</v>
      </c>
      <c r="AK108" s="13" t="n">
        <f aca="false">(Inputs!$F$95/100*Inputs!$F$96/100)*AK63*Time!AK25/Inputs!$F$248</f>
        <v>0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303.900561577349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21.0401202175274</v>
      </c>
      <c r="Q111" s="13" t="n">
        <f aca="false">Q23+Q37+Q51+Q65+Q79+Q92</f>
        <v>20.2555668062268</v>
      </c>
      <c r="R111" s="13" t="n">
        <f aca="false">R23+R37+R51+R65+R79+R92</f>
        <v>20.0531427825958</v>
      </c>
      <c r="S111" s="13" t="n">
        <f aca="false">S23+S37+S51+S65+S79+S92</f>
        <v>19.201377236222</v>
      </c>
      <c r="T111" s="13" t="n">
        <f aca="false">T23+T37+T51+T65+T79+T92</f>
        <v>18.937403047464</v>
      </c>
      <c r="U111" s="13" t="n">
        <f aca="false">U23+U37+U51+U65+U79+U92</f>
        <v>18.1291700107948</v>
      </c>
      <c r="V111" s="13" t="n">
        <f aca="false">V23+V37+V51+V65+V79+V92</f>
        <v>17.6999578257825</v>
      </c>
      <c r="W111" s="13" t="n">
        <f aca="false">W23+W37+W51+W65+W79+W92</f>
        <v>16.7527981661249</v>
      </c>
      <c r="X111" s="13" t="n">
        <f aca="false">X23+X37+X51+X65+X79+X92</f>
        <v>16.3405140151574</v>
      </c>
      <c r="Y111" s="13" t="n">
        <f aca="false">Y23+Y37+Y51+Y65+Y79+Y92</f>
        <v>15.9125203352426</v>
      </c>
      <c r="Z111" s="13" t="n">
        <f aca="false">Z23+Z37+Z51+Z65+Z79+Z92</f>
        <v>15.4834496771486</v>
      </c>
      <c r="AA111" s="13" t="n">
        <f aca="false">AA23+AA37+AA51+AA65+AA79+AA92</f>
        <v>14.5212500153204</v>
      </c>
      <c r="AB111" s="13" t="n">
        <f aca="false">AB23+AB37+AB51+AB65+AB79+AB92</f>
        <v>13.7380549933488</v>
      </c>
      <c r="AC111" s="13" t="n">
        <f aca="false">AC23+AC37+AC51+AC65+AC79+AC92</f>
        <v>12.5091811339585</v>
      </c>
      <c r="AD111" s="13" t="n">
        <f aca="false">AD23+AD37+AD51+AD65+AD79+AD92</f>
        <v>11.5613738181475</v>
      </c>
      <c r="AE111" s="13" t="n">
        <f aca="false">AE23+AE37+AE51+AE65+AE79+AE92</f>
        <v>10.2041536908401</v>
      </c>
      <c r="AF111" s="13" t="n">
        <f aca="false">AF23+AF37+AF51+AF65+AF79+AF92</f>
        <v>9.14517147683063</v>
      </c>
      <c r="AG111" s="13" t="n">
        <f aca="false">AG23+AG37+AG51+AG65+AG79+AG92</f>
        <v>7.93418629055345</v>
      </c>
      <c r="AH111" s="13" t="n">
        <f aca="false">AH23+AH37+AH51+AH65+AH79+AH92</f>
        <v>6.75701546935152</v>
      </c>
      <c r="AI111" s="13" t="n">
        <f aca="false">AI23+AI37+AI51+AI65+AI79+AI92</f>
        <v>5.30749733232537</v>
      </c>
      <c r="AJ111" s="13" t="n">
        <f aca="false">AJ23+AJ37+AJ51+AJ65+AJ79+AJ92</f>
        <v>4.04224642780053</v>
      </c>
      <c r="AK111" s="13" t="n">
        <f aca="false">AK23+AK37+AK51+AK65+AK79+AK92</f>
        <v>2.8516281699945</v>
      </c>
      <c r="AL111" s="13" t="n">
        <f aca="false">AL23+AL37+AL51+AL65+AL79+AL92</f>
        <v>2.29958626578843</v>
      </c>
      <c r="AM111" s="13" t="n">
        <f aca="false">AM23+AM37+AM51+AM65+AM79+AM92</f>
        <v>1.6535997254961</v>
      </c>
      <c r="AN111" s="13" t="n">
        <f aca="false">AN23+AN37+AN51+AN65+AN79+AN92</f>
        <v>1.04957150569071</v>
      </c>
      <c r="AO111" s="13" t="n">
        <f aca="false">AO23+AO37+AO51+AO65+AO79+AO92</f>
        <v>0.520025141615004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312.044452992129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21.7594966928779</v>
      </c>
      <c r="Q112" s="13" t="n">
        <f aca="false">Q111+Q107+Q108+Q109</f>
        <v>21.0149410790809</v>
      </c>
      <c r="R112" s="13" t="n">
        <f aca="false">R111+R107+R108+R109</f>
        <v>20.6873828069729</v>
      </c>
      <c r="S112" s="13" t="n">
        <f aca="false">S111+S107+S108+S109</f>
        <v>19.8965644072878</v>
      </c>
      <c r="T112" s="13" t="n">
        <f aca="false">T111+T107+T108+T109</f>
        <v>19.5122048453551</v>
      </c>
      <c r="U112" s="13" t="n">
        <f aca="false">U111+U107+U108+U109</f>
        <v>18.7497831707378</v>
      </c>
      <c r="V112" s="13" t="n">
        <f aca="false">V111+V107+V108+V109</f>
        <v>18.23719978844</v>
      </c>
      <c r="W112" s="13" t="n">
        <f aca="false">W111+W107+W108+W109</f>
        <v>17.3593343651312</v>
      </c>
      <c r="X112" s="13" t="n">
        <f aca="false">X111+X107+X108+X109</f>
        <v>16.83649315289</v>
      </c>
      <c r="Y112" s="13" t="n">
        <f aca="false">Y111+Y107+Y108+Y109</f>
        <v>16.4705934502378</v>
      </c>
      <c r="Z112" s="13" t="n">
        <f aca="false">Z111+Z107+Z108+Z109</f>
        <v>15.9386978198437</v>
      </c>
      <c r="AA112" s="13" t="n">
        <f aca="false">AA111+AA107+AA108+AA109</f>
        <v>15.0305294417684</v>
      </c>
      <c r="AB112" s="13" t="n">
        <f aca="false">AB111+AB107+AB108+AB109</f>
        <v>14.1167779548392</v>
      </c>
      <c r="AC112" s="13" t="n">
        <f aca="false">AC111+AC107+AC108+AC109</f>
        <v>12.8735007062223</v>
      </c>
      <c r="AD112" s="13" t="n">
        <f aca="false">AD111+AD107+AD108+AD109</f>
        <v>11.8227991565966</v>
      </c>
      <c r="AE112" s="13" t="n">
        <f aca="false">AE111+AE107+AE108+AE109</f>
        <v>10.4640606724586</v>
      </c>
      <c r="AF112" s="13" t="n">
        <f aca="false">AF111+AF107+AF108+AF109</f>
        <v>9.27972673570623</v>
      </c>
      <c r="AG112" s="13" t="n">
        <f aca="false">AG111+AG107+AG108+AG109</f>
        <v>8.05600275211913</v>
      </c>
      <c r="AH112" s="13" t="n">
        <f aca="false">AH111+AH107+AH108+AH109</f>
        <v>6.76249182271115</v>
      </c>
      <c r="AI112" s="13" t="n">
        <f aca="false">AI111+AI107+AI108+AI109</f>
        <v>5.29185009326651</v>
      </c>
      <c r="AJ112" s="13" t="n">
        <f aca="false">AJ111+AJ107+AJ108+AJ109</f>
        <v>3.92093741216236</v>
      </c>
      <c r="AK112" s="13" t="n">
        <f aca="false">AK111+AK107+AK108+AK109</f>
        <v>2.7171248887355</v>
      </c>
      <c r="AL112" s="13" t="n">
        <f aca="false">AL111+AL107+AL108+AL109</f>
        <v>2.17439050652746</v>
      </c>
      <c r="AM112" s="13" t="n">
        <f aca="false">AM111+AM107+AM108+AM109</f>
        <v>1.58171919904559</v>
      </c>
      <c r="AN112" s="13" t="n">
        <f aca="false">AN111+AN107+AN108+AN109</f>
        <v>0.992429965271668</v>
      </c>
      <c r="AO112" s="13" t="n">
        <f aca="false">AO111+AO107+AO108+AO109</f>
        <v>0.497420105843378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536.915510531373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15.4917609293512</v>
      </c>
      <c r="Q113" s="13" t="n">
        <f aca="false">Q27+Q41+Q55+Q69+Q83+Q93</f>
        <v>16.1473990538964</v>
      </c>
      <c r="R113" s="13" t="n">
        <f aca="false">R27+R41+R55+R69+R83+R93</f>
        <v>16.9427991249914</v>
      </c>
      <c r="S113" s="13" t="n">
        <f aca="false">S27+S41+S55+S69+S83+S93</f>
        <v>17.4420760056041</v>
      </c>
      <c r="T113" s="13" t="n">
        <f aca="false">T27+T41+T55+T69+T83+T93</f>
        <v>18.2444052515128</v>
      </c>
      <c r="U113" s="13" t="n">
        <f aca="false">U27+U41+U55+U69+U83+U93</f>
        <v>18.8262514527444</v>
      </c>
      <c r="V113" s="13" t="n">
        <f aca="false">V27+V41+V55+V69+V83+V93</f>
        <v>20.0561571589789</v>
      </c>
      <c r="W113" s="13" t="n">
        <f aca="false">W27+W41+W55+W69+W83+W93</f>
        <v>20.6692615742474</v>
      </c>
      <c r="X113" s="13" t="n">
        <f aca="false">X27+X41+X55+X69+X83+X93</f>
        <v>20.0955297232368</v>
      </c>
      <c r="Y113" s="13" t="n">
        <f aca="false">Y27+Y41+Y55+Y69+Y83+Y93</f>
        <v>20.1049856642003</v>
      </c>
      <c r="Z113" s="13" t="n">
        <f aca="false">Z27+Z41+Z55+Z69+Z83+Z93</f>
        <v>20.9378941040306</v>
      </c>
      <c r="AA113" s="13" t="n">
        <f aca="false">AA27+AA41+AA55+AA69+AA83+AA93</f>
        <v>21.5489143480537</v>
      </c>
      <c r="AB113" s="13" t="n">
        <f aca="false">AB27+AB41+AB55+AB69+AB83+AB93</f>
        <v>22.2223012972771</v>
      </c>
      <c r="AC113" s="13" t="n">
        <f aca="false">AC27+AC41+AC55+AC69+AC83+AC93</f>
        <v>22.5029776153621</v>
      </c>
      <c r="AD113" s="13" t="n">
        <f aca="false">AD27+AD41+AD55+AD69+AD83+AD93</f>
        <v>24.0604691126355</v>
      </c>
      <c r="AE113" s="13" t="n">
        <f aca="false">AE27+AE41+AE55+AE69+AE83+AE93</f>
        <v>24.4222907622173</v>
      </c>
      <c r="AF113" s="13" t="n">
        <f aca="false">AF27+AF41+AF55+AF69+AF83+AF93</f>
        <v>24.4534154845619</v>
      </c>
      <c r="AG113" s="13" t="n">
        <f aca="false">AG27+AG41+AG55+AG69+AG83+AG93</f>
        <v>23.8850260217146</v>
      </c>
      <c r="AH113" s="13" t="n">
        <f aca="false">AH27+AH41+AH55+AH69+AH83+AH93</f>
        <v>23.826179042538</v>
      </c>
      <c r="AI113" s="13" t="n">
        <f aca="false">AI27+AI41+AI55+AI69+AI83+AI93</f>
        <v>22.8543908747779</v>
      </c>
      <c r="AJ113" s="13" t="n">
        <f aca="false">AJ27+AJ41+AJ55+AJ69+AJ83+AJ93</f>
        <v>21.7679419230632</v>
      </c>
      <c r="AK113" s="13" t="n">
        <f aca="false">AK27+AK41+AK55+AK69+AK83+AK93</f>
        <v>20.3189554105056</v>
      </c>
      <c r="AL113" s="13" t="n">
        <f aca="false">AL27+AL41+AL55+AL69+AL83+AL93</f>
        <v>21.5449759353457</v>
      </c>
      <c r="AM113" s="13" t="n">
        <f aca="false">AM27+AM41+AM55+AM69+AM83+AM93</f>
        <v>21.9927875447635</v>
      </c>
      <c r="AN113" s="13" t="n">
        <f aca="false">AN27+AN41+AN55+AN69+AN83+AN93</f>
        <v>18.1437886413717</v>
      </c>
      <c r="AO113" s="13" t="n">
        <f aca="false">AO27+AO41+AO55+AO69+AO83+AO93</f>
        <v>18.4125764743907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848.959963523502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37.251257622229</v>
      </c>
      <c r="Q114" s="13" t="n">
        <f aca="false">Q112+Q113</f>
        <v>37.1623401329773</v>
      </c>
      <c r="R114" s="13" t="n">
        <f aca="false">R112+R113</f>
        <v>37.6301819319643</v>
      </c>
      <c r="S114" s="13" t="n">
        <f aca="false">S112+S113</f>
        <v>37.3386404128919</v>
      </c>
      <c r="T114" s="13" t="n">
        <f aca="false">T112+T113</f>
        <v>37.7566100968678</v>
      </c>
      <c r="U114" s="13" t="n">
        <f aca="false">U112+U113</f>
        <v>37.5760346234822</v>
      </c>
      <c r="V114" s="13" t="n">
        <f aca="false">V112+V113</f>
        <v>38.2933569474188</v>
      </c>
      <c r="W114" s="13" t="n">
        <f aca="false">W112+W113</f>
        <v>38.0285959393786</v>
      </c>
      <c r="X114" s="13" t="n">
        <f aca="false">X112+X113</f>
        <v>36.9320228761269</v>
      </c>
      <c r="Y114" s="13" t="n">
        <f aca="false">Y112+Y113</f>
        <v>36.5755791144381</v>
      </c>
      <c r="Z114" s="13" t="n">
        <f aca="false">Z112+Z113</f>
        <v>36.8765919238743</v>
      </c>
      <c r="AA114" s="13" t="n">
        <f aca="false">AA112+AA113</f>
        <v>36.5794437898221</v>
      </c>
      <c r="AB114" s="13" t="n">
        <f aca="false">AB112+AB113</f>
        <v>36.3390792521163</v>
      </c>
      <c r="AC114" s="13" t="n">
        <f aca="false">AC112+AC113</f>
        <v>35.3764783215845</v>
      </c>
      <c r="AD114" s="13" t="n">
        <f aca="false">AD112+AD113</f>
        <v>35.883268269232</v>
      </c>
      <c r="AE114" s="13" t="n">
        <f aca="false">AE112+AE113</f>
        <v>34.8863514346759</v>
      </c>
      <c r="AF114" s="13" t="n">
        <f aca="false">AF112+AF113</f>
        <v>33.7331422202681</v>
      </c>
      <c r="AG114" s="13" t="n">
        <f aca="false">AG112+AG113</f>
        <v>31.9410287738337</v>
      </c>
      <c r="AH114" s="13" t="n">
        <f aca="false">AH112+AH113</f>
        <v>30.5886708652492</v>
      </c>
      <c r="AI114" s="13" t="n">
        <f aca="false">AI112+AI113</f>
        <v>28.1462409680444</v>
      </c>
      <c r="AJ114" s="13" t="n">
        <f aca="false">AJ112+AJ113</f>
        <v>25.6888793352256</v>
      </c>
      <c r="AK114" s="13" t="n">
        <f aca="false">AK112+AK113</f>
        <v>23.0360802992411</v>
      </c>
      <c r="AL114" s="13" t="n">
        <f aca="false">AL112+AL113</f>
        <v>23.7193664418732</v>
      </c>
      <c r="AM114" s="13" t="n">
        <f aca="false">AM112+AM113</f>
        <v>23.5745067438091</v>
      </c>
      <c r="AN114" s="13" t="n">
        <f aca="false">AN112+AN113</f>
        <v>19.1362186066434</v>
      </c>
      <c r="AO114" s="13" t="n">
        <f aca="false">AO112+AO113</f>
        <v>18.9099965802341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633.339626093086</v>
      </c>
      <c r="Q115" s="13" t="n">
        <f aca="false">Q21+Q35+Q49+Q63+Q77+Q91</f>
        <v>617.847865163735</v>
      </c>
      <c r="R115" s="13" t="n">
        <f aca="false">R21+R35+R49+R63+R77+R91</f>
        <v>601.700466109838</v>
      </c>
      <c r="S115" s="13" t="n">
        <f aca="false">S21+S35+S49+S63+S77+S91</f>
        <v>584.757666984847</v>
      </c>
      <c r="T115" s="13" t="n">
        <f aca="false">T21+T35+T49+T63+T77+T91</f>
        <v>567.315590979243</v>
      </c>
      <c r="U115" s="13" t="n">
        <f aca="false">U21+U35+U49+U63+U77+U91</f>
        <v>549.07118572773</v>
      </c>
      <c r="V115" s="13" t="n">
        <f aca="false">V21+V35+V49+V63+V77+V91</f>
        <v>530.244934274986</v>
      </c>
      <c r="W115" s="13" t="n">
        <f aca="false">W21+W35+W49+W63+W77+W91</f>
        <v>510.188777116007</v>
      </c>
      <c r="X115" s="13" t="n">
        <f aca="false">X21+X35+X49+X63+X77+X91</f>
        <v>489.519515541759</v>
      </c>
      <c r="Y115" s="13" t="n">
        <f aca="false">Y21+Y35+Y49+Y63+Y77+Y91</f>
        <v>469.423985818522</v>
      </c>
      <c r="Z115" s="13" t="n">
        <f aca="false">Z21+Z35+Z49+Z63+Z77+Z91</f>
        <v>449.319000154322</v>
      </c>
      <c r="AA115" s="13" t="n">
        <f aca="false">AA21+AA35+AA49+AA63+AA77+AA91</f>
        <v>428.381106050292</v>
      </c>
      <c r="AB115" s="13" t="n">
        <f aca="false">AB21+AB35+AB49+AB63+AB77+AB91</f>
        <v>400.415803815071</v>
      </c>
      <c r="AC115" s="13" t="n">
        <f aca="false">AC21+AC35+AC49+AC63+AC77+AC91</f>
        <v>370.68985119315</v>
      </c>
      <c r="AD115" s="13" t="n">
        <f aca="false">AD21+AD35+AD49+AD63+AD77+AD91</f>
        <v>340.943866337528</v>
      </c>
      <c r="AE115" s="13" t="n">
        <f aca="false">AE21+AE35+AE49+AE63+AE77+AE91</f>
        <v>308.393763608107</v>
      </c>
      <c r="AF115" s="13" t="n">
        <f aca="false">AF21+AF35+AF49+AF63+AF77+AF91</f>
        <v>274.696531974023</v>
      </c>
      <c r="AG115" s="13" t="n">
        <f aca="false">AG21+AG35+AG49+AG63+AG77+AG91</f>
        <v>239.94831677756</v>
      </c>
      <c r="AH115" s="13" t="n">
        <f aca="false">AH21+AH35+AH49+AH63+AH77+AH91</f>
        <v>205.228191262581</v>
      </c>
      <c r="AI115" s="13" t="n">
        <f aca="false">AI21+AI35+AI49+AI63+AI77+AI91</f>
        <v>169.039810916173</v>
      </c>
      <c r="AJ115" s="13" t="n">
        <f aca="false">AJ21+AJ35+AJ49+AJ63+AJ77+AJ91</f>
        <v>132.823661252074</v>
      </c>
      <c r="AK115" s="13" t="n">
        <f aca="false">AK21+AK35+AK49+AK63+AK77+AK91</f>
        <v>100.413084006377</v>
      </c>
      <c r="AL115" s="13" t="n">
        <f aca="false">AL21+AL35+AL49+AL63+AL77+AL91</f>
        <v>80.0941285958716</v>
      </c>
      <c r="AM115" s="13" t="n">
        <f aca="false">AM21+AM35+AM49+AM63+AM77+AM91</f>
        <v>58.5491526605259</v>
      </c>
      <c r="AN115" s="13" t="n">
        <f aca="false">AN21+AN35+AN49+AN63+AN77+AN91</f>
        <v>36.5563651157624</v>
      </c>
      <c r="AO115" s="13" t="n">
        <f aca="false">AO21+AO35+AO49+AO63+AO77+AO91</f>
        <v>18.4125764743907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633.339626093086</v>
      </c>
      <c r="P116" s="13" t="n">
        <f aca="false">P33+P47+P61+P75+P89+P95</f>
        <v>617.847865163735</v>
      </c>
      <c r="Q116" s="13" t="n">
        <f aca="false">Q33+Q47+Q61+Q75+Q89+Q95</f>
        <v>601.700466109838</v>
      </c>
      <c r="R116" s="13" t="n">
        <f aca="false">R33+R47+R61+R75+R89+R95</f>
        <v>584.757666984847</v>
      </c>
      <c r="S116" s="13" t="n">
        <f aca="false">S33+S47+S61+S75+S89+S95</f>
        <v>567.315590979243</v>
      </c>
      <c r="T116" s="13" t="n">
        <f aca="false">T33+T47+T61+T75+T89+T95</f>
        <v>549.07118572773</v>
      </c>
      <c r="U116" s="13" t="n">
        <f aca="false">U33+U47+U61+U75+U89+U95</f>
        <v>530.244934274986</v>
      </c>
      <c r="V116" s="13" t="n">
        <f aca="false">V33+V47+V61+V75+V89+V95</f>
        <v>510.188777116007</v>
      </c>
      <c r="W116" s="13" t="n">
        <f aca="false">W33+W47+W61+W75+W89+W95</f>
        <v>489.519515541759</v>
      </c>
      <c r="X116" s="13" t="n">
        <f aca="false">X33+X47+X61+X75+X89+X95</f>
        <v>469.423985818522</v>
      </c>
      <c r="Y116" s="13" t="n">
        <f aca="false">Y33+Y47+Y61+Y75+Y89+Y95</f>
        <v>449.319000154322</v>
      </c>
      <c r="Z116" s="13" t="n">
        <f aca="false">Z33+Z47+Z61+Z75+Z89+Z95</f>
        <v>428.381106050292</v>
      </c>
      <c r="AA116" s="13" t="n">
        <f aca="false">AA33+AA47+AA61+AA75+AA89+AA95</f>
        <v>400.415803815071</v>
      </c>
      <c r="AB116" s="13" t="n">
        <f aca="false">AB33+AB47+AB61+AB75+AB89+AB95</f>
        <v>370.68985119315</v>
      </c>
      <c r="AC116" s="13" t="n">
        <f aca="false">AC33+AC47+AC61+AC75+AC89+AC95</f>
        <v>340.943866337528</v>
      </c>
      <c r="AD116" s="13" t="n">
        <f aca="false">AD33+AD47+AD61+AD75+AD89+AD95</f>
        <v>308.393763608107</v>
      </c>
      <c r="AE116" s="13" t="n">
        <f aca="false">AE33+AE47+AE61+AE75+AE89+AE95</f>
        <v>274.696531974023</v>
      </c>
      <c r="AF116" s="13" t="n">
        <f aca="false">AF33+AF47+AF61+AF75+AF89+AF95</f>
        <v>239.94831677756</v>
      </c>
      <c r="AG116" s="13" t="n">
        <f aca="false">AG33+AG47+AG61+AG75+AG89+AG95</f>
        <v>205.228191262581</v>
      </c>
      <c r="AH116" s="13" t="n">
        <f aca="false">AH33+AH47+AH61+AH75+AH89+AH95</f>
        <v>169.039810916173</v>
      </c>
      <c r="AI116" s="13" t="n">
        <f aca="false">AI33+AI47+AI61+AI75+AI89+AI95</f>
        <v>132.823661252074</v>
      </c>
      <c r="AJ116" s="13" t="n">
        <f aca="false">AJ33+AJ47+AJ61+AJ75+AJ89+AJ95</f>
        <v>100.413084006377</v>
      </c>
      <c r="AK116" s="13" t="n">
        <f aca="false">AK33+AK47+AK61+AK75+AK89+AK95</f>
        <v>80.0941285958716</v>
      </c>
      <c r="AL116" s="13" t="n">
        <f aca="false">AL33+AL47+AL61+AL75+AL89+AL95</f>
        <v>58.5491526605259</v>
      </c>
      <c r="AM116" s="13" t="n">
        <f aca="false">AM33+AM47+AM61+AM75+AM89+AM95</f>
        <v>36.5563651157624</v>
      </c>
      <c r="AN116" s="13" t="n">
        <f aca="false">AN33+AN47+AN61+AN75+AN89+AN95</f>
        <v>18.4125764743907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234.751179081971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139.936865033</v>
      </c>
      <c r="AC118" s="13" t="n">
        <f aca="false">IF(Time!AC34=1,AC75,AC73)</f>
        <v>124.393766083834</v>
      </c>
      <c r="AD118" s="13" t="n">
        <f aca="false">IF(Time!AD34=1,AD75,AD73)</f>
        <v>108.883409015707</v>
      </c>
      <c r="AE118" s="13" t="n">
        <f aca="false">IF(Time!AE34=1,AE75,AE73)</f>
        <v>92.4434007064399</v>
      </c>
      <c r="AF118" s="13" t="n">
        <f aca="false">IF(Time!AF34=1,AF75,AF73)</f>
        <v>75.7648246705942</v>
      </c>
      <c r="AG118" s="13" t="n">
        <f aca="false">IF(Time!AG34=1,AG75,AG73)</f>
        <v>58.9529829940678</v>
      </c>
      <c r="AH118" s="13" t="n">
        <f aca="false">IF(Time!AH34=1,AH75,AH73)</f>
        <v>42.5315880684607</v>
      </c>
      <c r="AI118" s="13" t="n">
        <f aca="false">IF(Time!AI34=1,AI75,AI73)</f>
        <v>26.0904484728752</v>
      </c>
      <c r="AJ118" s="13" t="n">
        <f aca="false">IF(Time!AJ34=1,AJ75,AJ73)</f>
        <v>10.6426353226334</v>
      </c>
      <c r="AK118" s="13" t="n">
        <f aca="false">IF(Time!AK34=1,AK75,AK73)</f>
        <v>0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8.99939649593107</v>
      </c>
      <c r="Q119" s="13" t="n">
        <f aca="false">IF(AND(Time!Q20&gt;=Time!$F$12,Time!R20&gt;0),(IF(Time!Q34=1,Q33,Q31)-Q30)*R19+IF(Time!R46&gt;0,Time!R45*Q30/Time!R46,0)+IF(Time!Q34=1,Q33,Q31)*R10,0)</f>
        <v>9.19645384408426</v>
      </c>
      <c r="R119" s="13" t="n">
        <f aca="false">IF(AND(Time!R20&gt;=Time!$F$12,Time!S20&gt;0),(IF(Time!R34=1,R33,R31)-R30)*S19+IF(Time!S46&gt;0,Time!S45*R30/Time!S46,0)+IF(Time!R34=1,R33,R31)*S10,0)</f>
        <v>9.17399333453588</v>
      </c>
      <c r="S119" s="13" t="n">
        <f aca="false">IF(AND(Time!S20&gt;=Time!$F$12,Time!T20&gt;0),(IF(Time!S34=1,S33,S31)-S30)*T19+IF(Time!T46&gt;0,Time!T45*S30/Time!T46,0)+IF(Time!S34=1,S33,S31)*T10,0)</f>
        <v>9.3604661563469</v>
      </c>
      <c r="T119" s="13" t="n">
        <f aca="false">IF(AND(Time!T20&gt;=Time!$F$12,Time!U20&gt;0),(IF(Time!T34=1,T33,T31)-T30)*U19+IF(Time!U46&gt;0,Time!U45*T30/Time!U46,0)+IF(Time!T34=1,T33,T31)*U10,0)</f>
        <v>9.36906592379133</v>
      </c>
      <c r="U119" s="13" t="n">
        <f aca="false">IF(AND(Time!U20&gt;=Time!$F$12,Time!V20&gt;0),(IF(Time!U34=1,U33,U31)-U30)*V19+IF(Time!V46&gt;0,Time!V45*U30/Time!V46,0)+IF(Time!U34=1,U33,U31)*V10,0)</f>
        <v>9.64987121829886</v>
      </c>
      <c r="V119" s="13" t="n">
        <f aca="false">IF(AND(Time!V20&gt;=Time!$F$12,Time!W20&gt;0),(IF(Time!V34=1,V33,V31)-V30)*W19+IF(Time!W46&gt;0,Time!W45*V30/Time!W46,0)+IF(Time!V34=1,V33,V31)*W10,0)</f>
        <v>9.63932543892382</v>
      </c>
      <c r="W119" s="13" t="n">
        <f aca="false">IF(AND(Time!W20&gt;=Time!$F$12,Time!X20&gt;0),(IF(Time!W34=1,W33,W31)-W30)*X19+IF(Time!X46&gt;0,Time!X45*W30/Time!X46,0)+IF(Time!W34=1,W33,W31)*X10,0)</f>
        <v>9.38258627483752</v>
      </c>
      <c r="X119" s="13" t="n">
        <f aca="false">IF(AND(Time!X20&gt;=Time!$F$12,Time!Y20&gt;0),(IF(Time!X34=1,X33,X31)-X30)*Y19+IF(Time!Y46&gt;0,Time!Y45*X30/Time!Y46,0)+IF(Time!X34=1,X33,X31)*Y10,0)</f>
        <v>9.19525491170283</v>
      </c>
      <c r="Y119" s="13" t="n">
        <f aca="false">IF(AND(Time!Y20&gt;=Time!$F$12,Time!Z20&gt;0),(IF(Time!Y34=1,Y33,Y31)-Y30)*Z19+IF(Time!Z46&gt;0,Time!Z45*Y30/Time!Z46,0)+IF(Time!Y34=1,Y33,Y31)*Z10,0)</f>
        <v>9.35976427130441</v>
      </c>
      <c r="Z119" s="13" t="n">
        <f aca="false">IF(AND(Time!Z20&gt;=Time!$F$12,Time!AA20&gt;0),(IF(Time!Z34=1,Z33,Z31)-Z30)*AA19+IF(Time!AA46&gt;0,Time!AA45*Z30/Time!AA46,0)+IF(Time!Z34=1,Z33,Z31)*AA10,0)</f>
        <v>9.35169149610212</v>
      </c>
      <c r="AA119" s="13" t="n">
        <f aca="false">IF(AND(Time!AA20&gt;=Time!$F$12,Time!AB20&gt;0),(IF(Time!AA34=1,AA33,AA31)-AA30)*AB19+IF(Time!AB46&gt;0,Time!AB45*AA30/Time!AB46,0)+IF(Time!AA34=1,AA33,AA31)*AB10,0)</f>
        <v>9.56068443216145</v>
      </c>
      <c r="AB119" s="13" t="n">
        <f aca="false">IF(AND(Time!AB20&gt;=Time!$F$12,Time!AC20&gt;0),(IF(Time!AB34=1,AB33,AB31)-AB30)*AC19+IF(Time!AC46&gt;0,Time!AC45*AB30/Time!AC46,0)+IF(Time!AB34=1,AB33,AB31)*AC10,0)</f>
        <v>9.6016960095392</v>
      </c>
      <c r="AC119" s="13" t="n">
        <f aca="false">IF(AND(Time!AC20&gt;=Time!$F$12,Time!AD20&gt;0),(IF(Time!AC34=1,AC33,AC31)-AC30)*AD19+IF(Time!AD46&gt;0,Time!AD45*AC30/Time!AD46,0)+IF(Time!AC34=1,AC33,AC31)*AD10,0)</f>
        <v>10.1136738206983</v>
      </c>
      <c r="AD119" s="13" t="n">
        <f aca="false">IF(AND(Time!AD20&gt;=Time!$F$12,Time!AE20&gt;0),(IF(Time!AD34=1,AD33,AD31)-AD30)*AE19+IF(Time!AE46&gt;0,Time!AE45*AD30/Time!AE46,0)+IF(Time!AD34=1,AD33,AD31)*AE10,0)</f>
        <v>10.2300183829306</v>
      </c>
      <c r="AE119" s="13" t="n">
        <f aca="false">IF(AND(Time!AE20&gt;=Time!$F$12,Time!AF20&gt;0),(IF(Time!AE34=1,AE33,AE31)-AE30)*AF19+IF(Time!AF46&gt;0,Time!AF45*AE30/Time!AF46,0)+IF(Time!AE34=1,AE33,AE31)*AF10,0)</f>
        <v>10.36499730394</v>
      </c>
      <c r="AF119" s="13" t="n">
        <f aca="false">IF(AND(Time!AF20&gt;=Time!$F$12,Time!AG20&gt;0),(IF(Time!AF34=1,AF33,AF31)-AF30)*AG19+IF(Time!AG46&gt;0,Time!AG45*AF30/Time!AG46,0)+IF(Time!AF34=1,AF33,AF31)*AG10,0)</f>
        <v>10.299050027959</v>
      </c>
      <c r="AG119" s="13" t="n">
        <f aca="false">IF(AND(Time!AG20&gt;=Time!$F$12,Time!AH20&gt;0),(IF(Time!AG34=1,AG33,AG31)-AG30)*AH19+IF(Time!AH46&gt;0,Time!AH45*AG30/Time!AH46,0)+IF(Time!AG34=1,AG33,AG31)*AH10,0)</f>
        <v>10.5603292834166</v>
      </c>
      <c r="AH119" s="13" t="n">
        <f aca="false">IF(AND(Time!AH20&gt;=Time!$F$12,Time!AI20&gt;0),(IF(Time!AH34=1,AH33,AH31)-AH30)*AI19+IF(Time!AI46&gt;0,Time!AI45*AH30/Time!AI46,0)+IF(Time!AH34=1,AH33,AH31)*AI10,0)</f>
        <v>10.5927993971689</v>
      </c>
      <c r="AI119" s="13" t="n">
        <f aca="false">IF(AND(Time!AI20&gt;=Time!$F$12,Time!AJ20&gt;0),(IF(Time!AI34=1,AI33,AI31)-AI30)*AJ19+IF(Time!AJ46&gt;0,Time!AJ45*AI30/Time!AJ46,0)+IF(Time!AI34=1,AI33,AI31)*AJ10,0)</f>
        <v>10.8488130959523</v>
      </c>
      <c r="AJ119" s="13" t="n">
        <f aca="false">IF(AND(Time!AJ20&gt;=Time!$F$12,Time!AK20&gt;0),(IF(Time!AJ34=1,AJ33,AJ31)-AJ30)*AK19+IF(Time!AK46&gt;0,Time!AK45*AJ30/Time!AK46,0)+IF(Time!AJ34=1,AJ33,AJ31)*AK10,0)</f>
        <v>10.9274091285036</v>
      </c>
      <c r="AK119" s="13" t="n">
        <f aca="false">IF(AND(Time!AK20&gt;=Time!$F$12,Time!AL20&gt;0),(IF(Time!AK34=1,AK33,AK31)-AK30)*AL19+IF(Time!AL46&gt;0,Time!AL45*AK30/Time!AL46,0)+IF(Time!AK34=1,AK33,AK31)*AL10,0)</f>
        <v>11.3080067678903</v>
      </c>
      <c r="AL119" s="13" t="n">
        <f aca="false">IF(AND(Time!AL20&gt;=Time!$F$12,Time!AM20&gt;0),(IF(Time!AL34=1,AL33,AL31)-AL30)*AM19+IF(Time!AM46&gt;0,Time!AM45*AL30/Time!AM46,0)+IF(Time!AL34=1,AL33,AL31)*AM10,0)</f>
        <v>11.2759673843862</v>
      </c>
      <c r="AM119" s="13" t="n">
        <f aca="false">IF(AND(Time!AM20&gt;=Time!$F$12,Time!AN20&gt;0),(IF(Time!AM34=1,AM33,AM31)-AM30)*AN19+IF(Time!AN46&gt;0,Time!AN45*AM30/Time!AN46,0)+IF(Time!AM34=1,AM33,AM31)*AN10,0)</f>
        <v>9.18142111348627</v>
      </c>
      <c r="AN119" s="13" t="n">
        <f aca="false">IF(AND(Time!AN20&gt;=Time!$F$12,Time!AO20&gt;0),(IF(Time!AN34=1,AN33,AN31)-AN30)*AO19+IF(Time!AO46&gt;0,Time!AO45*AN30/Time!AO46,0)+IF(Time!AN34=1,AN33,AN31)*AO10,0)</f>
        <v>9.10760009509006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8.17118911802499</v>
      </c>
      <c r="Q120" s="13" t="n">
        <f aca="false">IF(AND(Time!Q20&gt;=Time!$F$12,Time!R20&gt;0),(IF(Time!Q34=1,Q47,Q45)-Q44)*R19+IF(Time!R46&gt;0,Time!R45*Q44/Time!R46,0)+IF(Time!Q34=1,Q47,Q45)*R11,0)</f>
        <v>8.29999173743335</v>
      </c>
      <c r="R120" s="13" t="n">
        <f aca="false">IF(AND(Time!R20&gt;=Time!$F$12,Time!S20&gt;0),(IF(Time!R34=1,R47,R45)-R44)*S19+IF(Time!S46&gt;0,Time!S45*R44/Time!S46,0)+IF(Time!R34=1,R47,R45)*S11,0)</f>
        <v>8.21505461596174</v>
      </c>
      <c r="S120" s="13" t="n">
        <f aca="false">IF(AND(Time!S20&gt;=Time!$F$12,Time!T20&gt;0),(IF(Time!S34=1,S47,S45)-S44)*T19+IF(Time!T46&gt;0,Time!T45*S44/Time!T46,0)+IF(Time!S34=1,S47,S45)*T11,0)</f>
        <v>8.33135225025717</v>
      </c>
      <c r="T120" s="13" t="n">
        <f aca="false">IF(AND(Time!T20&gt;=Time!$F$12,Time!U20&gt;0),(IF(Time!T34=1,T47,T45)-T44)*U19+IF(Time!U46&gt;0,Time!U45*T44/Time!U46,0)+IF(Time!T34=1,T47,T45)*U11,0)</f>
        <v>8.27504792961588</v>
      </c>
      <c r="U120" s="13" t="n">
        <f aca="false">IF(AND(Time!U20&gt;=Time!$F$12,Time!V20&gt;0),(IF(Time!U34=1,U47,U45)-U44)*V19+IF(Time!V46&gt;0,Time!V45*U44/Time!V46,0)+IF(Time!U34=1,U47,U45)*V11,0)</f>
        <v>8.44772233561765</v>
      </c>
      <c r="V120" s="13" t="n">
        <f aca="false">IF(AND(Time!V20&gt;=Time!$F$12,Time!W20&gt;0),(IF(Time!V34=1,V47,V45)-V44)*W19+IF(Time!W46&gt;0,Time!W45*V44/Time!W46,0)+IF(Time!V34=1,V47,V45)*W11,0)</f>
        <v>8.36661581690652</v>
      </c>
      <c r="W120" s="13" t="n">
        <f aca="false">IF(AND(Time!W20&gt;=Time!$F$12,Time!X20&gt;0),(IF(Time!W34=1,W47,W45)-W44)*X19+IF(Time!X46&gt;0,Time!X45*W44/Time!X46,0)+IF(Time!W34=1,W47,W45)*X11,0)</f>
        <v>8.14640230530833</v>
      </c>
      <c r="X120" s="13" t="n">
        <f aca="false">IF(AND(Time!X20&gt;=Time!$F$12,Time!Y20&gt;0),(IF(Time!X34=1,X47,X45)-X44)*Y19+IF(Time!Y46&gt;0,Time!Y45*X44/Time!Y46,0)+IF(Time!X34=1,X47,X45)*Y11,0)</f>
        <v>7.93726990075649</v>
      </c>
      <c r="Y120" s="13" t="n">
        <f aca="false">IF(AND(Time!Y20&gt;=Time!$F$12,Time!Z20&gt;0),(IF(Time!Y34=1,Y47,Y45)-Y44)*Z19+IF(Time!Z46&gt;0,Time!Z45*Y44/Time!Z46,0)+IF(Time!Y34=1,Y47,Y45)*Z11,0)</f>
        <v>8.02571243501167</v>
      </c>
      <c r="Z120" s="13" t="n">
        <f aca="false">IF(AND(Time!Z20&gt;=Time!$F$12,Time!AA20&gt;0),(IF(Time!Z34=1,Z47,Z45)-Z44)*AA19+IF(Time!AA46&gt;0,Time!AA45*Z44/Time!AA46,0)+IF(Time!Z34=1,Z47,Z45)*AA11,0)</f>
        <v>7.94758848738431</v>
      </c>
      <c r="AA120" s="13" t="n">
        <f aca="false">IF(AND(Time!AA20&gt;=Time!$F$12,Time!AB20&gt;0),(IF(Time!AA34=1,AA47,AA45)-AA44)*AB19+IF(Time!AB46&gt;0,Time!AB45*AA44/Time!AB46,0)+IF(Time!AA34=1,AA47,AA45)*AB11,0)</f>
        <v>8.06318807096611</v>
      </c>
      <c r="AB120" s="13" t="n">
        <f aca="false">IF(AND(Time!AB20&gt;=Time!$F$12,Time!AC20&gt;0),(IF(Time!AB34=1,AB47,AB45)-AB44)*AC19+IF(Time!AC46&gt;0,Time!AC45*AB44/Time!AC46,0)+IF(Time!AB34=1,AB47,AB45)*AC11,0)</f>
        <v>8.02407781007827</v>
      </c>
      <c r="AC120" s="13" t="n">
        <f aca="false">IF(AND(Time!AC20&gt;=Time!$F$12,Time!AD20&gt;0),(IF(Time!AC34=1,AC47,AC45)-AC44)*AD19+IF(Time!AD46&gt;0,Time!AD45*AC44/Time!AD46,0)+IF(Time!AC34=1,AC47,AC45)*AD11,0)</f>
        <v>8.35000932973171</v>
      </c>
      <c r="AD120" s="13" t="n">
        <f aca="false">IF(AND(Time!AD20&gt;=Time!$F$12,Time!AE20&gt;0),(IF(Time!AD34=1,AD47,AD45)-AD44)*AE19+IF(Time!AE46&gt;0,Time!AE45*AD44/Time!AE46,0)+IF(Time!AD34=1,AD47,AD45)*AE11,0)</f>
        <v>8.35532123413818</v>
      </c>
      <c r="AE120" s="13" t="n">
        <f aca="false">IF(AND(Time!AE20&gt;=Time!$F$12,Time!AF20&gt;0),(IF(Time!AE34=1,AE47,AE45)-AE44)*AF19+IF(Time!AF46&gt;0,Time!AF45*AE44/Time!AF46,0)+IF(Time!AE34=1,AE47,AE45)*AF11,0)</f>
        <v>8.39975390019449</v>
      </c>
      <c r="AF120" s="13" t="n">
        <f aca="false">IF(AND(Time!AF20&gt;=Time!$F$12,Time!AG20&gt;0),(IF(Time!AF34=1,AF47,AF45)-AF44)*AG19+IF(Time!AG46&gt;0,Time!AG45*AF44/Time!AG46,0)+IF(Time!AF34=1,AF47,AF45)*AG11,0)</f>
        <v>8.26842364695457</v>
      </c>
      <c r="AG120" s="13" t="n">
        <f aca="false">IF(AND(Time!AG20&gt;=Time!$F$12,Time!AH20&gt;0),(IF(Time!AG34=1,AG47,AG45)-AG44)*AH19+IF(Time!AH46&gt;0,Time!AH45*AG44/Time!AH46,0)+IF(Time!AG34=1,AG47,AG45)*AH11,0)</f>
        <v>8.39946021245935</v>
      </c>
      <c r="AH120" s="13" t="n">
        <f aca="false">IF(AND(Time!AH20&gt;=Time!$F$12,Time!AI20&gt;0),(IF(Time!AH34=1,AH47,AH45)-AH44)*AI19+IF(Time!AI46&gt;0,Time!AI45*AH44/Time!AI46,0)+IF(Time!AH34=1,AH47,AH45)*AI11,0)</f>
        <v>8.33776066218525</v>
      </c>
      <c r="AI120" s="13" t="n">
        <f aca="false">IF(AND(Time!AI20&gt;=Time!$F$12,Time!AJ20&gt;0),(IF(Time!AI34=1,AI47,AI45)-AI44)*AJ19+IF(Time!AJ46&gt;0,Time!AJ45*AI44/Time!AJ46,0)+IF(Time!AI34=1,AI47,AI45)*AJ11,0)</f>
        <v>8.45664485774762</v>
      </c>
      <c r="AJ120" s="13" t="n">
        <f aca="false">IF(AND(Time!AJ20&gt;=Time!$F$12,Time!AK20&gt;0),(IF(Time!AJ34=1,AJ47,AJ45)-AJ44)*AK19+IF(Time!AK46&gt;0,Time!AK45*AJ44/Time!AK46,0)+IF(Time!AJ34=1,AJ47,AJ45)*AK11,0)</f>
        <v>8.42764805415071</v>
      </c>
      <c r="AK120" s="13" t="n">
        <f aca="false">IF(AND(Time!AK20&gt;=Time!$F$12,Time!AL20&gt;0),(IF(Time!AK34=1,AK47,AK45)-AK44)*AL19+IF(Time!AL46&gt;0,Time!AL45*AK44/Time!AL46,0)+IF(Time!AK34=1,AK47,AK45)*AL11,0)</f>
        <v>8.62656586347714</v>
      </c>
      <c r="AL120" s="13" t="n">
        <f aca="false">IF(AND(Time!AL20&gt;=Time!$F$12,Time!AM20&gt;0),(IF(Time!AL34=1,AL47,AL45)-AL44)*AM19+IF(Time!AM46&gt;0,Time!AM45*AL44/Time!AM46,0)+IF(Time!AL34=1,AL47,AL45)*AM11,0)</f>
        <v>8.50923721368344</v>
      </c>
      <c r="AM120" s="13" t="n">
        <f aca="false">IF(AND(Time!AM20&gt;=Time!$F$12,Time!AN20&gt;0),(IF(Time!AM34=1,AM47,AM45)-AM44)*AN19+IF(Time!AN46&gt;0,Time!AN45*AM44/Time!AN46,0)+IF(Time!AM34=1,AM47,AM45)*AN11,0)</f>
        <v>6.88549819021319</v>
      </c>
      <c r="AN120" s="13" t="n">
        <f aca="false">IF(AND(Time!AN20&gt;=Time!$F$12,Time!AO20&gt;0),(IF(Time!AN34=1,AN47,AN45)-AN44)*AO19+IF(Time!AO46&gt;0,Time!AO45*AN44/Time!AO46,0)+IF(Time!AN34=1,AN47,AN45)*AO11,0)</f>
        <v>6.75444325156705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3.63652708488905</v>
      </c>
      <c r="Q121" s="13" t="n">
        <f aca="false">IF(AND(Time!Q20&gt;=Time!$F$12,Time!R20&gt;0),(IF(Time!Q34=1,Q61,Q59)-Q58)*R19+IF(Time!R46&gt;0,Time!R45*Q58/Time!R46,0)+IF(Time!Q34=1,Q61,Q59)*R12,0)</f>
        <v>3.69584972328468</v>
      </c>
      <c r="R121" s="13" t="n">
        <f aca="false">IF(AND(Time!R20&gt;=Time!$F$12,Time!S20&gt;0),(IF(Time!R34=1,R61,R59)-R58)*S19+IF(Time!S46&gt;0,Time!S45*R58/Time!S46,0)+IF(Time!R34=1,R61,R59)*S12,0)</f>
        <v>3.66062465231617</v>
      </c>
      <c r="S121" s="13" t="n">
        <f aca="false">IF(AND(Time!S20&gt;=Time!$F$12,Time!T20&gt;0),(IF(Time!S34=1,S61,S59)-S58)*T19+IF(Time!T46&gt;0,Time!T45*S58/Time!T46,0)+IF(Time!S34=1,S61,S59)*T12,0)</f>
        <v>3.71449754447117</v>
      </c>
      <c r="T121" s="13" t="n">
        <f aca="false">IF(AND(Time!T20&gt;=Time!$F$12,Time!U20&gt;0),(IF(Time!T34=1,T61,T59)-T58)*U19+IF(Time!U46&gt;0,Time!U45*T58/Time!U46,0)+IF(Time!T34=1,T61,T59)*U12,0)</f>
        <v>3.69199809125316</v>
      </c>
      <c r="U121" s="13" t="n">
        <f aca="false">IF(AND(Time!U20&gt;=Time!$F$12,Time!V20&gt;0),(IF(Time!U34=1,U61,U59)-U58)*V19+IF(Time!V46&gt;0,Time!V45*U58/Time!V46,0)+IF(Time!U34=1,U61,U59)*V12,0)</f>
        <v>3.77212921832101</v>
      </c>
      <c r="V121" s="13" t="n">
        <f aca="false">IF(AND(Time!V20&gt;=Time!$F$12,Time!W20&gt;0),(IF(Time!V34=1,V61,V59)-V58)*W19+IF(Time!W46&gt;0,Time!W45*V58/Time!W46,0)+IF(Time!V34=1,V61,V59)*W12,0)</f>
        <v>3.738887764518</v>
      </c>
      <c r="W121" s="13" t="n">
        <f aca="false">IF(AND(Time!W20&gt;=Time!$F$12,Time!X20&gt;0),(IF(Time!W34=1,W61,W59)-W58)*X19+IF(Time!X46&gt;0,Time!X45*W58/Time!X46,0)+IF(Time!W34=1,W61,W59)*X12,0)</f>
        <v>3.64036868437463</v>
      </c>
      <c r="X121" s="13" t="n">
        <f aca="false">IF(AND(Time!X20&gt;=Time!$F$12,Time!Y20&gt;0),(IF(Time!X34=1,X61,X59)-X58)*Y19+IF(Time!Y46&gt;0,Time!Y45*X58/Time!Y46,0)+IF(Time!X34=1,X61,X59)*Y12,0)</f>
        <v>3.5488537609413</v>
      </c>
      <c r="Y121" s="13" t="n">
        <f aca="false">IF(AND(Time!Y20&gt;=Time!$F$12,Time!Z20&gt;0),(IF(Time!Y34=1,Y61,Y59)-Y58)*Z19+IF(Time!Z46&gt;0,Time!Z45*Y58/Time!Z46,0)+IF(Time!Y34=1,Y61,Y59)*Z12,0)</f>
        <v>3.59064570649138</v>
      </c>
      <c r="Z121" s="13" t="n">
        <f aca="false">IF(AND(Time!Z20&gt;=Time!$F$12,Time!AA20&gt;0),(IF(Time!Z34=1,Z61,Z59)-Z58)*AA19+IF(Time!AA46&gt;0,Time!AA45*Z58/Time!AA46,0)+IF(Time!Z34=1,Z61,Z59)*AA12,0)</f>
        <v>3.55870220818641</v>
      </c>
      <c r="AA121" s="13" t="n">
        <f aca="false">IF(AND(Time!AA20&gt;=Time!$F$12,Time!AB20&gt;0),(IF(Time!AA34=1,AA61,AA59)-AA58)*AB19+IF(Time!AB46&gt;0,Time!AB45*AA58/Time!AB46,0)+IF(Time!AA34=1,AA61,AA59)*AB12,0)</f>
        <v>3.61310823940253</v>
      </c>
      <c r="AB121" s="13" t="n">
        <f aca="false">IF(AND(Time!AB20&gt;=Time!$F$12,Time!AC20&gt;0),(IF(Time!AB34=1,AB61,AB59)-AB58)*AC19+IF(Time!AC46&gt;0,Time!AC45*AB58/Time!AC46,0)+IF(Time!AB34=1,AB61,AB59)*AC12,0)</f>
        <v>3.59874909994914</v>
      </c>
      <c r="AC121" s="13" t="n">
        <f aca="false">IF(AND(Time!AC20&gt;=Time!$F$12,Time!AD20&gt;0),(IF(Time!AC34=1,AC61,AC59)-AC58)*AD19+IF(Time!AD46&gt;0,Time!AD45*AC58/Time!AD46,0)+IF(Time!AC34=1,AC61,AC59)*AD12,0)</f>
        <v>3.74934637544361</v>
      </c>
      <c r="AD121" s="13" t="n">
        <f aca="false">IF(AND(Time!AD20&gt;=Time!$F$12,Time!AE20&gt;0),(IF(Time!AD34=1,AD61,AD59)-AD58)*AE19+IF(Time!AE46&gt;0,Time!AE45*AD58/Time!AE46,0)+IF(Time!AD34=1,AD61,AD59)*AE12,0)</f>
        <v>3.75571381426625</v>
      </c>
      <c r="AE121" s="13" t="n">
        <f aca="false">IF(AND(Time!AE20&gt;=Time!$F$12,Time!AF20&gt;0),(IF(Time!AE34=1,AE61,AE59)-AE58)*AF19+IF(Time!AF46&gt;0,Time!AF45*AE58/Time!AF46,0)+IF(Time!AE34=1,AE61,AE59)*AF12,0)</f>
        <v>3.77860573144685</v>
      </c>
      <c r="AF121" s="13" t="n">
        <f aca="false">IF(AND(Time!AF20&gt;=Time!$F$12,Time!AG20&gt;0),(IF(Time!AF34=1,AF61,AF59)-AF58)*AG19+IF(Time!AG46&gt;0,Time!AG45*AF58/Time!AG46,0)+IF(Time!AF34=1,AF61,AF59)*AG12,0)</f>
        <v>3.72300941661055</v>
      </c>
      <c r="AG121" s="13" t="n">
        <f aca="false">IF(AND(Time!AG20&gt;=Time!$F$12,Time!AH20&gt;0),(IF(Time!AG34=1,AG61,AG59)-AG58)*AH19+IF(Time!AH46&gt;0,Time!AH45*AG58/Time!AH46,0)+IF(Time!AG34=1,AG61,AG59)*AH12,0)</f>
        <v>3.78556399291859</v>
      </c>
      <c r="AH121" s="13" t="n">
        <f aca="false">IF(AND(Time!AH20&gt;=Time!$F$12,Time!AI20&gt;0),(IF(Time!AH34=1,AH61,AH59)-AH58)*AI19+IF(Time!AI46&gt;0,Time!AI45*AH58/Time!AI46,0)+IF(Time!AH34=1,AH61,AH59)*AI12,0)</f>
        <v>3.76174359294349</v>
      </c>
      <c r="AI121" s="13" t="n">
        <f aca="false">IF(AND(Time!AI20&gt;=Time!$F$12,Time!AJ20&gt;0),(IF(Time!AI34=1,AI61,AI59)-AI58)*AJ19+IF(Time!AJ46&gt;0,Time!AJ45*AI58/Time!AJ46,0)+IF(Time!AI34=1,AI61,AI59)*AJ12,0)</f>
        <v>3.81918399722804</v>
      </c>
      <c r="AJ121" s="13" t="n">
        <f aca="false">IF(AND(Time!AJ20&gt;=Time!$F$12,Time!AK20&gt;0),(IF(Time!AJ34=1,AJ61,AJ59)-AJ58)*AK19+IF(Time!AK46&gt;0,Time!AK45*AJ58/Time!AK46,0)+IF(Time!AJ34=1,AJ61,AJ59)*AK12,0)</f>
        <v>3.81028396269459</v>
      </c>
      <c r="AK121" s="13" t="n">
        <f aca="false">IF(AND(Time!AK20&gt;=Time!$F$12,Time!AL20&gt;0),(IF(Time!AK34=1,AK61,AK59)-AK58)*AL19+IF(Time!AL46&gt;0,Time!AL45*AK58/Time!AL46,0)+IF(Time!AK34=1,AK61,AK59)*AL12,0)</f>
        <v>3.90466296328881</v>
      </c>
      <c r="AL121" s="13" t="n">
        <f aca="false">IF(AND(Time!AL20&gt;=Time!$F$12,Time!AM20&gt;0),(IF(Time!AL34=1,AL61,AL59)-AL58)*AM19+IF(Time!AM46&gt;0,Time!AM45*AL58/Time!AM46,0)+IF(Time!AL34=1,AL61,AL59)*AM12,0)</f>
        <v>3.85596778165781</v>
      </c>
      <c r="AM121" s="13" t="n">
        <f aca="false">IF(AND(Time!AM20&gt;=Time!$F$12,Time!AN20&gt;0),(IF(Time!AM34=1,AM61,AM59)-AM58)*AN19+IF(Time!AN46&gt;0,Time!AN45*AM58/Time!AN46,0)+IF(Time!AM34=1,AM61,AM59)*AN12,0)</f>
        <v>3.12223949158291</v>
      </c>
      <c r="AN121" s="13" t="n">
        <f aca="false">IF(AND(Time!AN20&gt;=Time!$F$12,Time!AO20&gt;0),(IF(Time!AN34=1,AN61,AN59)-AN58)*AO19+IF(Time!AO46&gt;0,Time!AO45*AN58/Time!AO46,0)+IF(Time!AN34=1,AN61,AN59)*AO12,0)</f>
        <v>3.0664694367218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15.5905294834455</v>
      </c>
      <c r="Q122" s="13" t="n">
        <f aca="false">IF(AND(Time!Q20&gt;=Time!$F$12,Time!R20&gt;0),(IF(Time!Q34=1,Q75,Q73)-Q72)*R19+IF(Time!R46&gt;0,Time!R45*Q72/Time!R46,0)+IF(Time!Q34=1,Q75,Q73)*R13,0)</f>
        <v>15.7982497584975</v>
      </c>
      <c r="R122" s="13" t="n">
        <f aca="false">IF(AND(Time!R20&gt;=Time!$F$12,Time!S20&gt;0),(IF(Time!R34=1,R75,R73)-R72)*S19+IF(Time!S46&gt;0,Time!S45*R72/Time!S46,0)+IF(Time!R34=1,R75,R73)*S13,0)</f>
        <v>15.5884527186763</v>
      </c>
      <c r="S122" s="13" t="n">
        <f aca="false">IF(AND(Time!S20&gt;=Time!$F$12,Time!T20&gt;0),(IF(Time!S34=1,S75,S73)-S72)*T19+IF(Time!T46&gt;0,Time!T45*S72/Time!T46,0)+IF(Time!S34=1,S75,S73)*T13,0)</f>
        <v>15.7701000327804</v>
      </c>
      <c r="T122" s="13" t="n">
        <f aca="false">IF(AND(Time!T20&gt;=Time!$F$12,Time!U20&gt;0),(IF(Time!T34=1,T75,T73)-T72)*U19+IF(Time!U46&gt;0,Time!U45*T72/Time!U46,0)+IF(Time!T34=1,T75,T73)*U13,0)</f>
        <v>15.6139676502482</v>
      </c>
      <c r="U122" s="13" t="n">
        <f aca="false">IF(AND(Time!U20&gt;=Time!$F$12,Time!V20&gt;0),(IF(Time!U34=1,U75,U73)-U72)*V19+IF(Time!V46&gt;0,Time!V45*U72/Time!V46,0)+IF(Time!U34=1,U75,U73)*V13,0)</f>
        <v>15.8809555002622</v>
      </c>
      <c r="V122" s="13" t="n">
        <f aca="false">IF(AND(Time!V20&gt;=Time!$F$12,Time!W20&gt;0),(IF(Time!V34=1,V75,V73)-V72)*W19+IF(Time!W46&gt;0,Time!W45*V72/Time!W46,0)+IF(Time!V34=1,V75,V73)*W13,0)</f>
        <v>15.671862206514</v>
      </c>
      <c r="W122" s="13" t="n">
        <f aca="false">IF(AND(Time!W20&gt;=Time!$F$12,Time!X20&gt;0),(IF(Time!W34=1,W75,W73)-W72)*X19+IF(Time!X46&gt;0,Time!X45*W72/Time!X46,0)+IF(Time!W34=1,W75,W73)*X13,0)</f>
        <v>15.2614586723352</v>
      </c>
      <c r="X122" s="13" t="n">
        <f aca="false">IF(AND(Time!X20&gt;=Time!$F$12,Time!Y20&gt;0),(IF(Time!X34=1,X75,X73)-X72)*Y19+IF(Time!Y46&gt;0,Time!Y45*X72/Time!Y46,0)+IF(Time!X34=1,X75,X73)*Y13,0)</f>
        <v>15.3309403561482</v>
      </c>
      <c r="Y122" s="13" t="n">
        <f aca="false">IF(AND(Time!Y20&gt;=Time!$F$12,Time!Z20&gt;0),(IF(Time!Y34=1,Y75,Y73)-Y72)*Z19+IF(Time!Z46&gt;0,Time!Z45*Y72/Time!Z46,0)+IF(Time!Y34=1,Y75,Y73)*Z13,0)</f>
        <v>15.4399925530104</v>
      </c>
      <c r="Z122" s="13" t="n">
        <f aca="false">IF(AND(Time!Z20&gt;=Time!$F$12,Time!AA20&gt;0),(IF(Time!Z34=1,Z75,Z73)-Z72)*AA19+IF(Time!AA46&gt;0,Time!AA45*Z72/Time!AA46,0)+IF(Time!Z34=1,Z75,Z73)*AA13,0)</f>
        <v>15.2070257367325</v>
      </c>
      <c r="AA122" s="13" t="n">
        <f aca="false">IF(AND(Time!AA20&gt;=Time!$F$12,Time!AB20&gt;0),(IF(Time!AA34=1,AA75,AA73)-AA72)*AB19+IF(Time!AB46&gt;0,Time!AB45*AA72/Time!AB46,0)+IF(Time!AA34=1,AA75,AA73)*AB13,0)</f>
        <v>15.355567204414</v>
      </c>
      <c r="AB122" s="13" t="n">
        <f aca="false">IF(AND(Time!AB20&gt;=Time!$F$12,Time!AC20&gt;0),(IF(Time!AB34=1,AB75,AB73)-AB72)*AC19+IF(Time!AC46&gt;0,Time!AC45*AB72/Time!AC46,0)+IF(Time!AB34=1,AB75,AB73)*AC13,0)</f>
        <v>14.5633844615095</v>
      </c>
      <c r="AC122" s="13" t="n">
        <f aca="false">IF(AND(Time!AC20&gt;=Time!$F$12,Time!AD20&gt;0),(IF(Time!AC34=1,AC75,AC73)-AC72)*AD19+IF(Time!AD46&gt;0,Time!AD45*AC72/Time!AD46,0)+IF(Time!AC34=1,AC75,AC73)*AD13,0)</f>
        <v>14.2321585545297</v>
      </c>
      <c r="AD122" s="13" t="n">
        <f aca="false">IF(AND(Time!AD20&gt;=Time!$F$12,Time!AE20&gt;0),(IF(Time!AD34=1,AD75,AD73)-AD72)*AE19+IF(Time!AE46&gt;0,Time!AE45*AD72/Time!AE46,0)+IF(Time!AD34=1,AD75,AD73)*AE13,0)</f>
        <v>13.3185172382444</v>
      </c>
      <c r="AE122" s="13" t="n">
        <f aca="false">IF(AND(Time!AE20&gt;=Time!$F$12,Time!AF20&gt;0),(IF(Time!AE34=1,AE75,AE73)-AE72)*AF19+IF(Time!AF46&gt;0,Time!AF45*AE72/Time!AF46,0)+IF(Time!AE34=1,AE75,AE73)*AF13,0)</f>
        <v>12.2821893351397</v>
      </c>
      <c r="AF122" s="13" t="n">
        <f aca="false">IF(AND(Time!AF20&gt;=Time!$F$12,Time!AG20&gt;0),(IF(Time!AF34=1,AF75,AF73)-AF72)*AG19+IF(Time!AG46&gt;0,Time!AG45*AF72/Time!AG46,0)+IF(Time!AF34=1,AF75,AF73)*AG13,0)</f>
        <v>11.0209596177255</v>
      </c>
      <c r="AG122" s="13" t="n">
        <f aca="false">IF(AND(Time!AG20&gt;=Time!$F$12,Time!AH20&gt;0),(IF(Time!AG34=1,AG75,AG73)-AG72)*AH19+IF(Time!AH46&gt;0,Time!AH45*AG72/Time!AH46,0)+IF(Time!AG34=1,AG75,AG73)*AH13,0)</f>
        <v>9.5962200939414</v>
      </c>
      <c r="AH122" s="13" t="n">
        <f aca="false">IF(AND(Time!AH20&gt;=Time!$F$12,Time!AI20&gt;0),(IF(Time!AH34=1,AH75,AH73)-AH72)*AI19+IF(Time!AI46&gt;0,Time!AI45*AH72/Time!AI46,0)+IF(Time!AH34=1,AH75,AH73)*AI13,0)</f>
        <v>7.70338942807442</v>
      </c>
      <c r="AI122" s="13" t="n">
        <f aca="false">IF(AND(Time!AI20&gt;=Time!$F$12,Time!AJ20&gt;0),(IF(Time!AI34=1,AI75,AI73)-AI72)*AJ19+IF(Time!AJ46&gt;0,Time!AJ45*AI72/Time!AJ46,0)+IF(Time!AI34=1,AI75,AI73)*AJ13,0)</f>
        <v>5.4938006886251</v>
      </c>
      <c r="AJ122" s="13" t="n">
        <f aca="false">IF(AND(Time!AJ20&gt;=Time!$F$12,Time!AK20&gt;0),(IF(Time!AJ34=1,AJ75,AJ73)-AJ72)*AK19+IF(Time!AK46&gt;0,Time!AK45*AJ72/Time!AK46,0)+IF(Time!AJ34=1,AJ75,AJ73)*AK13,0)</f>
        <v>2.6449900783991</v>
      </c>
      <c r="AK122" s="13" t="n">
        <f aca="false">IF(AND(Time!AK20&gt;=Time!$F$12,Time!AL20&gt;0),(IF(Time!AK34=1,AK75,AK73)-AK72)*AL19+IF(Time!AL46&gt;0,Time!AL45*AK72/Time!AL46,0)+IF(Time!AK34=1,AK75,AK73)*AL13,0)</f>
        <v>0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0.00536218513366741</v>
      </c>
      <c r="P123" s="13" t="n">
        <f aca="false">IF(AND(Time!P20&gt;=Time!$F$12,Time!Q20&gt;0),(IF(Time!P34=1,P89,P87)-P86)*Q19+IF(Time!Q46&gt;0,Time!Q45*P86/Time!Q46,0)+IF(Time!P34=1,P89,P87)*Q14,0)</f>
        <v>0.00532367783267219</v>
      </c>
      <c r="Q123" s="13" t="n">
        <f aca="false">IF(AND(Time!Q20&gt;=Time!$F$12,Time!R20&gt;0),(IF(Time!Q34=1,Q89,Q87)-Q86)*R19+IF(Time!R46&gt;0,Time!R45*Q86/Time!R46,0)+IF(Time!Q34=1,Q89,Q87)*R14,0)</f>
        <v>0.00539684428744098</v>
      </c>
      <c r="R123" s="13" t="n">
        <f aca="false">IF(AND(Time!R20&gt;=Time!$F$12,Time!S20&gt;0),(IF(Time!R34=1,R89,R87)-R86)*S19+IF(Time!S46&gt;0,Time!S45*R86/Time!S46,0)+IF(Time!R34=1,R89,R87)*S14,0)</f>
        <v>0.00532792033606176</v>
      </c>
      <c r="S123" s="13" t="n">
        <f aca="false">IF(AND(Time!S20&gt;=Time!$F$12,Time!T20&gt;0),(IF(Time!S34=1,S89,S87)-S86)*T19+IF(Time!T46&gt;0,Time!T45*S86/Time!T46,0)+IF(Time!S34=1,S89,S87)*T14,0)</f>
        <v>0.00539231512116392</v>
      </c>
      <c r="T123" s="13" t="n">
        <f aca="false">IF(AND(Time!T20&gt;=Time!$F$12,Time!U20&gt;0),(IF(Time!T34=1,T89,T87)-T86)*U19+IF(Time!U46&gt;0,Time!U45*T86/Time!U46,0)+IF(Time!T34=1,T89,T87)*U14,0)</f>
        <v>0.00534186863062122</v>
      </c>
      <c r="U123" s="13" t="n">
        <f aca="false">IF(AND(Time!U20&gt;=Time!$F$12,Time!V20&gt;0),(IF(Time!U34=1,U89,U87)-U86)*V19+IF(Time!V46&gt;0,Time!V45*U86/Time!V46,0)+IF(Time!U34=1,U89,U87)*V14,0)</f>
        <v>0.00543671226162783</v>
      </c>
      <c r="V123" s="13" t="n">
        <f aca="false">IF(AND(Time!V20&gt;=Time!$F$12,Time!W20&gt;0),(IF(Time!V34=1,V89,V87)-V86)*W19+IF(Time!W46&gt;0,Time!W45*V86/Time!W46,0)+IF(Time!V34=1,V89,V87)*W14,0)</f>
        <v>0.00536851350997196</v>
      </c>
      <c r="W123" s="13" t="n">
        <f aca="false">IF(AND(Time!W20&gt;=Time!$F$12,Time!X20&gt;0),(IF(Time!W34=1,W89,W87)-W86)*X19+IF(Time!X46&gt;0,Time!X45*W86/Time!X46,0)+IF(Time!W34=1,W89,W87)*X14,0)</f>
        <v>0.005227801538568</v>
      </c>
      <c r="X123" s="13" t="n">
        <f aca="false">IF(AND(Time!X20&gt;=Time!$F$12,Time!Y20&gt;0),(IF(Time!X34=1,X89,X87)-X86)*Y19+IF(Time!Y46&gt;0,Time!Y45*X86/Time!Y46,0)+IF(Time!X34=1,X89,X87)*Y14,0)</f>
        <v>0.00518706989404968</v>
      </c>
      <c r="Y123" s="13" t="n">
        <f aca="false">IF(AND(Time!Y20&gt;=Time!$F$12,Time!Z20&gt;0),(IF(Time!Y34=1,Y89,Y87)-Y86)*Z19+IF(Time!Z46&gt;0,Time!Z45*Y86/Time!Z46,0)+IF(Time!Y34=1,Y89,Y87)*Z14,0)</f>
        <v>0.00522881536132122</v>
      </c>
      <c r="Z123" s="13" t="n">
        <f aca="false">IF(AND(Time!Z20&gt;=Time!$F$12,Time!AA20&gt;0),(IF(Time!Z34=1,Z89,Z87)-Z86)*AA19+IF(Time!AA46&gt;0,Time!AA45*Z86/Time!AA46,0)+IF(Time!Z34=1,Z89,Z87)*AA14,0)</f>
        <v>0.00515643496874917</v>
      </c>
      <c r="AA123" s="13" t="n">
        <f aca="false">IF(AND(Time!AA20&gt;=Time!$F$12,Time!AB20&gt;0),(IF(Time!AA34=1,AA89,AA87)-AA86)*AB19+IF(Time!AB46&gt;0,Time!AB45*AA86/Time!AB46,0)+IF(Time!AA34=1,AA89,AA87)*AB14,0)</f>
        <v>0.00521255884629785</v>
      </c>
      <c r="AB123" s="13" t="n">
        <f aca="false">IF(AND(Time!AB20&gt;=Time!$F$12,Time!AC20&gt;0),(IF(Time!AB34=1,AB89,AB87)-AB86)*AC19+IF(Time!AC46&gt;0,Time!AC45*AB86/Time!AC46,0)+IF(Time!AB34=1,AB89,AB87)*AC14,0)</f>
        <v>0.00516466853977136</v>
      </c>
      <c r="AC123" s="13" t="n">
        <f aca="false">IF(AND(Time!AC20&gt;=Time!$F$12,Time!AD20&gt;0),(IF(Time!AC34=1,AC89,AC87)-AC86)*AD19+IF(Time!AD46&gt;0,Time!AD45*AC86/Time!AD46,0)+IF(Time!AC34=1,AC89,AC87)*AD14,0)</f>
        <v>0.00534290043447816</v>
      </c>
      <c r="AD123" s="13" t="n">
        <f aca="false">IF(AND(Time!AD20&gt;=Time!$F$12,Time!AE20&gt;0),(IF(Time!AD34=1,AD89,AD87)-AD86)*AE19+IF(Time!AE46&gt;0,Time!AE45*AD86/Time!AE46,0)+IF(Time!AD34=1,AD89,AD87)*AE14,0)</f>
        <v>0.00531786502974241</v>
      </c>
      <c r="AE123" s="13" t="n">
        <f aca="false">IF(AND(Time!AE20&gt;=Time!$F$12,Time!AF20&gt;0),(IF(Time!AE34=1,AE89,AE87)-AE86)*AF19+IF(Time!AF46&gt;0,Time!AF45*AE86/Time!AF46,0)+IF(Time!AE34=1,AE89,AE87)*AF14,0)</f>
        <v>0.00532529930723166</v>
      </c>
      <c r="AF123" s="13" t="n">
        <f aca="false">IF(AND(Time!AF20&gt;=Time!$F$12,Time!AG20&gt;0),(IF(Time!AF34=1,AF89,AF87)-AF86)*AG19+IF(Time!AG46&gt;0,Time!AG45*AF86/Time!AG46,0)+IF(Time!AF34=1,AF89,AF87)*AG14,0)</f>
        <v>0.00527946185741147</v>
      </c>
      <c r="AG123" s="13" t="n">
        <f aca="false">IF(AND(Time!AG20&gt;=Time!$F$12,Time!AH20&gt;0),(IF(Time!AG34=1,AG89,AG87)-AG86)*AH19+IF(Time!AH46&gt;0,Time!AH45*AG86/Time!AH46,0)+IF(Time!AG34=1,AG89,AG87)*AH14,0)</f>
        <v>0.00533150318135696</v>
      </c>
      <c r="AH123" s="13" t="n">
        <f aca="false">IF(AND(Time!AH20&gt;=Time!$F$12,Time!AI20&gt;0),(IF(Time!AH34=1,AH89,AH87)-AH86)*AI19+IF(Time!AI46&gt;0,Time!AI45*AH86/Time!AI46,0)+IF(Time!AH34=1,AH89,AH87)*AI14,0)</f>
        <v>0.00525684901331205</v>
      </c>
      <c r="AI123" s="13" t="n">
        <f aca="false">IF(AND(Time!AI20&gt;=Time!$F$12,Time!AJ20&gt;0),(IF(Time!AI34=1,AI89,AI87)-AI86)*AJ19+IF(Time!AJ46&gt;0,Time!AJ45*AI86/Time!AJ46,0)+IF(Time!AI34=1,AI89,AI87)*AJ14,0)</f>
        <v>0.00529794726910245</v>
      </c>
      <c r="AJ123" s="13" t="n">
        <f aca="false">IF(AND(Time!AJ20&gt;=Time!$F$12,Time!AK20&gt;0),(IF(Time!AJ34=1,AJ89,AJ87)-AJ86)*AK19+IF(Time!AK46&gt;0,Time!AK45*AJ86/Time!AK46,0)+IF(Time!AJ34=1,AJ89,AJ87)*AK14,0)</f>
        <v>0.0052424351512884</v>
      </c>
      <c r="AK123" s="13" t="n">
        <f aca="false">IF(AND(Time!AK20&gt;=Time!$F$12,Time!AL20&gt;0),(IF(Time!AK34=1,AK89,AK87)-AK86)*AL19+IF(Time!AL46&gt;0,Time!AL45*AK86/Time!AL46,0)+IF(Time!AK34=1,AK89,AK87)*AL14,0)</f>
        <v>0.0053266064779254</v>
      </c>
      <c r="AL123" s="13" t="n">
        <f aca="false">IF(AND(Time!AL20&gt;=Time!$F$12,Time!AM20&gt;0),(IF(Time!AL34=1,AL89,AL87)-AL86)*AM19+IF(Time!AM46&gt;0,Time!AM45*AL86/Time!AM46,0)+IF(Time!AL34=1,AL89,AL87)*AM14,0)</f>
        <v>0.00521489053211966</v>
      </c>
      <c r="AM123" s="13" t="n">
        <f aca="false">IF(AND(Time!AM20&gt;=Time!$F$12,Time!AN20&gt;0),(IF(Time!AM34=1,AM89,AM87)-AM86)*AN19+IF(Time!AN46&gt;0,Time!AN45*AM86/Time!AN46,0)+IF(Time!AM34=1,AM89,AM87)*AN14,0)</f>
        <v>0.00420135178003582</v>
      </c>
      <c r="AN123" s="13" t="n">
        <f aca="false">IF(AND(Time!AN20&gt;=Time!$F$12,Time!AO20&gt;0),(IF(Time!AN34=1,AN89,AN87)-AN86)*AO19+IF(Time!AO46&gt;0,Time!AO45*AN86/Time!AO46,0)+IF(Time!AN34=1,AN89,AN87)*AO14,0)</f>
        <v>0.00408883262677869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37.251257622229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37.1623401329773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37.6301819319643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37.3386404128919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37.7566100968678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37.5760346234822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38.2933569474188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38.0285959393786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36.9320228761269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36.5755791144381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36.8765919238743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36.5794437898221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37.0099611908214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36.1961166300996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36.7497469576111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35.9683682700249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35.0138191505378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33.4913763396325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32.4089139419481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30.4487512651555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28.5721470052618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25.7359951232765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23.7193664418732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23.5745067438091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19.1362186066434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18.9099965802341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0.0340124598263424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0.0343808210390786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0.034024638221434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0.0343932012860226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0.0341474925762968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0.0343932012860226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0.034024638221434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0.0343932012860226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0.0350860579745204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0.0354722136317016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0.0350860579745204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0.0354722136317016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0.0352147765269141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0.0354722136317016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0.0350860579745204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0.0354722136317016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0.0361474777276068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0.0365512259773806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0.0361474777276068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0.0365512259773806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0.0362820604775314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0.0365512259773806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0.0361474777276068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0.0365512259773806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0.0361474777276068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860.907975907176</v>
      </c>
      <c r="Q128" s="13" t="n">
        <f aca="false">IF(Time!Q53=1,(Waterfall!Q7+R128)/(1+Q127),0)</f>
        <v>840.224064281319</v>
      </c>
      <c r="R128" s="13" t="n">
        <f aca="false">IF(Time!R53=1,(Waterfall!R7+S128)/(1+R127),0)</f>
        <v>818.60158454765</v>
      </c>
      <c r="S128" s="13" t="n">
        <f aca="false">IF(Time!S53=1,(Waterfall!S7+T128)/(1+S127),0)</f>
        <v>795.86310979561</v>
      </c>
      <c r="T128" s="13" t="n">
        <f aca="false">IF(Time!T53=1,(Waterfall!T7+U128)/(1+T127),0)</f>
        <v>772.426944709618</v>
      </c>
      <c r="U128" s="13" t="n">
        <f aca="false">IF(Time!U53=1,(Waterfall!U7+V128)/(1+U127),0)</f>
        <v>747.917101492044</v>
      </c>
      <c r="V128" s="13" t="n">
        <f aca="false">IF(Time!V53=1,(Waterfall!V7+W128)/(1+V127),0)</f>
        <v>722.589678345266</v>
      </c>
      <c r="W128" s="13" t="n">
        <f aca="false">IF(Time!W53=1,(Waterfall!W7+X128)/(1+W127),0)</f>
        <v>695.580840206817</v>
      </c>
      <c r="X128" s="13" t="n">
        <f aca="false">IF(Time!X53=1,(Waterfall!X7+Y128)/(1+X127),0)</f>
        <v>667.683905739055</v>
      </c>
      <c r="Y128" s="13" t="n">
        <f aca="false">IF(Time!Y53=1,(Waterfall!Y7+Z128)/(1+Y127),0)</f>
        <v>640.477817191947</v>
      </c>
      <c r="Z128" s="13" t="n">
        <f aca="false">IF(Time!Z53=1,(Waterfall!Z7+AA128)/(1+Z127),0)</f>
        <v>613.216826722621</v>
      </c>
      <c r="AA128" s="13" t="n">
        <f aca="false">IF(Time!AA53=1,(Waterfall!AA7+AB128)/(1+AA127),0)</f>
        <v>584.790418858504</v>
      </c>
      <c r="AB128" s="13" t="n">
        <f aca="false">IF(Time!AB53=1,(Waterfall!AB7+AC128)/(1+AB127),0)</f>
        <v>555.465672432361</v>
      </c>
      <c r="AC128" s="13" t="n">
        <f aca="false">IF(Time!AC53=1,(Waterfall!AC7+AD128)/(1+AC127),0)</f>
        <v>524.636732089277</v>
      </c>
      <c r="AD128" s="13" t="n">
        <f aca="false">IF(Time!AD53=1,(Waterfall!AD7+AE128)/(1+AD127),0)</f>
        <v>492.695574237995</v>
      </c>
      <c r="AE128" s="13" t="n">
        <f aca="false">IF(Time!AE53=1,(Waterfall!AE7+AF128)/(1+AE127),0)</f>
        <v>458.091420087543</v>
      </c>
      <c r="AF128" s="13" t="n">
        <f aca="false">IF(Time!AF53=1,(Waterfall!AF7+AG128)/(1+AF127),0)</f>
        <v>421.682358151442</v>
      </c>
      <c r="AG128" s="13" t="n">
        <f aca="false">IF(Time!AG53=1,(Waterfall!AG7+AH128)/(1+AG127),0)</f>
        <v>383.840066011346</v>
      </c>
      <c r="AH128" s="13" t="n">
        <f aca="false">IF(Time!AH53=1,(Waterfall!AH7+AI128)/(1+AH127),0)</f>
        <v>345.186150885777</v>
      </c>
      <c r="AI128" s="13" t="n">
        <f aca="false">IF(Time!AI53=1,(Waterfall!AI7+AJ128)/(1+AI127),0)</f>
        <v>304.450217094868</v>
      </c>
      <c r="AJ128" s="13" t="n">
        <f aca="false">IF(Time!AJ53=1,(Waterfall!AJ7+AK128)/(1+AJ127),0)</f>
        <v>262.462170249676</v>
      </c>
      <c r="AK128" s="13" t="n">
        <f aca="false">IF(Time!AK53=1,(Waterfall!AK7+AL128)/(1+AK127),0)</f>
        <v>218.416398698075</v>
      </c>
      <c r="AL128" s="13" t="n">
        <f aca="false">IF(Time!AL53=1,(Waterfall!AL7+AM128)/(1+AL127),0)</f>
        <v>172.820466597803</v>
      </c>
      <c r="AM128" s="13" t="n">
        <f aca="false">IF(Time!AM53=1,(Waterfall!AM7+AN128)/(1+AM127),0)</f>
        <v>125.201777787717</v>
      </c>
      <c r="AN128" s="13" t="n">
        <f aca="false">IF(Time!AN53=1,(Waterfall!AN7+AO128)/(1+AN127),0)</f>
        <v>81.3451270469116</v>
      </c>
      <c r="AO128" s="13" t="n">
        <f aca="false">IF(Time!AO53=1,(Waterfall!AO7+AP128)/(1+AO127),0)</f>
        <v>41.0084621756797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INDEX($J$128:$BN$128,1,Time!$F$13)/Funding!$F$25</f>
        <v>1.35949443693646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INDEX($J$128:$BN$128,1,Time!$F$13)/Inputs!$F$106</f>
        <v>637.709611783093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643.002018579445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36.9705949538281</v>
      </c>
      <c r="Q132" s="13" t="n">
        <f aca="false">IF(Time!Q53=1,(Waterfall!Q7)/$F$129,0)</f>
        <v>36.9259083386085</v>
      </c>
      <c r="R132" s="13" t="n">
        <f aca="false">IF(Time!R53=1,(Waterfall!R7)/$F$129,0)</f>
        <v>37.4276407098362</v>
      </c>
      <c r="S132" s="13" t="n">
        <f aca="false">IF(Time!S53=1,(Waterfall!S7)/$F$129,0)</f>
        <v>37.1572829561591</v>
      </c>
      <c r="T132" s="13" t="n">
        <f aca="false">IF(Time!T53=1,(Waterfall!T7)/$F$129,0)</f>
        <v>37.5699062960618</v>
      </c>
      <c r="U132" s="13" t="n">
        <f aca="false">IF(Time!U53=1,(Waterfall!U7)/$F$129,0)</f>
        <v>37.4160536708691</v>
      </c>
      <c r="V132" s="13" t="n">
        <f aca="false">IF(Time!V53=1,(Waterfall!V7)/$F$129,0)</f>
        <v>38.1472766522279</v>
      </c>
      <c r="W132" s="13" t="n">
        <f aca="false">IF(Time!W53=1,(Waterfall!W7)/$F$129,0)</f>
        <v>37.9286737103209</v>
      </c>
      <c r="X132" s="13" t="n">
        <f aca="false">IF(Time!X53=1,(Waterfall!X7)/$F$129,0)</f>
        <v>36.9033327018858</v>
      </c>
      <c r="Y132" s="13" t="n">
        <f aca="false">IF(Time!Y53=1,(Waterfall!Y7)/$F$129,0)</f>
        <v>36.5818578903396</v>
      </c>
      <c r="Z132" s="13" t="n">
        <f aca="false">IF(Time!Z53=1,(Waterfall!Z7)/$F$129,0)</f>
        <v>36.9097252484903</v>
      </c>
      <c r="AA132" s="13" t="n">
        <f aca="false">IF(Time!AA53=1,(Waterfall!AA7)/$F$129,0)</f>
        <v>36.6627002001374</v>
      </c>
      <c r="AB132" s="13" t="n">
        <f aca="false">IF(Time!AB53=1,(Waterfall!AB7)/$F$129,0)</f>
        <v>37.170094976301</v>
      </c>
      <c r="AC132" s="13" t="n">
        <f aca="false">IF(Time!AC53=1,(Waterfall!AC7)/$F$129,0)</f>
        <v>37.0844644596166</v>
      </c>
      <c r="AD132" s="13" t="n">
        <f aca="false">IF(Time!AD53=1,(Waterfall!AD7)/$F$129,0)</f>
        <v>38.3092092179338</v>
      </c>
      <c r="AE132" s="13" t="n">
        <f aca="false">IF(Time!AE53=1,(Waterfall!AE7)/$F$129,0)</f>
        <v>38.6038240635885</v>
      </c>
      <c r="AF132" s="13" t="n">
        <f aca="false">IF(Time!AF53=1,(Waterfall!AF7)/$F$129,0)</f>
        <v>38.8381867542952</v>
      </c>
      <c r="AG132" s="13" t="n">
        <f aca="false">IF(Time!AG53=1,(Waterfall!AG7)/$F$129,0)</f>
        <v>38.6384555431122</v>
      </c>
      <c r="AH132" s="13" t="n">
        <f aca="false">IF(Time!AH53=1,(Waterfall!AH7)/$F$129,0)</f>
        <v>39.2446701852082</v>
      </c>
      <c r="AI132" s="13" t="n">
        <f aca="false">IF(Time!AI53=1,(Waterfall!AI7)/$F$129,0)</f>
        <v>38.98004496893</v>
      </c>
      <c r="AJ132" s="13" t="n">
        <f aca="false">IF(Time!AJ53=1,(Waterfall!AJ7)/$F$129,0)</f>
        <v>39.4551711206576</v>
      </c>
      <c r="AK132" s="13" t="n">
        <f aca="false">IF(Time!AK53=1,(Waterfall!AK7)/$F$129,0)</f>
        <v>39.3679647617578</v>
      </c>
      <c r="AL132" s="13" t="n">
        <f aca="false">IF(Time!AL53=1,(Waterfall!AL7)/$F$129,0)</f>
        <v>39.6731956180407</v>
      </c>
      <c r="AM132" s="13" t="n">
        <f aca="false">IF(Time!AM53=1,(Waterfall!AM7)/$F$129,0)</f>
        <v>35.5885084192552</v>
      </c>
      <c r="AN132" s="13" t="n">
        <f aca="false">IF(Time!AN53=1,(Waterfall!AN7)/$F$129,0)</f>
        <v>31.8573786073583</v>
      </c>
      <c r="AO132" s="13" t="n">
        <f aca="false">IF(Time!AO53=1,(Waterfall!AO7)/$F$129,0)</f>
        <v>31.2548646720239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618.041561225298</v>
      </c>
      <c r="R133" s="13" t="n">
        <f aca="false">IF(Time!R53=1,IF(Time!R20=Time!$F$13,Funding!$F$25,Q133-Q134),0)</f>
        <v>602.136766658874</v>
      </c>
      <c r="S133" s="13" t="n">
        <f aca="false">IF(Time!S53=1,IF(Time!S20=Time!$F$13,Funding!$F$25,R133-R134),0)</f>
        <v>585.411082364586</v>
      </c>
      <c r="T133" s="13" t="n">
        <f aca="false">IF(Time!T53=1,IF(Time!T20=Time!$F$13,Funding!$F$25,S133-S134),0)</f>
        <v>568.1721996967</v>
      </c>
      <c r="U133" s="13" t="n">
        <f aca="false">IF(Time!U53=1,IF(Time!U20=Time!$F$13,Funding!$F$25,T133-T134),0)</f>
        <v>550.14355422993</v>
      </c>
      <c r="V133" s="13" t="n">
        <f aca="false">IF(Time!V53=1,IF(Time!V20=Time!$F$13,Funding!$F$25,U133-U134),0)</f>
        <v>531.513523493024</v>
      </c>
      <c r="W133" s="13" t="n">
        <f aca="false">IF(Time!W53=1,IF(Time!W20=Time!$F$13,Funding!$F$25,V133-V134),0)</f>
        <v>511.646698440535</v>
      </c>
      <c r="X133" s="13" t="n">
        <f aca="false">IF(Time!X53=1,IF(Time!X20=Time!$F$13,Funding!$F$25,W133-W134),0)</f>
        <v>491.126618541845</v>
      </c>
      <c r="Y133" s="13" t="n">
        <f aca="false">IF(Time!Y53=1,IF(Time!Y20=Time!$F$13,Funding!$F$25,X133-X134),0)</f>
        <v>471.114702488392</v>
      </c>
      <c r="Z133" s="13" t="n">
        <f aca="false">IF(Time!Z53=1,IF(Time!Z20=Time!$F$13,Funding!$F$25,Y133-Y134),0)</f>
        <v>451.062402362209</v>
      </c>
      <c r="AA133" s="13" t="n">
        <f aca="false">IF(Time!AA53=1,IF(Time!AA20=Time!$F$13,Funding!$F$25,Z133-Z134),0)</f>
        <v>430.15285901154</v>
      </c>
      <c r="AB133" s="13" t="n">
        <f aca="false">IF(Time!AB53=1,IF(Time!AB20=Time!$F$13,Funding!$F$25,AA133-AA134),0)</f>
        <v>408.582526960587</v>
      </c>
      <c r="AC133" s="13" t="n">
        <f aca="false">IF(Time!AC53=1,IF(Time!AC20=Time!$F$13,Funding!$F$25,AB133-AB134),0)</f>
        <v>385.905758666812</v>
      </c>
      <c r="AD133" s="13" t="n">
        <f aca="false">IF(Time!AD53=1,IF(Time!AD20=Time!$F$13,Funding!$F$25,AC133-AC134),0)</f>
        <v>362.410879259097</v>
      </c>
      <c r="AE133" s="13" t="n">
        <f aca="false">IF(Time!AE53=1,IF(Time!AE20=Time!$F$13,Funding!$F$25,AD133-AD134),0)</f>
        <v>336.957186172694</v>
      </c>
      <c r="AF133" s="13" t="n">
        <f aca="false">IF(Time!AF53=1,IF(Time!AF20=Time!$F$13,Funding!$F$25,AE133-AE134),0)</f>
        <v>310.175861478092</v>
      </c>
      <c r="AG133" s="13" t="n">
        <f aca="false">IF(Time!AG53=1,IF(Time!AG20=Time!$F$13,Funding!$F$25,AF133-AF134),0)</f>
        <v>282.340299145545</v>
      </c>
      <c r="AH133" s="13" t="n">
        <f aca="false">IF(Time!AH53=1,IF(Time!AH20=Time!$F$13,Funding!$F$25,AG133-AG134),0)</f>
        <v>253.907733277402</v>
      </c>
      <c r="AI133" s="13" t="n">
        <f aca="false">IF(Time!AI53=1,IF(Time!AI20=Time!$F$13,Funding!$F$25,AH133-AH134),0)</f>
        <v>223.943702028621</v>
      </c>
      <c r="AJ133" s="13" t="n">
        <f aca="false">IF(Time!AJ53=1,IF(Time!AJ20=Time!$F$13,Funding!$F$25,AI133-AI134),0)</f>
        <v>193.058657041008</v>
      </c>
      <c r="AK133" s="13" t="n">
        <f aca="false">IF(Time!AK53=1,IF(Time!AK20=Time!$F$13,Funding!$F$25,AJ133-AJ134),0)</f>
        <v>160.660016520746</v>
      </c>
      <c r="AL133" s="13" t="n">
        <f aca="false">IF(Time!AL53=1,IF(Time!AL20=Time!$F$13,Funding!$F$25,AK133-AK134),0)</f>
        <v>127.121128194715</v>
      </c>
      <c r="AM133" s="13" t="n">
        <f aca="false">IF(Time!AM53=1,IF(Time!AM20=Time!$F$13,Funding!$F$25,AL133-AL134),0)</f>
        <v>92.094365659819</v>
      </c>
      <c r="AN133" s="13" t="n">
        <f aca="false">IF(Time!AN53=1,IF(Time!AN20=Time!$F$13,Funding!$F$25,AM133-AM134),0)</f>
        <v>59.8348362720903</v>
      </c>
      <c r="AO133" s="13" t="n">
        <f aca="false">IF(Time!AO53=1,IF(Time!AO20=Time!$F$13,Funding!$F$25,AN133-AN134),0)</f>
        <v>30.1644942866327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15.2144143174767</v>
      </c>
      <c r="Q134" s="13" t="n">
        <f aca="false">Q132-Q133*Q127</f>
        <v>15.9047945664231</v>
      </c>
      <c r="R134" s="13" t="n">
        <f aca="false">R132-R133*R127</f>
        <v>16.725684294288</v>
      </c>
      <c r="S134" s="13" t="n">
        <f aca="false">S132-S133*S127</f>
        <v>17.2388826678859</v>
      </c>
      <c r="T134" s="13" t="n">
        <f aca="false">T132-T133*T127</f>
        <v>18.028645466771</v>
      </c>
      <c r="U134" s="13" t="n">
        <f aca="false">U132-U133*U127</f>
        <v>18.630030736905</v>
      </c>
      <c r="V134" s="13" t="n">
        <f aca="false">V132-V133*V127</f>
        <v>19.8668250524892</v>
      </c>
      <c r="W134" s="13" t="n">
        <f aca="false">W132-W133*W127</f>
        <v>20.5200798986906</v>
      </c>
      <c r="X134" s="13" t="n">
        <f aca="false">X132-X133*X127</f>
        <v>20.0119160534526</v>
      </c>
      <c r="Y134" s="13" t="n">
        <f aca="false">Y132-Y133*Y127</f>
        <v>20.052300126183</v>
      </c>
      <c r="Z134" s="13" t="n">
        <f aca="false">Z132-Z133*Z127</f>
        <v>20.9095433506695</v>
      </c>
      <c r="AA134" s="13" t="n">
        <f aca="false">AA132-AA133*AA127</f>
        <v>21.5703320509529</v>
      </c>
      <c r="AB134" s="13" t="n">
        <f aca="false">AB132-AB133*AB127</f>
        <v>22.6767682937746</v>
      </c>
      <c r="AC134" s="13" t="n">
        <f aca="false">AC132-AC133*AC127</f>
        <v>23.4948794077156</v>
      </c>
      <c r="AD134" s="13" t="n">
        <f aca="false">AD132-AD133*AD127</f>
        <v>25.4536930864023</v>
      </c>
      <c r="AE134" s="13" t="n">
        <f aca="false">AE132-AE133*AE127</f>
        <v>26.7813246946021</v>
      </c>
      <c r="AF134" s="13" t="n">
        <f aca="false">AF132-AF133*AF127</f>
        <v>27.8355623325472</v>
      </c>
      <c r="AG134" s="13" t="n">
        <f aca="false">AG132-AG133*AG127</f>
        <v>28.4325658681427</v>
      </c>
      <c r="AH134" s="13" t="n">
        <f aca="false">AH132-AH133*AH127</f>
        <v>29.9640312487814</v>
      </c>
      <c r="AI134" s="13" t="n">
        <f aca="false">AI132-AI133*AI127</f>
        <v>30.8850449876127</v>
      </c>
      <c r="AJ134" s="13" t="n">
        <f aca="false">AJ132-AJ133*AJ127</f>
        <v>32.3986405202621</v>
      </c>
      <c r="AK134" s="13" t="n">
        <f aca="false">AK132-AK133*AK127</f>
        <v>33.5388883260309</v>
      </c>
      <c r="AL134" s="13" t="n">
        <f aca="false">AL132-AL133*AL127</f>
        <v>35.0267625348961</v>
      </c>
      <c r="AM134" s="13" t="n">
        <f aca="false">AM132-AM133*AM127</f>
        <v>32.2595293877288</v>
      </c>
      <c r="AN134" s="13" t="n">
        <f aca="false">AN132-AN133*AN127</f>
        <v>29.6703419854575</v>
      </c>
      <c r="AO134" s="13" t="n">
        <f aca="false">AO132-AO133*AO127</f>
        <v>30.1644942866333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-0.275300483267259</v>
      </c>
      <c r="Q135" s="13" t="n">
        <f aca="false">IF(Inputs!$F$8=1,Q134-Time!Q53*Inputs!Q298*Funding!$F$25,0)</f>
        <v>-0.240471763163452</v>
      </c>
      <c r="R135" s="13" t="n">
        <f aca="false">IF(Inputs!$F$8=1,R134-Time!R53*Inputs!R298*Funding!$F$25,0)</f>
        <v>-0.214877051142103</v>
      </c>
      <c r="S135" s="13" t="n">
        <f aca="false">IF(Inputs!$F$8=1,S134-Time!S53*Inputs!S298*Funding!$F$25,0)</f>
        <v>-0.200889614413452</v>
      </c>
      <c r="T135" s="13" t="n">
        <f aca="false">IF(Inputs!$F$8=1,T134-Time!T53*Inputs!T298*Funding!$F$25,0)</f>
        <v>-0.213350090990598</v>
      </c>
      <c r="U135" s="13" t="n">
        <f aca="false">IF(Inputs!$F$8=1,U134-Time!U53*Inputs!U298*Funding!$F$25,0)</f>
        <v>-0.193734172712347</v>
      </c>
      <c r="V135" s="13" t="n">
        <f aca="false">IF(Inputs!$F$8=1,V134-Time!V53*Inputs!V298*Funding!$F$25,0)</f>
        <v>-0.18668311925693</v>
      </c>
      <c r="W135" s="13" t="n">
        <f aca="false">IF(Inputs!$F$8=1,W134-Time!W53*Inputs!W298*Funding!$F$25,0)</f>
        <v>-0.146451710410162</v>
      </c>
      <c r="X135" s="13" t="n">
        <f aca="false">IF(Inputs!$F$8=1,X134-Time!X53*Inputs!X298*Funding!$F$25,0)</f>
        <v>-0.0809594822822035</v>
      </c>
      <c r="Y135" s="13" t="n">
        <f aca="false">IF(Inputs!$F$8=1,Y134-Time!Y53*Inputs!Y298*Funding!$F$25,0)</f>
        <v>-0.0500301015887032</v>
      </c>
      <c r="Z135" s="13" t="n">
        <f aca="false">IF(Inputs!$F$8=1,Z134-Time!Z53*Inputs!Z298*Funding!$F$25,0)</f>
        <v>-0.025585307631772</v>
      </c>
      <c r="AA135" s="13" t="n">
        <f aca="false">IF(Inputs!$F$8=1,AA134-Time!AA53*Inputs!AA298*Funding!$F$25,0)</f>
        <v>0.0242638512681381</v>
      </c>
      <c r="AB135" s="13" t="n">
        <f aca="false">IF(Inputs!$F$8=1,AB134-Time!AB53*Inputs!AB298*Funding!$F$25,0)</f>
        <v>0.101352021734375</v>
      </c>
      <c r="AC135" s="13" t="n">
        <f aca="false">IF(Inputs!$F$8=1,AC134-Time!AC53*Inputs!AC298*Funding!$F$25,0)</f>
        <v>0.171574445312967</v>
      </c>
      <c r="AD135" s="13" t="n">
        <f aca="false">IF(Inputs!$F$8=1,AD134-Time!AD53*Inputs!AD298*Funding!$F$25,0)</f>
        <v>-0.013653931896993</v>
      </c>
      <c r="AE135" s="13" t="n">
        <f aca="false">IF(Inputs!$F$8=1,AE134-Time!AE53*Inputs!AE298*Funding!$F$25,0)</f>
        <v>0.219377365501266</v>
      </c>
      <c r="AF135" s="13" t="n">
        <f aca="false">IF(Inputs!$F$8=1,AF134-Time!AF53*Inputs!AF298*Funding!$F$25,0)</f>
        <v>0.341774425252041</v>
      </c>
      <c r="AG135" s="13" t="n">
        <f aca="false">IF(Inputs!$F$8=1,AG134-Time!AG53*Inputs!AG298*Funding!$F$25,0)</f>
        <v>0.425655452621818</v>
      </c>
      <c r="AH135" s="13" t="n">
        <f aca="false">IF(Inputs!$F$8=1,AH134-Time!AH53*Inputs!AH298*Funding!$F$25,0)</f>
        <v>0.551130788882251</v>
      </c>
      <c r="AI135" s="13" t="n">
        <f aca="false">IF(Inputs!$F$8=1,AI134-Time!AI53*Inputs!AI298*Funding!$F$25,0)</f>
        <v>0.608507608476185</v>
      </c>
      <c r="AJ135" s="13" t="n">
        <f aca="false">IF(Inputs!$F$8=1,AJ134-Time!AJ53*Inputs!AJ298*Funding!$F$25,0)</f>
        <v>0.660422662081277</v>
      </c>
      <c r="AK135" s="13" t="n">
        <f aca="false">IF(Inputs!$F$8=1,AK134-Time!AK53*Inputs!AK298*Funding!$F$25,0)</f>
        <v>0.773360556748337</v>
      </c>
      <c r="AL135" s="13" t="n">
        <f aca="false">IF(Inputs!$F$8=1,AL134-Time!AL53*Inputs!AL298*Funding!$F$25,0)</f>
        <v>0.284203528486728</v>
      </c>
      <c r="AM135" s="13" t="n">
        <f aca="false">IF(Inputs!$F$8=1,AM134-Time!AM53*Inputs!AM298*Funding!$F$25,0)</f>
        <v>-3.20515255400631</v>
      </c>
      <c r="AN135" s="13" t="n">
        <f aca="false">IF(Inputs!$F$8=1,AN134-Time!AN53*Inputs!AN298*Funding!$F$25,0)</f>
        <v>0.412400395532906</v>
      </c>
      <c r="AO135" s="13" t="n">
        <f aca="false">IF(Inputs!$F$8=1,AO134-Time!AO53*Inputs!AO298*Funding!$F$25,0)</f>
        <v>0.473116280864414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SUMPRODUCT($J$113:$BN$113,$J$137:$BN$137)/SUM($J$113:$BN$113)</f>
        <v>7.16875120055115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MAX($J$113:$BN$113)/SUM($J$113:$BN$113)</f>
        <v>0.045544252317019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INDEX($J$137:$BN$137,1,SUMPRODUCT(MAX(($J$113:$BN$113&gt;Inputs!$F$253)*Time!$J$20:$BN$20)))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(YEAR(INDEX(Time!$J$23:$BN$23,1,_xlfn.MINIFS(Time!$J$20:$BN$20,$J$113:$BN$113,"&gt;"&amp;Inputs!$F$253))+1)-YEAR(Time!$F$8))*12+MONTH(INDEX(Time!$J$23:$BN$23,1,_xlfn.MINIFS(Time!$J$20:$BN$20,$J$113:$BN$113,"&gt;"&amp;Inputs!$F$253))+1)-MONTH(Time!$F$8)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SUMIFS($J$113:$BN$113,Time!$J$23:$BN$23,"&lt;="&amp;(EDATE(Time!$F$8,Inputs!$F$1318)-1))/SUM($J$113:$BN$113)</f>
        <v>0.0904834339022141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1843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1844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1845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1846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37.251257622229</v>
      </c>
      <c r="Q9" s="13" t="n">
        <f aca="false">IF(Time!Q34=1,SUM(Funding!$J$44:$BJ$44),P13)</f>
        <v>37.1623401329773</v>
      </c>
      <c r="R9" s="13" t="n">
        <f aca="false">IF(Time!R34=1,SUM(Funding!$J$44:$BJ$44),Q13)</f>
        <v>37.6301819319643</v>
      </c>
      <c r="S9" s="13" t="n">
        <f aca="false">IF(Time!S34=1,SUM(Funding!$J$44:$BJ$44),R13)</f>
        <v>37.3386404128919</v>
      </c>
      <c r="T9" s="13" t="n">
        <f aca="false">IF(Time!T34=1,SUM(Funding!$J$44:$BJ$44),S13)</f>
        <v>37.7566100968678</v>
      </c>
      <c r="U9" s="13" t="n">
        <f aca="false">IF(Time!U34=1,SUM(Funding!$J$44:$BJ$44),T13)</f>
        <v>37.5760346234822</v>
      </c>
      <c r="V9" s="13" t="n">
        <f aca="false">IF(Time!V34=1,SUM(Funding!$J$44:$BJ$44),U13)</f>
        <v>38.2933569474188</v>
      </c>
      <c r="W9" s="13" t="n">
        <f aca="false">IF(Time!W34=1,SUM(Funding!$J$44:$BJ$44),V13)</f>
        <v>38.0285959393786</v>
      </c>
      <c r="X9" s="13" t="n">
        <f aca="false">IF(Time!X34=1,SUM(Funding!$J$44:$BJ$44),W13)</f>
        <v>36.9320228761269</v>
      </c>
      <c r="Y9" s="13" t="n">
        <f aca="false">IF(Time!Y34=1,SUM(Funding!$J$44:$BJ$44),X13)</f>
        <v>36.5755791144381</v>
      </c>
      <c r="Z9" s="13" t="n">
        <f aca="false">IF(Time!Z34=1,SUM(Funding!$J$44:$BJ$44),Y13)</f>
        <v>36.8765919238743</v>
      </c>
      <c r="AA9" s="13" t="n">
        <f aca="false">IF(Time!AA34=1,SUM(Funding!$J$44:$BJ$44),Z13)</f>
        <v>36.5794437898221</v>
      </c>
      <c r="AB9" s="13" t="n">
        <f aca="false">IF(Time!AB34=1,SUM(Funding!$J$44:$BJ$44),AA13)</f>
        <v>37.0099611908214</v>
      </c>
      <c r="AC9" s="13" t="n">
        <f aca="false">IF(Time!AC34=1,SUM(Funding!$J$44:$BJ$44),AB13)</f>
        <v>36.1961166300996</v>
      </c>
      <c r="AD9" s="13" t="n">
        <f aca="false">IF(Time!AD34=1,SUM(Funding!$J$44:$BJ$44),AC13)</f>
        <v>36.7497469576111</v>
      </c>
      <c r="AE9" s="13" t="n">
        <f aca="false">IF(Time!AE34=1,SUM(Funding!$J$44:$BJ$44),AD13)</f>
        <v>35.9683682700249</v>
      </c>
      <c r="AF9" s="13" t="n">
        <f aca="false">IF(Time!AF34=1,SUM(Funding!$J$44:$BJ$44),AE13)</f>
        <v>35.0138191505378</v>
      </c>
      <c r="AG9" s="13" t="n">
        <f aca="false">IF(Time!AG34=1,SUM(Funding!$J$44:$BJ$44),AF13)</f>
        <v>33.4913763396325</v>
      </c>
      <c r="AH9" s="13" t="n">
        <f aca="false">IF(Time!AH34=1,SUM(Funding!$J$44:$BJ$44),AG13)</f>
        <v>32.4089139419481</v>
      </c>
      <c r="AI9" s="13" t="n">
        <f aca="false">IF(Time!AI34=1,SUM(Funding!$J$44:$BJ$44),AH13)</f>
        <v>30.4487512651555</v>
      </c>
      <c r="AJ9" s="13" t="n">
        <f aca="false">IF(Time!AJ34=1,SUM(Funding!$J$44:$BJ$44),AI13)</f>
        <v>28.5721470052618</v>
      </c>
      <c r="AK9" s="13" t="n">
        <f aca="false">IF(Time!AK34=1,SUM(Funding!$J$44:$BJ$44),AJ13)</f>
        <v>25.7359951232765</v>
      </c>
      <c r="AL9" s="13" t="n">
        <f aca="false">IF(Time!AL34=1,SUM(Funding!$J$44:$BJ$44),AK13)</f>
        <v>23.7193664418732</v>
      </c>
      <c r="AM9" s="13" t="n">
        <f aca="false">IF(Time!AM34=1,SUM(Funding!$J$44:$BJ$44),AL13)</f>
        <v>23.5745067438091</v>
      </c>
      <c r="AN9" s="13" t="n">
        <f aca="false">IF(Time!AN34=1,SUM(Funding!$J$44:$BJ$44),AM13)</f>
        <v>19.1362186066434</v>
      </c>
      <c r="AO9" s="13" t="n">
        <f aca="false">IF(Time!AO34=1,SUM(Funding!$J$44:$BJ$44),AN13)</f>
        <v>18.9099965802341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1847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1848</v>
      </c>
      <c r="E11" s="0" t="s">
        <v>151</v>
      </c>
      <c r="G11" s="13" t="n">
        <f aca="false">SUM(J11:BN11)</f>
        <v>2.89365652998025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0.00536218513367004</v>
      </c>
      <c r="P11" s="13" t="n">
        <f aca="false">MIN(Waterfall!P13,MAX(0,Debt!P125-(P9-P10)))</f>
        <v>0</v>
      </c>
      <c r="Q11" s="13" t="n">
        <f aca="false">MIN(Waterfall!Q13,MAX(0,Debt!Q125-(Q9-Q10)))</f>
        <v>0.467841798986981</v>
      </c>
      <c r="R11" s="13" t="n">
        <f aca="false">MIN(Waterfall!R13,MAX(0,Debt!R125-(R9-R10)))</f>
        <v>0</v>
      </c>
      <c r="S11" s="13" t="n">
        <f aca="false">MIN(Waterfall!S13,MAX(0,Debt!S125-(S9-S10)))</f>
        <v>0.417969683975926</v>
      </c>
      <c r="T11" s="13" t="n">
        <f aca="false">MIN(Waterfall!T13,MAX(0,Debt!T125-(T9-T10)))</f>
        <v>0</v>
      </c>
      <c r="U11" s="13" t="n">
        <f aca="false">MIN(Waterfall!U13,MAX(0,Debt!U125-(U9-U10)))</f>
        <v>0.717322323936621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0.301012809436209</v>
      </c>
      <c r="Z11" s="13" t="n">
        <f aca="false">MIN(Waterfall!Z13,MAX(0,Debt!Z125-(Z9-Z10)))</f>
        <v>0</v>
      </c>
      <c r="AA11" s="13" t="n">
        <f aca="false">MIN(Waterfall!AA13,MAX(0,Debt!AA125-(AA9-AA10)))</f>
        <v>0.430517400999257</v>
      </c>
      <c r="AB11" s="13" t="n">
        <f aca="false">MIN(Waterfall!AB13,MAX(0,Debt!AB125-(AB9-AB10)))</f>
        <v>0</v>
      </c>
      <c r="AC11" s="13" t="n">
        <f aca="false">MIN(Waterfall!AC13,MAX(0,Debt!AC125-(AC9-AC10)))</f>
        <v>0.553630327511584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1849</v>
      </c>
      <c r="E12" s="0" t="s">
        <v>151</v>
      </c>
      <c r="G12" s="13" t="n">
        <f aca="false">SUM(J12:BN12)</f>
        <v>40.1395519670756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0.0889174892517275</v>
      </c>
      <c r="Q12" s="13" t="n">
        <f aca="false">MAX(0,Q9-Q10-Debt!Q125)</f>
        <v>0</v>
      </c>
      <c r="R12" s="13" t="n">
        <f aca="false">MAX(0,R9-R10-Debt!R125)</f>
        <v>0.291541519072396</v>
      </c>
      <c r="S12" s="13" t="n">
        <f aca="false">MAX(0,S9-S10-Debt!S125)</f>
        <v>0</v>
      </c>
      <c r="T12" s="13" t="n">
        <f aca="false">MAX(0,T9-T10-Debt!T125)</f>
        <v>0.180575473385609</v>
      </c>
      <c r="U12" s="13" t="n">
        <f aca="false">MAX(0,U9-U10-Debt!U125)</f>
        <v>0</v>
      </c>
      <c r="V12" s="13" t="n">
        <f aca="false">MAX(0,V9-V10-Debt!V125)</f>
        <v>0.26476100804021</v>
      </c>
      <c r="W12" s="13" t="n">
        <f aca="false">MAX(0,W9-W10-Debt!W125)</f>
        <v>1.09657306325176</v>
      </c>
      <c r="X12" s="13" t="n">
        <f aca="false">MAX(0,X9-X10-Debt!X125)</f>
        <v>0.356443761688745</v>
      </c>
      <c r="Y12" s="13" t="n">
        <f aca="false">MAX(0,Y9-Y10-Debt!Y125)</f>
        <v>0</v>
      </c>
      <c r="Z12" s="13" t="n">
        <f aca="false">MAX(0,Z9-Z10-Debt!Z125)</f>
        <v>0.297148134052215</v>
      </c>
      <c r="AA12" s="13" t="n">
        <f aca="false">MAX(0,AA9-AA10-Debt!AA125)</f>
        <v>0</v>
      </c>
      <c r="AB12" s="13" t="n">
        <f aca="false">MAX(0,AB9-AB10-Debt!AB125)</f>
        <v>0.813844560721819</v>
      </c>
      <c r="AC12" s="13" t="n">
        <f aca="false">MAX(0,AC9-AC10-Debt!AC125)</f>
        <v>0</v>
      </c>
      <c r="AD12" s="13" t="n">
        <f aca="false">MAX(0,AD9-AD10-Debt!AD125)</f>
        <v>0.781378687586233</v>
      </c>
      <c r="AE12" s="13" t="n">
        <f aca="false">MAX(0,AE9-AE10-Debt!AE125)</f>
        <v>0.954549119487083</v>
      </c>
      <c r="AF12" s="13" t="n">
        <f aca="false">MAX(0,AF9-AF10-Debt!AF125)</f>
        <v>1.52244281090537</v>
      </c>
      <c r="AG12" s="13" t="n">
        <f aca="false">MAX(0,AG9-AG10-Debt!AG125)</f>
        <v>1.08246239768436</v>
      </c>
      <c r="AH12" s="13" t="n">
        <f aca="false">MAX(0,AH9-AH10-Debt!AH125)</f>
        <v>1.96016267679255</v>
      </c>
      <c r="AI12" s="13" t="n">
        <f aca="false">MAX(0,AI9-AI10-Debt!AI125)</f>
        <v>1.87660425989375</v>
      </c>
      <c r="AJ12" s="13" t="n">
        <f aca="false">MAX(0,AJ9-AJ10-Debt!AJ125)</f>
        <v>2.83615188198527</v>
      </c>
      <c r="AK12" s="13" t="n">
        <f aca="false">MAX(0,AK9-AK10-Debt!AK125)</f>
        <v>2.01662868140333</v>
      </c>
      <c r="AL12" s="13" t="n">
        <f aca="false">MAX(0,AL9-AL10-Debt!AL125)</f>
        <v>0.144859698064085</v>
      </c>
      <c r="AM12" s="13" t="n">
        <f aca="false">MAX(0,AM9-AM10-Debt!AM125)</f>
        <v>4.43828813716575</v>
      </c>
      <c r="AN12" s="13" t="n">
        <f aca="false">MAX(0,AN9-AN10-Debt!AN125)</f>
        <v>0.226222026409289</v>
      </c>
      <c r="AO12" s="13" t="n">
        <f aca="false">MAX(0,AO9-AO10-Debt!AO125)</f>
        <v>18.9099965802341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1850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37.251257622229</v>
      </c>
      <c r="P13" s="13" t="n">
        <f aca="false">(1-Time!P37)*(P9-P10+P11-P12)</f>
        <v>37.1623401329773</v>
      </c>
      <c r="Q13" s="13" t="n">
        <f aca="false">(1-Time!Q37)*(Q9-Q10+Q11-Q12)</f>
        <v>37.6301819319643</v>
      </c>
      <c r="R13" s="13" t="n">
        <f aca="false">(1-Time!R37)*(R9-R10+R11-R12)</f>
        <v>37.3386404128919</v>
      </c>
      <c r="S13" s="13" t="n">
        <f aca="false">(1-Time!S37)*(S9-S10+S11-S12)</f>
        <v>37.7566100968678</v>
      </c>
      <c r="T13" s="13" t="n">
        <f aca="false">(1-Time!T37)*(T9-T10+T11-T12)</f>
        <v>37.5760346234822</v>
      </c>
      <c r="U13" s="13" t="n">
        <f aca="false">(1-Time!U37)*(U9-U10+U11-U12)</f>
        <v>38.2933569474188</v>
      </c>
      <c r="V13" s="13" t="n">
        <f aca="false">(1-Time!V37)*(V9-V10+V11-V12)</f>
        <v>38.0285959393786</v>
      </c>
      <c r="W13" s="13" t="n">
        <f aca="false">(1-Time!W37)*(W9-W10+W11-W12)</f>
        <v>36.9320228761269</v>
      </c>
      <c r="X13" s="13" t="n">
        <f aca="false">(1-Time!X37)*(X9-X10+X11-X12)</f>
        <v>36.5755791144381</v>
      </c>
      <c r="Y13" s="13" t="n">
        <f aca="false">(1-Time!Y37)*(Y9-Y10+Y11-Y12)</f>
        <v>36.8765919238743</v>
      </c>
      <c r="Z13" s="13" t="n">
        <f aca="false">(1-Time!Z37)*(Z9-Z10+Z11-Z12)</f>
        <v>36.5794437898221</v>
      </c>
      <c r="AA13" s="13" t="n">
        <f aca="false">(1-Time!AA37)*(AA9-AA10+AA11-AA12)</f>
        <v>37.0099611908214</v>
      </c>
      <c r="AB13" s="13" t="n">
        <f aca="false">(1-Time!AB37)*(AB9-AB10+AB11-AB12)</f>
        <v>36.1961166300996</v>
      </c>
      <c r="AC13" s="13" t="n">
        <f aca="false">(1-Time!AC37)*(AC9-AC10+AC11-AC12)</f>
        <v>36.7497469576111</v>
      </c>
      <c r="AD13" s="13" t="n">
        <f aca="false">(1-Time!AD37)*(AD9-AD10+AD11-AD12)</f>
        <v>35.9683682700249</v>
      </c>
      <c r="AE13" s="13" t="n">
        <f aca="false">(1-Time!AE37)*(AE9-AE10+AE11-AE12)</f>
        <v>35.0138191505378</v>
      </c>
      <c r="AF13" s="13" t="n">
        <f aca="false">(1-Time!AF37)*(AF9-AF10+AF11-AF12)</f>
        <v>33.4913763396325</v>
      </c>
      <c r="AG13" s="13" t="n">
        <f aca="false">(1-Time!AG37)*(AG9-AG10+AG11-AG12)</f>
        <v>32.4089139419481</v>
      </c>
      <c r="AH13" s="13" t="n">
        <f aca="false">(1-Time!AH37)*(AH9-AH10+AH11-AH12)</f>
        <v>30.4487512651555</v>
      </c>
      <c r="AI13" s="13" t="n">
        <f aca="false">(1-Time!AI37)*(AI9-AI10+AI11-AI12)</f>
        <v>28.5721470052618</v>
      </c>
      <c r="AJ13" s="13" t="n">
        <f aca="false">(1-Time!AJ37)*(AJ9-AJ10+AJ11-AJ12)</f>
        <v>25.7359951232765</v>
      </c>
      <c r="AK13" s="13" t="n">
        <f aca="false">(1-Time!AK37)*(AK9-AK10+AK11-AK12)</f>
        <v>23.7193664418732</v>
      </c>
      <c r="AL13" s="13" t="n">
        <f aca="false">(1-Time!AL37)*(AL9-AL10+AL11-AL12)</f>
        <v>23.5745067438091</v>
      </c>
      <c r="AM13" s="13" t="n">
        <f aca="false">(1-Time!AM37)*(AM9-AM10+AM11-AM12)</f>
        <v>19.1362186066434</v>
      </c>
      <c r="AN13" s="13" t="n">
        <f aca="false">(1-Time!AN37)*(AN9-AN10+AN11-AN12)</f>
        <v>18.9099965802341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1851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1852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1853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1854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1856</v>
      </c>
      <c r="E7" s="0" t="s">
        <v>151</v>
      </c>
      <c r="G7" s="13" t="n">
        <f aca="false">SUM(J7:BN7)</f>
        <v>2375.23749490874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1.96693079357017</v>
      </c>
      <c r="P7" s="13" t="n">
        <f aca="false">Operations!P84-Tax!P27-Operations!P96-Reserves!P7+Operations!P79+Operations!P97</f>
        <v>50.2613181699607</v>
      </c>
      <c r="Q7" s="13" t="n">
        <f aca="false">Operations!Q84-Tax!Q27-Operations!Q96-Reserves!Q7+Operations!Q79+Operations!Q97</f>
        <v>50.2005669651641</v>
      </c>
      <c r="R7" s="13" t="n">
        <f aca="false">Operations!R84-Tax!R27-Operations!R96-Reserves!R7+Operations!R79+Operations!R97</f>
        <v>50.8826693326791</v>
      </c>
      <c r="S7" s="13" t="n">
        <f aca="false">Operations!S84-Tax!S27-Operations!S96-Reserves!S7+Operations!S79+Operations!S97</f>
        <v>50.5151194705723</v>
      </c>
      <c r="T7" s="13" t="n">
        <f aca="false">Operations!T84-Tax!T27-Operations!T96-Reserves!T7+Operations!T79+Operations!T97</f>
        <v>51.0760786057203</v>
      </c>
      <c r="U7" s="13" t="n">
        <f aca="false">Operations!U84-Tax!U27-Operations!U96-Reserves!U7+Operations!U79+Operations!U97</f>
        <v>50.8669168176627</v>
      </c>
      <c r="V7" s="13" t="n">
        <f aca="false">Operations!V84-Tax!V27-Operations!V96-Reserves!V7+Operations!V79+Operations!V97</f>
        <v>51.8610103929801</v>
      </c>
      <c r="W7" s="13" t="n">
        <f aca="false">Operations!W84-Tax!W27-Operations!W96-Reserves!W7+Operations!W79+Operations!W97</f>
        <v>51.5638209095596</v>
      </c>
      <c r="X7" s="13" t="n">
        <f aca="false">Operations!X84-Tax!X27-Operations!X96-Reserves!X7+Operations!X79+Operations!X97</f>
        <v>50.1698755126293</v>
      </c>
      <c r="Y7" s="13" t="n">
        <f aca="false">Operations!Y84-Tax!Y27-Operations!Y96-Reserves!Y7+Operations!Y79+Operations!Y97</f>
        <v>49.732832294717</v>
      </c>
      <c r="Z7" s="13" t="n">
        <f aca="false">Operations!Z84-Tax!Z27-Operations!Z96-Reserves!Z7+Operations!Z79+Operations!Z97</f>
        <v>50.178566144176</v>
      </c>
      <c r="AA7" s="13" t="n">
        <f aca="false">Operations!AA84-Tax!AA27-Operations!AA96-Reserves!AA7+Operations!AA79+Operations!AA97</f>
        <v>49.8427369651562</v>
      </c>
      <c r="AB7" s="13" t="n">
        <f aca="false">Operations!AB84-Tax!AB27-Operations!AB96-Reserves!AB7+Operations!AB79+Operations!AB97</f>
        <v>50.5325373406812</v>
      </c>
      <c r="AC7" s="13" t="n">
        <f aca="false">Operations!AC84-Tax!AC27-Operations!AC96-Reserves!AC7+Operations!AC79+Operations!AC97</f>
        <v>50.4161231296168</v>
      </c>
      <c r="AD7" s="13" t="n">
        <f aca="false">Operations!AD84-Tax!AD27-Operations!AD96-Reserves!AD7+Operations!AD79+Operations!AD97</f>
        <v>52.0811568152161</v>
      </c>
      <c r="AE7" s="13" t="n">
        <f aca="false">Operations!AE84-Tax!AE27-Operations!AE96-Reserves!AE7+Operations!AE79+Operations!AE97</f>
        <v>52.4816840589226</v>
      </c>
      <c r="AF7" s="13" t="n">
        <f aca="false">Operations!AF84-Tax!AF27-Operations!AF96-Reserves!AF7+Operations!AF79+Operations!AF97</f>
        <v>52.8002988331638</v>
      </c>
      <c r="AG7" s="13" t="n">
        <f aca="false">Operations!AG84-Tax!AG27-Operations!AG96-Reserves!AG7+Operations!AG79+Operations!AG97</f>
        <v>52.5287653626779</v>
      </c>
      <c r="AH7" s="13" t="n">
        <f aca="false">Operations!AH84-Tax!AH27-Operations!AH96-Reserves!AH7+Operations!AH79+Operations!AH97</f>
        <v>53.3529107961969</v>
      </c>
      <c r="AI7" s="13" t="n">
        <f aca="false">Operations!AI84-Tax!AI27-Operations!AI96-Reserves!AI7+Operations!AI79+Operations!AI97</f>
        <v>52.9931542867936</v>
      </c>
      <c r="AJ7" s="13" t="n">
        <f aca="false">Operations!AJ84-Tax!AJ27-Operations!AJ96-Reserves!AJ7+Operations!AJ79+Operations!AJ97</f>
        <v>53.6390856469102</v>
      </c>
      <c r="AK7" s="13" t="n">
        <f aca="false">Operations!AK84-Tax!AK27-Operations!AK96-Reserves!AK7+Operations!AK79+Operations!AK97</f>
        <v>53.5205290871205</v>
      </c>
      <c r="AL7" s="13" t="n">
        <f aca="false">Operations!AL84-Tax!AL27-Operations!AL96-Reserves!AL7+Operations!AL79+Operations!AL97</f>
        <v>53.9354887382185</v>
      </c>
      <c r="AM7" s="13" t="n">
        <f aca="false">Operations!AM84-Tax!AM27-Operations!AM96-Reserves!AM7+Operations!AM79+Operations!AM97</f>
        <v>48.3823792148439</v>
      </c>
      <c r="AN7" s="13" t="n">
        <f aca="false">Operations!AN84-Tax!AN27-Operations!AN96-Reserves!AN7+Operations!AN79+Operations!AN97</f>
        <v>43.3099289920823</v>
      </c>
      <c r="AO7" s="13" t="n">
        <f aca="false">Operations!AO84-Tax!AO27-Operations!AO96-Reserves!AO7+Operations!AO79+Operations!AO97</f>
        <v>42.4908146488185</v>
      </c>
      <c r="AP7" s="13" t="n">
        <f aca="false">Operations!AP84-Tax!AP27-Operations!AP96-Reserves!AP7+Operations!AP79+Operations!AP97</f>
        <v>42.9287921805194</v>
      </c>
      <c r="AQ7" s="13" t="n">
        <f aca="false">Operations!AQ84-Tax!AQ27-Operations!AQ96-Reserves!AQ7+Operations!AQ79+Operations!AQ97</f>
        <v>42.5218707156227</v>
      </c>
      <c r="AR7" s="13" t="n">
        <f aca="false">Operations!AR84-Tax!AR27-Operations!AR96-Reserves!AR7+Operations!AR79+Operations!AR97</f>
        <v>43.1865043955517</v>
      </c>
      <c r="AS7" s="13" t="n">
        <f aca="false">Operations!AS84-Tax!AS27-Operations!AS96-Reserves!AS7+Operations!AS79+Operations!AS97</f>
        <v>42.9820722284609</v>
      </c>
      <c r="AT7" s="13" t="n">
        <f aca="false">Operations!AT84-Tax!AT27-Operations!AT96-Reserves!AT7+Operations!AT79+Operations!AT97</f>
        <v>50.0008035602997</v>
      </c>
      <c r="AU7" s="13" t="n">
        <f aca="false">Operations!AU84-Tax!AU27-Operations!AU96-Reserves!AU7+Operations!AU79+Operations!AU97</f>
        <v>45.5659911364857</v>
      </c>
      <c r="AV7" s="13" t="n">
        <f aca="false">Operations!AV84-Tax!AV27-Operations!AV96-Reserves!AV7+Operations!AV79+Operations!AV97</f>
        <v>45.7851264059674</v>
      </c>
      <c r="AW7" s="13" t="n">
        <f aca="false">Operations!AW84-Tax!AW27-Operations!AW96-Reserves!AW7+Operations!AW79+Operations!AW97</f>
        <v>45.3789800000648</v>
      </c>
      <c r="AX7" s="13" t="n">
        <f aca="false">Operations!AX84-Tax!AX27-Operations!AX96-Reserves!AX7+Operations!AX79+Operations!AX97</f>
        <v>46.08147176294</v>
      </c>
      <c r="AY7" s="13" t="n">
        <f aca="false">Operations!AY84-Tax!AY27-Operations!AY96-Reserves!AY7+Operations!AY79+Operations!AY97</f>
        <v>45.7203887237585</v>
      </c>
      <c r="AZ7" s="13" t="n">
        <f aca="false">Operations!AZ84-Tax!AZ27-Operations!AZ96-Reserves!AZ7+Operations!AZ79+Operations!AZ97</f>
        <v>46.527943301452</v>
      </c>
      <c r="BA7" s="13" t="n">
        <f aca="false">Operations!BA84-Tax!BA27-Operations!BA96-Reserves!BA7+Operations!BA79+Operations!BA97</f>
        <v>46.3249983033057</v>
      </c>
      <c r="BB7" s="13" t="n">
        <f aca="false">Operations!BB84-Tax!BB27-Operations!BB96-Reserves!BB7+Operations!BB79+Operations!BB97</f>
        <v>48.5921590971659</v>
      </c>
      <c r="BC7" s="13" t="n">
        <f aca="false">Operations!BC84-Tax!BC27-Operations!BC96-Reserves!BC7+Operations!BC79+Operations!BC97</f>
        <v>45.3166402806248</v>
      </c>
      <c r="BD7" s="13" t="n">
        <f aca="false">Operations!BD84-Tax!BD27-Operations!BD96-Reserves!BD7+Operations!BD79+Operations!BD97</f>
        <v>39.4344262683719</v>
      </c>
      <c r="BE7" s="13" t="n">
        <f aca="false">Operations!BE84-Tax!BE27-Operations!BE96-Reserves!BE7+Operations!BE79+Operations!BE97</f>
        <v>39.0789353792504</v>
      </c>
      <c r="BF7" s="13" t="n">
        <f aca="false">Operations!BF84-Tax!BF27-Operations!BF96-Reserves!BF7+Operations!BF79+Operations!BF97</f>
        <v>39.9327303484242</v>
      </c>
      <c r="BG7" s="13" t="n">
        <f aca="false">Operations!BG84-Tax!BG27-Operations!BG96-Reserves!BG7+Operations!BG79+Operations!BG97</f>
        <v>39.6060167547826</v>
      </c>
      <c r="BH7" s="13" t="n">
        <f aca="false">Operations!BH84-Tax!BH27-Operations!BH96-Reserves!BH7+Operations!BH79+Operations!BH97</f>
        <v>40.5524888358097</v>
      </c>
      <c r="BI7" s="13" t="n">
        <f aca="false">Operations!BI84-Tax!BI27-Operations!BI96-Reserves!BI7+Operations!BI79+Operations!BI97</f>
        <v>40.3265089421956</v>
      </c>
      <c r="BJ7" s="13" t="n">
        <f aca="false">Operations!BJ84-Tax!BJ27-Operations!BJ96-Reserves!BJ7+Operations!BJ79+Operations!BJ97</f>
        <v>48.4902514383984</v>
      </c>
      <c r="BK7" s="13" t="n">
        <f aca="false">Operations!BK84-Tax!BK27-Operations!BK96-Reserves!BK7+Operations!BK79+Operations!BK97</f>
        <v>43.3159916381665</v>
      </c>
      <c r="BL7" s="13" t="n">
        <f aca="false">Operations!BL84-Tax!BL27-Operations!BL96-Reserves!BL7+Operations!BL79+Operations!BL97</f>
        <v>44.3217909334764</v>
      </c>
      <c r="BM7" s="13" t="n">
        <f aca="false">Operations!BM84-Tax!BM27-Operations!BM96-Reserves!BM7+Operations!BM79+Operations!BM97</f>
        <v>41.6813129518327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1857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1.9615686084365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1858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1.96693079357017</v>
      </c>
      <c r="P9" s="13" t="n">
        <f aca="false">P7+P8</f>
        <v>52.2228867783972</v>
      </c>
      <c r="Q9" s="13" t="n">
        <f aca="false">Q7+Q8</f>
        <v>50.2005669651641</v>
      </c>
      <c r="R9" s="13" t="n">
        <f aca="false">R7+R8</f>
        <v>50.8826693326791</v>
      </c>
      <c r="S9" s="13" t="n">
        <f aca="false">S7+S8</f>
        <v>50.5151194705723</v>
      </c>
      <c r="T9" s="13" t="n">
        <f aca="false">T7+T8</f>
        <v>51.0760786057203</v>
      </c>
      <c r="U9" s="13" t="n">
        <f aca="false">U7+U8</f>
        <v>50.8669168176627</v>
      </c>
      <c r="V9" s="13" t="n">
        <f aca="false">V7+V8</f>
        <v>51.8610103929801</v>
      </c>
      <c r="W9" s="13" t="n">
        <f aca="false">W7+W8</f>
        <v>51.5638209095596</v>
      </c>
      <c r="X9" s="13" t="n">
        <f aca="false">X7+X8</f>
        <v>50.1698755126293</v>
      </c>
      <c r="Y9" s="13" t="n">
        <f aca="false">Y7+Y8</f>
        <v>49.732832294717</v>
      </c>
      <c r="Z9" s="13" t="n">
        <f aca="false">Z7+Z8</f>
        <v>50.178566144176</v>
      </c>
      <c r="AA9" s="13" t="n">
        <f aca="false">AA7+AA8</f>
        <v>49.8427369651562</v>
      </c>
      <c r="AB9" s="13" t="n">
        <f aca="false">AB7+AB8</f>
        <v>50.5325373406812</v>
      </c>
      <c r="AC9" s="13" t="n">
        <f aca="false">AC7+AC8</f>
        <v>50.4161231296168</v>
      </c>
      <c r="AD9" s="13" t="n">
        <f aca="false">AD7+AD8</f>
        <v>52.0811568152161</v>
      </c>
      <c r="AE9" s="13" t="n">
        <f aca="false">AE7+AE8</f>
        <v>52.4816840589226</v>
      </c>
      <c r="AF9" s="13" t="n">
        <f aca="false">AF7+AF8</f>
        <v>52.8002988331638</v>
      </c>
      <c r="AG9" s="13" t="n">
        <f aca="false">AG7+AG8</f>
        <v>52.5287653626779</v>
      </c>
      <c r="AH9" s="13" t="n">
        <f aca="false">AH7+AH8</f>
        <v>53.3529107961969</v>
      </c>
      <c r="AI9" s="13" t="n">
        <f aca="false">AI7+AI8</f>
        <v>52.9931542867936</v>
      </c>
      <c r="AJ9" s="13" t="n">
        <f aca="false">AJ7+AJ8</f>
        <v>53.6390856469102</v>
      </c>
      <c r="AK9" s="13" t="n">
        <f aca="false">AK7+AK8</f>
        <v>53.5205290871205</v>
      </c>
      <c r="AL9" s="13" t="n">
        <f aca="false">AL7+AL8</f>
        <v>53.9354887382185</v>
      </c>
      <c r="AM9" s="13" t="n">
        <f aca="false">AM7+AM8</f>
        <v>48.3823792148439</v>
      </c>
      <c r="AN9" s="13" t="n">
        <f aca="false">AN7+AN8</f>
        <v>43.3099289920823</v>
      </c>
      <c r="AO9" s="13" t="n">
        <f aca="false">AO7+AO8</f>
        <v>42.4908146488185</v>
      </c>
      <c r="AP9" s="13" t="n">
        <f aca="false">AP7+AP8</f>
        <v>42.9287921805194</v>
      </c>
      <c r="AQ9" s="13" t="n">
        <f aca="false">AQ7+AQ8</f>
        <v>42.5218707156227</v>
      </c>
      <c r="AR9" s="13" t="n">
        <f aca="false">AR7+AR8</f>
        <v>43.1865043955517</v>
      </c>
      <c r="AS9" s="13" t="n">
        <f aca="false">AS7+AS8</f>
        <v>42.9820722284609</v>
      </c>
      <c r="AT9" s="13" t="n">
        <f aca="false">AT7+AT8</f>
        <v>50.0008035602997</v>
      </c>
      <c r="AU9" s="13" t="n">
        <f aca="false">AU7+AU8</f>
        <v>45.5659911364857</v>
      </c>
      <c r="AV9" s="13" t="n">
        <f aca="false">AV7+AV8</f>
        <v>45.7851264059674</v>
      </c>
      <c r="AW9" s="13" t="n">
        <f aca="false">AW7+AW8</f>
        <v>45.3789800000648</v>
      </c>
      <c r="AX9" s="13" t="n">
        <f aca="false">AX7+AX8</f>
        <v>46.08147176294</v>
      </c>
      <c r="AY9" s="13" t="n">
        <f aca="false">AY7+AY8</f>
        <v>45.7203887237585</v>
      </c>
      <c r="AZ9" s="13" t="n">
        <f aca="false">AZ7+AZ8</f>
        <v>46.527943301452</v>
      </c>
      <c r="BA9" s="13" t="n">
        <f aca="false">BA7+BA8</f>
        <v>46.3249983033057</v>
      </c>
      <c r="BB9" s="13" t="n">
        <f aca="false">BB7+BB8</f>
        <v>48.5921590971659</v>
      </c>
      <c r="BC9" s="13" t="n">
        <f aca="false">BC7+BC8</f>
        <v>45.3166402806248</v>
      </c>
      <c r="BD9" s="13" t="n">
        <f aca="false">BD7+BD8</f>
        <v>39.4344262683719</v>
      </c>
      <c r="BE9" s="13" t="n">
        <f aca="false">BE7+BE8</f>
        <v>39.0789353792504</v>
      </c>
      <c r="BF9" s="13" t="n">
        <f aca="false">BF7+BF8</f>
        <v>39.9327303484242</v>
      </c>
      <c r="BG9" s="13" t="n">
        <f aca="false">BG7+BG8</f>
        <v>39.6060167547826</v>
      </c>
      <c r="BH9" s="13" t="n">
        <f aca="false">BH7+BH8</f>
        <v>40.5524888358097</v>
      </c>
      <c r="BI9" s="13" t="n">
        <f aca="false">BI7+BI8</f>
        <v>40.3265089421956</v>
      </c>
      <c r="BJ9" s="13" t="n">
        <f aca="false">BJ7+BJ8</f>
        <v>48.4902514383984</v>
      </c>
      <c r="BK9" s="13" t="n">
        <f aca="false">BK7+BK8</f>
        <v>43.3159916381665</v>
      </c>
      <c r="BL9" s="13" t="n">
        <f aca="false">BL7+BL8</f>
        <v>44.3217909334764</v>
      </c>
      <c r="BM9" s="13" t="n">
        <f aca="false">BM7+BM8</f>
        <v>41.6813129518327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1859</v>
      </c>
      <c r="E10" s="0" t="s">
        <v>151</v>
      </c>
      <c r="G10" s="13" t="n">
        <f aca="false">SUM(J10:BN10)</f>
        <v>848.959963523502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37.251257622229</v>
      </c>
      <c r="Q10" s="13" t="n">
        <f aca="false">Debt!Q114+Debt!Q110</f>
        <v>37.1623401329773</v>
      </c>
      <c r="R10" s="13" t="n">
        <f aca="false">Debt!R114+Debt!R110</f>
        <v>37.6301819319643</v>
      </c>
      <c r="S10" s="13" t="n">
        <f aca="false">Debt!S114+Debt!S110</f>
        <v>37.3386404128919</v>
      </c>
      <c r="T10" s="13" t="n">
        <f aca="false">Debt!T114+Debt!T110</f>
        <v>37.7566100968678</v>
      </c>
      <c r="U10" s="13" t="n">
        <f aca="false">Debt!U114+Debt!U110</f>
        <v>37.5760346234822</v>
      </c>
      <c r="V10" s="13" t="n">
        <f aca="false">Debt!V114+Debt!V110</f>
        <v>38.2933569474188</v>
      </c>
      <c r="W10" s="13" t="n">
        <f aca="false">Debt!W114+Debt!W110</f>
        <v>38.0285959393786</v>
      </c>
      <c r="X10" s="13" t="n">
        <f aca="false">Debt!X114+Debt!X110</f>
        <v>36.9320228761269</v>
      </c>
      <c r="Y10" s="13" t="n">
        <f aca="false">Debt!Y114+Debt!Y110</f>
        <v>36.5755791144381</v>
      </c>
      <c r="Z10" s="13" t="n">
        <f aca="false">Debt!Z114+Debt!Z110</f>
        <v>36.8765919238743</v>
      </c>
      <c r="AA10" s="13" t="n">
        <f aca="false">Debt!AA114+Debt!AA110</f>
        <v>36.5794437898221</v>
      </c>
      <c r="AB10" s="13" t="n">
        <f aca="false">Debt!AB114+Debt!AB110</f>
        <v>36.3390792521163</v>
      </c>
      <c r="AC10" s="13" t="n">
        <f aca="false">Debt!AC114+Debt!AC110</f>
        <v>35.3764783215845</v>
      </c>
      <c r="AD10" s="13" t="n">
        <f aca="false">Debt!AD114+Debt!AD110</f>
        <v>35.883268269232</v>
      </c>
      <c r="AE10" s="13" t="n">
        <f aca="false">Debt!AE114+Debt!AE110</f>
        <v>34.8863514346759</v>
      </c>
      <c r="AF10" s="13" t="n">
        <f aca="false">Debt!AF114+Debt!AF110</f>
        <v>33.7331422202681</v>
      </c>
      <c r="AG10" s="13" t="n">
        <f aca="false">Debt!AG114+Debt!AG110</f>
        <v>31.9410287738337</v>
      </c>
      <c r="AH10" s="13" t="n">
        <f aca="false">Debt!AH114+Debt!AH110</f>
        <v>30.5886708652492</v>
      </c>
      <c r="AI10" s="13" t="n">
        <f aca="false">Debt!AI114+Debt!AI110</f>
        <v>28.1462409680444</v>
      </c>
      <c r="AJ10" s="13" t="n">
        <f aca="false">Debt!AJ114+Debt!AJ110</f>
        <v>25.6888793352256</v>
      </c>
      <c r="AK10" s="13" t="n">
        <f aca="false">Debt!AK114+Debt!AK110</f>
        <v>23.0360802992411</v>
      </c>
      <c r="AL10" s="13" t="n">
        <f aca="false">Debt!AL114+Debt!AL110</f>
        <v>23.7193664418732</v>
      </c>
      <c r="AM10" s="13" t="n">
        <f aca="false">Debt!AM114+Debt!AM110</f>
        <v>23.5745067438091</v>
      </c>
      <c r="AN10" s="13" t="n">
        <f aca="false">Debt!AN114+Debt!AN110</f>
        <v>19.1362186066434</v>
      </c>
      <c r="AO10" s="13" t="n">
        <f aca="false">Debt!AO114+Debt!AO110</f>
        <v>18.9099965802341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1860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1861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1862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1.96693079357017</v>
      </c>
      <c r="P13" s="13" t="n">
        <f aca="false">MAX(0,P9-P10)</f>
        <v>14.9716291561681</v>
      </c>
      <c r="Q13" s="13" t="n">
        <f aca="false">MAX(0,Q9-Q10)</f>
        <v>13.0382268321868</v>
      </c>
      <c r="R13" s="13" t="n">
        <f aca="false">MAX(0,R9-R10)</f>
        <v>13.2524874007148</v>
      </c>
      <c r="S13" s="13" t="n">
        <f aca="false">MAX(0,S9-S10)</f>
        <v>13.1764790576805</v>
      </c>
      <c r="T13" s="13" t="n">
        <f aca="false">MAX(0,T9-T10)</f>
        <v>13.3194685088524</v>
      </c>
      <c r="U13" s="13" t="n">
        <f aca="false">MAX(0,U9-U10)</f>
        <v>13.2908821941805</v>
      </c>
      <c r="V13" s="13" t="n">
        <f aca="false">MAX(0,V9-V10)</f>
        <v>13.5676534455613</v>
      </c>
      <c r="W13" s="13" t="n">
        <f aca="false">MAX(0,W9-W10)</f>
        <v>13.535224970181</v>
      </c>
      <c r="X13" s="13" t="n">
        <f aca="false">MAX(0,X9-X10)</f>
        <v>13.2378526365025</v>
      </c>
      <c r="Y13" s="13" t="n">
        <f aca="false">MAX(0,Y9-Y10)</f>
        <v>13.1572531802789</v>
      </c>
      <c r="Z13" s="13" t="n">
        <f aca="false">MAX(0,Z9-Z10)</f>
        <v>13.3019742203017</v>
      </c>
      <c r="AA13" s="13" t="n">
        <f aca="false">MAX(0,AA9-AA10)</f>
        <v>13.2632931753341</v>
      </c>
      <c r="AB13" s="13" t="n">
        <f aca="false">MAX(0,AB9-AB10)</f>
        <v>14.1934580885649</v>
      </c>
      <c r="AC13" s="13" t="n">
        <f aca="false">MAX(0,AC9-AC10)</f>
        <v>15.0396448080324</v>
      </c>
      <c r="AD13" s="13" t="n">
        <f aca="false">MAX(0,AD9-AD10)</f>
        <v>16.1978885459841</v>
      </c>
      <c r="AE13" s="13" t="n">
        <f aca="false">MAX(0,AE9-AE10)</f>
        <v>17.5953326242466</v>
      </c>
      <c r="AF13" s="13" t="n">
        <f aca="false">MAX(0,AF9-AF10)</f>
        <v>19.0671566128957</v>
      </c>
      <c r="AG13" s="13" t="n">
        <f aca="false">MAX(0,AG9-AG10)</f>
        <v>20.5877365888442</v>
      </c>
      <c r="AH13" s="13" t="n">
        <f aca="false">MAX(0,AH9-AH10)</f>
        <v>22.7642399309478</v>
      </c>
      <c r="AI13" s="13" t="n">
        <f aca="false">MAX(0,AI9-AI10)</f>
        <v>24.8469133187493</v>
      </c>
      <c r="AJ13" s="13" t="n">
        <f aca="false">MAX(0,AJ9-AJ10)</f>
        <v>27.9502063116847</v>
      </c>
      <c r="AK13" s="13" t="n">
        <f aca="false">MAX(0,AK9-AK10)</f>
        <v>30.4844487878793</v>
      </c>
      <c r="AL13" s="13" t="n">
        <f aca="false">MAX(0,AL9-AL10)</f>
        <v>30.2161222963453</v>
      </c>
      <c r="AM13" s="13" t="n">
        <f aca="false">MAX(0,AM9-AM10)</f>
        <v>24.8078724710348</v>
      </c>
      <c r="AN13" s="13" t="n">
        <f aca="false">MAX(0,AN9-AN10)</f>
        <v>24.1737103854389</v>
      </c>
      <c r="AO13" s="13" t="n">
        <f aca="false">MAX(0,AO9-AO10)</f>
        <v>23.5808180685844</v>
      </c>
      <c r="AP13" s="13" t="n">
        <f aca="false">MAX(0,AP9-AP10)</f>
        <v>42.9287921805194</v>
      </c>
      <c r="AQ13" s="13" t="n">
        <f aca="false">MAX(0,AQ9-AQ10)</f>
        <v>42.5218707156227</v>
      </c>
      <c r="AR13" s="13" t="n">
        <f aca="false">MAX(0,AR9-AR10)</f>
        <v>43.1865043955517</v>
      </c>
      <c r="AS13" s="13" t="n">
        <f aca="false">MAX(0,AS9-AS10)</f>
        <v>42.9820722284609</v>
      </c>
      <c r="AT13" s="13" t="n">
        <f aca="false">MAX(0,AT9-AT10)</f>
        <v>50.0008035602997</v>
      </c>
      <c r="AU13" s="13" t="n">
        <f aca="false">MAX(0,AU9-AU10)</f>
        <v>45.5659911364857</v>
      </c>
      <c r="AV13" s="13" t="n">
        <f aca="false">MAX(0,AV9-AV10)</f>
        <v>45.7851264059674</v>
      </c>
      <c r="AW13" s="13" t="n">
        <f aca="false">MAX(0,AW9-AW10)</f>
        <v>45.3789800000648</v>
      </c>
      <c r="AX13" s="13" t="n">
        <f aca="false">MAX(0,AX9-AX10)</f>
        <v>46.08147176294</v>
      </c>
      <c r="AY13" s="13" t="n">
        <f aca="false">MAX(0,AY9-AY10)</f>
        <v>45.7203887237585</v>
      </c>
      <c r="AZ13" s="13" t="n">
        <f aca="false">MAX(0,AZ9-AZ10)</f>
        <v>46.527943301452</v>
      </c>
      <c r="BA13" s="13" t="n">
        <f aca="false">MAX(0,BA9-BA10)</f>
        <v>46.3249983033057</v>
      </c>
      <c r="BB13" s="13" t="n">
        <f aca="false">MAX(0,BB9-BB10)</f>
        <v>48.5921590971659</v>
      </c>
      <c r="BC13" s="13" t="n">
        <f aca="false">MAX(0,BC9-BC10)</f>
        <v>45.3166402806248</v>
      </c>
      <c r="BD13" s="13" t="n">
        <f aca="false">MAX(0,BD9-BD10)</f>
        <v>39.4344262683719</v>
      </c>
      <c r="BE13" s="13" t="n">
        <f aca="false">MAX(0,BE9-BE10)</f>
        <v>39.0789353792504</v>
      </c>
      <c r="BF13" s="13" t="n">
        <f aca="false">MAX(0,BF9-BF10)</f>
        <v>39.9327303484242</v>
      </c>
      <c r="BG13" s="13" t="n">
        <f aca="false">MAX(0,BG9-BG10)</f>
        <v>39.6060167547826</v>
      </c>
      <c r="BH13" s="13" t="n">
        <f aca="false">MAX(0,BH9-BH10)</f>
        <v>40.5524888358097</v>
      </c>
      <c r="BI13" s="13" t="n">
        <f aca="false">MAX(0,BI9-BI10)</f>
        <v>40.3265089421956</v>
      </c>
      <c r="BJ13" s="13" t="n">
        <f aca="false">MAX(0,BJ9-BJ10)</f>
        <v>48.4902514383984</v>
      </c>
      <c r="BK13" s="13" t="n">
        <f aca="false">MAX(0,BK9-BK10)</f>
        <v>43.3159916381665</v>
      </c>
      <c r="BL13" s="13" t="n">
        <f aca="false">MAX(0,BL9-BL10)</f>
        <v>44.3217909334764</v>
      </c>
      <c r="BM13" s="13" t="n">
        <f aca="false">MAX(0,BM9-BM10)</f>
        <v>41.6813129518327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1863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1.9615686084365</v>
      </c>
      <c r="P14" s="13" t="n">
        <f aca="false">P13-Reserves!P11+Reserves!P12</f>
        <v>15.0605466454198</v>
      </c>
      <c r="Q14" s="13" t="n">
        <f aca="false">Q13-Reserves!Q11+Reserves!Q12</f>
        <v>12.5703850331998</v>
      </c>
      <c r="R14" s="13" t="n">
        <f aca="false">R13-Reserves!R11+Reserves!R12</f>
        <v>13.5440289197872</v>
      </c>
      <c r="S14" s="13" t="n">
        <f aca="false">S13-Reserves!S11+Reserves!S12</f>
        <v>12.7585093737045</v>
      </c>
      <c r="T14" s="13" t="n">
        <f aca="false">T13-Reserves!T11+Reserves!T12</f>
        <v>13.500043982238</v>
      </c>
      <c r="U14" s="13" t="n">
        <f aca="false">U13-Reserves!U11+Reserves!U12</f>
        <v>12.5735598702439</v>
      </c>
      <c r="V14" s="13" t="n">
        <f aca="false">V13-Reserves!V11+Reserves!V12</f>
        <v>13.8324144536015</v>
      </c>
      <c r="W14" s="13" t="n">
        <f aca="false">W13-Reserves!W11+Reserves!W12</f>
        <v>14.6317980334328</v>
      </c>
      <c r="X14" s="13" t="n">
        <f aca="false">X13-Reserves!X11+Reserves!X12</f>
        <v>13.5942963981912</v>
      </c>
      <c r="Y14" s="13" t="n">
        <f aca="false">Y13-Reserves!Y11+Reserves!Y12</f>
        <v>12.8562403708427</v>
      </c>
      <c r="Z14" s="13" t="n">
        <f aca="false">Z13-Reserves!Z11+Reserves!Z12</f>
        <v>13.5991223543539</v>
      </c>
      <c r="AA14" s="13" t="n">
        <f aca="false">AA13-Reserves!AA11+Reserves!AA12</f>
        <v>12.8327757743349</v>
      </c>
      <c r="AB14" s="13" t="n">
        <f aca="false">AB13-Reserves!AB11+Reserves!AB12</f>
        <v>15.0073026492868</v>
      </c>
      <c r="AC14" s="13" t="n">
        <f aca="false">AC13-Reserves!AC11+Reserves!AC12</f>
        <v>14.4860144805208</v>
      </c>
      <c r="AD14" s="13" t="n">
        <f aca="false">AD13-Reserves!AD11+Reserves!AD12</f>
        <v>16.9792672335703</v>
      </c>
      <c r="AE14" s="13" t="n">
        <f aca="false">AE13-Reserves!AE11+Reserves!AE12</f>
        <v>18.5498817437337</v>
      </c>
      <c r="AF14" s="13" t="n">
        <f aca="false">AF13-Reserves!AF11+Reserves!AF12</f>
        <v>20.5895994238011</v>
      </c>
      <c r="AG14" s="13" t="n">
        <f aca="false">AG13-Reserves!AG11+Reserves!AG12</f>
        <v>21.6701989865286</v>
      </c>
      <c r="AH14" s="13" t="n">
        <f aca="false">AH13-Reserves!AH11+Reserves!AH12</f>
        <v>24.7244026077403</v>
      </c>
      <c r="AI14" s="13" t="n">
        <f aca="false">AI13-Reserves!AI11+Reserves!AI12</f>
        <v>26.723517578643</v>
      </c>
      <c r="AJ14" s="13" t="n">
        <f aca="false">AJ13-Reserves!AJ11+Reserves!AJ12</f>
        <v>30.7863581936699</v>
      </c>
      <c r="AK14" s="13" t="n">
        <f aca="false">AK13-Reserves!AK11+Reserves!AK12</f>
        <v>32.5010774692826</v>
      </c>
      <c r="AL14" s="13" t="n">
        <f aca="false">AL13-Reserves!AL11+Reserves!AL12</f>
        <v>30.3609819944094</v>
      </c>
      <c r="AM14" s="13" t="n">
        <f aca="false">AM13-Reserves!AM11+Reserves!AM12</f>
        <v>29.2461606082006</v>
      </c>
      <c r="AN14" s="13" t="n">
        <f aca="false">AN13-Reserves!AN11+Reserves!AN12</f>
        <v>24.3999324118482</v>
      </c>
      <c r="AO14" s="13" t="n">
        <f aca="false">AO13-Reserves!AO11+Reserves!AO12</f>
        <v>42.4908146488185</v>
      </c>
      <c r="AP14" s="13" t="n">
        <f aca="false">AP13-Reserves!AP11+Reserves!AP12</f>
        <v>42.9287921805194</v>
      </c>
      <c r="AQ14" s="13" t="n">
        <f aca="false">AQ13-Reserves!AQ11+Reserves!AQ12</f>
        <v>42.5218707156227</v>
      </c>
      <c r="AR14" s="13" t="n">
        <f aca="false">AR13-Reserves!AR11+Reserves!AR12</f>
        <v>43.1865043955517</v>
      </c>
      <c r="AS14" s="13" t="n">
        <f aca="false">AS13-Reserves!AS11+Reserves!AS12</f>
        <v>42.9820722284609</v>
      </c>
      <c r="AT14" s="13" t="n">
        <f aca="false">AT13-Reserves!AT11+Reserves!AT12</f>
        <v>50.0008035602997</v>
      </c>
      <c r="AU14" s="13" t="n">
        <f aca="false">AU13-Reserves!AU11+Reserves!AU12</f>
        <v>45.5659911364857</v>
      </c>
      <c r="AV14" s="13" t="n">
        <f aca="false">AV13-Reserves!AV11+Reserves!AV12</f>
        <v>45.7851264059674</v>
      </c>
      <c r="AW14" s="13" t="n">
        <f aca="false">AW13-Reserves!AW11+Reserves!AW12</f>
        <v>45.3789800000648</v>
      </c>
      <c r="AX14" s="13" t="n">
        <f aca="false">AX13-Reserves!AX11+Reserves!AX12</f>
        <v>46.08147176294</v>
      </c>
      <c r="AY14" s="13" t="n">
        <f aca="false">AY13-Reserves!AY11+Reserves!AY12</f>
        <v>45.7203887237585</v>
      </c>
      <c r="AZ14" s="13" t="n">
        <f aca="false">AZ13-Reserves!AZ11+Reserves!AZ12</f>
        <v>46.527943301452</v>
      </c>
      <c r="BA14" s="13" t="n">
        <f aca="false">BA13-Reserves!BA11+Reserves!BA12</f>
        <v>46.3249983033057</v>
      </c>
      <c r="BB14" s="13" t="n">
        <f aca="false">BB13-Reserves!BB11+Reserves!BB12</f>
        <v>48.5921590971659</v>
      </c>
      <c r="BC14" s="13" t="n">
        <f aca="false">BC13-Reserves!BC11+Reserves!BC12</f>
        <v>45.3166402806248</v>
      </c>
      <c r="BD14" s="13" t="n">
        <f aca="false">BD13-Reserves!BD11+Reserves!BD12</f>
        <v>39.4344262683719</v>
      </c>
      <c r="BE14" s="13" t="n">
        <f aca="false">BE13-Reserves!BE11+Reserves!BE12</f>
        <v>39.0789353792504</v>
      </c>
      <c r="BF14" s="13" t="n">
        <f aca="false">BF13-Reserves!BF11+Reserves!BF12</f>
        <v>39.9327303484242</v>
      </c>
      <c r="BG14" s="13" t="n">
        <f aca="false">BG13-Reserves!BG11+Reserves!BG12</f>
        <v>39.6060167547826</v>
      </c>
      <c r="BH14" s="13" t="n">
        <f aca="false">BH13-Reserves!BH11+Reserves!BH12</f>
        <v>40.5524888358097</v>
      </c>
      <c r="BI14" s="13" t="n">
        <f aca="false">BI13-Reserves!BI11+Reserves!BI12</f>
        <v>40.3265089421956</v>
      </c>
      <c r="BJ14" s="13" t="n">
        <f aca="false">BJ13-Reserves!BJ11+Reserves!BJ12</f>
        <v>48.4902514383984</v>
      </c>
      <c r="BK14" s="13" t="n">
        <f aca="false">BK13-Reserves!BK11+Reserves!BK12</f>
        <v>43.3159916381665</v>
      </c>
      <c r="BL14" s="13" t="n">
        <f aca="false">BL13-Reserves!BL11+Reserves!BL12</f>
        <v>44.3217909334764</v>
      </c>
      <c r="BM14" s="13" t="n">
        <f aca="false">BM13-Reserves!BM11+Reserves!BM12</f>
        <v>41.6813129518327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1864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1.9615686084365</v>
      </c>
      <c r="P15" s="13" t="n">
        <f aca="false">P14-Reserves!P14+Reserves!P15</f>
        <v>15.0605466454198</v>
      </c>
      <c r="Q15" s="13" t="n">
        <f aca="false">Q14-Reserves!Q14+Reserves!Q15</f>
        <v>12.5703850331998</v>
      </c>
      <c r="R15" s="13" t="n">
        <f aca="false">R14-Reserves!R14+Reserves!R15</f>
        <v>13.5440289197872</v>
      </c>
      <c r="S15" s="13" t="n">
        <f aca="false">S14-Reserves!S14+Reserves!S15</f>
        <v>12.7585093737045</v>
      </c>
      <c r="T15" s="13" t="n">
        <f aca="false">T14-Reserves!T14+Reserves!T15</f>
        <v>13.500043982238</v>
      </c>
      <c r="U15" s="13" t="n">
        <f aca="false">U14-Reserves!U14+Reserves!U15</f>
        <v>12.5735598702439</v>
      </c>
      <c r="V15" s="13" t="n">
        <f aca="false">V14-Reserves!V14+Reserves!V15</f>
        <v>13.8324144536015</v>
      </c>
      <c r="W15" s="13" t="n">
        <f aca="false">W14-Reserves!W14+Reserves!W15</f>
        <v>14.6317980334328</v>
      </c>
      <c r="X15" s="13" t="n">
        <f aca="false">X14-Reserves!X14+Reserves!X15</f>
        <v>13.5942963981912</v>
      </c>
      <c r="Y15" s="13" t="n">
        <f aca="false">Y14-Reserves!Y14+Reserves!Y15</f>
        <v>12.8562403708427</v>
      </c>
      <c r="Z15" s="13" t="n">
        <f aca="false">Z14-Reserves!Z14+Reserves!Z15</f>
        <v>13.5991223543539</v>
      </c>
      <c r="AA15" s="13" t="n">
        <f aca="false">AA14-Reserves!AA14+Reserves!AA15</f>
        <v>12.8327757743349</v>
      </c>
      <c r="AB15" s="13" t="n">
        <f aca="false">AB14-Reserves!AB14+Reserves!AB15</f>
        <v>15.0073026492868</v>
      </c>
      <c r="AC15" s="13" t="n">
        <f aca="false">AC14-Reserves!AC14+Reserves!AC15</f>
        <v>14.4860144805208</v>
      </c>
      <c r="AD15" s="13" t="n">
        <f aca="false">AD14-Reserves!AD14+Reserves!AD15</f>
        <v>16.9792672335703</v>
      </c>
      <c r="AE15" s="13" t="n">
        <f aca="false">AE14-Reserves!AE14+Reserves!AE15</f>
        <v>18.5498817437337</v>
      </c>
      <c r="AF15" s="13" t="n">
        <f aca="false">AF14-Reserves!AF14+Reserves!AF15</f>
        <v>20.5895994238011</v>
      </c>
      <c r="AG15" s="13" t="n">
        <f aca="false">AG14-Reserves!AG14+Reserves!AG15</f>
        <v>21.6701989865286</v>
      </c>
      <c r="AH15" s="13" t="n">
        <f aca="false">AH14-Reserves!AH14+Reserves!AH15</f>
        <v>24.7244026077403</v>
      </c>
      <c r="AI15" s="13" t="n">
        <f aca="false">AI14-Reserves!AI14+Reserves!AI15</f>
        <v>26.723517578643</v>
      </c>
      <c r="AJ15" s="13" t="n">
        <f aca="false">AJ14-Reserves!AJ14+Reserves!AJ15</f>
        <v>30.7863581936699</v>
      </c>
      <c r="AK15" s="13" t="n">
        <f aca="false">AK14-Reserves!AK14+Reserves!AK15</f>
        <v>32.5010774692826</v>
      </c>
      <c r="AL15" s="13" t="n">
        <f aca="false">AL14-Reserves!AL14+Reserves!AL15</f>
        <v>30.3609819944094</v>
      </c>
      <c r="AM15" s="13" t="n">
        <f aca="false">AM14-Reserves!AM14+Reserves!AM15</f>
        <v>29.2461606082006</v>
      </c>
      <c r="AN15" s="13" t="n">
        <f aca="false">AN14-Reserves!AN14+Reserves!AN15</f>
        <v>24.3999324118482</v>
      </c>
      <c r="AO15" s="13" t="n">
        <f aca="false">AO14-Reserves!AO14+Reserves!AO15</f>
        <v>42.4908146488185</v>
      </c>
      <c r="AP15" s="13" t="n">
        <f aca="false">AP14-Reserves!AP14+Reserves!AP15</f>
        <v>42.9287921805194</v>
      </c>
      <c r="AQ15" s="13" t="n">
        <f aca="false">AQ14-Reserves!AQ14+Reserves!AQ15</f>
        <v>42.5218707156227</v>
      </c>
      <c r="AR15" s="13" t="n">
        <f aca="false">AR14-Reserves!AR14+Reserves!AR15</f>
        <v>43.1865043955517</v>
      </c>
      <c r="AS15" s="13" t="n">
        <f aca="false">AS14-Reserves!AS14+Reserves!AS15</f>
        <v>42.9820722284609</v>
      </c>
      <c r="AT15" s="13" t="n">
        <f aca="false">AT14-Reserves!AT14+Reserves!AT15</f>
        <v>50.0008035602997</v>
      </c>
      <c r="AU15" s="13" t="n">
        <f aca="false">AU14-Reserves!AU14+Reserves!AU15</f>
        <v>45.5659911364857</v>
      </c>
      <c r="AV15" s="13" t="n">
        <f aca="false">AV14-Reserves!AV14+Reserves!AV15</f>
        <v>45.7851264059674</v>
      </c>
      <c r="AW15" s="13" t="n">
        <f aca="false">AW14-Reserves!AW14+Reserves!AW15</f>
        <v>45.3789800000648</v>
      </c>
      <c r="AX15" s="13" t="n">
        <f aca="false">AX14-Reserves!AX14+Reserves!AX15</f>
        <v>46.08147176294</v>
      </c>
      <c r="AY15" s="13" t="n">
        <f aca="false">AY14-Reserves!AY14+Reserves!AY15</f>
        <v>45.7203887237585</v>
      </c>
      <c r="AZ15" s="13" t="n">
        <f aca="false">AZ14-Reserves!AZ14+Reserves!AZ15</f>
        <v>46.527943301452</v>
      </c>
      <c r="BA15" s="13" t="n">
        <f aca="false">BA14-Reserves!BA14+Reserves!BA15</f>
        <v>45.830029916697</v>
      </c>
      <c r="BB15" s="13" t="n">
        <f aca="false">BB14-Reserves!BB14+Reserves!BB15</f>
        <v>47.0910088425215</v>
      </c>
      <c r="BC15" s="13" t="n">
        <f aca="false">BC14-Reserves!BC14+Reserves!BC15</f>
        <v>43.7990672072826</v>
      </c>
      <c r="BD15" s="13" t="n">
        <f aca="false">BD14-Reserves!BD14+Reserves!BD15</f>
        <v>37.9002507081253</v>
      </c>
      <c r="BE15" s="13" t="n">
        <f aca="false">BE14-Reserves!BE14+Reserves!BE15</f>
        <v>37.5279756982946</v>
      </c>
      <c r="BF15" s="13" t="n">
        <f aca="false">BF14-Reserves!BF14+Reserves!BF15</f>
        <v>38.3648029258522</v>
      </c>
      <c r="BG15" s="13" t="n">
        <f aca="false">BG14-Reserves!BG14+Reserves!BG15</f>
        <v>38.0209359608458</v>
      </c>
      <c r="BH15" s="13" t="n">
        <f aca="false">BH14-Reserves!BH14+Reserves!BH15</f>
        <v>38.9500670099411</v>
      </c>
      <c r="BI15" s="13" t="n">
        <f aca="false">BI14-Reserves!BI14+Reserves!BI15</f>
        <v>38.7065563707922</v>
      </c>
      <c r="BJ15" s="13" t="n">
        <f aca="false">BJ14-Reserves!BJ14+Reserves!BJ15</f>
        <v>46.8525763323607</v>
      </c>
      <c r="BK15" s="13" t="n">
        <f aca="false">BK14-Reserves!BK14+Reserves!BK15</f>
        <v>41.6604001101922</v>
      </c>
      <c r="BL15" s="13" t="n">
        <f aca="false">BL14-Reserves!BL14+Reserves!BL15</f>
        <v>42.6480869751059</v>
      </c>
      <c r="BM15" s="13" t="n">
        <f aca="false">BM14-Reserves!BM14+Reserves!BM15</f>
        <v>59.6224931137937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1865</v>
      </c>
    </row>
    <row r="17" customFormat="false" ht="15" hidden="false" customHeight="false" outlineLevel="0" collapsed="false">
      <c r="D17" s="0" t="s">
        <v>1866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1.34925157909214</v>
      </c>
      <c r="Q17" s="3" t="n">
        <f aca="false">IF(Debt!Q114&gt;Inputs!$F$253,Q7/Debt!Q114,0)</f>
        <v>1.35084515091171</v>
      </c>
      <c r="R17" s="3" t="n">
        <f aca="false">IF(Debt!R114&gt;Inputs!$F$253,R7/Debt!R114,0)</f>
        <v>1.35217707489896</v>
      </c>
      <c r="S17" s="3" t="n">
        <f aca="false">IF(Debt!S114&gt;Inputs!$F$253,S7/Debt!S114,0)</f>
        <v>1.35289123845899</v>
      </c>
      <c r="T17" s="3" t="n">
        <f aca="false">IF(Debt!T114&gt;Inputs!$F$253,T7/Debt!T114,0)</f>
        <v>1.35277183186415</v>
      </c>
      <c r="U17" s="3" t="n">
        <f aca="false">IF(Debt!U114&gt;Inputs!$F$253,U7/Debt!U114,0)</f>
        <v>1.35370635372671</v>
      </c>
      <c r="V17" s="3" t="n">
        <f aca="false">IF(Debt!V114&gt;Inputs!$F$253,V7/Debt!V114,0)</f>
        <v>1.35430828026363</v>
      </c>
      <c r="W17" s="3" t="n">
        <f aca="false">IF(Debt!W114&gt;Inputs!$F$253,W7/Debt!W114,0)</f>
        <v>1.35592229047208</v>
      </c>
      <c r="X17" s="3" t="n">
        <f aca="false">IF(Debt!X114&gt;Inputs!$F$253,X7/Debt!X114,0)</f>
        <v>1.35843833090062</v>
      </c>
      <c r="Y17" s="3" t="n">
        <f aca="false">IF(Debt!Y114&gt;Inputs!$F$253,Y7/Debt!Y114,0)</f>
        <v>1.35972781563109</v>
      </c>
      <c r="Z17" s="3" t="n">
        <f aca="false">IF(Debt!Z114&gt;Inputs!$F$253,Z7/Debt!Z114,0)</f>
        <v>1.36071593187791</v>
      </c>
      <c r="AA17" s="3" t="n">
        <f aca="false">IF(Debt!AA114&gt;Inputs!$F$253,AA7/Debt!AA114,0)</f>
        <v>1.3625887056004</v>
      </c>
      <c r="AB17" s="3" t="n">
        <f aca="false">IF(Debt!AB114&gt;Inputs!$F$253,AB7/Debt!AB114,0)</f>
        <v>1.39058386675382</v>
      </c>
      <c r="AC17" s="3" t="n">
        <f aca="false">IF(Debt!AC114&gt;Inputs!$F$253,AC7/Debt!AC114,0)</f>
        <v>1.42513120360135</v>
      </c>
      <c r="AD17" s="3" t="n">
        <f aca="false">IF(Debt!AD114&gt;Inputs!$F$253,AD7/Debt!AD114,0)</f>
        <v>1.45140505107983</v>
      </c>
      <c r="AE17" s="3" t="n">
        <f aca="false">IF(Debt!AE114&gt;Inputs!$F$253,AE7/Debt!AE114,0)</f>
        <v>1.5043615024401</v>
      </c>
      <c r="AF17" s="3" t="n">
        <f aca="false">IF(Debt!AF114&gt;Inputs!$F$253,AF7/Debt!AF114,0)</f>
        <v>1.56523511768908</v>
      </c>
      <c r="AG17" s="3" t="n">
        <f aca="false">IF(Debt!AG114&gt;Inputs!$F$253,AG7/Debt!AG114,0)</f>
        <v>1.64455458634788</v>
      </c>
      <c r="AH17" s="3" t="n">
        <f aca="false">IF(Debt!AH114&gt;Inputs!$F$253,AH7/Debt!AH114,0)</f>
        <v>1.74420493885563</v>
      </c>
      <c r="AI17" s="3" t="n">
        <f aca="false">IF(Debt!AI114&gt;Inputs!$F$253,AI7/Debt!AI114,0)</f>
        <v>1.88277910172655</v>
      </c>
      <c r="AJ17" s="3" t="n">
        <f aca="false">IF(Debt!AJ114&gt;Inputs!$F$253,AJ7/Debt!AJ114,0)</f>
        <v>2.08802746694202</v>
      </c>
      <c r="AK17" s="3" t="n">
        <f aca="false">IF(Debt!AK114&gt;Inputs!$F$253,AK7/Debt!AK114,0)</f>
        <v>2.32333488995884</v>
      </c>
      <c r="AL17" s="3" t="n">
        <f aca="false">IF(Debt!AL114&gt;Inputs!$F$253,AL7/Debt!AL114,0)</f>
        <v>2.27390090162792</v>
      </c>
      <c r="AM17" s="3" t="n">
        <f aca="false">IF(Debt!AM114&gt;Inputs!$F$253,AM7/Debt!AM114,0)</f>
        <v>2.05231777447686</v>
      </c>
      <c r="AN17" s="3" t="n">
        <f aca="false">IF(Debt!AN114&gt;Inputs!$F$253,AN7/Debt!AN114,0)</f>
        <v>2.26324384573276</v>
      </c>
      <c r="AO17" s="3" t="n">
        <f aca="false">IF(Debt!AO114&gt;Inputs!$F$253,AO7/Debt!AO114,0)</f>
        <v>2.24700276747975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1867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1.34925157909214</v>
      </c>
      <c r="Q18" s="3" t="n">
        <f aca="false">IF(Debt!Q114&gt;Inputs!$F$253,IF(Debt!P114&gt;Inputs!$F$253,(Q7+P7)/(Debt!Q114+Debt!P114),Q17),0)</f>
        <v>1.35004741291515</v>
      </c>
      <c r="R18" s="3" t="n">
        <f aca="false">IF(Debt!R114&gt;Inputs!$F$253,IF(Debt!Q114&gt;Inputs!$F$253,(R7+Q7)/(Debt!R114+Debt!Q114),R17),0)</f>
        <v>1.35151527862737</v>
      </c>
      <c r="S18" s="3" t="n">
        <f aca="false">IF(Debt!S114&gt;Inputs!$F$253,IF(Debt!R114&gt;Inputs!$F$253,(S7+R7)/(Debt!S114+Debt!R114),S17),0)</f>
        <v>1.35253276804619</v>
      </c>
      <c r="T18" s="3" t="n">
        <f aca="false">IF(Debt!T114&gt;Inputs!$F$253,IF(Debt!S114&gt;Inputs!$F$253,(T7+S7)/(Debt!T114+Debt!S114),T17),0)</f>
        <v>1.35283120286135</v>
      </c>
      <c r="U18" s="3" t="n">
        <f aca="false">IF(Debt!U114&gt;Inputs!$F$253,IF(Debt!T114&gt;Inputs!$F$253,(U7+T7)/(Debt!U114+Debt!T114),U17),0)</f>
        <v>1.3532379727516</v>
      </c>
      <c r="V18" s="3" t="n">
        <f aca="false">IF(Debt!V114&gt;Inputs!$F$253,IF(Debt!U114&gt;Inputs!$F$253,(V7+U7)/(Debt!V114+Debt!U114),V17),0)</f>
        <v>1.35401016251253</v>
      </c>
      <c r="W18" s="3" t="n">
        <f aca="false">IF(Debt!W114&gt;Inputs!$F$253,IF(Debt!V114&gt;Inputs!$F$253,(W7+V7)/(Debt!W114+Debt!V114),W17),0)</f>
        <v>1.35511248586553</v>
      </c>
      <c r="X18" s="3" t="n">
        <f aca="false">IF(Debt!X114&gt;Inputs!$F$253,IF(Debt!W114&gt;Inputs!$F$253,(X7+W7)/(Debt!X114+Debt!W114),X17),0)</f>
        <v>1.35716190754212</v>
      </c>
      <c r="Y18" s="3" t="n">
        <f aca="false">IF(Debt!Y114&gt;Inputs!$F$253,IF(Debt!X114&gt;Inputs!$F$253,(Y7+X7)/(Debt!Y114+Debt!X114),Y17),0)</f>
        <v>1.35907994686277</v>
      </c>
      <c r="Z18" s="3" t="n">
        <f aca="false">IF(Debt!Z114&gt;Inputs!$F$253,IF(Debt!Y114&gt;Inputs!$F$253,(Z7+Y7)/(Debt!Z114+Debt!Y114),Z17),0)</f>
        <v>1.36022389844378</v>
      </c>
      <c r="AA18" s="3" t="n">
        <f aca="false">IF(Debt!AA114&gt;Inputs!$F$253,IF(Debt!Z114&gt;Inputs!$F$253,(AA7+Z7)/(Debt!AA114+Debt!Z114),AA17),0)</f>
        <v>1.36164853081886</v>
      </c>
      <c r="AB18" s="3" t="n">
        <f aca="false">IF(Debt!AB114&gt;Inputs!$F$253,IF(Debt!AA114&gt;Inputs!$F$253,(AB7+AA7)/(Debt!AB114+Debt!AA114),AB17),0)</f>
        <v>1.37654014533602</v>
      </c>
      <c r="AC18" s="3" t="n">
        <f aca="false">IF(Debt!AC114&gt;Inputs!$F$253,IF(Debt!AB114&gt;Inputs!$F$253,(AC7+AB7)/(Debt!AC114+Debt!AB114),AC17),0)</f>
        <v>1.40762567963799</v>
      </c>
      <c r="AD18" s="3" t="n">
        <f aca="false">IF(Debt!AD114&gt;Inputs!$F$253,IF(Debt!AC114&gt;Inputs!$F$253,(AD7+AC7)/(Debt!AD114+Debt!AC114),AD17),0)</f>
        <v>1.43836155541482</v>
      </c>
      <c r="AE18" s="3" t="n">
        <f aca="false">IF(Debt!AE114&gt;Inputs!$F$253,IF(Debt!AD114&gt;Inputs!$F$253,(AE7+AD7)/(Debt!AE114+Debt!AD114),AE17),0)</f>
        <v>1.47751028353152</v>
      </c>
      <c r="AF18" s="3" t="n">
        <f aca="false">IF(Debt!AF114&gt;Inputs!$F$253,IF(Debt!AE114&gt;Inputs!$F$253,(AF7+AE7)/(Debt!AF114+Debt!AE114),AF17),0)</f>
        <v>1.53428679350945</v>
      </c>
      <c r="AG18" s="3" t="n">
        <f aca="false">IF(Debt!AG114&gt;Inputs!$F$253,IF(Debt!AF114&gt;Inputs!$F$253,(AG7+AF7)/(Debt!AG114+Debt!AF114),AG17),0)</f>
        <v>1.60381261920004</v>
      </c>
      <c r="AH18" s="3" t="n">
        <f aca="false">IF(Debt!AH114&gt;Inputs!$F$253,IF(Debt!AG114&gt;Inputs!$F$253,(AH7+AG7)/(Debt!AH114+Debt!AG114),AH17),0)</f>
        <v>1.69330217112855</v>
      </c>
      <c r="AI18" s="3" t="n">
        <f aca="false">IF(Debt!AI114&gt;Inputs!$F$253,IF(Debt!AH114&gt;Inputs!$F$253,(AI7+AH7)/(Debt!AI114+Debt!AH114),AI17),0)</f>
        <v>1.810610789454</v>
      </c>
      <c r="AJ18" s="3" t="n">
        <f aca="false">IF(Debt!AJ114&gt;Inputs!$F$253,IF(Debt!AI114&gt;Inputs!$F$253,(AJ7+AI7)/(Debt!AJ114+Debt!AI114),AJ17),0)</f>
        <v>1.98071889378182</v>
      </c>
      <c r="AK18" s="3" t="n">
        <f aca="false">IF(Debt!AK114&gt;Inputs!$F$253,IF(Debt!AJ114&gt;Inputs!$F$253,(AK7+AJ7)/(Debt!AK114+Debt!AJ114),AK17),0)</f>
        <v>2.19927559792638</v>
      </c>
      <c r="AL18" s="3" t="n">
        <f aca="false">IF(Debt!AL114&gt;Inputs!$F$253,IF(Debt!AK114&gt;Inputs!$F$253,(AL7+AK7)/(Debt!AL114+Debt!AK114),AL17),0)</f>
        <v>2.29825668056012</v>
      </c>
      <c r="AM18" s="3" t="n">
        <f aca="false">IF(Debt!AM114&gt;Inputs!$F$253,IF(Debt!AL114&gt;Inputs!$F$253,(AM7+AL7)/(Debt!AM114+Debt!AL114),AM17),0)</f>
        <v>2.16344868924878</v>
      </c>
      <c r="AN18" s="3" t="n">
        <f aca="false">IF(Debt!AN114&gt;Inputs!$F$253,IF(Debt!AM114&gt;Inputs!$F$253,(AN7+AM7)/(Debt!AN114+Debt!AM114),AN17),0)</f>
        <v>2.14682161107233</v>
      </c>
      <c r="AO18" s="3" t="n">
        <f aca="false">IF(Debt!AO114&gt;Inputs!$F$253,IF(Debt!AN114&gt;Inputs!$F$253,(AO7+AN7)/(Debt!AO114+Debt!AN114),AO17),0)</f>
        <v>2.25517159116775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1868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1869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1870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1871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1872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1873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1874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1875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1876</v>
      </c>
    </row>
    <row r="28" customFormat="false" ht="15" hidden="false" customHeight="false" outlineLevel="0" collapsed="false">
      <c r="D28" s="0" t="s">
        <v>1877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1878</v>
      </c>
      <c r="E29" s="0" t="s">
        <v>151</v>
      </c>
      <c r="G29" s="13" t="n">
        <f aca="false">SUM(J29:BN29)</f>
        <v>96.4241155617131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6.41638788716743</v>
      </c>
      <c r="AB29" s="13" t="n">
        <f aca="false">IF(AND(AB24=1,Time!AB52=1,Inputs!$F$52=1),MIN(Inputs!$F$111*AB15,Debt!AB73),0)</f>
        <v>7.50365132464338</v>
      </c>
      <c r="AC29" s="13" t="n">
        <f aca="false">IF(AND(AC24=1,Time!AC52=1,Inputs!$F$52=1),MIN(Inputs!$F$111*AC15,Debt!AC73),0)</f>
        <v>7.24300724026038</v>
      </c>
      <c r="AD29" s="13" t="n">
        <f aca="false">IF(AND(AD24=1,Time!AD52=1,Inputs!$F$52=1),MIN(Inputs!$F$111*AD15,Debt!AD73),0)</f>
        <v>8.48963361678517</v>
      </c>
      <c r="AE29" s="13" t="n">
        <f aca="false">IF(AND(AE24=1,Time!AE52=1,Inputs!$F$52=1),MIN(Inputs!$F$111*AE15,Debt!AE73),0)</f>
        <v>9.27494087186686</v>
      </c>
      <c r="AF29" s="13" t="n">
        <f aca="false">IF(AND(AF24=1,Time!AF52=1,Inputs!$F$52=1),MIN(Inputs!$F$111*AF15,Debt!AF73),0)</f>
        <v>10.2947997119005</v>
      </c>
      <c r="AG29" s="13" t="n">
        <f aca="false">IF(AND(AG24=1,Time!AG52=1,Inputs!$F$52=1),MIN(Inputs!$F$111*AG15,Debt!AG73),0)</f>
        <v>10.8350994932643</v>
      </c>
      <c r="AH29" s="13" t="n">
        <f aca="false">IF(AND(AH24=1,Time!AH52=1,Inputs!$F$52=1),MIN(Inputs!$F$111*AH15,Debt!AH73),0)</f>
        <v>12.3622013038702</v>
      </c>
      <c r="AI29" s="13" t="n">
        <f aca="false">IF(AND(AI24=1,Time!AI52=1,Inputs!$F$52=1),MIN(Inputs!$F$111*AI15,Debt!AI73),0)</f>
        <v>13.3617587893215</v>
      </c>
      <c r="AJ29" s="13" t="n">
        <f aca="false">IF(AND(AJ24=1,Time!AJ52=1,Inputs!$F$52=1),MIN(Inputs!$F$111*AJ15,Debt!AJ73),0)</f>
        <v>10.6426353226334</v>
      </c>
      <c r="AK29" s="13" t="n">
        <f aca="false">IF(AND(AK24=1,Time!AK52=1,Inputs!$F$52=1),MIN(Inputs!$F$111*AK15,Debt!AK73),0)</f>
        <v>0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1879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1.9615686084365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1880</v>
      </c>
      <c r="E31" s="0" t="s">
        <v>151</v>
      </c>
      <c r="G31" s="13" t="n">
        <f aca="false">SUM(J31:BN31)</f>
        <v>1467.09931126062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15.0605466454198</v>
      </c>
      <c r="Q31" s="13" t="n">
        <f aca="false">IF(Q24=1,Q15-Q29,0)</f>
        <v>12.5703850331998</v>
      </c>
      <c r="R31" s="13" t="n">
        <f aca="false">IF(R24=1,R15-R29,0)</f>
        <v>13.5440289197872</v>
      </c>
      <c r="S31" s="13" t="n">
        <f aca="false">IF(S24=1,S15-S29,0)</f>
        <v>12.7585093737045</v>
      </c>
      <c r="T31" s="13" t="n">
        <f aca="false">IF(T24=1,T15-T29,0)</f>
        <v>13.500043982238</v>
      </c>
      <c r="U31" s="13" t="n">
        <f aca="false">IF(U24=1,U15-U29,0)</f>
        <v>12.5735598702439</v>
      </c>
      <c r="V31" s="13" t="n">
        <f aca="false">IF(V24=1,V15-V29,0)</f>
        <v>13.8324144536015</v>
      </c>
      <c r="W31" s="13" t="n">
        <f aca="false">IF(W24=1,W15-W29,0)</f>
        <v>14.6317980334328</v>
      </c>
      <c r="X31" s="13" t="n">
        <f aca="false">IF(X24=1,X15-X29,0)</f>
        <v>13.5942963981912</v>
      </c>
      <c r="Y31" s="13" t="n">
        <f aca="false">IF(Y24=1,Y15-Y29,0)</f>
        <v>12.8562403708427</v>
      </c>
      <c r="Z31" s="13" t="n">
        <f aca="false">IF(Z24=1,Z15-Z29,0)</f>
        <v>13.5991223543539</v>
      </c>
      <c r="AA31" s="13" t="n">
        <f aca="false">IF(AA24=1,AA15-AA29,0)</f>
        <v>6.41638788716743</v>
      </c>
      <c r="AB31" s="13" t="n">
        <f aca="false">IF(AB24=1,AB15-AB29,0)</f>
        <v>7.50365132464338</v>
      </c>
      <c r="AC31" s="13" t="n">
        <f aca="false">IF(AC24=1,AC15-AC29,0)</f>
        <v>7.24300724026038</v>
      </c>
      <c r="AD31" s="13" t="n">
        <f aca="false">IF(AD24=1,AD15-AD29,0)</f>
        <v>8.48963361678517</v>
      </c>
      <c r="AE31" s="13" t="n">
        <f aca="false">IF(AE24=1,AE15-AE29,0)</f>
        <v>9.27494087186686</v>
      </c>
      <c r="AF31" s="13" t="n">
        <f aca="false">IF(AF24=1,AF15-AF29,0)</f>
        <v>10.2947997119005</v>
      </c>
      <c r="AG31" s="13" t="n">
        <f aca="false">IF(AG24=1,AG15-AG29,0)</f>
        <v>10.8350994932643</v>
      </c>
      <c r="AH31" s="13" t="n">
        <f aca="false">IF(AH24=1,AH15-AH29,0)</f>
        <v>12.3622013038702</v>
      </c>
      <c r="AI31" s="13" t="n">
        <f aca="false">IF(AI24=1,AI15-AI29,0)</f>
        <v>13.3617587893215</v>
      </c>
      <c r="AJ31" s="13" t="n">
        <f aca="false">IF(AJ24=1,AJ15-AJ29,0)</f>
        <v>20.1437228710366</v>
      </c>
      <c r="AK31" s="13" t="n">
        <f aca="false">IF(AK24=1,AK15-AK29,0)</f>
        <v>32.5010774692826</v>
      </c>
      <c r="AL31" s="13" t="n">
        <f aca="false">IF(AL24=1,AL15-AL29,0)</f>
        <v>30.3609819944094</v>
      </c>
      <c r="AM31" s="13" t="n">
        <f aca="false">IF(AM24=1,AM15-AM29,0)</f>
        <v>29.2461606082006</v>
      </c>
      <c r="AN31" s="13" t="n">
        <f aca="false">IF(AN24=1,AN15-AN29,0)</f>
        <v>24.3999324118482</v>
      </c>
      <c r="AO31" s="13" t="n">
        <f aca="false">IF(AO24=1,AO15-AO29,0)</f>
        <v>42.4908146488185</v>
      </c>
      <c r="AP31" s="13" t="n">
        <f aca="false">IF(AP24=1,AP15-AP29,0)</f>
        <v>42.9287921805194</v>
      </c>
      <c r="AQ31" s="13" t="n">
        <f aca="false">IF(AQ24=1,AQ15-AQ29,0)</f>
        <v>42.5218707156227</v>
      </c>
      <c r="AR31" s="13" t="n">
        <f aca="false">IF(AR24=1,AR15-AR29,0)</f>
        <v>43.1865043955517</v>
      </c>
      <c r="AS31" s="13" t="n">
        <f aca="false">IF(AS24=1,AS15-AS29,0)</f>
        <v>42.9820722284609</v>
      </c>
      <c r="AT31" s="13" t="n">
        <f aca="false">IF(AT24=1,AT15-AT29,0)</f>
        <v>50.0008035602997</v>
      </c>
      <c r="AU31" s="13" t="n">
        <f aca="false">IF(AU24=1,AU15-AU29,0)</f>
        <v>45.5659911364857</v>
      </c>
      <c r="AV31" s="13" t="n">
        <f aca="false">IF(AV24=1,AV15-AV29,0)</f>
        <v>45.7851264059674</v>
      </c>
      <c r="AW31" s="13" t="n">
        <f aca="false">IF(AW24=1,AW15-AW29,0)</f>
        <v>45.3789800000648</v>
      </c>
      <c r="AX31" s="13" t="n">
        <f aca="false">IF(AX24=1,AX15-AX29,0)</f>
        <v>46.08147176294</v>
      </c>
      <c r="AY31" s="13" t="n">
        <f aca="false">IF(AY24=1,AY15-AY29,0)</f>
        <v>45.7203887237585</v>
      </c>
      <c r="AZ31" s="13" t="n">
        <f aca="false">IF(AZ24=1,AZ15-AZ29,0)</f>
        <v>46.527943301452</v>
      </c>
      <c r="BA31" s="13" t="n">
        <f aca="false">IF(BA24=1,BA15-BA29,0)</f>
        <v>45.830029916697</v>
      </c>
      <c r="BB31" s="13" t="n">
        <f aca="false">IF(BB24=1,BB15-BB29,0)</f>
        <v>47.0910088425215</v>
      </c>
      <c r="BC31" s="13" t="n">
        <f aca="false">IF(BC24=1,BC15-BC29,0)</f>
        <v>43.7990672072826</v>
      </c>
      <c r="BD31" s="13" t="n">
        <f aca="false">IF(BD24=1,BD15-BD29,0)</f>
        <v>37.9002507081253</v>
      </c>
      <c r="BE31" s="13" t="n">
        <f aca="false">IF(BE24=1,BE15-BE29,0)</f>
        <v>37.5279756982946</v>
      </c>
      <c r="BF31" s="13" t="n">
        <f aca="false">IF(BF24=1,BF15-BF29,0)</f>
        <v>38.3648029258522</v>
      </c>
      <c r="BG31" s="13" t="n">
        <f aca="false">IF(BG24=1,BG15-BG29,0)</f>
        <v>38.0209359608458</v>
      </c>
      <c r="BH31" s="13" t="n">
        <f aca="false">IF(BH24=1,BH15-BH29,0)</f>
        <v>38.9500670099411</v>
      </c>
      <c r="BI31" s="13" t="n">
        <f aca="false">IF(BI24=1,BI15-BI29,0)</f>
        <v>38.7065563707922</v>
      </c>
      <c r="BJ31" s="13" t="n">
        <f aca="false">IF(BJ24=1,BJ15-BJ29,0)</f>
        <v>46.8525763323607</v>
      </c>
      <c r="BK31" s="13" t="n">
        <f aca="false">IF(BK24=1,BK15-BK29,0)</f>
        <v>41.6604001101922</v>
      </c>
      <c r="BL31" s="13" t="n">
        <f aca="false">IF(BL24=1,BL15-BL29,0)</f>
        <v>42.6480869751059</v>
      </c>
      <c r="BM31" s="13" t="n">
        <f aca="false">IF(BM24=1,BM15-BM29,0)</f>
        <v>59.6224931137937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1881</v>
      </c>
      <c r="E32" s="0" t="s">
        <v>151</v>
      </c>
      <c r="F32" s="17" t="n">
        <f aca="false">SUM(Funding!$J$69:$BJ$69)</f>
        <v>44.3723302201644</v>
      </c>
    </row>
    <row r="33" customFormat="false" ht="15" hidden="false" customHeight="false" outlineLevel="0" collapsed="false">
      <c r="D33" s="0" t="s">
        <v>1882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201.683843490231</v>
      </c>
      <c r="P33" s="13" t="n">
        <f aca="false">IF(Time!P20&lt;Time!$F$12,0,IF(Time!P34=1,INDEX(Funding!$J$72:$BJ$72,1,Time!$F$14),O36))</f>
        <v>204.885919854686</v>
      </c>
      <c r="Q33" s="13" t="n">
        <f aca="false">IF(Time!Q20&lt;Time!$F$12,0,IF(Time!Q34=1,INDEX(Funding!$J$72:$BJ$72,1,Time!$F$14),P36))</f>
        <v>199.6374441108</v>
      </c>
      <c r="R33" s="13" t="n">
        <f aca="false">IF(Time!R20&lt;Time!$F$12,0,IF(Time!R34=1,INDEX(Funding!$J$72:$BJ$72,1,Time!$F$14),Q36))</f>
        <v>196.471897026874</v>
      </c>
      <c r="S33" s="13" t="n">
        <f aca="false">IF(Time!S20&lt;Time!$F$12,0,IF(Time!S34=1,INDEX(Funding!$J$72:$BJ$72,1,Time!$F$14),R36))</f>
        <v>192.33698799758</v>
      </c>
      <c r="T33" s="13" t="n">
        <f aca="false">IF(Time!T20&lt;Time!$F$12,0,IF(Time!T34=1,INDEX(Funding!$J$72:$BJ$72,1,Time!$F$14),S36))</f>
        <v>188.639395085843</v>
      </c>
      <c r="U33" s="13" t="n">
        <f aca="false">IF(Time!U20&lt;Time!$F$12,0,IF(Time!U34=1,INDEX(Funding!$J$72:$BJ$72,1,Time!$F$14),T36))</f>
        <v>184.173369257305</v>
      </c>
      <c r="V33" s="13" t="n">
        <f aca="false">IF(Time!V20&lt;Time!$F$12,0,IF(Time!V34=1,INDEX(Funding!$J$72:$BJ$72,1,Time!$F$14),U36))</f>
        <v>180.324076659551</v>
      </c>
      <c r="W33" s="13" t="n">
        <f aca="false">IF(Time!W20&lt;Time!$F$12,0,IF(Time!W34=1,INDEX(Funding!$J$72:$BJ$72,1,Time!$F$14),V36))</f>
        <v>175.127456342961</v>
      </c>
      <c r="X33" s="13" t="n">
        <f aca="false">IF(Time!X20&lt;Time!$F$12,0,IF(Time!X34=1,INDEX(Funding!$J$72:$BJ$72,1,Time!$F$14),W36))</f>
        <v>168.745840807657</v>
      </c>
      <c r="Y33" s="13" t="n">
        <f aca="false">IF(Time!Y20&lt;Time!$F$12,0,IF(Time!Y34=1,INDEX(Funding!$J$72:$BJ$72,1,Time!$F$14),X36))</f>
        <v>163.232852073351</v>
      </c>
      <c r="Z33" s="13" t="n">
        <f aca="false">IF(Time!Z20&lt;Time!$F$12,0,IF(Time!Z34=1,INDEX(Funding!$J$72:$BJ$72,1,Time!$F$14),Y36))</f>
        <v>158.06644428169</v>
      </c>
      <c r="AA33" s="13" t="n">
        <f aca="false">IF(Time!AA20&lt;Time!$F$12,0,IF(Time!AA34=1,INDEX(Funding!$J$72:$BJ$72,1,Time!$F$14),Z36))</f>
        <v>152.037188902799</v>
      </c>
      <c r="AB33" s="13" t="n">
        <f aca="false">IF(Time!AB20&lt;Time!$F$12,0,IF(Time!AB34=1,INDEX(Funding!$J$72:$BJ$72,1,Time!$F$14),AA36))</f>
        <v>152.783210503805</v>
      </c>
      <c r="AC33" s="13" t="n">
        <f aca="false">IF(Time!AC20&lt;Time!$F$12,0,IF(Time!AC34=1,INDEX(Funding!$J$72:$BJ$72,1,Time!$F$14),AB36))</f>
        <v>152.59640991781</v>
      </c>
      <c r="AD33" s="13" t="n">
        <f aca="false">IF(Time!AD20&lt;Time!$F$12,0,IF(Time!AD34=1,INDEX(Funding!$J$72:$BJ$72,1,Time!$F$14),AC36))</f>
        <v>152.581873711738</v>
      </c>
      <c r="AE33" s="13" t="n">
        <f aca="false">IF(Time!AE20&lt;Time!$F$12,0,IF(Time!AE34=1,INDEX(Funding!$J$72:$BJ$72,1,Time!$F$14),AD36))</f>
        <v>151.399448731888</v>
      </c>
      <c r="AF33" s="13" t="n">
        <f aca="false">IF(Time!AF20&lt;Time!$F$12,0,IF(Time!AF34=1,INDEX(Funding!$J$72:$BJ$72,1,Time!$F$14),AE36))</f>
        <v>149.256873670829</v>
      </c>
      <c r="AG33" s="13" t="n">
        <f aca="false">IF(Time!AG20&lt;Time!$F$12,0,IF(Time!AG34=1,INDEX(Funding!$J$72:$BJ$72,1,Time!$F$14),AF36))</f>
        <v>146.110046977466</v>
      </c>
      <c r="AH33" s="13" t="n">
        <f aca="false">IF(Time!AH20&lt;Time!$F$12,0,IF(Time!AH34=1,INDEX(Funding!$J$72:$BJ$72,1,Time!$F$14),AG36))</f>
        <v>142.158131752085</v>
      </c>
      <c r="AI33" s="13" t="n">
        <f aca="false">IF(Time!AI20&lt;Time!$F$12,0,IF(Time!AI34=1,INDEX(Funding!$J$72:$BJ$72,1,Time!$F$14),AH36))</f>
        <v>136.603941798972</v>
      </c>
      <c r="AJ33" s="13" t="n">
        <f aca="false">IF(Time!AJ20&lt;Time!$F$12,0,IF(Time!AJ34=1,INDEX(Funding!$J$72:$BJ$72,1,Time!$F$14),AI36))</f>
        <v>129.677538569194</v>
      </c>
      <c r="AK33" s="13" t="n">
        <f aca="false">IF(Time!AK20&lt;Time!$F$12,0,IF(Time!AK34=1,INDEX(Funding!$J$72:$BJ$72,1,Time!$F$14),AJ36))</f>
        <v>115.744126312375</v>
      </c>
      <c r="AL33" s="13" t="n">
        <f aca="false">IF(Time!AL20&lt;Time!$F$12,0,IF(Time!AL34=1,INDEX(Funding!$J$72:$BJ$72,1,Time!$F$14),AK36))</f>
        <v>88.7258322511501</v>
      </c>
      <c r="AM33" s="13" t="n">
        <f aca="false">IF(Time!AM20&lt;Time!$F$12,0,IF(Time!AM34=1,INDEX(Funding!$J$72:$BJ$72,1,Time!$F$14),AL36))</f>
        <v>62.6139668259191</v>
      </c>
      <c r="AN33" s="13" t="n">
        <f aca="false">IF(Time!AN20&lt;Time!$F$12,0,IF(Time!AN34=1,INDEX(Funding!$J$72:$BJ$72,1,Time!$F$14),AM36))</f>
        <v>36.3175244631204</v>
      </c>
      <c r="AO33" s="13" t="n">
        <f aca="false">IF(Time!AO20&lt;Time!$F$12,0,IF(Time!AO34=1,INDEX(Funding!$J$72:$BJ$72,1,Time!$F$14),AN36))</f>
        <v>13.6568532228211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1883</v>
      </c>
      <c r="E34" s="0" t="s">
        <v>151</v>
      </c>
      <c r="G34" s="13" t="n">
        <f aca="false">SUM(J34:BN34)</f>
        <v>179.622581538923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9.81207090153398</v>
      </c>
      <c r="Q34" s="13" t="n">
        <f aca="false">Q24*MIN(Q31,Tax!Q13)</f>
        <v>9.40483794927452</v>
      </c>
      <c r="R34" s="13" t="n">
        <f aca="false">R24*MIN(R31,Tax!R13)</f>
        <v>9.40911989049251</v>
      </c>
      <c r="S34" s="13" t="n">
        <f aca="false">S24*MIN(S31,Tax!S13)</f>
        <v>9.06091646196817</v>
      </c>
      <c r="T34" s="13" t="n">
        <f aca="false">T24*MIN(T31,Tax!T13)</f>
        <v>9.03401815370012</v>
      </c>
      <c r="U34" s="13" t="n">
        <f aca="false">U24*MIN(U31,Tax!U13)</f>
        <v>8.72426727248989</v>
      </c>
      <c r="V34" s="13" t="n">
        <f aca="false">V24*MIN(V31,Tax!V13)</f>
        <v>8.63579413701085</v>
      </c>
      <c r="W34" s="13" t="n">
        <f aca="false">W24*MIN(W31,Tax!W13)</f>
        <v>8.25018249812935</v>
      </c>
      <c r="X34" s="13" t="n">
        <f aca="false">X24*MIN(X31,Tax!X13)</f>
        <v>8.08130766388453</v>
      </c>
      <c r="Y34" s="13" t="n">
        <f aca="false">Y24*MIN(Y31,Tax!Y13)</f>
        <v>7.68983257918155</v>
      </c>
      <c r="Z34" s="13" t="n">
        <f aca="false">Z24*MIN(Z31,Tax!Z13)</f>
        <v>7.56986697546283</v>
      </c>
      <c r="AA34" s="13" t="n">
        <f aca="false">AA24*MIN(AA31,Tax!AA13)</f>
        <v>6.41638788716743</v>
      </c>
      <c r="AB34" s="13" t="n">
        <f aca="false">AB24*MIN(AB31,Tax!AB13)</f>
        <v>7.316850738648</v>
      </c>
      <c r="AC34" s="13" t="n">
        <f aca="false">AC24*MIN(AC31,Tax!AC13)</f>
        <v>7.22847103418886</v>
      </c>
      <c r="AD34" s="13" t="n">
        <f aca="false">AD24*MIN(AD31,Tax!AD13)</f>
        <v>7.30720863693476</v>
      </c>
      <c r="AE34" s="13" t="n">
        <f aca="false">AE24*MIN(AE31,Tax!AE13)</f>
        <v>7.13236581080771</v>
      </c>
      <c r="AF34" s="13" t="n">
        <f aca="false">AF24*MIN(AF31,Tax!AF13)</f>
        <v>7.14797301853723</v>
      </c>
      <c r="AG34" s="13" t="n">
        <f aca="false">AG24*MIN(AG31,Tax!AG13)</f>
        <v>6.88318426788362</v>
      </c>
      <c r="AH34" s="13" t="n">
        <f aca="false">AH24*MIN(AH31,Tax!AH13)</f>
        <v>6.80801135075738</v>
      </c>
      <c r="AI34" s="13" t="n">
        <f aca="false">AI24*MIN(AI31,Tax!AI13)</f>
        <v>6.43535555954336</v>
      </c>
      <c r="AJ34" s="13" t="n">
        <f aca="false">AJ24*MIN(AJ31,Tax!AJ13)</f>
        <v>6.21031061421784</v>
      </c>
      <c r="AK34" s="13" t="n">
        <f aca="false">AK24*MIN(AK31,Tax!AK13)</f>
        <v>5.48278340805745</v>
      </c>
      <c r="AL34" s="13" t="n">
        <f aca="false">AL24*MIN(AL31,Tax!AL13)</f>
        <v>4.24911656917837</v>
      </c>
      <c r="AM34" s="13" t="n">
        <f aca="false">AM24*MIN(AM31,Tax!AM13)</f>
        <v>2.94971824540186</v>
      </c>
      <c r="AN34" s="13" t="n">
        <f aca="false">AN24*MIN(AN31,Tax!AN13)</f>
        <v>1.73926117154889</v>
      </c>
      <c r="AO34" s="13" t="n">
        <f aca="false">AO24*MIN(AO31,Tax!AO13)</f>
        <v>0.643368742921666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1884</v>
      </c>
      <c r="E35" s="0" t="s">
        <v>151</v>
      </c>
      <c r="G35" s="13" t="n">
        <f aca="false">SUM(J35:BN35)</f>
        <v>205.631941455692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5.24847574388587</v>
      </c>
      <c r="Q35" s="13" t="n">
        <f aca="false">Q24*MIN(Q31-Q34,Q33+Tax!Q13-Q34)</f>
        <v>3.16554708392525</v>
      </c>
      <c r="R35" s="13" t="n">
        <f aca="false">R24*MIN(R31-R34,R33+Tax!R13-R34)</f>
        <v>4.13490902929469</v>
      </c>
      <c r="S35" s="13" t="n">
        <f aca="false">S24*MIN(S31-S34,S33+Tax!S13-S34)</f>
        <v>3.69759291173635</v>
      </c>
      <c r="T35" s="13" t="n">
        <f aca="false">T24*MIN(T31-T34,T33+Tax!T13-T34)</f>
        <v>4.46602582853793</v>
      </c>
      <c r="U35" s="13" t="n">
        <f aca="false">U24*MIN(U31-U34,U33+Tax!U13-U34)</f>
        <v>3.84929259775399</v>
      </c>
      <c r="V35" s="13" t="n">
        <f aca="false">V24*MIN(V31-V34,V33+Tax!V13-V34)</f>
        <v>5.19662031659064</v>
      </c>
      <c r="W35" s="13" t="n">
        <f aca="false">W24*MIN(W31-W34,W33+Tax!W13-W34)</f>
        <v>6.38161553530342</v>
      </c>
      <c r="X35" s="13" t="n">
        <f aca="false">X24*MIN(X31-X34,X33+Tax!X13-X34)</f>
        <v>5.51298873430667</v>
      </c>
      <c r="Y35" s="13" t="n">
        <f aca="false">Y24*MIN(Y31-Y34,Y33+Tax!Y13-Y34)</f>
        <v>5.16640779166115</v>
      </c>
      <c r="Z35" s="13" t="n">
        <f aca="false">Z24*MIN(Z31-Z34,Z33+Tax!Z13-Z34)</f>
        <v>6.02925537889105</v>
      </c>
      <c r="AA35" s="13" t="n">
        <f aca="false">AA24*MIN(AA31-AA34,AA33+Tax!AA13-AA34)</f>
        <v>0</v>
      </c>
      <c r="AB35" s="13" t="n">
        <f aca="false">AB24*MIN(AB31-AB34,AB33+Tax!AB13-AB34)</f>
        <v>0.186800585995387</v>
      </c>
      <c r="AC35" s="13" t="n">
        <f aca="false">AC24*MIN(AC31-AC34,AC33+Tax!AC13-AC34)</f>
        <v>0.0145362060715204</v>
      </c>
      <c r="AD35" s="13" t="n">
        <f aca="false">AD24*MIN(AD31-AD34,AD33+Tax!AD13-AD34)</f>
        <v>1.1824249798504</v>
      </c>
      <c r="AE35" s="13" t="n">
        <f aca="false">AE24*MIN(AE31-AE34,AE33+Tax!AE13-AE34)</f>
        <v>2.14257506105915</v>
      </c>
      <c r="AF35" s="13" t="n">
        <f aca="false">AF24*MIN(AF31-AF34,AF33+Tax!AF13-AF34)</f>
        <v>3.1468266933633</v>
      </c>
      <c r="AG35" s="13" t="n">
        <f aca="false">AG24*MIN(AG31-AG34,AG33+Tax!AG13-AG34)</f>
        <v>3.95191522538067</v>
      </c>
      <c r="AH35" s="13" t="n">
        <f aca="false">AH24*MIN(AH31-AH34,AH33+Tax!AH13-AH34)</f>
        <v>5.55418995311278</v>
      </c>
      <c r="AI35" s="13" t="n">
        <f aca="false">AI24*MIN(AI31-AI34,AI33+Tax!AI13-AI34)</f>
        <v>6.92640322977814</v>
      </c>
      <c r="AJ35" s="13" t="n">
        <f aca="false">AJ24*MIN(AJ31-AJ34,AJ33+Tax!AJ13-AJ34)</f>
        <v>13.9334122568187</v>
      </c>
      <c r="AK35" s="13" t="n">
        <f aca="false">AK24*MIN(AK31-AK34,AK33+Tax!AK13-AK34)</f>
        <v>27.0182940612252</v>
      </c>
      <c r="AL35" s="13" t="n">
        <f aca="false">AL24*MIN(AL31-AL34,AL33+Tax!AL13-AL34)</f>
        <v>26.111865425231</v>
      </c>
      <c r="AM35" s="13" t="n">
        <f aca="false">AM24*MIN(AM31-AM34,AM33+Tax!AM13-AM34)</f>
        <v>26.2964423627987</v>
      </c>
      <c r="AN35" s="13" t="n">
        <f aca="false">AN24*MIN(AN31-AN34,AN33+Tax!AN13-AN34)</f>
        <v>22.6606712402993</v>
      </c>
      <c r="AO35" s="13" t="n">
        <f aca="false">AO24*MIN(AO31-AO34,AO33+Tax!AO13-AO34)</f>
        <v>13.6568532228211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1885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204.885919854686</v>
      </c>
      <c r="P36" s="13" t="n">
        <f aca="false">P33+Tax!P13-P34-P35</f>
        <v>199.6374441108</v>
      </c>
      <c r="Q36" s="13" t="n">
        <f aca="false">Q33+Tax!Q13-Q34-Q35</f>
        <v>196.471897026874</v>
      </c>
      <c r="R36" s="13" t="n">
        <f aca="false">R33+Tax!R13-R34-R35</f>
        <v>192.33698799758</v>
      </c>
      <c r="S36" s="13" t="n">
        <f aca="false">S33+Tax!S13-S34-S35</f>
        <v>188.639395085843</v>
      </c>
      <c r="T36" s="13" t="n">
        <f aca="false">T33+Tax!T13-T34-T35</f>
        <v>184.173369257305</v>
      </c>
      <c r="U36" s="13" t="n">
        <f aca="false">U33+Tax!U13-U34-U35</f>
        <v>180.324076659551</v>
      </c>
      <c r="V36" s="13" t="n">
        <f aca="false">V33+Tax!V13-V34-V35</f>
        <v>175.127456342961</v>
      </c>
      <c r="W36" s="13" t="n">
        <f aca="false">W33+Tax!W13-W34-W35</f>
        <v>168.745840807657</v>
      </c>
      <c r="X36" s="13" t="n">
        <f aca="false">X33+Tax!X13-X34-X35</f>
        <v>163.232852073351</v>
      </c>
      <c r="Y36" s="13" t="n">
        <f aca="false">Y33+Tax!Y13-Y34-Y35</f>
        <v>158.06644428169</v>
      </c>
      <c r="Z36" s="13" t="n">
        <f aca="false">Z33+Tax!Z13-Z34-Z35</f>
        <v>152.037188902799</v>
      </c>
      <c r="AA36" s="13" t="n">
        <f aca="false">AA33+Tax!AA13-AA34-AA35</f>
        <v>152.783210503805</v>
      </c>
      <c r="AB36" s="13" t="n">
        <f aca="false">AB33+Tax!AB13-AB34-AB35</f>
        <v>152.59640991781</v>
      </c>
      <c r="AC36" s="13" t="n">
        <f aca="false">AC33+Tax!AC13-AC34-AC35</f>
        <v>152.581873711738</v>
      </c>
      <c r="AD36" s="13" t="n">
        <f aca="false">AD33+Tax!AD13-AD34-AD35</f>
        <v>151.399448731888</v>
      </c>
      <c r="AE36" s="13" t="n">
        <f aca="false">AE33+Tax!AE13-AE34-AE35</f>
        <v>149.256873670829</v>
      </c>
      <c r="AF36" s="13" t="n">
        <f aca="false">AF33+Tax!AF13-AF34-AF35</f>
        <v>146.110046977466</v>
      </c>
      <c r="AG36" s="13" t="n">
        <f aca="false">AG33+Tax!AG13-AG34-AG35</f>
        <v>142.158131752085</v>
      </c>
      <c r="AH36" s="13" t="n">
        <f aca="false">AH33+Tax!AH13-AH34-AH35</f>
        <v>136.603941798972</v>
      </c>
      <c r="AI36" s="13" t="n">
        <f aca="false">AI33+Tax!AI13-AI34-AI35</f>
        <v>129.677538569194</v>
      </c>
      <c r="AJ36" s="13" t="n">
        <f aca="false">AJ33+Tax!AJ13-AJ34-AJ35</f>
        <v>115.744126312375</v>
      </c>
      <c r="AK36" s="13" t="n">
        <f aca="false">AK33+Tax!AK13-AK34-AK35</f>
        <v>88.7258322511501</v>
      </c>
      <c r="AL36" s="13" t="n">
        <f aca="false">AL33+Tax!AL13-AL34-AL35</f>
        <v>62.6139668259191</v>
      </c>
      <c r="AM36" s="13" t="n">
        <f aca="false">AM33+Tax!AM13-AM34-AM35</f>
        <v>36.3175244631204</v>
      </c>
      <c r="AN36" s="13" t="n">
        <f aca="false">AN33+Tax!AN13-AN34-AN35</f>
        <v>13.6568532228211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1886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9.76698881124229</v>
      </c>
      <c r="P37" s="13" t="n">
        <f aca="false">MAX(0,O43+Financials!P14)</f>
        <v>17.1383047053302</v>
      </c>
      <c r="Q37" s="13" t="n">
        <f aca="false">MAX(0,P43+Financials!Q14)</f>
        <v>25.9265355534099</v>
      </c>
      <c r="R37" s="13" t="n">
        <f aca="false">MAX(0,Q43+Financials!R14)</f>
        <v>35.2402783641076</v>
      </c>
      <c r="S37" s="13" t="n">
        <f aca="false">MAX(0,R43+Financials!S14)</f>
        <v>45.8081856029152</v>
      </c>
      <c r="T37" s="13" t="n">
        <f aca="false">MAX(0,S43+Financials!T14)</f>
        <v>56.862909584774</v>
      </c>
      <c r="U37" s="13" t="n">
        <f aca="false">MAX(0,T43+Financials!U14)</f>
        <v>69.1932669199609</v>
      </c>
      <c r="V37" s="13" t="n">
        <f aca="false">MAX(0,U43+Financials!V14)</f>
        <v>79.8763888529308</v>
      </c>
      <c r="W37" s="13" t="n">
        <f aca="false">MAX(0,V43+Financials!W14)</f>
        <v>94.433997458638</v>
      </c>
      <c r="X37" s="13" t="n">
        <f aca="false">MAX(0,W43+Financials!X14)</f>
        <v>109.772653250434</v>
      </c>
      <c r="Y37" s="13" t="n">
        <f aca="false">MAX(0,X43+Financials!Y14)</f>
        <v>123.130951949391</v>
      </c>
      <c r="Z37" s="13" t="n">
        <f aca="false">MAX(0,Y43+Financials!Z14)</f>
        <v>131.240150988776</v>
      </c>
      <c r="AA37" s="13" t="n">
        <f aca="false">MAX(0,Z43+Financials!AA14)</f>
        <v>140.378516135266</v>
      </c>
      <c r="AB37" s="13" t="n">
        <f aca="false">MAX(0,AA43+Financials!AB14)</f>
        <v>150.17989607522</v>
      </c>
      <c r="AC37" s="13" t="n">
        <f aca="false">MAX(0,AB43+Financials!AC14)</f>
        <v>161.134024943851</v>
      </c>
      <c r="AD37" s="13" t="n">
        <f aca="false">MAX(0,AC43+Financials!AD14)</f>
        <v>163.787445700186</v>
      </c>
      <c r="AE37" s="13" t="n">
        <f aca="false">MAX(0,AD43+Financials!AE14)</f>
        <v>176.86188716107</v>
      </c>
      <c r="AF37" s="13" t="n">
        <f aca="false">MAX(0,AE43+Financials!AF14)</f>
        <v>190.719907955768</v>
      </c>
      <c r="AG37" s="13" t="n">
        <f aca="false">MAX(0,AF43+Financials!AG14)</f>
        <v>205.794406841767</v>
      </c>
      <c r="AH37" s="13" t="n">
        <f aca="false">MAX(0,AG43+Financials!AH14)</f>
        <v>222.040942135381</v>
      </c>
      <c r="AI37" s="13" t="n">
        <f aca="false">MAX(0,AH43+Financials!AI14)</f>
        <v>239.691032659881</v>
      </c>
      <c r="AJ37" s="13" t="n">
        <f aca="false">MAX(0,AI43+Financials!AJ14)</f>
        <v>258.542972081968</v>
      </c>
      <c r="AK37" s="13" t="n">
        <f aca="false">MAX(0,AJ43+Financials!AK14)</f>
        <v>278.97429203307</v>
      </c>
      <c r="AL37" s="13" t="n">
        <f aca="false">MAX(0,AK43+Financials!AL14)</f>
        <v>298.066881429876</v>
      </c>
      <c r="AM37" s="13" t="n">
        <f aca="false">MAX(0,AL43+Financials!AM14)</f>
        <v>321.838362971449</v>
      </c>
      <c r="AN37" s="13" t="n">
        <f aca="false">MAX(0,AM43+Financials!AN14)</f>
        <v>346.85715875995</v>
      </c>
      <c r="AO37" s="13" t="n">
        <f aca="false">MAX(0,AN43+Financials!AO14)</f>
        <v>373.189416173152</v>
      </c>
      <c r="AP37" s="13" t="n">
        <f aca="false">MAX(0,AO43+Financials!AP14)</f>
        <v>372.36776746907</v>
      </c>
      <c r="AQ37" s="13" t="n">
        <f aca="false">MAX(0,AP43+Financials!AQ14)</f>
        <v>356.95113845418</v>
      </c>
      <c r="AR37" s="13" t="n">
        <f aca="false">MAX(0,AQ43+Financials!AR14)</f>
        <v>342.058880801457</v>
      </c>
      <c r="AS37" s="13" t="n">
        <f aca="false">MAX(0,AR43+Financials!AS14)</f>
        <v>326.760311726651</v>
      </c>
      <c r="AT37" s="13" t="n">
        <f aca="false">MAX(0,AS43+Financials!AT14)</f>
        <v>301.726323746878</v>
      </c>
      <c r="AU37" s="13" t="n">
        <f aca="false">MAX(0,AT43+Financials!AU14)</f>
        <v>280.097639878177</v>
      </c>
      <c r="AV37" s="13" t="n">
        <f aca="false">MAX(0,AU43+Financials!AV14)</f>
        <v>263.005766694781</v>
      </c>
      <c r="AW37" s="13" t="n">
        <f aca="false">MAX(0,AV43+Financials!AW14)</f>
        <v>245.857781219322</v>
      </c>
      <c r="AX37" s="13" t="n">
        <f aca="false">MAX(0,AW43+Financials!AX14)</f>
        <v>229.250894135333</v>
      </c>
      <c r="AY37" s="13" t="n">
        <f aca="false">MAX(0,AX43+Financials!AY14)</f>
        <v>212.156057804323</v>
      </c>
      <c r="AZ37" s="13" t="n">
        <f aca="false">MAX(0,AY43+Financials!AZ14)</f>
        <v>195.652088791296</v>
      </c>
      <c r="BA37" s="13" t="n">
        <f aca="false">MAX(0,AZ43+Financials!BA14)</f>
        <v>178.625619589333</v>
      </c>
      <c r="BB37" s="13" t="n">
        <f aca="false">MAX(0,BA43+Financials!BB14)</f>
        <v>159.959739378645</v>
      </c>
      <c r="BC37" s="13" t="n">
        <f aca="false">MAX(0,BB43+Financials!BC14)</f>
        <v>142.888280881263</v>
      </c>
      <c r="BD37" s="13" t="n">
        <f aca="false">MAX(0,BC43+Financials!BD14)</f>
        <v>129.20493004405</v>
      </c>
      <c r="BE37" s="13" t="n">
        <f aca="false">MAX(0,BD43+Financials!BE14)</f>
        <v>121.659420740844</v>
      </c>
      <c r="BF37" s="13" t="n">
        <f aca="false">MAX(0,BE43+Financials!BF14)</f>
        <v>114.736952982698</v>
      </c>
      <c r="BG37" s="13" t="n">
        <f aca="false">MAX(0,BF43+Financials!BG14)</f>
        <v>107.26186115824</v>
      </c>
      <c r="BH37" s="13" t="n">
        <f aca="false">MAX(0,BG43+Financials!BH14)</f>
        <v>100.460836022845</v>
      </c>
      <c r="BI37" s="13" t="n">
        <f aca="false">MAX(0,BH43+Financials!BI14)</f>
        <v>93.0292495389367</v>
      </c>
      <c r="BJ37" s="13" t="n">
        <f aca="false">MAX(0,BI43+Financials!BJ14)</f>
        <v>73.7890297142018</v>
      </c>
      <c r="BK37" s="13" t="n">
        <f aca="false">MAX(0,BJ43+Financials!BK14)</f>
        <v>59.0082145813184</v>
      </c>
      <c r="BL37" s="13" t="n">
        <f aca="false">MAX(0,BK43+Financials!BL14)</f>
        <v>49.5722025476284</v>
      </c>
      <c r="BM37" s="13" t="n">
        <f aca="false">MAX(0,BL43+Financials!BM14)</f>
        <v>15.2501628936293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1887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28.1905926830758</v>
      </c>
      <c r="AP38" s="13" t="n">
        <f aca="false">AP24*MIN(AP31-AP34-AP35,AP37)</f>
        <v>42.9287921805194</v>
      </c>
      <c r="AQ38" s="13" t="n">
        <f aca="false">AQ24*MIN(AQ31-AQ34-AQ35,AQ37)</f>
        <v>42.5218707156227</v>
      </c>
      <c r="AR38" s="13" t="n">
        <f aca="false">AR24*MIN(AR31-AR34-AR35,AR37)</f>
        <v>43.1865043955517</v>
      </c>
      <c r="AS38" s="13" t="n">
        <f aca="false">AS24*MIN(AS31-AS34-AS35,AS37)</f>
        <v>42.9820722284609</v>
      </c>
      <c r="AT38" s="13" t="n">
        <f aca="false">AT24*MIN(AT31-AT34-AT35,AT37)</f>
        <v>50.0008035602997</v>
      </c>
      <c r="AU38" s="13" t="n">
        <f aca="false">AU24*MIN(AU31-AU34-AU35,AU37)</f>
        <v>45.5659911364857</v>
      </c>
      <c r="AV38" s="13" t="n">
        <f aca="false">AV24*MIN(AV31-AV34-AV35,AV37)</f>
        <v>45.7851264059674</v>
      </c>
      <c r="AW38" s="13" t="n">
        <f aca="false">AW24*MIN(AW31-AW34-AW35,AW37)</f>
        <v>45.3789800000648</v>
      </c>
      <c r="AX38" s="13" t="n">
        <f aca="false">AX24*MIN(AX31-AX34-AX35,AX37)</f>
        <v>46.08147176294</v>
      </c>
      <c r="AY38" s="13" t="n">
        <f aca="false">AY24*MIN(AY31-AY34-AY35,AY37)</f>
        <v>45.7203887237585</v>
      </c>
      <c r="AZ38" s="13" t="n">
        <f aca="false">AZ24*MIN(AZ31-AZ34-AZ35,AZ37)</f>
        <v>46.527943301452</v>
      </c>
      <c r="BA38" s="13" t="n">
        <f aca="false">BA24*MIN(BA31-BA34-BA35,BA37)</f>
        <v>45.830029916697</v>
      </c>
      <c r="BB38" s="13" t="n">
        <f aca="false">BB24*MIN(BB31-BB34-BB35,BB37)</f>
        <v>47.0910088425215</v>
      </c>
      <c r="BC38" s="13" t="n">
        <f aca="false">BC24*MIN(BC31-BC34-BC35,BC37)</f>
        <v>43.7990672072826</v>
      </c>
      <c r="BD38" s="13" t="n">
        <f aca="false">BD24*MIN(BD31-BD34-BD35,BD37)</f>
        <v>37.9002507081253</v>
      </c>
      <c r="BE38" s="13" t="n">
        <f aca="false">BE24*MIN(BE31-BE34-BE35,BE37)</f>
        <v>37.5279756982946</v>
      </c>
      <c r="BF38" s="13" t="n">
        <f aca="false">BF24*MIN(BF31-BF34-BF35,BF37)</f>
        <v>38.3648029258522</v>
      </c>
      <c r="BG38" s="13" t="n">
        <f aca="false">BG24*MIN(BG31-BG34-BG35,BG37)</f>
        <v>38.0209359608458</v>
      </c>
      <c r="BH38" s="13" t="n">
        <f aca="false">BH24*MIN(BH31-BH34-BH35,BH37)</f>
        <v>38.9500670099411</v>
      </c>
      <c r="BI38" s="13" t="n">
        <f aca="false">BI24*MIN(BI31-BI34-BI35,BI37)</f>
        <v>38.7065563707922</v>
      </c>
      <c r="BJ38" s="13" t="n">
        <f aca="false">BJ24*MIN(BJ31-BJ34-BJ35,BJ37)</f>
        <v>46.8525763323607</v>
      </c>
      <c r="BK38" s="13" t="n">
        <f aca="false">BK24*MIN(BK31-BK34-BK35,BK37)</f>
        <v>41.6604001101922</v>
      </c>
      <c r="BL38" s="13" t="n">
        <f aca="false">BL24*MIN(BL31-BL34-BL35,BL37)</f>
        <v>42.6480869751059</v>
      </c>
      <c r="BM38" s="13" t="n">
        <f aca="false">BM24*MIN(BM31-BM34-BM35,BM37)</f>
        <v>15.2501628936293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1888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44.3723302201644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1889</v>
      </c>
      <c r="E40" s="0" t="s">
        <v>151</v>
      </c>
      <c r="G40" s="13" t="n">
        <f aca="false">SUM(J40:BN40)</f>
        <v>44.3723302201644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44.3723302201644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1890</v>
      </c>
      <c r="E41" s="0" t="s">
        <v>151</v>
      </c>
      <c r="G41" s="13" t="n">
        <f aca="false">SUM(J41:BN41)</f>
        <v>1081.844788266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28.1905926830758</v>
      </c>
      <c r="AP41" s="13" t="n">
        <f aca="false">AP38+AP40</f>
        <v>42.9287921805194</v>
      </c>
      <c r="AQ41" s="13" t="n">
        <f aca="false">AQ38+AQ40</f>
        <v>42.5218707156227</v>
      </c>
      <c r="AR41" s="13" t="n">
        <f aca="false">AR38+AR40</f>
        <v>43.1865043955517</v>
      </c>
      <c r="AS41" s="13" t="n">
        <f aca="false">AS38+AS40</f>
        <v>42.9820722284609</v>
      </c>
      <c r="AT41" s="13" t="n">
        <f aca="false">AT38+AT40</f>
        <v>50.0008035602997</v>
      </c>
      <c r="AU41" s="13" t="n">
        <f aca="false">AU38+AU40</f>
        <v>45.5659911364857</v>
      </c>
      <c r="AV41" s="13" t="n">
        <f aca="false">AV38+AV40</f>
        <v>45.7851264059674</v>
      </c>
      <c r="AW41" s="13" t="n">
        <f aca="false">AW38+AW40</f>
        <v>45.3789800000648</v>
      </c>
      <c r="AX41" s="13" t="n">
        <f aca="false">AX38+AX40</f>
        <v>46.08147176294</v>
      </c>
      <c r="AY41" s="13" t="n">
        <f aca="false">AY38+AY40</f>
        <v>45.7203887237585</v>
      </c>
      <c r="AZ41" s="13" t="n">
        <f aca="false">AZ38+AZ40</f>
        <v>46.527943301452</v>
      </c>
      <c r="BA41" s="13" t="n">
        <f aca="false">BA38+BA40</f>
        <v>45.830029916697</v>
      </c>
      <c r="BB41" s="13" t="n">
        <f aca="false">BB38+BB40</f>
        <v>47.0910088425215</v>
      </c>
      <c r="BC41" s="13" t="n">
        <f aca="false">BC38+BC40</f>
        <v>43.7990672072826</v>
      </c>
      <c r="BD41" s="13" t="n">
        <f aca="false">BD38+BD40</f>
        <v>37.9002507081253</v>
      </c>
      <c r="BE41" s="13" t="n">
        <f aca="false">BE38+BE40</f>
        <v>37.5279756982946</v>
      </c>
      <c r="BF41" s="13" t="n">
        <f aca="false">BF38+BF40</f>
        <v>38.3648029258522</v>
      </c>
      <c r="BG41" s="13" t="n">
        <f aca="false">BG38+BG40</f>
        <v>38.0209359608458</v>
      </c>
      <c r="BH41" s="13" t="n">
        <f aca="false">BH38+BH40</f>
        <v>38.9500670099411</v>
      </c>
      <c r="BI41" s="13" t="n">
        <f aca="false">BI38+BI40</f>
        <v>38.7065563707922</v>
      </c>
      <c r="BJ41" s="13" t="n">
        <f aca="false">BJ38+BJ40</f>
        <v>46.8525763323607</v>
      </c>
      <c r="BK41" s="13" t="n">
        <f aca="false">BK38+BK40</f>
        <v>41.6604001101922</v>
      </c>
      <c r="BL41" s="13" t="n">
        <f aca="false">BL38+BL40</f>
        <v>42.6480869751059</v>
      </c>
      <c r="BM41" s="13" t="n">
        <f aca="false">BM38+BM40</f>
        <v>59.6224931137937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1891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1892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9.76698881124229</v>
      </c>
      <c r="P43" s="13" t="n">
        <f aca="false">IF(Time!P20&lt;Time!$F$12,0,O43+Financials!P14-P41)</f>
        <v>17.1383047053302</v>
      </c>
      <c r="Q43" s="13" t="n">
        <f aca="false">IF(Time!Q20&lt;Time!$F$12,0,P43+Financials!Q14-Q41)</f>
        <v>25.9265355534099</v>
      </c>
      <c r="R43" s="13" t="n">
        <f aca="false">IF(Time!R20&lt;Time!$F$12,0,Q43+Financials!R14-R41)</f>
        <v>35.2402783641076</v>
      </c>
      <c r="S43" s="13" t="n">
        <f aca="false">IF(Time!S20&lt;Time!$F$12,0,R43+Financials!S14-S41)</f>
        <v>45.8081856029152</v>
      </c>
      <c r="T43" s="13" t="n">
        <f aca="false">IF(Time!T20&lt;Time!$F$12,0,S43+Financials!T14-T41)</f>
        <v>56.862909584774</v>
      </c>
      <c r="U43" s="13" t="n">
        <f aca="false">IF(Time!U20&lt;Time!$F$12,0,T43+Financials!U14-U41)</f>
        <v>69.1932669199609</v>
      </c>
      <c r="V43" s="13" t="n">
        <f aca="false">IF(Time!V20&lt;Time!$F$12,0,U43+Financials!V14-V41)</f>
        <v>79.8763888529308</v>
      </c>
      <c r="W43" s="13" t="n">
        <f aca="false">IF(Time!W20&lt;Time!$F$12,0,V43+Financials!W14-W41)</f>
        <v>94.433997458638</v>
      </c>
      <c r="X43" s="13" t="n">
        <f aca="false">IF(Time!X20&lt;Time!$F$12,0,W43+Financials!X14-X41)</f>
        <v>109.772653250434</v>
      </c>
      <c r="Y43" s="13" t="n">
        <f aca="false">IF(Time!Y20&lt;Time!$F$12,0,X43+Financials!Y14-Y41)</f>
        <v>123.130951949391</v>
      </c>
      <c r="Z43" s="13" t="n">
        <f aca="false">IF(Time!Z20&lt;Time!$F$12,0,Y43+Financials!Z14-Z41)</f>
        <v>131.240150988776</v>
      </c>
      <c r="AA43" s="13" t="n">
        <f aca="false">IF(Time!AA20&lt;Time!$F$12,0,Z43+Financials!AA14-AA41)</f>
        <v>140.378516135266</v>
      </c>
      <c r="AB43" s="13" t="n">
        <f aca="false">IF(Time!AB20&lt;Time!$F$12,0,AA43+Financials!AB14-AB41)</f>
        <v>150.17989607522</v>
      </c>
      <c r="AC43" s="13" t="n">
        <f aca="false">IF(Time!AC20&lt;Time!$F$12,0,AB43+Financials!AC14-AC41)</f>
        <v>161.134024943851</v>
      </c>
      <c r="AD43" s="13" t="n">
        <f aca="false">IF(Time!AD20&lt;Time!$F$12,0,AC43+Financials!AD14-AD41)</f>
        <v>163.787445700186</v>
      </c>
      <c r="AE43" s="13" t="n">
        <f aca="false">IF(Time!AE20&lt;Time!$F$12,0,AD43+Financials!AE14-AE41)</f>
        <v>176.86188716107</v>
      </c>
      <c r="AF43" s="13" t="n">
        <f aca="false">IF(Time!AF20&lt;Time!$F$12,0,AE43+Financials!AF14-AF41)</f>
        <v>190.719907955768</v>
      </c>
      <c r="AG43" s="13" t="n">
        <f aca="false">IF(Time!AG20&lt;Time!$F$12,0,AF43+Financials!AG14-AG41)</f>
        <v>205.794406841767</v>
      </c>
      <c r="AH43" s="13" t="n">
        <f aca="false">IF(Time!AH20&lt;Time!$F$12,0,AG43+Financials!AH14-AH41)</f>
        <v>222.040942135381</v>
      </c>
      <c r="AI43" s="13" t="n">
        <f aca="false">IF(Time!AI20&lt;Time!$F$12,0,AH43+Financials!AI14-AI41)</f>
        <v>239.691032659881</v>
      </c>
      <c r="AJ43" s="13" t="n">
        <f aca="false">IF(Time!AJ20&lt;Time!$F$12,0,AI43+Financials!AJ14-AJ41)</f>
        <v>258.542972081968</v>
      </c>
      <c r="AK43" s="13" t="n">
        <f aca="false">IF(Time!AK20&lt;Time!$F$12,0,AJ43+Financials!AK14-AK41)</f>
        <v>278.97429203307</v>
      </c>
      <c r="AL43" s="13" t="n">
        <f aca="false">IF(Time!AL20&lt;Time!$F$12,0,AK43+Financials!AL14-AL41)</f>
        <v>298.066881429876</v>
      </c>
      <c r="AM43" s="13" t="n">
        <f aca="false">IF(Time!AM20&lt;Time!$F$12,0,AL43+Financials!AM14-AM41)</f>
        <v>321.838362971449</v>
      </c>
      <c r="AN43" s="13" t="n">
        <f aca="false">IF(Time!AN20&lt;Time!$F$12,0,AM43+Financials!AN14-AN41)</f>
        <v>346.85715875995</v>
      </c>
      <c r="AO43" s="13" t="n">
        <f aca="false">IF(Time!AO20&lt;Time!$F$12,0,AN43+Financials!AO14-AO41)</f>
        <v>344.998823490076</v>
      </c>
      <c r="AP43" s="13" t="n">
        <f aca="false">IF(Time!AP20&lt;Time!$F$12,0,AO43+Financials!AP14-AP41)</f>
        <v>329.438975288551</v>
      </c>
      <c r="AQ43" s="13" t="n">
        <f aca="false">IF(Time!AQ20&lt;Time!$F$12,0,AP43+Financials!AQ14-AQ41)</f>
        <v>314.429267738557</v>
      </c>
      <c r="AR43" s="13" t="n">
        <f aca="false">IF(Time!AR20&lt;Time!$F$12,0,AQ43+Financials!AR14-AR41)</f>
        <v>298.872376405905</v>
      </c>
      <c r="AS43" s="13" t="n">
        <f aca="false">IF(Time!AS20&lt;Time!$F$12,0,AR43+Financials!AS14-AS41)</f>
        <v>283.77823949819</v>
      </c>
      <c r="AT43" s="13" t="n">
        <f aca="false">IF(Time!AT20&lt;Time!$F$12,0,AS43+Financials!AT14-AT41)</f>
        <v>251.725520186578</v>
      </c>
      <c r="AU43" s="13" t="n">
        <f aca="false">IF(Time!AU20&lt;Time!$F$12,0,AT43+Financials!AU14-AU41)</f>
        <v>234.531648741691</v>
      </c>
      <c r="AV43" s="13" t="n">
        <f aca="false">IF(Time!AV20&lt;Time!$F$12,0,AU43+Financials!AV14-AV41)</f>
        <v>217.220640288814</v>
      </c>
      <c r="AW43" s="13" t="n">
        <f aca="false">IF(Time!AW20&lt;Time!$F$12,0,AV43+Financials!AW14-AW41)</f>
        <v>200.478801219257</v>
      </c>
      <c r="AX43" s="13" t="n">
        <f aca="false">IF(Time!AX20&lt;Time!$F$12,0,AW43+Financials!AX14-AX41)</f>
        <v>183.169422372392</v>
      </c>
      <c r="AY43" s="13" t="n">
        <f aca="false">IF(Time!AY20&lt;Time!$F$12,0,AX43+Financials!AY14-AY41)</f>
        <v>166.435669080565</v>
      </c>
      <c r="AZ43" s="13" t="n">
        <f aca="false">IF(Time!AZ20&lt;Time!$F$12,0,AY43+Financials!AZ14-AZ41)</f>
        <v>149.124145489844</v>
      </c>
      <c r="BA43" s="13" t="n">
        <f aca="false">IF(Time!BA20&lt;Time!$F$12,0,AZ43+Financials!BA14-BA41)</f>
        <v>132.795589672636</v>
      </c>
      <c r="BB43" s="13" t="n">
        <f aca="false">IF(Time!BB20&lt;Time!$F$12,0,BA43+Financials!BB14-BB41)</f>
        <v>112.868730536123</v>
      </c>
      <c r="BC43" s="13" t="n">
        <f aca="false">IF(Time!BC20&lt;Time!$F$12,0,BB43+Financials!BC14-BC41)</f>
        <v>99.0892136739805</v>
      </c>
      <c r="BD43" s="13" t="n">
        <f aca="false">IF(Time!BD20&lt;Time!$F$12,0,BC43+Financials!BD14-BD41)</f>
        <v>91.3046793359245</v>
      </c>
      <c r="BE43" s="13" t="n">
        <f aca="false">IF(Time!BE20&lt;Time!$F$12,0,BD43+Financials!BE14-BE41)</f>
        <v>84.1314450425493</v>
      </c>
      <c r="BF43" s="13" t="n">
        <f aca="false">IF(Time!BF20&lt;Time!$F$12,0,BE43+Financials!BF14-BF41)</f>
        <v>76.3721500568463</v>
      </c>
      <c r="BG43" s="13" t="n">
        <f aca="false">IF(Time!BG20&lt;Time!$F$12,0,BF43+Financials!BG14-BG41)</f>
        <v>69.2409251973947</v>
      </c>
      <c r="BH43" s="13" t="n">
        <f aca="false">IF(Time!BH20&lt;Time!$F$12,0,BG43+Financials!BH14-BH41)</f>
        <v>61.5107690129039</v>
      </c>
      <c r="BI43" s="13" t="n">
        <f aca="false">IF(Time!BI20&lt;Time!$F$12,0,BH43+Financials!BI14-BI41)</f>
        <v>54.3226931681445</v>
      </c>
      <c r="BJ43" s="13" t="n">
        <f aca="false">IF(Time!BJ20&lt;Time!$F$12,0,BI43+Financials!BJ14-BJ41)</f>
        <v>26.9364533818411</v>
      </c>
      <c r="BK43" s="13" t="n">
        <f aca="false">IF(Time!BK20&lt;Time!$F$12,0,BJ43+Financials!BK14-BK41)</f>
        <v>17.3478144711262</v>
      </c>
      <c r="BL43" s="13" t="n">
        <f aca="false">IF(Time!BL20&lt;Time!$F$12,0,BK43+Financials!BL14-BL41)</f>
        <v>6.92411557252254</v>
      </c>
      <c r="BM43" s="13" t="n">
        <f aca="false">IF(Time!BM20&lt;Time!$F$12,0,BL43+Financials!BM14-BM41)</f>
        <v>-44.3723302201644</v>
      </c>
      <c r="BN43" s="13" t="n">
        <f aca="false">IF(Time!BN20&lt;Time!$F$12,0,BM43+Financials!BN14-BN41)</f>
        <v>-44.3723302201644</v>
      </c>
    </row>
    <row r="44" customFormat="false" ht="15" hidden="false" customHeight="false" outlineLevel="0" collapsed="false">
      <c r="D44" s="0" t="s">
        <v>1893</v>
      </c>
      <c r="E44" s="0" t="s">
        <v>151</v>
      </c>
      <c r="G44" s="13" t="n">
        <f aca="false">SUM(J44:BN44)</f>
        <v>1467.09931126062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15.0605466454198</v>
      </c>
      <c r="Q44" s="13" t="n">
        <f aca="false">Q34+Q35+Q41</f>
        <v>12.5703850331998</v>
      </c>
      <c r="R44" s="13" t="n">
        <f aca="false">R34+R35+R41</f>
        <v>13.5440289197872</v>
      </c>
      <c r="S44" s="13" t="n">
        <f aca="false">S34+S35+S41</f>
        <v>12.7585093737045</v>
      </c>
      <c r="T44" s="13" t="n">
        <f aca="false">T34+T35+T41</f>
        <v>13.500043982238</v>
      </c>
      <c r="U44" s="13" t="n">
        <f aca="false">U34+U35+U41</f>
        <v>12.5735598702439</v>
      </c>
      <c r="V44" s="13" t="n">
        <f aca="false">V34+V35+V41</f>
        <v>13.8324144536015</v>
      </c>
      <c r="W44" s="13" t="n">
        <f aca="false">W34+W35+W41</f>
        <v>14.6317980334328</v>
      </c>
      <c r="X44" s="13" t="n">
        <f aca="false">X34+X35+X41</f>
        <v>13.5942963981912</v>
      </c>
      <c r="Y44" s="13" t="n">
        <f aca="false">Y34+Y35+Y41</f>
        <v>12.8562403708427</v>
      </c>
      <c r="Z44" s="13" t="n">
        <f aca="false">Z34+Z35+Z41</f>
        <v>13.5991223543539</v>
      </c>
      <c r="AA44" s="13" t="n">
        <f aca="false">AA34+AA35+AA41</f>
        <v>6.41638788716743</v>
      </c>
      <c r="AB44" s="13" t="n">
        <f aca="false">AB34+AB35+AB41</f>
        <v>7.50365132464338</v>
      </c>
      <c r="AC44" s="13" t="n">
        <f aca="false">AC34+AC35+AC41</f>
        <v>7.24300724026038</v>
      </c>
      <c r="AD44" s="13" t="n">
        <f aca="false">AD34+AD35+AD41</f>
        <v>8.48963361678517</v>
      </c>
      <c r="AE44" s="13" t="n">
        <f aca="false">AE34+AE35+AE41</f>
        <v>9.27494087186686</v>
      </c>
      <c r="AF44" s="13" t="n">
        <f aca="false">AF34+AF35+AF41</f>
        <v>10.2947997119005</v>
      </c>
      <c r="AG44" s="13" t="n">
        <f aca="false">AG34+AG35+AG41</f>
        <v>10.8350994932643</v>
      </c>
      <c r="AH44" s="13" t="n">
        <f aca="false">AH34+AH35+AH41</f>
        <v>12.3622013038702</v>
      </c>
      <c r="AI44" s="13" t="n">
        <f aca="false">AI34+AI35+AI41</f>
        <v>13.3617587893215</v>
      </c>
      <c r="AJ44" s="13" t="n">
        <f aca="false">AJ34+AJ35+AJ41</f>
        <v>20.1437228710366</v>
      </c>
      <c r="AK44" s="13" t="n">
        <f aca="false">AK34+AK35+AK41</f>
        <v>32.5010774692826</v>
      </c>
      <c r="AL44" s="13" t="n">
        <f aca="false">AL34+AL35+AL41</f>
        <v>30.3609819944094</v>
      </c>
      <c r="AM44" s="13" t="n">
        <f aca="false">AM34+AM35+AM41</f>
        <v>29.2461606082006</v>
      </c>
      <c r="AN44" s="13" t="n">
        <f aca="false">AN34+AN35+AN41</f>
        <v>24.3999324118482</v>
      </c>
      <c r="AO44" s="13" t="n">
        <f aca="false">AO34+AO35+AO41</f>
        <v>42.4908146488185</v>
      </c>
      <c r="AP44" s="13" t="n">
        <f aca="false">AP34+AP35+AP41</f>
        <v>42.9287921805194</v>
      </c>
      <c r="AQ44" s="13" t="n">
        <f aca="false">AQ34+AQ35+AQ41</f>
        <v>42.5218707156227</v>
      </c>
      <c r="AR44" s="13" t="n">
        <f aca="false">AR34+AR35+AR41</f>
        <v>43.1865043955517</v>
      </c>
      <c r="AS44" s="13" t="n">
        <f aca="false">AS34+AS35+AS41</f>
        <v>42.9820722284609</v>
      </c>
      <c r="AT44" s="13" t="n">
        <f aca="false">AT34+AT35+AT41</f>
        <v>50.0008035602997</v>
      </c>
      <c r="AU44" s="13" t="n">
        <f aca="false">AU34+AU35+AU41</f>
        <v>45.5659911364857</v>
      </c>
      <c r="AV44" s="13" t="n">
        <f aca="false">AV34+AV35+AV41</f>
        <v>45.7851264059674</v>
      </c>
      <c r="AW44" s="13" t="n">
        <f aca="false">AW34+AW35+AW41</f>
        <v>45.3789800000648</v>
      </c>
      <c r="AX44" s="13" t="n">
        <f aca="false">AX34+AX35+AX41</f>
        <v>46.08147176294</v>
      </c>
      <c r="AY44" s="13" t="n">
        <f aca="false">AY34+AY35+AY41</f>
        <v>45.7203887237585</v>
      </c>
      <c r="AZ44" s="13" t="n">
        <f aca="false">AZ34+AZ35+AZ41</f>
        <v>46.527943301452</v>
      </c>
      <c r="BA44" s="13" t="n">
        <f aca="false">BA34+BA35+BA41</f>
        <v>45.830029916697</v>
      </c>
      <c r="BB44" s="13" t="n">
        <f aca="false">BB34+BB35+BB41</f>
        <v>47.0910088425215</v>
      </c>
      <c r="BC44" s="13" t="n">
        <f aca="false">BC34+BC35+BC41</f>
        <v>43.7990672072826</v>
      </c>
      <c r="BD44" s="13" t="n">
        <f aca="false">BD34+BD35+BD41</f>
        <v>37.9002507081253</v>
      </c>
      <c r="BE44" s="13" t="n">
        <f aca="false">BE34+BE35+BE41</f>
        <v>37.5279756982946</v>
      </c>
      <c r="BF44" s="13" t="n">
        <f aca="false">BF34+BF35+BF41</f>
        <v>38.3648029258522</v>
      </c>
      <c r="BG44" s="13" t="n">
        <f aca="false">BG34+BG35+BG41</f>
        <v>38.0209359608458</v>
      </c>
      <c r="BH44" s="13" t="n">
        <f aca="false">BH34+BH35+BH41</f>
        <v>38.9500670099411</v>
      </c>
      <c r="BI44" s="13" t="n">
        <f aca="false">BI34+BI35+BI41</f>
        <v>38.7065563707922</v>
      </c>
      <c r="BJ44" s="13" t="n">
        <f aca="false">BJ34+BJ35+BJ41</f>
        <v>46.8525763323607</v>
      </c>
      <c r="BK44" s="13" t="n">
        <f aca="false">BK34+BK35+BK41</f>
        <v>41.6604001101922</v>
      </c>
      <c r="BL44" s="13" t="n">
        <f aca="false">BL34+BL35+BL41</f>
        <v>42.6480869751059</v>
      </c>
      <c r="BM44" s="13" t="n">
        <f aca="false">BM34+BM35+BM41</f>
        <v>59.6224931137937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1895</v>
      </c>
    </row>
    <row r="8" customFormat="false" ht="15" hidden="false" customHeight="false" outlineLevel="0" collapsed="false">
      <c r="D8" s="0" t="s">
        <v>1896</v>
      </c>
      <c r="E8" s="0" t="s">
        <v>151</v>
      </c>
      <c r="G8" s="13" t="n">
        <f aca="false">SUM(J8:BN8)</f>
        <v>836.799904366386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5.57866602910924</v>
      </c>
      <c r="P8" s="13" t="n">
        <f aca="false">Funding!$F$76/Time!$F$9*Time!P30</f>
        <v>16.7359980873277</v>
      </c>
      <c r="Q8" s="13" t="n">
        <f aca="false">Funding!$F$76/Time!$F$9*Time!Q30</f>
        <v>16.7359980873277</v>
      </c>
      <c r="R8" s="13" t="n">
        <f aca="false">Funding!$F$76/Time!$F$9*Time!R30</f>
        <v>16.7359980873277</v>
      </c>
      <c r="S8" s="13" t="n">
        <f aca="false">Funding!$F$76/Time!$F$9*Time!S30</f>
        <v>16.7359980873277</v>
      </c>
      <c r="T8" s="13" t="n">
        <f aca="false">Funding!$F$76/Time!$F$9*Time!T30</f>
        <v>16.7359980873277</v>
      </c>
      <c r="U8" s="13" t="n">
        <f aca="false">Funding!$F$76/Time!$F$9*Time!U30</f>
        <v>16.7359980873277</v>
      </c>
      <c r="V8" s="13" t="n">
        <f aca="false">Funding!$F$76/Time!$F$9*Time!V30</f>
        <v>16.7359980873277</v>
      </c>
      <c r="W8" s="13" t="n">
        <f aca="false">Funding!$F$76/Time!$F$9*Time!W30</f>
        <v>16.7359980873277</v>
      </c>
      <c r="X8" s="13" t="n">
        <f aca="false">Funding!$F$76/Time!$F$9*Time!X30</f>
        <v>16.7359980873277</v>
      </c>
      <c r="Y8" s="13" t="n">
        <f aca="false">Funding!$F$76/Time!$F$9*Time!Y30</f>
        <v>16.7359980873277</v>
      </c>
      <c r="Z8" s="13" t="n">
        <f aca="false">Funding!$F$76/Time!$F$9*Time!Z30</f>
        <v>16.7359980873277</v>
      </c>
      <c r="AA8" s="13" t="n">
        <f aca="false">Funding!$F$76/Time!$F$9*Time!AA30</f>
        <v>16.7359980873277</v>
      </c>
      <c r="AB8" s="13" t="n">
        <f aca="false">Funding!$F$76/Time!$F$9*Time!AB30</f>
        <v>16.7359980873277</v>
      </c>
      <c r="AC8" s="13" t="n">
        <f aca="false">Funding!$F$76/Time!$F$9*Time!AC30</f>
        <v>16.7359980873277</v>
      </c>
      <c r="AD8" s="13" t="n">
        <f aca="false">Funding!$F$76/Time!$F$9*Time!AD30</f>
        <v>16.7359980873277</v>
      </c>
      <c r="AE8" s="13" t="n">
        <f aca="false">Funding!$F$76/Time!$F$9*Time!AE30</f>
        <v>16.7359980873277</v>
      </c>
      <c r="AF8" s="13" t="n">
        <f aca="false">Funding!$F$76/Time!$F$9*Time!AF30</f>
        <v>16.7359980873277</v>
      </c>
      <c r="AG8" s="13" t="n">
        <f aca="false">Funding!$F$76/Time!$F$9*Time!AG30</f>
        <v>16.7359980873277</v>
      </c>
      <c r="AH8" s="13" t="n">
        <f aca="false">Funding!$F$76/Time!$F$9*Time!AH30</f>
        <v>16.7359980873277</v>
      </c>
      <c r="AI8" s="13" t="n">
        <f aca="false">Funding!$F$76/Time!$F$9*Time!AI30</f>
        <v>16.7359980873277</v>
      </c>
      <c r="AJ8" s="13" t="n">
        <f aca="false">Funding!$F$76/Time!$F$9*Time!AJ30</f>
        <v>16.7359980873277</v>
      </c>
      <c r="AK8" s="13" t="n">
        <f aca="false">Funding!$F$76/Time!$F$9*Time!AK30</f>
        <v>16.7359980873277</v>
      </c>
      <c r="AL8" s="13" t="n">
        <f aca="false">Funding!$F$76/Time!$F$9*Time!AL30</f>
        <v>16.7359980873277</v>
      </c>
      <c r="AM8" s="13" t="n">
        <f aca="false">Funding!$F$76/Time!$F$9*Time!AM30</f>
        <v>16.7359980873277</v>
      </c>
      <c r="AN8" s="13" t="n">
        <f aca="false">Funding!$F$76/Time!$F$9*Time!AN30</f>
        <v>16.7359980873277</v>
      </c>
      <c r="AO8" s="13" t="n">
        <f aca="false">Funding!$F$76/Time!$F$9*Time!AO30</f>
        <v>16.7359980873277</v>
      </c>
      <c r="AP8" s="13" t="n">
        <f aca="false">Funding!$F$76/Time!$F$9*Time!AP30</f>
        <v>16.7359980873277</v>
      </c>
      <c r="AQ8" s="13" t="n">
        <f aca="false">Funding!$F$76/Time!$F$9*Time!AQ30</f>
        <v>16.7359980873277</v>
      </c>
      <c r="AR8" s="13" t="n">
        <f aca="false">Funding!$F$76/Time!$F$9*Time!AR30</f>
        <v>16.7359980873277</v>
      </c>
      <c r="AS8" s="13" t="n">
        <f aca="false">Funding!$F$76/Time!$F$9*Time!AS30</f>
        <v>16.7359980873277</v>
      </c>
      <c r="AT8" s="13" t="n">
        <f aca="false">Funding!$F$76/Time!$F$9*Time!AT30</f>
        <v>16.7359980873277</v>
      </c>
      <c r="AU8" s="13" t="n">
        <f aca="false">Funding!$F$76/Time!$F$9*Time!AU30</f>
        <v>16.7359980873277</v>
      </c>
      <c r="AV8" s="13" t="n">
        <f aca="false">Funding!$F$76/Time!$F$9*Time!AV30</f>
        <v>16.7359980873277</v>
      </c>
      <c r="AW8" s="13" t="n">
        <f aca="false">Funding!$F$76/Time!$F$9*Time!AW30</f>
        <v>16.7359980873277</v>
      </c>
      <c r="AX8" s="13" t="n">
        <f aca="false">Funding!$F$76/Time!$F$9*Time!AX30</f>
        <v>16.7359980873277</v>
      </c>
      <c r="AY8" s="13" t="n">
        <f aca="false">Funding!$F$76/Time!$F$9*Time!AY30</f>
        <v>16.7359980873277</v>
      </c>
      <c r="AZ8" s="13" t="n">
        <f aca="false">Funding!$F$76/Time!$F$9*Time!AZ30</f>
        <v>16.7359980873277</v>
      </c>
      <c r="BA8" s="13" t="n">
        <f aca="false">Funding!$F$76/Time!$F$9*Time!BA30</f>
        <v>16.7359980873277</v>
      </c>
      <c r="BB8" s="13" t="n">
        <f aca="false">Funding!$F$76/Time!$F$9*Time!BB30</f>
        <v>16.7359980873277</v>
      </c>
      <c r="BC8" s="13" t="n">
        <f aca="false">Funding!$F$76/Time!$F$9*Time!BC30</f>
        <v>16.7359980873277</v>
      </c>
      <c r="BD8" s="13" t="n">
        <f aca="false">Funding!$F$76/Time!$F$9*Time!BD30</f>
        <v>16.7359980873277</v>
      </c>
      <c r="BE8" s="13" t="n">
        <f aca="false">Funding!$F$76/Time!$F$9*Time!BE30</f>
        <v>16.7359980873277</v>
      </c>
      <c r="BF8" s="13" t="n">
        <f aca="false">Funding!$F$76/Time!$F$9*Time!BF30</f>
        <v>16.7359980873277</v>
      </c>
      <c r="BG8" s="13" t="n">
        <f aca="false">Funding!$F$76/Time!$F$9*Time!BG30</f>
        <v>16.7359980873277</v>
      </c>
      <c r="BH8" s="13" t="n">
        <f aca="false">Funding!$F$76/Time!$F$9*Time!BH30</f>
        <v>16.7359980873277</v>
      </c>
      <c r="BI8" s="13" t="n">
        <f aca="false">Funding!$F$76/Time!$F$9*Time!BI30</f>
        <v>16.7359980873277</v>
      </c>
      <c r="BJ8" s="13" t="n">
        <f aca="false">Funding!$F$76/Time!$F$9*Time!BJ30</f>
        <v>16.7359980873277</v>
      </c>
      <c r="BK8" s="13" t="n">
        <f aca="false">Funding!$F$76/Time!$F$9*Time!BK30</f>
        <v>16.7359980873277</v>
      </c>
      <c r="BL8" s="13" t="n">
        <f aca="false">Funding!$F$76/Time!$F$9*Time!BL30</f>
        <v>16.7359980873277</v>
      </c>
      <c r="BM8" s="13" t="n">
        <f aca="false">Funding!$F$76/Time!$F$9*Time!BM30</f>
        <v>11.1573320582185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1897</v>
      </c>
      <c r="E9" s="0" t="s">
        <v>151</v>
      </c>
      <c r="G9" s="13" t="n">
        <f aca="false">SUM(J9:BN9)</f>
        <v>495.615132496513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3.20207636445449</v>
      </c>
      <c r="P9" s="13" t="n">
        <f aca="false">Debt!P112+Debt!P110+Debt!P104-Debt!P103+Tax!P13</f>
        <v>31.5715675944119</v>
      </c>
      <c r="Q9" s="13" t="n">
        <f aca="false">Debt!Q112+Debt!Q110+Debt!Q104-Debt!Q103+Tax!Q13</f>
        <v>30.4197790283554</v>
      </c>
      <c r="R9" s="13" t="n">
        <f aca="false">Debt!R112+Debt!R110+Debt!R104-Debt!R103+Tax!R13</f>
        <v>30.0965026974654</v>
      </c>
      <c r="S9" s="13" t="n">
        <f aca="false">Debt!S112+Debt!S110+Debt!S104-Debt!S103+Tax!S13</f>
        <v>28.957480869256</v>
      </c>
      <c r="T9" s="13" t="n">
        <f aca="false">Debt!T112+Debt!T110+Debt!T104-Debt!T103+Tax!T13</f>
        <v>28.5462229990552</v>
      </c>
      <c r="U9" s="13" t="n">
        <f aca="false">Debt!U112+Debt!U110+Debt!U104-Debt!U103+Tax!U13</f>
        <v>27.4740504432277</v>
      </c>
      <c r="V9" s="13" t="n">
        <f aca="false">Debt!V112+Debt!V110+Debt!V104-Debt!V103+Tax!V13</f>
        <v>26.8729939254508</v>
      </c>
      <c r="W9" s="13" t="n">
        <f aca="false">Debt!W112+Debt!W110+Debt!W104-Debt!W103+Tax!W13</f>
        <v>25.6095168632606</v>
      </c>
      <c r="X9" s="13" t="n">
        <f aca="false">Debt!X112+Debt!X110+Debt!X104-Debt!X103+Tax!X13</f>
        <v>24.9178008167745</v>
      </c>
      <c r="Y9" s="13" t="n">
        <f aca="false">Debt!Y112+Debt!Y110+Debt!Y104-Debt!Y103+Tax!Y13</f>
        <v>24.1604260294194</v>
      </c>
      <c r="Z9" s="13" t="n">
        <f aca="false">Debt!Z112+Debt!Z110+Debt!Z104-Debt!Z103+Tax!Z13</f>
        <v>23.5085647953066</v>
      </c>
      <c r="AA9" s="13" t="n">
        <f aca="false">Debt!AA112+Debt!AA110+Debt!AA104-Debt!AA103+Tax!AA13</f>
        <v>22.1929389299427</v>
      </c>
      <c r="AB9" s="13" t="n">
        <f aca="false">Debt!AB112+Debt!AB110+Debt!AB104-Debt!AB103+Tax!AB13</f>
        <v>21.4336286934872</v>
      </c>
      <c r="AC9" s="13" t="n">
        <f aca="false">Debt!AC112+Debt!AC110+Debt!AC104-Debt!AC103+Tax!AC13</f>
        <v>20.1019717404112</v>
      </c>
      <c r="AD9" s="13" t="n">
        <f aca="false">Debt!AD112+Debt!AD110+Debt!AD104-Debt!AD103+Tax!AD13</f>
        <v>19.1300077935313</v>
      </c>
      <c r="AE9" s="13" t="n">
        <f aca="false">Debt!AE112+Debt!AE110+Debt!AE104-Debt!AE103+Tax!AE13</f>
        <v>17.5964264832663</v>
      </c>
      <c r="AF9" s="13" t="n">
        <f aca="false">Debt!AF112+Debt!AF110+Debt!AF104-Debt!AF103+Tax!AF13</f>
        <v>16.4276997542435</v>
      </c>
      <c r="AG9" s="13" t="n">
        <f aca="false">Debt!AG112+Debt!AG110+Debt!AG104-Debt!AG103+Tax!AG13</f>
        <v>14.9391870200028</v>
      </c>
      <c r="AH9" s="13" t="n">
        <f aca="false">Debt!AH112+Debt!AH110+Debt!AH104-Debt!AH103+Tax!AH13</f>
        <v>13.5705031734685</v>
      </c>
      <c r="AI9" s="13" t="n">
        <f aca="false">Debt!AI112+Debt!AI110+Debt!AI104-Debt!AI103+Tax!AI13</f>
        <v>11.7272056528099</v>
      </c>
      <c r="AJ9" s="13" t="n">
        <f aca="false">Debt!AJ112+Debt!AJ110+Debt!AJ104-Debt!AJ103+Tax!AJ13</f>
        <v>10.1312480263802</v>
      </c>
      <c r="AK9" s="13" t="n">
        <f aca="false">Debt!AK112+Debt!AK110+Debt!AK104-Debt!AK103+Tax!AK13</f>
        <v>8.19990829679295</v>
      </c>
      <c r="AL9" s="13" t="n">
        <f aca="false">Debt!AL112+Debt!AL110+Debt!AL104-Debt!AL103+Tax!AL13</f>
        <v>6.42350707570583</v>
      </c>
      <c r="AM9" s="13" t="n">
        <f aca="false">Debt!AM112+Debt!AM110+Debt!AM104-Debt!AM103+Tax!AM13</f>
        <v>4.53143744444745</v>
      </c>
      <c r="AN9" s="13" t="n">
        <f aca="false">Debt!AN112+Debt!AN110+Debt!AN104-Debt!AN103+Tax!AN13</f>
        <v>2.73169113682056</v>
      </c>
      <c r="AO9" s="13" t="n">
        <f aca="false">Debt!AO112+Debt!AO110+Debt!AO104-Debt!AO103+Tax!AO13</f>
        <v>1.14078884876504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1898</v>
      </c>
      <c r="E10" s="0" t="s">
        <v>151</v>
      </c>
      <c r="J10" s="13" t="n">
        <f aca="false">Funding!$F$76-SUM(Tax!J$10:J$10)</f>
        <v>836.799904366386</v>
      </c>
      <c r="K10" s="13" t="n">
        <f aca="false">Funding!$F$76-SUM(Tax!$J$10:K$10)</f>
        <v>836.799904366386</v>
      </c>
      <c r="L10" s="13" t="n">
        <f aca="false">Funding!$F$76-SUM(Tax!$J$10:L$10)</f>
        <v>836.799904366386</v>
      </c>
      <c r="M10" s="13" t="n">
        <f aca="false">Funding!$F$76-SUM(Tax!$J$10:M$10)</f>
        <v>836.799904366386</v>
      </c>
      <c r="N10" s="13" t="n">
        <f aca="false">Funding!$F$76-SUM(Tax!$J$10:N$10)</f>
        <v>836.799904366386</v>
      </c>
      <c r="O10" s="13" t="n">
        <f aca="false">Funding!$F$76-SUM(Tax!$J$10:O$10)</f>
        <v>829.268705227088</v>
      </c>
      <c r="P10" s="13" t="n">
        <f aca="false">Funding!$F$76-SUM(Tax!$J$10:P$10)</f>
        <v>806.675107809196</v>
      </c>
      <c r="Q10" s="13" t="n">
        <f aca="false">Funding!$F$76-SUM(Tax!$J$10:Q$10)</f>
        <v>784.081510391304</v>
      </c>
      <c r="R10" s="13" t="n">
        <f aca="false">Funding!$F$76-SUM(Tax!$J$10:R$10)</f>
        <v>761.487912973411</v>
      </c>
      <c r="S10" s="13" t="n">
        <f aca="false">Funding!$F$76-SUM(Tax!$J$10:S$10)</f>
        <v>738.894315555519</v>
      </c>
      <c r="T10" s="13" t="n">
        <f aca="false">Funding!$F$76-SUM(Tax!$J$10:T$10)</f>
        <v>716.300718137626</v>
      </c>
      <c r="U10" s="13" t="n">
        <f aca="false">Funding!$F$76-SUM(Tax!$J$10:U$10)</f>
        <v>693.707120719734</v>
      </c>
      <c r="V10" s="13" t="n">
        <f aca="false">Funding!$F$76-SUM(Tax!$J$10:V$10)</f>
        <v>671.113523301841</v>
      </c>
      <c r="W10" s="13" t="n">
        <f aca="false">Funding!$F$76-SUM(Tax!$J$10:W$10)</f>
        <v>648.519925883949</v>
      </c>
      <c r="X10" s="13" t="n">
        <f aca="false">Funding!$F$76-SUM(Tax!$J$10:X$10)</f>
        <v>625.926328466057</v>
      </c>
      <c r="Y10" s="13" t="n">
        <f aca="false">Funding!$F$76-SUM(Tax!$J$10:Y$10)</f>
        <v>604.169530952531</v>
      </c>
      <c r="Z10" s="13" t="n">
        <f aca="false">Funding!$F$76-SUM(Tax!$J$10:Z$10)</f>
        <v>584.086333247737</v>
      </c>
      <c r="AA10" s="13" t="n">
        <f aca="false">Funding!$F$76-SUM(Tax!$J$10:AA$10)</f>
        <v>564.003135542944</v>
      </c>
      <c r="AB10" s="13" t="n">
        <f aca="false">Funding!$F$76-SUM(Tax!$J$10:AB$10)</f>
        <v>543.919937838151</v>
      </c>
      <c r="AC10" s="13" t="n">
        <f aca="false">Funding!$F$76-SUM(Tax!$J$10:AC$10)</f>
        <v>523.836740133358</v>
      </c>
      <c r="AD10" s="13" t="n">
        <f aca="false">Funding!$F$76-SUM(Tax!$J$10:AD$10)</f>
        <v>503.753542428564</v>
      </c>
      <c r="AE10" s="13" t="n">
        <f aca="false">Funding!$F$76-SUM(Tax!$J$10:AE$10)</f>
        <v>483.670344723771</v>
      </c>
      <c r="AF10" s="13" t="n">
        <f aca="false">Funding!$F$76-SUM(Tax!$J$10:AF$10)</f>
        <v>463.587147018978</v>
      </c>
      <c r="AG10" s="13" t="n">
        <f aca="false">Funding!$F$76-SUM(Tax!$J$10:AG$10)</f>
        <v>443.503949314184</v>
      </c>
      <c r="AH10" s="13" t="n">
        <f aca="false">Funding!$F$76-SUM(Tax!$J$10:AH$10)</f>
        <v>423.420751609391</v>
      </c>
      <c r="AI10" s="13" t="n">
        <f aca="false">Funding!$F$76-SUM(Tax!$J$10:AI$10)</f>
        <v>403.337553904598</v>
      </c>
      <c r="AJ10" s="13" t="n">
        <f aca="false">Funding!$F$76-SUM(Tax!$J$10:AJ$10)</f>
        <v>383.254356199805</v>
      </c>
      <c r="AK10" s="13" t="n">
        <f aca="false">Funding!$F$76-SUM(Tax!$J$10:AK$10)</f>
        <v>363.171158495011</v>
      </c>
      <c r="AL10" s="13" t="n">
        <f aca="false">Funding!$F$76-SUM(Tax!$J$10:AL$10)</f>
        <v>343.087960790218</v>
      </c>
      <c r="AM10" s="13" t="n">
        <f aca="false">Funding!$F$76-SUM(Tax!$J$10:AM$10)</f>
        <v>323.004763085425</v>
      </c>
      <c r="AN10" s="13" t="n">
        <f aca="false">Funding!$F$76-SUM(Tax!$J$10:AN$10)</f>
        <v>302.921565380632</v>
      </c>
      <c r="AO10" s="13" t="n">
        <f aca="false">Funding!$F$76-SUM(Tax!$J$10:AO$10)</f>
        <v>282.838367675838</v>
      </c>
      <c r="AP10" s="13" t="n">
        <f aca="false">Funding!$F$76-SUM(Tax!$J$10:AP$10)</f>
        <v>262.755169971045</v>
      </c>
      <c r="AQ10" s="13" t="n">
        <f aca="false">Funding!$F$76-SUM(Tax!$J$10:AQ$10)</f>
        <v>242.671972266252</v>
      </c>
      <c r="AR10" s="13" t="n">
        <f aca="false">Funding!$F$76-SUM(Tax!$J$10:AR$10)</f>
        <v>222.588774561458</v>
      </c>
      <c r="AS10" s="13" t="n">
        <f aca="false">Funding!$F$76-SUM(Tax!$J$10:AS$10)</f>
        <v>202.505576856665</v>
      </c>
      <c r="AT10" s="13" t="n">
        <f aca="false">Funding!$F$76-SUM(Tax!$J$10:AT$10)</f>
        <v>182.422379151872</v>
      </c>
      <c r="AU10" s="13" t="n">
        <f aca="false">Funding!$F$76-SUM(Tax!$J$10:AU$10)</f>
        <v>162.339181447079</v>
      </c>
      <c r="AV10" s="13" t="n">
        <f aca="false">Funding!$F$76-SUM(Tax!$J$10:AV$10)</f>
        <v>142.255983742285</v>
      </c>
      <c r="AW10" s="13" t="n">
        <f aca="false">Funding!$F$76-SUM(Tax!$J$10:AW$10)</f>
        <v>122.172786037492</v>
      </c>
      <c r="AX10" s="13" t="n">
        <f aca="false">Funding!$F$76-SUM(Tax!$J$10:AX$10)</f>
        <v>102.089588332699</v>
      </c>
      <c r="AY10" s="13" t="n">
        <f aca="false">Funding!$F$76-SUM(Tax!$J$10:AY$10)</f>
        <v>82.0063906279056</v>
      </c>
      <c r="AZ10" s="13" t="n">
        <f aca="false">Funding!$F$76-SUM(Tax!$J$10:AZ$10)</f>
        <v>61.9231929231123</v>
      </c>
      <c r="BA10" s="13" t="n">
        <f aca="false">Funding!$F$76-SUM(Tax!$J$10:BA$10)</f>
        <v>41.8399952183191</v>
      </c>
      <c r="BB10" s="13" t="n">
        <f aca="false">Funding!$F$76-SUM(Tax!$J$10:BB$10)</f>
        <v>21.7567975135258</v>
      </c>
      <c r="BC10" s="13" t="n">
        <f aca="false">Funding!$F$76-SUM(Tax!$J$10:BC$10)</f>
        <v>8.08906574220816</v>
      </c>
      <c r="BD10" s="13" t="n">
        <f aca="false">Funding!$F$76-SUM(Tax!$J$10:BD$10)</f>
        <v>7.25226583784195</v>
      </c>
      <c r="BE10" s="13" t="n">
        <f aca="false">Funding!$F$76-SUM(Tax!$J$10:BE$10)</f>
        <v>6.4154659334755</v>
      </c>
      <c r="BF10" s="13" t="n">
        <f aca="false">Funding!$F$76-SUM(Tax!$J$10:BF$10)</f>
        <v>5.57866602910917</v>
      </c>
      <c r="BG10" s="13" t="n">
        <f aca="false">Funding!$F$76-SUM(Tax!$J$10:BG$10)</f>
        <v>4.74186612474273</v>
      </c>
      <c r="BH10" s="13" t="n">
        <f aca="false">Funding!$F$76-SUM(Tax!$J$10:BH$10)</f>
        <v>3.9050662203764</v>
      </c>
      <c r="BI10" s="13" t="n">
        <f aca="false">Funding!$F$76-SUM(Tax!$J$10:BI$10)</f>
        <v>3.06826631600995</v>
      </c>
      <c r="BJ10" s="13" t="n">
        <f aca="false">Funding!$F$76-SUM(Tax!$J$10:BJ$10)</f>
        <v>2.23146641164362</v>
      </c>
      <c r="BK10" s="13" t="n">
        <f aca="false">Funding!$F$76-SUM(Tax!$J$10:BK$10)</f>
        <v>1.39466650727718</v>
      </c>
      <c r="BL10" s="13" t="n">
        <f aca="false">Funding!$F$76-SUM(Tax!$J$10:BL$10)</f>
        <v>0.557866602910849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1899</v>
      </c>
      <c r="E11" s="0" t="s">
        <v>151</v>
      </c>
      <c r="J11" s="13" t="n">
        <f aca="false">Funding!$F$76-SUM(J$8:J$8)</f>
        <v>836.799904366386</v>
      </c>
      <c r="K11" s="13" t="n">
        <f aca="false">Funding!$F$76-SUM($J$8:K$8)</f>
        <v>836.799904366386</v>
      </c>
      <c r="L11" s="13" t="n">
        <f aca="false">Funding!$F$76-SUM($J$8:L$8)</f>
        <v>836.799904366386</v>
      </c>
      <c r="M11" s="13" t="n">
        <f aca="false">Funding!$F$76-SUM($J$8:M$8)</f>
        <v>836.799904366386</v>
      </c>
      <c r="N11" s="13" t="n">
        <f aca="false">Funding!$F$76-SUM($J$8:N$8)</f>
        <v>836.799904366386</v>
      </c>
      <c r="O11" s="13" t="n">
        <f aca="false">Funding!$F$76-SUM($J$8:O$8)</f>
        <v>831.221238337277</v>
      </c>
      <c r="P11" s="13" t="n">
        <f aca="false">Funding!$F$76-SUM($J$8:P$8)</f>
        <v>814.485240249949</v>
      </c>
      <c r="Q11" s="13" t="n">
        <f aca="false">Funding!$F$76-SUM($J$8:Q$8)</f>
        <v>797.749242162621</v>
      </c>
      <c r="R11" s="13" t="n">
        <f aca="false">Funding!$F$76-SUM($J$8:R$8)</f>
        <v>781.013244075293</v>
      </c>
      <c r="S11" s="13" t="n">
        <f aca="false">Funding!$F$76-SUM($J$8:S$8)</f>
        <v>764.277245987966</v>
      </c>
      <c r="T11" s="13" t="n">
        <f aca="false">Funding!$F$76-SUM($J$8:T$8)</f>
        <v>747.541247900638</v>
      </c>
      <c r="U11" s="13" t="n">
        <f aca="false">Funding!$F$76-SUM($J$8:U$8)</f>
        <v>730.80524981331</v>
      </c>
      <c r="V11" s="13" t="n">
        <f aca="false">Funding!$F$76-SUM($J$8:V$8)</f>
        <v>714.069251725983</v>
      </c>
      <c r="W11" s="13" t="n">
        <f aca="false">Funding!$F$76-SUM($J$8:W$8)</f>
        <v>697.333253638655</v>
      </c>
      <c r="X11" s="13" t="n">
        <f aca="false">Funding!$F$76-SUM($J$8:X$8)</f>
        <v>680.597255551327</v>
      </c>
      <c r="Y11" s="13" t="n">
        <f aca="false">Funding!$F$76-SUM($J$8:Y$8)</f>
        <v>663.861257463999</v>
      </c>
      <c r="Z11" s="13" t="n">
        <f aca="false">Funding!$F$76-SUM($J$8:Z$8)</f>
        <v>647.125259376672</v>
      </c>
      <c r="AA11" s="13" t="n">
        <f aca="false">Funding!$F$76-SUM($J$8:AA$8)</f>
        <v>630.389261289344</v>
      </c>
      <c r="AB11" s="13" t="n">
        <f aca="false">Funding!$F$76-SUM($J$8:AB$8)</f>
        <v>613.653263202016</v>
      </c>
      <c r="AC11" s="13" t="n">
        <f aca="false">Funding!$F$76-SUM($J$8:AC$8)</f>
        <v>596.917265114689</v>
      </c>
      <c r="AD11" s="13" t="n">
        <f aca="false">Funding!$F$76-SUM($J$8:AD$8)</f>
        <v>580.181267027361</v>
      </c>
      <c r="AE11" s="13" t="n">
        <f aca="false">Funding!$F$76-SUM($J$8:AE$8)</f>
        <v>563.445268940033</v>
      </c>
      <c r="AF11" s="13" t="n">
        <f aca="false">Funding!$F$76-SUM($J$8:AF$8)</f>
        <v>546.709270852706</v>
      </c>
      <c r="AG11" s="13" t="n">
        <f aca="false">Funding!$F$76-SUM($J$8:AG$8)</f>
        <v>529.973272765378</v>
      </c>
      <c r="AH11" s="13" t="n">
        <f aca="false">Funding!$F$76-SUM($J$8:AH$8)</f>
        <v>513.23727467805</v>
      </c>
      <c r="AI11" s="13" t="n">
        <f aca="false">Funding!$F$76-SUM($J$8:AI$8)</f>
        <v>496.501276590722</v>
      </c>
      <c r="AJ11" s="13" t="n">
        <f aca="false">Funding!$F$76-SUM($J$8:AJ$8)</f>
        <v>479.765278503395</v>
      </c>
      <c r="AK11" s="13" t="n">
        <f aca="false">Funding!$F$76-SUM($J$8:AK$8)</f>
        <v>463.029280416067</v>
      </c>
      <c r="AL11" s="13" t="n">
        <f aca="false">Funding!$F$76-SUM($J$8:AL$8)</f>
        <v>446.293282328739</v>
      </c>
      <c r="AM11" s="13" t="n">
        <f aca="false">Funding!$F$76-SUM($J$8:AM$8)</f>
        <v>429.557284241411</v>
      </c>
      <c r="AN11" s="13" t="n">
        <f aca="false">Funding!$F$76-SUM($J$8:AN$8)</f>
        <v>412.821286154084</v>
      </c>
      <c r="AO11" s="13" t="n">
        <f aca="false">Funding!$F$76-SUM($J$8:AO$8)</f>
        <v>396.085288066756</v>
      </c>
      <c r="AP11" s="13" t="n">
        <f aca="false">Funding!$F$76-SUM($J$8:AP$8)</f>
        <v>379.349289979428</v>
      </c>
      <c r="AQ11" s="13" t="n">
        <f aca="false">Funding!$F$76-SUM($J$8:AQ$8)</f>
        <v>362.613291892101</v>
      </c>
      <c r="AR11" s="13" t="n">
        <f aca="false">Funding!$F$76-SUM($J$8:AR$8)</f>
        <v>345.877293804773</v>
      </c>
      <c r="AS11" s="13" t="n">
        <f aca="false">Funding!$F$76-SUM($J$8:AS$8)</f>
        <v>329.141295717445</v>
      </c>
      <c r="AT11" s="13" t="n">
        <f aca="false">Funding!$F$76-SUM($J$8:AT$8)</f>
        <v>312.405297630117</v>
      </c>
      <c r="AU11" s="13" t="n">
        <f aca="false">Funding!$F$76-SUM($J$8:AU$8)</f>
        <v>295.66929954279</v>
      </c>
      <c r="AV11" s="13" t="n">
        <f aca="false">Funding!$F$76-SUM($J$8:AV$8)</f>
        <v>278.933301455462</v>
      </c>
      <c r="AW11" s="13" t="n">
        <f aca="false">Funding!$F$76-SUM($J$8:AW$8)</f>
        <v>262.197303368134</v>
      </c>
      <c r="AX11" s="13" t="n">
        <f aca="false">Funding!$F$76-SUM($J$8:AX$8)</f>
        <v>245.461305280807</v>
      </c>
      <c r="AY11" s="13" t="n">
        <f aca="false">Funding!$F$76-SUM($J$8:AY$8)</f>
        <v>228.725307193479</v>
      </c>
      <c r="AZ11" s="13" t="n">
        <f aca="false">Funding!$F$76-SUM($J$8:AZ$8)</f>
        <v>211.989309106151</v>
      </c>
      <c r="BA11" s="13" t="n">
        <f aca="false">Funding!$F$76-SUM($J$8:BA$8)</f>
        <v>195.253311018823</v>
      </c>
      <c r="BB11" s="13" t="n">
        <f aca="false">Funding!$F$76-SUM($J$8:BB$8)</f>
        <v>178.517312931496</v>
      </c>
      <c r="BC11" s="13" t="n">
        <f aca="false">Funding!$F$76-SUM($J$8:BC$8)</f>
        <v>161.781314844168</v>
      </c>
      <c r="BD11" s="13" t="n">
        <f aca="false">Funding!$F$76-SUM($J$8:BD$8)</f>
        <v>145.04531675684</v>
      </c>
      <c r="BE11" s="13" t="n">
        <f aca="false">Funding!$F$76-SUM($J$8:BE$8)</f>
        <v>128.309318669513</v>
      </c>
      <c r="BF11" s="13" t="n">
        <f aca="false">Funding!$F$76-SUM($J$8:BF$8)</f>
        <v>111.573320582185</v>
      </c>
      <c r="BG11" s="13" t="n">
        <f aca="false">Funding!$F$76-SUM($J$8:BG$8)</f>
        <v>94.8373224948571</v>
      </c>
      <c r="BH11" s="13" t="n">
        <f aca="false">Funding!$F$76-SUM($J$8:BH$8)</f>
        <v>78.1013244075293</v>
      </c>
      <c r="BI11" s="13" t="n">
        <f aca="false">Funding!$F$76-SUM($J$8:BI$8)</f>
        <v>61.3653263202017</v>
      </c>
      <c r="BJ11" s="13" t="n">
        <f aca="false">Funding!$F$76-SUM($J$8:BJ$8)</f>
        <v>44.6293282328739</v>
      </c>
      <c r="BK11" s="13" t="n">
        <f aca="false">Funding!$F$76-SUM($J$8:BK$8)</f>
        <v>27.8933301455462</v>
      </c>
      <c r="BL11" s="13" t="n">
        <f aca="false">Funding!$F$76-SUM($J$8:BL$8)</f>
        <v>11.1573320582185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1900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-1.6735998087328</v>
      </c>
      <c r="P12" s="13" t="n">
        <f aca="false">IF(Time!P20&gt;=Time!$F$12,Inputs!$F$184/100*(P11-P10-Tax!P21),0)</f>
        <v>-6.69439923493106</v>
      </c>
      <c r="Q12" s="13" t="n">
        <f aca="false">IF(Time!Q20&gt;=Time!$F$12,Inputs!$F$184/100*(Q11-Q10-Tax!Q21),0)</f>
        <v>-11.7151986611294</v>
      </c>
      <c r="R12" s="13" t="n">
        <f aca="false">IF(Time!R20&gt;=Time!$F$12,Inputs!$F$184/100*(R11-R10-Tax!R21),0)</f>
        <v>-16.7359980873277</v>
      </c>
      <c r="S12" s="13" t="n">
        <f aca="false">IF(Time!S20&gt;=Time!$F$12,Inputs!$F$184/100*(S11-S10-Tax!S21),0)</f>
        <v>-21.7567975135261</v>
      </c>
      <c r="T12" s="13" t="n">
        <f aca="false">IF(Time!T20&gt;=Time!$F$12,Inputs!$F$184/100*(T11-T10-Tax!T21),0)</f>
        <v>-26.7775969397244</v>
      </c>
      <c r="U12" s="13" t="n">
        <f aca="false">IF(Time!U20&gt;=Time!$F$12,Inputs!$F$184/100*(U11-U10-Tax!U21),0)</f>
        <v>-31.7983963659226</v>
      </c>
      <c r="V12" s="13" t="n">
        <f aca="false">IF(Time!V20&gt;=Time!$F$12,Inputs!$F$184/100*(V11-V10-Tax!V21),0)</f>
        <v>-36.819195792121</v>
      </c>
      <c r="W12" s="13" t="n">
        <f aca="false">IF(Time!W20&gt;=Time!$F$12,Inputs!$F$184/100*(W11-W10-Tax!W21),0)</f>
        <v>-41.8399952183193</v>
      </c>
      <c r="X12" s="13" t="n">
        <f aca="false">IF(Time!X20&gt;=Time!$F$12,Inputs!$F$184/100*(X11-X10-Tax!X21),0)</f>
        <v>-46.8607946445176</v>
      </c>
      <c r="Y12" s="13" t="n">
        <f aca="false">IF(Time!Y20&gt;=Time!$F$12,Inputs!$F$184/100*(Y11-Y10-Tax!Y21),0)</f>
        <v>-49.0823995241801</v>
      </c>
      <c r="Z12" s="13" t="n">
        <f aca="false">IF(Time!Z20&gt;=Time!$F$12,Inputs!$F$184/100*(Z11-Z10-Tax!Z21),0)</f>
        <v>-45.4526012359996</v>
      </c>
      <c r="AA12" s="13" t="n">
        <f aca="false">IF(Time!AA20&gt;=Time!$F$12,Inputs!$F$184/100*(AA11-AA10-Tax!AA21),0)</f>
        <v>-41.3807212222861</v>
      </c>
      <c r="AB12" s="13" t="n">
        <f aca="false">IF(Time!AB20&gt;=Time!$F$12,Inputs!$F$184/100*(AB11-AB10-Tax!AB21),0)</f>
        <v>-37.0237277171313</v>
      </c>
      <c r="AC12" s="13" t="n">
        <f aca="false">IF(Time!AC20&gt;=Time!$F$12,Inputs!$F$184/100*(AC11-AC10-Tax!AC21),0)</f>
        <v>-32.1719805686518</v>
      </c>
      <c r="AD12" s="13" t="n">
        <f aca="false">IF(Time!AD20&gt;=Time!$F$12,Inputs!$F$184/100*(AD11-AD10-Tax!AD21),0)</f>
        <v>-30.8802652862627</v>
      </c>
      <c r="AE12" s="13" t="n">
        <f aca="false">IF(Time!AE20&gt;=Time!$F$12,Inputs!$F$184/100*(AE11-AE10-Tax!AE21),0)</f>
        <v>-25.1179708799042</v>
      </c>
      <c r="AF12" s="13" t="n">
        <f aca="false">IF(Time!AF20&gt;=Time!$F$12,Inputs!$F$184/100*(AF11-AF10-Tax!AF21),0)</f>
        <v>-19.0179137964697</v>
      </c>
      <c r="AG12" s="13" t="n">
        <f aca="false">IF(Time!AG20&gt;=Time!$F$12,Inputs!$F$184/100*(AG11-AG10-Tax!AG21),0)</f>
        <v>-12.3954575135068</v>
      </c>
      <c r="AH12" s="13" t="n">
        <f aca="false">IF(Time!AH20&gt;=Time!$F$12,Inputs!$F$184/100*(AH11-AH10-Tax!AH21),0)</f>
        <v>-5.26979390277185</v>
      </c>
      <c r="AI12" s="13" t="n">
        <f aca="false">IF(Time!AI20&gt;=Time!$F$12,Inputs!$F$184/100*(AI11-AI10-Tax!AI21),0)</f>
        <v>2.45879894198392</v>
      </c>
      <c r="AJ12" s="13" t="n">
        <f aca="false">IF(Time!AJ20&gt;=Time!$F$12,Inputs!$F$184/100*(AJ11-AJ10-Tax!AJ21),0)</f>
        <v>10.7040586776881</v>
      </c>
      <c r="AK12" s="13" t="n">
        <f aca="false">IF(Time!AK20&gt;=Time!$F$12,Inputs!$F$184/100*(AK11-AK10-Tax!AK21),0)</f>
        <v>19.6271480066478</v>
      </c>
      <c r="AL12" s="13" t="n">
        <f aca="false">IF(Time!AL20&gt;=Time!$F$12,Inputs!$F$184/100*(AL11-AL10-Tax!AL21),0)</f>
        <v>27.9747059312802</v>
      </c>
      <c r="AM12" s="13" t="n">
        <f aca="false">IF(Time!AM20&gt;=Time!$F$12,Inputs!$F$184/100*(AM11-AM10-Tax!AM21),0)</f>
        <v>31.965756346796</v>
      </c>
      <c r="AN12" s="13" t="n">
        <f aca="false">IF(Time!AN20&gt;=Time!$F$12,Inputs!$F$184/100*(AN11-AN10-Tax!AN21),0)</f>
        <v>32.9699162320357</v>
      </c>
      <c r="AO12" s="13" t="n">
        <f aca="false">IF(Time!AO20&gt;=Time!$F$12,Inputs!$F$184/100*(AO11-AO10-Tax!AO21),0)</f>
        <v>33.9740761172753</v>
      </c>
      <c r="AP12" s="13" t="n">
        <f aca="false">IF(Time!AP20&gt;=Time!$F$12,Inputs!$F$184/100*(AP11-AP10-Tax!AP21),0)</f>
        <v>34.978236002515</v>
      </c>
      <c r="AQ12" s="13" t="n">
        <f aca="false">IF(Time!AQ20&gt;=Time!$F$12,Inputs!$F$184/100*(AQ11-AQ10-Tax!AQ21),0)</f>
        <v>35.9823958877546</v>
      </c>
      <c r="AR12" s="13" t="n">
        <f aca="false">IF(Time!AR20&gt;=Time!$F$12,Inputs!$F$184/100*(AR11-AR10-Tax!AR21),0)</f>
        <v>36.9865557729943</v>
      </c>
      <c r="AS12" s="13" t="n">
        <f aca="false">IF(Time!AS20&gt;=Time!$F$12,Inputs!$F$184/100*(AS11-AS10-Tax!AS21),0)</f>
        <v>37.990715658234</v>
      </c>
      <c r="AT12" s="13" t="n">
        <f aca="false">IF(Time!AT20&gt;=Time!$F$12,Inputs!$F$184/100*(AT11-AT10-Tax!AT21),0)</f>
        <v>38.9948755434736</v>
      </c>
      <c r="AU12" s="13" t="n">
        <f aca="false">IF(Time!AU20&gt;=Time!$F$12,Inputs!$F$184/100*(AU11-AU10-Tax!AU21),0)</f>
        <v>39.9990354287133</v>
      </c>
      <c r="AV12" s="13" t="n">
        <f aca="false">IF(Time!AV20&gt;=Time!$F$12,Inputs!$F$184/100*(AV11-AV10-Tax!AV21),0)</f>
        <v>41.003195313953</v>
      </c>
      <c r="AW12" s="13" t="n">
        <f aca="false">IF(Time!AW20&gt;=Time!$F$12,Inputs!$F$184/100*(AW11-AW10-Tax!AW21),0)</f>
        <v>42.0073551991926</v>
      </c>
      <c r="AX12" s="13" t="n">
        <f aca="false">IF(Time!AX20&gt;=Time!$F$12,Inputs!$F$184/100*(AX11-AX10-Tax!AX21),0)</f>
        <v>43.0115150844323</v>
      </c>
      <c r="AY12" s="13" t="n">
        <f aca="false">IF(Time!AY20&gt;=Time!$F$12,Inputs!$F$184/100*(AY11-AY10-Tax!AY21),0)</f>
        <v>44.015674969672</v>
      </c>
      <c r="AZ12" s="13" t="n">
        <f aca="false">IF(Time!AZ20&gt;=Time!$F$12,Inputs!$F$184/100*(AZ11-AZ10-Tax!AZ21),0)</f>
        <v>45.0198348549116</v>
      </c>
      <c r="BA12" s="13" t="n">
        <f aca="false">IF(Time!BA20&gt;=Time!$F$12,Inputs!$F$184/100*(BA11-BA10-Tax!BA21),0)</f>
        <v>46.0239947401513</v>
      </c>
      <c r="BB12" s="13" t="n">
        <f aca="false">IF(Time!BB20&gt;=Time!$F$12,Inputs!$F$184/100*(BB11-BB10-Tax!BB21),0)</f>
        <v>47.028154625391</v>
      </c>
      <c r="BC12" s="13" t="n">
        <f aca="false">IF(Time!BC20&gt;=Time!$F$12,Inputs!$F$184/100*(BC11-BC10-Tax!BC21),0)</f>
        <v>46.1076747305879</v>
      </c>
      <c r="BD12" s="13" t="n">
        <f aca="false">IF(Time!BD20&gt;=Time!$F$12,Inputs!$F$184/100*(BD11-BD10-Tax!BD21),0)</f>
        <v>41.3379152756995</v>
      </c>
      <c r="BE12" s="13" t="n">
        <f aca="false">IF(Time!BE20&gt;=Time!$F$12,Inputs!$F$184/100*(BE11-BE10-Tax!BE21),0)</f>
        <v>36.5681558208111</v>
      </c>
      <c r="BF12" s="13" t="n">
        <f aca="false">IF(Time!BF20&gt;=Time!$F$12,Inputs!$F$184/100*(BF11-BF10-Tax!BF21),0)</f>
        <v>31.7983963659227</v>
      </c>
      <c r="BG12" s="13" t="n">
        <f aca="false">IF(Time!BG20&gt;=Time!$F$12,Inputs!$F$184/100*(BG11-BG10-Tax!BG21),0)</f>
        <v>27.0286369110343</v>
      </c>
      <c r="BH12" s="13" t="n">
        <f aca="false">IF(Time!BH20&gt;=Time!$F$12,Inputs!$F$184/100*(BH11-BH10-Tax!BH21),0)</f>
        <v>22.2588774561459</v>
      </c>
      <c r="BI12" s="13" t="n">
        <f aca="false">IF(Time!BI20&gt;=Time!$F$12,Inputs!$F$184/100*(BI11-BI10-Tax!BI21),0)</f>
        <v>17.4891180012575</v>
      </c>
      <c r="BJ12" s="13" t="n">
        <f aca="false">IF(Time!BJ20&gt;=Time!$F$12,Inputs!$F$184/100*(BJ11-BJ10-Tax!BJ21),0)</f>
        <v>12.7193585463691</v>
      </c>
      <c r="BK12" s="13" t="n">
        <f aca="false">IF(Time!BK20&gt;=Time!$F$12,Inputs!$F$184/100*(BK11-BK10-Tax!BK21),0)</f>
        <v>7.94959909148071</v>
      </c>
      <c r="BL12" s="13" t="n">
        <f aca="false">IF(Time!BL20&gt;=Time!$F$12,Inputs!$F$184/100*(BL11-BL10-Tax!BL21),0)</f>
        <v>3.17983963659228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1901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-1.6735998087328</v>
      </c>
      <c r="P13" s="13" t="n">
        <f aca="false">P12-O12</f>
        <v>-5.02079942619826</v>
      </c>
      <c r="Q13" s="13" t="n">
        <f aca="false">Q12-P12</f>
        <v>-5.02079942619833</v>
      </c>
      <c r="R13" s="13" t="n">
        <f aca="false">R12-Q12</f>
        <v>-5.02079942619833</v>
      </c>
      <c r="S13" s="13" t="n">
        <f aca="false">S12-R12</f>
        <v>-5.02079942619833</v>
      </c>
      <c r="T13" s="13" t="n">
        <f aca="false">T12-S12</f>
        <v>-5.0207994261983</v>
      </c>
      <c r="U13" s="13" t="n">
        <f aca="false">U12-T12</f>
        <v>-5.0207994261983</v>
      </c>
      <c r="V13" s="13" t="n">
        <f aca="false">V12-U12</f>
        <v>-5.02079942619833</v>
      </c>
      <c r="W13" s="13" t="n">
        <f aca="false">W12-V12</f>
        <v>-5.0207994261983</v>
      </c>
      <c r="X13" s="13" t="n">
        <f aca="false">X12-W12</f>
        <v>-5.0207994261983</v>
      </c>
      <c r="Y13" s="13" t="n">
        <f aca="false">Y12-X12</f>
        <v>-2.22160487966254</v>
      </c>
      <c r="Z13" s="13" t="n">
        <f aca="false">Z12-Y12</f>
        <v>3.62979828818051</v>
      </c>
      <c r="AA13" s="13" t="n">
        <f aca="false">AA12-Z12</f>
        <v>4.07188001371347</v>
      </c>
      <c r="AB13" s="13" t="n">
        <f aca="false">AB12-AA12</f>
        <v>4.3569935051548</v>
      </c>
      <c r="AC13" s="13" t="n">
        <f aca="false">AC12-AB12</f>
        <v>4.85174714847958</v>
      </c>
      <c r="AD13" s="13" t="n">
        <f aca="false">AD12-AC12</f>
        <v>1.29171528238907</v>
      </c>
      <c r="AE13" s="13" t="n">
        <f aca="false">AE12-AD12</f>
        <v>5.76229440635848</v>
      </c>
      <c r="AF13" s="13" t="n">
        <f aca="false">AF12-AE12</f>
        <v>6.1000570834345</v>
      </c>
      <c r="AG13" s="13" t="n">
        <f aca="false">AG12-AF12</f>
        <v>6.62245628296291</v>
      </c>
      <c r="AH13" s="13" t="n">
        <f aca="false">AH12-AG12</f>
        <v>7.12566361073494</v>
      </c>
      <c r="AI13" s="13" t="n">
        <f aca="false">AI12-AH12</f>
        <v>7.72859284475578</v>
      </c>
      <c r="AJ13" s="13" t="n">
        <f aca="false">AJ12-AI12</f>
        <v>8.24525973570415</v>
      </c>
      <c r="AK13" s="13" t="n">
        <f aca="false">AK12-AJ12</f>
        <v>8.9230893289597</v>
      </c>
      <c r="AL13" s="13" t="n">
        <f aca="false">AL12-AK12</f>
        <v>8.3475579246324</v>
      </c>
      <c r="AM13" s="13" t="n">
        <f aca="false">AM12-AL12</f>
        <v>3.9910504155158</v>
      </c>
      <c r="AN13" s="13" t="n">
        <f aca="false">AN12-AM12</f>
        <v>1.0041598852397</v>
      </c>
      <c r="AO13" s="13" t="n">
        <f aca="false">AO12-AN12</f>
        <v>1.00415988523963</v>
      </c>
      <c r="AP13" s="13" t="n">
        <f aca="false">AP12-AO12</f>
        <v>1.00415988523966</v>
      </c>
      <c r="AQ13" s="13" t="n">
        <f aca="false">AQ12-AP12</f>
        <v>1.00415988523967</v>
      </c>
      <c r="AR13" s="13" t="n">
        <f aca="false">AR12-AQ12</f>
        <v>1.0041598852397</v>
      </c>
      <c r="AS13" s="13" t="n">
        <f aca="false">AS12-AR12</f>
        <v>1.00415988523963</v>
      </c>
      <c r="AT13" s="13" t="n">
        <f aca="false">AT12-AS12</f>
        <v>1.00415988523967</v>
      </c>
      <c r="AU13" s="13" t="n">
        <f aca="false">AU12-AT12</f>
        <v>1.00415988523966</v>
      </c>
      <c r="AV13" s="13" t="n">
        <f aca="false">AV12-AU12</f>
        <v>1.00415988523967</v>
      </c>
      <c r="AW13" s="13" t="n">
        <f aca="false">AW12-AV12</f>
        <v>1.00415988523967</v>
      </c>
      <c r="AX13" s="13" t="n">
        <f aca="false">AX12-AW12</f>
        <v>1.00415988523967</v>
      </c>
      <c r="AY13" s="13" t="n">
        <f aca="false">AY12-AX12</f>
        <v>1.00415988523967</v>
      </c>
      <c r="AZ13" s="13" t="n">
        <f aca="false">AZ12-AY12</f>
        <v>1.00415988523966</v>
      </c>
      <c r="BA13" s="13" t="n">
        <f aca="false">BA12-AZ12</f>
        <v>1.00415988523967</v>
      </c>
      <c r="BB13" s="13" t="n">
        <f aca="false">BB12-BA12</f>
        <v>1.00415988523967</v>
      </c>
      <c r="BC13" s="13" t="n">
        <f aca="false">BC12-BB12</f>
        <v>-0.920479894803023</v>
      </c>
      <c r="BD13" s="13" t="n">
        <f aca="false">BD12-BC12</f>
        <v>-4.76975945488846</v>
      </c>
      <c r="BE13" s="13" t="n">
        <f aca="false">BE12-BD12</f>
        <v>-4.76975945488835</v>
      </c>
      <c r="BF13" s="13" t="n">
        <f aca="false">BF12-BE12</f>
        <v>-4.76975945488843</v>
      </c>
      <c r="BG13" s="13" t="n">
        <f aca="false">BG12-BF12</f>
        <v>-4.76975945488839</v>
      </c>
      <c r="BH13" s="13" t="n">
        <f aca="false">BH12-BG12</f>
        <v>-4.76975945488843</v>
      </c>
      <c r="BI13" s="13" t="n">
        <f aca="false">BI12-BH12</f>
        <v>-4.76975945488836</v>
      </c>
      <c r="BJ13" s="13" t="n">
        <f aca="false">BJ12-BI12</f>
        <v>-4.76975945488842</v>
      </c>
      <c r="BK13" s="13" t="n">
        <f aca="false">BK12-BJ12</f>
        <v>-4.76975945488839</v>
      </c>
      <c r="BL13" s="13" t="n">
        <f aca="false">BL12-BK12</f>
        <v>-4.76975945488842</v>
      </c>
      <c r="BM13" s="13" t="n">
        <f aca="false">BM12-BL12</f>
        <v>-3.17983963659228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1902</v>
      </c>
      <c r="E14" s="0" t="s">
        <v>151</v>
      </c>
      <c r="G14" s="13" t="n">
        <f aca="false">SUM(J14:BN14)</f>
        <v>1037.47245804584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9.76698881124229</v>
      </c>
      <c r="P14" s="13" t="n">
        <f aca="false">Operations!P84-P8-P9-Tax!P27-P13</f>
        <v>7.37131589408786</v>
      </c>
      <c r="Q14" s="13" t="n">
        <f aca="false">Operations!Q84-Q8-Q9-Tax!Q27-Q13</f>
        <v>8.78823084807976</v>
      </c>
      <c r="R14" s="13" t="n">
        <f aca="false">Operations!R84-R8-R9-Tax!R27-R13</f>
        <v>9.31374281069765</v>
      </c>
      <c r="S14" s="13" t="n">
        <f aca="false">Operations!S84-S8-S9-Tax!S27-S13</f>
        <v>10.5679072388077</v>
      </c>
      <c r="T14" s="13" t="n">
        <f aca="false">Operations!T84-T8-T9-Tax!T27-T13</f>
        <v>11.0547239818588</v>
      </c>
      <c r="U14" s="13" t="n">
        <f aca="false">Operations!U84-U8-U9-Tax!U27-U13</f>
        <v>12.3303573351869</v>
      </c>
      <c r="V14" s="13" t="n">
        <f aca="false">Operations!V84-V8-V9-Tax!V27-V13</f>
        <v>10.6831219329699</v>
      </c>
      <c r="W14" s="13" t="n">
        <f aca="false">Operations!W84-W8-W9-Tax!W27-W13</f>
        <v>14.5576086057071</v>
      </c>
      <c r="X14" s="13" t="n">
        <f aca="false">Operations!X84-X8-X9-Tax!X27-X13</f>
        <v>15.3386557917958</v>
      </c>
      <c r="Y14" s="13" t="n">
        <f aca="false">Operations!Y84-Y8-Y9-Tax!Y27-Y13</f>
        <v>13.3582986989577</v>
      </c>
      <c r="Z14" s="13" t="n">
        <f aca="false">Operations!Z84-Z8-Z9-Tax!Z27-Z13</f>
        <v>8.10919903938485</v>
      </c>
      <c r="AA14" s="13" t="n">
        <f aca="false">Operations!AA84-AA8-AA9-Tax!AA27-AA13</f>
        <v>9.13836514648986</v>
      </c>
      <c r="AB14" s="13" t="n">
        <f aca="false">Operations!AB84-AB8-AB9-Tax!AB27-AB13</f>
        <v>9.80137993995345</v>
      </c>
      <c r="AC14" s="13" t="n">
        <f aca="false">Operations!AC84-AC8-AC9-Tax!AC27-AC13</f>
        <v>10.9541288686309</v>
      </c>
      <c r="AD14" s="13" t="n">
        <f aca="false">Operations!AD84-AD8-AD9-Tax!AD27-AD13</f>
        <v>2.65342075633585</v>
      </c>
      <c r="AE14" s="13" t="n">
        <f aca="false">Operations!AE84-AE8-AE9-Tax!AE27-AE13</f>
        <v>13.0744414608834</v>
      </c>
      <c r="AF14" s="13" t="n">
        <f aca="false">Operations!AF84-AF8-AF9-Tax!AF27-AF13</f>
        <v>13.8580207946983</v>
      </c>
      <c r="AG14" s="13" t="n">
        <f aca="false">Operations!AG84-AG8-AG9-Tax!AG27-AG13</f>
        <v>15.0744988859987</v>
      </c>
      <c r="AH14" s="13" t="n">
        <f aca="false">Operations!AH84-AH8-AH9-Tax!AH27-AH13</f>
        <v>16.2465352936137</v>
      </c>
      <c r="AI14" s="13" t="n">
        <f aca="false">Operations!AI84-AI8-AI9-Tax!AI27-AI13</f>
        <v>17.6500905245003</v>
      </c>
      <c r="AJ14" s="13" t="n">
        <f aca="false">Operations!AJ84-AJ8-AJ9-Tax!AJ27-AJ13</f>
        <v>18.8519394220874</v>
      </c>
      <c r="AK14" s="13" t="n">
        <f aca="false">Operations!AK84-AK8-AK9-Tax!AK27-AK13</f>
        <v>20.4313199511014</v>
      </c>
      <c r="AL14" s="13" t="n">
        <f aca="false">Operations!AL84-AL8-AL9-Tax!AL27-AL13</f>
        <v>19.0925893968064</v>
      </c>
      <c r="AM14" s="13" t="n">
        <f aca="false">Operations!AM84-AM8-AM9-Tax!AM27-AM13</f>
        <v>23.7714815415731</v>
      </c>
      <c r="AN14" s="13" t="n">
        <f aca="false">Operations!AN84-AN8-AN9-Tax!AN27-AN13</f>
        <v>25.0187957885005</v>
      </c>
      <c r="AO14" s="13" t="n">
        <f aca="false">Operations!AO84-AO8-AO9-Tax!AO27-AO13</f>
        <v>26.3322574132023</v>
      </c>
      <c r="AP14" s="13" t="n">
        <f aca="false">Operations!AP84-AP8-AP9-Tax!AP27-AP13</f>
        <v>27.3689439789943</v>
      </c>
      <c r="AQ14" s="13" t="n">
        <f aca="false">Operations!AQ84-AQ8-AQ9-Tax!AQ27-AQ13</f>
        <v>27.5121631656287</v>
      </c>
      <c r="AR14" s="13" t="n">
        <f aca="false">Operations!AR84-AR8-AR9-Tax!AR27-AR13</f>
        <v>27.6296130628996</v>
      </c>
      <c r="AS14" s="13" t="n">
        <f aca="false">Operations!AS84-AS8-AS9-Tax!AS27-AS13</f>
        <v>27.8879353207457</v>
      </c>
      <c r="AT14" s="13" t="n">
        <f aca="false">Operations!AT84-AT8-AT9-Tax!AT27-AT13</f>
        <v>17.9480842486881</v>
      </c>
      <c r="AU14" s="13" t="n">
        <f aca="false">Operations!AU84-AU8-AU9-Tax!AU27-AU13</f>
        <v>28.3721196915987</v>
      </c>
      <c r="AV14" s="13" t="n">
        <f aca="false">Operations!AV84-AV8-AV9-Tax!AV27-AV13</f>
        <v>28.4741179530897</v>
      </c>
      <c r="AW14" s="13" t="n">
        <f aca="false">Operations!AW84-AW8-AW9-Tax!AW27-AW13</f>
        <v>28.6371409305083</v>
      </c>
      <c r="AX14" s="13" t="n">
        <f aca="false">Operations!AX84-AX8-AX9-Tax!AX27-AX13</f>
        <v>28.7720929160755</v>
      </c>
      <c r="AY14" s="13" t="n">
        <f aca="false">Operations!AY84-AY8-AY9-Tax!AY27-AY13</f>
        <v>28.9866354319306</v>
      </c>
      <c r="AZ14" s="13" t="n">
        <f aca="false">Operations!AZ84-AZ8-AZ9-Tax!AZ27-AZ13</f>
        <v>29.2164197107311</v>
      </c>
      <c r="BA14" s="13" t="n">
        <f aca="false">Operations!BA84-BA8-BA9-Tax!BA27-BA13</f>
        <v>29.5014740994895</v>
      </c>
      <c r="BB14" s="13" t="n">
        <f aca="false">Operations!BB84-BB8-BB9-Tax!BB27-BB13</f>
        <v>27.1641497060088</v>
      </c>
      <c r="BC14" s="13" t="n">
        <f aca="false">Operations!BC84-BC8-BC9-Tax!BC27-BC13</f>
        <v>30.0195503451396</v>
      </c>
      <c r="BD14" s="13" t="n">
        <f aca="false">Operations!BD84-BD8-BD9-Tax!BD27-BD13</f>
        <v>30.1157163700693</v>
      </c>
      <c r="BE14" s="13" t="n">
        <f aca="false">Operations!BE84-BE8-BE9-Tax!BE27-BE13</f>
        <v>30.3547414049194</v>
      </c>
      <c r="BF14" s="13" t="n">
        <f aca="false">Operations!BF84-BF8-BF9-Tax!BF27-BF13</f>
        <v>30.6055079401492</v>
      </c>
      <c r="BG14" s="13" t="n">
        <f aca="false">Operations!BG84-BG8-BG9-Tax!BG27-BG13</f>
        <v>30.8897111013942</v>
      </c>
      <c r="BH14" s="13" t="n">
        <f aca="false">Operations!BH84-BH8-BH9-Tax!BH27-BH13</f>
        <v>31.2199108254504</v>
      </c>
      <c r="BI14" s="13" t="n">
        <f aca="false">Operations!BI84-BI8-BI9-Tax!BI27-BI13</f>
        <v>31.5184805260328</v>
      </c>
      <c r="BJ14" s="13" t="n">
        <f aca="false">Operations!BJ84-BJ8-BJ9-Tax!BJ27-BJ13</f>
        <v>19.4663365460573</v>
      </c>
      <c r="BK14" s="13" t="n">
        <f aca="false">Operations!BK84-BK8-BK9-Tax!BK27-BK13</f>
        <v>32.0717611994773</v>
      </c>
      <c r="BL14" s="13" t="n">
        <f aca="false">Operations!BL84-BL8-BL9-Tax!BL27-BL13</f>
        <v>32.2243880765022</v>
      </c>
      <c r="BM14" s="13" t="n">
        <f aca="false">Operations!BM84-BM8-BM9-Tax!BM27-BM13</f>
        <v>8.32604732110674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1903</v>
      </c>
    </row>
    <row r="16" customFormat="false" ht="15" hidden="false" customHeight="false" outlineLevel="0" collapsed="false">
      <c r="D16" s="0" t="s">
        <v>1904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139.106982740051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239.366366678837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433.507249553801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635.561412215329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753.172169405507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831.221238337277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814.485240249949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797.749242162621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781.013244075293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764.277245987966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747.541247900638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730.80524981331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714.069251725983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697.333253638655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680.597255551327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663.861257463999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647.125259376672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630.389261289344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613.653263202016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596.917265114689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580.181267027361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563.445268940033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546.709270852706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529.973272765378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513.23727467805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496.501276590722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479.765278503395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463.029280416067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446.293282328739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429.557284241411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412.821286154084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396.085288066756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379.349289979428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362.613291892101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345.877293804773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329.141295717445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312.405297630117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295.66929954279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278.933301455462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262.197303368134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245.461305280807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228.725307193479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211.989309106151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195.253311018823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178.517312931496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161.781314844168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145.04531675684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128.309318669513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111.573320582185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94.8373224948571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78.1013244075293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61.3653263202017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44.6293282328739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27.8933301455462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11.1573320582185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1905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39.2128262306655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37.5786084354322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38.462718536874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38.5874453202565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39.4216833066873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39.6573761357565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40.790966762148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38.0285959393786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36.9320228761269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38.5483216580716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40.8220770111412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42.4976714207225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44.9009313653552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46.0598293482669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48.5862022194119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35.9683682700249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35.0138191505378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33.9868042945484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33.3997698517799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31.9350351299033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30.5538588249255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28.2131348978561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26.6919341713687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23.5745067438091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19.1362186066434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21.257885665721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1906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36.0337070035118</v>
      </c>
      <c r="P18" s="13" t="n">
        <f aca="false">Operations!P88+Operations!P89</f>
        <v>36.0382389045113</v>
      </c>
      <c r="Q18" s="13" t="n">
        <f aca="false">Operations!Q88+Operations!Q89</f>
        <v>36.7865123941332</v>
      </c>
      <c r="R18" s="13" t="n">
        <f aca="false">Operations!R88+Operations!R89</f>
        <v>36.5872494419712</v>
      </c>
      <c r="S18" s="13" t="n">
        <f aca="false">Operations!S88+Operations!S89</f>
        <v>37.3737630015972</v>
      </c>
      <c r="T18" s="13" t="n">
        <f aca="false">Operations!T88+Operations!T89</f>
        <v>37.2236153763029</v>
      </c>
      <c r="U18" s="13" t="n">
        <f aca="false">Operations!U88+Operations!U89</f>
        <v>37.8937031560075</v>
      </c>
      <c r="V18" s="13" t="n">
        <f aca="false">Operations!V88+Operations!V89</f>
        <v>37.7724169711662</v>
      </c>
      <c r="W18" s="13" t="n">
        <f aca="false">Operations!W88+Operations!W89</f>
        <v>38.5958512972657</v>
      </c>
      <c r="X18" s="13" t="n">
        <f aca="false">Operations!X88+Operations!X89</f>
        <v>38.459885326809</v>
      </c>
      <c r="Y18" s="13" t="n">
        <f aca="false">Operations!Y88+Operations!Y89</f>
        <v>39.2822036382987</v>
      </c>
      <c r="Z18" s="13" t="n">
        <f aca="false">Operations!Z88+Operations!Z89</f>
        <v>39.1080867049648</v>
      </c>
      <c r="AA18" s="13" t="n">
        <f aca="false">Operations!AA88+Operations!AA89</f>
        <v>39.9341891121788</v>
      </c>
      <c r="AB18" s="13" t="n">
        <f aca="false">Operations!AB88+Operations!AB89</f>
        <v>39.7345326428172</v>
      </c>
      <c r="AC18" s="13" t="n">
        <f aca="false">Operations!AC88+Operations!AC89</f>
        <v>40.4242941855273</v>
      </c>
      <c r="AD18" s="13" t="n">
        <f aca="false">Operations!AD88+Operations!AD89</f>
        <v>39.8987960953153</v>
      </c>
      <c r="AE18" s="13" t="n">
        <f aca="false">Operations!AE88+Operations!AE89</f>
        <v>41.1502390967164</v>
      </c>
      <c r="AF18" s="13" t="n">
        <f aca="false">Operations!AF88+Operations!AF89</f>
        <v>41.0834022454906</v>
      </c>
      <c r="AG18" s="13" t="n">
        <f aca="false">Operations!AG88+Operations!AG89</f>
        <v>41.9476370398596</v>
      </c>
      <c r="AH18" s="13" t="n">
        <f aca="false">Operations!AH88+Operations!AH89</f>
        <v>41.7234982635696</v>
      </c>
      <c r="AI18" s="13" t="n">
        <f aca="false">Operations!AI88+Operations!AI89</f>
        <v>42.6497880975603</v>
      </c>
      <c r="AJ18" s="13" t="n">
        <f aca="false">Operations!AJ88+Operations!AJ89</f>
        <v>42.5174336988862</v>
      </c>
      <c r="AK18" s="13" t="n">
        <f aca="false">Operations!AK88+Operations!AK89</f>
        <v>43.281282002758</v>
      </c>
      <c r="AL18" s="13" t="n">
        <f aca="false">Operations!AL88+Operations!AL89</f>
        <v>42.8386671853529</v>
      </c>
      <c r="AM18" s="13" t="n">
        <f aca="false">Operations!AM88+Operations!AM89</f>
        <v>44.115846748739</v>
      </c>
      <c r="AN18" s="13" t="n">
        <f aca="false">Operations!AN88+Operations!AN89</f>
        <v>44.0707976205935</v>
      </c>
      <c r="AO18" s="13" t="n">
        <f aca="false">Operations!AO88+Operations!AO89</f>
        <v>45.0158891284493</v>
      </c>
      <c r="AP18" s="13" t="n">
        <f aca="false">Operations!AP88+Operations!AP89</f>
        <v>44.7966526657698</v>
      </c>
      <c r="AQ18" s="13" t="n">
        <f aca="false">Operations!AQ88+Operations!AQ89</f>
        <v>45.809289703707</v>
      </c>
      <c r="AR18" s="13" t="n">
        <f aca="false">Operations!AR88+Operations!AR89</f>
        <v>45.6876697532641</v>
      </c>
      <c r="AS18" s="13" t="n">
        <f aca="false">Operations!AS88+Operations!AS89</f>
        <v>46.5251939944708</v>
      </c>
      <c r="AT18" s="13" t="n">
        <f aca="false">Operations!AT88+Operations!AT89</f>
        <v>46.2086164421781</v>
      </c>
      <c r="AU18" s="13" t="n">
        <f aca="false">Operations!AU88+Operations!AU89</f>
        <v>47.4261547743634</v>
      </c>
      <c r="AV18" s="13" t="n">
        <f aca="false">Operations!AV88+Operations!AV89</f>
        <v>47.3376843574435</v>
      </c>
      <c r="AW18" s="13" t="n">
        <f aca="false">Operations!AW88+Operations!AW89</f>
        <v>48.4274712386489</v>
      </c>
      <c r="AX18" s="13" t="n">
        <f aca="false">Operations!AX88+Operations!AX89</f>
        <v>48.3239323446047</v>
      </c>
      <c r="AY18" s="13" t="n">
        <f aca="false">Operations!AY88+Operations!AY89</f>
        <v>49.406829413379</v>
      </c>
      <c r="AZ18" s="13" t="n">
        <f aca="false">Operations!AZ88+Operations!AZ89</f>
        <v>49.2346391992398</v>
      </c>
      <c r="BA18" s="13" t="n">
        <f aca="false">Operations!BA88+Operations!BA89</f>
        <v>50.1629355723654</v>
      </c>
      <c r="BB18" s="13" t="n">
        <f aca="false">Operations!BB88+Operations!BB89</f>
        <v>49.932163427588</v>
      </c>
      <c r="BC18" s="13" t="n">
        <f aca="false">Operations!BC88+Operations!BC89</f>
        <v>51.2115775010778</v>
      </c>
      <c r="BD18" s="13" t="n">
        <f aca="false">Operations!BD88+Operations!BD89</f>
        <v>51.1871968839691</v>
      </c>
      <c r="BE18" s="13" t="n">
        <f aca="false">Operations!BE88+Operations!BE89</f>
        <v>52.3576416444683</v>
      </c>
      <c r="BF18" s="13" t="n">
        <f aca="false">Operations!BF88+Operations!BF89</f>
        <v>52.2035772461708</v>
      </c>
      <c r="BG18" s="13" t="n">
        <f aca="false">Operations!BG88+Operations!BG89</f>
        <v>53.3695564978564</v>
      </c>
      <c r="BH18" s="13" t="n">
        <f aca="false">Operations!BH88+Operations!BH89</f>
        <v>53.1501165518446</v>
      </c>
      <c r="BI18" s="13" t="n">
        <f aca="false">Operations!BI88+Operations!BI89</f>
        <v>54.2021726829559</v>
      </c>
      <c r="BJ18" s="13" t="n">
        <f aca="false">Operations!BJ88+Operations!BJ89</f>
        <v>53.8805219522639</v>
      </c>
      <c r="BK18" s="13" t="n">
        <f aca="false">Operations!BK88+Operations!BK89</f>
        <v>55.4433476184998</v>
      </c>
      <c r="BL18" s="13" t="n">
        <f aca="false">Operations!BL88+Operations!BL89</f>
        <v>55.4503296770433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1907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1908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1.6735998087328</v>
      </c>
      <c r="P20" s="13" t="n">
        <f aca="false">MAX(0,-P12)</f>
        <v>6.69439923493106</v>
      </c>
      <c r="Q20" s="13" t="n">
        <f aca="false">MAX(0,-Q12)</f>
        <v>11.7151986611294</v>
      </c>
      <c r="R20" s="13" t="n">
        <f aca="false">MAX(0,-R12)</f>
        <v>16.7359980873277</v>
      </c>
      <c r="S20" s="13" t="n">
        <f aca="false">MAX(0,-S12)</f>
        <v>21.7567975135261</v>
      </c>
      <c r="T20" s="13" t="n">
        <f aca="false">MAX(0,-T12)</f>
        <v>26.7775969397244</v>
      </c>
      <c r="U20" s="13" t="n">
        <f aca="false">MAX(0,-U12)</f>
        <v>31.7983963659226</v>
      </c>
      <c r="V20" s="13" t="n">
        <f aca="false">MAX(0,-V12)</f>
        <v>36.819195792121</v>
      </c>
      <c r="W20" s="13" t="n">
        <f aca="false">MAX(0,-W12)</f>
        <v>41.8399952183193</v>
      </c>
      <c r="X20" s="13" t="n">
        <f aca="false">MAX(0,-X12)</f>
        <v>46.8607946445176</v>
      </c>
      <c r="Y20" s="13" t="n">
        <f aca="false">MAX(0,-Y12)</f>
        <v>49.0823995241801</v>
      </c>
      <c r="Z20" s="13" t="n">
        <f aca="false">MAX(0,-Z12)</f>
        <v>45.4526012359996</v>
      </c>
      <c r="AA20" s="13" t="n">
        <f aca="false">MAX(0,-AA12)</f>
        <v>41.3807212222861</v>
      </c>
      <c r="AB20" s="13" t="n">
        <f aca="false">MAX(0,-AB12)</f>
        <v>37.0237277171313</v>
      </c>
      <c r="AC20" s="13" t="n">
        <f aca="false">MAX(0,-AC12)</f>
        <v>32.1719805686518</v>
      </c>
      <c r="AD20" s="13" t="n">
        <f aca="false">MAX(0,-AD12)</f>
        <v>30.8802652862627</v>
      </c>
      <c r="AE20" s="13" t="n">
        <f aca="false">MAX(0,-AE12)</f>
        <v>25.1179708799042</v>
      </c>
      <c r="AF20" s="13" t="n">
        <f aca="false">MAX(0,-AF12)</f>
        <v>19.0179137964697</v>
      </c>
      <c r="AG20" s="13" t="n">
        <f aca="false">MAX(0,-AG12)</f>
        <v>12.3954575135068</v>
      </c>
      <c r="AH20" s="13" t="n">
        <f aca="false">MAX(0,-AH12)</f>
        <v>5.26979390277185</v>
      </c>
      <c r="AI20" s="13" t="n">
        <f aca="false">MAX(0,-AI12)</f>
        <v>0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1909</v>
      </c>
      <c r="E21" s="0" t="s">
        <v>151</v>
      </c>
      <c r="J21" s="13" t="n">
        <f aca="false">J16+J17+J18+J19+J20</f>
        <v>139.106982740051</v>
      </c>
      <c r="K21" s="13" t="n">
        <f aca="false">K16+K17+K18+K19+K20</f>
        <v>239.366366678837</v>
      </c>
      <c r="L21" s="13" t="n">
        <f aca="false">L16+L17+L18+L19+L20</f>
        <v>433.507249553801</v>
      </c>
      <c r="M21" s="13" t="n">
        <f aca="false">M16+M17+M18+M19+M20</f>
        <v>635.561412215329</v>
      </c>
      <c r="N21" s="13" t="n">
        <f aca="false">N16+N17+N18+N19+N20</f>
        <v>753.172169405507</v>
      </c>
      <c r="O21" s="13" t="n">
        <f aca="false">O16+O17+O18+O19+O20</f>
        <v>913.491371380187</v>
      </c>
      <c r="P21" s="13" t="n">
        <f aca="false">P16+P17+P18+P19+P20</f>
        <v>900.146486824824</v>
      </c>
      <c r="Q21" s="13" t="n">
        <f aca="false">Q16+Q17+Q18+Q19+Q20</f>
        <v>890.063671754758</v>
      </c>
      <c r="R21" s="13" t="n">
        <f aca="false">R16+R17+R18+R19+R20</f>
        <v>878.273936924849</v>
      </c>
      <c r="S21" s="13" t="n">
        <f aca="false">S16+S17+S18+S19+S20</f>
        <v>868.179489809776</v>
      </c>
      <c r="T21" s="13" t="n">
        <f aca="false">T16+T17+T18+T19+T20</f>
        <v>856.549836352422</v>
      </c>
      <c r="U21" s="13" t="n">
        <f aca="false">U16+U17+U18+U19+U20</f>
        <v>846.638316097388</v>
      </c>
      <c r="V21" s="13" t="n">
        <f aca="false">V16+V17+V18+V19+V20</f>
        <v>832.039460428649</v>
      </c>
      <c r="W21" s="13" t="n">
        <f aca="false">W16+W17+W18+W19+W20</f>
        <v>820.051123030367</v>
      </c>
      <c r="X21" s="13" t="n">
        <f aca="false">X16+X17+X18+X19+X20</f>
        <v>809.816257180725</v>
      </c>
      <c r="Y21" s="13" t="n">
        <f aca="false">Y16+Y17+Y18+Y19+Y20</f>
        <v>798.39793763762</v>
      </c>
      <c r="Z21" s="13" t="n">
        <f aca="false">Z16+Z17+Z18+Z19+Z20</f>
        <v>779.533618738359</v>
      </c>
      <c r="AA21" s="13" t="n">
        <f aca="false">AA16+AA17+AA18+AA19+AA20</f>
        <v>761.955102989164</v>
      </c>
      <c r="AB21" s="13" t="n">
        <f aca="false">AB16+AB17+AB18+AB19+AB20</f>
        <v>741.821352910232</v>
      </c>
      <c r="AC21" s="13" t="n">
        <f aca="false">AC16+AC17+AC18+AC19+AC20</f>
        <v>723.44974208828</v>
      </c>
      <c r="AD21" s="13" t="n">
        <f aca="false">AD16+AD17+AD18+AD19+AD20</f>
        <v>692.278696678964</v>
      </c>
      <c r="AE21" s="13" t="n">
        <f aca="false">AE16+AE17+AE18+AE19+AE20</f>
        <v>670.077298067192</v>
      </c>
      <c r="AF21" s="13" t="n">
        <f aca="false">AF16+AF17+AF18+AF19+AF20</f>
        <v>646.147391189214</v>
      </c>
      <c r="AG21" s="13" t="n">
        <f aca="false">AG16+AG17+AG18+AG19+AG20</f>
        <v>623.066137170524</v>
      </c>
      <c r="AH21" s="13" t="n">
        <f aca="false">AH16+AH17+AH18+AH19+AH20</f>
        <v>597.515601974295</v>
      </c>
      <c r="AI21" s="13" t="n">
        <f aca="false">AI16+AI17+AI18+AI19+AI20</f>
        <v>575.054923513208</v>
      </c>
      <c r="AJ21" s="13" t="n">
        <f aca="false">AJ16+AJ17+AJ18+AJ19+AJ20</f>
        <v>555.845847100137</v>
      </c>
      <c r="AK21" s="13" t="n">
        <f aca="false">AK16+AK17+AK18+AK19+AK20</f>
        <v>538.352496590194</v>
      </c>
      <c r="AL21" s="13" t="n">
        <f aca="false">AL16+AL17+AL18+AL19+AL20</f>
        <v>518.056456257901</v>
      </c>
      <c r="AM21" s="13" t="n">
        <f aca="false">AM16+AM17+AM18+AM19+AM20</f>
        <v>498.159349596794</v>
      </c>
      <c r="AN21" s="13" t="n">
        <f aca="false">AN16+AN17+AN18+AN19+AN20</f>
        <v>483.499969440398</v>
      </c>
      <c r="AO21" s="13" t="n">
        <f aca="false">AO16+AO17+AO18+AO19+AO20</f>
        <v>451.146955366179</v>
      </c>
      <c r="AP21" s="13" t="n">
        <f aca="false">AP16+AP17+AP18+AP19+AP20</f>
        <v>436.539609901659</v>
      </c>
      <c r="AQ21" s="13" t="n">
        <f aca="false">AQ16+AQ17+AQ18+AQ19+AQ20</f>
        <v>423.164137937755</v>
      </c>
      <c r="AR21" s="13" t="n">
        <f aca="false">AR16+AR17+AR18+AR19+AR20</f>
        <v>408.654408985472</v>
      </c>
      <c r="AS21" s="13" t="n">
        <f aca="false">AS16+AS17+AS18+AS19+AS20</f>
        <v>395.103824224838</v>
      </c>
      <c r="AT21" s="13" t="n">
        <f aca="false">AT16+AT17+AT18+AT19+AT20</f>
        <v>363.963914072296</v>
      </c>
      <c r="AU21" s="13" t="n">
        <f aca="false">AU16+AU17+AU18+AU19+AU20</f>
        <v>348.445454317153</v>
      </c>
      <c r="AV21" s="13" t="n">
        <f aca="false">AV16+AV17+AV18+AV19+AV20</f>
        <v>332.210626813829</v>
      </c>
      <c r="AW21" s="13" t="n">
        <f aca="false">AW16+AW17+AW18+AW19+AW20</f>
        <v>317.15405660863</v>
      </c>
      <c r="AX21" s="13" t="n">
        <f aca="false">AX16+AX17+AX18+AX19+AX20</f>
        <v>300.904160628181</v>
      </c>
      <c r="AY21" s="13" t="n">
        <f aca="false">AY16+AY17+AY18+AY19+AY20</f>
        <v>285.840700610551</v>
      </c>
      <c r="AZ21" s="13" t="n">
        <f aca="false">AZ16+AZ17+AZ18+AZ19+AZ20</f>
        <v>269.522153310008</v>
      </c>
      <c r="BA21" s="13" t="n">
        <f aca="false">BA16+BA17+BA18+BA19+BA20</f>
        <v>254.799060983338</v>
      </c>
      <c r="BB21" s="13" t="n">
        <f aca="false">BB16+BB17+BB18+BB19+BB20</f>
        <v>235.795595000337</v>
      </c>
      <c r="BC21" s="13" t="n">
        <f aca="false">BC16+BC17+BC18+BC19+BC20</f>
        <v>221.856584059841</v>
      </c>
      <c r="BD21" s="13" t="n">
        <f aca="false">BD16+BD17+BD18+BD19+BD20</f>
        <v>209.424756276764</v>
      </c>
      <c r="BE21" s="13" t="n">
        <f aca="false">BE16+BE17+BE18+BE19+BE20</f>
        <v>198.204537992005</v>
      </c>
      <c r="BF21" s="13" t="n">
        <f aca="false">BF16+BF17+BF18+BF19+BF20</f>
        <v>185.676778290064</v>
      </c>
      <c r="BG21" s="13" t="n">
        <f aca="false">BG16+BG17+BG18+BG19+BG20</f>
        <v>174.486215609472</v>
      </c>
      <c r="BH21" s="13" t="n">
        <f aca="false">BH16+BH17+BH18+BH19+BH20</f>
        <v>161.927574763114</v>
      </c>
      <c r="BI21" s="13" t="n">
        <f aca="false">BI16+BI17+BI18+BI19+BI20</f>
        <v>150.657960739414</v>
      </c>
      <c r="BJ21" s="13" t="n">
        <f aca="false">BJ16+BJ17+BJ18+BJ19+BJ20</f>
        <v>118.471734860754</v>
      </c>
      <c r="BK21" s="13" t="n">
        <f aca="false">BK16+BK17+BK18+BK19+BK20</f>
        <v>104.954153967636</v>
      </c>
      <c r="BL21" s="13" t="n">
        <f aca="false">BL16+BL17+BL18+BL19+BL20</f>
        <v>89.8988418972228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1910</v>
      </c>
      <c r="E22" s="0" t="s">
        <v>151</v>
      </c>
      <c r="J22" s="13" t="n">
        <f aca="false">IF(Time!J20&lt;Time!$F$12,SUMIFS(Funding!$J$73:$BJ$73,Construction!$J$12:$BJ$12,"&lt;="&amp;Time!J20),Debt!J116)</f>
        <v>102.395615383798</v>
      </c>
      <c r="K22" s="13" t="n">
        <f aca="false">IF(Time!K20&lt;Time!$F$12,SUMIFS(Funding!$J$73:$BJ$73,Construction!$J$12:$BJ$12,"&lt;="&amp;Time!K20),Debt!K116)</f>
        <v>175.358435058728</v>
      </c>
      <c r="L22" s="13" t="n">
        <f aca="false">IF(Time!L20&lt;Time!$F$12,SUMIFS(Funding!$J$73:$BJ$73,Construction!$J$12:$BJ$12,"&lt;="&amp;Time!L20),Debt!L116)</f>
        <v>316.707976542208</v>
      </c>
      <c r="M22" s="13" t="n">
        <f aca="false">IF(Time!M20&lt;Time!$F$12,SUMIFS(Funding!$J$73:$BJ$73,Construction!$J$12:$BJ$12,"&lt;="&amp;Time!M20),Debt!M116)</f>
        <v>462.321923230531</v>
      </c>
      <c r="N22" s="13" t="n">
        <f aca="false">IF(Time!N20&lt;Time!$F$12,SUMIFS(Funding!$J$73:$BJ$73,Construction!$J$12:$BJ$12,"&lt;="&amp;Time!N20),Debt!N116)</f>
        <v>543.920356195347</v>
      </c>
      <c r="O22" s="13" t="n">
        <f aca="false">IF(Time!O20&lt;Time!$F$12,SUMIFS(Funding!$J$73:$BJ$73,Construction!$J$12:$BJ$12,"&lt;="&amp;Time!O20),Debt!O116)</f>
        <v>633.339626093086</v>
      </c>
      <c r="P22" s="13" t="n">
        <f aca="false">IF(Time!P20&lt;Time!$F$12,SUMIFS(Funding!$J$73:$BJ$73,Construction!$J$12:$BJ$12,"&lt;="&amp;Time!P20),Debt!P116)</f>
        <v>617.847865163735</v>
      </c>
      <c r="Q22" s="13" t="n">
        <f aca="false">IF(Time!Q20&lt;Time!$F$12,SUMIFS(Funding!$J$73:$BJ$73,Construction!$J$12:$BJ$12,"&lt;="&amp;Time!Q20),Debt!Q116)</f>
        <v>601.700466109838</v>
      </c>
      <c r="R22" s="13" t="n">
        <f aca="false">IF(Time!R20&lt;Time!$F$12,SUMIFS(Funding!$J$73:$BJ$73,Construction!$J$12:$BJ$12,"&lt;="&amp;Time!R20),Debt!R116)</f>
        <v>584.757666984847</v>
      </c>
      <c r="S22" s="13" t="n">
        <f aca="false">IF(Time!S20&lt;Time!$F$12,SUMIFS(Funding!$J$73:$BJ$73,Construction!$J$12:$BJ$12,"&lt;="&amp;Time!S20),Debt!S116)</f>
        <v>567.315590979243</v>
      </c>
      <c r="T22" s="13" t="n">
        <f aca="false">IF(Time!T20&lt;Time!$F$12,SUMIFS(Funding!$J$73:$BJ$73,Construction!$J$12:$BJ$12,"&lt;="&amp;Time!T20),Debt!T116)</f>
        <v>549.07118572773</v>
      </c>
      <c r="U22" s="13" t="n">
        <f aca="false">IF(Time!U20&lt;Time!$F$12,SUMIFS(Funding!$J$73:$BJ$73,Construction!$J$12:$BJ$12,"&lt;="&amp;Time!U20),Debt!U116)</f>
        <v>530.244934274986</v>
      </c>
      <c r="V22" s="13" t="n">
        <f aca="false">IF(Time!V20&lt;Time!$F$12,SUMIFS(Funding!$J$73:$BJ$73,Construction!$J$12:$BJ$12,"&lt;="&amp;Time!V20),Debt!V116)</f>
        <v>510.188777116007</v>
      </c>
      <c r="W22" s="13" t="n">
        <f aca="false">IF(Time!W20&lt;Time!$F$12,SUMIFS(Funding!$J$73:$BJ$73,Construction!$J$12:$BJ$12,"&lt;="&amp;Time!W20),Debt!W116)</f>
        <v>489.519515541759</v>
      </c>
      <c r="X22" s="13" t="n">
        <f aca="false">IF(Time!X20&lt;Time!$F$12,SUMIFS(Funding!$J$73:$BJ$73,Construction!$J$12:$BJ$12,"&lt;="&amp;Time!X20),Debt!X116)</f>
        <v>469.423985818522</v>
      </c>
      <c r="Y22" s="13" t="n">
        <f aca="false">IF(Time!Y20&lt;Time!$F$12,SUMIFS(Funding!$J$73:$BJ$73,Construction!$J$12:$BJ$12,"&lt;="&amp;Time!Y20),Debt!Y116)</f>
        <v>449.319000154322</v>
      </c>
      <c r="Z22" s="13" t="n">
        <f aca="false">IF(Time!Z20&lt;Time!$F$12,SUMIFS(Funding!$J$73:$BJ$73,Construction!$J$12:$BJ$12,"&lt;="&amp;Time!Z20),Debt!Z116)</f>
        <v>428.381106050292</v>
      </c>
      <c r="AA22" s="13" t="n">
        <f aca="false">IF(Time!AA20&lt;Time!$F$12,SUMIFS(Funding!$J$73:$BJ$73,Construction!$J$12:$BJ$12,"&lt;="&amp;Time!AA20),Debt!AA116)</f>
        <v>400.415803815071</v>
      </c>
      <c r="AB22" s="13" t="n">
        <f aca="false">IF(Time!AB20&lt;Time!$F$12,SUMIFS(Funding!$J$73:$BJ$73,Construction!$J$12:$BJ$12,"&lt;="&amp;Time!AB20),Debt!AB116)</f>
        <v>370.68985119315</v>
      </c>
      <c r="AC22" s="13" t="n">
        <f aca="false">IF(Time!AC20&lt;Time!$F$12,SUMIFS(Funding!$J$73:$BJ$73,Construction!$J$12:$BJ$12,"&lt;="&amp;Time!AC20),Debt!AC116)</f>
        <v>340.943866337528</v>
      </c>
      <c r="AD22" s="13" t="n">
        <f aca="false">IF(Time!AD20&lt;Time!$F$12,SUMIFS(Funding!$J$73:$BJ$73,Construction!$J$12:$BJ$12,"&lt;="&amp;Time!AD20),Debt!AD116)</f>
        <v>308.393763608107</v>
      </c>
      <c r="AE22" s="13" t="n">
        <f aca="false">IF(Time!AE20&lt;Time!$F$12,SUMIFS(Funding!$J$73:$BJ$73,Construction!$J$12:$BJ$12,"&lt;="&amp;Time!AE20),Debt!AE116)</f>
        <v>274.696531974023</v>
      </c>
      <c r="AF22" s="13" t="n">
        <f aca="false">IF(Time!AF20&lt;Time!$F$12,SUMIFS(Funding!$J$73:$BJ$73,Construction!$J$12:$BJ$12,"&lt;="&amp;Time!AF20),Debt!AF116)</f>
        <v>239.94831677756</v>
      </c>
      <c r="AG22" s="13" t="n">
        <f aca="false">IF(Time!AG20&lt;Time!$F$12,SUMIFS(Funding!$J$73:$BJ$73,Construction!$J$12:$BJ$12,"&lt;="&amp;Time!AG20),Debt!AG116)</f>
        <v>205.228191262581</v>
      </c>
      <c r="AH22" s="13" t="n">
        <f aca="false">IF(Time!AH20&lt;Time!$F$12,SUMIFS(Funding!$J$73:$BJ$73,Construction!$J$12:$BJ$12,"&lt;="&amp;Time!AH20),Debt!AH116)</f>
        <v>169.039810916173</v>
      </c>
      <c r="AI22" s="13" t="n">
        <f aca="false">IF(Time!AI20&lt;Time!$F$12,SUMIFS(Funding!$J$73:$BJ$73,Construction!$J$12:$BJ$12,"&lt;="&amp;Time!AI20),Debt!AI116)</f>
        <v>132.823661252074</v>
      </c>
      <c r="AJ22" s="13" t="n">
        <f aca="false">IF(Time!AJ20&lt;Time!$F$12,SUMIFS(Funding!$J$73:$BJ$73,Construction!$J$12:$BJ$12,"&lt;="&amp;Time!AJ20),Debt!AJ116)</f>
        <v>100.413084006377</v>
      </c>
      <c r="AK22" s="13" t="n">
        <f aca="false">IF(Time!AK20&lt;Time!$F$12,SUMIFS(Funding!$J$73:$BJ$73,Construction!$J$12:$BJ$12,"&lt;="&amp;Time!AK20),Debt!AK116)</f>
        <v>80.0941285958716</v>
      </c>
      <c r="AL22" s="13" t="n">
        <f aca="false">IF(Time!AL20&lt;Time!$F$12,SUMIFS(Funding!$J$73:$BJ$73,Construction!$J$12:$BJ$12,"&lt;="&amp;Time!AL20),Debt!AL116)</f>
        <v>58.5491526605259</v>
      </c>
      <c r="AM22" s="13" t="n">
        <f aca="false">IF(Time!AM20&lt;Time!$F$12,SUMIFS(Funding!$J$73:$BJ$73,Construction!$J$12:$BJ$12,"&lt;="&amp;Time!AM20),Debt!AM116)</f>
        <v>36.5563651157624</v>
      </c>
      <c r="AN22" s="13" t="n">
        <f aca="false">IF(Time!AN20&lt;Time!$F$12,SUMIFS(Funding!$J$73:$BJ$73,Construction!$J$12:$BJ$12,"&lt;="&amp;Time!AN20),Debt!AN116)</f>
        <v>18.4125764743907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1911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29.5373947379265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51.7220870867416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94.6102921338168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140.848601878198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171.144031668247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204.885919854686</v>
      </c>
      <c r="P23" s="13" t="n">
        <f aca="false">IF(Time!P20&lt;Time!$F$12,SUMIFS(Funding!$J$70:$BJ$70,Construction!$J$12:$BJ$12,"&lt;="&amp;Time!P20)+SUMIFS(Funding!$J$71:$BJ$71,Construction!$J$12:$BJ$12,"&lt;="&amp;Time!P20),Waterfall!P36)</f>
        <v>199.6374441108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196.471897026874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192.33698799758</v>
      </c>
      <c r="S23" s="13" t="n">
        <f aca="false">IF(Time!S20&lt;Time!$F$12,SUMIFS(Funding!$J$70:$BJ$70,Construction!$J$12:$BJ$12,"&lt;="&amp;Time!S20)+SUMIFS(Funding!$J$71:$BJ$71,Construction!$J$12:$BJ$12,"&lt;="&amp;Time!S20),Waterfall!S36)</f>
        <v>188.639395085843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184.173369257305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180.324076659551</v>
      </c>
      <c r="V23" s="13" t="n">
        <f aca="false">IF(Time!V20&lt;Time!$F$12,SUMIFS(Funding!$J$70:$BJ$70,Construction!$J$12:$BJ$12,"&lt;="&amp;Time!V20)+SUMIFS(Funding!$J$71:$BJ$71,Construction!$J$12:$BJ$12,"&lt;="&amp;Time!V20),Waterfall!V36)</f>
        <v>175.127456342961</v>
      </c>
      <c r="W23" s="13" t="n">
        <f aca="false">IF(Time!W20&lt;Time!$F$12,SUMIFS(Funding!$J$70:$BJ$70,Construction!$J$12:$BJ$12,"&lt;="&amp;Time!W20)+SUMIFS(Funding!$J$71:$BJ$71,Construction!$J$12:$BJ$12,"&lt;="&amp;Time!W20),Waterfall!W36)</f>
        <v>168.745840807657</v>
      </c>
      <c r="X23" s="13" t="n">
        <f aca="false">IF(Time!X20&lt;Time!$F$12,SUMIFS(Funding!$J$70:$BJ$70,Construction!$J$12:$BJ$12,"&lt;="&amp;Time!X20)+SUMIFS(Funding!$J$71:$BJ$71,Construction!$J$12:$BJ$12,"&lt;="&amp;Time!X20),Waterfall!X36)</f>
        <v>163.232852073351</v>
      </c>
      <c r="Y23" s="13" t="n">
        <f aca="false">IF(Time!Y20&lt;Time!$F$12,SUMIFS(Funding!$J$70:$BJ$70,Construction!$J$12:$BJ$12,"&lt;="&amp;Time!Y20)+SUMIFS(Funding!$J$71:$BJ$71,Construction!$J$12:$BJ$12,"&lt;="&amp;Time!Y20),Waterfall!Y36)</f>
        <v>158.06644428169</v>
      </c>
      <c r="Z23" s="13" t="n">
        <f aca="false">IF(Time!Z20&lt;Time!$F$12,SUMIFS(Funding!$J$70:$BJ$70,Construction!$J$12:$BJ$12,"&lt;="&amp;Time!Z20)+SUMIFS(Funding!$J$71:$BJ$71,Construction!$J$12:$BJ$12,"&lt;="&amp;Time!Z20),Waterfall!Z36)</f>
        <v>152.037188902799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152.783210503805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152.59640991781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152.581873711738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151.399448731888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149.256873670829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146.110046977466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142.158131752085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136.603941798972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129.677538569194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115.744126312375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88.7258322511501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62.6139668259191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36.3175244631204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13.6568532228211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1912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21.1265064010088</v>
      </c>
      <c r="P24" s="13" t="n">
        <f aca="false">Operations!P90+Operations!P91+Operations!P92+Operations!P93+Operations!P94</f>
        <v>21.1505426247946</v>
      </c>
      <c r="Q24" s="13" t="n">
        <f aca="false">Operations!Q90+Operations!Q91+Operations!Q92+Operations!Q93+Operations!Q94</f>
        <v>21.5924428444708</v>
      </c>
      <c r="R24" s="13" t="n">
        <f aca="false">Operations!R90+Operations!R91+Operations!R92+Operations!R93+Operations!R94</f>
        <v>21.5666733581503</v>
      </c>
      <c r="S24" s="13" t="n">
        <f aca="false">Operations!S90+Operations!S91+Operations!S92+Operations!S93+Operations!S94</f>
        <v>22.0439879216105</v>
      </c>
      <c r="T24" s="13" t="n">
        <f aca="false">Operations!T90+Operations!T91+Operations!T92+Operations!T93+Operations!T94</f>
        <v>22.0700415624479</v>
      </c>
      <c r="U24" s="13" t="n">
        <f aca="false">Operations!U90+Operations!U91+Operations!U92+Operations!U93+Operations!U94</f>
        <v>22.503708022726</v>
      </c>
      <c r="V24" s="13" t="n">
        <f aca="false">Operations!V90+Operations!V91+Operations!V92+Operations!V93+Operations!V94</f>
        <v>22.4745078965856</v>
      </c>
      <c r="W24" s="13" t="n">
        <f aca="false">Operations!W90+Operations!W91+Operations!W92+Operations!W93+Operations!W94</f>
        <v>22.9794390021476</v>
      </c>
      <c r="X24" s="13" t="n">
        <f aca="false">Operations!X90+Operations!X91+Operations!X92+Operations!X93+Operations!X94</f>
        <v>23.014435818254</v>
      </c>
      <c r="Y24" s="13" t="n">
        <f aca="false">Operations!Y90+Operations!Y91+Operations!Y92+Operations!Y93+Operations!Y94</f>
        <v>23.5092110320518</v>
      </c>
      <c r="Z24" s="13" t="n">
        <f aca="false">Operations!Z90+Operations!Z91+Operations!Z92+Operations!Z93+Operations!Z94</f>
        <v>23.5028425763278</v>
      </c>
      <c r="AA24" s="13" t="n">
        <f aca="false">Operations!AA90+Operations!AA91+Operations!AA92+Operations!AA93+Operations!AA94</f>
        <v>24.0052423148577</v>
      </c>
      <c r="AB24" s="13" t="n">
        <f aca="false">Operations!AB90+Operations!AB91+Operations!AB92+Operations!AB93+Operations!AB94</f>
        <v>23.9828655038877</v>
      </c>
      <c r="AC24" s="13" t="n">
        <f aca="false">Operations!AC90+Operations!AC91+Operations!AC92+Operations!AC93+Operations!AC94</f>
        <v>24.4176468749987</v>
      </c>
      <c r="AD24" s="13" t="n">
        <f aca="false">Operations!AD90+Operations!AD91+Operations!AD92+Operations!AD93+Operations!AD94</f>
        <v>24.3257084186181</v>
      </c>
      <c r="AE24" s="13" t="n">
        <f aca="false">Operations!AE90+Operations!AE91+Operations!AE92+Operations!AE93+Operations!AE94</f>
        <v>24.8896750411057</v>
      </c>
      <c r="AF24" s="13" t="n">
        <f aca="false">Operations!AF90+Operations!AF91+Operations!AF92+Operations!AF93+Operations!AF94</f>
        <v>24.9967892582558</v>
      </c>
      <c r="AG24" s="13" t="n">
        <f aca="false">Operations!AG90+Operations!AG91+Operations!AG92+Operations!AG93+Operations!AG94</f>
        <v>25.5130770939265</v>
      </c>
      <c r="AH24" s="13" t="n">
        <f aca="false">Operations!AH90+Operations!AH91+Operations!AH92+Operations!AH93+Operations!AH94</f>
        <v>25.4585769036044</v>
      </c>
      <c r="AI24" s="13" t="n">
        <f aca="false">Operations!AI90+Operations!AI91+Operations!AI92+Operations!AI93+Operations!AI94</f>
        <v>26.0315618699109</v>
      </c>
      <c r="AJ24" s="13" t="n">
        <f aca="false">Operations!AJ90+Operations!AJ91+Operations!AJ92+Operations!AJ93+Operations!AJ94</f>
        <v>26.0692758015635</v>
      </c>
      <c r="AK24" s="13" t="n">
        <f aca="false">Operations!AK90+Operations!AK91+Operations!AK92+Operations!AK93+Operations!AK94</f>
        <v>26.5587654832899</v>
      </c>
      <c r="AL24" s="13" t="n">
        <f aca="false">Operations!AL90+Operations!AL91+Operations!AL92+Operations!AL93+Operations!AL94</f>
        <v>26.4794191901355</v>
      </c>
      <c r="AM24" s="13" t="n">
        <f aca="false">Operations!AM90+Operations!AM91+Operations!AM92+Operations!AM93+Operations!AM94</f>
        <v>27.1090104795014</v>
      </c>
      <c r="AN24" s="13" t="n">
        <f aca="false">Operations!AN90+Operations!AN91+Operations!AN92+Operations!AN93+Operations!AN94</f>
        <v>27.2311345310366</v>
      </c>
      <c r="AO24" s="13" t="n">
        <f aca="false">Operations!AO90+Operations!AO91+Operations!AO92+Operations!AO93+Operations!AO94</f>
        <v>27.8017255386632</v>
      </c>
      <c r="AP24" s="13" t="n">
        <f aca="false">Operations!AP90+Operations!AP91+Operations!AP92+Operations!AP93+Operations!AP94</f>
        <v>27.7500683904283</v>
      </c>
      <c r="AQ24" s="13" t="n">
        <f aca="false">Operations!AQ90+Operations!AQ91+Operations!AQ92+Operations!AQ93+Operations!AQ94</f>
        <v>28.3801440912791</v>
      </c>
      <c r="AR24" s="13" t="n">
        <f aca="false">Operations!AR90+Operations!AR91+Operations!AR92+Operations!AR93+Operations!AR94</f>
        <v>28.4231465864078</v>
      </c>
      <c r="AS24" s="13" t="n">
        <f aca="false">Operations!AS90+Operations!AS91+Operations!AS92+Operations!AS93+Operations!AS94</f>
        <v>28.9625388482493</v>
      </c>
      <c r="AT24" s="13" t="n">
        <f aca="false">Operations!AT90+Operations!AT91+Operations!AT92+Operations!AT93+Operations!AT94</f>
        <v>28.8711881220792</v>
      </c>
      <c r="AU24" s="13" t="n">
        <f aca="false">Operations!AU90+Operations!AU91+Operations!AU92+Operations!AU93+Operations!AU94</f>
        <v>29.5424399265841</v>
      </c>
      <c r="AV24" s="13" t="n">
        <f aca="false">Operations!AV90+Operations!AV91+Operations!AV92+Operations!AV93+Operations!AV94</f>
        <v>29.6144609908979</v>
      </c>
      <c r="AW24" s="13" t="n">
        <f aca="false">Operations!AW90+Operations!AW91+Operations!AW92+Operations!AW93+Operations!AW94</f>
        <v>30.2955699700158</v>
      </c>
      <c r="AX24" s="13" t="n">
        <f aca="false">Operations!AX90+Operations!AX91+Operations!AX92+Operations!AX93+Operations!AX94</f>
        <v>30.3508929511922</v>
      </c>
      <c r="AY24" s="13" t="n">
        <f aca="false">Operations!AY90+Operations!AY91+Operations!AY92+Operations!AY93+Operations!AY94</f>
        <v>31.0170263401504</v>
      </c>
      <c r="AZ24" s="13" t="n">
        <f aca="false">Operations!AZ90+Operations!AZ91+Operations!AZ92+Operations!AZ93+Operations!AZ94</f>
        <v>31.0058427450881</v>
      </c>
      <c r="BA24" s="13" t="n">
        <f aca="false">Operations!BA90+Operations!BA91+Operations!BA92+Operations!BA93+Operations!BA94</f>
        <v>31.6071463503859</v>
      </c>
      <c r="BB24" s="13" t="n">
        <f aca="false">Operations!BB90+Operations!BB91+Operations!BB92+Operations!BB93+Operations!BB94</f>
        <v>31.5263796186579</v>
      </c>
      <c r="BC24" s="13" t="n">
        <f aca="false">Operations!BC90+Operations!BC91+Operations!BC92+Operations!BC93+Operations!BC94</f>
        <v>32.2873654351082</v>
      </c>
      <c r="BD24" s="13" t="n">
        <f aca="false">Operations!BD90+Operations!BD91+Operations!BD92+Operations!BD93+Operations!BD94</f>
        <v>32.4098314449758</v>
      </c>
      <c r="BE24" s="13" t="n">
        <f aca="false">Operations!BE90+Operations!BE91+Operations!BE92+Operations!BE93+Operations!BE94</f>
        <v>33.1326069084796</v>
      </c>
      <c r="BF24" s="13" t="n">
        <f aca="false">Operations!BF90+Operations!BF91+Operations!BF92+Operations!BF93+Operations!BF94</f>
        <v>33.1339016471308</v>
      </c>
      <c r="BG24" s="13" t="n">
        <f aca="false">Operations!BG90+Operations!BG91+Operations!BG92+Operations!BG93+Operations!BG94</f>
        <v>33.8443232808785</v>
      </c>
      <c r="BH24" s="13" t="n">
        <f aca="false">Operations!BH90+Operations!BH91+Operations!BH92+Operations!BH93+Operations!BH94</f>
        <v>33.7855980738998</v>
      </c>
      <c r="BI24" s="13" t="n">
        <f aca="false">Operations!BI90+Operations!BI91+Operations!BI92+Operations!BI93+Operations!BI94</f>
        <v>34.4738193498475</v>
      </c>
      <c r="BJ24" s="13" t="n">
        <f aca="false">Operations!BJ90+Operations!BJ91+Operations!BJ92+Operations!BJ93+Operations!BJ94</f>
        <v>34.4435927123793</v>
      </c>
      <c r="BK24" s="13" t="n">
        <f aca="false">Operations!BK90+Operations!BK91+Operations!BK92+Operations!BK93+Operations!BK94</f>
        <v>35.284410184865</v>
      </c>
      <c r="BL24" s="13" t="n">
        <f aca="false">Operations!BL90+Operations!BL91+Operations!BL92+Operations!BL93+Operations!BL94</f>
        <v>35.4225564679436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1913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2.45879894198392</v>
      </c>
      <c r="AJ25" s="13" t="n">
        <f aca="false">MAX(0,AJ12)</f>
        <v>10.7040586776881</v>
      </c>
      <c r="AK25" s="13" t="n">
        <f aca="false">MAX(0,AK12)</f>
        <v>19.6271480066478</v>
      </c>
      <c r="AL25" s="13" t="n">
        <f aca="false">MAX(0,AL12)</f>
        <v>27.9747059312802</v>
      </c>
      <c r="AM25" s="13" t="n">
        <f aca="false">MAX(0,AM12)</f>
        <v>31.965756346796</v>
      </c>
      <c r="AN25" s="13" t="n">
        <f aca="false">MAX(0,AN12)</f>
        <v>32.9699162320357</v>
      </c>
      <c r="AO25" s="13" t="n">
        <f aca="false">MAX(0,AO12)</f>
        <v>33.9740761172753</v>
      </c>
      <c r="AP25" s="13" t="n">
        <f aca="false">MAX(0,AP12)</f>
        <v>34.978236002515</v>
      </c>
      <c r="AQ25" s="13" t="n">
        <f aca="false">MAX(0,AQ12)</f>
        <v>35.9823958877546</v>
      </c>
      <c r="AR25" s="13" t="n">
        <f aca="false">MAX(0,AR12)</f>
        <v>36.9865557729943</v>
      </c>
      <c r="AS25" s="13" t="n">
        <f aca="false">MAX(0,AS12)</f>
        <v>37.990715658234</v>
      </c>
      <c r="AT25" s="13" t="n">
        <f aca="false">MAX(0,AT12)</f>
        <v>38.9948755434736</v>
      </c>
      <c r="AU25" s="13" t="n">
        <f aca="false">MAX(0,AU12)</f>
        <v>39.9990354287133</v>
      </c>
      <c r="AV25" s="13" t="n">
        <f aca="false">MAX(0,AV12)</f>
        <v>41.003195313953</v>
      </c>
      <c r="AW25" s="13" t="n">
        <f aca="false">MAX(0,AW12)</f>
        <v>42.0073551991926</v>
      </c>
      <c r="AX25" s="13" t="n">
        <f aca="false">MAX(0,AX12)</f>
        <v>43.0115150844323</v>
      </c>
      <c r="AY25" s="13" t="n">
        <f aca="false">MAX(0,AY12)</f>
        <v>44.015674969672</v>
      </c>
      <c r="AZ25" s="13" t="n">
        <f aca="false">MAX(0,AZ12)</f>
        <v>45.0198348549116</v>
      </c>
      <c r="BA25" s="13" t="n">
        <f aca="false">MAX(0,BA12)</f>
        <v>46.0239947401513</v>
      </c>
      <c r="BB25" s="13" t="n">
        <f aca="false">MAX(0,BB12)</f>
        <v>47.028154625391</v>
      </c>
      <c r="BC25" s="13" t="n">
        <f aca="false">MAX(0,BC12)</f>
        <v>46.1076747305879</v>
      </c>
      <c r="BD25" s="13" t="n">
        <f aca="false">MAX(0,BD12)</f>
        <v>41.3379152756995</v>
      </c>
      <c r="BE25" s="13" t="n">
        <f aca="false">MAX(0,BE12)</f>
        <v>36.5681558208111</v>
      </c>
      <c r="BF25" s="13" t="n">
        <f aca="false">MAX(0,BF12)</f>
        <v>31.7983963659227</v>
      </c>
      <c r="BG25" s="13" t="n">
        <f aca="false">MAX(0,BG12)</f>
        <v>27.0286369110343</v>
      </c>
      <c r="BH25" s="13" t="n">
        <f aca="false">MAX(0,BH12)</f>
        <v>22.2588774561459</v>
      </c>
      <c r="BI25" s="13" t="n">
        <f aca="false">MAX(0,BI12)</f>
        <v>17.4891180012575</v>
      </c>
      <c r="BJ25" s="13" t="n">
        <f aca="false">MAX(0,BJ12)</f>
        <v>12.7193585463691</v>
      </c>
      <c r="BK25" s="13" t="n">
        <f aca="false">MAX(0,BK12)</f>
        <v>7.94959909148071</v>
      </c>
      <c r="BL25" s="13" t="n">
        <f aca="false">MAX(0,BL12)</f>
        <v>3.17983963659228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7.17397261832586</v>
      </c>
      <c r="K26" s="13" t="n">
        <f aca="false">SUMIFS(Funding!$J$69:$BJ$69,Construction!$J$12:$BJ$12,"&lt;="&amp;Time!K20)</f>
        <v>12.285844533367</v>
      </c>
      <c r="L26" s="13" t="n">
        <f aca="false">SUMIFS(Funding!$J$69:$BJ$69,Construction!$J$12:$BJ$12,"&lt;="&amp;Time!L20)</f>
        <v>22.1889808777758</v>
      </c>
      <c r="M26" s="13" t="n">
        <f aca="false">SUMIFS(Funding!$J$69:$BJ$69,Construction!$J$12:$BJ$12,"&lt;="&amp;Time!M20)</f>
        <v>32.3908871066012</v>
      </c>
      <c r="N26" s="13" t="n">
        <f aca="false">SUMIFS(Funding!$J$69:$BJ$69,Construction!$J$12:$BJ$12,"&lt;="&amp;Time!N20)</f>
        <v>38.1077815419123</v>
      </c>
      <c r="O26" s="13" t="n">
        <f aca="false">SUMIFS(Funding!$J$69:$BJ$69,Construction!$J$12:$BJ$12,"&lt;="&amp;Time!O20)</f>
        <v>44.3723302201644</v>
      </c>
      <c r="P26" s="13" t="n">
        <f aca="false">SUMIFS(Funding!$J$69:$BJ$69,Construction!$J$12:$BJ$12,"&lt;="&amp;Time!P20)</f>
        <v>44.3723302201644</v>
      </c>
      <c r="Q26" s="13" t="n">
        <f aca="false">SUMIFS(Funding!$J$69:$BJ$69,Construction!$J$12:$BJ$12,"&lt;="&amp;Time!Q20)</f>
        <v>44.3723302201644</v>
      </c>
      <c r="R26" s="13" t="n">
        <f aca="false">SUMIFS(Funding!$J$69:$BJ$69,Construction!$J$12:$BJ$12,"&lt;="&amp;Time!R20)</f>
        <v>44.3723302201644</v>
      </c>
      <c r="S26" s="13" t="n">
        <f aca="false">SUMIFS(Funding!$J$69:$BJ$69,Construction!$J$12:$BJ$12,"&lt;="&amp;Time!S20)</f>
        <v>44.3723302201644</v>
      </c>
      <c r="T26" s="13" t="n">
        <f aca="false">SUMIFS(Funding!$J$69:$BJ$69,Construction!$J$12:$BJ$12,"&lt;="&amp;Time!T20)</f>
        <v>44.3723302201644</v>
      </c>
      <c r="U26" s="13" t="n">
        <f aca="false">SUMIFS(Funding!$J$69:$BJ$69,Construction!$J$12:$BJ$12,"&lt;="&amp;Time!U20)</f>
        <v>44.3723302201644</v>
      </c>
      <c r="V26" s="13" t="n">
        <f aca="false">SUMIFS(Funding!$J$69:$BJ$69,Construction!$J$12:$BJ$12,"&lt;="&amp;Time!V20)</f>
        <v>44.3723302201644</v>
      </c>
      <c r="W26" s="13" t="n">
        <f aca="false">SUMIFS(Funding!$J$69:$BJ$69,Construction!$J$12:$BJ$12,"&lt;="&amp;Time!W20)</f>
        <v>44.3723302201644</v>
      </c>
      <c r="X26" s="13" t="n">
        <f aca="false">SUMIFS(Funding!$J$69:$BJ$69,Construction!$J$12:$BJ$12,"&lt;="&amp;Time!X20)</f>
        <v>44.3723302201644</v>
      </c>
      <c r="Y26" s="13" t="n">
        <f aca="false">SUMIFS(Funding!$J$69:$BJ$69,Construction!$J$12:$BJ$12,"&lt;="&amp;Time!Y20)</f>
        <v>44.3723302201644</v>
      </c>
      <c r="Z26" s="13" t="n">
        <f aca="false">SUMIFS(Funding!$J$69:$BJ$69,Construction!$J$12:$BJ$12,"&lt;="&amp;Time!Z20)</f>
        <v>44.3723302201644</v>
      </c>
      <c r="AA26" s="13" t="n">
        <f aca="false">SUMIFS(Funding!$J$69:$BJ$69,Construction!$J$12:$BJ$12,"&lt;="&amp;Time!AA20)</f>
        <v>44.3723302201644</v>
      </c>
      <c r="AB26" s="13" t="n">
        <f aca="false">SUMIFS(Funding!$J$69:$BJ$69,Construction!$J$12:$BJ$12,"&lt;="&amp;Time!AB20)</f>
        <v>44.3723302201644</v>
      </c>
      <c r="AC26" s="13" t="n">
        <f aca="false">SUMIFS(Funding!$J$69:$BJ$69,Construction!$J$12:$BJ$12,"&lt;="&amp;Time!AC20)</f>
        <v>44.3723302201644</v>
      </c>
      <c r="AD26" s="13" t="n">
        <f aca="false">SUMIFS(Funding!$J$69:$BJ$69,Construction!$J$12:$BJ$12,"&lt;="&amp;Time!AD20)</f>
        <v>44.3723302201644</v>
      </c>
      <c r="AE26" s="13" t="n">
        <f aca="false">SUMIFS(Funding!$J$69:$BJ$69,Construction!$J$12:$BJ$12,"&lt;="&amp;Time!AE20)</f>
        <v>44.3723302201644</v>
      </c>
      <c r="AF26" s="13" t="n">
        <f aca="false">SUMIFS(Funding!$J$69:$BJ$69,Construction!$J$12:$BJ$12,"&lt;="&amp;Time!AF20)</f>
        <v>44.3723302201644</v>
      </c>
      <c r="AG26" s="13" t="n">
        <f aca="false">SUMIFS(Funding!$J$69:$BJ$69,Construction!$J$12:$BJ$12,"&lt;="&amp;Time!AG20)</f>
        <v>44.3723302201644</v>
      </c>
      <c r="AH26" s="13" t="n">
        <f aca="false">SUMIFS(Funding!$J$69:$BJ$69,Construction!$J$12:$BJ$12,"&lt;="&amp;Time!AH20)</f>
        <v>44.3723302201644</v>
      </c>
      <c r="AI26" s="13" t="n">
        <f aca="false">SUMIFS(Funding!$J$69:$BJ$69,Construction!$J$12:$BJ$12,"&lt;="&amp;Time!AI20)</f>
        <v>44.3723302201644</v>
      </c>
      <c r="AJ26" s="13" t="n">
        <f aca="false">SUMIFS(Funding!$J$69:$BJ$69,Construction!$J$12:$BJ$12,"&lt;="&amp;Time!AJ20)</f>
        <v>44.3723302201644</v>
      </c>
      <c r="AK26" s="13" t="n">
        <f aca="false">SUMIFS(Funding!$J$69:$BJ$69,Construction!$J$12:$BJ$12,"&lt;="&amp;Time!AK20)</f>
        <v>44.3723302201644</v>
      </c>
      <c r="AL26" s="13" t="n">
        <f aca="false">SUMIFS(Funding!$J$69:$BJ$69,Construction!$J$12:$BJ$12,"&lt;="&amp;Time!AL20)</f>
        <v>44.3723302201644</v>
      </c>
      <c r="AM26" s="13" t="n">
        <f aca="false">SUMIFS(Funding!$J$69:$BJ$69,Construction!$J$12:$BJ$12,"&lt;="&amp;Time!AM20)</f>
        <v>44.3723302201644</v>
      </c>
      <c r="AN26" s="13" t="n">
        <f aca="false">SUMIFS(Funding!$J$69:$BJ$69,Construction!$J$12:$BJ$12,"&lt;="&amp;Time!AN20)</f>
        <v>44.3723302201644</v>
      </c>
      <c r="AO26" s="13" t="n">
        <f aca="false">SUMIFS(Funding!$J$69:$BJ$69,Construction!$J$12:$BJ$12,"&lt;="&amp;Time!AO20)</f>
        <v>44.3723302201644</v>
      </c>
      <c r="AP26" s="13" t="n">
        <f aca="false">SUMIFS(Funding!$J$69:$BJ$69,Construction!$J$12:$BJ$12,"&lt;="&amp;Time!AP20)</f>
        <v>44.3723302201644</v>
      </c>
      <c r="AQ26" s="13" t="n">
        <f aca="false">SUMIFS(Funding!$J$69:$BJ$69,Construction!$J$12:$BJ$12,"&lt;="&amp;Time!AQ20)</f>
        <v>44.3723302201644</v>
      </c>
      <c r="AR26" s="13" t="n">
        <f aca="false">SUMIFS(Funding!$J$69:$BJ$69,Construction!$J$12:$BJ$12,"&lt;="&amp;Time!AR20)</f>
        <v>44.3723302201644</v>
      </c>
      <c r="AS26" s="13" t="n">
        <f aca="false">SUMIFS(Funding!$J$69:$BJ$69,Construction!$J$12:$BJ$12,"&lt;="&amp;Time!AS20)</f>
        <v>44.3723302201644</v>
      </c>
      <c r="AT26" s="13" t="n">
        <f aca="false">SUMIFS(Funding!$J$69:$BJ$69,Construction!$J$12:$BJ$12,"&lt;="&amp;Time!AT20)</f>
        <v>44.3723302201644</v>
      </c>
      <c r="AU26" s="13" t="n">
        <f aca="false">SUMIFS(Funding!$J$69:$BJ$69,Construction!$J$12:$BJ$12,"&lt;="&amp;Time!AU20)</f>
        <v>44.3723302201644</v>
      </c>
      <c r="AV26" s="13" t="n">
        <f aca="false">SUMIFS(Funding!$J$69:$BJ$69,Construction!$J$12:$BJ$12,"&lt;="&amp;Time!AV20)</f>
        <v>44.3723302201644</v>
      </c>
      <c r="AW26" s="13" t="n">
        <f aca="false">SUMIFS(Funding!$J$69:$BJ$69,Construction!$J$12:$BJ$12,"&lt;="&amp;Time!AW20)</f>
        <v>44.3723302201644</v>
      </c>
      <c r="AX26" s="13" t="n">
        <f aca="false">SUMIFS(Funding!$J$69:$BJ$69,Construction!$J$12:$BJ$12,"&lt;="&amp;Time!AX20)</f>
        <v>44.3723302201644</v>
      </c>
      <c r="AY26" s="13" t="n">
        <f aca="false">SUMIFS(Funding!$J$69:$BJ$69,Construction!$J$12:$BJ$12,"&lt;="&amp;Time!AY20)</f>
        <v>44.3723302201644</v>
      </c>
      <c r="AZ26" s="13" t="n">
        <f aca="false">SUMIFS(Funding!$J$69:$BJ$69,Construction!$J$12:$BJ$12,"&lt;="&amp;Time!AZ20)</f>
        <v>44.3723302201644</v>
      </c>
      <c r="BA26" s="13" t="n">
        <f aca="false">SUMIFS(Funding!$J$69:$BJ$69,Construction!$J$12:$BJ$12,"&lt;="&amp;Time!BA20)</f>
        <v>44.3723302201644</v>
      </c>
      <c r="BB26" s="13" t="n">
        <f aca="false">SUMIFS(Funding!$J$69:$BJ$69,Construction!$J$12:$BJ$12,"&lt;="&amp;Time!BB20)</f>
        <v>44.3723302201644</v>
      </c>
      <c r="BC26" s="13" t="n">
        <f aca="false">SUMIFS(Funding!$J$69:$BJ$69,Construction!$J$12:$BJ$12,"&lt;="&amp;Time!BC20)</f>
        <v>44.3723302201644</v>
      </c>
      <c r="BD26" s="13" t="n">
        <f aca="false">SUMIFS(Funding!$J$69:$BJ$69,Construction!$J$12:$BJ$12,"&lt;="&amp;Time!BD20)</f>
        <v>44.3723302201644</v>
      </c>
      <c r="BE26" s="13" t="n">
        <f aca="false">SUMIFS(Funding!$J$69:$BJ$69,Construction!$J$12:$BJ$12,"&lt;="&amp;Time!BE20)</f>
        <v>44.3723302201644</v>
      </c>
      <c r="BF26" s="13" t="n">
        <f aca="false">SUMIFS(Funding!$J$69:$BJ$69,Construction!$J$12:$BJ$12,"&lt;="&amp;Time!BF20)</f>
        <v>44.3723302201644</v>
      </c>
      <c r="BG26" s="13" t="n">
        <f aca="false">SUMIFS(Funding!$J$69:$BJ$69,Construction!$J$12:$BJ$12,"&lt;="&amp;Time!BG20)</f>
        <v>44.3723302201644</v>
      </c>
      <c r="BH26" s="13" t="n">
        <f aca="false">SUMIFS(Funding!$J$69:$BJ$69,Construction!$J$12:$BJ$12,"&lt;="&amp;Time!BH20)</f>
        <v>44.3723302201644</v>
      </c>
      <c r="BI26" s="13" t="n">
        <f aca="false">SUMIFS(Funding!$J$69:$BJ$69,Construction!$J$12:$BJ$12,"&lt;="&amp;Time!BI20)</f>
        <v>44.3723302201644</v>
      </c>
      <c r="BJ26" s="13" t="n">
        <f aca="false">SUMIFS(Funding!$J$69:$BJ$69,Construction!$J$12:$BJ$12,"&lt;="&amp;Time!BJ20)</f>
        <v>44.3723302201644</v>
      </c>
      <c r="BK26" s="13" t="n">
        <f aca="false">SUMIFS(Funding!$J$69:$BJ$69,Construction!$J$12:$BJ$12,"&lt;="&amp;Time!BK20)</f>
        <v>44.3723302201644</v>
      </c>
      <c r="BL26" s="13" t="n">
        <f aca="false">SUMIFS(Funding!$J$69:$BJ$69,Construction!$J$12:$BJ$12,"&lt;="&amp;Time!BL20)</f>
        <v>44.3723302201644</v>
      </c>
      <c r="BM26" s="13" t="n">
        <f aca="false">SUMIFS(Funding!$J$69:$BJ$69,Construction!$J$12:$BJ$12,"&lt;="&amp;Time!BM20)</f>
        <v>44.3723302201644</v>
      </c>
      <c r="BN26" s="13" t="n">
        <f aca="false">SUMIFS(Funding!$J$69:$BJ$69,Construction!$J$12:$BJ$12,"&lt;="&amp;Time!BN20)</f>
        <v>44.3723302201644</v>
      </c>
    </row>
    <row r="27" customFormat="false" ht="15" hidden="false" customHeight="false" outlineLevel="0" collapsed="false">
      <c r="D27" s="0" t="s">
        <v>1914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9.76698881124229</v>
      </c>
      <c r="P27" s="18" t="n">
        <f aca="false">Waterfall!P43</f>
        <v>17.1383047053302</v>
      </c>
      <c r="Q27" s="18" t="n">
        <f aca="false">Waterfall!Q43</f>
        <v>25.9265355534099</v>
      </c>
      <c r="R27" s="18" t="n">
        <f aca="false">Waterfall!R43</f>
        <v>35.2402783641076</v>
      </c>
      <c r="S27" s="18" t="n">
        <f aca="false">Waterfall!S43</f>
        <v>45.8081856029152</v>
      </c>
      <c r="T27" s="18" t="n">
        <f aca="false">Waterfall!T43</f>
        <v>56.862909584774</v>
      </c>
      <c r="U27" s="18" t="n">
        <f aca="false">Waterfall!U43</f>
        <v>69.1932669199609</v>
      </c>
      <c r="V27" s="18" t="n">
        <f aca="false">Waterfall!V43</f>
        <v>79.8763888529308</v>
      </c>
      <c r="W27" s="18" t="n">
        <f aca="false">Waterfall!W43</f>
        <v>94.433997458638</v>
      </c>
      <c r="X27" s="18" t="n">
        <f aca="false">Waterfall!X43</f>
        <v>109.772653250434</v>
      </c>
      <c r="Y27" s="18" t="n">
        <f aca="false">Waterfall!Y43</f>
        <v>123.130951949391</v>
      </c>
      <c r="Z27" s="18" t="n">
        <f aca="false">Waterfall!Z43</f>
        <v>131.240150988776</v>
      </c>
      <c r="AA27" s="18" t="n">
        <f aca="false">Waterfall!AA43</f>
        <v>140.378516135266</v>
      </c>
      <c r="AB27" s="18" t="n">
        <f aca="false">Waterfall!AB43</f>
        <v>150.17989607522</v>
      </c>
      <c r="AC27" s="18" t="n">
        <f aca="false">Waterfall!AC43</f>
        <v>161.134024943851</v>
      </c>
      <c r="AD27" s="18" t="n">
        <f aca="false">Waterfall!AD43</f>
        <v>163.787445700186</v>
      </c>
      <c r="AE27" s="18" t="n">
        <f aca="false">Waterfall!AE43</f>
        <v>176.86188716107</v>
      </c>
      <c r="AF27" s="18" t="n">
        <f aca="false">Waterfall!AF43</f>
        <v>190.719907955768</v>
      </c>
      <c r="AG27" s="18" t="n">
        <f aca="false">Waterfall!AG43</f>
        <v>205.794406841767</v>
      </c>
      <c r="AH27" s="18" t="n">
        <f aca="false">Waterfall!AH43</f>
        <v>222.040942135381</v>
      </c>
      <c r="AI27" s="18" t="n">
        <f aca="false">Waterfall!AI43</f>
        <v>239.691032659881</v>
      </c>
      <c r="AJ27" s="18" t="n">
        <f aca="false">Waterfall!AJ43</f>
        <v>258.542972081968</v>
      </c>
      <c r="AK27" s="18" t="n">
        <f aca="false">Waterfall!AK43</f>
        <v>278.97429203307</v>
      </c>
      <c r="AL27" s="18" t="n">
        <f aca="false">Waterfall!AL43</f>
        <v>298.066881429876</v>
      </c>
      <c r="AM27" s="18" t="n">
        <f aca="false">Waterfall!AM43</f>
        <v>321.838362971449</v>
      </c>
      <c r="AN27" s="18" t="n">
        <f aca="false">Waterfall!AN43</f>
        <v>346.85715875995</v>
      </c>
      <c r="AO27" s="18" t="n">
        <f aca="false">Waterfall!AO43</f>
        <v>344.998823490076</v>
      </c>
      <c r="AP27" s="18" t="n">
        <f aca="false">Waterfall!AP43</f>
        <v>329.438975288551</v>
      </c>
      <c r="AQ27" s="18" t="n">
        <f aca="false">Waterfall!AQ43</f>
        <v>314.429267738557</v>
      </c>
      <c r="AR27" s="18" t="n">
        <f aca="false">Waterfall!AR43</f>
        <v>298.872376405905</v>
      </c>
      <c r="AS27" s="18" t="n">
        <f aca="false">Waterfall!AS43</f>
        <v>283.77823949819</v>
      </c>
      <c r="AT27" s="18" t="n">
        <f aca="false">Waterfall!AT43</f>
        <v>251.725520186578</v>
      </c>
      <c r="AU27" s="18" t="n">
        <f aca="false">Waterfall!AU43</f>
        <v>234.531648741691</v>
      </c>
      <c r="AV27" s="18" t="n">
        <f aca="false">Waterfall!AV43</f>
        <v>217.220640288814</v>
      </c>
      <c r="AW27" s="18" t="n">
        <f aca="false">Waterfall!AW43</f>
        <v>200.478801219257</v>
      </c>
      <c r="AX27" s="18" t="n">
        <f aca="false">Waterfall!AX43</f>
        <v>183.169422372392</v>
      </c>
      <c r="AY27" s="18" t="n">
        <f aca="false">Waterfall!AY43</f>
        <v>166.435669080565</v>
      </c>
      <c r="AZ27" s="18" t="n">
        <f aca="false">Waterfall!AZ43</f>
        <v>149.124145489844</v>
      </c>
      <c r="BA27" s="18" t="n">
        <f aca="false">Waterfall!BA43</f>
        <v>132.795589672636</v>
      </c>
      <c r="BB27" s="18" t="n">
        <f aca="false">Waterfall!BB43</f>
        <v>112.868730536123</v>
      </c>
      <c r="BC27" s="18" t="n">
        <f aca="false">Waterfall!BC43</f>
        <v>99.0892136739805</v>
      </c>
      <c r="BD27" s="18" t="n">
        <f aca="false">Waterfall!BD43</f>
        <v>91.3046793359245</v>
      </c>
      <c r="BE27" s="18" t="n">
        <f aca="false">Waterfall!BE43</f>
        <v>84.1314450425493</v>
      </c>
      <c r="BF27" s="18" t="n">
        <f aca="false">Waterfall!BF43</f>
        <v>76.3721500568463</v>
      </c>
      <c r="BG27" s="18" t="n">
        <f aca="false">Waterfall!BG43</f>
        <v>69.2409251973947</v>
      </c>
      <c r="BH27" s="18" t="n">
        <f aca="false">Waterfall!BH43</f>
        <v>61.5107690129039</v>
      </c>
      <c r="BI27" s="18" t="n">
        <f aca="false">Waterfall!BI43</f>
        <v>54.3226931681445</v>
      </c>
      <c r="BJ27" s="18" t="n">
        <f aca="false">Waterfall!BJ43</f>
        <v>26.9364533818411</v>
      </c>
      <c r="BK27" s="18" t="n">
        <f aca="false">Waterfall!BK43</f>
        <v>17.3478144711262</v>
      </c>
      <c r="BL27" s="18" t="n">
        <f aca="false">Waterfall!BL43</f>
        <v>6.92411557252254</v>
      </c>
      <c r="BM27" s="18" t="n">
        <f aca="false">Waterfall!BM43</f>
        <v>-44.3723302201644</v>
      </c>
      <c r="BN27" s="18" t="n">
        <f aca="false">Waterfall!BN43</f>
        <v>-44.3723302201644</v>
      </c>
    </row>
    <row r="28" customFormat="false" ht="15" hidden="false" customHeight="false" outlineLevel="0" collapsed="false">
      <c r="D28" s="0" t="s">
        <v>1915</v>
      </c>
      <c r="E28" s="0" t="s">
        <v>151</v>
      </c>
      <c r="J28" s="13" t="n">
        <f aca="false">J22+J23+J24+J25+J26+J27</f>
        <v>139.106982740051</v>
      </c>
      <c r="K28" s="13" t="n">
        <f aca="false">K22+K23+K24+K25+K26+K27</f>
        <v>239.366366678837</v>
      </c>
      <c r="L28" s="13" t="n">
        <f aca="false">L22+L23+L24+L25+L26+L27</f>
        <v>433.507249553801</v>
      </c>
      <c r="M28" s="13" t="n">
        <f aca="false">M22+M23+M24+M25+M26+M27</f>
        <v>635.561412215329</v>
      </c>
      <c r="N28" s="13" t="n">
        <f aca="false">N22+N23+N24+N25+N26+N27</f>
        <v>753.172169405507</v>
      </c>
      <c r="O28" s="13" t="n">
        <f aca="false">O22+O23+O24+O25+O26+O27</f>
        <v>913.491371380187</v>
      </c>
      <c r="P28" s="13" t="n">
        <f aca="false">P22+P23+P24+P25+P26+P27</f>
        <v>900.146486824824</v>
      </c>
      <c r="Q28" s="13" t="n">
        <f aca="false">Q22+Q23+Q24+Q25+Q26+Q27</f>
        <v>890.063671754758</v>
      </c>
      <c r="R28" s="13" t="n">
        <f aca="false">R22+R23+R24+R25+R26+R27</f>
        <v>878.273936924849</v>
      </c>
      <c r="S28" s="13" t="n">
        <f aca="false">S22+S23+S24+S25+S26+S27</f>
        <v>868.179489809776</v>
      </c>
      <c r="T28" s="13" t="n">
        <f aca="false">T22+T23+T24+T25+T26+T27</f>
        <v>856.549836352422</v>
      </c>
      <c r="U28" s="13" t="n">
        <f aca="false">U22+U23+U24+U25+U26+U27</f>
        <v>846.638316097388</v>
      </c>
      <c r="V28" s="13" t="n">
        <f aca="false">V22+V23+V24+V25+V26+V27</f>
        <v>832.039460428648</v>
      </c>
      <c r="W28" s="13" t="n">
        <f aca="false">W22+W23+W24+W25+W26+W27</f>
        <v>820.051123030367</v>
      </c>
      <c r="X28" s="13" t="n">
        <f aca="false">X22+X23+X24+X25+X26+X27</f>
        <v>809.816257180725</v>
      </c>
      <c r="Y28" s="13" t="n">
        <f aca="false">Y22+Y23+Y24+Y25+Y26+Y27</f>
        <v>798.397937637619</v>
      </c>
      <c r="Z28" s="13" t="n">
        <f aca="false">Z22+Z23+Z24+Z25+Z26+Z27</f>
        <v>779.533618738359</v>
      </c>
      <c r="AA28" s="13" t="n">
        <f aca="false">AA22+AA23+AA24+AA25+AA26+AA27</f>
        <v>761.955102989164</v>
      </c>
      <c r="AB28" s="13" t="n">
        <f aca="false">AB22+AB23+AB24+AB25+AB26+AB27</f>
        <v>741.821352910232</v>
      </c>
      <c r="AC28" s="13" t="n">
        <f aca="false">AC22+AC23+AC24+AC25+AC26+AC27</f>
        <v>723.449742088279</v>
      </c>
      <c r="AD28" s="13" t="n">
        <f aca="false">AD22+AD23+AD24+AD25+AD26+AD27</f>
        <v>692.278696678964</v>
      </c>
      <c r="AE28" s="13" t="n">
        <f aca="false">AE22+AE23+AE24+AE25+AE26+AE27</f>
        <v>670.077298067192</v>
      </c>
      <c r="AF28" s="13" t="n">
        <f aca="false">AF22+AF23+AF24+AF25+AF26+AF27</f>
        <v>646.147391189214</v>
      </c>
      <c r="AG28" s="13" t="n">
        <f aca="false">AG22+AG23+AG24+AG25+AG26+AG27</f>
        <v>623.066137170524</v>
      </c>
      <c r="AH28" s="13" t="n">
        <f aca="false">AH22+AH23+AH24+AH25+AH26+AH27</f>
        <v>597.515601974295</v>
      </c>
      <c r="AI28" s="13" t="n">
        <f aca="false">AI22+AI23+AI24+AI25+AI26+AI27</f>
        <v>575.054923513208</v>
      </c>
      <c r="AJ28" s="13" t="n">
        <f aca="false">AJ22+AJ23+AJ24+AJ25+AJ26+AJ27</f>
        <v>555.845847100137</v>
      </c>
      <c r="AK28" s="13" t="n">
        <f aca="false">AK22+AK23+AK24+AK25+AK26+AK27</f>
        <v>538.352496590194</v>
      </c>
      <c r="AL28" s="13" t="n">
        <f aca="false">AL22+AL23+AL24+AL25+AL26+AL27</f>
        <v>518.056456257901</v>
      </c>
      <c r="AM28" s="13" t="n">
        <f aca="false">AM22+AM23+AM24+AM25+AM26+AM27</f>
        <v>498.159349596794</v>
      </c>
      <c r="AN28" s="13" t="n">
        <f aca="false">AN22+AN23+AN24+AN25+AN26+AN27</f>
        <v>483.499969440398</v>
      </c>
      <c r="AO28" s="13" t="n">
        <f aca="false">AO22+AO23+AO24+AO25+AO26+AO27</f>
        <v>451.146955366179</v>
      </c>
      <c r="AP28" s="13" t="n">
        <f aca="false">AP22+AP23+AP24+AP25+AP26+AP27</f>
        <v>436.539609901659</v>
      </c>
      <c r="AQ28" s="13" t="n">
        <f aca="false">AQ22+AQ23+AQ24+AQ25+AQ26+AQ27</f>
        <v>423.164137937755</v>
      </c>
      <c r="AR28" s="13" t="n">
        <f aca="false">AR22+AR23+AR24+AR25+AR26+AR27</f>
        <v>408.654408985472</v>
      </c>
      <c r="AS28" s="13" t="n">
        <f aca="false">AS22+AS23+AS24+AS25+AS26+AS27</f>
        <v>395.103824224837</v>
      </c>
      <c r="AT28" s="13" t="n">
        <f aca="false">AT22+AT23+AT24+AT25+AT26+AT27</f>
        <v>363.963914072295</v>
      </c>
      <c r="AU28" s="13" t="n">
        <f aca="false">AU22+AU23+AU24+AU25+AU26+AU27</f>
        <v>348.445454317153</v>
      </c>
      <c r="AV28" s="13" t="n">
        <f aca="false">AV22+AV23+AV24+AV25+AV26+AV27</f>
        <v>332.210626813829</v>
      </c>
      <c r="AW28" s="13" t="n">
        <f aca="false">AW22+AW23+AW24+AW25+AW26+AW27</f>
        <v>317.15405660863</v>
      </c>
      <c r="AX28" s="13" t="n">
        <f aca="false">AX22+AX23+AX24+AX25+AX26+AX27</f>
        <v>300.904160628181</v>
      </c>
      <c r="AY28" s="13" t="n">
        <f aca="false">AY22+AY23+AY24+AY25+AY26+AY27</f>
        <v>285.840700610551</v>
      </c>
      <c r="AZ28" s="13" t="n">
        <f aca="false">AZ22+AZ23+AZ24+AZ25+AZ26+AZ27</f>
        <v>269.522153310008</v>
      </c>
      <c r="BA28" s="13" t="n">
        <f aca="false">BA22+BA23+BA24+BA25+BA26+BA27</f>
        <v>254.799060983338</v>
      </c>
      <c r="BB28" s="13" t="n">
        <f aca="false">BB22+BB23+BB24+BB25+BB26+BB27</f>
        <v>235.795595000337</v>
      </c>
      <c r="BC28" s="13" t="n">
        <f aca="false">BC22+BC23+BC24+BC25+BC26+BC27</f>
        <v>221.856584059841</v>
      </c>
      <c r="BD28" s="13" t="n">
        <f aca="false">BD22+BD23+BD24+BD25+BD26+BD27</f>
        <v>209.424756276764</v>
      </c>
      <c r="BE28" s="13" t="n">
        <f aca="false">BE22+BE23+BE24+BE25+BE26+BE27</f>
        <v>198.204537992004</v>
      </c>
      <c r="BF28" s="13" t="n">
        <f aca="false">BF22+BF23+BF24+BF25+BF26+BF27</f>
        <v>185.676778290064</v>
      </c>
      <c r="BG28" s="13" t="n">
        <f aca="false">BG22+BG23+BG24+BG25+BG26+BG27</f>
        <v>174.486215609472</v>
      </c>
      <c r="BH28" s="13" t="n">
        <f aca="false">BH22+BH23+BH24+BH25+BH26+BH27</f>
        <v>161.927574763114</v>
      </c>
      <c r="BI28" s="13" t="n">
        <f aca="false">BI22+BI23+BI24+BI25+BI26+BI27</f>
        <v>150.657960739414</v>
      </c>
      <c r="BJ28" s="13" t="n">
        <f aca="false">BJ22+BJ23+BJ24+BJ25+BJ26+BJ27</f>
        <v>118.471734860754</v>
      </c>
      <c r="BK28" s="13" t="n">
        <f aca="false">BK22+BK23+BK24+BK25+BK26+BK27</f>
        <v>104.954153967636</v>
      </c>
      <c r="BL28" s="13" t="n">
        <f aca="false">BL22+BL23+BL24+BL25+BL26+BL27</f>
        <v>89.8988418972228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1916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1917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2719.73354191166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16.8741313960732</v>
      </c>
      <c r="P32" s="18" t="n">
        <f aca="false">Operations!P84</f>
        <v>50.6580821496292</v>
      </c>
      <c r="Q32" s="18" t="n">
        <f aca="false">Operations!Q84</f>
        <v>50.9232085375646</v>
      </c>
      <c r="R32" s="18" t="n">
        <f aca="false">Operations!R84</f>
        <v>51.1254441692925</v>
      </c>
      <c r="S32" s="18" t="n">
        <f aca="false">Operations!S84</f>
        <v>51.240586769193</v>
      </c>
      <c r="T32" s="18" t="n">
        <f aca="false">Operations!T84</f>
        <v>51.3161456420434</v>
      </c>
      <c r="U32" s="18" t="n">
        <f aca="false">Operations!U84</f>
        <v>51.5196064395441</v>
      </c>
      <c r="V32" s="18" t="n">
        <f aca="false">Operations!V84</f>
        <v>49.2713145195501</v>
      </c>
      <c r="W32" s="18" t="n">
        <f aca="false">Operations!W84</f>
        <v>51.8823241300972</v>
      </c>
      <c r="X32" s="18" t="n">
        <f aca="false">Operations!X84</f>
        <v>51.9716552696997</v>
      </c>
      <c r="Y32" s="18" t="n">
        <f aca="false">Operations!Y84</f>
        <v>52.1523714947775</v>
      </c>
      <c r="Z32" s="18" t="n">
        <f aca="false">Operations!Z84</f>
        <v>52.3438905099027</v>
      </c>
      <c r="AA32" s="18" t="n">
        <f aca="false">Operations!AA84</f>
        <v>52.5018703963153</v>
      </c>
      <c r="AB32" s="18" t="n">
        <f aca="false">Operations!AB84</f>
        <v>52.6929384646642</v>
      </c>
      <c r="AC32" s="18" t="n">
        <f aca="false">Operations!AC84</f>
        <v>53.0104603226708</v>
      </c>
      <c r="AD32" s="18" t="n">
        <f aca="false">Operations!AD84</f>
        <v>40.1717234888226</v>
      </c>
      <c r="AE32" s="18" t="n">
        <f aca="false">Operations!AE84</f>
        <v>53.540072591789</v>
      </c>
      <c r="AF32" s="18" t="n">
        <f aca="false">Operations!AF84</f>
        <v>53.4972214530195</v>
      </c>
      <c r="AG32" s="18" t="n">
        <f aca="false">Operations!AG84</f>
        <v>53.7500393838735</v>
      </c>
      <c r="AH32" s="18" t="n">
        <f aca="false">Operations!AH84</f>
        <v>54.0587132965794</v>
      </c>
      <c r="AI32" s="18" t="n">
        <f aca="false">Operations!AI84</f>
        <v>54.2251798893235</v>
      </c>
      <c r="AJ32" s="18" t="n">
        <f aca="false">Operations!AJ84</f>
        <v>54.3514452327217</v>
      </c>
      <c r="AK32" s="18" t="n">
        <f aca="false">Operations!AK84</f>
        <v>54.679537480653</v>
      </c>
      <c r="AL32" s="18" t="n">
        <f aca="false">Operations!AL84</f>
        <v>50.9846982451415</v>
      </c>
      <c r="AM32" s="18" t="n">
        <f aca="false">Operations!AM84</f>
        <v>55.2266948768797</v>
      </c>
      <c r="AN32" s="18" t="n">
        <f aca="false">Operations!AN84</f>
        <v>55.2088260648634</v>
      </c>
      <c r="AO32" s="18" t="n">
        <f aca="false">Operations!AO84</f>
        <v>55.4942975263817</v>
      </c>
      <c r="AP32" s="18" t="n">
        <f aca="false">Operations!AP84</f>
        <v>55.8344894858909</v>
      </c>
      <c r="AQ32" s="18" t="n">
        <f aca="false">Operations!AQ84</f>
        <v>56.0390883239402</v>
      </c>
      <c r="AR32" s="18" t="n">
        <f aca="false">Operations!AR84</f>
        <v>56.2068738914701</v>
      </c>
      <c r="AS32" s="18" t="n">
        <f aca="false">Operations!AS84</f>
        <v>56.575905688393</v>
      </c>
      <c r="AT32" s="18" t="n">
        <f aca="false">Operations!AT84</f>
        <v>42.3761184425965</v>
      </c>
      <c r="AU32" s="18" t="n">
        <f aca="false">Operations!AU84</f>
        <v>57.2675976467544</v>
      </c>
      <c r="AV32" s="18" t="n">
        <f aca="false">Operations!AV84</f>
        <v>57.4133094488844</v>
      </c>
      <c r="AW32" s="18" t="n">
        <f aca="false">Operations!AW84</f>
        <v>57.6461994166253</v>
      </c>
      <c r="AX32" s="18" t="n">
        <f aca="false">Operations!AX84</f>
        <v>57.8389879674355</v>
      </c>
      <c r="AY32" s="18" t="n">
        <f aca="false">Operations!AY84</f>
        <v>58.1454772758</v>
      </c>
      <c r="AZ32" s="18" t="n">
        <f aca="false">Operations!AZ84</f>
        <v>58.4737405312293</v>
      </c>
      <c r="BA32" s="18" t="n">
        <f aca="false">Operations!BA84</f>
        <v>58.8809610865984</v>
      </c>
      <c r="BB32" s="18" t="n">
        <f aca="false">Operations!BB84</f>
        <v>55.5419262387689</v>
      </c>
      <c r="BC32" s="18" t="n">
        <f aca="false">Operations!BC84</f>
        <v>59.6210700089557</v>
      </c>
      <c r="BD32" s="18" t="n">
        <f aca="false">Operations!BD84</f>
        <v>59.7584500445695</v>
      </c>
      <c r="BE32" s="18" t="n">
        <f aca="false">Operations!BE84</f>
        <v>60.0999143800698</v>
      </c>
      <c r="BF32" s="18" t="n">
        <f aca="false">Operations!BF84</f>
        <v>60.4581522875409</v>
      </c>
      <c r="BG32" s="18" t="n">
        <f aca="false">Operations!BG84</f>
        <v>60.8641568036052</v>
      </c>
      <c r="BH32" s="18" t="n">
        <f aca="false">Operations!BH84</f>
        <v>61.3358706951139</v>
      </c>
      <c r="BI32" s="18" t="n">
        <f aca="false">Operations!BI84</f>
        <v>61.7623988388032</v>
      </c>
      <c r="BJ32" s="18" t="n">
        <f aca="false">Operations!BJ84</f>
        <v>44.545050295981</v>
      </c>
      <c r="BK32" s="18" t="n">
        <f aca="false">Operations!BK84</f>
        <v>62.5527998008668</v>
      </c>
      <c r="BL32" s="18" t="n">
        <f aca="false">Operations!BL84</f>
        <v>62.7708381966165</v>
      </c>
      <c r="BM32" s="18" t="n">
        <f aca="false">Operations!BM84</f>
        <v>23.0516853740852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1918</v>
      </c>
      <c r="E33" s="0" t="s">
        <v>151</v>
      </c>
      <c r="G33" s="13" t="n">
        <f aca="false">SUM(J33:BN33)</f>
        <v>-349.846047002922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-0.119253558735222</v>
      </c>
      <c r="Z33" s="13" t="n">
        <f aca="false">-Tax!Z27</f>
        <v>-0.360330299703011</v>
      </c>
      <c r="AA33" s="13" t="n">
        <f aca="false">-Tax!AA27</f>
        <v>-0.362688218841561</v>
      </c>
      <c r="AB33" s="13" t="n">
        <f aca="false">-Tax!AB27</f>
        <v>-0.364938238741086</v>
      </c>
      <c r="AC33" s="13" t="n">
        <f aca="false">-Tax!AC27</f>
        <v>-0.366614477821428</v>
      </c>
      <c r="AD33" s="13" t="n">
        <f aca="false">-Tax!AD27</f>
        <v>-0.360581569238638</v>
      </c>
      <c r="AE33" s="13" t="n">
        <f aca="false">-Tax!AE27</f>
        <v>-0.370912153953016</v>
      </c>
      <c r="AF33" s="13" t="n">
        <f aca="false">-Tax!AF27</f>
        <v>-0.375445733315541</v>
      </c>
      <c r="AG33" s="13" t="n">
        <f aca="false">-Tax!AG27</f>
        <v>-0.377899107581401</v>
      </c>
      <c r="AH33" s="13" t="n">
        <f aca="false">-Tax!AH27</f>
        <v>-0.380013131434513</v>
      </c>
      <c r="AI33" s="13" t="n">
        <f aca="false">-Tax!AI27</f>
        <v>-0.383292779929835</v>
      </c>
      <c r="AJ33" s="13" t="n">
        <f aca="false">-Tax!AJ27</f>
        <v>-0.386999961222321</v>
      </c>
      <c r="AK33" s="13" t="n">
        <f aca="false">-Tax!AK27</f>
        <v>-0.389221816471203</v>
      </c>
      <c r="AL33" s="13" t="n">
        <f aca="false">-Tax!AL27</f>
        <v>-0.385045760669201</v>
      </c>
      <c r="AM33" s="13" t="n">
        <f aca="false">-Tax!AM27</f>
        <v>-6.19672738801554</v>
      </c>
      <c r="AN33" s="13" t="n">
        <f aca="false">-Tax!AN27</f>
        <v>-9.71818116697487</v>
      </c>
      <c r="AO33" s="13" t="n">
        <f aca="false">-Tax!AO27</f>
        <v>-10.281093291847</v>
      </c>
      <c r="AP33" s="13" t="n">
        <f aca="false">-Tax!AP27</f>
        <v>-10.7253875343293</v>
      </c>
      <c r="AQ33" s="13" t="n">
        <f aca="false">-Tax!AQ27</f>
        <v>-10.7867671857441</v>
      </c>
      <c r="AR33" s="13" t="n">
        <f aca="false">-Tax!AR27</f>
        <v>-10.837102856003</v>
      </c>
      <c r="AS33" s="13" t="n">
        <f aca="false">-Tax!AS27</f>
        <v>-10.9478123950799</v>
      </c>
      <c r="AT33" s="13" t="n">
        <f aca="false">-Tax!AT27</f>
        <v>-6.68787622134096</v>
      </c>
      <c r="AU33" s="13" t="n">
        <f aca="false">-Tax!AU27</f>
        <v>-11.1553199825883</v>
      </c>
      <c r="AV33" s="13" t="n">
        <f aca="false">-Tax!AV27</f>
        <v>-11.1990335232274</v>
      </c>
      <c r="AW33" s="13" t="n">
        <f aca="false">-Tax!AW27</f>
        <v>-11.2689005135496</v>
      </c>
      <c r="AX33" s="13" t="n">
        <f aca="false">-Tax!AX27</f>
        <v>-11.3267370787927</v>
      </c>
      <c r="AY33" s="13" t="n">
        <f aca="false">-Tax!AY27</f>
        <v>-11.418683871302</v>
      </c>
      <c r="AZ33" s="13" t="n">
        <f aca="false">-Tax!AZ27</f>
        <v>-11.5171628479308</v>
      </c>
      <c r="BA33" s="13" t="n">
        <f aca="false">-Tax!BA27</f>
        <v>-11.6393290145415</v>
      </c>
      <c r="BB33" s="13" t="n">
        <f aca="false">-Tax!BB27</f>
        <v>-10.6376185601927</v>
      </c>
      <c r="BC33" s="13" t="n">
        <f aca="false">-Tax!BC27</f>
        <v>-13.7860014712914</v>
      </c>
      <c r="BD33" s="13" t="n">
        <f aca="false">-Tax!BD27</f>
        <v>-17.6764950420609</v>
      </c>
      <c r="BE33" s="13" t="n">
        <f aca="false">-Tax!BE27</f>
        <v>-17.778934342711</v>
      </c>
      <c r="BF33" s="13" t="n">
        <f aca="false">-Tax!BF27</f>
        <v>-17.8864057149524</v>
      </c>
      <c r="BG33" s="13" t="n">
        <f aca="false">-Tax!BG27</f>
        <v>-18.0082070697716</v>
      </c>
      <c r="BH33" s="13" t="n">
        <f aca="false">-Tax!BH27</f>
        <v>-18.1497212372243</v>
      </c>
      <c r="BI33" s="13" t="n">
        <f aca="false">-Tax!BI27</f>
        <v>-18.277679680331</v>
      </c>
      <c r="BJ33" s="13" t="n">
        <f aca="false">-Tax!BJ27</f>
        <v>-13.1124751174844</v>
      </c>
      <c r="BK33" s="13" t="n">
        <f aca="false">-Tax!BK27</f>
        <v>-18.5147999689501</v>
      </c>
      <c r="BL33" s="13" t="n">
        <f aca="false">-Tax!BL27</f>
        <v>-18.580211487675</v>
      </c>
      <c r="BM33" s="13" t="n">
        <f aca="false">-Tax!BM27</f>
        <v>-6.74814563135229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1919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-14.9072006025031</v>
      </c>
      <c r="P34" s="13" t="n">
        <f aca="false">-Operations!P96+Operations!P97</f>
        <v>0.0195043227863483</v>
      </c>
      <c r="Q34" s="13" t="n">
        <f aca="false">-Operations!Q96+Operations!Q97</f>
        <v>-0.306373269945631</v>
      </c>
      <c r="R34" s="13" t="n">
        <f aca="false">-Operations!R96+Operations!R97</f>
        <v>0.173493465841498</v>
      </c>
      <c r="S34" s="13" t="n">
        <f aca="false">-Operations!S96+Operations!S97</f>
        <v>-0.309198996165799</v>
      </c>
      <c r="T34" s="13" t="n">
        <f aca="false">-Operations!T96+Operations!T97</f>
        <v>0.176201266131699</v>
      </c>
      <c r="U34" s="13" t="n">
        <f aca="false">-Operations!U96+Operations!U97</f>
        <v>-0.236421319426473</v>
      </c>
      <c r="V34" s="13" t="n">
        <f aca="false">-Operations!V96+Operations!V97</f>
        <v>0.0920860587008168</v>
      </c>
      <c r="W34" s="13" t="n">
        <f aca="false">-Operations!W96+Operations!W97</f>
        <v>-0.318503220537524</v>
      </c>
      <c r="X34" s="13" t="n">
        <f aca="false">-Operations!X96+Operations!X97</f>
        <v>0.170962786563068</v>
      </c>
      <c r="Y34" s="13" t="n">
        <f aca="false">-Operations!Y96+Operations!Y97</f>
        <v>-0.327543097691812</v>
      </c>
      <c r="Z34" s="13" t="n">
        <f aca="false">-Operations!Z96+Operations!Z97</f>
        <v>0.167748477609814</v>
      </c>
      <c r="AA34" s="13" t="n">
        <f aca="false">-Operations!AA96+Operations!AA97</f>
        <v>-0.323702668684041</v>
      </c>
      <c r="AB34" s="13" t="n">
        <f aca="false">-Operations!AB96+Operations!AB97</f>
        <v>0.177279658391576</v>
      </c>
      <c r="AC34" s="13" t="n">
        <f aca="false">-Operations!AC96+Operations!AC97</f>
        <v>-0.254980171599126</v>
      </c>
      <c r="AD34" s="13" t="n">
        <f aca="false">-Operations!AD96+Operations!AD97</f>
        <v>0.433559633831393</v>
      </c>
      <c r="AE34" s="13" t="n">
        <f aca="false">-Operations!AE96+Operations!AE97</f>
        <v>-0.687476378913388</v>
      </c>
      <c r="AF34" s="13" t="n">
        <f aca="false">-Operations!AF96+Operations!AF97</f>
        <v>0.173951068375761</v>
      </c>
      <c r="AG34" s="13" t="n">
        <f aca="false">-Operations!AG96+Operations!AG97</f>
        <v>-0.347946958698302</v>
      </c>
      <c r="AH34" s="13" t="n">
        <f aca="false">-Operations!AH96+Operations!AH97</f>
        <v>0.16963858596797</v>
      </c>
      <c r="AI34" s="13" t="n">
        <f aca="false">-Operations!AI96+Operations!AI97</f>
        <v>-0.353304867684148</v>
      </c>
      <c r="AJ34" s="13" t="n">
        <f aca="false">-Operations!AJ96+Operations!AJ97</f>
        <v>0.170068330326714</v>
      </c>
      <c r="AK34" s="13" t="n">
        <f aca="false">-Operations!AK96+Operations!AK97</f>
        <v>-0.274358622145446</v>
      </c>
      <c r="AL34" s="13" t="n">
        <f aca="false">-Operations!AL96+Operations!AL97</f>
        <v>0.363268524250699</v>
      </c>
      <c r="AM34" s="13" t="n">
        <f aca="false">-Operations!AM96+Operations!AM97</f>
        <v>-0.64758827402019</v>
      </c>
      <c r="AN34" s="13" t="n">
        <f aca="false">-Operations!AN96+Operations!AN97</f>
        <v>0.167173179680713</v>
      </c>
      <c r="AO34" s="13" t="n">
        <f aca="false">-Operations!AO96+Operations!AO97</f>
        <v>-0.374500500229235</v>
      </c>
      <c r="AP34" s="13" t="n">
        <f aca="false">-Operations!AP96+Operations!AP97</f>
        <v>0.167579314444669</v>
      </c>
      <c r="AQ34" s="13" t="n">
        <f aca="false">-Operations!AQ96+Operations!AQ97</f>
        <v>-0.382561337086511</v>
      </c>
      <c r="AR34" s="13" t="n">
        <f aca="false">-Operations!AR96+Operations!AR97</f>
        <v>0.164622445571627</v>
      </c>
      <c r="AS34" s="13" t="n">
        <f aca="false">-Operations!AS96+Operations!AS97</f>
        <v>-0.298131979365202</v>
      </c>
      <c r="AT34" s="13" t="n">
        <f aca="false">-Operations!AT96+Operations!AT97</f>
        <v>0.225226826122562</v>
      </c>
      <c r="AU34" s="13" t="n">
        <f aca="false">-Operations!AU96+Operations!AU97</f>
        <v>-0.546286527680394</v>
      </c>
      <c r="AV34" s="13" t="n">
        <f aca="false">-Operations!AV96+Operations!AV97</f>
        <v>0.160491481233748</v>
      </c>
      <c r="AW34" s="13" t="n">
        <f aca="false">-Operations!AW96+Operations!AW97</f>
        <v>-0.408677902087479</v>
      </c>
      <c r="AX34" s="13" t="n">
        <f aca="false">-Operations!AX96+Operations!AX97</f>
        <v>0.158861875220573</v>
      </c>
      <c r="AY34" s="13" t="n">
        <f aca="false">-Operations!AY96+Operations!AY97</f>
        <v>-0.416763679816157</v>
      </c>
      <c r="AZ34" s="13" t="n">
        <f aca="false">-Operations!AZ96+Operations!AZ97</f>
        <v>0.161006619076957</v>
      </c>
      <c r="BA34" s="13" t="n">
        <f aca="false">-Operations!BA96+Operations!BA97</f>
        <v>-0.326992767827775</v>
      </c>
      <c r="BB34" s="13" t="n">
        <f aca="false">-Operations!BB96+Operations!BB97</f>
        <v>0.150005413049339</v>
      </c>
      <c r="BC34" s="13" t="n">
        <f aca="false">-Operations!BC96+Operations!BC97</f>
        <v>-0.518428257039446</v>
      </c>
      <c r="BD34" s="13" t="n">
        <f aca="false">-Operations!BD96+Operations!BD97</f>
        <v>0.14684662697633</v>
      </c>
      <c r="BE34" s="13" t="n">
        <f aca="false">-Operations!BE96+Operations!BE97</f>
        <v>-0.447669296995404</v>
      </c>
      <c r="BF34" s="13" t="n">
        <f aca="false">-Operations!BF96+Operations!BF97</f>
        <v>0.155359136948686</v>
      </c>
      <c r="BG34" s="13" t="n">
        <f aca="false">-Operations!BG96+Operations!BG97</f>
        <v>-0.455557617937934</v>
      </c>
      <c r="BH34" s="13" t="n">
        <f aca="false">-Operations!BH96+Operations!BH97</f>
        <v>0.160714739033089</v>
      </c>
      <c r="BI34" s="13" t="n">
        <f aca="false">-Operations!BI96+Operations!BI97</f>
        <v>-0.363834855163599</v>
      </c>
      <c r="BJ34" s="13" t="n">
        <f aca="false">-Operations!BJ96+Operations!BJ97</f>
        <v>0.291424093223895</v>
      </c>
      <c r="BK34" s="13" t="n">
        <f aca="false">-Operations!BK96+Operations!BK97</f>
        <v>-0.722008193750192</v>
      </c>
      <c r="BL34" s="13" t="n">
        <f aca="false">-Operations!BL96+Operations!BL97</f>
        <v>0.131164224534942</v>
      </c>
      <c r="BM34" s="13" t="n">
        <f aca="false">-Operations!BM96+Operations!BM97</f>
        <v>25.3777732090998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1920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1856</v>
      </c>
      <c r="E36" s="0" t="s">
        <v>151</v>
      </c>
      <c r="G36" s="13" t="n">
        <f aca="false">SUM(J36:BN36)</f>
        <v>2375.23749490874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1.96693079357017</v>
      </c>
      <c r="P36" s="13" t="n">
        <f aca="false">P32+P33+P34+P35</f>
        <v>50.2613181699607</v>
      </c>
      <c r="Q36" s="13" t="n">
        <f aca="false">Q32+Q33+Q34+Q35</f>
        <v>50.2005669651641</v>
      </c>
      <c r="R36" s="13" t="n">
        <f aca="false">R32+R33+R34+R35</f>
        <v>50.8826693326791</v>
      </c>
      <c r="S36" s="13" t="n">
        <f aca="false">S32+S33+S34+S35</f>
        <v>50.5151194705723</v>
      </c>
      <c r="T36" s="13" t="n">
        <f aca="false">T32+T33+T34+T35</f>
        <v>51.0760786057203</v>
      </c>
      <c r="U36" s="13" t="n">
        <f aca="false">U32+U33+U34+U35</f>
        <v>50.8669168176627</v>
      </c>
      <c r="V36" s="13" t="n">
        <f aca="false">V32+V33+V34+V35</f>
        <v>51.8610103929801</v>
      </c>
      <c r="W36" s="13" t="n">
        <f aca="false">W32+W33+W34+W35</f>
        <v>51.5638209095596</v>
      </c>
      <c r="X36" s="13" t="n">
        <f aca="false">X32+X33+X34+X35</f>
        <v>50.1698755126293</v>
      </c>
      <c r="Y36" s="13" t="n">
        <f aca="false">Y32+Y33+Y34+Y35</f>
        <v>49.732832294717</v>
      </c>
      <c r="Z36" s="13" t="n">
        <f aca="false">Z32+Z33+Z34+Z35</f>
        <v>50.178566144176</v>
      </c>
      <c r="AA36" s="13" t="n">
        <f aca="false">AA32+AA33+AA34+AA35</f>
        <v>49.8427369651562</v>
      </c>
      <c r="AB36" s="13" t="n">
        <f aca="false">AB32+AB33+AB34+AB35</f>
        <v>50.5325373406812</v>
      </c>
      <c r="AC36" s="13" t="n">
        <f aca="false">AC32+AC33+AC34+AC35</f>
        <v>50.4161231296168</v>
      </c>
      <c r="AD36" s="13" t="n">
        <f aca="false">AD32+AD33+AD34+AD35</f>
        <v>52.0811568152161</v>
      </c>
      <c r="AE36" s="13" t="n">
        <f aca="false">AE32+AE33+AE34+AE35</f>
        <v>52.4816840589226</v>
      </c>
      <c r="AF36" s="13" t="n">
        <f aca="false">AF32+AF33+AF34+AF35</f>
        <v>52.8002988331638</v>
      </c>
      <c r="AG36" s="13" t="n">
        <f aca="false">AG32+AG33+AG34+AG35</f>
        <v>52.5287653626779</v>
      </c>
      <c r="AH36" s="13" t="n">
        <f aca="false">AH32+AH33+AH34+AH35</f>
        <v>53.3529107961969</v>
      </c>
      <c r="AI36" s="13" t="n">
        <f aca="false">AI32+AI33+AI34+AI35</f>
        <v>52.9931542867936</v>
      </c>
      <c r="AJ36" s="13" t="n">
        <f aca="false">AJ32+AJ33+AJ34+AJ35</f>
        <v>53.6390856469102</v>
      </c>
      <c r="AK36" s="13" t="n">
        <f aca="false">AK32+AK33+AK34+AK35</f>
        <v>53.5205290871205</v>
      </c>
      <c r="AL36" s="13" t="n">
        <f aca="false">AL32+AL33+AL34+AL35</f>
        <v>53.9354887382185</v>
      </c>
      <c r="AM36" s="13" t="n">
        <f aca="false">AM32+AM33+AM34+AM35</f>
        <v>48.3823792148439</v>
      </c>
      <c r="AN36" s="13" t="n">
        <f aca="false">AN32+AN33+AN34+AN35</f>
        <v>43.3099289920823</v>
      </c>
      <c r="AO36" s="13" t="n">
        <f aca="false">AO32+AO33+AO34+AO35</f>
        <v>42.4908146488185</v>
      </c>
      <c r="AP36" s="13" t="n">
        <f aca="false">AP32+AP33+AP34+AP35</f>
        <v>42.9287921805194</v>
      </c>
      <c r="AQ36" s="13" t="n">
        <f aca="false">AQ32+AQ33+AQ34+AQ35</f>
        <v>42.5218707156227</v>
      </c>
      <c r="AR36" s="13" t="n">
        <f aca="false">AR32+AR33+AR34+AR35</f>
        <v>43.1865043955517</v>
      </c>
      <c r="AS36" s="13" t="n">
        <f aca="false">AS32+AS33+AS34+AS35</f>
        <v>42.9820722284609</v>
      </c>
      <c r="AT36" s="13" t="n">
        <f aca="false">AT32+AT33+AT34+AT35</f>
        <v>50.0008035602997</v>
      </c>
      <c r="AU36" s="13" t="n">
        <f aca="false">AU32+AU33+AU34+AU35</f>
        <v>45.5659911364857</v>
      </c>
      <c r="AV36" s="13" t="n">
        <f aca="false">AV32+AV33+AV34+AV35</f>
        <v>45.7851264059674</v>
      </c>
      <c r="AW36" s="13" t="n">
        <f aca="false">AW32+AW33+AW34+AW35</f>
        <v>45.3789800000648</v>
      </c>
      <c r="AX36" s="13" t="n">
        <f aca="false">AX32+AX33+AX34+AX35</f>
        <v>46.08147176294</v>
      </c>
      <c r="AY36" s="13" t="n">
        <f aca="false">AY32+AY33+AY34+AY35</f>
        <v>45.7203887237585</v>
      </c>
      <c r="AZ36" s="13" t="n">
        <f aca="false">AZ32+AZ33+AZ34+AZ35</f>
        <v>46.527943301452</v>
      </c>
      <c r="BA36" s="13" t="n">
        <f aca="false">BA32+BA33+BA34+BA35</f>
        <v>46.3249983033057</v>
      </c>
      <c r="BB36" s="13" t="n">
        <f aca="false">BB32+BB33+BB34+BB35</f>
        <v>48.5921590971659</v>
      </c>
      <c r="BC36" s="13" t="n">
        <f aca="false">BC32+BC33+BC34+BC35</f>
        <v>45.3166402806248</v>
      </c>
      <c r="BD36" s="13" t="n">
        <f aca="false">BD32+BD33+BD34+BD35</f>
        <v>39.4344262683719</v>
      </c>
      <c r="BE36" s="13" t="n">
        <f aca="false">BE32+BE33+BE34+BE35</f>
        <v>39.0789353792504</v>
      </c>
      <c r="BF36" s="13" t="n">
        <f aca="false">BF32+BF33+BF34+BF35</f>
        <v>39.9327303484242</v>
      </c>
      <c r="BG36" s="13" t="n">
        <f aca="false">BG32+BG33+BG34+BG35</f>
        <v>39.6060167547826</v>
      </c>
      <c r="BH36" s="13" t="n">
        <f aca="false">BH32+BH33+BH34+BH35</f>
        <v>40.5524888358097</v>
      </c>
      <c r="BI36" s="13" t="n">
        <f aca="false">BI32+BI33+BI34+BI35</f>
        <v>40.3265089421956</v>
      </c>
      <c r="BJ36" s="13" t="n">
        <f aca="false">BJ32+BJ33+BJ34+BJ35</f>
        <v>48.4902514383984</v>
      </c>
      <c r="BK36" s="13" t="n">
        <f aca="false">BK32+BK33+BK34+BK35</f>
        <v>43.3159916381665</v>
      </c>
      <c r="BL36" s="13" t="n">
        <f aca="false">BL32+BL33+BL34+BL35</f>
        <v>44.3217909334764</v>
      </c>
      <c r="BM36" s="13" t="n">
        <f aca="false">BM32+BM33+BM34+BM35</f>
        <v>41.6813129518327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1921</v>
      </c>
      <c r="E37" s="0" t="s">
        <v>151</v>
      </c>
      <c r="G37" s="13" t="n">
        <f aca="false">SUM(J37:BN37)</f>
        <v>-848.959963523502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-37.251257622229</v>
      </c>
      <c r="Q37" s="13" t="n">
        <f aca="false">-(Debt!Q114+Debt!Q110)</f>
        <v>-37.1623401329773</v>
      </c>
      <c r="R37" s="13" t="n">
        <f aca="false">-(Debt!R114+Debt!R110)</f>
        <v>-37.6301819319643</v>
      </c>
      <c r="S37" s="13" t="n">
        <f aca="false">-(Debt!S114+Debt!S110)</f>
        <v>-37.3386404128919</v>
      </c>
      <c r="T37" s="13" t="n">
        <f aca="false">-(Debt!T114+Debt!T110)</f>
        <v>-37.7566100968678</v>
      </c>
      <c r="U37" s="13" t="n">
        <f aca="false">-(Debt!U114+Debt!U110)</f>
        <v>-37.5760346234822</v>
      </c>
      <c r="V37" s="13" t="n">
        <f aca="false">-(Debt!V114+Debt!V110)</f>
        <v>-38.2933569474188</v>
      </c>
      <c r="W37" s="13" t="n">
        <f aca="false">-(Debt!W114+Debt!W110)</f>
        <v>-38.0285959393786</v>
      </c>
      <c r="X37" s="13" t="n">
        <f aca="false">-(Debt!X114+Debt!X110)</f>
        <v>-36.9320228761269</v>
      </c>
      <c r="Y37" s="13" t="n">
        <f aca="false">-(Debt!Y114+Debt!Y110)</f>
        <v>-36.5755791144381</v>
      </c>
      <c r="Z37" s="13" t="n">
        <f aca="false">-(Debt!Z114+Debt!Z110)</f>
        <v>-36.8765919238743</v>
      </c>
      <c r="AA37" s="13" t="n">
        <f aca="false">-(Debt!AA114+Debt!AA110)</f>
        <v>-36.5794437898221</v>
      </c>
      <c r="AB37" s="13" t="n">
        <f aca="false">-(Debt!AB114+Debt!AB110)</f>
        <v>-36.3390792521163</v>
      </c>
      <c r="AC37" s="13" t="n">
        <f aca="false">-(Debt!AC114+Debt!AC110)</f>
        <v>-35.3764783215845</v>
      </c>
      <c r="AD37" s="13" t="n">
        <f aca="false">-(Debt!AD114+Debt!AD110)</f>
        <v>-35.883268269232</v>
      </c>
      <c r="AE37" s="13" t="n">
        <f aca="false">-(Debt!AE114+Debt!AE110)</f>
        <v>-34.8863514346759</v>
      </c>
      <c r="AF37" s="13" t="n">
        <f aca="false">-(Debt!AF114+Debt!AF110)</f>
        <v>-33.7331422202681</v>
      </c>
      <c r="AG37" s="13" t="n">
        <f aca="false">-(Debt!AG114+Debt!AG110)</f>
        <v>-31.9410287738337</v>
      </c>
      <c r="AH37" s="13" t="n">
        <f aca="false">-(Debt!AH114+Debt!AH110)</f>
        <v>-30.5886708652492</v>
      </c>
      <c r="AI37" s="13" t="n">
        <f aca="false">-(Debt!AI114+Debt!AI110)</f>
        <v>-28.1462409680444</v>
      </c>
      <c r="AJ37" s="13" t="n">
        <f aca="false">-(Debt!AJ114+Debt!AJ110)</f>
        <v>-25.6888793352256</v>
      </c>
      <c r="AK37" s="13" t="n">
        <f aca="false">-(Debt!AK114+Debt!AK110)</f>
        <v>-23.0360802992411</v>
      </c>
      <c r="AL37" s="13" t="n">
        <f aca="false">-(Debt!AL114+Debt!AL110)</f>
        <v>-23.7193664418732</v>
      </c>
      <c r="AM37" s="13" t="n">
        <f aca="false">-(Debt!AM114+Debt!AM110)</f>
        <v>-23.5745067438091</v>
      </c>
      <c r="AN37" s="13" t="n">
        <f aca="false">-(Debt!AN114+Debt!AN110)</f>
        <v>-19.1362186066434</v>
      </c>
      <c r="AO37" s="13" t="n">
        <f aca="false">-(Debt!AO114+Debt!AO110)</f>
        <v>-18.9099965802341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1922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1923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1924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1925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1926</v>
      </c>
      <c r="E43" s="0" t="s">
        <v>151</v>
      </c>
      <c r="G43" s="13" t="n">
        <f aca="false">SUM(J43:BN43)</f>
        <v>-96.4241155617131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-6.41638788716743</v>
      </c>
      <c r="AB43" s="13" t="n">
        <f aca="false">-(Waterfall!AB28+Waterfall!AB29)</f>
        <v>-7.50365132464338</v>
      </c>
      <c r="AC43" s="13" t="n">
        <f aca="false">-(Waterfall!AC28+Waterfall!AC29)</f>
        <v>-7.24300724026038</v>
      </c>
      <c r="AD43" s="13" t="n">
        <f aca="false">-(Waterfall!AD28+Waterfall!AD29)</f>
        <v>-8.48963361678517</v>
      </c>
      <c r="AE43" s="13" t="n">
        <f aca="false">-(Waterfall!AE28+Waterfall!AE29)</f>
        <v>-9.27494087186686</v>
      </c>
      <c r="AF43" s="13" t="n">
        <f aca="false">-(Waterfall!AF28+Waterfall!AF29)</f>
        <v>-10.2947997119005</v>
      </c>
      <c r="AG43" s="13" t="n">
        <f aca="false">-(Waterfall!AG28+Waterfall!AG29)</f>
        <v>-10.8350994932643</v>
      </c>
      <c r="AH43" s="13" t="n">
        <f aca="false">-(Waterfall!AH28+Waterfall!AH29)</f>
        <v>-12.3622013038702</v>
      </c>
      <c r="AI43" s="13" t="n">
        <f aca="false">-(Waterfall!AI28+Waterfall!AI29)</f>
        <v>-13.3617587893215</v>
      </c>
      <c r="AJ43" s="13" t="n">
        <f aca="false">-(Waterfall!AJ28+Waterfall!AJ29)</f>
        <v>-10.6426353226334</v>
      </c>
      <c r="AK43" s="13" t="n">
        <f aca="false">-(Waterfall!AK28+Waterfall!AK29)</f>
        <v>-0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1927</v>
      </c>
      <c r="E44" s="0" t="s">
        <v>151</v>
      </c>
      <c r="G44" s="13" t="n">
        <f aca="false">SUM(J44:BN44)</f>
        <v>-385.254522994615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-15.0605466454198</v>
      </c>
      <c r="Q44" s="13" t="n">
        <f aca="false">-(Waterfall!Q34+Waterfall!Q35)</f>
        <v>-12.5703850331998</v>
      </c>
      <c r="R44" s="13" t="n">
        <f aca="false">-(Waterfall!R34+Waterfall!R35)</f>
        <v>-13.5440289197872</v>
      </c>
      <c r="S44" s="13" t="n">
        <f aca="false">-(Waterfall!S34+Waterfall!S35)</f>
        <v>-12.7585093737045</v>
      </c>
      <c r="T44" s="13" t="n">
        <f aca="false">-(Waterfall!T34+Waterfall!T35)</f>
        <v>-13.500043982238</v>
      </c>
      <c r="U44" s="13" t="n">
        <f aca="false">-(Waterfall!U34+Waterfall!U35)</f>
        <v>-12.5735598702439</v>
      </c>
      <c r="V44" s="13" t="n">
        <f aca="false">-(Waterfall!V34+Waterfall!V35)</f>
        <v>-13.8324144536015</v>
      </c>
      <c r="W44" s="13" t="n">
        <f aca="false">-(Waterfall!W34+Waterfall!W35)</f>
        <v>-14.6317980334328</v>
      </c>
      <c r="X44" s="13" t="n">
        <f aca="false">-(Waterfall!X34+Waterfall!X35)</f>
        <v>-13.5942963981912</v>
      </c>
      <c r="Y44" s="13" t="n">
        <f aca="false">-(Waterfall!Y34+Waterfall!Y35)</f>
        <v>-12.8562403708427</v>
      </c>
      <c r="Z44" s="13" t="n">
        <f aca="false">-(Waterfall!Z34+Waterfall!Z35)</f>
        <v>-13.5991223543539</v>
      </c>
      <c r="AA44" s="13" t="n">
        <f aca="false">-(Waterfall!AA34+Waterfall!AA35)</f>
        <v>-6.41638788716743</v>
      </c>
      <c r="AB44" s="13" t="n">
        <f aca="false">-(Waterfall!AB34+Waterfall!AB35)</f>
        <v>-7.50365132464338</v>
      </c>
      <c r="AC44" s="13" t="n">
        <f aca="false">-(Waterfall!AC34+Waterfall!AC35)</f>
        <v>-7.24300724026038</v>
      </c>
      <c r="AD44" s="13" t="n">
        <f aca="false">-(Waterfall!AD34+Waterfall!AD35)</f>
        <v>-8.48963361678517</v>
      </c>
      <c r="AE44" s="13" t="n">
        <f aca="false">-(Waterfall!AE34+Waterfall!AE35)</f>
        <v>-9.27494087186686</v>
      </c>
      <c r="AF44" s="13" t="n">
        <f aca="false">-(Waterfall!AF34+Waterfall!AF35)</f>
        <v>-10.2947997119005</v>
      </c>
      <c r="AG44" s="13" t="n">
        <f aca="false">-(Waterfall!AG34+Waterfall!AG35)</f>
        <v>-10.8350994932643</v>
      </c>
      <c r="AH44" s="13" t="n">
        <f aca="false">-(Waterfall!AH34+Waterfall!AH35)</f>
        <v>-12.3622013038702</v>
      </c>
      <c r="AI44" s="13" t="n">
        <f aca="false">-(Waterfall!AI34+Waterfall!AI35)</f>
        <v>-13.3617587893215</v>
      </c>
      <c r="AJ44" s="13" t="n">
        <f aca="false">-(Waterfall!AJ34+Waterfall!AJ35)</f>
        <v>-20.1437228710366</v>
      </c>
      <c r="AK44" s="13" t="n">
        <f aca="false">-(Waterfall!AK34+Waterfall!AK35)</f>
        <v>-32.5010774692826</v>
      </c>
      <c r="AL44" s="13" t="n">
        <f aca="false">-(Waterfall!AL34+Waterfall!AL35)</f>
        <v>-30.3609819944094</v>
      </c>
      <c r="AM44" s="13" t="n">
        <f aca="false">-(Waterfall!AM34+Waterfall!AM35)</f>
        <v>-29.2461606082006</v>
      </c>
      <c r="AN44" s="13" t="n">
        <f aca="false">-(Waterfall!AN34+Waterfall!AN35)</f>
        <v>-24.3999324118482</v>
      </c>
      <c r="AO44" s="13" t="n">
        <f aca="false">-(Waterfall!AO34+Waterfall!AO35)</f>
        <v>-14.3002219657427</v>
      </c>
      <c r="AP44" s="13" t="n">
        <f aca="false">-(Waterfall!AP34+Waterfall!AP35)</f>
        <v>-0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1890</v>
      </c>
      <c r="E45" s="0" t="s">
        <v>151</v>
      </c>
      <c r="G45" s="13" t="n">
        <f aca="false">SUM(J45:BN45)</f>
        <v>-1081.844788266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-28.1905926830758</v>
      </c>
      <c r="AP45" s="13" t="n">
        <f aca="false">-Waterfall!AP41</f>
        <v>-42.9287921805194</v>
      </c>
      <c r="AQ45" s="13" t="n">
        <f aca="false">-Waterfall!AQ41</f>
        <v>-42.5218707156227</v>
      </c>
      <c r="AR45" s="13" t="n">
        <f aca="false">-Waterfall!AR41</f>
        <v>-43.1865043955517</v>
      </c>
      <c r="AS45" s="13" t="n">
        <f aca="false">-Waterfall!AS41</f>
        <v>-42.9820722284609</v>
      </c>
      <c r="AT45" s="13" t="n">
        <f aca="false">-Waterfall!AT41</f>
        <v>-50.0008035602997</v>
      </c>
      <c r="AU45" s="13" t="n">
        <f aca="false">-Waterfall!AU41</f>
        <v>-45.5659911364857</v>
      </c>
      <c r="AV45" s="13" t="n">
        <f aca="false">-Waterfall!AV41</f>
        <v>-45.7851264059674</v>
      </c>
      <c r="AW45" s="13" t="n">
        <f aca="false">-Waterfall!AW41</f>
        <v>-45.3789800000648</v>
      </c>
      <c r="AX45" s="13" t="n">
        <f aca="false">-Waterfall!AX41</f>
        <v>-46.08147176294</v>
      </c>
      <c r="AY45" s="13" t="n">
        <f aca="false">-Waterfall!AY41</f>
        <v>-45.7203887237585</v>
      </c>
      <c r="AZ45" s="13" t="n">
        <f aca="false">-Waterfall!AZ41</f>
        <v>-46.527943301452</v>
      </c>
      <c r="BA45" s="13" t="n">
        <f aca="false">-Waterfall!BA41</f>
        <v>-45.830029916697</v>
      </c>
      <c r="BB45" s="13" t="n">
        <f aca="false">-Waterfall!BB41</f>
        <v>-47.0910088425215</v>
      </c>
      <c r="BC45" s="13" t="n">
        <f aca="false">-Waterfall!BC41</f>
        <v>-43.7990672072826</v>
      </c>
      <c r="BD45" s="13" t="n">
        <f aca="false">-Waterfall!BD41</f>
        <v>-37.9002507081253</v>
      </c>
      <c r="BE45" s="13" t="n">
        <f aca="false">-Waterfall!BE41</f>
        <v>-37.5279756982946</v>
      </c>
      <c r="BF45" s="13" t="n">
        <f aca="false">-Waterfall!BF41</f>
        <v>-38.3648029258522</v>
      </c>
      <c r="BG45" s="13" t="n">
        <f aca="false">-Waterfall!BG41</f>
        <v>-38.0209359608458</v>
      </c>
      <c r="BH45" s="13" t="n">
        <f aca="false">-Waterfall!BH41</f>
        <v>-38.9500670099411</v>
      </c>
      <c r="BI45" s="13" t="n">
        <f aca="false">-Waterfall!BI41</f>
        <v>-38.7065563707922</v>
      </c>
      <c r="BJ45" s="13" t="n">
        <f aca="false">-Waterfall!BJ41</f>
        <v>-46.8525763323607</v>
      </c>
      <c r="BK45" s="13" t="n">
        <f aca="false">-Waterfall!BK41</f>
        <v>-41.6604001101922</v>
      </c>
      <c r="BL45" s="13" t="n">
        <f aca="false">-Waterfall!BL41</f>
        <v>-42.6480869751059</v>
      </c>
      <c r="BM45" s="13" t="n">
        <f aca="false">-Waterfall!BM41</f>
        <v>-59.6224931137937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1928</v>
      </c>
      <c r="E46" s="0" t="s">
        <v>151</v>
      </c>
      <c r="G46" s="13" t="n">
        <f aca="false">SUM(J46:BN46)</f>
        <v>37.2458954370954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37.2458954370954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1929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1930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1931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39.2128262306655</v>
      </c>
      <c r="P49" s="13" t="n">
        <f aca="false">P36+P37+P38+P39+P40+P41+P42+P43+P44+P45+P46+P47+P48</f>
        <v>-1.63421779523337</v>
      </c>
      <c r="Q49" s="13" t="n">
        <f aca="false">Q36+Q37+Q38+Q39+Q40+Q41+Q42+Q43+Q44+Q45+Q46+Q47+Q48</f>
        <v>0.884110101441841</v>
      </c>
      <c r="R49" s="13" t="n">
        <f aca="false">R36+R37+R38+R39+R40+R41+R42+R43+R44+R45+R46+R47+R48</f>
        <v>0.124726783382464</v>
      </c>
      <c r="S49" s="13" t="n">
        <f aca="false">S36+S37+S38+S39+S40+S41+S42+S43+S44+S45+S46+S47+S48</f>
        <v>0.834237986430786</v>
      </c>
      <c r="T49" s="13" t="n">
        <f aca="false">T36+T37+T38+T39+T40+T41+T42+T43+T44+T45+T46+T47+T48</f>
        <v>0.235692829069251</v>
      </c>
      <c r="U49" s="13" t="n">
        <f aca="false">U36+U37+U38+U39+U40+U41+U42+U43+U44+U45+U46+U47+U48</f>
        <v>1.13359062639148</v>
      </c>
      <c r="V49" s="13" t="n">
        <f aca="false">V36+V37+V38+V39+V40+V41+V42+V43+V44+V45+V46+V47+V48</f>
        <v>-2.76237082276937</v>
      </c>
      <c r="W49" s="13" t="n">
        <f aca="false">W36+W37+W38+W39+W40+W41+W42+W43+W44+W45+W46+W47+W48</f>
        <v>-1.09657306325176</v>
      </c>
      <c r="X49" s="13" t="n">
        <f aca="false">X36+X37+X38+X39+X40+X41+X42+X43+X44+X45+X46+X47+X48</f>
        <v>1.61629878194472</v>
      </c>
      <c r="Y49" s="13" t="n">
        <f aca="false">Y36+Y37+Y38+Y39+Y40+Y41+Y42+Y43+Y44+Y45+Y46+Y47+Y48</f>
        <v>2.27375535306967</v>
      </c>
      <c r="Z49" s="13" t="n">
        <f aca="false">Z36+Z37+Z38+Z39+Z40+Z41+Z42+Z43+Z44+Z45+Z46+Z47+Z48</f>
        <v>1.67559440958125</v>
      </c>
      <c r="AA49" s="13" t="n">
        <f aca="false">AA36+AA37+AA38+AA39+AA40+AA41+AA42+AA43+AA44+AA45+AA46+AA47+AA48</f>
        <v>2.40325994463272</v>
      </c>
      <c r="AB49" s="13" t="n">
        <f aca="false">AB36+AB37+AB38+AB39+AB40+AB41+AB42+AB43+AB44+AB45+AB46+AB47+AB48</f>
        <v>1.15889798291164</v>
      </c>
      <c r="AC49" s="13" t="n">
        <f aca="false">AC36+AC37+AC38+AC39+AC40+AC41+AC42+AC43+AC44+AC45+AC46+AC47+AC48</f>
        <v>2.52637287114504</v>
      </c>
      <c r="AD49" s="13" t="n">
        <f aca="false">AD36+AD37+AD38+AD39+AD40+AD41+AD42+AD43+AD44+AD45+AD46+AD47+AD48</f>
        <v>-12.617833949387</v>
      </c>
      <c r="AE49" s="13" t="n">
        <f aca="false">AE36+AE37+AE38+AE39+AE40+AE41+AE42+AE43+AE44+AE45+AE46+AE47+AE48</f>
        <v>-0.954549119487083</v>
      </c>
      <c r="AF49" s="13" t="n">
        <f aca="false">AF36+AF37+AF38+AF39+AF40+AF41+AF42+AF43+AF44+AF45+AF46+AF47+AF48</f>
        <v>-1.02701485598945</v>
      </c>
      <c r="AG49" s="13" t="n">
        <f aca="false">AG36+AG37+AG38+AG39+AG40+AG41+AG42+AG43+AG44+AG45+AG46+AG47+AG48</f>
        <v>-0.587034442768446</v>
      </c>
      <c r="AH49" s="13" t="n">
        <f aca="false">AH36+AH37+AH38+AH39+AH40+AH41+AH42+AH43+AH44+AH45+AH46+AH47+AH48</f>
        <v>-1.46473472187664</v>
      </c>
      <c r="AI49" s="13" t="n">
        <f aca="false">AI36+AI37+AI38+AI39+AI40+AI41+AI42+AI43+AI44+AI45+AI46+AI47+AI48</f>
        <v>-1.38117630497783</v>
      </c>
      <c r="AJ49" s="13" t="n">
        <f aca="false">AJ36+AJ37+AJ38+AJ39+AJ40+AJ41+AJ42+AJ43+AJ44+AJ45+AJ46+AJ47+AJ48</f>
        <v>-2.34072392706936</v>
      </c>
      <c r="AK49" s="13" t="n">
        <f aca="false">AK36+AK37+AK38+AK39+AK40+AK41+AK42+AK43+AK44+AK45+AK46+AK47+AK48</f>
        <v>-1.52120072648741</v>
      </c>
      <c r="AL49" s="13" t="n">
        <f aca="false">AL36+AL37+AL38+AL39+AL40+AL41+AL42+AL43+AL44+AL45+AL46+AL47+AL48</f>
        <v>-3.11742742755957</v>
      </c>
      <c r="AM49" s="13" t="n">
        <f aca="false">AM36+AM37+AM38+AM39+AM40+AM41+AM42+AM43+AM44+AM45+AM46+AM47+AM48</f>
        <v>-4.43828813716575</v>
      </c>
      <c r="AN49" s="13" t="n">
        <f aca="false">AN36+AN37+AN38+AN39+AN40+AN41+AN42+AN43+AN44+AN45+AN46+AN47+AN48</f>
        <v>2.12166705907765</v>
      </c>
      <c r="AO49" s="13" t="n">
        <f aca="false">AO36+AO37+AO38+AO39+AO40+AO41+AO42+AO43+AO44+AO45+AO46+AO47+AO48</f>
        <v>-16.5621074947471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4.34533504206875</v>
      </c>
      <c r="BF49" s="13" t="n">
        <f aca="false">BF36+BF37+BF38+BF39+BF40+BF41+BF42+BF43+BF44+BF45+BF46+BF47+BF48</f>
        <v>4.362302783685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1932</v>
      </c>
      <c r="E50" s="0" t="s">
        <v>151</v>
      </c>
      <c r="G50" s="13" t="n">
        <f aca="false">SUM(J50:BN50)</f>
        <v>-37.2458954370954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0.00536218513367004</v>
      </c>
      <c r="P50" s="13" t="n">
        <f aca="false">Reserves!P11-Reserves!P10-Reserves!P12</f>
        <v>-0.0889174892517275</v>
      </c>
      <c r="Q50" s="13" t="n">
        <f aca="false">Reserves!Q11-Reserves!Q10-Reserves!Q12</f>
        <v>0.467841798986981</v>
      </c>
      <c r="R50" s="13" t="n">
        <f aca="false">Reserves!R11-Reserves!R10-Reserves!R12</f>
        <v>-0.291541519072396</v>
      </c>
      <c r="S50" s="13" t="n">
        <f aca="false">Reserves!S11-Reserves!S10-Reserves!S12</f>
        <v>0.417969683975926</v>
      </c>
      <c r="T50" s="13" t="n">
        <f aca="false">Reserves!T11-Reserves!T10-Reserves!T12</f>
        <v>-0.180575473385609</v>
      </c>
      <c r="U50" s="13" t="n">
        <f aca="false">Reserves!U11-Reserves!U10-Reserves!U12</f>
        <v>0.717322323936621</v>
      </c>
      <c r="V50" s="13" t="n">
        <f aca="false">Reserves!V11-Reserves!V10-Reserves!V12</f>
        <v>-0.26476100804021</v>
      </c>
      <c r="W50" s="13" t="n">
        <f aca="false">Reserves!W11-Reserves!W10-Reserves!W12</f>
        <v>-1.09657306325176</v>
      </c>
      <c r="X50" s="13" t="n">
        <f aca="false">Reserves!X11-Reserves!X10-Reserves!X12</f>
        <v>-0.356443761688745</v>
      </c>
      <c r="Y50" s="13" t="n">
        <f aca="false">Reserves!Y11-Reserves!Y10-Reserves!Y12</f>
        <v>0.301012809436209</v>
      </c>
      <c r="Z50" s="13" t="n">
        <f aca="false">Reserves!Z11-Reserves!Z10-Reserves!Z12</f>
        <v>-0.297148134052215</v>
      </c>
      <c r="AA50" s="13" t="n">
        <f aca="false">Reserves!AA11-Reserves!AA10-Reserves!AA12</f>
        <v>0.430517400999257</v>
      </c>
      <c r="AB50" s="13" t="n">
        <f aca="false">Reserves!AB11-Reserves!AB10-Reserves!AB12</f>
        <v>-0.813844560721819</v>
      </c>
      <c r="AC50" s="13" t="n">
        <f aca="false">Reserves!AC11-Reserves!AC10-Reserves!AC12</f>
        <v>0.553630327511584</v>
      </c>
      <c r="AD50" s="13" t="n">
        <f aca="false">Reserves!AD11-Reserves!AD10-Reserves!AD12</f>
        <v>-0.781378687586233</v>
      </c>
      <c r="AE50" s="13" t="n">
        <f aca="false">Reserves!AE11-Reserves!AE10-Reserves!AE12</f>
        <v>-0.954549119487083</v>
      </c>
      <c r="AF50" s="13" t="n">
        <f aca="false">Reserves!AF11-Reserves!AF10-Reserves!AF12</f>
        <v>-1.52244281090537</v>
      </c>
      <c r="AG50" s="13" t="n">
        <f aca="false">Reserves!AG11-Reserves!AG10-Reserves!AG12</f>
        <v>-1.08246239768436</v>
      </c>
      <c r="AH50" s="13" t="n">
        <f aca="false">Reserves!AH11-Reserves!AH10-Reserves!AH12</f>
        <v>-1.96016267679255</v>
      </c>
      <c r="AI50" s="13" t="n">
        <f aca="false">Reserves!AI11-Reserves!AI10-Reserves!AI12</f>
        <v>-1.87660425989375</v>
      </c>
      <c r="AJ50" s="13" t="n">
        <f aca="false">Reserves!AJ11-Reserves!AJ10-Reserves!AJ12</f>
        <v>-2.83615188198527</v>
      </c>
      <c r="AK50" s="13" t="n">
        <f aca="false">Reserves!AK11-Reserves!AK10-Reserves!AK12</f>
        <v>-2.01662868140333</v>
      </c>
      <c r="AL50" s="13" t="n">
        <f aca="false">Reserves!AL11-Reserves!AL10-Reserves!AL12</f>
        <v>-0.144859698064085</v>
      </c>
      <c r="AM50" s="13" t="n">
        <f aca="false">Reserves!AM11-Reserves!AM10-Reserves!AM12</f>
        <v>-4.43828813716575</v>
      </c>
      <c r="AN50" s="13" t="n">
        <f aca="false">Reserves!AN11-Reserves!AN10-Reserves!AN12</f>
        <v>-0.226222026409289</v>
      </c>
      <c r="AO50" s="13" t="n">
        <f aca="false">Reserves!AO11-Reserves!AO10-Reserves!AO12</f>
        <v>-18.9099965802341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1933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39.2128262306655</v>
      </c>
      <c r="P51" s="13" t="n">
        <f aca="false">P17-O17</f>
        <v>-1.63421779523337</v>
      </c>
      <c r="Q51" s="13" t="n">
        <f aca="false">Q17-P17</f>
        <v>0.884110101441841</v>
      </c>
      <c r="R51" s="13" t="n">
        <f aca="false">R17-Q17</f>
        <v>0.124726783382464</v>
      </c>
      <c r="S51" s="13" t="n">
        <f aca="false">S17-R17</f>
        <v>0.834237986430786</v>
      </c>
      <c r="T51" s="13" t="n">
        <f aca="false">T17-S17</f>
        <v>0.235692829069251</v>
      </c>
      <c r="U51" s="13" t="n">
        <f aca="false">U17-T17</f>
        <v>1.13359062639148</v>
      </c>
      <c r="V51" s="13" t="n">
        <f aca="false">V17-U17</f>
        <v>-2.76237082276937</v>
      </c>
      <c r="W51" s="13" t="n">
        <f aca="false">W17-V17</f>
        <v>-1.09657306325176</v>
      </c>
      <c r="X51" s="13" t="n">
        <f aca="false">X17-W17</f>
        <v>1.61629878194471</v>
      </c>
      <c r="Y51" s="13" t="n">
        <f aca="false">Y17-X17</f>
        <v>2.27375535306967</v>
      </c>
      <c r="Z51" s="13" t="n">
        <f aca="false">Z17-Y17</f>
        <v>1.67559440958125</v>
      </c>
      <c r="AA51" s="13" t="n">
        <f aca="false">AA17-Z17</f>
        <v>2.40325994463272</v>
      </c>
      <c r="AB51" s="13" t="n">
        <f aca="false">AB17-AA17</f>
        <v>1.15889798291164</v>
      </c>
      <c r="AC51" s="13" t="n">
        <f aca="false">AC17-AB17</f>
        <v>2.52637287114505</v>
      </c>
      <c r="AD51" s="13" t="n">
        <f aca="false">AD17-AC17</f>
        <v>-12.617833949387</v>
      </c>
      <c r="AE51" s="13" t="n">
        <f aca="false">AE17-AD17</f>
        <v>-0.954549119487083</v>
      </c>
      <c r="AF51" s="13" t="n">
        <f aca="false">AF17-AE17</f>
        <v>-1.02701485598946</v>
      </c>
      <c r="AG51" s="13" t="n">
        <f aca="false">AG17-AF17</f>
        <v>-0.587034442768442</v>
      </c>
      <c r="AH51" s="13" t="n">
        <f aca="false">AH17-AG17</f>
        <v>-1.46473472187664</v>
      </c>
      <c r="AI51" s="13" t="n">
        <f aca="false">AI17-AH17</f>
        <v>-1.38117630497783</v>
      </c>
      <c r="AJ51" s="13" t="n">
        <f aca="false">AJ17-AI17</f>
        <v>-2.34072392706936</v>
      </c>
      <c r="AK51" s="13" t="n">
        <f aca="false">AK17-AJ17</f>
        <v>-1.52120072648741</v>
      </c>
      <c r="AL51" s="13" t="n">
        <f aca="false">AL17-AK17</f>
        <v>-3.11742742755957</v>
      </c>
      <c r="AM51" s="13" t="n">
        <f aca="false">AM17-AL17</f>
        <v>-4.43828813716575</v>
      </c>
      <c r="AN51" s="13" t="n">
        <f aca="false">AN17-AM17</f>
        <v>2.12166705907765</v>
      </c>
      <c r="AO51" s="13" t="n">
        <f aca="false">AO17-AN17</f>
        <v>-16.5621074947471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1934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4.66293670342566E-015</v>
      </c>
      <c r="AH52" s="13" t="n">
        <f aca="false">AH51-AH49</f>
        <v>0</v>
      </c>
      <c r="AI52" s="13" t="n">
        <f aca="false">AI51-AI49</f>
        <v>0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1935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1936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0.0343567586748152</v>
      </c>
      <c r="Q7" s="16" t="n">
        <f aca="false">IF(Debt!Q115&gt;Inputs!$F$253,Debt!Q112/Debt!Q115,0)</f>
        <v>0.0340131321381385</v>
      </c>
      <c r="R7" s="16" t="n">
        <f aca="false">IF(Debt!R115&gt;Inputs!$F$253,Debt!R112/Debt!R115,0)</f>
        <v>0.0343815302998228</v>
      </c>
      <c r="S7" s="16" t="n">
        <f aca="false">IF(Debt!S115&gt;Inputs!$F$253,Debt!S112/Debt!S115,0)</f>
        <v>0.0340253160080471</v>
      </c>
      <c r="T7" s="16" t="n">
        <f aca="false">IF(Debt!T115&gt;Inputs!$F$253,Debt!T112/Debt!T115,0)</f>
        <v>0.0343939161123266</v>
      </c>
      <c r="U7" s="16" t="n">
        <f aca="false">IF(Debt!U115&gt;Inputs!$F$253,Debt!U112/Debt!U115,0)</f>
        <v>0.0341481827094736</v>
      </c>
      <c r="V7" s="16" t="n">
        <f aca="false">IF(Debt!V115&gt;Inputs!$F$253,Debt!V112/Debt!V115,0)</f>
        <v>0.0343939161123266</v>
      </c>
      <c r="W7" s="16" t="n">
        <f aca="false">IF(Debt!W115&gt;Inputs!$F$253,Debt!W112/Debt!W115,0)</f>
        <v>0.0340253160080471</v>
      </c>
      <c r="X7" s="16" t="n">
        <f aca="false">IF(Debt!X115&gt;Inputs!$F$253,Debt!X112/Debt!X115,0)</f>
        <v>0.0343939161123266</v>
      </c>
      <c r="Y7" s="16" t="n">
        <f aca="false">IF(Debt!Y115&gt;Inputs!$F$253,Debt!Y112/Debt!Y115,0)</f>
        <v>0.0350868169241895</v>
      </c>
      <c r="Z7" s="16" t="n">
        <f aca="false">IF(Debt!Z115&gt;Inputs!$F$253,Debt!Z112/Debt!Z115,0)</f>
        <v>0.0354730109663056</v>
      </c>
      <c r="AA7" s="16" t="n">
        <f aca="false">IF(Debt!AA115&gt;Inputs!$F$253,Debt!AA112/Debt!AA115,0)</f>
        <v>0.0350868169241895</v>
      </c>
      <c r="AB7" s="16" t="n">
        <f aca="false">IF(Debt!AB115&gt;Inputs!$F$253,Debt!AB112/Debt!AB115,0)</f>
        <v>0.0352552966699559</v>
      </c>
      <c r="AC7" s="16" t="n">
        <f aca="false">IF(Debt!AC115&gt;Inputs!$F$253,Debt!AC112/Debt!AC115,0)</f>
        <v>0.0347284951686323</v>
      </c>
      <c r="AD7" s="16" t="n">
        <f aca="false">IF(Debt!AD115&gt;Inputs!$F$253,Debt!AD112/Debt!AD115,0)</f>
        <v>0.0346766735638888</v>
      </c>
      <c r="AE7" s="16" t="n">
        <f aca="false">IF(Debt!AE115&gt;Inputs!$F$253,Debt!AE112/Debt!AE115,0)</f>
        <v>0.033930843964004</v>
      </c>
      <c r="AF7" s="16" t="n">
        <f aca="false">IF(Debt!AF115&gt;Inputs!$F$253,Debt!AF112/Debt!AF115,0)</f>
        <v>0.0337817396856826</v>
      </c>
      <c r="AG7" s="16" t="n">
        <f aca="false">IF(Debt!AG115&gt;Inputs!$F$253,Debt!AG112/Debt!AG115,0)</f>
        <v>0.0335739081661794</v>
      </c>
      <c r="AH7" s="16" t="n">
        <f aca="false">IF(Debt!AH115&gt;Inputs!$F$253,Debt!AH112/Debt!AH115,0)</f>
        <v>0.0329510862085161</v>
      </c>
      <c r="AI7" s="16" t="n">
        <f aca="false">IF(Debt!AI115&gt;Inputs!$F$253,Debt!AI112/Debt!AI115,0)</f>
        <v>0.0313053479212109</v>
      </c>
      <c r="AJ7" s="16" t="n">
        <f aca="false">IF(Debt!AJ115&gt;Inputs!$F$253,Debt!AJ112/Debt!AJ115,0)</f>
        <v>0.0295198714988075</v>
      </c>
      <c r="AK7" s="16" t="n">
        <f aca="false">IF(Debt!AK115&gt;Inputs!$F$253,Debt!AK112/Debt!AK115,0)</f>
        <v>0.0270594705423342</v>
      </c>
      <c r="AL7" s="16" t="n">
        <f aca="false">IF(Debt!AL115&gt;Inputs!$F$253,Debt!AL112/Debt!AL115,0)</f>
        <v>0.0271479388645167</v>
      </c>
      <c r="AM7" s="16" t="n">
        <f aca="false">IF(Debt!AM115&gt;Inputs!$F$253,Debt!AM112/Debt!AM115,0)</f>
        <v>0.027015236381243</v>
      </c>
      <c r="AN7" s="16" t="n">
        <f aca="false">IF(Debt!AN115&gt;Inputs!$F$253,Debt!AN112/Debt!AN115,0)</f>
        <v>0.0271479388645167</v>
      </c>
      <c r="AO7" s="16" t="n">
        <f aca="false">IF(Debt!AO115&gt;Inputs!$F$253,Debt!AO112/Debt!AO115,0)</f>
        <v>0.027015236381243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1937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1938</v>
      </c>
      <c r="E9" s="0" t="s">
        <v>101</v>
      </c>
      <c r="F9" s="16" t="n">
        <f aca="false">INDEX(Ratios!$J$7:$BN$7,1,Ratios!$F$8)</f>
        <v>0.027015236381243</v>
      </c>
    </row>
    <row r="10" customFormat="false" ht="15" hidden="false" customHeight="false" outlineLevel="0" collapsed="false">
      <c r="D10" s="0" t="s">
        <v>1939</v>
      </c>
      <c r="E10" s="0" t="s">
        <v>101</v>
      </c>
      <c r="J10" s="16" t="n">
        <f aca="false">IF(J7&gt;0,J7,$F$9)</f>
        <v>0.027015236381243</v>
      </c>
      <c r="K10" s="16" t="n">
        <f aca="false">IF(K7&gt;0,K7,$F$9)</f>
        <v>0.027015236381243</v>
      </c>
      <c r="L10" s="16" t="n">
        <f aca="false">IF(L7&gt;0,L7,$F$9)</f>
        <v>0.027015236381243</v>
      </c>
      <c r="M10" s="16" t="n">
        <f aca="false">IF(M7&gt;0,M7,$F$9)</f>
        <v>0.027015236381243</v>
      </c>
      <c r="N10" s="16" t="n">
        <f aca="false">IF(N7&gt;0,N7,$F$9)</f>
        <v>0.027015236381243</v>
      </c>
      <c r="O10" s="16" t="n">
        <f aca="false">IF(O7&gt;0,O7,$F$9)</f>
        <v>0.027015236381243</v>
      </c>
      <c r="P10" s="16" t="n">
        <f aca="false">IF(P7&gt;0,P7,$F$9)</f>
        <v>0.0343567586748152</v>
      </c>
      <c r="Q10" s="16" t="n">
        <f aca="false">IF(Q7&gt;0,Q7,$F$9)</f>
        <v>0.0340131321381385</v>
      </c>
      <c r="R10" s="16" t="n">
        <f aca="false">IF(R7&gt;0,R7,$F$9)</f>
        <v>0.0343815302998228</v>
      </c>
      <c r="S10" s="16" t="n">
        <f aca="false">IF(S7&gt;0,S7,$F$9)</f>
        <v>0.0340253160080471</v>
      </c>
      <c r="T10" s="16" t="n">
        <f aca="false">IF(T7&gt;0,T7,$F$9)</f>
        <v>0.0343939161123266</v>
      </c>
      <c r="U10" s="16" t="n">
        <f aca="false">IF(U7&gt;0,U7,$F$9)</f>
        <v>0.0341481827094736</v>
      </c>
      <c r="V10" s="16" t="n">
        <f aca="false">IF(V7&gt;0,V7,$F$9)</f>
        <v>0.0343939161123266</v>
      </c>
      <c r="W10" s="16" t="n">
        <f aca="false">IF(W7&gt;0,W7,$F$9)</f>
        <v>0.0340253160080471</v>
      </c>
      <c r="X10" s="16" t="n">
        <f aca="false">IF(X7&gt;0,X7,$F$9)</f>
        <v>0.0343939161123266</v>
      </c>
      <c r="Y10" s="16" t="n">
        <f aca="false">IF(Y7&gt;0,Y7,$F$9)</f>
        <v>0.0350868169241895</v>
      </c>
      <c r="Z10" s="16" t="n">
        <f aca="false">IF(Z7&gt;0,Z7,$F$9)</f>
        <v>0.0354730109663056</v>
      </c>
      <c r="AA10" s="16" t="n">
        <f aca="false">IF(AA7&gt;0,AA7,$F$9)</f>
        <v>0.0350868169241895</v>
      </c>
      <c r="AB10" s="16" t="n">
        <f aca="false">IF(AB7&gt;0,AB7,$F$9)</f>
        <v>0.0352552966699559</v>
      </c>
      <c r="AC10" s="16" t="n">
        <f aca="false">IF(AC7&gt;0,AC7,$F$9)</f>
        <v>0.0347284951686323</v>
      </c>
      <c r="AD10" s="16" t="n">
        <f aca="false">IF(AD7&gt;0,AD7,$F$9)</f>
        <v>0.0346766735638888</v>
      </c>
      <c r="AE10" s="16" t="n">
        <f aca="false">IF(AE7&gt;0,AE7,$F$9)</f>
        <v>0.033930843964004</v>
      </c>
      <c r="AF10" s="16" t="n">
        <f aca="false">IF(AF7&gt;0,AF7,$F$9)</f>
        <v>0.0337817396856826</v>
      </c>
      <c r="AG10" s="16" t="n">
        <f aca="false">IF(AG7&gt;0,AG7,$F$9)</f>
        <v>0.0335739081661794</v>
      </c>
      <c r="AH10" s="16" t="n">
        <f aca="false">IF(AH7&gt;0,AH7,$F$9)</f>
        <v>0.0329510862085161</v>
      </c>
      <c r="AI10" s="16" t="n">
        <f aca="false">IF(AI7&gt;0,AI7,$F$9)</f>
        <v>0.0313053479212109</v>
      </c>
      <c r="AJ10" s="16" t="n">
        <f aca="false">IF(AJ7&gt;0,AJ7,$F$9)</f>
        <v>0.0295198714988075</v>
      </c>
      <c r="AK10" s="16" t="n">
        <f aca="false">IF(AK7&gt;0,AK7,$F$9)</f>
        <v>0.0270594705423342</v>
      </c>
      <c r="AL10" s="16" t="n">
        <f aca="false">IF(AL7&gt;0,AL7,$F$9)</f>
        <v>0.0271479388645167</v>
      </c>
      <c r="AM10" s="16" t="n">
        <f aca="false">IF(AM7&gt;0,AM7,$F$9)</f>
        <v>0.027015236381243</v>
      </c>
      <c r="AN10" s="16" t="n">
        <f aca="false">IF(AN7&gt;0,AN7,$F$9)</f>
        <v>0.0271479388645167</v>
      </c>
      <c r="AO10" s="16" t="n">
        <f aca="false">IF(AO7&gt;0,AO7,$F$9)</f>
        <v>0.027015236381243</v>
      </c>
      <c r="AP10" s="16" t="n">
        <f aca="false">IF(AP7&gt;0,AP7,$F$9)</f>
        <v>0.027015236381243</v>
      </c>
      <c r="AQ10" s="16" t="n">
        <f aca="false">IF(AQ7&gt;0,AQ7,$F$9)</f>
        <v>0.027015236381243</v>
      </c>
      <c r="AR10" s="16" t="n">
        <f aca="false">IF(AR7&gt;0,AR7,$F$9)</f>
        <v>0.027015236381243</v>
      </c>
      <c r="AS10" s="16" t="n">
        <f aca="false">IF(AS7&gt;0,AS7,$F$9)</f>
        <v>0.027015236381243</v>
      </c>
      <c r="AT10" s="16" t="n">
        <f aca="false">IF(AT7&gt;0,AT7,$F$9)</f>
        <v>0.027015236381243</v>
      </c>
      <c r="AU10" s="16" t="n">
        <f aca="false">IF(AU7&gt;0,AU7,$F$9)</f>
        <v>0.027015236381243</v>
      </c>
      <c r="AV10" s="16" t="n">
        <f aca="false">IF(AV7&gt;0,AV7,$F$9)</f>
        <v>0.027015236381243</v>
      </c>
      <c r="AW10" s="16" t="n">
        <f aca="false">IF(AW7&gt;0,AW7,$F$9)</f>
        <v>0.027015236381243</v>
      </c>
      <c r="AX10" s="16" t="n">
        <f aca="false">IF(AX7&gt;0,AX7,$F$9)</f>
        <v>0.027015236381243</v>
      </c>
      <c r="AY10" s="16" t="n">
        <f aca="false">IF(AY7&gt;0,AY7,$F$9)</f>
        <v>0.027015236381243</v>
      </c>
      <c r="AZ10" s="16" t="n">
        <f aca="false">IF(AZ7&gt;0,AZ7,$F$9)</f>
        <v>0.027015236381243</v>
      </c>
      <c r="BA10" s="16" t="n">
        <f aca="false">IF(BA7&gt;0,BA7,$F$9)</f>
        <v>0.027015236381243</v>
      </c>
      <c r="BB10" s="16" t="n">
        <f aca="false">IF(BB7&gt;0,BB7,$F$9)</f>
        <v>0.027015236381243</v>
      </c>
      <c r="BC10" s="16" t="n">
        <f aca="false">IF(BC7&gt;0,BC7,$F$9)</f>
        <v>0.027015236381243</v>
      </c>
      <c r="BD10" s="16" t="n">
        <f aca="false">IF(BD7&gt;0,BD7,$F$9)</f>
        <v>0.027015236381243</v>
      </c>
      <c r="BE10" s="16" t="n">
        <f aca="false">IF(BE7&gt;0,BE7,$F$9)</f>
        <v>0.027015236381243</v>
      </c>
      <c r="BF10" s="16" t="n">
        <f aca="false">IF(BF7&gt;0,BF7,$F$9)</f>
        <v>0.027015236381243</v>
      </c>
      <c r="BG10" s="16" t="n">
        <f aca="false">IF(BG7&gt;0,BG7,$F$9)</f>
        <v>0.027015236381243</v>
      </c>
      <c r="BH10" s="16" t="n">
        <f aca="false">IF(BH7&gt;0,BH7,$F$9)</f>
        <v>0.027015236381243</v>
      </c>
      <c r="BI10" s="16" t="n">
        <f aca="false">IF(BI7&gt;0,BI7,$F$9)</f>
        <v>0.027015236381243</v>
      </c>
      <c r="BJ10" s="16" t="n">
        <f aca="false">IF(BJ7&gt;0,BJ7,$F$9)</f>
        <v>0.027015236381243</v>
      </c>
      <c r="BK10" s="16" t="n">
        <f aca="false">IF(BK7&gt;0,BK7,$F$9)</f>
        <v>0.027015236381243</v>
      </c>
      <c r="BL10" s="16" t="n">
        <f aca="false">IF(BL7&gt;0,BL7,$F$9)</f>
        <v>0.027015236381243</v>
      </c>
      <c r="BM10" s="16" t="n">
        <f aca="false">IF(BM7&gt;0,BM7,$F$9)</f>
        <v>0.027015236381243</v>
      </c>
      <c r="BN10" s="16" t="n">
        <f aca="false">IF(BN7&gt;0,BN7,$F$9)</f>
        <v>0.027015236381243</v>
      </c>
    </row>
    <row r="11" customFormat="false" ht="15" hidden="false" customHeight="false" outlineLevel="0" collapsed="false">
      <c r="D11" s="0" t="s">
        <v>1940</v>
      </c>
      <c r="E11" s="0" t="s">
        <v>151</v>
      </c>
      <c r="J11" s="13" t="n">
        <f aca="false">IF(Time!J20&lt;=$F$8,(Waterfall!J7+K11)/(1+J10),0)</f>
        <v>741.128350693766</v>
      </c>
      <c r="K11" s="13" t="n">
        <f aca="false">IF(Time!K20&lt;=$F$8,(Waterfall!K7+L11)/(1+K10),0)</f>
        <v>761.150108276598</v>
      </c>
      <c r="L11" s="13" t="n">
        <f aca="false">IF(Time!L20&lt;=$F$8,(Waterfall!L7+M11)/(1+L10),0)</f>
        <v>781.712758373299</v>
      </c>
      <c r="M11" s="13" t="n">
        <f aca="false">IF(Time!M20&lt;=$F$8,(Waterfall!M7+N11)/(1+M10),0)</f>
        <v>802.830913322988</v>
      </c>
      <c r="N11" s="13" t="n">
        <f aca="false">IF(Time!N20&lt;=$F$8,(Waterfall!N7+O11)/(1+N10),0)</f>
        <v>824.519580220577</v>
      </c>
      <c r="O11" s="13" t="n">
        <f aca="false">IF(Time!O20&lt;=$F$8,(Waterfall!O7+P11)/(1+O10),0)</f>
        <v>846.7941715812</v>
      </c>
      <c r="P11" s="13" t="n">
        <f aca="false">IF(Time!P20&lt;=$F$8,(Waterfall!P7+Q11)/(1+P10),0)</f>
        <v>867.703585499154</v>
      </c>
      <c r="Q11" s="13" t="n">
        <f aca="false">IF(Time!Q20&lt;=$F$8,(Waterfall!Q7+R11)/(1+Q10),0)</f>
        <v>847.25375001746</v>
      </c>
      <c r="R11" s="13" t="n">
        <f aca="false">IF(Time!R20&lt;=$F$8,(Waterfall!R7+S11)/(1+R10),0)</f>
        <v>825.870936806173</v>
      </c>
      <c r="S11" s="13" t="n">
        <f aca="false">IF(Time!S20&lt;=$F$8,(Waterfall!S7+T11)/(1+S10),0)</f>
        <v>803.382974111039</v>
      </c>
      <c r="T11" s="13" t="n">
        <f aca="false">IF(Time!T20&lt;=$F$8,(Waterfall!T7+U11)/(1+T10),0)</f>
        <v>780.203214210079</v>
      </c>
      <c r="U11" s="13" t="n">
        <f aca="false">IF(Time!U20&lt;=$F$8,(Waterfall!U7+V11)/(1+U10),0)</f>
        <v>755.961379504468</v>
      </c>
      <c r="V11" s="13" t="n">
        <f aca="false">IF(Time!V20&lt;=$F$8,(Waterfall!V7+W11)/(1+V10),0)</f>
        <v>730.909169995429</v>
      </c>
      <c r="W11" s="13" t="n">
        <f aca="false">IF(Time!W20&lt;=$F$8,(Waterfall!W7+X11)/(1+W10),0)</f>
        <v>704.186988281002</v>
      </c>
      <c r="X11" s="13" t="n">
        <f aca="false">IF(Time!X20&lt;=$F$8,(Waterfall!X7+Y11)/(1+X10),0)</f>
        <v>676.583352176459</v>
      </c>
      <c r="Y11" s="13" t="n">
        <f aca="false">IF(Time!Y20&lt;=$F$8,(Waterfall!Y7+Z11)/(1+Y10),0)</f>
        <v>649.683827721583</v>
      </c>
      <c r="Z11" s="13" t="n">
        <f aca="false">IF(Time!Z20&lt;=$F$8,(Waterfall!Z7+AA11)/(1+Z10),0)</f>
        <v>622.74633294874</v>
      </c>
      <c r="AA11" s="13" t="n">
        <f aca="false">IF(Time!AA20&lt;=$F$8,(Waterfall!AA7+AB11)/(1+AA10),0)</f>
        <v>594.658454302481</v>
      </c>
      <c r="AB11" s="13" t="n">
        <f aca="false">IF(Time!AB20&lt;=$F$8,(Waterfall!AB7+AC11)/(1+AB10),0)</f>
        <v>565.680389655858</v>
      </c>
      <c r="AC11" s="13" t="n">
        <f aca="false">IF(Time!AC20&lt;=$F$8,(Waterfall!AC7+AD11)/(1+AC10),0)</f>
        <v>535.09108227287</v>
      </c>
      <c r="AD11" s="13" t="n">
        <f aca="false">IF(Time!AD20&lt;=$F$8,(Waterfall!AD7+AE11)/(1+AD10),0)</f>
        <v>503.257867208745</v>
      </c>
      <c r="AE11" s="13" t="n">
        <f aca="false">IF(Time!AE20&lt;=$F$8,(Waterfall!AE7+AF11)/(1+AE10),0)</f>
        <v>468.628019173185</v>
      </c>
      <c r="AF11" s="13" t="n">
        <f aca="false">IF(Time!AF20&lt;=$F$8,(Waterfall!AF7+AG11)/(1+AF10),0)</f>
        <v>432.047279309988</v>
      </c>
      <c r="AG11" s="13" t="n">
        <f aca="false">IF(Time!AG20&lt;=$F$8,(Waterfall!AG7+AH11)/(1+AG10),0)</f>
        <v>393.842289198382</v>
      </c>
      <c r="AH11" s="13" t="n">
        <f aca="false">IF(Time!AH20&lt;=$F$8,(Waterfall!AH7+AI11)/(1+AH10),0)</f>
        <v>354.536348685208</v>
      </c>
      <c r="AI11" s="13" t="n">
        <f aca="false">IF(Time!AI20&lt;=$F$8,(Waterfall!AI7+AJ11)/(1+AI10),0)</f>
        <v>312.86579567859</v>
      </c>
      <c r="AJ11" s="13" t="n">
        <f aca="false">IF(Time!AJ20&lt;=$F$8,(Waterfall!AJ7+AK11)/(1+AJ10),0)</f>
        <v>269.667013978161</v>
      </c>
      <c r="AK11" s="13" t="n">
        <f aca="false">IF(Time!AK20&lt;=$F$8,(Waterfall!AK7+AL11)/(1+AK10),0)</f>
        <v>223.988463931353</v>
      </c>
      <c r="AL11" s="13" t="n">
        <f aca="false">IF(Time!AL20&lt;=$F$8,(Waterfall!AL7+AM11)/(1+AL10),0)</f>
        <v>176.528944085806</v>
      </c>
      <c r="AM11" s="13" t="n">
        <f aca="false">IF(Time!AM20&lt;=$F$8,(Waterfall!AM7+AN11)/(1+AM10),0)</f>
        <v>127.385852329447</v>
      </c>
      <c r="AN11" s="13" t="n">
        <f aca="false">IF(Time!AN20&lt;=$F$8,(Waterfall!AN7+AO11)/(1+AN10),0)</f>
        <v>82.4448320269088</v>
      </c>
      <c r="AO11" s="13" t="n">
        <f aca="false">IF(Time!AO20&lt;=$F$8,(Waterfall!AO7+AP11)/(1+AO10),0)</f>
        <v>41.3731102943884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1941</v>
      </c>
      <c r="E12" s="0" t="s">
        <v>151</v>
      </c>
      <c r="J12" s="13" t="n">
        <f aca="false">IF(Time!J20&lt;=Time!$F$15,(Waterfall!J7+K12)/(1+J10),0)</f>
        <v>1026.05888273574</v>
      </c>
      <c r="K12" s="13" t="n">
        <f aca="false">IF(Time!K20&lt;=Time!$F$15,(Waterfall!K7+L12)/(1+K10),0)</f>
        <v>1053.77810599392</v>
      </c>
      <c r="L12" s="13" t="n">
        <f aca="false">IF(Time!L20&lt;=Time!$F$15,(Waterfall!L7+M12)/(1+L10),0)</f>
        <v>1082.24617062073</v>
      </c>
      <c r="M12" s="13" t="n">
        <f aca="false">IF(Time!M20&lt;=Time!$F$15,(Waterfall!M7+N12)/(1+M10),0)</f>
        <v>1111.48330674274</v>
      </c>
      <c r="N12" s="13" t="n">
        <f aca="false">IF(Time!N20&lt;=Time!$F$15,(Waterfall!N7+O12)/(1+N10),0)</f>
        <v>1141.5102910082</v>
      </c>
      <c r="O12" s="13" t="n">
        <f aca="false">IF(Time!O20&lt;=Time!$F$15,(Waterfall!O7+P12)/(1+O10),0)</f>
        <v>1172.34846135141</v>
      </c>
      <c r="P12" s="13" t="n">
        <f aca="false">IF(Time!P20&lt;=Time!$F$15,(Waterfall!P7+Q12)/(1+P10),0)</f>
        <v>1202.05280136244</v>
      </c>
      <c r="Q12" s="13" t="n">
        <f aca="false">IF(Time!Q20&lt;=Time!$F$15,(Waterfall!Q7+R12)/(1+Q10),0)</f>
        <v>1193.09012120327</v>
      </c>
      <c r="R12" s="13" t="n">
        <f aca="false">IF(Time!R20&lt;=Time!$F$15,(Waterfall!R7+S12)/(1+R10),0)</f>
        <v>1183.4702861833</v>
      </c>
      <c r="S12" s="13" t="n">
        <f aca="false">IF(Time!S20&lt;=Time!$F$15,(Waterfall!S7+T12)/(1+S10),0)</f>
        <v>1173.27713635397</v>
      </c>
      <c r="T12" s="13" t="n">
        <f aca="false">IF(Time!T20&lt;=Time!$F$15,(Waterfall!T7+U12)/(1+T10),0)</f>
        <v>1162.68314221286</v>
      </c>
      <c r="U12" s="13" t="n">
        <f aca="false">IF(Time!U20&lt;=Time!$F$15,(Waterfall!U7+V12)/(1+U10),0)</f>
        <v>1151.59629006563</v>
      </c>
      <c r="V12" s="13" t="n">
        <f aca="false">IF(Time!V20&lt;=Time!$F$15,(Waterfall!V7+W12)/(1+V10),0)</f>
        <v>1140.05429376868</v>
      </c>
      <c r="W12" s="13" t="n">
        <f aca="false">IF(Time!W20&lt;=Time!$F$15,(Waterfall!W7+X12)/(1+W10),0)</f>
        <v>1127.40421511907</v>
      </c>
      <c r="X12" s="13" t="n">
        <f aca="false">IF(Time!X20&lt;=Time!$F$15,(Waterfall!X7+Y12)/(1+X10),0)</f>
        <v>1114.20067889774</v>
      </c>
      <c r="Y12" s="13" t="n">
        <f aca="false">IF(Time!Y20&lt;=Time!$F$15,(Waterfall!Y7+Z12)/(1+Y10),0)</f>
        <v>1102.35252806742</v>
      </c>
      <c r="Z12" s="13" t="n">
        <f aca="false">IF(Time!Z20&lt;=Time!$F$15,(Waterfall!Z7+AA12)/(1+Z10),0)</f>
        <v>1091.29773711092</v>
      </c>
      <c r="AA12" s="13" t="n">
        <f aca="false">IF(Time!AA20&lt;=Time!$F$15,(Waterfall!AA7+AB12)/(1+AA10),0)</f>
        <v>1079.83078756279</v>
      </c>
      <c r="AB12" s="13" t="n">
        <f aca="false">IF(Time!AB20&lt;=Time!$F$15,(Waterfall!AB7+AC12)/(1+AB10),0)</f>
        <v>1067.87587574995</v>
      </c>
      <c r="AC12" s="13" t="n">
        <f aca="false">IF(Time!AC20&lt;=Time!$F$15,(Waterfall!AC7+AD12)/(1+AC10),0)</f>
        <v>1054.99161921552</v>
      </c>
      <c r="AD12" s="13" t="n">
        <f aca="false">IF(Time!AD20&lt;=Time!$F$15,(Waterfall!AD7+AE12)/(1+AD10),0)</f>
        <v>1041.21376743678</v>
      </c>
      <c r="AE12" s="13" t="n">
        <f aca="false">IF(Time!AE20&lt;=Time!$F$15,(Waterfall!AE7+AF12)/(1+AE10),0)</f>
        <v>1025.2384405452</v>
      </c>
      <c r="AF12" s="13" t="n">
        <f aca="false">IF(Time!AF20&lt;=Time!$F$15,(Waterfall!AF7+AG12)/(1+AF10),0)</f>
        <v>1007.54396203831</v>
      </c>
      <c r="AG12" s="13" t="n">
        <f aca="false">IF(Time!AG20&lt;=Time!$F$15,(Waterfall!AG7+AH12)/(1+AG10),0)</f>
        <v>988.780251052606</v>
      </c>
      <c r="AH12" s="13" t="n">
        <f aca="false">IF(Time!AH20&lt;=Time!$F$15,(Waterfall!AH7+AI12)/(1+AH10),0)</f>
        <v>969.4487030353</v>
      </c>
      <c r="AI12" s="13" t="n">
        <f aca="false">IF(Time!AI20&lt;=Time!$F$15,(Waterfall!AI7+AJ12)/(1+AI10),0)</f>
        <v>948.040180027554</v>
      </c>
      <c r="AJ12" s="13" t="n">
        <f aca="false">IF(Time!AJ20&lt;=Time!$F$15,(Waterfall!AJ7+AK12)/(1+AJ10),0)</f>
        <v>924.72575341981</v>
      </c>
      <c r="AK12" s="13" t="n">
        <f aca="false">IF(Time!AK20&lt;=Time!$F$15,(Waterfall!AK7+AL12)/(1+AK10),0)</f>
        <v>898.384453185491</v>
      </c>
      <c r="AL12" s="13" t="n">
        <f aca="false">IF(Time!AL20&lt;=Time!$F$15,(Waterfall!AL7+AM12)/(1+AL10),0)</f>
        <v>869.173731745034</v>
      </c>
      <c r="AM12" s="13" t="n">
        <f aca="false">IF(Time!AM20&lt;=Time!$F$15,(Waterfall!AM7+AN12)/(1+AM10),0)</f>
        <v>838.834518338874</v>
      </c>
      <c r="AN12" s="13" t="n">
        <f aca="false">IF(Time!AN20&lt;=Time!$F$15,(Waterfall!AN7+AO12)/(1+AN10),0)</f>
        <v>813.1134519217</v>
      </c>
      <c r="AO12" s="13" t="n">
        <f aca="false">IF(Time!AO20&lt;=Time!$F$15,(Waterfall!AO7+AP12)/(1+AO10),0)</f>
        <v>791.877877212305</v>
      </c>
      <c r="AP12" s="13" t="n">
        <f aca="false">IF(Time!AP20&lt;=Time!$F$15,(Waterfall!AP7+AQ12)/(1+AP10),0)</f>
        <v>770.779830601453</v>
      </c>
      <c r="AQ12" s="13" t="n">
        <f aca="false">IF(Time!AQ20&lt;=Time!$F$15,(Waterfall!AQ7+AR12)/(1+AQ10),0)</f>
        <v>748.673837742527</v>
      </c>
      <c r="AR12" s="13" t="n">
        <f aca="false">IF(Time!AR20&lt;=Time!$F$15,(Waterfall!AR7+AS12)/(1+AR10),0)</f>
        <v>726.377567725971</v>
      </c>
      <c r="AS12" s="13" t="n">
        <f aca="false">IF(Time!AS20&lt;=Time!$F$15,(Waterfall!AS7+AT12)/(1+AS10),0)</f>
        <v>702.814325024569</v>
      </c>
      <c r="AT12" s="13" t="n">
        <f aca="false">IF(Time!AT20&lt;=Time!$F$15,(Waterfall!AT7+AU12)/(1+AT10),0)</f>
        <v>678.81894791877</v>
      </c>
      <c r="AU12" s="13" t="n">
        <f aca="false">IF(Time!AU20&lt;=Time!$F$15,(Waterfall!AU7+AV12)/(1+AU10),0)</f>
        <v>647.156598696563</v>
      </c>
      <c r="AV12" s="13" t="n">
        <f aca="false">IF(Time!AV20&lt;=Time!$F$15,(Waterfall!AV7+AW12)/(1+AV10),0)</f>
        <v>619.073696049546</v>
      </c>
      <c r="AW12" s="13" t="n">
        <f aca="false">IF(Time!AW20&lt;=Time!$F$15,(Waterfall!AW7+AX12)/(1+AW10),0)</f>
        <v>590.012991879767</v>
      </c>
      <c r="AX12" s="13" t="n">
        <f aca="false">IF(Time!AX20&lt;=Time!$F$15,(Waterfall!AX7+AY12)/(1+AX10),0)</f>
        <v>560.573352323338</v>
      </c>
      <c r="AY12" s="13" t="n">
        <f aca="false">IF(Time!AY20&lt;=Time!$F$15,(Waterfall!AY7+AZ12)/(1+AY10),0)</f>
        <v>529.635902182439</v>
      </c>
      <c r="AZ12" s="13" t="n">
        <f aca="false">IF(Time!AZ20&lt;=Time!$F$15,(Waterfall!AZ7+BA12)/(1+AZ10),0)</f>
        <v>498.223752552132</v>
      </c>
      <c r="BA12" s="13" t="n">
        <f aca="false">IF(Time!BA20&lt;=Time!$F$15,(Waterfall!BA7+BB12)/(1+BA10),0)</f>
        <v>465.155441696626</v>
      </c>
      <c r="BB12" s="13" t="n">
        <f aca="false">IF(Time!BB20&lt;=Time!$F$15,(Waterfall!BB7+BC12)/(1+BB10),0)</f>
        <v>431.396727604776</v>
      </c>
      <c r="BC12" s="13" t="n">
        <f aca="false">IF(Time!BC20&lt;=Time!$F$15,(Waterfall!BC7+BD12)/(1+BC10),0)</f>
        <v>394.458853077948</v>
      </c>
      <c r="BD12" s="13" t="n">
        <f aca="false">IF(Time!BD20&lt;=Time!$F$15,(Waterfall!BD7+BE12)/(1+BD10),0)</f>
        <v>359.798611955898</v>
      </c>
      <c r="BE12" s="13" t="n">
        <f aca="false">IF(Time!BE20&lt;=Time!$F$15,(Waterfall!BE7+BF12)/(1+BE10),0)</f>
        <v>330.084230239158</v>
      </c>
      <c r="BF12" s="13" t="n">
        <f aca="false">IF(Time!BF20&lt;=Time!$F$15,(Waterfall!BF7+BG12)/(1+BF10),0)</f>
        <v>299.922598365539</v>
      </c>
      <c r="BG12" s="13" t="n">
        <f aca="false">IF(Time!BG20&lt;=Time!$F$15,(Waterfall!BG7+BH12)/(1+BG10),0)</f>
        <v>268.092347908036</v>
      </c>
      <c r="BH12" s="13" t="n">
        <f aca="false">IF(Time!BH20&lt;=Time!$F$15,(Waterfall!BH7+BI12)/(1+BH10),0)</f>
        <v>235.728909303992</v>
      </c>
      <c r="BI12" s="13" t="n">
        <f aca="false">IF(Time!BI20&lt;=Time!$F$15,(Waterfall!BI7+BJ12)/(1+BI10),0)</f>
        <v>201.544692674922</v>
      </c>
      <c r="BJ12" s="13" t="n">
        <f aca="false">IF(Time!BJ20&lt;=Time!$F$15,(Waterfall!BJ7+BK12)/(1+BJ10),0)</f>
        <v>166.662961246724</v>
      </c>
      <c r="BK12" s="13" t="n">
        <f aca="false">IF(Time!BK20&lt;=Time!$F$15,(Waterfall!BK7+BL12)/(1+BK10),0)</f>
        <v>122.675149102404</v>
      </c>
      <c r="BL12" s="13" t="n">
        <f aca="false">IF(Time!BL20&lt;=Time!$F$15,(Waterfall!BL7+BM12)/(1+BL10),0)</f>
        <v>82.6732556153432</v>
      </c>
      <c r="BM12" s="13" t="n">
        <f aca="false">IF(Time!BM20&lt;=Time!$F$15,(Waterfall!BM7+BN12)/(1+BM10),0)</f>
        <v>40.5849022247222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1.42886187100565</v>
      </c>
      <c r="Q13" s="3" t="n">
        <f aca="false">IF(Debt!Q115&gt;Inputs!$F$253,(Q11+Reserves!Q9)/Debt!Q115,0)</f>
        <v>1.4314463802769</v>
      </c>
      <c r="R13" s="3" t="n">
        <f aca="false">IF(Debt!R115&gt;Inputs!$F$253,(R11+Reserves!R9)/Debt!R115,0)</f>
        <v>1.43510129603341</v>
      </c>
      <c r="S13" s="3" t="n">
        <f aca="false">IF(Debt!S115&gt;Inputs!$F$253,(S11+Reserves!S9)/Debt!S115,0)</f>
        <v>1.43772653526528</v>
      </c>
      <c r="T13" s="3" t="n">
        <f aca="false">IF(Debt!T115&gt;Inputs!$F$253,(T11+Reserves!T9)/Debt!T115,0)</f>
        <v>1.44180741251103</v>
      </c>
      <c r="U13" s="3" t="n">
        <f aca="false">IF(Debt!U115&gt;Inputs!$F$253,(U11+Reserves!U9)/Debt!U115,0)</f>
        <v>1.44523594527403</v>
      </c>
      <c r="V13" s="3" t="n">
        <f aca="false">IF(Debt!V115&gt;Inputs!$F$253,(V11+Reserves!V9)/Debt!V115,0)</f>
        <v>1.45065511657286</v>
      </c>
      <c r="W13" s="3" t="n">
        <f aca="false">IF(Debt!W115&gt;Inputs!$F$253,(W11+Reserves!W9)/Debt!W115,0)</f>
        <v>1.45478618407871</v>
      </c>
      <c r="X13" s="3" t="n">
        <f aca="false">IF(Debt!X115&gt;Inputs!$F$253,(X11+Reserves!X9)/Debt!X115,0)</f>
        <v>1.45758310424647</v>
      </c>
      <c r="Y13" s="3" t="n">
        <f aca="false">IF(Debt!Y115&gt;Inputs!$F$253,(Y11+Reserves!Y9)/Debt!Y115,0)</f>
        <v>1.4619180688848</v>
      </c>
      <c r="Z13" s="3" t="n">
        <f aca="false">IF(Debt!Z115&gt;Inputs!$F$253,(Z11+Reserves!Z9)/Debt!Z115,0)</f>
        <v>1.46805037099713</v>
      </c>
      <c r="AA13" s="3" t="n">
        <f aca="false">IF(Debt!AA115&gt;Inputs!$F$253,(AA11+Reserves!AA9)/Debt!AA115,0)</f>
        <v>1.47354280844075</v>
      </c>
      <c r="AB13" s="3" t="n">
        <f aca="false">IF(Debt!AB115&gt;Inputs!$F$253,(AB11+Reserves!AB9)/Debt!AB115,0)</f>
        <v>1.50516124764403</v>
      </c>
      <c r="AC13" s="3" t="n">
        <f aca="false">IF(Debt!AC115&gt;Inputs!$F$253,(AC11+Reserves!AC9)/Debt!AC115,0)</f>
        <v>1.54114604719862</v>
      </c>
      <c r="AD13" s="3" t="n">
        <f aca="false">IF(Debt!AD115&gt;Inputs!$F$253,(AD11+Reserves!AD9)/Debt!AD115,0)</f>
        <v>1.58386076854</v>
      </c>
      <c r="AE13" s="3" t="n">
        <f aca="false">IF(Debt!AE115&gt;Inputs!$F$253,(AE11+Reserves!AE9)/Debt!AE115,0)</f>
        <v>1.63620814357462</v>
      </c>
      <c r="AF13" s="3" t="n">
        <f aca="false">IF(Debt!AF115&gt;Inputs!$F$253,(AF11+Reserves!AF9)/Debt!AF115,0)</f>
        <v>1.70028028786579</v>
      </c>
      <c r="AG13" s="3" t="n">
        <f aca="false">IF(Debt!AG115&gt;Inputs!$F$253,(AG11+Reserves!AG9)/Debt!AG115,0)</f>
        <v>1.78094045949973</v>
      </c>
      <c r="AH13" s="3" t="n">
        <f aca="false">IF(Debt!AH115&gt;Inputs!$F$253,(AH11+Reserves!AH9)/Debt!AH115,0)</f>
        <v>1.88543913117704</v>
      </c>
      <c r="AI13" s="3" t="n">
        <f aca="false">IF(Debt!AI115&gt;Inputs!$F$253,(AI11+Reserves!AI9)/Debt!AI115,0)</f>
        <v>2.0309685930375</v>
      </c>
      <c r="AJ13" s="3" t="n">
        <f aca="false">IF(Debt!AJ115&gt;Inputs!$F$253,(AJ11+Reserves!AJ9)/Debt!AJ115,0)</f>
        <v>2.2453767511906</v>
      </c>
      <c r="AK13" s="3" t="n">
        <f aca="false">IF(Debt!AK115&gt;Inputs!$F$253,(AK11+Reserves!AK9)/Debt!AK115,0)</f>
        <v>2.48697130982223</v>
      </c>
      <c r="AL13" s="3" t="n">
        <f aca="false">IF(Debt!AL115&gt;Inputs!$F$253,(AL11+Reserves!AL9)/Debt!AL115,0)</f>
        <v>2.50016217216203</v>
      </c>
      <c r="AM13" s="3" t="n">
        <f aca="false">IF(Debt!AM115&gt;Inputs!$F$253,(AM11+Reserves!AM9)/Debt!AM115,0)</f>
        <v>2.57835258434122</v>
      </c>
      <c r="AN13" s="3" t="n">
        <f aca="false">IF(Debt!AN115&gt;Inputs!$F$253,(AN11+Reserves!AN9)/Debt!AN115,0)</f>
        <v>2.77875139696951</v>
      </c>
      <c r="AO13" s="3" t="n">
        <f aca="false">IF(Debt!AO115&gt;Inputs!$F$253,(AO11+Reserves!AO9)/Debt!AO115,0)</f>
        <v>3.27401800386099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1943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1.37004468021652</v>
      </c>
      <c r="Q14" s="3" t="n">
        <f aca="false">IF(Debt!Q115&gt;Inputs!$F$253,Q11/Debt!Q115,0)</f>
        <v>1.37129833699908</v>
      </c>
      <c r="R14" s="3" t="n">
        <f aca="false">IF(Debt!R115&gt;Inputs!$F$253,R11/Debt!R115,0)</f>
        <v>1.37256157061945</v>
      </c>
      <c r="S14" s="3" t="n">
        <f aca="false">IF(Debt!S115&gt;Inputs!$F$253,S11/Debt!S115,0)</f>
        <v>1.37387334868729</v>
      </c>
      <c r="T14" s="3" t="n">
        <f aca="false">IF(Debt!T115&gt;Inputs!$F$253,T11/Debt!T115,0)</f>
        <v>1.37525431455774</v>
      </c>
      <c r="U14" s="3" t="n">
        <f aca="false">IF(Debt!U115&gt;Inputs!$F$253,U11/Debt!U115,0)</f>
        <v>1.37680031142506</v>
      </c>
      <c r="V14" s="3" t="n">
        <f aca="false">IF(Debt!V115&gt;Inputs!$F$253,V11/Debt!V115,0)</f>
        <v>1.37843687463948</v>
      </c>
      <c r="W14" s="3" t="n">
        <f aca="false">IF(Debt!W115&gt;Inputs!$F$253,W11/Debt!W115,0)</f>
        <v>1.38024790012361</v>
      </c>
      <c r="X14" s="3" t="n">
        <f aca="false">IF(Debt!X115&gt;Inputs!$F$253,X11/Debt!X115,0)</f>
        <v>1.38213764864445</v>
      </c>
      <c r="Y14" s="3" t="n">
        <f aca="false">IF(Debt!Y115&gt;Inputs!$F$253,Y11/Debt!Y115,0)</f>
        <v>1.38400219705166</v>
      </c>
      <c r="Z14" s="3" t="n">
        <f aca="false">IF(Debt!Z115&gt;Inputs!$F$253,Z11/Debt!Z115,0)</f>
        <v>1.38597818639954</v>
      </c>
      <c r="AA14" s="3" t="n">
        <f aca="false">IF(Debt!AA115&gt;Inputs!$F$253,AA11/Debt!AA115,0)</f>
        <v>1.3881528524572</v>
      </c>
      <c r="AB14" s="3" t="n">
        <f aca="false">IF(Debt!AB115&gt;Inputs!$F$253,AB11/Debt!AB115,0)</f>
        <v>1.41273242530935</v>
      </c>
      <c r="AC14" s="3" t="n">
        <f aca="false">IF(Debt!AC115&gt;Inputs!$F$253,AC11/Debt!AC115,0)</f>
        <v>1.44350076094761</v>
      </c>
      <c r="AD14" s="3" t="n">
        <f aca="false">IF(Debt!AD115&gt;Inputs!$F$253,AD11/Debt!AD115,0)</f>
        <v>1.4760725060545</v>
      </c>
      <c r="AE14" s="3" t="n">
        <f aca="false">IF(Debt!AE115&gt;Inputs!$F$253,AE11/Debt!AE115,0)</f>
        <v>1.51957683479195</v>
      </c>
      <c r="AF14" s="3" t="n">
        <f aca="false">IF(Debt!AF115&gt;Inputs!$F$253,AF11/Debt!AF115,0)</f>
        <v>1.57281665045136</v>
      </c>
      <c r="AG14" s="3" t="n">
        <f aca="false">IF(Debt!AG115&gt;Inputs!$F$253,AG11/Debt!AG115,0)</f>
        <v>1.64136300053101</v>
      </c>
      <c r="AH14" s="3" t="n">
        <f aca="false">IF(Debt!AH115&gt;Inputs!$F$253,AH11/Debt!AH115,0)</f>
        <v>1.72752264932059</v>
      </c>
      <c r="AI14" s="3" t="n">
        <f aca="false">IF(Debt!AI115&gt;Inputs!$F$253,AI11/Debt!AI115,0)</f>
        <v>1.85084089944788</v>
      </c>
      <c r="AJ14" s="3" t="n">
        <f aca="false">IF(Debt!AJ115&gt;Inputs!$F$253,AJ11/Debt!AJ115,0)</f>
        <v>2.03026336901213</v>
      </c>
      <c r="AK14" s="3" t="n">
        <f aca="false">IF(Debt!AK115&gt;Inputs!$F$253,AK11/Debt!AK115,0)</f>
        <v>2.23067009790405</v>
      </c>
      <c r="AL14" s="3" t="n">
        <f aca="false">IF(Debt!AL115&gt;Inputs!$F$253,AL11/Debt!AL115,0)</f>
        <v>2.20401853644619</v>
      </c>
      <c r="AM14" s="3" t="n">
        <f aca="false">IF(Debt!AM115&gt;Inputs!$F$253,AM11/Debt!AM115,0)</f>
        <v>2.17570787177815</v>
      </c>
      <c r="AN14" s="3" t="n">
        <f aca="false">IF(Debt!AN115&gt;Inputs!$F$253,AN11/Debt!AN115,0)</f>
        <v>2.25527980601551</v>
      </c>
      <c r="AO14" s="3" t="n">
        <f aca="false">IF(Debt!AO115&gt;Inputs!$F$253,AO11/Debt!AO115,0)</f>
        <v>2.24700276747975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1944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1.89795924941188</v>
      </c>
      <c r="Q15" s="3" t="n">
        <f aca="false">IF(Debt!Q115&gt;Inputs!$F$253,Q12/Debt!Q115,0)</f>
        <v>1.93104190930091</v>
      </c>
      <c r="R15" s="3" t="n">
        <f aca="false">IF(Debt!R115&gt;Inputs!$F$253,R12/Debt!R115,0)</f>
        <v>1.96687613329397</v>
      </c>
      <c r="S15" s="3" t="n">
        <f aca="false">IF(Debt!S115&gt;Inputs!$F$253,S12/Debt!S115,0)</f>
        <v>2.00643309630069</v>
      </c>
      <c r="T15" s="3" t="n">
        <f aca="false">IF(Debt!T115&gt;Inputs!$F$253,T12/Debt!T115,0)</f>
        <v>2.04944683470792</v>
      </c>
      <c r="U15" s="3" t="n">
        <f aca="false">IF(Debt!U115&gt;Inputs!$F$253,U12/Debt!U115,0)</f>
        <v>2.09735334870891</v>
      </c>
      <c r="V15" s="3" t="n">
        <f aca="false">IF(Debt!V115&gt;Inputs!$F$253,V12/Debt!V115,0)</f>
        <v>2.150052211866</v>
      </c>
      <c r="W15" s="3" t="n">
        <f aca="false">IF(Debt!W115&gt;Inputs!$F$253,W12/Debt!W115,0)</f>
        <v>2.20977854803483</v>
      </c>
      <c r="X15" s="3" t="n">
        <f aca="false">IF(Debt!X115&gt;Inputs!$F$253,X12/Debt!X115,0)</f>
        <v>2.27611084649943</v>
      </c>
      <c r="Y15" s="3" t="n">
        <f aca="false">IF(Debt!Y115&gt;Inputs!$F$253,Y12/Debt!Y115,0)</f>
        <v>2.34830890915231</v>
      </c>
      <c r="Z15" s="3" t="n">
        <f aca="false">IF(Debt!Z115&gt;Inputs!$F$253,Z12/Debt!Z115,0)</f>
        <v>2.42878163784774</v>
      </c>
      <c r="AA15" s="3" t="n">
        <f aca="false">IF(Debt!AA115&gt;Inputs!$F$253,AA12/Debt!AA115,0)</f>
        <v>2.52072458918395</v>
      </c>
      <c r="AB15" s="3" t="n">
        <f aca="false">IF(Debt!AB115&gt;Inputs!$F$253,AB12/Debt!AB115,0)</f>
        <v>2.66691740329795</v>
      </c>
      <c r="AC15" s="3" t="n">
        <f aca="false">IF(Debt!AC115&gt;Inputs!$F$253,AC12/Debt!AC115,0)</f>
        <v>2.84602239802301</v>
      </c>
      <c r="AD15" s="3" t="n">
        <f aca="false">IF(Debt!AD115&gt;Inputs!$F$253,AD12/Debt!AD115,0)</f>
        <v>3.05391552756664</v>
      </c>
      <c r="AE15" s="3" t="n">
        <f aca="false">IF(Debt!AE115&gt;Inputs!$F$253,AE12/Debt!AE115,0)</f>
        <v>3.32444608655583</v>
      </c>
      <c r="AF15" s="3" t="n">
        <f aca="false">IF(Debt!AF115&gt;Inputs!$F$253,AF12/Debt!AF115,0)</f>
        <v>3.66784376489177</v>
      </c>
      <c r="AG15" s="3" t="n">
        <f aca="false">IF(Debt!AG115&gt;Inputs!$F$253,AG12/Debt!AG115,0)</f>
        <v>4.12080511474993</v>
      </c>
      <c r="AH15" s="3" t="n">
        <f aca="false">IF(Debt!AH115&gt;Inputs!$F$253,AH12/Debt!AH115,0)</f>
        <v>4.72375991364134</v>
      </c>
      <c r="AI15" s="3" t="n">
        <f aca="false">IF(Debt!AI115&gt;Inputs!$F$253,AI12/Debt!AI115,0)</f>
        <v>5.60838405396517</v>
      </c>
      <c r="AJ15" s="3" t="n">
        <f aca="false">IF(Debt!AJ115&gt;Inputs!$F$253,AJ12/Debt!AJ115,0)</f>
        <v>6.96205589202106</v>
      </c>
      <c r="AK15" s="3" t="n">
        <f aca="false">IF(Debt!AK115&gt;Inputs!$F$253,AK12/Debt!AK115,0)</f>
        <v>8.94688637517033</v>
      </c>
      <c r="AL15" s="3" t="n">
        <f aca="false">IF(Debt!AL115&gt;Inputs!$F$253,AL12/Debt!AL115,0)</f>
        <v>10.8519032166589</v>
      </c>
      <c r="AM15" s="3" t="n">
        <f aca="false">IF(Debt!AM115&gt;Inputs!$F$253,AM12/Debt!AM115,0)</f>
        <v>14.3270138033</v>
      </c>
      <c r="AN15" s="3" t="n">
        <f aca="false">IF(Debt!AN115&gt;Inputs!$F$253,AN12/Debt!AN115,0)</f>
        <v>22.2427325404708</v>
      </c>
      <c r="AO15" s="3" t="n">
        <f aca="false">IF(Debt!AO115&gt;Inputs!$F$253,AO12/Debt!AO115,0)</f>
        <v>43.0074453900406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1945</v>
      </c>
      <c r="E16" s="0" t="s">
        <v>204</v>
      </c>
      <c r="F16" s="3" t="n">
        <f aca="false">_xlfn.MINIFS(Waterfall!$J$17:$BN$17,Debt!$J$114:$BN$114,"&gt;"&amp;Inputs!$F$253)</f>
        <v>1.34925157909214</v>
      </c>
    </row>
    <row r="17" customFormat="false" ht="15" hidden="false" customHeight="false" outlineLevel="0" collapsed="false">
      <c r="D17" s="0" t="s">
        <v>1946</v>
      </c>
      <c r="E17" s="0" t="s">
        <v>204</v>
      </c>
      <c r="F17" s="3" t="n">
        <f aca="false">SUMIFS(Waterfall!$J$7:$BN$7,Debt!$J$114:$BN$114,"&gt;"&amp;Inputs!$F$253)/SUM(Debt!$J$114:$BN$114)</f>
        <v>1.55439175606743</v>
      </c>
    </row>
    <row r="18" customFormat="false" ht="15" hidden="false" customHeight="false" outlineLevel="0" collapsed="false">
      <c r="D18" s="0" t="s">
        <v>1947</v>
      </c>
      <c r="E18" s="0" t="s">
        <v>204</v>
      </c>
      <c r="F18" s="3" t="n">
        <f aca="false">INDEX(Ratios!$J$13:$BN$13,1,Time!$F$13)</f>
        <v>1.42886187100565</v>
      </c>
    </row>
    <row r="19" customFormat="false" ht="15" hidden="false" customHeight="false" outlineLevel="0" collapsed="false">
      <c r="D19" s="0" t="s">
        <v>1948</v>
      </c>
      <c r="E19" s="0" t="s">
        <v>204</v>
      </c>
      <c r="F19" s="3" t="n">
        <f aca="false">INDEX(Ratios!$J$15:$BN$15,1,Time!$F$13)</f>
        <v>1.89795924941188</v>
      </c>
    </row>
    <row r="20" customFormat="false" ht="15" hidden="false" customHeight="false" outlineLevel="0" collapsed="false">
      <c r="D20" s="0" t="s">
        <v>1949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1.35004741291515</v>
      </c>
      <c r="P20" s="3" t="n">
        <f aca="false">IF(Debt!Q114&gt;Inputs!$F$253,(Waterfall!Q7+IF(Debt!R114&gt;Inputs!$F$253,Waterfall!R7,0))/(Debt!Q114+Debt!R114),0)</f>
        <v>1.35151527862737</v>
      </c>
      <c r="Q20" s="3" t="n">
        <f aca="false">IF(Debt!R114&gt;Inputs!$F$253,(Waterfall!R7+IF(Debt!S114&gt;Inputs!$F$253,Waterfall!S7,0))/(Debt!R114+Debt!S114),0)</f>
        <v>1.35253276804619</v>
      </c>
      <c r="R20" s="3" t="n">
        <f aca="false">IF(Debt!S114&gt;Inputs!$F$253,(Waterfall!S7+IF(Debt!T114&gt;Inputs!$F$253,Waterfall!T7,0))/(Debt!S114+Debt!T114),0)</f>
        <v>1.35283120286135</v>
      </c>
      <c r="S20" s="3" t="n">
        <f aca="false">IF(Debt!T114&gt;Inputs!$F$253,(Waterfall!T7+IF(Debt!U114&gt;Inputs!$F$253,Waterfall!U7,0))/(Debt!T114+Debt!U114),0)</f>
        <v>1.3532379727516</v>
      </c>
      <c r="T20" s="3" t="n">
        <f aca="false">IF(Debt!U114&gt;Inputs!$F$253,(Waterfall!U7+IF(Debt!V114&gt;Inputs!$F$253,Waterfall!V7,0))/(Debt!U114+Debt!V114),0)</f>
        <v>1.35401016251253</v>
      </c>
      <c r="U20" s="3" t="n">
        <f aca="false">IF(Debt!V114&gt;Inputs!$F$253,(Waterfall!V7+IF(Debt!W114&gt;Inputs!$F$253,Waterfall!W7,0))/(Debt!V114+Debt!W114),0)</f>
        <v>1.35511248586553</v>
      </c>
      <c r="V20" s="3" t="n">
        <f aca="false">IF(Debt!W114&gt;Inputs!$F$253,(Waterfall!W7+IF(Debt!X114&gt;Inputs!$F$253,Waterfall!X7,0))/(Debt!W114+Debt!X114),0)</f>
        <v>1.35716190754212</v>
      </c>
      <c r="W20" s="3" t="n">
        <f aca="false">IF(Debt!X114&gt;Inputs!$F$253,(Waterfall!X7+IF(Debt!Y114&gt;Inputs!$F$253,Waterfall!Y7,0))/(Debt!X114+Debt!Y114),0)</f>
        <v>1.35907994686277</v>
      </c>
      <c r="X20" s="3" t="n">
        <f aca="false">IF(Debt!Y114&gt;Inputs!$F$253,(Waterfall!Y7+IF(Debt!Z114&gt;Inputs!$F$253,Waterfall!Z7,0))/(Debt!Y114+Debt!Z114),0)</f>
        <v>1.36022389844378</v>
      </c>
      <c r="Y20" s="3" t="n">
        <f aca="false">IF(Debt!Z114&gt;Inputs!$F$253,(Waterfall!Z7+IF(Debt!AA114&gt;Inputs!$F$253,Waterfall!AA7,0))/(Debt!Z114+Debt!AA114),0)</f>
        <v>1.36164853081886</v>
      </c>
      <c r="Z20" s="3" t="n">
        <f aca="false">IF(Debt!AA114&gt;Inputs!$F$253,(Waterfall!AA7+IF(Debt!AB114&gt;Inputs!$F$253,Waterfall!AB7,0))/(Debt!AA114+Debt!AB114),0)</f>
        <v>1.37654014533602</v>
      </c>
      <c r="AA20" s="3" t="n">
        <f aca="false">IF(Debt!AB114&gt;Inputs!$F$253,(Waterfall!AB7+IF(Debt!AC114&gt;Inputs!$F$253,Waterfall!AC7,0))/(Debt!AB114+Debt!AC114),0)</f>
        <v>1.40762567963799</v>
      </c>
      <c r="AB20" s="3" t="n">
        <f aca="false">IF(Debt!AC114&gt;Inputs!$F$253,(Waterfall!AC7+IF(Debt!AD114&gt;Inputs!$F$253,Waterfall!AD7,0))/(Debt!AC114+Debt!AD114),0)</f>
        <v>1.43836155541482</v>
      </c>
      <c r="AC20" s="3" t="n">
        <f aca="false">IF(Debt!AD114&gt;Inputs!$F$253,(Waterfall!AD7+IF(Debt!AE114&gt;Inputs!$F$253,Waterfall!AE7,0))/(Debt!AD114+Debt!AE114),0)</f>
        <v>1.47751028353152</v>
      </c>
      <c r="AD20" s="3" t="n">
        <f aca="false">IF(Debt!AE114&gt;Inputs!$F$253,(Waterfall!AE7+IF(Debt!AF114&gt;Inputs!$F$253,Waterfall!AF7,0))/(Debt!AE114+Debt!AF114),0)</f>
        <v>1.53428679350945</v>
      </c>
      <c r="AE20" s="3" t="n">
        <f aca="false">IF(Debt!AF114&gt;Inputs!$F$253,(Waterfall!AF7+IF(Debt!AG114&gt;Inputs!$F$253,Waterfall!AG7,0))/(Debt!AF114+Debt!AG114),0)</f>
        <v>1.60381261920004</v>
      </c>
      <c r="AF20" s="3" t="n">
        <f aca="false">IF(Debt!AG114&gt;Inputs!$F$253,(Waterfall!AG7+IF(Debt!AH114&gt;Inputs!$F$253,Waterfall!AH7,0))/(Debt!AG114+Debt!AH114),0)</f>
        <v>1.69330217112855</v>
      </c>
      <c r="AG20" s="3" t="n">
        <f aca="false">IF(Debt!AH114&gt;Inputs!$F$253,(Waterfall!AH7+IF(Debt!AI114&gt;Inputs!$F$253,Waterfall!AI7,0))/(Debt!AH114+Debt!AI114),0)</f>
        <v>1.810610789454</v>
      </c>
      <c r="AH20" s="3" t="n">
        <f aca="false">IF(Debt!AI114&gt;Inputs!$F$253,(Waterfall!AI7+IF(Debt!AJ114&gt;Inputs!$F$253,Waterfall!AJ7,0))/(Debt!AI114+Debt!AJ114),0)</f>
        <v>1.98071889378182</v>
      </c>
      <c r="AI20" s="3" t="n">
        <f aca="false">IF(Debt!AJ114&gt;Inputs!$F$253,(Waterfall!AJ7+IF(Debt!AK114&gt;Inputs!$F$253,Waterfall!AK7,0))/(Debt!AJ114+Debt!AK114),0)</f>
        <v>2.19927559792638</v>
      </c>
      <c r="AJ20" s="3" t="n">
        <f aca="false">IF(Debt!AK114&gt;Inputs!$F$253,(Waterfall!AK7+IF(Debt!AL114&gt;Inputs!$F$253,Waterfall!AL7,0))/(Debt!AK114+Debt!AL114),0)</f>
        <v>2.29825668056012</v>
      </c>
      <c r="AK20" s="3" t="n">
        <f aca="false">IF(Debt!AL114&gt;Inputs!$F$253,(Waterfall!AL7+IF(Debt!AM114&gt;Inputs!$F$253,Waterfall!AM7,0))/(Debt!AL114+Debt!AM114),0)</f>
        <v>2.16344868924878</v>
      </c>
      <c r="AL20" s="3" t="n">
        <f aca="false">IF(Debt!AM114&gt;Inputs!$F$253,(Waterfall!AM7+IF(Debt!AN114&gt;Inputs!$F$253,Waterfall!AN7,0))/(Debt!AM114+Debt!AN114),0)</f>
        <v>2.14682161107233</v>
      </c>
      <c r="AM20" s="3" t="n">
        <f aca="false">IF(Debt!AN114&gt;Inputs!$F$253,(Waterfall!AN7+IF(Debt!AO114&gt;Inputs!$F$253,Waterfall!AO7,0))/(Debt!AN114+Debt!AO114),0)</f>
        <v>2.25517159116775</v>
      </c>
      <c r="AN20" s="3" t="n">
        <f aca="false">IF(Debt!AO114&gt;Inputs!$F$253,(Waterfall!AO7+IF(Debt!AP114&gt;Inputs!$F$253,Waterfall!AP7,0))/(Debt!AO114+Debt!AP114),0)</f>
        <v>2.24700276747975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1952</v>
      </c>
      <c r="J5" s="4" t="s">
        <v>1953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1954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1955</v>
      </c>
      <c r="E8" s="0" t="s">
        <v>151</v>
      </c>
      <c r="G8" s="13" t="n">
        <f aca="false">SUM(J8:DP8)</f>
        <v>1245.2376601598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-0.648346661023482</v>
      </c>
      <c r="M8" s="13" t="n">
        <f aca="false">-Funding!L68</f>
        <v>-0.826463646962496</v>
      </c>
      <c r="N8" s="13" t="n">
        <f aca="false">-Funding!M68</f>
        <v>-1.16835180736925</v>
      </c>
      <c r="O8" s="13" t="n">
        <f aca="false">-Funding!N68</f>
        <v>-1.68233550216164</v>
      </c>
      <c r="P8" s="13" t="n">
        <f aca="false">-Funding!O68</f>
        <v>-2.31826836024339</v>
      </c>
      <c r="Q8" s="13" t="n">
        <f aca="false">-Funding!P68</f>
        <v>-3.02423072079799</v>
      </c>
      <c r="R8" s="13" t="n">
        <f aca="false">-Funding!Q68</f>
        <v>-3.83873537740626</v>
      </c>
      <c r="S8" s="13" t="n">
        <f aca="false">-Funding!R68</f>
        <v>-4.65050518947287</v>
      </c>
      <c r="T8" s="13" t="n">
        <f aca="false">-Funding!S68</f>
        <v>-5.47712026094729</v>
      </c>
      <c r="U8" s="13" t="n">
        <f aca="false">-Funding!T68</f>
        <v>-6.25049966633788</v>
      </c>
      <c r="V8" s="13" t="n">
        <f aca="false">-Funding!U68</f>
        <v>-6.99220472942813</v>
      </c>
      <c r="W8" s="13" t="n">
        <f aca="false">-Funding!V68</f>
        <v>-7.64433374589146</v>
      </c>
      <c r="X8" s="13" t="n">
        <f aca="false">-Funding!W68</f>
        <v>-8.18667091194022</v>
      </c>
      <c r="Y8" s="13" t="n">
        <f aca="false">-Funding!X68</f>
        <v>-8.63568848597973</v>
      </c>
      <c r="Z8" s="13" t="n">
        <f aca="false">-Funding!Y68</f>
        <v>-8.93469388856859</v>
      </c>
      <c r="AA8" s="13" t="n">
        <f aca="false">-Funding!Z68</f>
        <v>-9.12208996023581</v>
      </c>
      <c r="AB8" s="13" t="n">
        <f aca="false">-Funding!AA68</f>
        <v>-9.46265225430165</v>
      </c>
      <c r="AC8" s="13" t="n">
        <f aca="false">-Funding!AB68</f>
        <v>-9.02631477585546</v>
      </c>
      <c r="AD8" s="13" t="n">
        <f aca="false">-Funding!AC68</f>
        <v>-8.81201401654134</v>
      </c>
      <c r="AE8" s="13" t="n">
        <f aca="false">-Funding!AD68</f>
        <v>-8.42383253454759</v>
      </c>
      <c r="AF8" s="13" t="n">
        <f aca="false">-Funding!AE68</f>
        <v>-7.94815872423961</v>
      </c>
      <c r="AG8" s="13" t="n">
        <f aca="false">-Funding!AF68</f>
        <v>-7.33655883864159</v>
      </c>
      <c r="AH8" s="13" t="n">
        <f aca="false">-Funding!AG68</f>
        <v>-6.67453842165728</v>
      </c>
      <c r="AI8" s="13" t="n">
        <f aca="false">-Funding!AH68</f>
        <v>-5.93252486192983</v>
      </c>
      <c r="AJ8" s="13" t="n">
        <f aca="false">-Funding!AI68</f>
        <v>-5.1354779668339</v>
      </c>
      <c r="AK8" s="13" t="n">
        <f aca="false">-Funding!AJ68</f>
        <v>-4.3662399051251</v>
      </c>
      <c r="AL8" s="13" t="n">
        <f aca="false">-Funding!AK68</f>
        <v>-3.58295245087028</v>
      </c>
      <c r="AM8" s="13" t="n">
        <f aca="false">-Funding!AL68</f>
        <v>-2.89273857013916</v>
      </c>
      <c r="AN8" s="13" t="n">
        <f aca="false">-Funding!AM68</f>
        <v>-2.27444954257589</v>
      </c>
      <c r="AO8" s="13" t="n">
        <f aca="false">-Funding!AN68</f>
        <v>-1.72125700944204</v>
      </c>
      <c r="AP8" s="13" t="n">
        <f aca="false">-Funding!AO68</f>
        <v>-1.43683018685544</v>
      </c>
      <c r="AQ8" s="13" t="n">
        <f aca="false">-Funding!AP68</f>
        <v>-14.0758828403571</v>
      </c>
      <c r="AR8" s="13" t="n">
        <f aca="false">-Funding!AQ68</f>
        <v>-10.8498042851896</v>
      </c>
      <c r="AS8" s="13" t="n">
        <f aca="false">-Funding!AR68</f>
        <v>-0.964519526840154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15.0605466454198</v>
      </c>
      <c r="BS8" s="18" t="n">
        <f aca="false">Waterfall!Q44</f>
        <v>12.5703850331998</v>
      </c>
      <c r="BT8" s="18" t="n">
        <f aca="false">Waterfall!R44</f>
        <v>13.5440289197872</v>
      </c>
      <c r="BU8" s="18" t="n">
        <f aca="false">Waterfall!S44</f>
        <v>12.7585093737045</v>
      </c>
      <c r="BV8" s="18" t="n">
        <f aca="false">Waterfall!T44</f>
        <v>13.500043982238</v>
      </c>
      <c r="BW8" s="18" t="n">
        <f aca="false">Waterfall!U44</f>
        <v>12.5735598702439</v>
      </c>
      <c r="BX8" s="18" t="n">
        <f aca="false">Waterfall!V44</f>
        <v>13.8324144536015</v>
      </c>
      <c r="BY8" s="18" t="n">
        <f aca="false">Waterfall!W44</f>
        <v>14.6317980334328</v>
      </c>
      <c r="BZ8" s="18" t="n">
        <f aca="false">Waterfall!X44</f>
        <v>13.5942963981912</v>
      </c>
      <c r="CA8" s="18" t="n">
        <f aca="false">Waterfall!Y44</f>
        <v>12.8562403708427</v>
      </c>
      <c r="CB8" s="18" t="n">
        <f aca="false">Waterfall!Z44</f>
        <v>13.5991223543539</v>
      </c>
      <c r="CC8" s="18" t="n">
        <f aca="false">Waterfall!AA44</f>
        <v>6.41638788716743</v>
      </c>
      <c r="CD8" s="18" t="n">
        <f aca="false">Waterfall!AB44</f>
        <v>7.50365132464338</v>
      </c>
      <c r="CE8" s="18" t="n">
        <f aca="false">Waterfall!AC44</f>
        <v>7.24300724026038</v>
      </c>
      <c r="CF8" s="18" t="n">
        <f aca="false">Waterfall!AD44</f>
        <v>8.48963361678517</v>
      </c>
      <c r="CG8" s="18" t="n">
        <f aca="false">Waterfall!AE44</f>
        <v>9.27494087186686</v>
      </c>
      <c r="CH8" s="18" t="n">
        <f aca="false">Waterfall!AF44</f>
        <v>10.2947997119005</v>
      </c>
      <c r="CI8" s="18" t="n">
        <f aca="false">Waterfall!AG44</f>
        <v>10.8350994932643</v>
      </c>
      <c r="CJ8" s="18" t="n">
        <f aca="false">Waterfall!AH44</f>
        <v>12.3622013038702</v>
      </c>
      <c r="CK8" s="18" t="n">
        <f aca="false">Waterfall!AI44</f>
        <v>13.3617587893215</v>
      </c>
      <c r="CL8" s="18" t="n">
        <f aca="false">Waterfall!AJ44</f>
        <v>20.1437228710366</v>
      </c>
      <c r="CM8" s="18" t="n">
        <f aca="false">Waterfall!AK44</f>
        <v>32.5010774692826</v>
      </c>
      <c r="CN8" s="18" t="n">
        <f aca="false">Waterfall!AL44</f>
        <v>30.3609819944094</v>
      </c>
      <c r="CO8" s="18" t="n">
        <f aca="false">Waterfall!AM44</f>
        <v>29.2461606082006</v>
      </c>
      <c r="CP8" s="18" t="n">
        <f aca="false">Waterfall!AN44</f>
        <v>24.3999324118482</v>
      </c>
      <c r="CQ8" s="18" t="n">
        <f aca="false">Waterfall!AO44</f>
        <v>42.4908146488185</v>
      </c>
      <c r="CR8" s="18" t="n">
        <f aca="false">Waterfall!AP44</f>
        <v>42.9287921805194</v>
      </c>
      <c r="CS8" s="18" t="n">
        <f aca="false">Waterfall!AQ44</f>
        <v>42.5218707156227</v>
      </c>
      <c r="CT8" s="18" t="n">
        <f aca="false">Waterfall!AR44</f>
        <v>43.1865043955517</v>
      </c>
      <c r="CU8" s="18" t="n">
        <f aca="false">Waterfall!AS44</f>
        <v>42.9820722284609</v>
      </c>
      <c r="CV8" s="18" t="n">
        <f aca="false">Waterfall!AT44</f>
        <v>50.0008035602997</v>
      </c>
      <c r="CW8" s="18" t="n">
        <f aca="false">Waterfall!AU44</f>
        <v>45.5659911364857</v>
      </c>
      <c r="CX8" s="18" t="n">
        <f aca="false">Waterfall!AV44</f>
        <v>45.7851264059674</v>
      </c>
      <c r="CY8" s="18" t="n">
        <f aca="false">Waterfall!AW44</f>
        <v>45.3789800000648</v>
      </c>
      <c r="CZ8" s="18" t="n">
        <f aca="false">Waterfall!AX44</f>
        <v>46.08147176294</v>
      </c>
      <c r="DA8" s="18" t="n">
        <f aca="false">Waterfall!AY44</f>
        <v>45.7203887237585</v>
      </c>
      <c r="DB8" s="18" t="n">
        <f aca="false">Waterfall!AZ44</f>
        <v>46.527943301452</v>
      </c>
      <c r="DC8" s="18" t="n">
        <f aca="false">Waterfall!BA44</f>
        <v>45.830029916697</v>
      </c>
      <c r="DD8" s="18" t="n">
        <f aca="false">Waterfall!BB44</f>
        <v>47.0910088425215</v>
      </c>
      <c r="DE8" s="18" t="n">
        <f aca="false">Waterfall!BC44</f>
        <v>43.7990672072826</v>
      </c>
      <c r="DF8" s="18" t="n">
        <f aca="false">Waterfall!BD44</f>
        <v>37.9002507081253</v>
      </c>
      <c r="DG8" s="18" t="n">
        <f aca="false">Waterfall!BE44</f>
        <v>37.5279756982946</v>
      </c>
      <c r="DH8" s="18" t="n">
        <f aca="false">Waterfall!BF44</f>
        <v>38.3648029258522</v>
      </c>
      <c r="DI8" s="18" t="n">
        <f aca="false">Waterfall!BG44</f>
        <v>38.0209359608458</v>
      </c>
      <c r="DJ8" s="18" t="n">
        <f aca="false">Waterfall!BH44</f>
        <v>38.9500670099411</v>
      </c>
      <c r="DK8" s="18" t="n">
        <f aca="false">Waterfall!BI44</f>
        <v>38.7065563707922</v>
      </c>
      <c r="DL8" s="18" t="n">
        <f aca="false">Waterfall!BJ44</f>
        <v>46.8525763323607</v>
      </c>
      <c r="DM8" s="18" t="n">
        <f aca="false">Waterfall!BK44</f>
        <v>41.6604001101922</v>
      </c>
      <c r="DN8" s="18" t="n">
        <f aca="false">Waterfall!BL44</f>
        <v>42.6480869751059</v>
      </c>
      <c r="DO8" s="18" t="n">
        <f aca="false">Waterfall!BM44</f>
        <v>59.6224931137937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1956</v>
      </c>
      <c r="E9" s="0" t="s">
        <v>151</v>
      </c>
      <c r="G9" s="13" t="n">
        <f aca="false">SUM(J9:DP9)</f>
        <v>1664.24749490874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1.96693079357017</v>
      </c>
      <c r="BR9" s="18" t="n">
        <f aca="false">Waterfall!P7</f>
        <v>50.2613181699607</v>
      </c>
      <c r="BS9" s="18" t="n">
        <f aca="false">Waterfall!Q7</f>
        <v>50.2005669651641</v>
      </c>
      <c r="BT9" s="18" t="n">
        <f aca="false">Waterfall!R7</f>
        <v>50.8826693326791</v>
      </c>
      <c r="BU9" s="18" t="n">
        <f aca="false">Waterfall!S7</f>
        <v>50.5151194705723</v>
      </c>
      <c r="BV9" s="18" t="n">
        <f aca="false">Waterfall!T7</f>
        <v>51.0760786057203</v>
      </c>
      <c r="BW9" s="18" t="n">
        <f aca="false">Waterfall!U7</f>
        <v>50.8669168176627</v>
      </c>
      <c r="BX9" s="18" t="n">
        <f aca="false">Waterfall!V7</f>
        <v>51.8610103929801</v>
      </c>
      <c r="BY9" s="18" t="n">
        <f aca="false">Waterfall!W7</f>
        <v>51.5638209095596</v>
      </c>
      <c r="BZ9" s="18" t="n">
        <f aca="false">Waterfall!X7</f>
        <v>50.1698755126293</v>
      </c>
      <c r="CA9" s="18" t="n">
        <f aca="false">Waterfall!Y7</f>
        <v>49.732832294717</v>
      </c>
      <c r="CB9" s="18" t="n">
        <f aca="false">Waterfall!Z7</f>
        <v>50.178566144176</v>
      </c>
      <c r="CC9" s="18" t="n">
        <f aca="false">Waterfall!AA7</f>
        <v>49.8427369651562</v>
      </c>
      <c r="CD9" s="18" t="n">
        <f aca="false">Waterfall!AB7</f>
        <v>50.5325373406812</v>
      </c>
      <c r="CE9" s="18" t="n">
        <f aca="false">Waterfall!AC7</f>
        <v>50.4161231296168</v>
      </c>
      <c r="CF9" s="18" t="n">
        <f aca="false">Waterfall!AD7</f>
        <v>52.0811568152161</v>
      </c>
      <c r="CG9" s="18" t="n">
        <f aca="false">Waterfall!AE7</f>
        <v>52.4816840589226</v>
      </c>
      <c r="CH9" s="18" t="n">
        <f aca="false">Waterfall!AF7</f>
        <v>52.8002988331638</v>
      </c>
      <c r="CI9" s="18" t="n">
        <f aca="false">Waterfall!AG7</f>
        <v>52.5287653626779</v>
      </c>
      <c r="CJ9" s="18" t="n">
        <f aca="false">Waterfall!AH7</f>
        <v>53.3529107961969</v>
      </c>
      <c r="CK9" s="18" t="n">
        <f aca="false">Waterfall!AI7</f>
        <v>52.9931542867936</v>
      </c>
      <c r="CL9" s="18" t="n">
        <f aca="false">Waterfall!AJ7</f>
        <v>53.6390856469102</v>
      </c>
      <c r="CM9" s="18" t="n">
        <f aca="false">Waterfall!AK7</f>
        <v>53.5205290871205</v>
      </c>
      <c r="CN9" s="18" t="n">
        <f aca="false">Waterfall!AL7</f>
        <v>53.9354887382185</v>
      </c>
      <c r="CO9" s="18" t="n">
        <f aca="false">Waterfall!AM7</f>
        <v>48.3823792148439</v>
      </c>
      <c r="CP9" s="18" t="n">
        <f aca="false">Waterfall!AN7</f>
        <v>43.3099289920823</v>
      </c>
      <c r="CQ9" s="18" t="n">
        <f aca="false">Waterfall!AO7</f>
        <v>42.4908146488185</v>
      </c>
      <c r="CR9" s="18" t="n">
        <f aca="false">Waterfall!AP7</f>
        <v>42.9287921805194</v>
      </c>
      <c r="CS9" s="18" t="n">
        <f aca="false">Waterfall!AQ7</f>
        <v>42.5218707156227</v>
      </c>
      <c r="CT9" s="18" t="n">
        <f aca="false">Waterfall!AR7</f>
        <v>43.1865043955517</v>
      </c>
      <c r="CU9" s="18" t="n">
        <f aca="false">Waterfall!AS7</f>
        <v>42.9820722284609</v>
      </c>
      <c r="CV9" s="18" t="n">
        <f aca="false">Waterfall!AT7</f>
        <v>50.0008035602997</v>
      </c>
      <c r="CW9" s="18" t="n">
        <f aca="false">Waterfall!AU7</f>
        <v>45.5659911364857</v>
      </c>
      <c r="CX9" s="18" t="n">
        <f aca="false">Waterfall!AV7</f>
        <v>45.7851264059674</v>
      </c>
      <c r="CY9" s="18" t="n">
        <f aca="false">Waterfall!AW7</f>
        <v>45.3789800000648</v>
      </c>
      <c r="CZ9" s="18" t="n">
        <f aca="false">Waterfall!AX7</f>
        <v>46.08147176294</v>
      </c>
      <c r="DA9" s="18" t="n">
        <f aca="false">Waterfall!AY7</f>
        <v>45.7203887237585</v>
      </c>
      <c r="DB9" s="18" t="n">
        <f aca="false">Waterfall!AZ7</f>
        <v>46.527943301452</v>
      </c>
      <c r="DC9" s="18" t="n">
        <f aca="false">Waterfall!BA7</f>
        <v>46.3249983033057</v>
      </c>
      <c r="DD9" s="18" t="n">
        <f aca="false">Waterfall!BB7</f>
        <v>48.5921590971659</v>
      </c>
      <c r="DE9" s="18" t="n">
        <f aca="false">Waterfall!BC7</f>
        <v>45.3166402806248</v>
      </c>
      <c r="DF9" s="18" t="n">
        <f aca="false">Waterfall!BD7</f>
        <v>39.4344262683719</v>
      </c>
      <c r="DG9" s="18" t="n">
        <f aca="false">Waterfall!BE7</f>
        <v>39.0789353792504</v>
      </c>
      <c r="DH9" s="18" t="n">
        <f aca="false">Waterfall!BF7</f>
        <v>39.9327303484242</v>
      </c>
      <c r="DI9" s="18" t="n">
        <f aca="false">Waterfall!BG7</f>
        <v>39.6060167547826</v>
      </c>
      <c r="DJ9" s="18" t="n">
        <f aca="false">Waterfall!BH7</f>
        <v>40.5524888358097</v>
      </c>
      <c r="DK9" s="18" t="n">
        <f aca="false">Waterfall!BI7</f>
        <v>40.3265089421956</v>
      </c>
      <c r="DL9" s="18" t="n">
        <f aca="false">Waterfall!BJ7</f>
        <v>48.4902514383984</v>
      </c>
      <c r="DM9" s="18" t="n">
        <f aca="false">Waterfall!BK7</f>
        <v>43.3159916381665</v>
      </c>
      <c r="DN9" s="18" t="n">
        <f aca="false">Waterfall!BL7</f>
        <v>44.3217909334764</v>
      </c>
      <c r="DO9" s="18" t="n">
        <f aca="false">Waterfall!BM7</f>
        <v>41.6813129518327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1957</v>
      </c>
      <c r="E10" s="0" t="s">
        <v>151</v>
      </c>
      <c r="G10" s="13" t="n">
        <f aca="false">SUM(J10:DP10)</f>
        <v>2014.09354191166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1.96693079357017</v>
      </c>
      <c r="BR10" s="13" t="n">
        <f aca="false">Waterfall!P7+Tax!P27</f>
        <v>50.2613181699607</v>
      </c>
      <c r="BS10" s="13" t="n">
        <f aca="false">Waterfall!Q7+Tax!Q27</f>
        <v>50.2005669651641</v>
      </c>
      <c r="BT10" s="13" t="n">
        <f aca="false">Waterfall!R7+Tax!R27</f>
        <v>50.8826693326791</v>
      </c>
      <c r="BU10" s="13" t="n">
        <f aca="false">Waterfall!S7+Tax!S27</f>
        <v>50.5151194705723</v>
      </c>
      <c r="BV10" s="13" t="n">
        <f aca="false">Waterfall!T7+Tax!T27</f>
        <v>51.0760786057203</v>
      </c>
      <c r="BW10" s="13" t="n">
        <f aca="false">Waterfall!U7+Tax!U27</f>
        <v>50.8669168176627</v>
      </c>
      <c r="BX10" s="13" t="n">
        <f aca="false">Waterfall!V7+Tax!V27</f>
        <v>51.8610103929801</v>
      </c>
      <c r="BY10" s="13" t="n">
        <f aca="false">Waterfall!W7+Tax!W27</f>
        <v>51.5638209095596</v>
      </c>
      <c r="BZ10" s="13" t="n">
        <f aca="false">Waterfall!X7+Tax!X27</f>
        <v>50.1698755126293</v>
      </c>
      <c r="CA10" s="13" t="n">
        <f aca="false">Waterfall!Y7+Tax!Y27</f>
        <v>49.8520858534523</v>
      </c>
      <c r="CB10" s="13" t="n">
        <f aca="false">Waterfall!Z7+Tax!Z27</f>
        <v>50.538896443879</v>
      </c>
      <c r="CC10" s="13" t="n">
        <f aca="false">Waterfall!AA7+Tax!AA27</f>
        <v>50.2054251839978</v>
      </c>
      <c r="CD10" s="13" t="n">
        <f aca="false">Waterfall!AB7+Tax!AB27</f>
        <v>50.8974755794223</v>
      </c>
      <c r="CE10" s="13" t="n">
        <f aca="false">Waterfall!AC7+Tax!AC27</f>
        <v>50.7827376074382</v>
      </c>
      <c r="CF10" s="13" t="n">
        <f aca="false">Waterfall!AD7+Tax!AD27</f>
        <v>52.4417383844548</v>
      </c>
      <c r="CG10" s="13" t="n">
        <f aca="false">Waterfall!AE7+Tax!AE27</f>
        <v>52.8525962128756</v>
      </c>
      <c r="CH10" s="13" t="n">
        <f aca="false">Waterfall!AF7+Tax!AF27</f>
        <v>53.1757445664794</v>
      </c>
      <c r="CI10" s="13" t="n">
        <f aca="false">Waterfall!AG7+Tax!AG27</f>
        <v>52.9066644702593</v>
      </c>
      <c r="CJ10" s="13" t="n">
        <f aca="false">Waterfall!AH7+Tax!AH27</f>
        <v>53.7329239276315</v>
      </c>
      <c r="CK10" s="13" t="n">
        <f aca="false">Waterfall!AI7+Tax!AI27</f>
        <v>53.3764470667235</v>
      </c>
      <c r="CL10" s="13" t="n">
        <f aca="false">Waterfall!AJ7+Tax!AJ27</f>
        <v>54.0260856081326</v>
      </c>
      <c r="CM10" s="13" t="n">
        <f aca="false">Waterfall!AK7+Tax!AK27</f>
        <v>53.9097509035917</v>
      </c>
      <c r="CN10" s="13" t="n">
        <f aca="false">Waterfall!AL7+Tax!AL27</f>
        <v>54.3205344988877</v>
      </c>
      <c r="CO10" s="13" t="n">
        <f aca="false">Waterfall!AM7+Tax!AM27</f>
        <v>54.5791066028595</v>
      </c>
      <c r="CP10" s="13" t="n">
        <f aca="false">Waterfall!AN7+Tax!AN27</f>
        <v>53.0281101590572</v>
      </c>
      <c r="CQ10" s="13" t="n">
        <f aca="false">Waterfall!AO7+Tax!AO27</f>
        <v>52.7719079406655</v>
      </c>
      <c r="CR10" s="13" t="n">
        <f aca="false">Waterfall!AP7+Tax!AP27</f>
        <v>53.6541797148487</v>
      </c>
      <c r="CS10" s="13" t="n">
        <f aca="false">Waterfall!AQ7+Tax!AQ27</f>
        <v>53.3086379013667</v>
      </c>
      <c r="CT10" s="13" t="n">
        <f aca="false">Waterfall!AR7+Tax!AR27</f>
        <v>54.0236072515547</v>
      </c>
      <c r="CU10" s="13" t="n">
        <f aca="false">Waterfall!AS7+Tax!AS27</f>
        <v>53.9298846235408</v>
      </c>
      <c r="CV10" s="13" t="n">
        <f aca="false">Waterfall!AT7+Tax!AT27</f>
        <v>56.6886797816407</v>
      </c>
      <c r="CW10" s="13" t="n">
        <f aca="false">Waterfall!AU7+Tax!AU27</f>
        <v>56.721311119074</v>
      </c>
      <c r="CX10" s="13" t="n">
        <f aca="false">Waterfall!AV7+Tax!AV27</f>
        <v>56.9841599291948</v>
      </c>
      <c r="CY10" s="13" t="n">
        <f aca="false">Waterfall!AW7+Tax!AW27</f>
        <v>56.6478805136144</v>
      </c>
      <c r="CZ10" s="13" t="n">
        <f aca="false">Waterfall!AX7+Tax!AX27</f>
        <v>57.4082088417327</v>
      </c>
      <c r="DA10" s="13" t="n">
        <f aca="false">Waterfall!AY7+Tax!AY27</f>
        <v>57.1390725950605</v>
      </c>
      <c r="DB10" s="13" t="n">
        <f aca="false">Waterfall!AZ7+Tax!AZ27</f>
        <v>58.0451061493828</v>
      </c>
      <c r="DC10" s="13" t="n">
        <f aca="false">Waterfall!BA7+Tax!BA27</f>
        <v>57.9643273178472</v>
      </c>
      <c r="DD10" s="13" t="n">
        <f aca="false">Waterfall!BB7+Tax!BB27</f>
        <v>59.2297776573586</v>
      </c>
      <c r="DE10" s="13" t="n">
        <f aca="false">Waterfall!BC7+Tax!BC27</f>
        <v>59.1026417519163</v>
      </c>
      <c r="DF10" s="13" t="n">
        <f aca="false">Waterfall!BD7+Tax!BD27</f>
        <v>57.1109213104329</v>
      </c>
      <c r="DG10" s="13" t="n">
        <f aca="false">Waterfall!BE7+Tax!BE27</f>
        <v>56.8578697219614</v>
      </c>
      <c r="DH10" s="13" t="n">
        <f aca="false">Waterfall!BF7+Tax!BF27</f>
        <v>57.8191360633766</v>
      </c>
      <c r="DI10" s="13" t="n">
        <f aca="false">Waterfall!BG7+Tax!BG27</f>
        <v>57.6142238245543</v>
      </c>
      <c r="DJ10" s="13" t="n">
        <f aca="false">Waterfall!BH7+Tax!BH27</f>
        <v>58.702210073034</v>
      </c>
      <c r="DK10" s="13" t="n">
        <f aca="false">Waterfall!BI7+Tax!BI27</f>
        <v>58.6041886225266</v>
      </c>
      <c r="DL10" s="13" t="n">
        <f aca="false">Waterfall!BJ7+Tax!BJ27</f>
        <v>61.6027265558828</v>
      </c>
      <c r="DM10" s="13" t="n">
        <f aca="false">Waterfall!BK7+Tax!BK27</f>
        <v>61.8307916071166</v>
      </c>
      <c r="DN10" s="13" t="n">
        <f aca="false">Waterfall!BL7+Tax!BL27</f>
        <v>62.9020024211515</v>
      </c>
      <c r="DO10" s="13" t="n">
        <f aca="false">Waterfall!BM7+Tax!BM27</f>
        <v>48.429458583185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1958</v>
      </c>
      <c r="E11" s="0" t="s">
        <v>151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-32.1927121351359</v>
      </c>
      <c r="M11" s="13" t="n">
        <f aca="false">L11+M8</f>
        <v>-33.0191757820984</v>
      </c>
      <c r="N11" s="13" t="n">
        <f aca="false">M11+N8</f>
        <v>-34.1875275894677</v>
      </c>
      <c r="O11" s="13" t="n">
        <f aca="false">N11+O8</f>
        <v>-35.8698630916293</v>
      </c>
      <c r="P11" s="13" t="n">
        <f aca="false">O11+P8</f>
        <v>-38.1881314518727</v>
      </c>
      <c r="Q11" s="13" t="n">
        <f aca="false">P11+Q8</f>
        <v>-41.2123621726707</v>
      </c>
      <c r="R11" s="13" t="n">
        <f aca="false">Q11+R8</f>
        <v>-45.0510975500769</v>
      </c>
      <c r="S11" s="13" t="n">
        <f aca="false">R11+S8</f>
        <v>-49.7016027395498</v>
      </c>
      <c r="T11" s="13" t="n">
        <f aca="false">S11+T8</f>
        <v>-55.1787230004971</v>
      </c>
      <c r="U11" s="13" t="n">
        <f aca="false">T11+U8</f>
        <v>-61.429222666835</v>
      </c>
      <c r="V11" s="13" t="n">
        <f aca="false">U11+V8</f>
        <v>-68.4214273962631</v>
      </c>
      <c r="W11" s="13" t="n">
        <f aca="false">V11+W8</f>
        <v>-76.0657611421546</v>
      </c>
      <c r="X11" s="13" t="n">
        <f aca="false">W11+X8</f>
        <v>-84.2524320540948</v>
      </c>
      <c r="Y11" s="13" t="n">
        <f aca="false">X11+Y8</f>
        <v>-92.8881205400745</v>
      </c>
      <c r="Z11" s="13" t="n">
        <f aca="false">Y11+Z8</f>
        <v>-101.822814428643</v>
      </c>
      <c r="AA11" s="13" t="n">
        <f aca="false">Z11+AA8</f>
        <v>-110.944904388879</v>
      </c>
      <c r="AB11" s="13" t="n">
        <f aca="false">AA11+AB8</f>
        <v>-120.407556643181</v>
      </c>
      <c r="AC11" s="13" t="n">
        <f aca="false">AB11+AC8</f>
        <v>-129.433871419036</v>
      </c>
      <c r="AD11" s="13" t="n">
        <f aca="false">AC11+AD8</f>
        <v>-138.245885435577</v>
      </c>
      <c r="AE11" s="13" t="n">
        <f aca="false">AD11+AE8</f>
        <v>-146.669717970125</v>
      </c>
      <c r="AF11" s="13" t="n">
        <f aca="false">AE11+AF8</f>
        <v>-154.617876694365</v>
      </c>
      <c r="AG11" s="13" t="n">
        <f aca="false">AF11+AG8</f>
        <v>-161.954435533006</v>
      </c>
      <c r="AH11" s="13" t="n">
        <f aca="false">AG11+AH8</f>
        <v>-168.628973954663</v>
      </c>
      <c r="AI11" s="13" t="n">
        <f aca="false">AH11+AI8</f>
        <v>-174.561498816593</v>
      </c>
      <c r="AJ11" s="13" t="n">
        <f aca="false">AI11+AJ8</f>
        <v>-179.696976783427</v>
      </c>
      <c r="AK11" s="13" t="n">
        <f aca="false">AJ11+AK8</f>
        <v>-184.063216688552</v>
      </c>
      <c r="AL11" s="13" t="n">
        <f aca="false">AK11+AL8</f>
        <v>-187.646169139423</v>
      </c>
      <c r="AM11" s="13" t="n">
        <f aca="false">AL11+AM8</f>
        <v>-190.538907709562</v>
      </c>
      <c r="AN11" s="13" t="n">
        <f aca="false">AM11+AN8</f>
        <v>-192.813357252138</v>
      </c>
      <c r="AO11" s="13" t="n">
        <f aca="false">AN11+AO8</f>
        <v>-194.53461426158</v>
      </c>
      <c r="AP11" s="13" t="n">
        <f aca="false">AO11+AP8</f>
        <v>-195.971444448435</v>
      </c>
      <c r="AQ11" s="13" t="n">
        <f aca="false">AP11+AQ8</f>
        <v>-210.047327288792</v>
      </c>
      <c r="AR11" s="13" t="n">
        <f aca="false">AQ11+AR8</f>
        <v>-220.897131573982</v>
      </c>
      <c r="AS11" s="13" t="n">
        <f aca="false">AR11+AS8</f>
        <v>-221.861651100822</v>
      </c>
      <c r="AT11" s="13" t="n">
        <f aca="false">AS11+AT8</f>
        <v>-221.861651100822</v>
      </c>
      <c r="AU11" s="13" t="n">
        <f aca="false">AT11+AU8</f>
        <v>-221.861651100822</v>
      </c>
      <c r="AV11" s="13" t="n">
        <f aca="false">AU11+AV8</f>
        <v>-221.861651100822</v>
      </c>
      <c r="AW11" s="13" t="n">
        <f aca="false">AV11+AW8</f>
        <v>-221.861651100822</v>
      </c>
      <c r="AX11" s="13" t="n">
        <f aca="false">AW11+AX8</f>
        <v>-221.861651100822</v>
      </c>
      <c r="AY11" s="13" t="n">
        <f aca="false">AX11+AY8</f>
        <v>-221.861651100822</v>
      </c>
      <c r="AZ11" s="13" t="n">
        <f aca="false">AY11+AZ8</f>
        <v>-221.861651100822</v>
      </c>
      <c r="BA11" s="13" t="n">
        <f aca="false">AZ11+BA8</f>
        <v>-221.861651100822</v>
      </c>
      <c r="BB11" s="13" t="n">
        <f aca="false">BA11+BB8</f>
        <v>-221.861651100822</v>
      </c>
      <c r="BC11" s="13" t="n">
        <f aca="false">BB11+BC8</f>
        <v>-221.861651100822</v>
      </c>
      <c r="BD11" s="13" t="n">
        <f aca="false">BC11+BD8</f>
        <v>-221.861651100822</v>
      </c>
      <c r="BE11" s="13" t="n">
        <f aca="false">BD11+BE8</f>
        <v>-221.861651100822</v>
      </c>
      <c r="BF11" s="13" t="n">
        <f aca="false">BE11+BF8</f>
        <v>-221.861651100822</v>
      </c>
      <c r="BG11" s="13" t="n">
        <f aca="false">BF11+BG8</f>
        <v>-221.861651100822</v>
      </c>
      <c r="BH11" s="13" t="n">
        <f aca="false">BG11+BH8</f>
        <v>-221.861651100822</v>
      </c>
      <c r="BI11" s="13" t="n">
        <f aca="false">BH11+BI8</f>
        <v>-221.861651100822</v>
      </c>
      <c r="BJ11" s="13" t="n">
        <f aca="false">BI11+BJ8</f>
        <v>-221.861651100822</v>
      </c>
      <c r="BK11" s="13" t="n">
        <f aca="false">BJ11+BK8</f>
        <v>-221.861651100822</v>
      </c>
      <c r="BL11" s="13" t="n">
        <f aca="false">BK11+BL8</f>
        <v>-221.861651100822</v>
      </c>
      <c r="BM11" s="13" t="n">
        <f aca="false">BL11+BM8</f>
        <v>-221.861651100822</v>
      </c>
      <c r="BN11" s="13" t="n">
        <f aca="false">BM11+BN8</f>
        <v>-221.861651100822</v>
      </c>
      <c r="BO11" s="13" t="n">
        <f aca="false">BN11+BO8</f>
        <v>-221.861651100822</v>
      </c>
      <c r="BP11" s="13" t="n">
        <f aca="false">BO11+BP8</f>
        <v>-221.861651100822</v>
      </c>
      <c r="BQ11" s="13" t="n">
        <f aca="false">BP11+BQ8</f>
        <v>-221.861651100822</v>
      </c>
      <c r="BR11" s="13" t="n">
        <f aca="false">BQ11+BR8</f>
        <v>-206.801104455402</v>
      </c>
      <c r="BS11" s="13" t="n">
        <f aca="false">BR11+BS8</f>
        <v>-194.230719422202</v>
      </c>
      <c r="BT11" s="13" t="n">
        <f aca="false">BS11+BT8</f>
        <v>-180.686690502415</v>
      </c>
      <c r="BU11" s="13" t="n">
        <f aca="false">BT11+BU8</f>
        <v>-167.928181128711</v>
      </c>
      <c r="BV11" s="13" t="n">
        <f aca="false">BU11+BV8</f>
        <v>-154.428137146473</v>
      </c>
      <c r="BW11" s="13" t="n">
        <f aca="false">BV11+BW8</f>
        <v>-141.854577276229</v>
      </c>
      <c r="BX11" s="13" t="n">
        <f aca="false">BW11+BX8</f>
        <v>-128.022162822627</v>
      </c>
      <c r="BY11" s="13" t="n">
        <f aca="false">BX11+BY8</f>
        <v>-113.390364789194</v>
      </c>
      <c r="BZ11" s="13" t="n">
        <f aca="false">BY11+BZ8</f>
        <v>-99.7960683910032</v>
      </c>
      <c r="CA11" s="13" t="n">
        <f aca="false">BZ11+CA8</f>
        <v>-86.9398280201605</v>
      </c>
      <c r="CB11" s="13" t="n">
        <f aca="false">CA11+CB8</f>
        <v>-73.3407056658066</v>
      </c>
      <c r="CC11" s="13" t="n">
        <f aca="false">CB11+CC8</f>
        <v>-66.9243177786392</v>
      </c>
      <c r="CD11" s="13" t="n">
        <f aca="false">CC11+CD8</f>
        <v>-59.4206664539958</v>
      </c>
      <c r="CE11" s="13" t="n">
        <f aca="false">CD11+CE8</f>
        <v>-52.1776592137354</v>
      </c>
      <c r="CF11" s="13" t="n">
        <f aca="false">CE11+CF8</f>
        <v>-43.6880255969502</v>
      </c>
      <c r="CG11" s="13" t="n">
        <f aca="false">CF11+CG8</f>
        <v>-34.4130847250834</v>
      </c>
      <c r="CH11" s="13" t="n">
        <f aca="false">CG11+CH8</f>
        <v>-24.1182850131828</v>
      </c>
      <c r="CI11" s="13" t="n">
        <f aca="false">CH11+CI8</f>
        <v>-13.2831855199185</v>
      </c>
      <c r="CJ11" s="13" t="n">
        <f aca="false">CI11+CJ8</f>
        <v>-0.92098421604836</v>
      </c>
      <c r="CK11" s="13" t="n">
        <f aca="false">CJ11+CK8</f>
        <v>12.4407745732731</v>
      </c>
      <c r="CL11" s="13" t="n">
        <f aca="false">CK11+CL8</f>
        <v>32.5844974443097</v>
      </c>
      <c r="CM11" s="13" t="n">
        <f aca="false">CL11+CM8</f>
        <v>65.0855749135923</v>
      </c>
      <c r="CN11" s="13" t="n">
        <f aca="false">CM11+CN8</f>
        <v>95.4465569080017</v>
      </c>
      <c r="CO11" s="13" t="n">
        <f aca="false">CN11+CO8</f>
        <v>124.692717516202</v>
      </c>
      <c r="CP11" s="13" t="n">
        <f aca="false">CO11+CP8</f>
        <v>149.092649928051</v>
      </c>
      <c r="CQ11" s="13" t="n">
        <f aca="false">CP11+CQ8</f>
        <v>191.583464576869</v>
      </c>
      <c r="CR11" s="13" t="n">
        <f aca="false">CQ11+CR8</f>
        <v>234.512256757388</v>
      </c>
      <c r="CS11" s="13" t="n">
        <f aca="false">CR11+CS8</f>
        <v>277.034127473011</v>
      </c>
      <c r="CT11" s="13" t="n">
        <f aca="false">CS11+CT8</f>
        <v>320.220631868563</v>
      </c>
      <c r="CU11" s="13" t="n">
        <f aca="false">CT11+CU8</f>
        <v>363.202704097024</v>
      </c>
      <c r="CV11" s="13" t="n">
        <f aca="false">CU11+CV8</f>
        <v>413.203507657323</v>
      </c>
      <c r="CW11" s="13" t="n">
        <f aca="false">CV11+CW8</f>
        <v>458.769498793809</v>
      </c>
      <c r="CX11" s="13" t="n">
        <f aca="false">CW11+CX8</f>
        <v>504.554625199777</v>
      </c>
      <c r="CY11" s="13" t="n">
        <f aca="false">CX11+CY8</f>
        <v>549.933605199841</v>
      </c>
      <c r="CZ11" s="13" t="n">
        <f aca="false">CY11+CZ8</f>
        <v>596.015076962781</v>
      </c>
      <c r="DA11" s="13" t="n">
        <f aca="false">CZ11+DA8</f>
        <v>641.73546568654</v>
      </c>
      <c r="DB11" s="13" t="n">
        <f aca="false">DA11+DB8</f>
        <v>688.263408987992</v>
      </c>
      <c r="DC11" s="13" t="n">
        <f aca="false">DB11+DC8</f>
        <v>734.093438904689</v>
      </c>
      <c r="DD11" s="13" t="n">
        <f aca="false">DC11+DD8</f>
        <v>781.18444774721</v>
      </c>
      <c r="DE11" s="13" t="n">
        <f aca="false">DD11+DE8</f>
        <v>824.983514954493</v>
      </c>
      <c r="DF11" s="13" t="n">
        <f aca="false">DE11+DF8</f>
        <v>862.883765662618</v>
      </c>
      <c r="DG11" s="13" t="n">
        <f aca="false">DF11+DG8</f>
        <v>900.411741360913</v>
      </c>
      <c r="DH11" s="13" t="n">
        <f aca="false">DG11+DH8</f>
        <v>938.776544286765</v>
      </c>
      <c r="DI11" s="13" t="n">
        <f aca="false">DH11+DI8</f>
        <v>976.797480247611</v>
      </c>
      <c r="DJ11" s="13" t="n">
        <f aca="false">DI11+DJ8</f>
        <v>1015.74754725755</v>
      </c>
      <c r="DK11" s="13" t="n">
        <f aca="false">DJ11+DK8</f>
        <v>1054.45410362834</v>
      </c>
      <c r="DL11" s="13" t="n">
        <f aca="false">DK11+DL8</f>
        <v>1101.30667996071</v>
      </c>
      <c r="DM11" s="13" t="n">
        <f aca="false">DL11+DM8</f>
        <v>1142.9670800709</v>
      </c>
      <c r="DN11" s="13" t="n">
        <f aca="false">DM11+DN8</f>
        <v>1185.615167046</v>
      </c>
      <c r="DO11" s="13" t="n">
        <f aca="false">DN11+DO8</f>
        <v>1245.2376601598</v>
      </c>
      <c r="DP11" s="13" t="n">
        <f aca="false">DO11+DP8</f>
        <v>1245.2376601598</v>
      </c>
    </row>
    <row r="12" customFormat="false" ht="15" hidden="false" customHeight="false" outlineLevel="0" collapsed="false">
      <c r="D12" s="0" t="s">
        <v>1959</v>
      </c>
      <c r="E12" s="0" t="s">
        <v>105</v>
      </c>
      <c r="F12" s="20" t="n">
        <f aca="false">XIRR(Returns!$J$8:$DP$8,Returns!$J$7:$DP$7)</f>
        <v>0.135794039770109</v>
      </c>
    </row>
    <row r="13" customFormat="false" ht="15" hidden="false" customHeight="false" outlineLevel="0" collapsed="false">
      <c r="D13" s="0" t="s">
        <v>1960</v>
      </c>
      <c r="E13" s="0" t="s">
        <v>105</v>
      </c>
      <c r="F13" s="20" t="n">
        <f aca="false">XIRR(Returns!$J$9:$DP$9,Returns!$J$7:$DP$7,Inputs!$F$255)</f>
        <v>0.11133605822817</v>
      </c>
    </row>
    <row r="14" customFormat="false" ht="15" hidden="false" customHeight="false" outlineLevel="0" collapsed="false">
      <c r="D14" s="0" t="s">
        <v>1961</v>
      </c>
      <c r="E14" s="0" t="s">
        <v>105</v>
      </c>
      <c r="F14" s="20" t="n">
        <f aca="false">XIRR(Returns!$J$10:$DP$10,Returns!$J$7:$DP$7,Inputs!$F$255)</f>
        <v>0.118030281849266</v>
      </c>
    </row>
    <row r="15" customFormat="false" ht="15" hidden="false" customHeight="false" outlineLevel="0" collapsed="false">
      <c r="D15" s="0" t="s">
        <v>1962</v>
      </c>
      <c r="E15" s="0" t="s">
        <v>151</v>
      </c>
      <c r="F15" s="21" t="n">
        <f aca="false">XNPV(Inputs!$F$252/100,Returns!$J$8:$DP$8,Returns!$J$7:$DP$7)*(1+Inputs!$F$252/100)^((Inputs!$F$187-Inputs!$F$186)/Inputs!$F$248)</f>
        <v>-38.8223029364458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1964</v>
      </c>
      <c r="E7" s="0" t="s">
        <v>1965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1966</v>
      </c>
      <c r="E8" s="0" t="s">
        <v>1965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1967</v>
      </c>
      <c r="E9" s="0" t="s">
        <v>1965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1968</v>
      </c>
      <c r="E10" s="0" t="s">
        <v>1965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1969</v>
      </c>
      <c r="E11" s="0" t="s">
        <v>1965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1970</v>
      </c>
      <c r="E12" s="0" t="s">
        <v>1965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1971</v>
      </c>
      <c r="E13" s="0" t="s">
        <v>1965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1972</v>
      </c>
      <c r="E14" s="0" t="s">
        <v>1965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1973</v>
      </c>
      <c r="E15" s="0" t="s">
        <v>1965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1974</v>
      </c>
      <c r="E16" s="0" t="s">
        <v>1965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1975</v>
      </c>
      <c r="E17" s="0" t="s">
        <v>1965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1976</v>
      </c>
      <c r="E18" s="0" t="s">
        <v>1965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1977</v>
      </c>
      <c r="E19" s="0" t="s">
        <v>1965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1978</v>
      </c>
      <c r="E20" s="0" t="s">
        <v>1965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1979</v>
      </c>
      <c r="E21" s="0" t="s">
        <v>1965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1980</v>
      </c>
      <c r="E22" s="0" t="s">
        <v>1965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1981</v>
      </c>
      <c r="E23" s="0" t="s">
        <v>1965</v>
      </c>
      <c r="F23" s="3" t="n">
        <f aca="false">IF(AND(Inputs!$F$8=1,Inputs!$F$312=0),(Debt!$F$140&gt;Inputs!$F$1315)+(Debt!$F$138&gt;Inputs!$F$1316)+(Debt!$F$139&gt;Inputs!$F$1317/100)+(Debt!$F$141&gt;Inputs!$F$1318)+(Debt!$F$142&lt;Inputs!$F$1319/100),0)</f>
        <v>0</v>
      </c>
    </row>
    <row r="24" customFormat="false" ht="15" hidden="false" customHeight="false" outlineLevel="0" collapsed="false">
      <c r="D24" s="0" t="s">
        <v>1982</v>
      </c>
      <c r="E24" s="0" t="s">
        <v>1965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1983</v>
      </c>
      <c r="E25" s="0" t="s">
        <v>1965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1984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1985</v>
      </c>
      <c r="E7" s="0" t="s">
        <v>151</v>
      </c>
      <c r="F7" s="22" t="n">
        <f aca="false">Funding!$F$75</f>
        <v>855.201277193908</v>
      </c>
    </row>
    <row r="8" customFormat="false" ht="15" hidden="false" customHeight="false" outlineLevel="0" collapsed="false">
      <c r="D8" s="0" t="s">
        <v>1986</v>
      </c>
      <c r="E8" s="0" t="s">
        <v>151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1987</v>
      </c>
      <c r="E9" s="0" t="s">
        <v>151</v>
      </c>
      <c r="F9" s="22" t="n">
        <f aca="false">SUM(Funding!$J$67:$BJ$67)</f>
        <v>221.861651100822</v>
      </c>
    </row>
    <row r="10" customFormat="false" ht="15" hidden="false" customHeight="false" outlineLevel="0" collapsed="false">
      <c r="D10" s="0" t="s">
        <v>1988</v>
      </c>
      <c r="E10" s="0" t="s">
        <v>105</v>
      </c>
      <c r="F10" s="20" t="n">
        <f aca="false">SUM(Funding!$J$73:$BJ$73)/Funding!$F$75</f>
        <v>0.740573760800737</v>
      </c>
    </row>
    <row r="11" customFormat="false" ht="15" hidden="false" customHeight="false" outlineLevel="0" collapsed="false">
      <c r="D11" s="0" t="s">
        <v>1989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63.9045890979227</v>
      </c>
    </row>
    <row r="12" customFormat="false" ht="15" hidden="false" customHeight="false" outlineLevel="0" collapsed="false">
      <c r="D12" s="0" t="s">
        <v>1990</v>
      </c>
      <c r="E12" s="0" t="s">
        <v>151</v>
      </c>
      <c r="F12" s="22" t="n">
        <f aca="false">SUM(Funding!$J$40:$BJ$40)+SUM(Funding!$J$41:$BJ$41)+SUM(Funding!$J$42:$BJ$42)+SUM(Funding!$J$43:$BJ$43)</f>
        <v>20.8179476955976</v>
      </c>
    </row>
    <row r="13" customFormat="false" ht="15" hidden="false" customHeight="false" outlineLevel="0" collapsed="false">
      <c r="D13" s="0" t="s">
        <v>1991</v>
      </c>
      <c r="E13" s="0" t="s">
        <v>151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1992</v>
      </c>
      <c r="E14" s="0" t="s">
        <v>151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1993</v>
      </c>
      <c r="E15" s="0" t="s">
        <v>151</v>
      </c>
      <c r="F15" s="22" t="n">
        <f aca="false">SUM(Funding!$J$55:$BJ$55)</f>
        <v>0.083650550311674</v>
      </c>
    </row>
    <row r="16" customFormat="false" ht="15" hidden="false" customHeight="false" outlineLevel="0" collapsed="false">
      <c r="D16" s="0" t="s">
        <v>1994</v>
      </c>
      <c r="E16" s="0" t="s">
        <v>151</v>
      </c>
      <c r="F16" s="22" t="n">
        <f aca="false">SUM(Funding!$J$56:$BJ$56)</f>
        <v>0.027883516770558</v>
      </c>
    </row>
    <row r="17" customFormat="false" ht="15" hidden="false" customHeight="false" outlineLevel="0" collapsed="false">
      <c r="D17" s="0" t="s">
        <v>1945</v>
      </c>
      <c r="E17" s="0" t="s">
        <v>204</v>
      </c>
      <c r="F17" s="22" t="n">
        <f aca="false">Ratios!$F$16</f>
        <v>1.34925157909214</v>
      </c>
    </row>
    <row r="18" customFormat="false" ht="15" hidden="false" customHeight="false" outlineLevel="0" collapsed="false">
      <c r="D18" s="0" t="s">
        <v>1995</v>
      </c>
      <c r="E18" s="0" t="s">
        <v>204</v>
      </c>
      <c r="F18" s="22" t="n">
        <f aca="false">Ratios!$F$17</f>
        <v>1.55439175606743</v>
      </c>
    </row>
    <row r="19" customFormat="false" ht="15" hidden="false" customHeight="false" outlineLevel="0" collapsed="false">
      <c r="D19" s="0" t="s">
        <v>1996</v>
      </c>
      <c r="E19" s="0" t="s">
        <v>204</v>
      </c>
      <c r="F19" s="22" t="n">
        <f aca="false">Ratios!$F$18</f>
        <v>1.42886187100565</v>
      </c>
    </row>
    <row r="20" customFormat="false" ht="15" hidden="false" customHeight="false" outlineLevel="0" collapsed="false">
      <c r="D20" s="0" t="s">
        <v>1948</v>
      </c>
      <c r="E20" s="0" t="s">
        <v>204</v>
      </c>
      <c r="F20" s="22" t="n">
        <f aca="false">Ratios!$F$19</f>
        <v>1.89795924941188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0.135794039770109</v>
      </c>
    </row>
    <row r="22" customFormat="false" ht="15" hidden="false" customHeight="false" outlineLevel="0" collapsed="false">
      <c r="D22" s="0" t="s">
        <v>1997</v>
      </c>
      <c r="E22" s="0" t="s">
        <v>105</v>
      </c>
      <c r="F22" s="20" t="n">
        <f aca="false">Returns!$F$13</f>
        <v>0.11133605822817</v>
      </c>
    </row>
    <row r="23" customFormat="false" ht="15" hidden="false" customHeight="false" outlineLevel="0" collapsed="false">
      <c r="D23" s="0" t="s">
        <v>1998</v>
      </c>
      <c r="E23" s="0" t="s">
        <v>151</v>
      </c>
      <c r="F23" s="22" t="n">
        <f aca="false">Returns!$F$15</f>
        <v>-38.8223029364458</v>
      </c>
    </row>
    <row r="24" customFormat="false" ht="15" hidden="false" customHeight="false" outlineLevel="0" collapsed="false">
      <c r="D24" s="0" t="s">
        <v>1999</v>
      </c>
      <c r="E24" s="0" t="s">
        <v>1965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2000</v>
      </c>
    </row>
    <row r="27" customFormat="false" ht="15" hidden="false" customHeight="false" outlineLevel="0" collapsed="false">
      <c r="D27" s="2" t="s">
        <v>2001</v>
      </c>
      <c r="J27" s="2" t="s">
        <v>1985</v>
      </c>
      <c r="K27" s="2" t="s">
        <v>1986</v>
      </c>
      <c r="L27" s="2" t="s">
        <v>1987</v>
      </c>
      <c r="M27" s="2" t="s">
        <v>1988</v>
      </c>
      <c r="N27" s="2" t="s">
        <v>1989</v>
      </c>
      <c r="O27" s="2" t="s">
        <v>1990</v>
      </c>
      <c r="P27" s="2" t="s">
        <v>1991</v>
      </c>
      <c r="Q27" s="2" t="s">
        <v>1992</v>
      </c>
      <c r="R27" s="2" t="s">
        <v>1993</v>
      </c>
      <c r="S27" s="2" t="s">
        <v>1994</v>
      </c>
      <c r="T27" s="2" t="s">
        <v>1945</v>
      </c>
      <c r="U27" s="2" t="s">
        <v>1995</v>
      </c>
      <c r="V27" s="2" t="s">
        <v>1996</v>
      </c>
      <c r="W27" s="2" t="s">
        <v>1948</v>
      </c>
      <c r="X27" s="2" t="s">
        <v>436</v>
      </c>
      <c r="Y27" s="2" t="s">
        <v>1997</v>
      </c>
      <c r="Z27" s="2" t="s">
        <v>1998</v>
      </c>
    </row>
    <row r="28" customFormat="false" ht="15" hidden="false" customHeight="false" outlineLevel="0" collapsed="false">
      <c r="D28" s="0" t="s">
        <v>2002</v>
      </c>
      <c r="J28" s="23" t="n">
        <v>855.08974312685</v>
      </c>
      <c r="K28" s="23" t="n">
        <v>633.255975542774</v>
      </c>
      <c r="L28" s="23" t="n">
        <v>221.833767584058</v>
      </c>
      <c r="M28" s="24" t="n">
        <v>0.740572531284416</v>
      </c>
      <c r="N28" s="23" t="n">
        <v>63.8991478551823</v>
      </c>
      <c r="O28" s="23" t="n">
        <v>20.8187478987925</v>
      </c>
      <c r="P28" s="23" t="n">
        <v>20.6124820039179</v>
      </c>
      <c r="Q28" s="23" t="n">
        <v>37.2458954370954</v>
      </c>
      <c r="R28" s="23" t="n">
        <v>0</v>
      </c>
      <c r="S28" s="23" t="n">
        <v>0</v>
      </c>
      <c r="T28" s="23" t="n">
        <v>1.35000000007491</v>
      </c>
      <c r="U28" s="23" t="n">
        <v>1.53822812236178</v>
      </c>
      <c r="V28" s="23" t="n">
        <v>1.41911920120462</v>
      </c>
      <c r="W28" s="23" t="n">
        <v>1.85972818960051</v>
      </c>
      <c r="X28" s="24" t="n">
        <v>0.132662203987854</v>
      </c>
      <c r="Y28" s="24" t="n">
        <v>0.109610228238084</v>
      </c>
      <c r="Z28" s="23" t="n">
        <v>-43.0674358225566</v>
      </c>
    </row>
    <row r="29" customFormat="false" ht="15" hidden="false" customHeight="false" outlineLevel="0" collapsed="false">
      <c r="D29" s="0" t="s">
        <v>2003</v>
      </c>
      <c r="J29" s="23" t="n">
        <v>855.08974312685</v>
      </c>
      <c r="K29" s="23" t="n">
        <v>633.255975542774</v>
      </c>
      <c r="L29" s="23" t="n">
        <v>221.833767584058</v>
      </c>
      <c r="M29" s="24" t="n">
        <v>0.740572531284416</v>
      </c>
      <c r="N29" s="23" t="n">
        <v>63.8991478551823</v>
      </c>
      <c r="O29" s="23" t="n">
        <v>20.8187478987925</v>
      </c>
      <c r="P29" s="23" t="n">
        <v>20.6124820039179</v>
      </c>
      <c r="Q29" s="23" t="n">
        <v>37.2458954370954</v>
      </c>
      <c r="R29" s="23" t="n">
        <v>0</v>
      </c>
      <c r="S29" s="23" t="n">
        <v>0</v>
      </c>
      <c r="T29" s="23" t="n">
        <v>1.34777442930408</v>
      </c>
      <c r="U29" s="23" t="n">
        <v>1.53597832429625</v>
      </c>
      <c r="V29" s="23" t="n">
        <v>1.41735387637655</v>
      </c>
      <c r="W29" s="23" t="n">
        <v>1.85720343233978</v>
      </c>
      <c r="X29" s="24" t="n">
        <v>0.132324210035034</v>
      </c>
      <c r="Y29" s="24" t="n">
        <v>0.109453951121722</v>
      </c>
      <c r="Z29" s="23" t="n">
        <v>-43.6041818045458</v>
      </c>
    </row>
    <row r="30" customFormat="false" ht="15" hidden="false" customHeight="false" outlineLevel="0" collapsed="false">
      <c r="D30" s="0" t="s">
        <v>2004</v>
      </c>
      <c r="J30" s="23" t="n">
        <v>855.08974312685</v>
      </c>
      <c r="K30" s="23" t="n">
        <v>633.255975542774</v>
      </c>
      <c r="L30" s="23" t="n">
        <v>221.833767584058</v>
      </c>
      <c r="M30" s="24" t="n">
        <v>0.740572531284416</v>
      </c>
      <c r="N30" s="23" t="n">
        <v>63.8991478551823</v>
      </c>
      <c r="O30" s="23" t="n">
        <v>20.8187478987925</v>
      </c>
      <c r="P30" s="23" t="n">
        <v>20.6124820039179</v>
      </c>
      <c r="Q30" s="23" t="n">
        <v>37.2458954370954</v>
      </c>
      <c r="R30" s="23" t="n">
        <v>0</v>
      </c>
      <c r="S30" s="23" t="n">
        <v>0</v>
      </c>
      <c r="T30" s="23" t="n">
        <v>1.20035870381227</v>
      </c>
      <c r="U30" s="23" t="n">
        <v>1.37628354287749</v>
      </c>
      <c r="V30" s="23" t="n">
        <v>1.30614024892093</v>
      </c>
      <c r="W30" s="23" t="n">
        <v>1.71780585814861</v>
      </c>
      <c r="X30" s="24" t="n">
        <v>0.113604871033352</v>
      </c>
      <c r="Y30" s="24" t="n">
        <v>0.100651471285979</v>
      </c>
      <c r="Z30" s="23" t="n">
        <v>-73.6294296527948</v>
      </c>
    </row>
    <row r="31" customFormat="false" ht="15" hidden="false" customHeight="false" outlineLevel="0" collapsed="false">
      <c r="D31" s="0" t="s">
        <v>2005</v>
      </c>
      <c r="J31" s="23" t="n">
        <v>855.08974312685</v>
      </c>
      <c r="K31" s="23" t="n">
        <v>633.255975542774</v>
      </c>
      <c r="L31" s="23" t="n">
        <v>221.833767584058</v>
      </c>
      <c r="M31" s="24" t="n">
        <v>0.740572531284416</v>
      </c>
      <c r="N31" s="23" t="n">
        <v>63.8991478551823</v>
      </c>
      <c r="O31" s="23" t="n">
        <v>20.8187478987925</v>
      </c>
      <c r="P31" s="23" t="n">
        <v>20.6124820039179</v>
      </c>
      <c r="Q31" s="23" t="n">
        <v>37.2458954370954</v>
      </c>
      <c r="R31" s="23" t="n">
        <v>0</v>
      </c>
      <c r="S31" s="23" t="n">
        <v>0</v>
      </c>
      <c r="T31" s="23" t="n">
        <v>1.32090776164262</v>
      </c>
      <c r="U31" s="23" t="n">
        <v>1.53355935298063</v>
      </c>
      <c r="V31" s="23" t="n">
        <v>1.41716762939096</v>
      </c>
      <c r="W31" s="23" t="n">
        <v>1.85590685257358</v>
      </c>
      <c r="X31" s="24" t="n">
        <v>0.132391894286634</v>
      </c>
      <c r="Y31" s="24" t="n">
        <v>0.109455861578515</v>
      </c>
      <c r="Z31" s="23" t="n">
        <v>-43.3724878193095</v>
      </c>
    </row>
    <row r="32" customFormat="false" ht="15" hidden="false" customHeight="false" outlineLevel="0" collapsed="false">
      <c r="D32" s="0" t="s">
        <v>2006</v>
      </c>
      <c r="J32" s="23" t="n">
        <v>855.08974312685</v>
      </c>
      <c r="K32" s="23" t="n">
        <v>633.255975542774</v>
      </c>
      <c r="L32" s="23" t="n">
        <v>221.833767584058</v>
      </c>
      <c r="M32" s="24" t="n">
        <v>0.740572531284416</v>
      </c>
      <c r="N32" s="23" t="n">
        <v>63.8991478551823</v>
      </c>
      <c r="O32" s="23" t="n">
        <v>20.8187478987925</v>
      </c>
      <c r="P32" s="23" t="n">
        <v>20.6124820039179</v>
      </c>
      <c r="Q32" s="23" t="n">
        <v>37.2458954370954</v>
      </c>
      <c r="R32" s="23" t="n">
        <v>0</v>
      </c>
      <c r="S32" s="23" t="n">
        <v>0</v>
      </c>
      <c r="T32" s="23" t="n">
        <v>1.30330028783726</v>
      </c>
      <c r="U32" s="23" t="n">
        <v>1.49194512474653</v>
      </c>
      <c r="V32" s="23" t="n">
        <v>1.38458928528038</v>
      </c>
      <c r="W32" s="23" t="n">
        <v>1.80529643069646</v>
      </c>
      <c r="X32" s="24" t="n">
        <v>0.125412242079792</v>
      </c>
      <c r="Y32" s="24" t="n">
        <v>0.106229479414503</v>
      </c>
      <c r="Z32" s="23" t="n">
        <v>-54.6045851475661</v>
      </c>
    </row>
    <row r="33" customFormat="false" ht="15" hidden="false" customHeight="false" outlineLevel="0" collapsed="false">
      <c r="D33" s="0" t="s">
        <v>2007</v>
      </c>
      <c r="J33" s="23" t="n">
        <v>855.08974312685</v>
      </c>
      <c r="K33" s="23" t="n">
        <v>633.255975542774</v>
      </c>
      <c r="L33" s="23" t="n">
        <v>221.833767584058</v>
      </c>
      <c r="M33" s="24" t="n">
        <v>0.740572531284416</v>
      </c>
      <c r="N33" s="23" t="n">
        <v>63.8991478551823</v>
      </c>
      <c r="O33" s="23" t="n">
        <v>20.8187478987925</v>
      </c>
      <c r="P33" s="23" t="n">
        <v>20.6124820039179</v>
      </c>
      <c r="Q33" s="23" t="n">
        <v>37.2458954370954</v>
      </c>
      <c r="R33" s="23" t="n">
        <v>0</v>
      </c>
      <c r="S33" s="23" t="n">
        <v>0</v>
      </c>
      <c r="T33" s="23" t="n">
        <v>1.31905245222409</v>
      </c>
      <c r="U33" s="23" t="n">
        <v>1.50731891410778</v>
      </c>
      <c r="V33" s="23" t="n">
        <v>1.39621346331537</v>
      </c>
      <c r="W33" s="23" t="n">
        <v>1.82299267792293</v>
      </c>
      <c r="X33" s="24" t="n">
        <v>0.127789379319678</v>
      </c>
      <c r="Y33" s="24" t="n">
        <v>0.10733810057655</v>
      </c>
      <c r="Z33" s="23" t="n">
        <v>-50.7974703672302</v>
      </c>
    </row>
    <row r="34" customFormat="false" ht="15" hidden="false" customHeight="false" outlineLevel="0" collapsed="false">
      <c r="D34" s="0" t="s">
        <v>2008</v>
      </c>
      <c r="J34" s="23" t="n">
        <v>936.432450796764</v>
      </c>
      <c r="K34" s="23" t="n">
        <v>693.496150462995</v>
      </c>
      <c r="L34" s="23" t="n">
        <v>242.936300333335</v>
      </c>
      <c r="M34" s="24" t="n">
        <v>0.740572531284416</v>
      </c>
      <c r="N34" s="23" t="n">
        <v>69.8332150563923</v>
      </c>
      <c r="O34" s="23" t="n">
        <v>22.6841045265809</v>
      </c>
      <c r="P34" s="23" t="n">
        <v>22.5732996975846</v>
      </c>
      <c r="Q34" s="23" t="n">
        <v>40.8400145911588</v>
      </c>
      <c r="R34" s="23" t="n">
        <v>0</v>
      </c>
      <c r="S34" s="23" t="n">
        <v>0</v>
      </c>
      <c r="T34" s="23" t="n">
        <v>1.23095191748826</v>
      </c>
      <c r="U34" s="23" t="n">
        <v>1.3845957597332</v>
      </c>
      <c r="V34" s="23" t="n">
        <v>1.30830586147886</v>
      </c>
      <c r="W34" s="23" t="n">
        <v>1.72571008101997</v>
      </c>
      <c r="X34" s="24" t="n">
        <v>0.114367090881062</v>
      </c>
      <c r="Y34" s="24" t="n">
        <v>0.101137787910326</v>
      </c>
      <c r="Z34" s="23" t="n">
        <v>-79.9756064768368</v>
      </c>
    </row>
    <row r="35" customFormat="false" ht="15" hidden="false" customHeight="false" outlineLevel="0" collapsed="false">
      <c r="D35" s="0" t="s">
        <v>2009</v>
      </c>
      <c r="J35" s="23" t="n">
        <v>888.150681571328</v>
      </c>
      <c r="K35" s="23" t="n">
        <v>657.739998413145</v>
      </c>
      <c r="L35" s="23" t="n">
        <v>230.41068315807</v>
      </c>
      <c r="M35" s="24" t="n">
        <v>0.740572531284416</v>
      </c>
      <c r="N35" s="23" t="n">
        <v>84.4070410521322</v>
      </c>
      <c r="O35" s="23" t="n">
        <v>22.5895815874592</v>
      </c>
      <c r="P35" s="23" t="n">
        <v>21.4094369483515</v>
      </c>
      <c r="Q35" s="23" t="n">
        <v>39.5901571901136</v>
      </c>
      <c r="R35" s="23" t="n">
        <v>0</v>
      </c>
      <c r="S35" s="23" t="n">
        <v>0</v>
      </c>
      <c r="T35" s="23" t="n">
        <v>1.2541918664069</v>
      </c>
      <c r="U35" s="23" t="n">
        <v>1.44735674902185</v>
      </c>
      <c r="V35" s="23" t="n">
        <v>1.34990102842378</v>
      </c>
      <c r="W35" s="23" t="n">
        <v>1.81204226648804</v>
      </c>
      <c r="X35" s="24" t="n">
        <v>0.120686888761948</v>
      </c>
      <c r="Y35" s="24" t="n">
        <v>0.104405628455969</v>
      </c>
      <c r="Z35" s="23" t="n">
        <v>-66.214655582032</v>
      </c>
    </row>
    <row r="36" customFormat="false" ht="15" hidden="false" customHeight="false" outlineLevel="0" collapsed="false">
      <c r="D36" s="0" t="s">
        <v>2010</v>
      </c>
      <c r="J36" s="23" t="n">
        <v>855.08974312685</v>
      </c>
      <c r="K36" s="23" t="n">
        <v>633.255975542774</v>
      </c>
      <c r="L36" s="23" t="n">
        <v>221.833767584058</v>
      </c>
      <c r="M36" s="24" t="n">
        <v>0.740572531284416</v>
      </c>
      <c r="N36" s="23" t="n">
        <v>63.8991478551823</v>
      </c>
      <c r="O36" s="23" t="n">
        <v>20.8187478987925</v>
      </c>
      <c r="P36" s="23" t="n">
        <v>20.6124820039179</v>
      </c>
      <c r="Q36" s="23" t="n">
        <v>37.2458954370954</v>
      </c>
      <c r="R36" s="23" t="n">
        <v>0</v>
      </c>
      <c r="S36" s="23" t="n">
        <v>0</v>
      </c>
      <c r="T36" s="23" t="n">
        <v>1.29745914957028</v>
      </c>
      <c r="U36" s="23" t="n">
        <v>1.51308543168391</v>
      </c>
      <c r="V36" s="23" t="n">
        <v>1.3962916085497</v>
      </c>
      <c r="W36" s="23" t="n">
        <v>1.84131646975427</v>
      </c>
      <c r="X36" s="24" t="n">
        <v>0.129260939715468</v>
      </c>
      <c r="Y36" s="24" t="n">
        <v>0.109925824767384</v>
      </c>
      <c r="Z36" s="23" t="n">
        <v>-49.1619266394003</v>
      </c>
    </row>
    <row r="37" customFormat="false" ht="15" hidden="false" customHeight="false" outlineLevel="0" collapsed="false">
      <c r="D37" s="0" t="s">
        <v>2011</v>
      </c>
      <c r="J37" s="23" t="n">
        <v>855.08974312685</v>
      </c>
      <c r="K37" s="23" t="n">
        <v>633.255975542774</v>
      </c>
      <c r="L37" s="23" t="n">
        <v>221.833767584058</v>
      </c>
      <c r="M37" s="24" t="n">
        <v>0.740572531284416</v>
      </c>
      <c r="N37" s="23" t="n">
        <v>63.8991478551823</v>
      </c>
      <c r="O37" s="23" t="n">
        <v>20.8187478987925</v>
      </c>
      <c r="P37" s="23" t="n">
        <v>20.6124820039179</v>
      </c>
      <c r="Q37" s="23" t="n">
        <v>37.2458954370954</v>
      </c>
      <c r="R37" s="23" t="n">
        <v>0</v>
      </c>
      <c r="S37" s="23" t="n">
        <v>0</v>
      </c>
      <c r="T37" s="23" t="n">
        <v>0.450935321173758</v>
      </c>
      <c r="U37" s="23" t="n">
        <v>1.51534511496452</v>
      </c>
      <c r="V37" s="23" t="n">
        <v>1.39961356023434</v>
      </c>
      <c r="W37" s="23" t="n">
        <v>1.82923204781682</v>
      </c>
      <c r="X37" s="24" t="n">
        <v>0.128571828791842</v>
      </c>
      <c r="Y37" s="24" t="n">
        <v>0.107574219959659</v>
      </c>
      <c r="Z37" s="23" t="n">
        <v>-49.8504188728201</v>
      </c>
    </row>
    <row r="38" customFormat="false" ht="15" hidden="false" customHeight="false" outlineLevel="0" collapsed="false">
      <c r="D38" s="0" t="s">
        <v>2012</v>
      </c>
      <c r="J38" s="23" t="n">
        <v>855.08974312685</v>
      </c>
      <c r="K38" s="23" t="n">
        <v>633.255975542774</v>
      </c>
      <c r="L38" s="23" t="n">
        <v>221.833767584058</v>
      </c>
      <c r="M38" s="24" t="n">
        <v>0.740572531284416</v>
      </c>
      <c r="N38" s="23" t="n">
        <v>63.8991478551823</v>
      </c>
      <c r="O38" s="23" t="n">
        <v>20.8187478987925</v>
      </c>
      <c r="P38" s="23" t="n">
        <v>20.6124820039179</v>
      </c>
      <c r="Q38" s="23" t="n">
        <v>37.2458954370954</v>
      </c>
      <c r="R38" s="23" t="n">
        <v>0</v>
      </c>
      <c r="S38" s="23" t="n">
        <v>0</v>
      </c>
      <c r="T38" s="23" t="n">
        <v>0.130444886496081</v>
      </c>
      <c r="U38" s="23" t="n">
        <v>1.53886123283355</v>
      </c>
      <c r="V38" s="23" t="n">
        <v>1.41517949605863</v>
      </c>
      <c r="W38" s="23" t="n">
        <v>1.85578848445451</v>
      </c>
      <c r="X38" s="24" t="n">
        <v>0.132017513723027</v>
      </c>
      <c r="Y38" s="24" t="n">
        <v>0.109064432927485</v>
      </c>
      <c r="Z38" s="23" t="n">
        <v>-44.4643200177927</v>
      </c>
    </row>
    <row r="39" customFormat="false" ht="15" hidden="false" customHeight="false" outlineLevel="0" collapsed="false">
      <c r="D39" s="0" t="s">
        <v>2013</v>
      </c>
      <c r="J39" s="23" t="n">
        <v>855.08974312685</v>
      </c>
      <c r="K39" s="23" t="n">
        <v>633.255975542774</v>
      </c>
      <c r="L39" s="23" t="n">
        <v>221.833767584058</v>
      </c>
      <c r="M39" s="24" t="n">
        <v>0.740572531284416</v>
      </c>
      <c r="N39" s="23" t="n">
        <v>63.8991478551823</v>
      </c>
      <c r="O39" s="23" t="n">
        <v>20.8187478987925</v>
      </c>
      <c r="P39" s="23" t="n">
        <v>20.6124820039179</v>
      </c>
      <c r="Q39" s="23" t="n">
        <v>37.2458954370954</v>
      </c>
      <c r="R39" s="23" t="n">
        <v>0</v>
      </c>
      <c r="S39" s="23" t="n">
        <v>0</v>
      </c>
      <c r="T39" s="23" t="n">
        <v>1.33689386092952</v>
      </c>
      <c r="U39" s="23" t="n">
        <v>1.52612440396148</v>
      </c>
      <c r="V39" s="23" t="n">
        <v>1.40968412595891</v>
      </c>
      <c r="W39" s="23" t="n">
        <v>1.845724780068</v>
      </c>
      <c r="X39" s="24" t="n">
        <v>0.130780953205292</v>
      </c>
      <c r="Y39" s="24" t="n">
        <v>0.108746529375256</v>
      </c>
      <c r="Z39" s="23" t="n">
        <v>-46.0838558026791</v>
      </c>
    </row>
    <row r="40" customFormat="false" ht="15" hidden="false" customHeight="false" outlineLevel="0" collapsed="false">
      <c r="D40" s="0" t="s">
        <v>2014</v>
      </c>
      <c r="J40" s="23" t="n">
        <v>855.08974312685</v>
      </c>
      <c r="K40" s="23" t="n">
        <v>633.255975542774</v>
      </c>
      <c r="L40" s="23" t="n">
        <v>221.833767584058</v>
      </c>
      <c r="M40" s="24" t="n">
        <v>0.740572531284416</v>
      </c>
      <c r="N40" s="23" t="n">
        <v>63.8991478551823</v>
      </c>
      <c r="O40" s="23" t="n">
        <v>20.8187478987925</v>
      </c>
      <c r="P40" s="23" t="n">
        <v>20.6124820039179</v>
      </c>
      <c r="Q40" s="23" t="n">
        <v>37.2458954370954</v>
      </c>
      <c r="R40" s="23" t="n">
        <v>0</v>
      </c>
      <c r="S40" s="23" t="n">
        <v>0</v>
      </c>
      <c r="T40" s="23" t="n">
        <v>1.35051420142753</v>
      </c>
      <c r="U40" s="23" t="n">
        <v>1.53853184315627</v>
      </c>
      <c r="V40" s="23" t="n">
        <v>1.41949810707992</v>
      </c>
      <c r="W40" s="23" t="n">
        <v>1.85963885728736</v>
      </c>
      <c r="X40" s="24" t="n">
        <v>0.132716441279551</v>
      </c>
      <c r="Y40" s="24" t="n">
        <v>0.109626722899801</v>
      </c>
      <c r="Z40" s="23" t="n">
        <v>-42.9521281527936</v>
      </c>
    </row>
    <row r="41" customFormat="false" ht="15" hidden="false" customHeight="false" outlineLevel="0" collapsed="false">
      <c r="D41" s="0" t="s">
        <v>2015</v>
      </c>
      <c r="J41" s="23" t="n">
        <v>887.870417861124</v>
      </c>
      <c r="K41" s="23" t="n">
        <v>633.255975542774</v>
      </c>
      <c r="L41" s="23" t="n">
        <v>225.724011267626</v>
      </c>
      <c r="M41" s="24" t="n">
        <v>0.726374810580044</v>
      </c>
      <c r="N41" s="23" t="n">
        <v>62.7487966443238</v>
      </c>
      <c r="O41" s="23" t="n">
        <v>23.0662187832922</v>
      </c>
      <c r="P41" s="23" t="n">
        <v>20.6124820039173</v>
      </c>
      <c r="Q41" s="23" t="n">
        <v>37.0411331464097</v>
      </c>
      <c r="R41" s="23" t="n">
        <v>11.6707310507236</v>
      </c>
      <c r="S41" s="23" t="n">
        <v>3.89024368357454</v>
      </c>
      <c r="T41" s="23" t="n">
        <v>1.28294212849606</v>
      </c>
      <c r="U41" s="23" t="n">
        <v>1.50416416179701</v>
      </c>
      <c r="V41" s="23" t="n">
        <v>1.34056816651678</v>
      </c>
      <c r="W41" s="23" t="n">
        <v>1.80671965321809</v>
      </c>
      <c r="X41" s="24" t="n">
        <v>0.124461104214646</v>
      </c>
      <c r="Y41" s="24" t="n">
        <v>0.100776568521249</v>
      </c>
      <c r="Z41" s="23" t="n">
        <v>-56.6229146425174</v>
      </c>
    </row>
    <row r="42" customFormat="false" ht="15" hidden="false" customHeight="false" outlineLevel="0" collapsed="false">
      <c r="D42" s="0" t="s">
        <v>2016</v>
      </c>
      <c r="J42" s="23" t="n">
        <v>885.632198463457</v>
      </c>
      <c r="K42" s="23" t="n">
        <v>633.255975542774</v>
      </c>
      <c r="L42" s="23" t="n">
        <v>225.164456418209</v>
      </c>
      <c r="M42" s="24" t="n">
        <v>0.726315103675388</v>
      </c>
      <c r="N42" s="23" t="n">
        <v>62.7487966443238</v>
      </c>
      <c r="O42" s="23" t="n">
        <v>23.0662187832922</v>
      </c>
      <c r="P42" s="23" t="n">
        <v>20.6124820039173</v>
      </c>
      <c r="Q42" s="23" t="n">
        <v>34.8029137487425</v>
      </c>
      <c r="R42" s="23" t="n">
        <v>9.99206650247325</v>
      </c>
      <c r="S42" s="23" t="n">
        <v>3.33068883415775</v>
      </c>
      <c r="T42" s="23" t="n">
        <v>0.916013587958474</v>
      </c>
      <c r="U42" s="23" t="n">
        <v>1.49952276659146</v>
      </c>
      <c r="V42" s="23" t="n">
        <v>1.4660173245311</v>
      </c>
      <c r="W42" s="23" t="n">
        <v>1.69545498830536</v>
      </c>
      <c r="X42" s="24" t="n">
        <v>0.124955954856676</v>
      </c>
      <c r="Y42" s="24" t="n">
        <v>0.101333317511707</v>
      </c>
      <c r="Z42" s="23" t="n">
        <v>-54.5199275939104</v>
      </c>
    </row>
    <row r="44" customFormat="false" ht="15" hidden="false" customHeight="false" outlineLevel="0" collapsed="false">
      <c r="D44" s="0" t="s">
        <v>2017</v>
      </c>
      <c r="E44" s="0" t="s">
        <v>1965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2026-10-03T22:43:37Z</dcterms:created>
  <dc:creator>openpyxl</dc:creator>
  <dc:description/>
  <dc:language>en-US</dc:language>
  <cp:lastModifiedBy/>
  <dcterms:modified xsi:type="dcterms:W3CDTF">2026-10-03T22:43:46Z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