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<sst xmlns="http://schemas.openxmlformats.org/spreadsheetml/2006/main" count="3618" uniqueCount="2025">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</sst>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1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1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1.01002972015175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519.616023470212</v>
      </c>
      <c r="K16" s="13" t="n">
        <f aca="false">IF(Inputs!$F$33=1,Inputs!$F$60*Time!$F$16^((K8-Inputs!$F$212)/12),INDEX(Operations!$J$11:$BN$11,1,K12))</f>
        <v>520.04833998674</v>
      </c>
      <c r="L16" s="13" t="n">
        <f aca="false">IF(Inputs!$F$33=1,Inputs!$F$60*Time!$F$16^((L8-Inputs!$F$212)/12),INDEX(Operations!$J$11:$BN$11,1,L12))</f>
        <v>520.481016187268</v>
      </c>
      <c r="M16" s="13" t="n">
        <f aca="false">IF(Inputs!$F$33=1,Inputs!$F$60*Time!$F$16^((M8-Inputs!$F$212)/12),INDEX(Operations!$J$11:$BN$11,1,M12))</f>
        <v>520.914052371053</v>
      </c>
      <c r="N16" s="13" t="n">
        <f aca="false">IF(Inputs!$F$33=1,Inputs!$F$60*Time!$F$16^((N8-Inputs!$F$212)/12),INDEX(Operations!$J$11:$BN$11,1,N12))</f>
        <v>521.347448837596</v>
      </c>
      <c r="O16" s="13" t="n">
        <f aca="false">IF(Inputs!$F$33=1,Inputs!$F$60*Time!$F$16^((O8-Inputs!$F$212)/12),INDEX(Operations!$J$11:$BN$11,1,O12))</f>
        <v>521.78120588665</v>
      </c>
      <c r="P16" s="13" t="n">
        <f aca="false">IF(Inputs!$F$33=1,Inputs!$F$60*Time!$F$16^((P8-Inputs!$F$212)/12),INDEX(Operations!$J$11:$BN$11,1,P12))</f>
        <v>522.215323818218</v>
      </c>
      <c r="Q16" s="13" t="n">
        <f aca="false">IF(Inputs!$F$33=1,Inputs!$F$60*Time!$F$16^((Q8-Inputs!$F$212)/12),INDEX(Operations!$J$11:$BN$11,1,Q12))</f>
        <v>522.649802932551</v>
      </c>
      <c r="R16" s="13" t="n">
        <f aca="false">IF(Inputs!$F$33=1,Inputs!$F$60*Time!$F$16^((R8-Inputs!$F$212)/12),INDEX(Operations!$J$11:$BN$11,1,R12))</f>
        <v>523.084643530149</v>
      </c>
      <c r="S16" s="13" t="n">
        <f aca="false">IF(Inputs!$F$33=1,Inputs!$F$60*Time!$F$16^((S8-Inputs!$F$212)/12),INDEX(Operations!$J$11:$BN$11,1,S12))</f>
        <v>523.519845911765</v>
      </c>
      <c r="T16" s="13" t="n">
        <f aca="false">IF(Inputs!$F$33=1,Inputs!$F$60*Time!$F$16^((T8-Inputs!$F$212)/12),INDEX(Operations!$J$11:$BN$11,1,T12))</f>
        <v>523.955410378399</v>
      </c>
      <c r="U16" s="13" t="n">
        <f aca="false">IF(Inputs!$F$33=1,Inputs!$F$60*Time!$F$16^((U8-Inputs!$F$212)/12),INDEX(Operations!$J$11:$BN$11,1,U12))</f>
        <v>524.391337231305</v>
      </c>
      <c r="V16" s="13" t="n">
        <f aca="false">IF(Inputs!$F$33=1,Inputs!$F$60*Time!$F$16^((V8-Inputs!$F$212)/12),INDEX(Operations!$J$11:$BN$11,1,V12))</f>
        <v>524.827626771983</v>
      </c>
      <c r="W16" s="13" t="n">
        <f aca="false">IF(Inputs!$F$33=1,Inputs!$F$60*Time!$F$16^((W8-Inputs!$F$212)/12),INDEX(Operations!$J$11:$BN$11,1,W12))</f>
        <v>525.264279302188</v>
      </c>
      <c r="X16" s="13" t="n">
        <f aca="false">IF(Inputs!$F$33=1,Inputs!$F$60*Time!$F$16^((X8-Inputs!$F$212)/12),INDEX(Operations!$J$11:$BN$11,1,X12))</f>
        <v>525.701295123925</v>
      </c>
      <c r="Y16" s="13" t="n">
        <f aca="false">IF(Inputs!$F$33=1,Inputs!$F$60*Time!$F$16^((Y8-Inputs!$F$212)/12),INDEX(Operations!$J$11:$BN$11,1,Y12))</f>
        <v>526.138674539448</v>
      </c>
      <c r="Z16" s="13" t="n">
        <f aca="false">IF(Inputs!$F$33=1,Inputs!$F$60*Time!$F$16^((Z8-Inputs!$F$212)/12),INDEX(Operations!$J$11:$BN$11,1,Z12))</f>
        <v>526.576417851265</v>
      </c>
      <c r="AA16" s="13" t="n">
        <f aca="false">IF(Inputs!$F$33=1,Inputs!$F$60*Time!$F$16^((AA8-Inputs!$F$212)/12),INDEX(Operations!$J$11:$BN$11,1,AA12))</f>
        <v>527.014525362136</v>
      </c>
      <c r="AB16" s="13" t="n">
        <f aca="false">IF(Inputs!$F$33=1,Inputs!$F$60*Time!$F$16^((AB8-Inputs!$F$212)/12),INDEX(Operations!$J$11:$BN$11,1,AB12))</f>
        <v>527.45299737507</v>
      </c>
      <c r="AC16" s="13" t="n">
        <f aca="false">IF(Inputs!$F$33=1,Inputs!$F$60*Time!$F$16^((AC8-Inputs!$F$212)/12),INDEX(Operations!$J$11:$BN$11,1,AC12))</f>
        <v>527.891834193331</v>
      </c>
      <c r="AD16" s="13" t="n">
        <f aca="false">IF(Inputs!$F$33=1,Inputs!$F$60*Time!$F$16^((AD8-Inputs!$F$212)/12),INDEX(Operations!$J$11:$BN$11,1,AD12))</f>
        <v>528.331036120434</v>
      </c>
      <c r="AE16" s="13" t="n">
        <f aca="false">IF(Inputs!$F$33=1,Inputs!$F$60*Time!$F$16^((AE8-Inputs!$F$212)/12),INDEX(Operations!$J$11:$BN$11,1,AE12))</f>
        <v>528.770603460147</v>
      </c>
      <c r="AF16" s="13" t="n">
        <f aca="false">IF(Inputs!$F$33=1,Inputs!$F$60*Time!$F$16^((AF8-Inputs!$F$212)/12),INDEX(Operations!$J$11:$BN$11,1,AF12))</f>
        <v>529.21053651649</v>
      </c>
      <c r="AG16" s="13" t="n">
        <f aca="false">IF(Inputs!$F$33=1,Inputs!$F$60*Time!$F$16^((AG8-Inputs!$F$212)/12),INDEX(Operations!$J$11:$BN$11,1,AG12))</f>
        <v>529.650835593736</v>
      </c>
      <c r="AH16" s="13" t="n">
        <f aca="false">IF(Inputs!$F$33=1,Inputs!$F$60*Time!$F$16^((AH8-Inputs!$F$212)/12),INDEX(Operations!$J$11:$BN$11,1,AH12))</f>
        <v>530.091500996413</v>
      </c>
      <c r="AI16" s="13" t="n">
        <f aca="false">IF(Inputs!$F$33=1,Inputs!$F$60*Time!$F$16^((AI8-Inputs!$F$212)/12),INDEX(Operations!$J$11:$BN$11,1,AI12))</f>
        <v>530.532533029299</v>
      </c>
      <c r="AJ16" s="13" t="n">
        <f aca="false">IF(Inputs!$F$33=1,Inputs!$F$60*Time!$F$16^((AJ8-Inputs!$F$212)/12),INDEX(Operations!$J$11:$BN$11,1,AJ12))</f>
        <v>530.973931997429</v>
      </c>
      <c r="AK16" s="13" t="n">
        <f aca="false">IF(Inputs!$F$33=1,Inputs!$F$60*Time!$F$16^((AK8-Inputs!$F$212)/12),INDEX(Operations!$J$11:$BN$11,1,AK12))</f>
        <v>531.415698206091</v>
      </c>
      <c r="AL16" s="13" t="n">
        <f aca="false">IF(Inputs!$F$33=1,Inputs!$F$60*Time!$F$16^((AL8-Inputs!$F$212)/12),INDEX(Operations!$J$11:$BN$11,1,AL12))</f>
        <v>531.857831960824</v>
      </c>
      <c r="AM16" s="13" t="n">
        <f aca="false">IF(Inputs!$F$33=1,Inputs!$F$60*Time!$F$16^((AM8-Inputs!$F$212)/12),INDEX(Operations!$J$11:$BN$11,1,AM12))</f>
        <v>532.300333567425</v>
      </c>
      <c r="AN16" s="13" t="n">
        <f aca="false">IF(Inputs!$F$33=1,Inputs!$F$60*Time!$F$16^((AN8-Inputs!$F$212)/12),INDEX(Operations!$J$11:$BN$11,1,AN12))</f>
        <v>532.743203331943</v>
      </c>
      <c r="AO16" s="13" t="n">
        <f aca="false">IF(Inputs!$F$33=1,Inputs!$F$60*Time!$F$16^((AO8-Inputs!$F$212)/12),INDEX(Operations!$J$11:$BN$11,1,AO12))</f>
        <v>533.186441560684</v>
      </c>
      <c r="AP16" s="13" t="n">
        <f aca="false">IF(Inputs!$F$33=1,Inputs!$F$60*Time!$F$16^((AP8-Inputs!$F$212)/12),INDEX(Operations!$J$11:$BN$11,1,AP12))</f>
        <v>533.630048560205</v>
      </c>
      <c r="AQ16" s="13" t="n">
        <f aca="false">IF(Inputs!$F$33=1,Inputs!$F$60*Time!$F$16^((AQ8-Inputs!$F$212)/12),INDEX(Operations!$J$11:$BN$11,1,AQ12))</f>
        <v>534.074024637323</v>
      </c>
      <c r="AR16" s="13" t="n">
        <f aca="false">IF(Inputs!$F$33=1,Inputs!$F$60*Time!$F$16^((AR8-Inputs!$F$212)/12),INDEX(Operations!$J$11:$BN$11,1,AR12))</f>
        <v>534.518370099107</v>
      </c>
      <c r="AS16" s="13" t="n">
        <f aca="false">IF(Inputs!$F$33=1,Inputs!$F$60*Time!$F$16^((AS8-Inputs!$F$212)/12),INDEX(Operations!$J$11:$BN$11,1,AS12))</f>
        <v>534.963085252881</v>
      </c>
      <c r="AT16" s="13" t="n">
        <f aca="false">IF(Inputs!$F$33=1,Inputs!$F$60*Time!$F$16^((AT8-Inputs!$F$212)/12),INDEX(Operations!$J$11:$BN$11,1,AT12))</f>
        <v>535.408170406227</v>
      </c>
      <c r="AU16" s="13" t="n">
        <f aca="false">IF(Inputs!$F$33=1,Inputs!$F$60*Time!$F$16^((AU8-Inputs!$F$212)/12),INDEX(Operations!$J$11:$BN$11,1,AU12))</f>
        <v>535.853625866982</v>
      </c>
      <c r="AV16" s="13" t="n">
        <f aca="false">IF(Inputs!$F$33=1,Inputs!$F$60*Time!$F$16^((AV8-Inputs!$F$212)/12),INDEX(Operations!$J$11:$BN$11,1,AV12))</f>
        <v>536.299451943237</v>
      </c>
      <c r="AW16" s="13" t="n">
        <f aca="false">IF(Inputs!$F$33=1,Inputs!$F$60*Time!$F$16^((AW8-Inputs!$F$212)/12),INDEX(Operations!$J$11:$BN$11,1,AW12))</f>
        <v>536.745648943344</v>
      </c>
      <c r="AX16" s="13" t="n">
        <f aca="false">IF(Inputs!$F$33=1,Inputs!$F$60*Time!$F$16^((AX8-Inputs!$F$212)/12),INDEX(Operations!$J$11:$BN$11,1,AX12))</f>
        <v>537.192217175907</v>
      </c>
      <c r="AY16" s="13" t="n">
        <f aca="false">IF(Inputs!$F$33=1,Inputs!$F$60*Time!$F$16^((AY8-Inputs!$F$212)/12),INDEX(Operations!$J$11:$BN$11,1,AY12))</f>
        <v>537.639156949789</v>
      </c>
      <c r="AZ16" s="13" t="n">
        <f aca="false">IF(Inputs!$F$33=1,Inputs!$F$60*Time!$F$16^((AZ8-Inputs!$F$212)/12),INDEX(Operations!$J$11:$BN$11,1,AZ12))</f>
        <v>538.086468574109</v>
      </c>
      <c r="BA16" s="13" t="n">
        <f aca="false">IF(Inputs!$F$33=1,Inputs!$F$60*Time!$F$16^((BA8-Inputs!$F$212)/12),INDEX(Operations!$J$11:$BN$11,1,BA12))</f>
        <v>538.534152358244</v>
      </c>
      <c r="BB16" s="13" t="n">
        <f aca="false">IF(Inputs!$F$33=1,Inputs!$F$60*Time!$F$16^((BB8-Inputs!$F$212)/12),INDEX(Operations!$J$11:$BN$11,1,BB12))</f>
        <v>538.982208611829</v>
      </c>
      <c r="BC16" s="13" t="n">
        <f aca="false">IF(Inputs!$F$33=1,Inputs!$F$60*Time!$F$16^((BC8-Inputs!$F$212)/12),INDEX(Operations!$J$11:$BN$11,1,BC12))</f>
        <v>539.430637644754</v>
      </c>
      <c r="BD16" s="13" t="n">
        <f aca="false">IF(Inputs!$F$33=1,Inputs!$F$60*Time!$F$16^((BD8-Inputs!$F$212)/12),INDEX(Operations!$J$11:$BN$11,1,BD12))</f>
        <v>539.87943976717</v>
      </c>
      <c r="BE16" s="13" t="n">
        <f aca="false">IF(Inputs!$F$33=1,Inputs!$F$60*Time!$F$16^((BE8-Inputs!$F$212)/12),INDEX(Operations!$J$11:$BN$11,1,BE12))</f>
        <v>540.328615289484</v>
      </c>
      <c r="BF16" s="13" t="n">
        <f aca="false">IF(Inputs!$F$33=1,Inputs!$F$60*Time!$F$16^((BF8-Inputs!$F$212)/12),INDEX(Operations!$J$11:$BN$11,1,BF12))</f>
        <v>540.778164522362</v>
      </c>
      <c r="BG16" s="13" t="n">
        <f aca="false">IF(Inputs!$F$33=1,Inputs!$F$60*Time!$F$16^((BG8-Inputs!$F$212)/12),INDEX(Operations!$J$11:$BN$11,1,BG12))</f>
        <v>541.228087776727</v>
      </c>
      <c r="BH16" s="13" t="n">
        <f aca="false">IF(Inputs!$F$33=1,Inputs!$F$60*Time!$F$16^((BH8-Inputs!$F$212)/12),INDEX(Operations!$J$11:$BN$11,1,BH12))</f>
        <v>541.678385363765</v>
      </c>
      <c r="BI16" s="13" t="n">
        <f aca="false">IF(Inputs!$F$33=1,Inputs!$F$60*Time!$F$16^((BI8-Inputs!$F$212)/12),INDEX(Operations!$J$11:$BN$11,1,BI12))</f>
        <v>542.129057594915</v>
      </c>
      <c r="BJ16" s="13" t="n">
        <f aca="false">IF(Inputs!$F$33=1,Inputs!$F$60*Time!$F$16^((BJ8-Inputs!$F$212)/12),INDEX(Operations!$J$11:$BN$11,1,BJ12))</f>
        <v>542.580104781879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1.75708095058784</v>
      </c>
      <c r="J38" s="13" t="n">
        <f aca="false">I37*(J18+Inputs!$F$71)/100*J11/Inputs!$F$248/J16</f>
        <v>0</v>
      </c>
      <c r="K38" s="13" t="n">
        <f aca="false">J37*(K18+Inputs!$F$71)/100*K11/Inputs!$F$248/K16</f>
        <v>0.0195446116976362</v>
      </c>
      <c r="L38" s="13" t="n">
        <f aca="false">K37*(L18+Inputs!$F$71)/100*L11/Inputs!$F$248/L16</f>
        <v>0.0202011033789584</v>
      </c>
      <c r="M38" s="13" t="n">
        <f aca="false">L37*(M18+Inputs!$F$71)/100*M11/Inputs!$F$248/M16</f>
        <v>0.019754275844945</v>
      </c>
      <c r="N38" s="13" t="n">
        <f aca="false">M37*(N18+Inputs!$F$71)/100*N11/Inputs!$F$248/N16</f>
        <v>0.0210483041773643</v>
      </c>
      <c r="O38" s="13" t="n">
        <f aca="false">N37*(O18+Inputs!$F$71)/100*O11/Inputs!$F$248/O16</f>
        <v>0.0222977276258408</v>
      </c>
      <c r="P38" s="13" t="n">
        <f aca="false">O37*(P18+Inputs!$F$71)/100*P11/Inputs!$F$248/P16</f>
        <v>0.0219604441048855</v>
      </c>
      <c r="Q38" s="13" t="n">
        <f aca="false">P37*(Q18+Inputs!$F$71)/100*Q11/Inputs!$F$248/Q16</f>
        <v>0.0272061914908092</v>
      </c>
      <c r="R38" s="13" t="n">
        <f aca="false">Q37*(R18+Inputs!$F$71)/100*R11/Inputs!$F$248/R16</f>
        <v>0.0300444639285334</v>
      </c>
      <c r="S38" s="13" t="n">
        <f aca="false">R37*(S18+Inputs!$F$71)/100*S11/Inputs!$F$248/S16</f>
        <v>0.0358617426370076</v>
      </c>
      <c r="T38" s="13" t="n">
        <f aca="false">S37*(T18+Inputs!$F$71)/100*T11/Inputs!$F$248/T16</f>
        <v>0.0209026703557457</v>
      </c>
      <c r="U38" s="13" t="n">
        <f aca="false">T37*(U18+Inputs!$F$71)/100*U11/Inputs!$F$248/U16</f>
        <v>0.0283013448884828</v>
      </c>
      <c r="V38" s="13" t="n">
        <f aca="false">U37*(V18+Inputs!$F$71)/100*V11/Inputs!$F$248/V16</f>
        <v>0.0356471050168431</v>
      </c>
      <c r="W38" s="13" t="n">
        <f aca="false">V37*(W18+Inputs!$F$71)/100*W11/Inputs!$F$248/W16</f>
        <v>0.0419215714897462</v>
      </c>
      <c r="X38" s="13" t="n">
        <f aca="false">W37*(X18+Inputs!$F$71)/100*X11/Inputs!$F$248/X16</f>
        <v>0.0510030031881047</v>
      </c>
      <c r="Y38" s="13" t="n">
        <f aca="false">X37*(Y18+Inputs!$F$71)/100*Y11/Inputs!$F$248/Y16</f>
        <v>0.0565207281618819</v>
      </c>
      <c r="Z38" s="13" t="n">
        <f aca="false">Y37*(Z18+Inputs!$F$71)/100*Z11/Inputs!$F$248/Z16</f>
        <v>0.0652564235703564</v>
      </c>
      <c r="AA38" s="13" t="n">
        <f aca="false">Z37*(AA18+Inputs!$F$71)/100*AA11/Inputs!$F$248/AA16</f>
        <v>0.0713224155581292</v>
      </c>
      <c r="AB38" s="13" t="n">
        <f aca="false">AA37*(AB18+Inputs!$F$71)/100*AB11/Inputs!$F$248/AB16</f>
        <v>0.071473922282188</v>
      </c>
      <c r="AC38" s="13" t="n">
        <f aca="false">AB37*(AC18+Inputs!$F$71)/100*AC11/Inputs!$F$248/AC16</f>
        <v>0.080337153079895</v>
      </c>
      <c r="AD38" s="13" t="n">
        <f aca="false">AC37*(AD18+Inputs!$F$71)/100*AD11/Inputs!$F$248/AD16</f>
        <v>0.0803254862219794</v>
      </c>
      <c r="AE38" s="13" t="n">
        <f aca="false">AD37*(AE18+Inputs!$F$71)/100*AE11/Inputs!$F$248/AE16</f>
        <v>0.0843200391031118</v>
      </c>
      <c r="AF38" s="13" t="n">
        <f aca="false">AE37*(AF18+Inputs!$F$71)/100*AF11/Inputs!$F$248/AF16</f>
        <v>0.0815322036782487</v>
      </c>
      <c r="AG38" s="13" t="n">
        <f aca="false">AF37*(AG18+Inputs!$F$71)/100*AG11/Inputs!$F$248/AG16</f>
        <v>0.0827961731155611</v>
      </c>
      <c r="AH38" s="13" t="n">
        <f aca="false">AG37*(AH18+Inputs!$F$71)/100*AH11/Inputs!$F$248/AH16</f>
        <v>0.0800037861642743</v>
      </c>
      <c r="AI38" s="13" t="n">
        <f aca="false">AH37*(AI18+Inputs!$F$71)/100*AI11/Inputs!$F$248/AI16</f>
        <v>0.0735093557332442</v>
      </c>
      <c r="AJ38" s="13" t="n">
        <f aca="false">AI37*(AJ18+Inputs!$F$71)/100*AJ11/Inputs!$F$248/AJ16</f>
        <v>0.0707905731674044</v>
      </c>
      <c r="AK38" s="13" t="n">
        <f aca="false">AJ37*(AK18+Inputs!$F$71)/100*AK11/Inputs!$F$248/AK16</f>
        <v>0.0625762963662872</v>
      </c>
      <c r="AL38" s="13" t="n">
        <f aca="false">AK37*(AL18+Inputs!$F$71)/100*AL11/Inputs!$F$248/AL16</f>
        <v>0.0577767162309339</v>
      </c>
      <c r="AM38" s="13" t="n">
        <f aca="false">AL37*(AM18+Inputs!$F$71)/100*AM11/Inputs!$F$248/AM16</f>
        <v>0.0503707083020268</v>
      </c>
      <c r="AN38" s="13" t="n">
        <f aca="false">AM37*(AN18+Inputs!$F$71)/100*AN11/Inputs!$F$248/AN16</f>
        <v>0.0385775178450959</v>
      </c>
      <c r="AO38" s="13" t="n">
        <f aca="false">AN37*(AO18+Inputs!$F$71)/100*AO11/Inputs!$F$248/AO16</f>
        <v>0.0350882619455208</v>
      </c>
      <c r="AP38" s="13" t="n">
        <f aca="false">AO37*(AP18+Inputs!$F$71)/100*AP11/Inputs!$F$248/AP16</f>
        <v>0.0269142242589077</v>
      </c>
      <c r="AQ38" s="13" t="n">
        <f aca="false">AP37*(AQ18+Inputs!$F$71)/100*AQ11/Inputs!$F$248/AQ16</f>
        <v>0.0359394877297495</v>
      </c>
      <c r="AR38" s="13" t="n">
        <f aca="false">AQ37*(AR18+Inputs!$F$71)/100*AR11/Inputs!$F$248/AR16</f>
        <v>0.0292369270349664</v>
      </c>
      <c r="AS38" s="13" t="n">
        <f aca="false">AR37*(AS18+Inputs!$F$71)/100*AS11/Inputs!$F$248/AS16</f>
        <v>0.0254483367077762</v>
      </c>
      <c r="AT38" s="13" t="n">
        <f aca="false">AS37*(AT18+Inputs!$F$71)/100*AT11/Inputs!$F$248/AT16</f>
        <v>0.0216537108587356</v>
      </c>
      <c r="AU38" s="13" t="n">
        <f aca="false">AT37*(AU18+Inputs!$F$71)/100*AU11/Inputs!$F$248/AU16</f>
        <v>0.0181881634158905</v>
      </c>
      <c r="AV38" s="13" t="n">
        <f aca="false">AU37*(AV18+Inputs!$F$71)/100*AV11/Inputs!$F$248/AV16</f>
        <v>0.0167980747857658</v>
      </c>
      <c r="AW38" s="13" t="n">
        <f aca="false">AV37*(AW18+Inputs!$F$71)/100*AW11/Inputs!$F$248/AW16</f>
        <v>0.0150508173996704</v>
      </c>
      <c r="AX38" s="13" t="n">
        <f aca="false">AW37*(AX18+Inputs!$F$71)/100*AX11/Inputs!$F$248/AX16</f>
        <v>0.014906307365562</v>
      </c>
      <c r="AY38" s="13" t="n">
        <f aca="false">AX37*(AY18+Inputs!$F$71)/100*AY11/Inputs!$F$248/AY16</f>
        <v>0.0146725806797689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520.69748926254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523.302199479148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525.919939363562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528.550774094719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531.194769177603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533.851990444879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536.522504058528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539.206376511495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541.90367462935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544.614465571944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547.338816835087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550.076796252225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552.828471996132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555.593912580606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558.373186862173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561.166364041804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563.97351366664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566.794705631718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569.630010181715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572.479497912697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575.343239773876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578.221307069375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581.113771460008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584.02070496506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586.94217996408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589.878269198686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592.829045774377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595.794583162347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598.774955201322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601.770236099393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604.780500435868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607.805823163122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610.846279608474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613.901945476052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616.972896848684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620.059210189791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623.16096234529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626.278230545509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629.411092407108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632.559625935013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635.723909524358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638.904021962436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642.100042430663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645.312050506546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648.540126165669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651.784349783678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655.04480213829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658.321564411298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661.614718190595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664.924345472205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668.250528662325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671.593350579376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674.952894456067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678.329243941463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681.722483103074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685.132696428943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688.559968829753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520.69748926254</v>
      </c>
      <c r="K11" s="13" t="n">
        <f aca="false">K10/(1-Inputs!$F$43*Time!K39)</f>
        <v>523.302199479148</v>
      </c>
      <c r="L11" s="13" t="n">
        <f aca="false">L10/(1-Inputs!$F$43*Time!L39)</f>
        <v>525.919939363562</v>
      </c>
      <c r="M11" s="13" t="n">
        <f aca="false">M10/(1-Inputs!$F$43*Time!M39)</f>
        <v>528.550774094719</v>
      </c>
      <c r="N11" s="13" t="n">
        <f aca="false">N10/(1-Inputs!$F$43*Time!N39)</f>
        <v>531.194769177603</v>
      </c>
      <c r="O11" s="13" t="n">
        <f aca="false">O10/(1-Inputs!$F$43*Time!O39)</f>
        <v>533.851990444879</v>
      </c>
      <c r="P11" s="13" t="n">
        <f aca="false">P10/(1-Inputs!$F$43*Time!P39)</f>
        <v>536.522504058528</v>
      </c>
      <c r="Q11" s="13" t="n">
        <f aca="false">Q10/(1-Inputs!$F$43*Time!Q39)</f>
        <v>539.206376511495</v>
      </c>
      <c r="R11" s="13" t="n">
        <f aca="false">R10/(1-Inputs!$F$43*Time!R39)</f>
        <v>541.90367462935</v>
      </c>
      <c r="S11" s="13" t="n">
        <f aca="false">S10/(1-Inputs!$F$43*Time!S39)</f>
        <v>544.614465571944</v>
      </c>
      <c r="T11" s="13" t="n">
        <f aca="false">T10/(1-Inputs!$F$43*Time!T39)</f>
        <v>547.338816835087</v>
      </c>
      <c r="U11" s="13" t="n">
        <f aca="false">U10/(1-Inputs!$F$43*Time!U39)</f>
        <v>550.076796252225</v>
      </c>
      <c r="V11" s="13" t="n">
        <f aca="false">V10/(1-Inputs!$F$43*Time!V39)</f>
        <v>552.828471996132</v>
      </c>
      <c r="W11" s="13" t="n">
        <f aca="false">W10/(1-Inputs!$F$43*Time!W39)</f>
        <v>555.593912580606</v>
      </c>
      <c r="X11" s="13" t="n">
        <f aca="false">X10/(1-Inputs!$F$43*Time!X39)</f>
        <v>558.373186862173</v>
      </c>
      <c r="Y11" s="13" t="n">
        <f aca="false">Y10/(1-Inputs!$F$43*Time!Y39)</f>
        <v>561.166364041804</v>
      </c>
      <c r="Z11" s="13" t="n">
        <f aca="false">Z10/(1-Inputs!$F$43*Time!Z39)</f>
        <v>563.97351366664</v>
      </c>
      <c r="AA11" s="13" t="n">
        <f aca="false">AA10/(1-Inputs!$F$43*Time!AA39)</f>
        <v>566.794705631718</v>
      </c>
      <c r="AB11" s="13" t="n">
        <f aca="false">AB10/(1-Inputs!$F$43*Time!AB39)</f>
        <v>569.630010181715</v>
      </c>
      <c r="AC11" s="13" t="n">
        <f aca="false">AC10/(1-Inputs!$F$43*Time!AC39)</f>
        <v>572.479497912697</v>
      </c>
      <c r="AD11" s="13" t="n">
        <f aca="false">AD10/(1-Inputs!$F$43*Time!AD39)</f>
        <v>575.343239773876</v>
      </c>
      <c r="AE11" s="13" t="n">
        <f aca="false">AE10/(1-Inputs!$F$43*Time!AE39)</f>
        <v>578.221307069375</v>
      </c>
      <c r="AF11" s="13" t="n">
        <f aca="false">AF10/(1-Inputs!$F$43*Time!AF39)</f>
        <v>581.113771460008</v>
      </c>
      <c r="AG11" s="13" t="n">
        <f aca="false">AG10/(1-Inputs!$F$43*Time!AG39)</f>
        <v>584.02070496506</v>
      </c>
      <c r="AH11" s="13" t="n">
        <f aca="false">AH10/(1-Inputs!$F$43*Time!AH39)</f>
        <v>586.94217996408</v>
      </c>
      <c r="AI11" s="13" t="n">
        <f aca="false">AI10/(1-Inputs!$F$43*Time!AI39)</f>
        <v>589.878269198686</v>
      </c>
      <c r="AJ11" s="13" t="n">
        <f aca="false">AJ10/(1-Inputs!$F$43*Time!AJ39)</f>
        <v>592.829045774377</v>
      </c>
      <c r="AK11" s="13" t="n">
        <f aca="false">AK10/(1-Inputs!$F$43*Time!AK39)</f>
        <v>595.794583162347</v>
      </c>
      <c r="AL11" s="13" t="n">
        <f aca="false">AL10/(1-Inputs!$F$43*Time!AL39)</f>
        <v>598.774955201322</v>
      </c>
      <c r="AM11" s="13" t="n">
        <f aca="false">AM10/(1-Inputs!$F$43*Time!AM39)</f>
        <v>601.770236099393</v>
      </c>
      <c r="AN11" s="13" t="n">
        <f aca="false">AN10/(1-Inputs!$F$43*Time!AN39)</f>
        <v>604.780500435868</v>
      </c>
      <c r="AO11" s="13" t="n">
        <f aca="false">AO10/(1-Inputs!$F$43*Time!AO39)</f>
        <v>607.805823163122</v>
      </c>
      <c r="AP11" s="13" t="n">
        <f aca="false">AP10/(1-Inputs!$F$43*Time!AP39)</f>
        <v>610.846279608474</v>
      </c>
      <c r="AQ11" s="13" t="n">
        <f aca="false">AQ10/(1-Inputs!$F$43*Time!AQ39)</f>
        <v>613.901945476052</v>
      </c>
      <c r="AR11" s="13" t="n">
        <f aca="false">AR10/(1-Inputs!$F$43*Time!AR39)</f>
        <v>616.972896848684</v>
      </c>
      <c r="AS11" s="13" t="n">
        <f aca="false">AS10/(1-Inputs!$F$43*Time!AS39)</f>
        <v>620.059210189791</v>
      </c>
      <c r="AT11" s="13" t="n">
        <f aca="false">AT10/(1-Inputs!$F$43*Time!AT39)</f>
        <v>623.16096234529</v>
      </c>
      <c r="AU11" s="13" t="n">
        <f aca="false">AU10/(1-Inputs!$F$43*Time!AU39)</f>
        <v>626.278230545509</v>
      </c>
      <c r="AV11" s="13" t="n">
        <f aca="false">AV10/(1-Inputs!$F$43*Time!AV39)</f>
        <v>629.411092407108</v>
      </c>
      <c r="AW11" s="13" t="n">
        <f aca="false">AW10/(1-Inputs!$F$43*Time!AW39)</f>
        <v>632.559625935013</v>
      </c>
      <c r="AX11" s="13" t="n">
        <f aca="false">AX10/(1-Inputs!$F$43*Time!AX39)</f>
        <v>635.723909524358</v>
      </c>
      <c r="AY11" s="13" t="n">
        <f aca="false">AY10/(1-Inputs!$F$43*Time!AY39)</f>
        <v>638.904021962436</v>
      </c>
      <c r="AZ11" s="13" t="n">
        <f aca="false">AZ10/(1-Inputs!$F$43*Time!AZ39)</f>
        <v>642.100042430663</v>
      </c>
      <c r="BA11" s="13" t="n">
        <f aca="false">BA10/(1-Inputs!$F$43*Time!BA39)</f>
        <v>645.312050506546</v>
      </c>
      <c r="BB11" s="13" t="n">
        <f aca="false">BB10/(1-Inputs!$F$43*Time!BB39)</f>
        <v>648.540126165669</v>
      </c>
      <c r="BC11" s="13" t="n">
        <f aca="false">BC10/(1-Inputs!$F$43*Time!BC39)</f>
        <v>651.784349783678</v>
      </c>
      <c r="BD11" s="13" t="n">
        <f aca="false">BD10/(1-Inputs!$F$43*Time!BD39)</f>
        <v>655.04480213829</v>
      </c>
      <c r="BE11" s="13" t="n">
        <f aca="false">BE10/(1-Inputs!$F$43*Time!BE39)</f>
        <v>658.321564411298</v>
      </c>
      <c r="BF11" s="13" t="n">
        <f aca="false">BF10/(1-Inputs!$F$43*Time!BF39)</f>
        <v>661.614718190595</v>
      </c>
      <c r="BG11" s="13" t="n">
        <f aca="false">BG10/(1-Inputs!$F$43*Time!BG39)</f>
        <v>664.924345472205</v>
      </c>
      <c r="BH11" s="13" t="n">
        <f aca="false">BH10/(1-Inputs!$F$43*Time!BH39)</f>
        <v>668.250528662325</v>
      </c>
      <c r="BI11" s="13" t="n">
        <f aca="false">BI10/(1-Inputs!$F$43*Time!BI39)</f>
        <v>671.593350579376</v>
      </c>
      <c r="BJ11" s="13" t="n">
        <f aca="false">BJ10/(1-Inputs!$F$43*Time!BJ39)</f>
        <v>674.952894456067</v>
      </c>
      <c r="BK11" s="13" t="n">
        <f aca="false">BK10/(1-Inputs!$F$43*Time!BK39)</f>
        <v>678.329243941463</v>
      </c>
      <c r="BL11" s="13" t="n">
        <f aca="false">BL10/(1-Inputs!$F$43*Time!BL39)</f>
        <v>681.722483103074</v>
      </c>
      <c r="BM11" s="13" t="n">
        <f aca="false">BM10/(1-Inputs!$F$43*Time!BM39)</f>
        <v>685.132696428943</v>
      </c>
      <c r="BN11" s="13" t="n">
        <f aca="false">BN10/(1-Inputs!$F$43*Time!BN39)</f>
        <v>688.559968829753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93.6696627054344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93.6696627054344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93.3391069315254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92.6779953837075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93.3717015244424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94.7591138059124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94.0125790004828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92.5195093896238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93.4276907335079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95.244053421276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95.380353046159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95.6529522959249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95.2904321469787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94.5653918490864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92.4238844668952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88.1408697025127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90.0919056540184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93.9939775570296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93.1825922497788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91.5598216352772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92.2701637577676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93.6908480027484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91.9778051041419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88.5517193069289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90.527879519724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94.4801999453142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93.744873250668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92.2742198613754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92.9582831816534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94.3264098222094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92.6364110239876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89.2564134275438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90.2888431184819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92.3537025003581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93.1218479772255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94.6581389309602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94.4910737176791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94.156943291117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92.648067283054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89.6303152669281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91.1617247383385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94.2245436811594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94.1752718060975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94.0767280559736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93.2660829937732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91.6447928693725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90.7553866796524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88.9765743002121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90.4699701800511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93.4567619397292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93.4567619397292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93.6696627054344</v>
      </c>
      <c r="P32" s="13" t="n">
        <f aca="false">IF(Time!P30&gt;0,P31+Inputs!$F$37,0)</f>
        <v>93.6696627054344</v>
      </c>
      <c r="Q32" s="13" t="n">
        <f aca="false">IF(Time!Q30&gt;0,Q31+Inputs!$F$37,0)</f>
        <v>93.3391069315254</v>
      </c>
      <c r="R32" s="13" t="n">
        <f aca="false">IF(Time!R30&gt;0,R31+Inputs!$F$37,0)</f>
        <v>92.6779953837075</v>
      </c>
      <c r="S32" s="13" t="n">
        <f aca="false">IF(Time!S30&gt;0,S31+Inputs!$F$37,0)</f>
        <v>93.3717015244424</v>
      </c>
      <c r="T32" s="13" t="n">
        <f aca="false">IF(Time!T30&gt;0,T31+Inputs!$F$37,0)</f>
        <v>94.7591138059124</v>
      </c>
      <c r="U32" s="13" t="n">
        <f aca="false">IF(Time!U30&gt;0,U31+Inputs!$F$37,0)</f>
        <v>94.0125790004828</v>
      </c>
      <c r="V32" s="13" t="n">
        <f aca="false">IF(Time!V30&gt;0,V31+Inputs!$F$37,0)</f>
        <v>92.5195093896238</v>
      </c>
      <c r="W32" s="13" t="n">
        <f aca="false">IF(Time!W30&gt;0,W31+Inputs!$F$37,0)</f>
        <v>93.4276907335079</v>
      </c>
      <c r="X32" s="13" t="n">
        <f aca="false">IF(Time!X30&gt;0,X31+Inputs!$F$37,0)</f>
        <v>95.244053421276</v>
      </c>
      <c r="Y32" s="13" t="n">
        <f aca="false">IF(Time!Y30&gt;0,Y31+Inputs!$F$37,0)</f>
        <v>95.380353046159</v>
      </c>
      <c r="Z32" s="13" t="n">
        <f aca="false">IF(Time!Z30&gt;0,Z31+Inputs!$F$37,0)</f>
        <v>95.6529522959249</v>
      </c>
      <c r="AA32" s="13" t="n">
        <f aca="false">IF(Time!AA30&gt;0,AA31+Inputs!$F$37,0)</f>
        <v>95.2904321469787</v>
      </c>
      <c r="AB32" s="13" t="n">
        <f aca="false">IF(Time!AB30&gt;0,AB31+Inputs!$F$37,0)</f>
        <v>94.5653918490864</v>
      </c>
      <c r="AC32" s="13" t="n">
        <f aca="false">IF(Time!AC30&gt;0,AC31+Inputs!$F$37,0)</f>
        <v>92.4238844668952</v>
      </c>
      <c r="AD32" s="13" t="n">
        <f aca="false">IF(Time!AD30&gt;0,AD31+Inputs!$F$37,0)</f>
        <v>88.1408697025127</v>
      </c>
      <c r="AE32" s="13" t="n">
        <f aca="false">IF(Time!AE30&gt;0,AE31+Inputs!$F$37,0)</f>
        <v>90.0919056540184</v>
      </c>
      <c r="AF32" s="13" t="n">
        <f aca="false">IF(Time!AF30&gt;0,AF31+Inputs!$F$37,0)</f>
        <v>93.9939775570296</v>
      </c>
      <c r="AG32" s="13" t="n">
        <f aca="false">IF(Time!AG30&gt;0,AG31+Inputs!$F$37,0)</f>
        <v>93.1825922497788</v>
      </c>
      <c r="AH32" s="13" t="n">
        <f aca="false">IF(Time!AH30&gt;0,AH31+Inputs!$F$37,0)</f>
        <v>91.5598216352772</v>
      </c>
      <c r="AI32" s="13" t="n">
        <f aca="false">IF(Time!AI30&gt;0,AI31+Inputs!$F$37,0)</f>
        <v>92.2701637577676</v>
      </c>
      <c r="AJ32" s="13" t="n">
        <f aca="false">IF(Time!AJ30&gt;0,AJ31+Inputs!$F$37,0)</f>
        <v>93.6908480027484</v>
      </c>
      <c r="AK32" s="13" t="n">
        <f aca="false">IF(Time!AK30&gt;0,AK31+Inputs!$F$37,0)</f>
        <v>91.9778051041419</v>
      </c>
      <c r="AL32" s="13" t="n">
        <f aca="false">IF(Time!AL30&gt;0,AL31+Inputs!$F$37,0)</f>
        <v>88.5517193069289</v>
      </c>
      <c r="AM32" s="13" t="n">
        <f aca="false">IF(Time!AM30&gt;0,AM31+Inputs!$F$37,0)</f>
        <v>90.527879519724</v>
      </c>
      <c r="AN32" s="13" t="n">
        <f aca="false">IF(Time!AN30&gt;0,AN31+Inputs!$F$37,0)</f>
        <v>94.4801999453142</v>
      </c>
      <c r="AO32" s="13" t="n">
        <f aca="false">IF(Time!AO30&gt;0,AO31+Inputs!$F$37,0)</f>
        <v>93.744873250668</v>
      </c>
      <c r="AP32" s="13" t="n">
        <f aca="false">IF(Time!AP30&gt;0,AP31+Inputs!$F$37,0)</f>
        <v>92.2742198613754</v>
      </c>
      <c r="AQ32" s="13" t="n">
        <f aca="false">IF(Time!AQ30&gt;0,AQ31+Inputs!$F$37,0)</f>
        <v>92.9582831816534</v>
      </c>
      <c r="AR32" s="13" t="n">
        <f aca="false">IF(Time!AR30&gt;0,AR31+Inputs!$F$37,0)</f>
        <v>94.3264098222094</v>
      </c>
      <c r="AS32" s="13" t="n">
        <f aca="false">IF(Time!AS30&gt;0,AS31+Inputs!$F$37,0)</f>
        <v>92.6364110239876</v>
      </c>
      <c r="AT32" s="13" t="n">
        <f aca="false">IF(Time!AT30&gt;0,AT31+Inputs!$F$37,0)</f>
        <v>89.2564134275438</v>
      </c>
      <c r="AU32" s="13" t="n">
        <f aca="false">IF(Time!AU30&gt;0,AU31+Inputs!$F$37,0)</f>
        <v>90.2888431184819</v>
      </c>
      <c r="AV32" s="13" t="n">
        <f aca="false">IF(Time!AV30&gt;0,AV31+Inputs!$F$37,0)</f>
        <v>92.3537025003581</v>
      </c>
      <c r="AW32" s="13" t="n">
        <f aca="false">IF(Time!AW30&gt;0,AW31+Inputs!$F$37,0)</f>
        <v>93.1218479772255</v>
      </c>
      <c r="AX32" s="13" t="n">
        <f aca="false">IF(Time!AX30&gt;0,AX31+Inputs!$F$37,0)</f>
        <v>94.6581389309602</v>
      </c>
      <c r="AY32" s="13" t="n">
        <f aca="false">IF(Time!AY30&gt;0,AY31+Inputs!$F$37,0)</f>
        <v>94.4910737176791</v>
      </c>
      <c r="AZ32" s="13" t="n">
        <f aca="false">IF(Time!AZ30&gt;0,AZ31+Inputs!$F$37,0)</f>
        <v>94.156943291117</v>
      </c>
      <c r="BA32" s="13" t="n">
        <f aca="false">IF(Time!BA30&gt;0,BA31+Inputs!$F$37,0)</f>
        <v>92.648067283054</v>
      </c>
      <c r="BB32" s="13" t="n">
        <f aca="false">IF(Time!BB30&gt;0,BB31+Inputs!$F$37,0)</f>
        <v>89.6303152669281</v>
      </c>
      <c r="BC32" s="13" t="n">
        <f aca="false">IF(Time!BC30&gt;0,BC31+Inputs!$F$37,0)</f>
        <v>91.1617247383385</v>
      </c>
      <c r="BD32" s="13" t="n">
        <f aca="false">IF(Time!BD30&gt;0,BD31+Inputs!$F$37,0)</f>
        <v>94.2245436811594</v>
      </c>
      <c r="BE32" s="13" t="n">
        <f aca="false">IF(Time!BE30&gt;0,BE31+Inputs!$F$37,0)</f>
        <v>94.1752718060975</v>
      </c>
      <c r="BF32" s="13" t="n">
        <f aca="false">IF(Time!BF30&gt;0,BF31+Inputs!$F$37,0)</f>
        <v>94.0767280559736</v>
      </c>
      <c r="BG32" s="13" t="n">
        <f aca="false">IF(Time!BG30&gt;0,BG31+Inputs!$F$37,0)</f>
        <v>93.2660829937732</v>
      </c>
      <c r="BH32" s="13" t="n">
        <f aca="false">IF(Time!BH30&gt;0,BH31+Inputs!$F$37,0)</f>
        <v>91.6447928693725</v>
      </c>
      <c r="BI32" s="13" t="n">
        <f aca="false">IF(Time!BI30&gt;0,BI31+Inputs!$F$37,0)</f>
        <v>90.7553866796524</v>
      </c>
      <c r="BJ32" s="13" t="n">
        <f aca="false">IF(Time!BJ30&gt;0,BJ31+Inputs!$F$37,0)</f>
        <v>88.9765743002121</v>
      </c>
      <c r="BK32" s="13" t="n">
        <f aca="false">IF(Time!BK30&gt;0,BK31+Inputs!$F$37,0)</f>
        <v>90.4699701800511</v>
      </c>
      <c r="BL32" s="13" t="n">
        <f aca="false">IF(Time!BL30&gt;0,BL31+Inputs!$F$37,0)</f>
        <v>93.4567619397292</v>
      </c>
      <c r="BM32" s="13" t="n">
        <f aca="false">IF(Time!BM30&gt;0,BM31+Inputs!$F$37,0)</f>
        <v>93.4567619397292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62.958144351769</v>
      </c>
      <c r="K37" s="13" t="n">
        <f aca="false">IF(Inputs!$F$312=1,INDEX(Inputs!$AJ$313:$AJ$1312,Inputs!$F$311),IF(AND(Inputs!$F$55=1,Inputs!K303&gt;0),Inputs!K303,Inputs!$F$38))</f>
        <v>62.958144351769</v>
      </c>
      <c r="L37" s="13" t="n">
        <f aca="false">IF(Inputs!$F$312=1,INDEX(Inputs!$AJ$313:$AJ$1312,Inputs!$F$311),IF(AND(Inputs!$F$55=1,Inputs!L303&gt;0),Inputs!L303,Inputs!$F$38))</f>
        <v>62.958144351769</v>
      </c>
      <c r="M37" s="13" t="n">
        <f aca="false">IF(Inputs!$F$312=1,INDEX(Inputs!$AJ$313:$AJ$1312,Inputs!$F$311),IF(AND(Inputs!$F$55=1,Inputs!M303&gt;0),Inputs!M303,Inputs!$F$38))</f>
        <v>62.958144351769</v>
      </c>
      <c r="N37" s="13" t="n">
        <f aca="false">IF(Inputs!$F$312=1,INDEX(Inputs!$AJ$313:$AJ$1312,Inputs!$F$311),IF(AND(Inputs!$F$55=1,Inputs!N303&gt;0),Inputs!N303,Inputs!$F$38))</f>
        <v>62.958144351769</v>
      </c>
      <c r="O37" s="13" t="n">
        <f aca="false">IF(Inputs!$F$312=1,INDEX(Inputs!$AJ$313:$AJ$1312,Inputs!$F$311),IF(AND(Inputs!$F$55=1,Inputs!O303&gt;0),Inputs!O303,Inputs!$F$38))</f>
        <v>62.958144351769</v>
      </c>
      <c r="P37" s="13" t="n">
        <f aca="false">IF(Inputs!$F$312=1,INDEX(Inputs!$AJ$313:$AJ$1312,Inputs!$F$311),IF(AND(Inputs!$F$55=1,Inputs!P303&gt;0),Inputs!P303,Inputs!$F$38))</f>
        <v>62.958144351769</v>
      </c>
      <c r="Q37" s="13" t="n">
        <f aca="false">IF(Inputs!$F$312=1,INDEX(Inputs!$AJ$313:$AJ$1312,Inputs!$F$311),IF(AND(Inputs!$F$55=1,Inputs!Q303&gt;0),Inputs!Q303,Inputs!$F$38))</f>
        <v>62.958144351769</v>
      </c>
      <c r="R37" s="13" t="n">
        <f aca="false">IF(Inputs!$F$312=1,INDEX(Inputs!$AJ$313:$AJ$1312,Inputs!$F$311),IF(AND(Inputs!$F$55=1,Inputs!R303&gt;0),Inputs!R303,Inputs!$F$38))</f>
        <v>62.958144351769</v>
      </c>
      <c r="S37" s="13" t="n">
        <f aca="false">IF(Inputs!$F$312=1,INDEX(Inputs!$AJ$313:$AJ$1312,Inputs!$F$311),IF(AND(Inputs!$F$55=1,Inputs!S303&gt;0),Inputs!S303,Inputs!$F$38))</f>
        <v>62.958144351769</v>
      </c>
      <c r="T37" s="13" t="n">
        <f aca="false">IF(Inputs!$F$312=1,INDEX(Inputs!$AJ$313:$AJ$1312,Inputs!$F$311),IF(AND(Inputs!$F$55=1,Inputs!T303&gt;0),Inputs!T303,Inputs!$F$38))</f>
        <v>62.958144351769</v>
      </c>
      <c r="U37" s="13" t="n">
        <f aca="false">IF(Inputs!$F$312=1,INDEX(Inputs!$AJ$313:$AJ$1312,Inputs!$F$311),IF(AND(Inputs!$F$55=1,Inputs!U303&gt;0),Inputs!U303,Inputs!$F$38))</f>
        <v>62.958144351769</v>
      </c>
      <c r="V37" s="13" t="n">
        <f aca="false">IF(Inputs!$F$312=1,INDEX(Inputs!$AJ$313:$AJ$1312,Inputs!$F$311),IF(AND(Inputs!$F$55=1,Inputs!V303&gt;0),Inputs!V303,Inputs!$F$38))</f>
        <v>62.958144351769</v>
      </c>
      <c r="W37" s="13" t="n">
        <f aca="false">IF(Inputs!$F$312=1,INDEX(Inputs!$AJ$313:$AJ$1312,Inputs!$F$311),IF(AND(Inputs!$F$55=1,Inputs!W303&gt;0),Inputs!W303,Inputs!$F$38))</f>
        <v>62.958144351769</v>
      </c>
      <c r="X37" s="13" t="n">
        <f aca="false">IF(Inputs!$F$312=1,INDEX(Inputs!$AJ$313:$AJ$1312,Inputs!$F$311),IF(AND(Inputs!$F$55=1,Inputs!X303&gt;0),Inputs!X303,Inputs!$F$38))</f>
        <v>62.958144351769</v>
      </c>
      <c r="Y37" s="13" t="n">
        <f aca="false">IF(Inputs!$F$312=1,INDEX(Inputs!$AJ$313:$AJ$1312,Inputs!$F$311),IF(AND(Inputs!$F$55=1,Inputs!Y303&gt;0),Inputs!Y303,Inputs!$F$38))</f>
        <v>62.958144351769</v>
      </c>
      <c r="Z37" s="13" t="n">
        <f aca="false">IF(Inputs!$F$312=1,INDEX(Inputs!$AJ$313:$AJ$1312,Inputs!$F$311),IF(AND(Inputs!$F$55=1,Inputs!Z303&gt;0),Inputs!Z303,Inputs!$F$38))</f>
        <v>62.958144351769</v>
      </c>
      <c r="AA37" s="13" t="n">
        <f aca="false">IF(Inputs!$F$312=1,INDEX(Inputs!$AJ$313:$AJ$1312,Inputs!$F$311),IF(AND(Inputs!$F$55=1,Inputs!AA303&gt;0),Inputs!AA303,Inputs!$F$38))</f>
        <v>62.958144351769</v>
      </c>
      <c r="AB37" s="13" t="n">
        <f aca="false">IF(Inputs!$F$312=1,INDEX(Inputs!$AJ$313:$AJ$1312,Inputs!$F$311),IF(AND(Inputs!$F$55=1,Inputs!AB303&gt;0),Inputs!AB303,Inputs!$F$38))</f>
        <v>62.958144351769</v>
      </c>
      <c r="AC37" s="13" t="n">
        <f aca="false">IF(Inputs!$F$312=1,INDEX(Inputs!$AJ$313:$AJ$1312,Inputs!$F$311),IF(AND(Inputs!$F$55=1,Inputs!AC303&gt;0),Inputs!AC303,Inputs!$F$38))</f>
        <v>62.958144351769</v>
      </c>
      <c r="AD37" s="13" t="n">
        <f aca="false">IF(Inputs!$F$312=1,INDEX(Inputs!$AJ$313:$AJ$1312,Inputs!$F$311),IF(AND(Inputs!$F$55=1,Inputs!AD303&gt;0),Inputs!AD303,Inputs!$F$38))</f>
        <v>62.958144351769</v>
      </c>
      <c r="AE37" s="13" t="n">
        <f aca="false">IF(Inputs!$F$312=1,INDEX(Inputs!$AJ$313:$AJ$1312,Inputs!$F$311),IF(AND(Inputs!$F$55=1,Inputs!AE303&gt;0),Inputs!AE303,Inputs!$F$38))</f>
        <v>62.958144351769</v>
      </c>
      <c r="AF37" s="13" t="n">
        <f aca="false">IF(Inputs!$F$312=1,INDEX(Inputs!$AJ$313:$AJ$1312,Inputs!$F$311),IF(AND(Inputs!$F$55=1,Inputs!AF303&gt;0),Inputs!AF303,Inputs!$F$38))</f>
        <v>62.958144351769</v>
      </c>
      <c r="AG37" s="13" t="n">
        <f aca="false">IF(Inputs!$F$312=1,INDEX(Inputs!$AJ$313:$AJ$1312,Inputs!$F$311),IF(AND(Inputs!$F$55=1,Inputs!AG303&gt;0),Inputs!AG303,Inputs!$F$38))</f>
        <v>62.958144351769</v>
      </c>
      <c r="AH37" s="13" t="n">
        <f aca="false">IF(Inputs!$F$312=1,INDEX(Inputs!$AJ$313:$AJ$1312,Inputs!$F$311),IF(AND(Inputs!$F$55=1,Inputs!AH303&gt;0),Inputs!AH303,Inputs!$F$38))</f>
        <v>62.958144351769</v>
      </c>
      <c r="AI37" s="13" t="n">
        <f aca="false">IF(Inputs!$F$312=1,INDEX(Inputs!$AJ$313:$AJ$1312,Inputs!$F$311),IF(AND(Inputs!$F$55=1,Inputs!AI303&gt;0),Inputs!AI303,Inputs!$F$38))</f>
        <v>62.958144351769</v>
      </c>
      <c r="AJ37" s="13" t="n">
        <f aca="false">IF(Inputs!$F$312=1,INDEX(Inputs!$AJ$313:$AJ$1312,Inputs!$F$311),IF(AND(Inputs!$F$55=1,Inputs!AJ303&gt;0),Inputs!AJ303,Inputs!$F$38))</f>
        <v>62.958144351769</v>
      </c>
      <c r="AK37" s="13" t="n">
        <f aca="false">IF(Inputs!$F$312=1,INDEX(Inputs!$AJ$313:$AJ$1312,Inputs!$F$311),IF(AND(Inputs!$F$55=1,Inputs!AK303&gt;0),Inputs!AK303,Inputs!$F$38))</f>
        <v>62.958144351769</v>
      </c>
      <c r="AL37" s="13" t="n">
        <f aca="false">IF(Inputs!$F$312=1,INDEX(Inputs!$AJ$313:$AJ$1312,Inputs!$F$311),IF(AND(Inputs!$F$55=1,Inputs!AL303&gt;0),Inputs!AL303,Inputs!$F$38))</f>
        <v>62.958144351769</v>
      </c>
      <c r="AM37" s="13" t="n">
        <f aca="false">IF(Inputs!$F$312=1,INDEX(Inputs!$AJ$313:$AJ$1312,Inputs!$F$311),IF(AND(Inputs!$F$55=1,Inputs!AM303&gt;0),Inputs!AM303,Inputs!$F$38))</f>
        <v>62.958144351769</v>
      </c>
      <c r="AN37" s="13" t="n">
        <f aca="false">IF(Inputs!$F$312=1,INDEX(Inputs!$AJ$313:$AJ$1312,Inputs!$F$311),IF(AND(Inputs!$F$55=1,Inputs!AN303&gt;0),Inputs!AN303,Inputs!$F$38))</f>
        <v>62.958144351769</v>
      </c>
      <c r="AO37" s="13" t="n">
        <f aca="false">IF(Inputs!$F$312=1,INDEX(Inputs!$AJ$313:$AJ$1312,Inputs!$F$311),IF(AND(Inputs!$F$55=1,Inputs!AO303&gt;0),Inputs!AO303,Inputs!$F$38))</f>
        <v>62.958144351769</v>
      </c>
      <c r="AP37" s="13" t="n">
        <f aca="false">IF(Inputs!$F$312=1,INDEX(Inputs!$AJ$313:$AJ$1312,Inputs!$F$311),IF(AND(Inputs!$F$55=1,Inputs!AP303&gt;0),Inputs!AP303,Inputs!$F$38))</f>
        <v>62.958144351769</v>
      </c>
      <c r="AQ37" s="13" t="n">
        <f aca="false">IF(Inputs!$F$312=1,INDEX(Inputs!$AJ$313:$AJ$1312,Inputs!$F$311),IF(AND(Inputs!$F$55=1,Inputs!AQ303&gt;0),Inputs!AQ303,Inputs!$F$38))</f>
        <v>62.958144351769</v>
      </c>
      <c r="AR37" s="13" t="n">
        <f aca="false">IF(Inputs!$F$312=1,INDEX(Inputs!$AJ$313:$AJ$1312,Inputs!$F$311),IF(AND(Inputs!$F$55=1,Inputs!AR303&gt;0),Inputs!AR303,Inputs!$F$38))</f>
        <v>62.958144351769</v>
      </c>
      <c r="AS37" s="13" t="n">
        <f aca="false">IF(Inputs!$F$312=1,INDEX(Inputs!$AJ$313:$AJ$1312,Inputs!$F$311),IF(AND(Inputs!$F$55=1,Inputs!AS303&gt;0),Inputs!AS303,Inputs!$F$38))</f>
        <v>62.958144351769</v>
      </c>
      <c r="AT37" s="13" t="n">
        <f aca="false">IF(Inputs!$F$312=1,INDEX(Inputs!$AJ$313:$AJ$1312,Inputs!$F$311),IF(AND(Inputs!$F$55=1,Inputs!AT303&gt;0),Inputs!AT303,Inputs!$F$38))</f>
        <v>62.958144351769</v>
      </c>
      <c r="AU37" s="13" t="n">
        <f aca="false">IF(Inputs!$F$312=1,INDEX(Inputs!$AJ$313:$AJ$1312,Inputs!$F$311),IF(AND(Inputs!$F$55=1,Inputs!AU303&gt;0),Inputs!AU303,Inputs!$F$38))</f>
        <v>62.958144351769</v>
      </c>
      <c r="AV37" s="13" t="n">
        <f aca="false">IF(Inputs!$F$312=1,INDEX(Inputs!$AJ$313:$AJ$1312,Inputs!$F$311),IF(AND(Inputs!$F$55=1,Inputs!AV303&gt;0),Inputs!AV303,Inputs!$F$38))</f>
        <v>62.958144351769</v>
      </c>
      <c r="AW37" s="13" t="n">
        <f aca="false">IF(Inputs!$F$312=1,INDEX(Inputs!$AJ$313:$AJ$1312,Inputs!$F$311),IF(AND(Inputs!$F$55=1,Inputs!AW303&gt;0),Inputs!AW303,Inputs!$F$38))</f>
        <v>62.958144351769</v>
      </c>
      <c r="AX37" s="13" t="n">
        <f aca="false">IF(Inputs!$F$312=1,INDEX(Inputs!$AJ$313:$AJ$1312,Inputs!$F$311),IF(AND(Inputs!$F$55=1,Inputs!AX303&gt;0),Inputs!AX303,Inputs!$F$38))</f>
        <v>62.958144351769</v>
      </c>
      <c r="AY37" s="13" t="n">
        <f aca="false">IF(Inputs!$F$312=1,INDEX(Inputs!$AJ$313:$AJ$1312,Inputs!$F$311),IF(AND(Inputs!$F$55=1,Inputs!AY303&gt;0),Inputs!AY303,Inputs!$F$38))</f>
        <v>62.958144351769</v>
      </c>
      <c r="AZ37" s="13" t="n">
        <f aca="false">IF(Inputs!$F$312=1,INDEX(Inputs!$AJ$313:$AJ$1312,Inputs!$F$311),IF(AND(Inputs!$F$55=1,Inputs!AZ303&gt;0),Inputs!AZ303,Inputs!$F$38))</f>
        <v>62.958144351769</v>
      </c>
      <c r="BA37" s="13" t="n">
        <f aca="false">IF(Inputs!$F$312=1,INDEX(Inputs!$AJ$313:$AJ$1312,Inputs!$F$311),IF(AND(Inputs!$F$55=1,Inputs!BA303&gt;0),Inputs!BA303,Inputs!$F$38))</f>
        <v>62.958144351769</v>
      </c>
      <c r="BB37" s="13" t="n">
        <f aca="false">IF(Inputs!$F$312=1,INDEX(Inputs!$AJ$313:$AJ$1312,Inputs!$F$311),IF(AND(Inputs!$F$55=1,Inputs!BB303&gt;0),Inputs!BB303,Inputs!$F$38))</f>
        <v>62.958144351769</v>
      </c>
      <c r="BC37" s="13" t="n">
        <f aca="false">IF(Inputs!$F$312=1,INDEX(Inputs!$AJ$313:$AJ$1312,Inputs!$F$311),IF(AND(Inputs!$F$55=1,Inputs!BC303&gt;0),Inputs!BC303,Inputs!$F$38))</f>
        <v>62.958144351769</v>
      </c>
      <c r="BD37" s="13" t="n">
        <f aca="false">IF(Inputs!$F$312=1,INDEX(Inputs!$AJ$313:$AJ$1312,Inputs!$F$311),IF(AND(Inputs!$F$55=1,Inputs!BD303&gt;0),Inputs!BD303,Inputs!$F$38))</f>
        <v>62.958144351769</v>
      </c>
      <c r="BE37" s="13" t="n">
        <f aca="false">IF(Inputs!$F$312=1,INDEX(Inputs!$AJ$313:$AJ$1312,Inputs!$F$311),IF(AND(Inputs!$F$55=1,Inputs!BE303&gt;0),Inputs!BE303,Inputs!$F$38))</f>
        <v>62.958144351769</v>
      </c>
      <c r="BF37" s="13" t="n">
        <f aca="false">IF(Inputs!$F$312=1,INDEX(Inputs!$AJ$313:$AJ$1312,Inputs!$F$311),IF(AND(Inputs!$F$55=1,Inputs!BF303&gt;0),Inputs!BF303,Inputs!$F$38))</f>
        <v>62.958144351769</v>
      </c>
      <c r="BG37" s="13" t="n">
        <f aca="false">IF(Inputs!$F$312=1,INDEX(Inputs!$AJ$313:$AJ$1312,Inputs!$F$311),IF(AND(Inputs!$F$55=1,Inputs!BG303&gt;0),Inputs!BG303,Inputs!$F$38))</f>
        <v>62.958144351769</v>
      </c>
      <c r="BH37" s="13" t="n">
        <f aca="false">IF(Inputs!$F$312=1,INDEX(Inputs!$AJ$313:$AJ$1312,Inputs!$F$311),IF(AND(Inputs!$F$55=1,Inputs!BH303&gt;0),Inputs!BH303,Inputs!$F$38))</f>
        <v>62.958144351769</v>
      </c>
      <c r="BI37" s="13" t="n">
        <f aca="false">IF(Inputs!$F$312=1,INDEX(Inputs!$AJ$313:$AJ$1312,Inputs!$F$311),IF(AND(Inputs!$F$55=1,Inputs!BI303&gt;0),Inputs!BI303,Inputs!$F$38))</f>
        <v>62.958144351769</v>
      </c>
      <c r="BJ37" s="13" t="n">
        <f aca="false">IF(Inputs!$F$312=1,INDEX(Inputs!$AJ$313:$AJ$1312,Inputs!$F$311),IF(AND(Inputs!$F$55=1,Inputs!BJ303&gt;0),Inputs!BJ303,Inputs!$F$38))</f>
        <v>62.958144351769</v>
      </c>
      <c r="BK37" s="13" t="n">
        <f aca="false">IF(Inputs!$F$312=1,INDEX(Inputs!$AJ$313:$AJ$1312,Inputs!$F$311),IF(AND(Inputs!$F$55=1,Inputs!BK303&gt;0),Inputs!BK303,Inputs!$F$38))</f>
        <v>62.958144351769</v>
      </c>
      <c r="BL37" s="13" t="n">
        <f aca="false">IF(Inputs!$F$312=1,INDEX(Inputs!$AJ$313:$AJ$1312,Inputs!$F$311),IF(AND(Inputs!$F$55=1,Inputs!BL303&gt;0),Inputs!BL303,Inputs!$F$38))</f>
        <v>62.958144351769</v>
      </c>
      <c r="BM37" s="13" t="n">
        <f aca="false">IF(Inputs!$F$312=1,INDEX(Inputs!$AJ$313:$AJ$1312,Inputs!$F$311),IF(AND(Inputs!$F$55=1,Inputs!BM303&gt;0),Inputs!BM303,Inputs!$F$38))</f>
        <v>62.958144351769</v>
      </c>
      <c r="BN37" s="13" t="n">
        <f aca="false">IF(Inputs!$F$312=1,INDEX(Inputs!$AJ$313:$AJ$1312,Inputs!$F$311),IF(AND(Inputs!$F$55=1,Inputs!BN303&gt;0),Inputs!BN303,Inputs!$F$38))</f>
        <v>62.958144351769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501484.252125943</v>
      </c>
      <c r="P38" s="15" t="n">
        <f aca="false">$F$34*Inputs!$F$215*Time!P30*P32/100*P37/100*P36</f>
        <v>1503700.43595959</v>
      </c>
      <c r="Q38" s="15" t="n">
        <f aca="false">$F$34*Inputs!$F$215*Time!Q30*Q32/100*Q37/100*Q36</f>
        <v>1497269.45053822</v>
      </c>
      <c r="R38" s="15" t="n">
        <f aca="false">$F$34*Inputs!$F$215*Time!R30*R32/100*R37/100*R36</f>
        <v>1485547.90738584</v>
      </c>
      <c r="S38" s="15" t="n">
        <f aca="false">$F$34*Inputs!$F$215*Time!S30*S32/100*S37/100*S36</f>
        <v>1495542.52437297</v>
      </c>
      <c r="T38" s="15" t="n">
        <f aca="false">$F$34*Inputs!$F$215*Time!T30*T32/100*T37/100*T36</f>
        <v>1516623.21974038</v>
      </c>
      <c r="U38" s="15" t="n">
        <f aca="false">$F$34*Inputs!$F$215*Time!U30*U32/100*U37/100*U36</f>
        <v>1503542.28989755</v>
      </c>
      <c r="V38" s="15" t="n">
        <f aca="false">$F$34*Inputs!$F$215*Time!V30*V32/100*V37/100*V36</f>
        <v>1478549.01747089</v>
      </c>
      <c r="W38" s="15" t="n">
        <f aca="false">$F$34*Inputs!$F$215*Time!W30*W32/100*W37/100*W36</f>
        <v>1491937.04639231</v>
      </c>
      <c r="X38" s="15" t="n">
        <f aca="false">$F$34*Inputs!$F$215*Time!X30*X32/100*X37/100*X36</f>
        <v>1519794.90463793</v>
      </c>
      <c r="Y38" s="15" t="n">
        <f aca="false">$F$34*Inputs!$F$215*Time!Y30*Y32/100*Y37/100*Y36</f>
        <v>1520820.7269805</v>
      </c>
      <c r="Z38" s="15" t="n">
        <f aca="false">$F$34*Inputs!$F$215*Time!Z30*Z32/100*Z37/100*Z36</f>
        <v>1524014.89349831</v>
      </c>
      <c r="AA38" s="15" t="n">
        <f aca="false">$F$34*Inputs!$F$215*Time!AA30*AA32/100*AA37/100*AA36</f>
        <v>1517090.94262369</v>
      </c>
      <c r="AB38" s="15" t="n">
        <f aca="false">$F$34*Inputs!$F$215*Time!AB30*AB32/100*AB37/100*AB36</f>
        <v>1504408.51741573</v>
      </c>
      <c r="AC38" s="15" t="n">
        <f aca="false">$F$34*Inputs!$F$215*Time!AC30*AC32/100*AC37/100*AC36</f>
        <v>1469226.53578981</v>
      </c>
      <c r="AD38" s="15" t="n">
        <f aca="false">$F$34*Inputs!$F$215*Time!AD30*AD32/100*AD37/100*AD36</f>
        <v>1400079.24353061</v>
      </c>
      <c r="AE38" s="15" t="n">
        <f aca="false">$F$34*Inputs!$F$215*Time!AE30*AE32/100*AE37/100*AE36</f>
        <v>1429985.22025655</v>
      </c>
      <c r="AF38" s="15" t="n">
        <f aca="false">$F$34*Inputs!$F$215*Time!AF30*AF32/100*AF37/100*AF36</f>
        <v>1490788.53144831</v>
      </c>
      <c r="AG38" s="15" t="n">
        <f aca="false">$F$34*Inputs!$F$215*Time!AG30*AG32/100*AG37/100*AG36</f>
        <v>1476796.96757433</v>
      </c>
      <c r="AH38" s="15" t="n">
        <f aca="false">$F$34*Inputs!$F$215*Time!AH30*AH32/100*AH37/100*AH36</f>
        <v>1449975.55299392</v>
      </c>
      <c r="AI38" s="15" t="n">
        <f aca="false">$F$34*Inputs!$F$215*Time!AI30*AI32/100*AI37/100*AI36</f>
        <v>1460113.17608048</v>
      </c>
      <c r="AJ38" s="15" t="n">
        <f aca="false">$F$34*Inputs!$F$215*Time!AJ30*AJ32/100*AJ37/100*AJ36</f>
        <v>1481465.81124031</v>
      </c>
      <c r="AK38" s="15" t="n">
        <f aca="false">$F$34*Inputs!$F$215*Time!AK30*AK32/100*AK37/100*AK36</f>
        <v>1453270.60124509</v>
      </c>
      <c r="AL38" s="15" t="n">
        <f aca="false">$F$34*Inputs!$F$215*Time!AL30*AL32/100*AL37/100*AL36</f>
        <v>1398070.83050955</v>
      </c>
      <c r="AM38" s="15" t="n">
        <f aca="false">$F$34*Inputs!$F$215*Time!AM30*AM32/100*AM37/100*AM36</f>
        <v>1428180.18124709</v>
      </c>
      <c r="AN38" s="15" t="n">
        <f aca="false">$F$34*Inputs!$F$215*Time!AN30*AN32/100*AN37/100*AN36</f>
        <v>1489394.28210243</v>
      </c>
      <c r="AO38" s="15" t="n">
        <f aca="false">$F$34*Inputs!$F$215*Time!AO30*AO32/100*AO37/100*AO36</f>
        <v>1476673.13991016</v>
      </c>
      <c r="AP38" s="15" t="n">
        <f aca="false">$F$34*Inputs!$F$215*Time!AP30*AP32/100*AP37/100*AP36</f>
        <v>1452395.67749621</v>
      </c>
      <c r="AQ38" s="15" t="n">
        <f aca="false">$F$34*Inputs!$F$215*Time!AQ30*AQ32/100*AQ37/100*AQ36</f>
        <v>1462042.91981327</v>
      </c>
      <c r="AR38" s="15" t="n">
        <f aca="false">$F$34*Inputs!$F$215*Time!AR30*AR32/100*AR37/100*AR36</f>
        <v>1482424.34988912</v>
      </c>
      <c r="AS38" s="15" t="n">
        <f aca="false">$F$34*Inputs!$F$215*Time!AS30*AS32/100*AS37/100*AS36</f>
        <v>1454748.46652734</v>
      </c>
      <c r="AT38" s="15" t="n">
        <f aca="false">$F$34*Inputs!$F$215*Time!AT30*AT32/100*AT37/100*AT36</f>
        <v>1400594.17309028</v>
      </c>
      <c r="AU38" s="15" t="n">
        <f aca="false">$F$34*Inputs!$F$215*Time!AU30*AU32/100*AU37/100*AU36</f>
        <v>1415707.10739567</v>
      </c>
      <c r="AV38" s="15" t="n">
        <f aca="false">$F$34*Inputs!$F$215*Time!AV30*AV32/100*AV37/100*AV36</f>
        <v>1446970.97379459</v>
      </c>
      <c r="AW38" s="15" t="n">
        <f aca="false">$F$34*Inputs!$F$215*Time!AW30*AW32/100*AW37/100*AW36</f>
        <v>1457884.17305491</v>
      </c>
      <c r="AX38" s="15" t="n">
        <f aca="false">$F$34*Inputs!$F$215*Time!AX30*AX32/100*AX37/100*AX36</f>
        <v>1480795.43565354</v>
      </c>
      <c r="AY38" s="15" t="n">
        <f aca="false">$F$34*Inputs!$F$215*Time!AY30*AY32/100*AY37/100*AY36</f>
        <v>1477043.55532308</v>
      </c>
      <c r="AZ38" s="15" t="n">
        <f aca="false">$F$34*Inputs!$F$215*Time!AZ30*AZ32/100*AZ37/100*AZ36</f>
        <v>1470686.22203761</v>
      </c>
      <c r="BA38" s="15" t="n">
        <f aca="false">$F$34*Inputs!$F$215*Time!BA30*BA32/100*BA37/100*BA36</f>
        <v>1446002.13063541</v>
      </c>
      <c r="BB38" s="15" t="n">
        <f aca="false">$F$34*Inputs!$F$215*Time!BB30*BB32/100*BB37/100*BB36</f>
        <v>1397822.83327431</v>
      </c>
      <c r="BC38" s="15" t="n">
        <f aca="false">$F$34*Inputs!$F$215*Time!BC30*BC32/100*BC37/100*BC36</f>
        <v>1420607.5480136</v>
      </c>
      <c r="BD38" s="15" t="n">
        <f aca="false">$F$34*Inputs!$F$215*Time!BD30*BD32/100*BD37/100*BD36</f>
        <v>1467201.44554157</v>
      </c>
      <c r="BE38" s="15" t="n">
        <f aca="false">$F$34*Inputs!$F$215*Time!BE30*BE32/100*BE37/100*BE36</f>
        <v>1465299.6449968</v>
      </c>
      <c r="BF38" s="15" t="n">
        <f aca="false">$F$34*Inputs!$F$215*Time!BF30*BF32/100*BF37/100*BF36</f>
        <v>1462632.99023716</v>
      </c>
      <c r="BG38" s="15" t="n">
        <f aca="false">$F$34*Inputs!$F$215*Time!BG30*BG32/100*BG37/100*BG36</f>
        <v>1448906.08250931</v>
      </c>
      <c r="BH38" s="15" t="n">
        <f aca="false">$F$34*Inputs!$F$215*Time!BH30*BH32/100*BH37/100*BH36</f>
        <v>1422614.95039949</v>
      </c>
      <c r="BI38" s="15" t="n">
        <f aca="false">$F$34*Inputs!$F$215*Time!BI30*BI32/100*BI37/100*BI36</f>
        <v>1407715.20256443</v>
      </c>
      <c r="BJ38" s="15" t="n">
        <f aca="false">$F$34*Inputs!$F$215*Time!BJ30*BJ32/100*BJ37/100*BJ36</f>
        <v>1379051.9382337</v>
      </c>
      <c r="BK38" s="15" t="n">
        <f aca="false">$F$34*Inputs!$F$215*Time!BK30*BK32/100*BK37/100*BK36</f>
        <v>1401108.21584275</v>
      </c>
      <c r="BL38" s="15" t="n">
        <f aca="false">$F$34*Inputs!$F$215*Time!BL30*BL32/100*BL37/100*BL36</f>
        <v>1446238.73709887</v>
      </c>
      <c r="BM38" s="15" t="n">
        <f aca="false">$F$34*Inputs!$F$215*Time!BM30*BM32/100*BM37/100*BM36</f>
        <v>963533.649334849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6456.90967504727</v>
      </c>
      <c r="P39" s="13" t="n">
        <f aca="false">$F$35*(1+IF(Inputs!$F$312=1,INDEX(Inputs!$AK$313:$AK$1312,Inputs!$F$311),Inputs!$F$127)/100*P33)*(1+Inputs!$F$128/100)*(1+Inputs!$F$122/100)*Inputs!$F$39</f>
        <v>6459.57627923633</v>
      </c>
      <c r="Q39" s="13" t="n">
        <f aca="false">$F$35*(1+IF(Inputs!$F$312=1,INDEX(Inputs!$AK$313:$AK$1312,Inputs!$F$311),Inputs!$F$127)/100*Q33)*(1+Inputs!$F$128/100)*(1+Inputs!$F$122/100)*Inputs!$F$39</f>
        <v>6463.57618551992</v>
      </c>
      <c r="R39" s="13" t="n">
        <f aca="false">$F$35*(1+IF(Inputs!$F$312=1,INDEX(Inputs!$AK$313:$AK$1312,Inputs!$F$311),Inputs!$F$127)/100*R33)*(1+Inputs!$F$128/100)*(1+Inputs!$F$122/100)*Inputs!$F$39</f>
        <v>6467.57609180352</v>
      </c>
      <c r="S39" s="13" t="n">
        <f aca="false">$F$35*(1+IF(Inputs!$F$312=1,INDEX(Inputs!$AK$313:$AK$1312,Inputs!$F$311),Inputs!$F$127)/100*S33)*(1+Inputs!$F$128/100)*(1+Inputs!$F$122/100)*Inputs!$F$39</f>
        <v>6471.57599808712</v>
      </c>
      <c r="T39" s="13" t="n">
        <f aca="false">$F$35*(1+IF(Inputs!$F$312=1,INDEX(Inputs!$AK$313:$AK$1312,Inputs!$F$311),Inputs!$F$127)/100*T33)*(1+Inputs!$F$128/100)*(1+Inputs!$F$122/100)*Inputs!$F$39</f>
        <v>6475.57590437071</v>
      </c>
      <c r="U39" s="13" t="n">
        <f aca="false">$F$35*(1+IF(Inputs!$F$312=1,INDEX(Inputs!$AK$313:$AK$1312,Inputs!$F$311),Inputs!$F$127)/100*U33)*(1+Inputs!$F$128/100)*(1+Inputs!$F$122/100)*Inputs!$F$39</f>
        <v>6479.57581065431</v>
      </c>
      <c r="V39" s="13" t="n">
        <f aca="false">$F$35*(1+IF(Inputs!$F$312=1,INDEX(Inputs!$AK$313:$AK$1312,Inputs!$F$311),Inputs!$F$127)/100*V33)*(1+Inputs!$F$128/100)*(1+Inputs!$F$122/100)*Inputs!$F$39</f>
        <v>6483.5757169379</v>
      </c>
      <c r="W39" s="13" t="n">
        <f aca="false">$F$35*(1+IF(Inputs!$F$312=1,INDEX(Inputs!$AK$313:$AK$1312,Inputs!$F$311),Inputs!$F$127)/100*W33)*(1+Inputs!$F$128/100)*(1+Inputs!$F$122/100)*Inputs!$F$39</f>
        <v>6487.5756232215</v>
      </c>
      <c r="X39" s="13" t="n">
        <f aca="false">$F$35*(1+IF(Inputs!$F$312=1,INDEX(Inputs!$AK$313:$AK$1312,Inputs!$F$311),Inputs!$F$127)/100*X33)*(1+Inputs!$F$128/100)*(1+Inputs!$F$122/100)*Inputs!$F$39</f>
        <v>6491.57552950509</v>
      </c>
      <c r="Y39" s="13" t="n">
        <f aca="false">$F$35*(1+IF(Inputs!$F$312=1,INDEX(Inputs!$AK$313:$AK$1312,Inputs!$F$311),Inputs!$F$127)/100*Y33)*(1+Inputs!$F$128/100)*(1+Inputs!$F$122/100)*Inputs!$F$39</f>
        <v>6495.57543578869</v>
      </c>
      <c r="Z39" s="13" t="n">
        <f aca="false">$F$35*(1+IF(Inputs!$F$312=1,INDEX(Inputs!$AK$313:$AK$1312,Inputs!$F$311),Inputs!$F$127)/100*Z33)*(1+Inputs!$F$128/100)*(1+Inputs!$F$122/100)*Inputs!$F$39</f>
        <v>6499.57534207228</v>
      </c>
      <c r="AA39" s="13" t="n">
        <f aca="false">$F$35*(1+IF(Inputs!$F$312=1,INDEX(Inputs!$AK$313:$AK$1312,Inputs!$F$311),Inputs!$F$127)/100*AA33)*(1+Inputs!$F$128/100)*(1+Inputs!$F$122/100)*Inputs!$F$39</f>
        <v>6503.57524835588</v>
      </c>
      <c r="AB39" s="13" t="n">
        <f aca="false">$F$35*(1+IF(Inputs!$F$312=1,INDEX(Inputs!$AK$313:$AK$1312,Inputs!$F$311),Inputs!$F$127)/100*AB33)*(1+Inputs!$F$128/100)*(1+Inputs!$F$122/100)*Inputs!$F$39</f>
        <v>6507.57515463947</v>
      </c>
      <c r="AC39" s="13" t="n">
        <f aca="false">$F$35*(1+IF(Inputs!$F$312=1,INDEX(Inputs!$AK$313:$AK$1312,Inputs!$F$311),Inputs!$F$127)/100*AC33)*(1+Inputs!$F$128/100)*(1+Inputs!$F$122/100)*Inputs!$F$39</f>
        <v>6511.57506092307</v>
      </c>
      <c r="AD39" s="13" t="n">
        <f aca="false">$F$35*(1+IF(Inputs!$F$312=1,INDEX(Inputs!$AK$313:$AK$1312,Inputs!$F$311),Inputs!$F$127)/100*AD33)*(1+Inputs!$F$128/100)*(1+Inputs!$F$122/100)*Inputs!$F$39</f>
        <v>6515.57496720667</v>
      </c>
      <c r="AE39" s="13" t="n">
        <f aca="false">$F$35*(1+IF(Inputs!$F$312=1,INDEX(Inputs!$AK$313:$AK$1312,Inputs!$F$311),Inputs!$F$127)/100*AE33)*(1+Inputs!$F$128/100)*(1+Inputs!$F$122/100)*Inputs!$F$39</f>
        <v>6519.57487349026</v>
      </c>
      <c r="AF39" s="13" t="n">
        <f aca="false">$F$35*(1+IF(Inputs!$F$312=1,INDEX(Inputs!$AK$313:$AK$1312,Inputs!$F$311),Inputs!$F$127)/100*AF33)*(1+Inputs!$F$128/100)*(1+Inputs!$F$122/100)*Inputs!$F$39</f>
        <v>6523.57477977386</v>
      </c>
      <c r="AG39" s="13" t="n">
        <f aca="false">$F$35*(1+IF(Inputs!$F$312=1,INDEX(Inputs!$AK$313:$AK$1312,Inputs!$F$311),Inputs!$F$127)/100*AG33)*(1+Inputs!$F$128/100)*(1+Inputs!$F$122/100)*Inputs!$F$39</f>
        <v>6527.57468605745</v>
      </c>
      <c r="AH39" s="13" t="n">
        <f aca="false">$F$35*(1+IF(Inputs!$F$312=1,INDEX(Inputs!$AK$313:$AK$1312,Inputs!$F$311),Inputs!$F$127)/100*AH33)*(1+Inputs!$F$128/100)*(1+Inputs!$F$122/100)*Inputs!$F$39</f>
        <v>6531.57459234105</v>
      </c>
      <c r="AI39" s="13" t="n">
        <f aca="false">$F$35*(1+IF(Inputs!$F$312=1,INDEX(Inputs!$AK$313:$AK$1312,Inputs!$F$311),Inputs!$F$127)/100*AI33)*(1+Inputs!$F$128/100)*(1+Inputs!$F$122/100)*Inputs!$F$39</f>
        <v>6535.57449862464</v>
      </c>
      <c r="AJ39" s="13" t="n">
        <f aca="false">$F$35*(1+IF(Inputs!$F$312=1,INDEX(Inputs!$AK$313:$AK$1312,Inputs!$F$311),Inputs!$F$127)/100*AJ33)*(1+Inputs!$F$128/100)*(1+Inputs!$F$122/100)*Inputs!$F$39</f>
        <v>6539.57440490824</v>
      </c>
      <c r="AK39" s="13" t="n">
        <f aca="false">$F$35*(1+IF(Inputs!$F$312=1,INDEX(Inputs!$AK$313:$AK$1312,Inputs!$F$311),Inputs!$F$127)/100*AK33)*(1+Inputs!$F$128/100)*(1+Inputs!$F$122/100)*Inputs!$F$39</f>
        <v>6543.57431119183</v>
      </c>
      <c r="AL39" s="13" t="n">
        <f aca="false">$F$35*(1+IF(Inputs!$F$312=1,INDEX(Inputs!$AK$313:$AK$1312,Inputs!$F$311),Inputs!$F$127)/100*AL33)*(1+Inputs!$F$128/100)*(1+Inputs!$F$122/100)*Inputs!$F$39</f>
        <v>6547.57421747543</v>
      </c>
      <c r="AM39" s="13" t="n">
        <f aca="false">$F$35*(1+IF(Inputs!$F$312=1,INDEX(Inputs!$AK$313:$AK$1312,Inputs!$F$311),Inputs!$F$127)/100*AM33)*(1+Inputs!$F$128/100)*(1+Inputs!$F$122/100)*Inputs!$F$39</f>
        <v>6551.57412375903</v>
      </c>
      <c r="AN39" s="13" t="n">
        <f aca="false">$F$35*(1+IF(Inputs!$F$312=1,INDEX(Inputs!$AK$313:$AK$1312,Inputs!$F$311),Inputs!$F$127)/100*AN33)*(1+Inputs!$F$128/100)*(1+Inputs!$F$122/100)*Inputs!$F$39</f>
        <v>6555.57403004262</v>
      </c>
      <c r="AO39" s="13" t="n">
        <f aca="false">$F$35*(1+IF(Inputs!$F$312=1,INDEX(Inputs!$AK$313:$AK$1312,Inputs!$F$311),Inputs!$F$127)/100*AO33)*(1+Inputs!$F$128/100)*(1+Inputs!$F$122/100)*Inputs!$F$39</f>
        <v>6559.57393632622</v>
      </c>
      <c r="AP39" s="13" t="n">
        <f aca="false">$F$35*(1+IF(Inputs!$F$312=1,INDEX(Inputs!$AK$313:$AK$1312,Inputs!$F$311),Inputs!$F$127)/100*AP33)*(1+Inputs!$F$128/100)*(1+Inputs!$F$122/100)*Inputs!$F$39</f>
        <v>6563.57384260981</v>
      </c>
      <c r="AQ39" s="13" t="n">
        <f aca="false">$F$35*(1+IF(Inputs!$F$312=1,INDEX(Inputs!$AK$313:$AK$1312,Inputs!$F$311),Inputs!$F$127)/100*AQ33)*(1+Inputs!$F$128/100)*(1+Inputs!$F$122/100)*Inputs!$F$39</f>
        <v>6567.57374889341</v>
      </c>
      <c r="AR39" s="13" t="n">
        <f aca="false">$F$35*(1+IF(Inputs!$F$312=1,INDEX(Inputs!$AK$313:$AK$1312,Inputs!$F$311),Inputs!$F$127)/100*AR33)*(1+Inputs!$F$128/100)*(1+Inputs!$F$122/100)*Inputs!$F$39</f>
        <v>6571.573655177</v>
      </c>
      <c r="AS39" s="13" t="n">
        <f aca="false">$F$35*(1+IF(Inputs!$F$312=1,INDEX(Inputs!$AK$313:$AK$1312,Inputs!$F$311),Inputs!$F$127)/100*AS33)*(1+Inputs!$F$128/100)*(1+Inputs!$F$122/100)*Inputs!$F$39</f>
        <v>6575.5735614606</v>
      </c>
      <c r="AT39" s="13" t="n">
        <f aca="false">$F$35*(1+IF(Inputs!$F$312=1,INDEX(Inputs!$AK$313:$AK$1312,Inputs!$F$311),Inputs!$F$127)/100*AT33)*(1+Inputs!$F$128/100)*(1+Inputs!$F$122/100)*Inputs!$F$39</f>
        <v>6579.57346774419</v>
      </c>
      <c r="AU39" s="13" t="n">
        <f aca="false">$F$35*(1+IF(Inputs!$F$312=1,INDEX(Inputs!$AK$313:$AK$1312,Inputs!$F$311),Inputs!$F$127)/100*AU33)*(1+Inputs!$F$128/100)*(1+Inputs!$F$122/100)*Inputs!$F$39</f>
        <v>6583.57337402779</v>
      </c>
      <c r="AV39" s="13" t="n">
        <f aca="false">$F$35*(1+IF(Inputs!$F$312=1,INDEX(Inputs!$AK$313:$AK$1312,Inputs!$F$311),Inputs!$F$127)/100*AV33)*(1+Inputs!$F$128/100)*(1+Inputs!$F$122/100)*Inputs!$F$39</f>
        <v>6587.57328031138</v>
      </c>
      <c r="AW39" s="13" t="n">
        <f aca="false">$F$35*(1+IF(Inputs!$F$312=1,INDEX(Inputs!$AK$313:$AK$1312,Inputs!$F$311),Inputs!$F$127)/100*AW33)*(1+Inputs!$F$128/100)*(1+Inputs!$F$122/100)*Inputs!$F$39</f>
        <v>6591.57318659498</v>
      </c>
      <c r="AX39" s="13" t="n">
        <f aca="false">$F$35*(1+IF(Inputs!$F$312=1,INDEX(Inputs!$AK$313:$AK$1312,Inputs!$F$311),Inputs!$F$127)/100*AX33)*(1+Inputs!$F$128/100)*(1+Inputs!$F$122/100)*Inputs!$F$39</f>
        <v>6595.57309287858</v>
      </c>
      <c r="AY39" s="13" t="n">
        <f aca="false">$F$35*(1+IF(Inputs!$F$312=1,INDEX(Inputs!$AK$313:$AK$1312,Inputs!$F$311),Inputs!$F$127)/100*AY33)*(1+Inputs!$F$128/100)*(1+Inputs!$F$122/100)*Inputs!$F$39</f>
        <v>6599.57299916217</v>
      </c>
      <c r="AZ39" s="13" t="n">
        <f aca="false">$F$35*(1+IF(Inputs!$F$312=1,INDEX(Inputs!$AK$313:$AK$1312,Inputs!$F$311),Inputs!$F$127)/100*AZ33)*(1+Inputs!$F$128/100)*(1+Inputs!$F$122/100)*Inputs!$F$39</f>
        <v>6603.57290544577</v>
      </c>
      <c r="BA39" s="13" t="n">
        <f aca="false">$F$35*(1+IF(Inputs!$F$312=1,INDEX(Inputs!$AK$313:$AK$1312,Inputs!$F$311),Inputs!$F$127)/100*BA33)*(1+Inputs!$F$128/100)*(1+Inputs!$F$122/100)*Inputs!$F$39</f>
        <v>6607.57281172936</v>
      </c>
      <c r="BB39" s="13" t="n">
        <f aca="false">$F$35*(1+IF(Inputs!$F$312=1,INDEX(Inputs!$AK$313:$AK$1312,Inputs!$F$311),Inputs!$F$127)/100*BB33)*(1+Inputs!$F$128/100)*(1+Inputs!$F$122/100)*Inputs!$F$39</f>
        <v>6611.57271801296</v>
      </c>
      <c r="BC39" s="13" t="n">
        <f aca="false">$F$35*(1+IF(Inputs!$F$312=1,INDEX(Inputs!$AK$313:$AK$1312,Inputs!$F$311),Inputs!$F$127)/100*BC33)*(1+Inputs!$F$128/100)*(1+Inputs!$F$122/100)*Inputs!$F$39</f>
        <v>6615.57262429655</v>
      </c>
      <c r="BD39" s="13" t="n">
        <f aca="false">$F$35*(1+IF(Inputs!$F$312=1,INDEX(Inputs!$AK$313:$AK$1312,Inputs!$F$311),Inputs!$F$127)/100*BD33)*(1+Inputs!$F$128/100)*(1+Inputs!$F$122/100)*Inputs!$F$39</f>
        <v>6619.57253058015</v>
      </c>
      <c r="BE39" s="13" t="n">
        <f aca="false">$F$35*(1+IF(Inputs!$F$312=1,INDEX(Inputs!$AK$313:$AK$1312,Inputs!$F$311),Inputs!$F$127)/100*BE33)*(1+Inputs!$F$128/100)*(1+Inputs!$F$122/100)*Inputs!$F$39</f>
        <v>6623.57243686374</v>
      </c>
      <c r="BF39" s="13" t="n">
        <f aca="false">$F$35*(1+IF(Inputs!$F$312=1,INDEX(Inputs!$AK$313:$AK$1312,Inputs!$F$311),Inputs!$F$127)/100*BF33)*(1+Inputs!$F$128/100)*(1+Inputs!$F$122/100)*Inputs!$F$39</f>
        <v>6627.57234314734</v>
      </c>
      <c r="BG39" s="13" t="n">
        <f aca="false">$F$35*(1+IF(Inputs!$F$312=1,INDEX(Inputs!$AK$313:$AK$1312,Inputs!$F$311),Inputs!$F$127)/100*BG33)*(1+Inputs!$F$128/100)*(1+Inputs!$F$122/100)*Inputs!$F$39</f>
        <v>6631.57224943094</v>
      </c>
      <c r="BH39" s="13" t="n">
        <f aca="false">$F$35*(1+IF(Inputs!$F$312=1,INDEX(Inputs!$AK$313:$AK$1312,Inputs!$F$311),Inputs!$F$127)/100*BH33)*(1+Inputs!$F$128/100)*(1+Inputs!$F$122/100)*Inputs!$F$39</f>
        <v>6635.57215571453</v>
      </c>
      <c r="BI39" s="13" t="n">
        <f aca="false">$F$35*(1+IF(Inputs!$F$312=1,INDEX(Inputs!$AK$313:$AK$1312,Inputs!$F$311),Inputs!$F$127)/100*BI33)*(1+Inputs!$F$128/100)*(1+Inputs!$F$122/100)*Inputs!$F$39</f>
        <v>6639.57206199813</v>
      </c>
      <c r="BJ39" s="13" t="n">
        <f aca="false">$F$35*(1+IF(Inputs!$F$312=1,INDEX(Inputs!$AK$313:$AK$1312,Inputs!$F$311),Inputs!$F$127)/100*BJ33)*(1+Inputs!$F$128/100)*(1+Inputs!$F$122/100)*Inputs!$F$39</f>
        <v>6643.57196828172</v>
      </c>
      <c r="BK39" s="13" t="n">
        <f aca="false">$F$35*(1+IF(Inputs!$F$312=1,INDEX(Inputs!$AK$313:$AK$1312,Inputs!$F$311),Inputs!$F$127)/100*BK33)*(1+Inputs!$F$128/100)*(1+Inputs!$F$122/100)*Inputs!$F$39</f>
        <v>6647.57187456532</v>
      </c>
      <c r="BL39" s="13" t="n">
        <f aca="false">$F$35*(1+IF(Inputs!$F$312=1,INDEX(Inputs!$AK$313:$AK$1312,Inputs!$F$311),Inputs!$F$127)/100*BL33)*(1+Inputs!$F$128/100)*(1+Inputs!$F$122/100)*Inputs!$F$39</f>
        <v>6651.57178084891</v>
      </c>
      <c r="BM39" s="13" t="n">
        <f aca="false">$F$35*(1+IF(Inputs!$F$312=1,INDEX(Inputs!$AK$313:$AK$1312,Inputs!$F$311),Inputs!$F$127)/100*BM33)*(1+Inputs!$F$128/100)*(1+Inputs!$F$122/100)*Inputs!$F$39</f>
        <v>6654.90503608524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3400527.25119322</v>
      </c>
      <c r="P42" s="15" t="n">
        <f aca="false">P38*P39*(1000*Inputs!$F$123/Inputs!$F$124)</f>
        <v>10200691.3142617</v>
      </c>
      <c r="Q42" s="15" t="n">
        <f aca="false">Q38*Q39*(1000*Inputs!$F$123/Inputs!$F$124)</f>
        <v>10163354.7427779</v>
      </c>
      <c r="R42" s="15" t="n">
        <f aca="false">R38*R39*(1000*Inputs!$F$123/Inputs!$F$124)</f>
        <v>10090030.0031216</v>
      </c>
      <c r="S42" s="15" t="n">
        <f aca="false">S38*S39*(1000*Inputs!$F$123/Inputs!$F$124)</f>
        <v>10164196.9262055</v>
      </c>
      <c r="T42" s="15" t="n">
        <f aca="false">T38*T39*(1000*Inputs!$F$123/Inputs!$F$124)</f>
        <v>10313839.0054727</v>
      </c>
      <c r="U42" s="15" t="n">
        <f aca="false">U38*U39*(1000*Inputs!$F$123/Inputs!$F$124)</f>
        <v>10231197.5924717</v>
      </c>
      <c r="V42" s="15" t="n">
        <f aca="false">V38*V39*(1000*Inputs!$F$123/Inputs!$F$124)</f>
        <v>10067335.9827555</v>
      </c>
      <c r="W42" s="15" t="n">
        <f aca="false">W38*W39*(1000*Inputs!$F$123/Inputs!$F$124)</f>
        <v>10164761.1977183</v>
      </c>
      <c r="X42" s="15" t="n">
        <f aca="false">X38*X39*(1000*Inputs!$F$123/Inputs!$F$124)</f>
        <v>10360944.5009535</v>
      </c>
      <c r="Y42" s="15" t="n">
        <f aca="false">Y38*Y39*(1000*Inputs!$F$123/Inputs!$F$124)</f>
        <v>10374326.2709329</v>
      </c>
      <c r="Z42" s="15" t="n">
        <f aca="false">Z38*Z39*(1000*Inputs!$F$123/Inputs!$F$124)</f>
        <v>10402517.1952841</v>
      </c>
      <c r="AA42" s="15" t="n">
        <f aca="false">AA38*AA39*(1000*Inputs!$F$123/Inputs!$F$124)</f>
        <v>10361628.8947498</v>
      </c>
      <c r="AB42" s="15" t="n">
        <f aca="false">AB38*AB39*(1000*Inputs!$F$123/Inputs!$F$124)</f>
        <v>10281328.2435451</v>
      </c>
      <c r="AC42" s="15" t="n">
        <f aca="false">AC38*AC39*(1000*Inputs!$F$123/Inputs!$F$124)</f>
        <v>10047061.5656223</v>
      </c>
      <c r="AD42" s="15" t="n">
        <f aca="false">AD38*AD39*(1000*Inputs!$F$123/Inputs!$F$124)</f>
        <v>9580090.505669</v>
      </c>
      <c r="AE42" s="15" t="n">
        <f aca="false">AE38*AE39*(1000*Inputs!$F$123/Inputs!$F$124)</f>
        <v>9790730.01649518</v>
      </c>
      <c r="AF42" s="15" t="n">
        <f aca="false">AF38*AF39*(1000*Inputs!$F$123/Inputs!$F$124)</f>
        <v>10213296.4278971</v>
      </c>
      <c r="AG42" s="15" t="n">
        <f aca="false">AG38*AG39*(1000*Inputs!$F$123/Inputs!$F$124)</f>
        <v>10123644.595357</v>
      </c>
      <c r="AH42" s="15" t="n">
        <f aca="false">AH38*AH39*(1000*Inputs!$F$123/Inputs!$F$124)</f>
        <v>9945870.94661085</v>
      </c>
      <c r="AI42" s="15" t="n">
        <f aca="false">AI38*AI39*(1000*Inputs!$F$123/Inputs!$F$124)</f>
        <v>10021541.7097071</v>
      </c>
      <c r="AJ42" s="15" t="n">
        <f aca="false">AJ38*AJ39*(1000*Inputs!$F$123/Inputs!$F$124)</f>
        <v>10174319.4088604</v>
      </c>
      <c r="AK42" s="15" t="n">
        <f aca="false">AK38*AK39*(1000*Inputs!$F$123/Inputs!$F$124)</f>
        <v>9986786.73383933</v>
      </c>
      <c r="AL42" s="15" t="n">
        <f aca="false">AL38*AL39*(1000*Inputs!$F$123/Inputs!$F$124)</f>
        <v>9613330.05702643</v>
      </c>
      <c r="AM42" s="15" t="n">
        <f aca="false">AM38*AM39*(1000*Inputs!$F$123/Inputs!$F$124)</f>
        <v>9826365.40433158</v>
      </c>
      <c r="AN42" s="15" t="n">
        <f aca="false">AN38*AN39*(1000*Inputs!$F$123/Inputs!$F$124)</f>
        <v>10253795.6276056</v>
      </c>
      <c r="AO42" s="15" t="n">
        <f aca="false">AO38*AO39*(1000*Inputs!$F$123/Inputs!$F$124)</f>
        <v>10172419.3580802</v>
      </c>
      <c r="AP42" s="15" t="n">
        <f aca="false">AP38*AP39*(1000*Inputs!$F$123/Inputs!$F$124)</f>
        <v>10011279.1699687</v>
      </c>
      <c r="AQ42" s="15" t="n">
        <f aca="false">AQ38*AQ39*(1000*Inputs!$F$123/Inputs!$F$124)</f>
        <v>10083918.5479374</v>
      </c>
      <c r="AR42" s="15" t="n">
        <f aca="false">AR38*AR39*(1000*Inputs!$F$123/Inputs!$F$124)</f>
        <v>10230719.2891229</v>
      </c>
      <c r="AS42" s="15" t="n">
        <f aca="false">AS38*AS39*(1000*Inputs!$F$123/Inputs!$F$124)</f>
        <v>10045829.3730573</v>
      </c>
      <c r="AT42" s="15" t="n">
        <f aca="false">AT38*AT39*(1000*Inputs!$F$123/Inputs!$F$124)</f>
        <v>9677747.89628122</v>
      </c>
      <c r="AU42" s="15" t="n">
        <f aca="false">AU38*AU39*(1000*Inputs!$F$123/Inputs!$F$124)</f>
        <v>9788121.26785746</v>
      </c>
      <c r="AV42" s="15" t="n">
        <f aca="false">AV38*AV39*(1000*Inputs!$F$123/Inputs!$F$124)</f>
        <v>10010356.1094253</v>
      </c>
      <c r="AW42" s="15" t="n">
        <f aca="false">AW38*AW39*(1000*Inputs!$F$123/Inputs!$F$124)</f>
        <v>10091979.2394822</v>
      </c>
      <c r="AX42" s="15" t="n">
        <f aca="false">AX38*AX39*(1000*Inputs!$F$123/Inputs!$F$124)</f>
        <v>10256799.203882</v>
      </c>
      <c r="AY42" s="15" t="n">
        <f aca="false">AY38*AY39*(1000*Inputs!$F$123/Inputs!$F$124)</f>
        <v>10237016.136638</v>
      </c>
      <c r="AZ42" s="15" t="n">
        <f aca="false">AZ38*AZ39*(1000*Inputs!$F$123/Inputs!$F$124)</f>
        <v>10199132.8674421</v>
      </c>
      <c r="BA42" s="15" t="n">
        <f aca="false">BA38*BA39*(1000*Inputs!$F$123/Inputs!$F$124)</f>
        <v>10034024.0853669</v>
      </c>
      <c r="BB42" s="15" t="n">
        <f aca="false">BB38*BB39*(1000*Inputs!$F$123/Inputs!$F$124)</f>
        <v>9705572.49897058</v>
      </c>
      <c r="BC42" s="15" t="n">
        <f aca="false">BC38*BC39*(1000*Inputs!$F$123/Inputs!$F$124)</f>
        <v>9869742.17879869</v>
      </c>
      <c r="BD42" s="15" t="n">
        <f aca="false">BD38*BD39*(1000*Inputs!$F$123/Inputs!$F$124)</f>
        <v>10199618.7836416</v>
      </c>
      <c r="BE42" s="15" t="n">
        <f aca="false">BE38*BE39*(1000*Inputs!$F$123/Inputs!$F$124)</f>
        <v>10192553.1167109</v>
      </c>
      <c r="BF42" s="15" t="n">
        <f aca="false">BF38*BF39*(1000*Inputs!$F$123/Inputs!$F$124)</f>
        <v>10180147.9706593</v>
      </c>
      <c r="BG42" s="15" t="n">
        <f aca="false">BG38*BG39*(1000*Inputs!$F$123/Inputs!$F$124)</f>
        <v>10090692.9192677</v>
      </c>
      <c r="BH42" s="15" t="n">
        <f aca="false">BH38*BH39*(1000*Inputs!$F$123/Inputs!$F$124)</f>
        <v>9913568.07763458</v>
      </c>
      <c r="BI42" s="15" t="n">
        <f aca="false">BI38*BI39*(1000*Inputs!$F$123/Inputs!$F$124)</f>
        <v>9815651.67674328</v>
      </c>
      <c r="BJ42" s="15" t="n">
        <f aca="false">BJ38*BJ39*(1000*Inputs!$F$123/Inputs!$F$124)</f>
        <v>9621582.6705091</v>
      </c>
      <c r="BK42" s="15" t="n">
        <f aca="false">BK38*BK39*(1000*Inputs!$F$123/Inputs!$F$124)</f>
        <v>9781353.84879605</v>
      </c>
      <c r="BL42" s="15" t="n">
        <f aca="false">BL38*BL39*(1000*Inputs!$F$123/Inputs!$F$124)</f>
        <v>10102492.1287966</v>
      </c>
      <c r="BM42" s="15" t="n">
        <f aca="false">BM38*BM39*(1000*Inputs!$F$123/Inputs!$F$124)</f>
        <v>6733998.22229232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2.33622751361291</v>
      </c>
      <c r="K46" s="13" t="n">
        <f aca="false">Inputs!$F$136*(Inputs!$F$137*K20/100+(1-Inputs!$F$137)*K26/100*Inputs!$F$138/K11)</f>
        <v>2.37969741011124</v>
      </c>
      <c r="L46" s="13" t="n">
        <f aca="false">Inputs!$F$136*(Inputs!$F$137*L20/100+(1-Inputs!$F$137)*L26/100*Inputs!$F$138/L11)</f>
        <v>2.4242099667026</v>
      </c>
      <c r="M46" s="13" t="n">
        <f aca="false">Inputs!$F$136*(Inputs!$F$137*M20/100+(1-Inputs!$F$137)*M26/100*Inputs!$F$138/M11)</f>
        <v>2.46979454516295</v>
      </c>
      <c r="N46" s="13" t="n">
        <f aca="false">Inputs!$F$136*(Inputs!$F$137*N20/100+(1-Inputs!$F$137)*N26/100*Inputs!$F$138/N11)</f>
        <v>2.51648139696718</v>
      </c>
      <c r="O46" s="13" t="n">
        <f aca="false">Inputs!$F$136*(Inputs!$F$137*O20/100+(1-Inputs!$F$137)*O26/100*Inputs!$F$138/O11)</f>
        <v>2.56430169102133</v>
      </c>
      <c r="P46" s="13" t="n">
        <f aca="false">Inputs!$F$136*(Inputs!$F$137*P20/100+(1-Inputs!$F$137)*P26/100*Inputs!$F$138/P11)</f>
        <v>2.61328754226796</v>
      </c>
      <c r="Q46" s="13" t="n">
        <f aca="false">Inputs!$F$136*(Inputs!$F$137*Q20/100+(1-Inputs!$F$137)*Q26/100*Inputs!$F$138/Q11)</f>
        <v>2.66347204119249</v>
      </c>
      <c r="R46" s="13" t="n">
        <f aca="false">Inputs!$F$136*(Inputs!$F$137*R20/100+(1-Inputs!$F$137)*R26/100*Inputs!$F$138/R11)</f>
        <v>2.71488928425878</v>
      </c>
      <c r="S46" s="13" t="n">
        <f aca="false">Inputs!$F$136*(Inputs!$F$137*S20/100+(1-Inputs!$F$137)*S26/100*Inputs!$F$138/S11)</f>
        <v>2.76757440530342</v>
      </c>
      <c r="T46" s="13" t="n">
        <f aca="false">Inputs!$F$136*(Inputs!$F$137*T20/100+(1-Inputs!$F$137)*T26/100*Inputs!$F$138/T11)</f>
        <v>2.82156360791908</v>
      </c>
      <c r="U46" s="13" t="n">
        <f aca="false">Inputs!$F$136*(Inputs!$F$137*U20/100+(1-Inputs!$F$137)*U26/100*Inputs!$F$138/U11)</f>
        <v>2.876894198858</v>
      </c>
      <c r="V46" s="13" t="n">
        <f aca="false">Inputs!$F$136*(Inputs!$F$137*V20/100+(1-Inputs!$F$137)*V26/100*Inputs!$F$138/V11)</f>
        <v>2.93360462248807</v>
      </c>
      <c r="W46" s="13" t="n">
        <f aca="false">Inputs!$F$136*(Inputs!$F$137*W20/100+(1-Inputs!$F$137)*W26/100*Inputs!$F$138/W11)</f>
        <v>2.99173449633464</v>
      </c>
      <c r="X46" s="13" t="n">
        <f aca="false">Inputs!$F$136*(Inputs!$F$137*X20/100+(1-Inputs!$F$137)*X26/100*Inputs!$F$138/X11)</f>
        <v>3.05132464774241</v>
      </c>
      <c r="Y46" s="13" t="n">
        <f aca="false">Inputs!$F$136*(Inputs!$F$137*Y20/100+(1-Inputs!$F$137)*Y26/100*Inputs!$F$138/Y11)</f>
        <v>3.11241715169285</v>
      </c>
      <c r="Z46" s="13" t="n">
        <f aca="false">Inputs!$F$136*(Inputs!$F$137*Z20/100+(1-Inputs!$F$137)*Z26/100*Inputs!$F$138/Z11)</f>
        <v>3.17505536981357</v>
      </c>
      <c r="AA46" s="13" t="n">
        <f aca="false">Inputs!$F$136*(Inputs!$F$137*AA20/100+(1-Inputs!$F$137)*AA26/100*Inputs!$F$138/AA11)</f>
        <v>3.2392839906175</v>
      </c>
      <c r="AB46" s="13" t="n">
        <f aca="false">Inputs!$F$136*(Inputs!$F$137*AB20/100+(1-Inputs!$F$137)*AB26/100*Inputs!$F$138/AB11)</f>
        <v>3.30514907101051</v>
      </c>
      <c r="AC46" s="13" t="n">
        <f aca="false">Inputs!$F$136*(Inputs!$F$137*AC20/100+(1-Inputs!$F$137)*AC26/100*Inputs!$F$138/AC11)</f>
        <v>3.37269807910788</v>
      </c>
      <c r="AD46" s="13" t="n">
        <f aca="false">Inputs!$F$136*(Inputs!$F$137*AD20/100+(1-Inputs!$F$137)*AD26/100*Inputs!$F$138/AD11)</f>
        <v>3.44197993840064</v>
      </c>
      <c r="AE46" s="13" t="n">
        <f aca="false">Inputs!$F$136*(Inputs!$F$137*AE20/100+(1-Inputs!$F$137)*AE26/100*Inputs!$F$138/AE11)</f>
        <v>3.51304507331484</v>
      </c>
      <c r="AF46" s="13" t="n">
        <f aca="false">Inputs!$F$136*(Inputs!$F$137*AF20/100+(1-Inputs!$F$137)*AF26/100*Inputs!$F$138/AF11)</f>
        <v>3.58594545620745</v>
      </c>
      <c r="AG46" s="13" t="n">
        <f aca="false">Inputs!$F$136*(Inputs!$F$137*AG20/100+(1-Inputs!$F$137)*AG26/100*Inputs!$F$138/AG11)</f>
        <v>3.66073465584451</v>
      </c>
      <c r="AH46" s="13" t="n">
        <f aca="false">Inputs!$F$136*(Inputs!$F$137*AH20/100+(1-Inputs!$F$137)*AH26/100*Inputs!$F$138/AH11)</f>
        <v>3.73746788740841</v>
      </c>
      <c r="AI46" s="13" t="n">
        <f aca="false">Inputs!$F$136*(Inputs!$F$137*AI20/100+(1-Inputs!$F$137)*AI26/100*Inputs!$F$138/AI11)</f>
        <v>3.81620206408249</v>
      </c>
      <c r="AJ46" s="13" t="n">
        <f aca="false">Inputs!$F$136*(Inputs!$F$137*AJ20/100+(1-Inputs!$F$137)*AJ26/100*Inputs!$F$138/AJ11)</f>
        <v>3.89699585026302</v>
      </c>
      <c r="AK46" s="13" t="n">
        <f aca="false">Inputs!$F$136*(Inputs!$F$137*AK20/100+(1-Inputs!$F$137)*AK26/100*Inputs!$F$138/AK11)</f>
        <v>3.97990971644986</v>
      </c>
      <c r="AL46" s="13" t="n">
        <f aca="false">Inputs!$F$136*(Inputs!$F$137*AL20/100+(1-Inputs!$F$137)*AL26/100*Inputs!$F$138/AL11)</f>
        <v>4.06500599586905</v>
      </c>
      <c r="AM46" s="13" t="n">
        <f aca="false">Inputs!$F$136*(Inputs!$F$137*AM20/100+(1-Inputs!$F$137)*AM26/100*Inputs!$F$138/AM11)</f>
        <v>4.15234894288191</v>
      </c>
      <c r="AN46" s="13" t="n">
        <f aca="false">Inputs!$F$136*(Inputs!$F$137*AN20/100+(1-Inputs!$F$137)*AN26/100*Inputs!$F$138/AN11)</f>
        <v>4.24200479323732</v>
      </c>
      <c r="AO46" s="13" t="n">
        <f aca="false">Inputs!$F$136*(Inputs!$F$137*AO20/100+(1-Inputs!$F$137)*AO26/100*Inputs!$F$138/AO11)</f>
        <v>4.33404182622536</v>
      </c>
      <c r="AP46" s="13" t="n">
        <f aca="false">Inputs!$F$136*(Inputs!$F$137*AP20/100+(1-Inputs!$F$137)*AP26/100*Inputs!$F$138/AP11)</f>
        <v>4.42853042879247</v>
      </c>
      <c r="AQ46" s="13" t="n">
        <f aca="false">Inputs!$F$136*(Inputs!$F$137*AQ20/100+(1-Inputs!$F$137)*AQ26/100*Inputs!$F$138/AQ11)</f>
        <v>4.52554316168021</v>
      </c>
      <c r="AR46" s="13" t="n">
        <f aca="false">Inputs!$F$136*(Inputs!$F$137*AR20/100+(1-Inputs!$F$137)*AR26/100*Inputs!$F$138/AR11)</f>
        <v>4.62515482765153</v>
      </c>
      <c r="AS46" s="13" t="n">
        <f aca="false">Inputs!$F$136*(Inputs!$F$137*AS20/100+(1-Inputs!$F$137)*AS26/100*Inputs!$F$138/AS11)</f>
        <v>4.72744254187061</v>
      </c>
      <c r="AT46" s="13" t="n">
        <f aca="false">Inputs!$F$136*(Inputs!$F$137*AT20/100+(1-Inputs!$F$137)*AT26/100*Inputs!$F$138/AT11)</f>
        <v>4.83248580450453</v>
      </c>
      <c r="AU46" s="13" t="n">
        <f aca="false">Inputs!$F$136*(Inputs!$F$137*AU20/100+(1-Inputs!$F$137)*AU26/100*Inputs!$F$138/AU11)</f>
        <v>4.94036657561668</v>
      </c>
      <c r="AV46" s="13" t="n">
        <f aca="false">Inputs!$F$136*(Inputs!$F$137*AV20/100+(1-Inputs!$F$137)*AV26/100*Inputs!$F$138/AV11)</f>
        <v>5.05116935242486</v>
      </c>
      <c r="AW46" s="13" t="n">
        <f aca="false">Inputs!$F$136*(Inputs!$F$137*AW20/100+(1-Inputs!$F$137)*AW26/100*Inputs!$F$138/AW11)</f>
        <v>5.16498124899845</v>
      </c>
      <c r="AX46" s="13" t="n">
        <f aca="false">Inputs!$F$136*(Inputs!$F$137*AX20/100+(1-Inputs!$F$137)*AX26/100*Inputs!$F$138/AX11)</f>
        <v>5.28189207847209</v>
      </c>
      <c r="AY46" s="13" t="n">
        <f aca="false">Inputs!$F$136*(Inputs!$F$137*AY20/100+(1-Inputs!$F$137)*AY26/100*Inputs!$F$138/AY11)</f>
        <v>5.40199443785533</v>
      </c>
      <c r="AZ46" s="13" t="n">
        <f aca="false">Inputs!$F$136*(Inputs!$F$137*AZ20/100+(1-Inputs!$F$137)*AZ26/100*Inputs!$F$138/AZ11)</f>
        <v>5.52538379552036</v>
      </c>
      <c r="BA46" s="13" t="n">
        <f aca="false">Inputs!$F$136*(Inputs!$F$137*BA20/100+(1-Inputs!$F$137)*BA26/100*Inputs!$F$138/BA11)</f>
        <v>5.65215858145261</v>
      </c>
      <c r="BB46" s="13" t="n">
        <f aca="false">Inputs!$F$136*(Inputs!$F$137*BB20/100+(1-Inputs!$F$137)*BB26/100*Inputs!$F$138/BB11)</f>
        <v>5.78242028035158</v>
      </c>
      <c r="BC46" s="13" t="n">
        <f aca="false">Inputs!$F$136*(Inputs!$F$137*BC20/100+(1-Inputs!$F$137)*BC26/100*Inputs!$F$138/BC11)</f>
        <v>5.91627352767204</v>
      </c>
      <c r="BD46" s="13" t="n">
        <f aca="false">Inputs!$F$136*(Inputs!$F$137*BD20/100+(1-Inputs!$F$137)*BD26/100*Inputs!$F$138/BD11)</f>
        <v>6.05382620869864</v>
      </c>
      <c r="BE46" s="13" t="n">
        <f aca="false">Inputs!$F$136*(Inputs!$F$137*BE20/100+(1-Inputs!$F$137)*BE26/100*Inputs!$F$138/BE11)</f>
        <v>6.19518956074988</v>
      </c>
      <c r="BF46" s="13" t="n">
        <f aca="false">Inputs!$F$136*(Inputs!$F$137*BF20/100+(1-Inputs!$F$137)*BF26/100*Inputs!$F$138/BF11)</f>
        <v>6.34047827861049</v>
      </c>
      <c r="BG46" s="13" t="n">
        <f aca="false">Inputs!$F$136*(Inputs!$F$137*BG20/100+(1-Inputs!$F$137)*BG26/100*Inputs!$F$138/BG11)</f>
        <v>6.48981062329426</v>
      </c>
      <c r="BH46" s="13" t="n">
        <f aca="false">Inputs!$F$136*(Inputs!$F$137*BH20/100+(1-Inputs!$F$137)*BH26/100*Inputs!$F$138/BH11)</f>
        <v>6.64330853424275</v>
      </c>
      <c r="BI46" s="13" t="n">
        <f aca="false">Inputs!$F$136*(Inputs!$F$137*BI20/100+(1-Inputs!$F$137)*BI26/100*Inputs!$F$138/BI11)</f>
        <v>6.80109774506855</v>
      </c>
      <c r="BJ46" s="13" t="n">
        <f aca="false">Inputs!$F$136*(Inputs!$F$137*BJ20/100+(1-Inputs!$F$137)*BJ26/100*Inputs!$F$138/BJ11)</f>
        <v>6.96330790295527</v>
      </c>
      <c r="BK46" s="13" t="n">
        <f aca="false">Inputs!$F$136*(Inputs!$F$137*BK20/100+(1-Inputs!$F$137)*BK26/100*Inputs!$F$138/BK11)</f>
        <v>7.13007269182992</v>
      </c>
      <c r="BL46" s="13" t="n">
        <f aca="false">Inputs!$F$136*(Inputs!$F$137*BL20/100+(1-Inputs!$F$137)*BL26/100*Inputs!$F$138/BL11)</f>
        <v>7.30152995942698</v>
      </c>
      <c r="BM46" s="13" t="n">
        <f aca="false">Inputs!$F$136*(Inputs!$F$137*BM20/100+(1-Inputs!$F$137)*BM26/100*Inputs!$F$138/BM11)</f>
        <v>7.47782184836744</v>
      </c>
      <c r="BN46" s="13" t="n">
        <f aca="false">Inputs!$F$136*(Inputs!$F$137*BN20/100+(1-Inputs!$F$137)*BN26/100*Inputs!$F$138/BN11)</f>
        <v>7.65909493137962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0.979342996694586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0.98390799229921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0.991737926972709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0.995892391854756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0.98862860333569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3552.63106105355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20.2042497454396</v>
      </c>
      <c r="P48" s="13" t="n">
        <f aca="false">$F$34*1000*Time!P30*(P45+P46)*P47/1000000</f>
        <v>60.9060579939288</v>
      </c>
      <c r="Q48" s="13" t="n">
        <f aca="false">$F$34*1000*Time!Q30*(Q45+Q46)*Q47/1000000</f>
        <v>61.2049153141826</v>
      </c>
      <c r="R48" s="13" t="n">
        <f aca="false">$F$34*1000*Time!R30*(R45+R46)*R47/1000000</f>
        <v>61.5094559778567</v>
      </c>
      <c r="S48" s="13" t="n">
        <f aca="false">$F$34*1000*Time!S30*(S45+S46)*S47/1000000</f>
        <v>61.8198185856788</v>
      </c>
      <c r="T48" s="13" t="n">
        <f aca="false">$F$34*1000*Time!T30*(T45+T46)*T47/1000000</f>
        <v>62.1361456743786</v>
      </c>
      <c r="U48" s="13" t="n">
        <f aca="false">$F$34*1000*Time!U30*(U45+U46)*U47/1000000</f>
        <v>62.4585838363582</v>
      </c>
      <c r="V48" s="13" t="n">
        <f aca="false">$F$34*1000*Time!V30*(V45+V46)*V47/1000000</f>
        <v>62.7872838430985</v>
      </c>
      <c r="W48" s="13" t="n">
        <f aca="false">$F$34*1000*Time!W30*(W45+W46)*W47/1000000</f>
        <v>63.1224007724174</v>
      </c>
      <c r="X48" s="13" t="n">
        <f aca="false">$F$34*1000*Time!X30*(X45+X46)*X47/1000000</f>
        <v>63.4640941397015</v>
      </c>
      <c r="Y48" s="13" t="n">
        <f aca="false">$F$34*1000*Time!Y30*(Y45+Y46)*Y47/1000000</f>
        <v>63.8125280332383</v>
      </c>
      <c r="Z48" s="13" t="n">
        <f aca="false">$F$34*1000*Time!Z30*(Z45+Z46)*Z47/1000000</f>
        <v>64.1678712537744</v>
      </c>
      <c r="AA48" s="13" t="n">
        <f aca="false">$F$34*1000*Time!AA30*(AA45+AA46)*AA47/1000000</f>
        <v>64.5302974584377</v>
      </c>
      <c r="AB48" s="13" t="n">
        <f aca="false">$F$34*1000*Time!AB30*(AB45+AB46)*AB47/1000000</f>
        <v>64.8999853091562</v>
      </c>
      <c r="AC48" s="13" t="n">
        <f aca="false">$F$34*1000*Time!AC30*(AC45+AC46)*AC47/1000000</f>
        <v>65.2771186257193</v>
      </c>
      <c r="AD48" s="13" t="n">
        <f aca="false">$F$34*1000*Time!AD30*(AD45+AD46)*AD47/1000000</f>
        <v>64.3055087362538</v>
      </c>
      <c r="AE48" s="13" t="n">
        <f aca="false">$F$34*1000*Time!AE30*(AE45+AE46)*AE47/1000000</f>
        <v>66.0544836768668</v>
      </c>
      <c r="AF48" s="13" t="n">
        <f aca="false">$F$34*1000*Time!AF30*(AF45+AF46)*AF47/1000000</f>
        <v>66.4551102858105</v>
      </c>
      <c r="AG48" s="13" t="n">
        <f aca="false">$F$34*1000*Time!AG30*(AG45+AG46)*AG47/1000000</f>
        <v>66.8639724503303</v>
      </c>
      <c r="AH48" s="13" t="n">
        <f aca="false">$F$34*1000*Time!AH30*(AH45+AH46)*AH47/1000000</f>
        <v>67.2812822483611</v>
      </c>
      <c r="AI48" s="13" t="n">
        <f aca="false">$F$34*1000*Time!AI30*(AI45+AI46)*AI47/1000000</f>
        <v>67.7072579400431</v>
      </c>
      <c r="AJ48" s="13" t="n">
        <f aca="false">$F$34*1000*Time!AJ30*(AJ45+AJ46)*AJ47/1000000</f>
        <v>68.1421241576334</v>
      </c>
      <c r="AK48" s="13" t="n">
        <f aca="false">$F$34*1000*Time!AK30*(AK45+AK46)*AK47/1000000</f>
        <v>68.586112101367</v>
      </c>
      <c r="AL48" s="13" t="n">
        <f aca="false">$F$34*1000*Time!AL30*(AL45+AL46)*AL47/1000000</f>
        <v>67.9284762236361</v>
      </c>
      <c r="AM48" s="13" t="n">
        <f aca="false">$F$34*1000*Time!AM30*(AM45+AM46)*AM47/1000000</f>
        <v>69.5024120264077</v>
      </c>
      <c r="AN48" s="13" t="n">
        <f aca="false">$F$34*1000*Time!AN30*(AN45+AN46)*AN47/1000000</f>
        <v>69.9752210979029</v>
      </c>
      <c r="AO48" s="13" t="n">
        <f aca="false">$F$34*1000*Time!AO30*(AO45+AO46)*AO47/1000000</f>
        <v>70.4581465123695</v>
      </c>
      <c r="AP48" s="13" t="n">
        <f aca="false">$F$34*1000*Time!AP30*(AP45+AP46)*AP47/1000000</f>
        <v>70.9514554695357</v>
      </c>
      <c r="AQ48" s="13" t="n">
        <f aca="false">$F$34*1000*Time!AQ30*(AQ45+AQ46)*AQ47/1000000</f>
        <v>71.4554230481387</v>
      </c>
      <c r="AR48" s="13" t="n">
        <f aca="false">$F$34*1000*Time!AR30*(AR45+AR46)*AR47/1000000</f>
        <v>71.9703324490297</v>
      </c>
      <c r="AS48" s="13" t="n">
        <f aca="false">$F$34*1000*Time!AS30*(AS45+AS46)*AS47/1000000</f>
        <v>72.496475245906</v>
      </c>
      <c r="AT48" s="13" t="n">
        <f aca="false">$F$34*1000*Time!AT30*(AT45+AT46)*AT47/1000000</f>
        <v>72.430738149544</v>
      </c>
      <c r="AU48" s="13" t="n">
        <f aca="false">$F$34*1000*Time!AU30*(AU45+AU46)*AU47/1000000</f>
        <v>73.5836707463571</v>
      </c>
      <c r="AV48" s="13" t="n">
        <f aca="false">$F$34*1000*Time!AV30*(AV45+AV46)*AV47/1000000</f>
        <v>74.1453508298034</v>
      </c>
      <c r="AW48" s="13" t="n">
        <f aca="false">$F$34*1000*Time!AW30*(AW45+AW46)*AW47/1000000</f>
        <v>74.7195196277956</v>
      </c>
      <c r="AX48" s="13" t="n">
        <f aca="false">$F$34*1000*Time!AX30*(AX45+AX46)*AX47/1000000</f>
        <v>75.3065146234966</v>
      </c>
      <c r="AY48" s="13" t="n">
        <f aca="false">$F$34*1000*Time!AY30*(AY45+AY46)*AY47/1000000</f>
        <v>75.9066833515153</v>
      </c>
      <c r="AZ48" s="13" t="n">
        <f aca="false">$F$34*1000*Time!AZ30*(AZ45+AZ46)*AZ47/1000000</f>
        <v>76.5203837092163</v>
      </c>
      <c r="BA48" s="13" t="n">
        <f aca="false">$F$34*1000*Time!BA30*(BA45+BA46)*BA47/1000000</f>
        <v>77.1479842778095</v>
      </c>
      <c r="BB48" s="13" t="n">
        <f aca="false">$F$34*1000*Time!BB30*(BB45+BB46)*BB47/1000000</f>
        <v>77.4703343718614</v>
      </c>
      <c r="BC48" s="13" t="n">
        <f aca="false">$F$34*1000*Time!BC30*(BC45+BC46)*BC47/1000000</f>
        <v>78.4464157892233</v>
      </c>
      <c r="BD48" s="13" t="n">
        <f aca="false">$F$34*1000*Time!BD30*(BD45+BD46)*BD47/1000000</f>
        <v>79.1180403466732</v>
      </c>
      <c r="BE48" s="13" t="n">
        <f aca="false">$F$34*1000*Time!BE30*(BE45+BE46)*BE47/1000000</f>
        <v>79.8051530599981</v>
      </c>
      <c r="BF48" s="13" t="n">
        <f aca="false">$F$34*1000*Time!BF30*(BF45+BF46)*BF47/1000000</f>
        <v>80.5081811104786</v>
      </c>
      <c r="BG48" s="13" t="n">
        <f aca="false">$F$34*1000*Time!BG30*(BG45+BG46)*BG47/1000000</f>
        <v>81.2275645131688</v>
      </c>
      <c r="BH48" s="13" t="n">
        <f aca="false">$F$34*1000*Time!BH30*(BH45+BH46)*BH47/1000000</f>
        <v>81.9637565156675</v>
      </c>
      <c r="BI48" s="13" t="n">
        <f aca="false">$F$34*1000*Time!BI30*(BI45+BI46)*BI47/1000000</f>
        <v>82.717224009432</v>
      </c>
      <c r="BJ48" s="13" t="n">
        <f aca="false">$F$34*1000*Time!BJ30*(BJ45+BJ46)*BJ47/1000000</f>
        <v>82.5390676954576</v>
      </c>
      <c r="BK48" s="13" t="n">
        <f aca="false">$F$34*1000*Time!BK30*(BK45+BK46)*BK47/1000000</f>
        <v>84.2779238147436</v>
      </c>
      <c r="BL48" s="13" t="n">
        <f aca="false">$F$34*1000*Time!BL30*(BL45+BL46)*BL47/1000000</f>
        <v>85.0861620139339</v>
      </c>
      <c r="BM48" s="13" t="n">
        <f aca="false">$F$34*1000*Time!BM30*(BM45+BM46)*BM47/1000000</f>
        <v>57.2757922644139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3.91708934774747</v>
      </c>
      <c r="K49" s="13" t="n">
        <f aca="false">Inputs!$F$139*(Inputs!$F$140*K20/100+(1-Inputs!$F$140)*K26/100*Inputs!$F$138/K11)</f>
        <v>3.98357150307114</v>
      </c>
      <c r="L49" s="13" t="n">
        <f aca="false">Inputs!$F$139*(Inputs!$F$140*L20/100+(1-Inputs!$F$140)*L26/100*Inputs!$F$138/L11)</f>
        <v>4.05152909619701</v>
      </c>
      <c r="M49" s="13" t="n">
        <f aca="false">Inputs!$F$139*(Inputs!$F$140*M20/100+(1-Inputs!$F$140)*M26/100*Inputs!$F$138/M11)</f>
        <v>4.12100195489227</v>
      </c>
      <c r="N49" s="13" t="n">
        <f aca="false">Inputs!$F$139*(Inputs!$F$140*N20/100+(1-Inputs!$F$140)*N26/100*Inputs!$F$138/N11)</f>
        <v>4.19203109258433</v>
      </c>
      <c r="O49" s="13" t="n">
        <f aca="false">Inputs!$F$139*(Inputs!$F$140*O20/100+(1-Inputs!$F$140)*O26/100*Inputs!$F$138/O11)</f>
        <v>4.26465874507629</v>
      </c>
      <c r="P49" s="13" t="n">
        <f aca="false">Inputs!$F$139*(Inputs!$F$140*P20/100+(1-Inputs!$F$140)*P26/100*Inputs!$F$138/P11)</f>
        <v>4.33892840841564</v>
      </c>
      <c r="Q49" s="13" t="n">
        <f aca="false">Inputs!$F$139*(Inputs!$F$140*Q20/100+(1-Inputs!$F$140)*Q26/100*Inputs!$F$138/Q11)</f>
        <v>4.41488487795299</v>
      </c>
      <c r="R49" s="13" t="n">
        <f aca="false">Inputs!$F$139*(Inputs!$F$140*R20/100+(1-Inputs!$F$140)*R26/100*Inputs!$F$138/R11)</f>
        <v>4.49257428862811</v>
      </c>
      <c r="S49" s="13" t="n">
        <f aca="false">Inputs!$F$139*(Inputs!$F$140*S20/100+(1-Inputs!$F$140)*S26/100*Inputs!$F$138/S11)</f>
        <v>4.57204415652226</v>
      </c>
      <c r="T49" s="13" t="n">
        <f aca="false">Inputs!$F$139*(Inputs!$F$140*T20/100+(1-Inputs!$F$140)*T26/100*Inputs!$F$138/T11)</f>
        <v>4.65334342171665</v>
      </c>
      <c r="U49" s="13" t="n">
        <f aca="false">Inputs!$F$139*(Inputs!$F$140*U20/100+(1-Inputs!$F$140)*U26/100*Inputs!$F$138/U11)</f>
        <v>4.73652249249832</v>
      </c>
      <c r="V49" s="13" t="n">
        <f aca="false">Inputs!$F$139*(Inputs!$F$140*V20/100+(1-Inputs!$F$140)*V26/100*Inputs!$F$138/V11)</f>
        <v>4.82163329095607</v>
      </c>
      <c r="W49" s="13" t="n">
        <f aca="false">Inputs!$F$139*(Inputs!$F$140*W20/100+(1-Inputs!$F$140)*W26/100*Inputs!$F$138/W11)</f>
        <v>4.90872930001025</v>
      </c>
      <c r="X49" s="13" t="n">
        <f aca="false">Inputs!$F$139*(Inputs!$F$140*X20/100+(1-Inputs!$F$140)*X26/100*Inputs!$F$138/X11)</f>
        <v>4.99786561192173</v>
      </c>
      <c r="Y49" s="13" t="n">
        <f aca="false">Inputs!$F$139*(Inputs!$F$140*Y20/100+(1-Inputs!$F$140)*Y26/100*Inputs!$F$138/Y11)</f>
        <v>5.0890989783268</v>
      </c>
      <c r="Z49" s="13" t="n">
        <f aca="false">Inputs!$F$139*(Inputs!$F$140*Z20/100+(1-Inputs!$F$140)*Z26/100*Inputs!$F$138/Z11)</f>
        <v>5.1824878618462</v>
      </c>
      <c r="AA49" s="13" t="n">
        <f aca="false">Inputs!$F$139*(Inputs!$F$140*AA20/100+(1-Inputs!$F$140)*AA26/100*Inputs!$F$138/AA11)</f>
        <v>5.27809248931799</v>
      </c>
      <c r="AB49" s="13" t="n">
        <f aca="false">Inputs!$F$139*(Inputs!$F$140*AB20/100+(1-Inputs!$F$140)*AB26/100*Inputs!$F$138/AB11)</f>
        <v>5.37597490670553</v>
      </c>
      <c r="AC49" s="13" t="n">
        <f aca="false">Inputs!$F$139*(Inputs!$F$140*AC20/100+(1-Inputs!$F$140)*AC26/100*Inputs!$F$138/AC11)</f>
        <v>5.47619903573358</v>
      </c>
      <c r="AD49" s="13" t="n">
        <f aca="false">Inputs!$F$139*(Inputs!$F$140*AD20/100+(1-Inputs!$F$140)*AD26/100*Inputs!$F$138/AD11)</f>
        <v>5.57883073230708</v>
      </c>
      <c r="AE49" s="13" t="n">
        <f aca="false">Inputs!$F$139*(Inputs!$F$140*AE20/100+(1-Inputs!$F$140)*AE26/100*Inputs!$F$138/AE11)</f>
        <v>5.68393784676888</v>
      </c>
      <c r="AF49" s="13" t="n">
        <f aca="false">Inputs!$F$139*(Inputs!$F$140*AF20/100+(1-Inputs!$F$140)*AF26/100*Inputs!$F$138/AF11)</f>
        <v>5.79159028605463</v>
      </c>
      <c r="AG49" s="13" t="n">
        <f aca="false">Inputs!$F$139*(Inputs!$F$140*AG20/100+(1-Inputs!$F$140)*AG26/100*Inputs!$F$138/AG11)</f>
        <v>5.9018600778047</v>
      </c>
      <c r="AH49" s="13" t="n">
        <f aca="false">Inputs!$F$139*(Inputs!$F$140*AH20/100+(1-Inputs!$F$140)*AH26/100*Inputs!$F$138/AH11)</f>
        <v>6.01482143649499</v>
      </c>
      <c r="AI49" s="13" t="n">
        <f aca="false">Inputs!$F$139*(Inputs!$F$140*AI20/100+(1-Inputs!$F$140)*AI26/100*Inputs!$F$138/AI11)</f>
        <v>6.13055083165048</v>
      </c>
      <c r="AJ49" s="13" t="n">
        <f aca="false">Inputs!$F$139*(Inputs!$F$140*AJ20/100+(1-Inputs!$F$140)*AJ26/100*Inputs!$F$138/AJ11)</f>
        <v>6.24912705820727</v>
      </c>
      <c r="AK49" s="13" t="n">
        <f aca="false">Inputs!$F$139*(Inputs!$F$140*AK20/100+(1-Inputs!$F$140)*AK26/100*Inputs!$F$138/AK11)</f>
        <v>6.37063130909107</v>
      </c>
      <c r="AL49" s="13" t="n">
        <f aca="false">Inputs!$F$139*(Inputs!$F$140*AL20/100+(1-Inputs!$F$140)*AL26/100*Inputs!$F$138/AL11)</f>
        <v>6.49514725008214</v>
      </c>
      <c r="AM49" s="13" t="n">
        <f aca="false">Inputs!$F$139*(Inputs!$F$140*AM20/100+(1-Inputs!$F$140)*AM26/100*Inputs!$F$138/AM11)</f>
        <v>6.62276109703899</v>
      </c>
      <c r="AN49" s="13" t="n">
        <f aca="false">Inputs!$F$139*(Inputs!$F$140*AN20/100+(1-Inputs!$F$140)*AN26/100*Inputs!$F$138/AN11)</f>
        <v>6.75356169555535</v>
      </c>
      <c r="AO49" s="13" t="n">
        <f aca="false">Inputs!$F$139*(Inputs!$F$140*AO20/100+(1-Inputs!$F$140)*AO26/100*Inputs!$F$138/AO11)</f>
        <v>6.88764060312742</v>
      </c>
      <c r="AP49" s="13" t="n">
        <f aca="false">Inputs!$F$139*(Inputs!$F$140*AP20/100+(1-Inputs!$F$140)*AP26/100*Inputs!$F$138/AP11)</f>
        <v>7.0250921739106</v>
      </c>
      <c r="AQ49" s="13" t="n">
        <f aca="false">Inputs!$F$139*(Inputs!$F$140*AQ20/100+(1-Inputs!$F$140)*AQ26/100*Inputs!$F$138/AQ11)</f>
        <v>7.16601364614765</v>
      </c>
      <c r="AR49" s="13" t="n">
        <f aca="false">Inputs!$F$139*(Inputs!$F$140*AR20/100+(1-Inputs!$F$140)*AR26/100*Inputs!$F$138/AR11)</f>
        <v>7.31050523235279</v>
      </c>
      <c r="AS49" s="13" t="n">
        <f aca="false">Inputs!$F$139*(Inputs!$F$140*AS20/100+(1-Inputs!$F$140)*AS26/100*Inputs!$F$138/AS11)</f>
        <v>7.45867021233866</v>
      </c>
      <c r="AT49" s="13" t="n">
        <f aca="false">Inputs!$F$139*(Inputs!$F$140*AT20/100+(1-Inputs!$F$140)*AT26/100*Inputs!$F$138/AT11)</f>
        <v>7.61061502917625</v>
      </c>
      <c r="AU49" s="13" t="n">
        <f aca="false">Inputs!$F$139*(Inputs!$F$140*AU20/100+(1-Inputs!$F$140)*AU26/100*Inputs!$F$138/AU11)</f>
        <v>7.76644938818037</v>
      </c>
      <c r="AV49" s="13" t="n">
        <f aca="false">Inputs!$F$139*(Inputs!$F$140*AV20/100+(1-Inputs!$F$140)*AV26/100*Inputs!$F$138/AV11)</f>
        <v>7.92628635901634</v>
      </c>
      <c r="AW49" s="13" t="n">
        <f aca="false">Inputs!$F$139*(Inputs!$F$140*AW20/100+(1-Inputs!$F$140)*AW26/100*Inputs!$F$138/AW11)</f>
        <v>8.09024248102664</v>
      </c>
      <c r="AX49" s="13" t="n">
        <f aca="false">Inputs!$F$139*(Inputs!$F$140*AX20/100+(1-Inputs!$F$140)*AX26/100*Inputs!$F$138/AX11)</f>
        <v>8.25843787187929</v>
      </c>
      <c r="AY49" s="13" t="n">
        <f aca="false">Inputs!$F$139*(Inputs!$F$140*AY20/100+(1-Inputs!$F$140)*AY26/100*Inputs!$F$138/AY11)</f>
        <v>8.43099633964293</v>
      </c>
      <c r="AZ49" s="13" t="n">
        <f aca="false">Inputs!$F$139*(Inputs!$F$140*AZ20/100+(1-Inputs!$F$140)*AZ26/100*Inputs!$F$138/AZ11)</f>
        <v>8.60804549839708</v>
      </c>
      <c r="BA49" s="13" t="n">
        <f aca="false">Inputs!$F$139*(Inputs!$F$140*BA20/100+(1-Inputs!$F$140)*BA26/100*Inputs!$F$138/BA11)</f>
        <v>8.78971688748924</v>
      </c>
      <c r="BB49" s="13" t="n">
        <f aca="false">Inputs!$F$139*(Inputs!$F$140*BB20/100+(1-Inputs!$F$140)*BB26/100*Inputs!$F$138/BB11)</f>
        <v>8.97614609455421</v>
      </c>
      <c r="BC49" s="13" t="n">
        <f aca="false">Inputs!$F$139*(Inputs!$F$140*BC20/100+(1-Inputs!$F$140)*BC26/100*Inputs!$F$138/BC11)</f>
        <v>9.16747288241457</v>
      </c>
      <c r="BD49" s="13" t="n">
        <f aca="false">Inputs!$F$139*(Inputs!$F$140*BD20/100+(1-Inputs!$F$140)*BD26/100*Inputs!$F$138/BD11)</f>
        <v>9.36384131998511</v>
      </c>
      <c r="BE49" s="13" t="n">
        <f aca="false">Inputs!$F$139*(Inputs!$F$140*BE20/100+(1-Inputs!$F$140)*BE26/100*Inputs!$F$138/BE11)</f>
        <v>9.56539991730771</v>
      </c>
      <c r="BF49" s="13" t="n">
        <f aca="false">Inputs!$F$139*(Inputs!$F$140*BF20/100+(1-Inputs!$F$140)*BF26/100*Inputs!$F$138/BF11)</f>
        <v>9.77230176484743</v>
      </c>
      <c r="BG49" s="13" t="n">
        <f aca="false">Inputs!$F$139*(Inputs!$F$140*BG20/100+(1-Inputs!$F$140)*BG26/100*Inputs!$F$138/BG11)</f>
        <v>9.98470467718447</v>
      </c>
      <c r="BH49" s="13" t="n">
        <f aca="false">Inputs!$F$139*(Inputs!$F$140*BH20/100+(1-Inputs!$F$140)*BH26/100*Inputs!$F$138/BH11)</f>
        <v>10.202771341241</v>
      </c>
      <c r="BI49" s="13" t="n">
        <f aca="false">Inputs!$F$139*(Inputs!$F$140*BI20/100+(1-Inputs!$F$140)*BI26/100*Inputs!$F$138/BI11)</f>
        <v>10.4266694691866</v>
      </c>
      <c r="BJ49" s="13" t="n">
        <f aca="false">Inputs!$F$139*(Inputs!$F$140*BJ20/100+(1-Inputs!$F$140)*BJ26/100*Inputs!$F$138/BJ11)</f>
        <v>10.6565719561695</v>
      </c>
      <c r="BK49" s="13" t="n">
        <f aca="false">Inputs!$F$139*(Inputs!$F$140*BK20/100+(1-Inputs!$F$140)*BK26/100*Inputs!$F$138/BK11)</f>
        <v>10.8926570430274</v>
      </c>
      <c r="BL49" s="13" t="n">
        <f aca="false">Inputs!$F$139*(Inputs!$F$140*BL20/100+(1-Inputs!$F$140)*BL26/100*Inputs!$F$138/BL11)</f>
        <v>11.1351084841341</v>
      </c>
      <c r="BM49" s="13" t="n">
        <f aca="false">Inputs!$F$139*(Inputs!$F$140*BM20/100+(1-Inputs!$F$140)*BM26/100*Inputs!$F$138/BM11)</f>
        <v>11.3841157205457</v>
      </c>
      <c r="BN49" s="13" t="n">
        <f aca="false">Inputs!$F$139*(Inputs!$F$140*BN20/100+(1-Inputs!$F$140)*BN26/100*Inputs!$F$138/BN11)</f>
        <v>11.6398740586124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518.683296158088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2.13865920134695</v>
      </c>
      <c r="P50" s="13" t="n">
        <f aca="false">P38*P49/1000000</f>
        <v>6.52444853933204</v>
      </c>
      <c r="Q50" s="13" t="n">
        <f aca="false">Q38*Q49/1000000</f>
        <v>6.61027225540216</v>
      </c>
      <c r="R50" s="13" t="n">
        <f aca="false">R38*R49/1000000</f>
        <v>6.6739343332469</v>
      </c>
      <c r="S50" s="13" t="n">
        <f aca="false">S38*S49/1000000</f>
        <v>6.83768645939</v>
      </c>
      <c r="T50" s="13" t="n">
        <f aca="false">T38*T49/1000000</f>
        <v>7.0573686828016</v>
      </c>
      <c r="U50" s="13" t="n">
        <f aca="false">U38*U49/1000000</f>
        <v>7.12156187452215</v>
      </c>
      <c r="V50" s="13" t="n">
        <f aca="false">V38*V49/1000000</f>
        <v>7.12902116494801</v>
      </c>
      <c r="W50" s="13" t="n">
        <f aca="false">W38*W49/1000000</f>
        <v>7.3235150933967</v>
      </c>
      <c r="X50" s="13" t="n">
        <f aca="false">X38*X49/1000000</f>
        <v>7.59573069106376</v>
      </c>
      <c r="Y50" s="13" t="n">
        <f aca="false">Y38*Y49/1000000</f>
        <v>7.73960720789469</v>
      </c>
      <c r="Z50" s="13" t="n">
        <f aca="false">Z38*Z49/1000000</f>
        <v>7.89818868682781</v>
      </c>
      <c r="AA50" s="13" t="n">
        <f aca="false">AA38*AA49/1000000</f>
        <v>8.00734630987446</v>
      </c>
      <c r="AB50" s="13" t="n">
        <f aca="false">AB38*AB49/1000000</f>
        <v>8.08766243906101</v>
      </c>
      <c r="AC50" s="13" t="n">
        <f aca="false">AC38*AC49/1000000</f>
        <v>8.04577693856635</v>
      </c>
      <c r="AD50" s="13" t="n">
        <f aca="false">AD38*AD49/1000000</f>
        <v>7.81080511147383</v>
      </c>
      <c r="AE50" s="13" t="n">
        <f aca="false">AE38*AE49/1000000</f>
        <v>8.12794711373635</v>
      </c>
      <c r="AF50" s="13" t="n">
        <f aca="false">AF38*AF49/1000000</f>
        <v>8.63403637729766</v>
      </c>
      <c r="AG50" s="13" t="n">
        <f aca="false">AG38*AG49/1000000</f>
        <v>8.71584906595</v>
      </c>
      <c r="AH50" s="13" t="n">
        <f aca="false">AH38*AH49/1000000</f>
        <v>8.72134403854153</v>
      </c>
      <c r="AI50" s="13" t="n">
        <f aca="false">AI38*AI49/1000000</f>
        <v>8.95129804592401</v>
      </c>
      <c r="AJ50" s="13" t="n">
        <f aca="false">AJ38*AJ49/1000000</f>
        <v>9.25786808683079</v>
      </c>
      <c r="AK50" s="13" t="n">
        <f aca="false">AK38*AK49/1000000</f>
        <v>9.25825119287357</v>
      </c>
      <c r="AL50" s="13" t="n">
        <f aca="false">AL38*AL49/1000000</f>
        <v>9.08067591020417</v>
      </c>
      <c r="AM50" s="13" t="n">
        <f aca="false">AM38*AM49/1000000</f>
        <v>9.45849614392529</v>
      </c>
      <c r="AN50" s="13" t="n">
        <f aca="false">AN38*AN49/1000000</f>
        <v>10.0587161731861</v>
      </c>
      <c r="AO50" s="13" t="n">
        <f aca="false">AO38*AO49/1000000</f>
        <v>10.1707938759929</v>
      </c>
      <c r="AP50" s="13" t="n">
        <f aca="false">AP38*AP49/1000000</f>
        <v>10.2032135074002</v>
      </c>
      <c r="AQ50" s="13" t="n">
        <f aca="false">AQ38*AQ49/1000000</f>
        <v>10.4770195146355</v>
      </c>
      <c r="AR50" s="13" t="n">
        <f aca="false">AR38*AR49/1000000</f>
        <v>10.8372709664316</v>
      </c>
      <c r="AS50" s="13" t="n">
        <f aca="false">AS38*AS49/1000000</f>
        <v>10.8504890537328</v>
      </c>
      <c r="AT50" s="13" t="n">
        <f aca="false">AT38*AT49/1000000</f>
        <v>10.6593830634976</v>
      </c>
      <c r="AU50" s="13" t="n">
        <f aca="false">AU38*AU49/1000000</f>
        <v>10.9950175980757</v>
      </c>
      <c r="AV50" s="13" t="n">
        <f aca="false">AV38*AV49/1000000</f>
        <v>11.4691062914807</v>
      </c>
      <c r="AW50" s="13" t="n">
        <f aca="false">AW38*AW49/1000000</f>
        <v>11.7946364692652</v>
      </c>
      <c r="AX50" s="13" t="n">
        <f aca="false">AX38*AX49/1000000</f>
        <v>12.2290571063072</v>
      </c>
      <c r="AY50" s="13" t="n">
        <f aca="false">AY38*AY49/1000000</f>
        <v>12.452948808422</v>
      </c>
      <c r="AZ50" s="13" t="n">
        <f aca="false">AZ38*AZ49/1000000</f>
        <v>12.6597339131654</v>
      </c>
      <c r="BA50" s="13" t="n">
        <f aca="false">BA38*BA49/1000000</f>
        <v>12.7099493469915</v>
      </c>
      <c r="BB50" s="13" t="n">
        <f aca="false">BB38*BB49/1000000</f>
        <v>12.5470619657739</v>
      </c>
      <c r="BC50" s="13" t="n">
        <f aca="false">BC38*BC49/1000000</f>
        <v>13.0233811729681</v>
      </c>
      <c r="BD50" s="13" t="n">
        <f aca="false">BD38*BD49/1000000</f>
        <v>13.7386415205041</v>
      </c>
      <c r="BE50" s="13" t="n">
        <f aca="false">BE38*BE49/1000000</f>
        <v>14.0161771030834</v>
      </c>
      <c r="BF50" s="13" t="n">
        <f aca="false">BF38*BF49/1000000</f>
        <v>14.2932909518187</v>
      </c>
      <c r="BG50" s="13" t="n">
        <f aca="false">BG38*BG49/1000000</f>
        <v>14.4668993388317</v>
      </c>
      <c r="BH50" s="13" t="n">
        <f aca="false">BH38*BH49/1000000</f>
        <v>14.5146150455569</v>
      </c>
      <c r="BI50" s="13" t="n">
        <f aca="false">BI38*BI49/1000000</f>
        <v>14.6777811238884</v>
      </c>
      <c r="BJ50" s="13" t="n">
        <f aca="false">BJ38*BJ49/1000000</f>
        <v>14.6959662110825</v>
      </c>
      <c r="BK50" s="13" t="n">
        <f aca="false">BK38*BK49/1000000</f>
        <v>15.2617912753431</v>
      </c>
      <c r="BL50" s="13" t="n">
        <f aca="false">BL38*BL49/1000000</f>
        <v>16.1040252315531</v>
      </c>
      <c r="BM50" s="13" t="n">
        <f aca="false">BM38*BM49/1000000</f>
        <v>10.9689785646676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4026.54717613377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21.1862788907555</v>
      </c>
      <c r="P51" s="13" t="n">
        <f aca="false">P38*P40*(1000*Inputs!$F$123/Inputs!$F$124)*P41/1000000</f>
        <v>63.54822720094</v>
      </c>
      <c r="Q51" s="13" t="n">
        <f aca="false">Q38*Q40*(1000*Inputs!$F$123/Inputs!$F$124)*Q41/1000000</f>
        <v>64.5742323227048</v>
      </c>
      <c r="R51" s="13" t="n">
        <f aca="false">R38*R40*(1000*Inputs!$F$123/Inputs!$F$124)*R41/1000000</f>
        <v>64.1007106600639</v>
      </c>
      <c r="S51" s="13" t="n">
        <f aca="false">S38*S40*(1000*Inputs!$F$123/Inputs!$F$124)*S41/1000000</f>
        <v>65.8554780218993</v>
      </c>
      <c r="T51" s="13" t="n">
        <f aca="false">T38*T40*(1000*Inputs!$F$123/Inputs!$F$124)*T41/1000000</f>
        <v>66.8170840526969</v>
      </c>
      <c r="U51" s="13" t="n">
        <f aca="false">U38*U40*(1000*Inputs!$F$123/Inputs!$F$124)*U41/1000000</f>
        <v>67.5993013394871</v>
      </c>
      <c r="V51" s="13" t="n">
        <f aca="false">V38*V40*(1000*Inputs!$F$123/Inputs!$F$124)*V41/1000000</f>
        <v>66.5087442864205</v>
      </c>
      <c r="W51" s="13" t="n">
        <f aca="false">W38*W40*(1000*Inputs!$F$123/Inputs!$F$124)*W41/1000000</f>
        <v>68.487299973079</v>
      </c>
      <c r="X51" s="13" t="n">
        <f aca="false">X38*X40*(1000*Inputs!$F$123/Inputs!$F$124)*X41/1000000</f>
        <v>69.8008606106867</v>
      </c>
      <c r="Y51" s="13" t="n">
        <f aca="false">Y38*Y40*(1000*Inputs!$F$123/Inputs!$F$124)*Y41/1000000</f>
        <v>71.2803997044139</v>
      </c>
      <c r="Z51" s="13" t="n">
        <f aca="false">Z38*Z40*(1000*Inputs!$F$123/Inputs!$F$124)*Z41/1000000</f>
        <v>71.4656496214243</v>
      </c>
      <c r="AA51" s="13" t="n">
        <f aca="false">AA38*AA40*(1000*Inputs!$F$123/Inputs!$F$124)*AA41/1000000</f>
        <v>72.5998704237227</v>
      </c>
      <c r="AB51" s="13" t="n">
        <f aca="false">AB38*AB40*(1000*Inputs!$F$123/Inputs!$F$124)*AB41/1000000</f>
        <v>72.0287420365053</v>
      </c>
      <c r="AC51" s="13" t="n">
        <f aca="false">AC38*AC40*(1000*Inputs!$F$123/Inputs!$F$124)*AC41/1000000</f>
        <v>71.7868159464744</v>
      </c>
      <c r="AD51" s="13" t="n">
        <f aca="false">AD38*AD40*(1000*Inputs!$F$123/Inputs!$F$124)*AD41/1000000</f>
        <v>68.4422292491219</v>
      </c>
      <c r="AE51" s="13" t="n">
        <f aca="false">AE38*AE40*(1000*Inputs!$F$123/Inputs!$F$124)*AE41/1000000</f>
        <v>71.3376411966393</v>
      </c>
      <c r="AF51" s="13" t="n">
        <f aca="false">AF38*AF40*(1000*Inputs!$F$123/Inputs!$F$124)*AF41/1000000</f>
        <v>74.4078280378716</v>
      </c>
      <c r="AG51" s="13" t="n">
        <f aca="false">AG38*AG40*(1000*Inputs!$F$123/Inputs!$F$124)*AG41/1000000</f>
        <v>75.2209527207299</v>
      </c>
      <c r="AH51" s="13" t="n">
        <f aca="false">AH38*AH40*(1000*Inputs!$F$123/Inputs!$F$124)*AH41/1000000</f>
        <v>73.8913995754474</v>
      </c>
      <c r="AI51" s="13" t="n">
        <f aca="false">AI38*AI40*(1000*Inputs!$F$123/Inputs!$F$124)*AI41/1000000</f>
        <v>75.933771785428</v>
      </c>
      <c r="AJ51" s="13" t="n">
        <f aca="false">AJ38*AJ40*(1000*Inputs!$F$123/Inputs!$F$124)*AJ41/1000000</f>
        <v>77.0823679996874</v>
      </c>
      <c r="AK51" s="13" t="n">
        <f aca="false">AK38*AK40*(1000*Inputs!$F$123/Inputs!$F$124)*AK41/1000000</f>
        <v>77.1658118685624</v>
      </c>
      <c r="AL51" s="13" t="n">
        <f aca="false">AL38*AL40*(1000*Inputs!$F$123/Inputs!$F$124)*AL41/1000000</f>
        <v>74.2715291460799</v>
      </c>
      <c r="AM51" s="13" t="n">
        <f aca="false">AM38*AM40*(1000*Inputs!$F$123/Inputs!$F$124)*AM41/1000000</f>
        <v>77.4267460340106</v>
      </c>
      <c r="AN51" s="13" t="n">
        <f aca="false">AN38*AN40*(1000*Inputs!$F$123/Inputs!$F$124)*AN41/1000000</f>
        <v>80.7852782156511</v>
      </c>
      <c r="AO51" s="13" t="n">
        <f aca="false">AO38*AO40*(1000*Inputs!$F$123/Inputs!$F$124)*AO41/1000000</f>
        <v>81.7375321039774</v>
      </c>
      <c r="AP51" s="13" t="n">
        <f aca="false">AP38*AP40*(1000*Inputs!$F$123/Inputs!$F$124)*AP41/1000000</f>
        <v>80.4333984281615</v>
      </c>
      <c r="AQ51" s="13" t="n">
        <f aca="false">AQ38*AQ40*(1000*Inputs!$F$123/Inputs!$F$124)*AQ41/1000000</f>
        <v>82.6277609246905</v>
      </c>
      <c r="AR51" s="13" t="n">
        <f aca="false">AR38*AR40*(1000*Inputs!$F$123/Inputs!$F$124)*AR41/1000000</f>
        <v>83.8209379422206</v>
      </c>
      <c r="AS51" s="13" t="n">
        <f aca="false">AS38*AS40*(1000*Inputs!$F$123/Inputs!$F$124)*AS41/1000000</f>
        <v>83.9425319249869</v>
      </c>
      <c r="AT51" s="13" t="n">
        <f aca="false">AT38*AT40*(1000*Inputs!$F$123/Inputs!$F$124)*AT41/1000000</f>
        <v>80.8575121551756</v>
      </c>
      <c r="AU51" s="13" t="n">
        <f aca="false">AU38*AU40*(1000*Inputs!$F$123/Inputs!$F$124)*AU41/1000000</f>
        <v>83.4056442648229</v>
      </c>
      <c r="AV51" s="13" t="n">
        <f aca="false">AV38*AV40*(1000*Inputs!$F$123/Inputs!$F$124)*AV41/1000000</f>
        <v>85.2894945827093</v>
      </c>
      <c r="AW51" s="13" t="n">
        <f aca="false">AW38*AW40*(1000*Inputs!$F$123/Inputs!$F$124)*AW41/1000000</f>
        <v>87.6945294324122</v>
      </c>
      <c r="AX51" s="13" t="n">
        <f aca="false">AX38*AX40*(1000*Inputs!$F$123/Inputs!$F$124)*AX41/1000000</f>
        <v>89.1164812942379</v>
      </c>
      <c r="AY51" s="13" t="n">
        <f aca="false">AY38*AY40*(1000*Inputs!$F$123/Inputs!$F$124)*AY41/1000000</f>
        <v>90.7130594775159</v>
      </c>
      <c r="AZ51" s="13" t="n">
        <f aca="false">AZ38*AZ40*(1000*Inputs!$F$123/Inputs!$F$124)*AZ41/1000000</f>
        <v>90.3669884178367</v>
      </c>
      <c r="BA51" s="13" t="n">
        <f aca="false">BA38*BA40*(1000*Inputs!$F$123/Inputs!$F$124)*BA41/1000000</f>
        <v>90.6717625791838</v>
      </c>
      <c r="BB51" s="13" t="n">
        <f aca="false">BB38*BB40*(1000*Inputs!$F$123/Inputs!$F$124)*BB41/1000000</f>
        <v>87.6936848070138</v>
      </c>
      <c r="BC51" s="13" t="n">
        <f aca="false">BC38*BC40*(1000*Inputs!$F$123/Inputs!$F$124)*BC41/1000000</f>
        <v>90.9501537199188</v>
      </c>
      <c r="BD51" s="13" t="n">
        <f aca="false">BD38*BD40*(1000*Inputs!$F$123/Inputs!$F$124)*BD41/1000000</f>
        <v>93.9792382372378</v>
      </c>
      <c r="BE51" s="13" t="n">
        <f aca="false">BE38*BE40*(1000*Inputs!$F$123/Inputs!$F$124)*BE41/1000000</f>
        <v>95.7814794272233</v>
      </c>
      <c r="BF51" s="13" t="n">
        <f aca="false">BF38*BF40*(1000*Inputs!$F$123/Inputs!$F$124)*BF41/1000000</f>
        <v>95.6539937721924</v>
      </c>
      <c r="BG51" s="13" t="n">
        <f aca="false">BG38*BG40*(1000*Inputs!$F$123/Inputs!$F$124)*BG41/1000000</f>
        <v>96.6987126089324</v>
      </c>
      <c r="BH51" s="13" t="n">
        <f aca="false">BH38*BH40*(1000*Inputs!$F$123/Inputs!$F$124)*BH41/1000000</f>
        <v>94.9905195839531</v>
      </c>
      <c r="BI51" s="13" t="n">
        <f aca="false">BI38*BI40*(1000*Inputs!$F$123/Inputs!$F$124)*BI41/1000000</f>
        <v>95.9224365060237</v>
      </c>
      <c r="BJ51" s="13" t="n">
        <f aca="false">BJ38*BJ40*(1000*Inputs!$F$123/Inputs!$F$124)*BJ41/1000000</f>
        <v>94.0152390053408</v>
      </c>
      <c r="BK51" s="13" t="n">
        <f aca="false">BK38*BK40*(1000*Inputs!$F$123/Inputs!$F$124)*BK41/1000000</f>
        <v>97.4768777109069</v>
      </c>
      <c r="BL51" s="13" t="n">
        <f aca="false">BL38*BL40*(1000*Inputs!$F$123/Inputs!$F$124)*BL41/1000000</f>
        <v>100.665798611289</v>
      </c>
      <c r="BM51" s="13" t="n">
        <f aca="false">BM38*BM40*(1000*Inputs!$F$123/Inputs!$F$124)*BM41/1000000</f>
        <v>68.4361576953038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120.726762188551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0.67561298393248</v>
      </c>
      <c r="P53" s="13" t="n">
        <f aca="false">P42*Inputs!$F$148*(1+Inputs!$F$149/100)^(Time!P26-Inputs!$F$256)/1000000</f>
        <v>2.02666204030102</v>
      </c>
      <c r="Q53" s="13" t="n">
        <f aca="false">Q42*Inputs!$F$148*(1+Inputs!$F$149/100)^(Time!Q26-Inputs!$F$256)/1000000</f>
        <v>2.04953271245068</v>
      </c>
      <c r="R53" s="13" t="n">
        <f aca="false">R42*Inputs!$F$148*(1+Inputs!$F$149/100)^(Time!R26-Inputs!$F$256)/1000000</f>
        <v>2.03474611330492</v>
      </c>
      <c r="S53" s="13" t="n">
        <f aca="false">S42*Inputs!$F$148*(1+Inputs!$F$149/100)^(Time!S26-Inputs!$F$256)/1000000</f>
        <v>2.08044808457706</v>
      </c>
      <c r="T53" s="13" t="n">
        <f aca="false">T42*Inputs!$F$148*(1+Inputs!$F$149/100)^(Time!T26-Inputs!$F$256)/1000000</f>
        <v>2.11107741805454</v>
      </c>
      <c r="U53" s="13" t="n">
        <f aca="false">U42*Inputs!$F$148*(1+Inputs!$F$149/100)^(Time!U26-Inputs!$F$256)/1000000</f>
        <v>2.12557447701533</v>
      </c>
      <c r="V53" s="13" t="n">
        <f aca="false">V42*Inputs!$F$148*(1+Inputs!$F$149/100)^(Time!V26-Inputs!$F$256)/1000000</f>
        <v>2.09153153607636</v>
      </c>
      <c r="W53" s="13" t="n">
        <f aca="false">W42*Inputs!$F$148*(1+Inputs!$F$149/100)^(Time!W26-Inputs!$F$256)/1000000</f>
        <v>2.14344861616832</v>
      </c>
      <c r="X53" s="13" t="n">
        <f aca="false">X42*Inputs!$F$148*(1+Inputs!$F$149/100)^(Time!X26-Inputs!$F$256)/1000000</f>
        <v>2.18481789397578</v>
      </c>
      <c r="Y53" s="13" t="n">
        <f aca="false">Y42*Inputs!$F$148*(1+Inputs!$F$149/100)^(Time!Y26-Inputs!$F$256)/1000000</f>
        <v>2.22045431067411</v>
      </c>
      <c r="Z53" s="13" t="n">
        <f aca="false">Z42*Inputs!$F$148*(1+Inputs!$F$149/100)^(Time!Z26-Inputs!$F$256)/1000000</f>
        <v>2.22648811545936</v>
      </c>
      <c r="AA53" s="13" t="n">
        <f aca="false">AA42*Inputs!$F$148*(1+Inputs!$F$149/100)^(Time!AA26-Inputs!$F$256)/1000000</f>
        <v>2.25100269533232</v>
      </c>
      <c r="AB53" s="13" t="n">
        <f aca="false">AB42*Inputs!$F$148*(1+Inputs!$F$149/100)^(Time!AB26-Inputs!$F$256)/1000000</f>
        <v>2.23355785300735</v>
      </c>
      <c r="AC53" s="13" t="n">
        <f aca="false">AC42*Inputs!$F$148*(1+Inputs!$F$149/100)^(Time!AC26-Inputs!$F$256)/1000000</f>
        <v>2.2154047725047</v>
      </c>
      <c r="AD53" s="13" t="n">
        <f aca="false">AD42*Inputs!$F$148*(1+Inputs!$F$149/100)^(Time!AD26-Inputs!$F$256)/1000000</f>
        <v>2.11243636646029</v>
      </c>
      <c r="AE53" s="13" t="n">
        <f aca="false">AE42*Inputs!$F$148*(1+Inputs!$F$149/100)^(Time!AE26-Inputs!$F$256)/1000000</f>
        <v>2.19126620366813</v>
      </c>
      <c r="AF53" s="13" t="n">
        <f aca="false">AF42*Inputs!$F$148*(1+Inputs!$F$149/100)^(Time!AF26-Inputs!$F$256)/1000000</f>
        <v>2.28584091817361</v>
      </c>
      <c r="AG53" s="13" t="n">
        <f aca="false">AG42*Inputs!$F$148*(1+Inputs!$F$149/100)^(Time!AG26-Inputs!$F$256)/1000000</f>
        <v>2.29976255352916</v>
      </c>
      <c r="AH53" s="13" t="n">
        <f aca="false">AH42*Inputs!$F$148*(1+Inputs!$F$149/100)^(Time!AH26-Inputs!$F$256)/1000000</f>
        <v>2.25937816660806</v>
      </c>
      <c r="AI53" s="13" t="n">
        <f aca="false">AI42*Inputs!$F$148*(1+Inputs!$F$149/100)^(Time!AI26-Inputs!$F$256)/1000000</f>
        <v>2.31071662261168</v>
      </c>
      <c r="AJ53" s="13" t="n">
        <f aca="false">AJ42*Inputs!$F$148*(1+Inputs!$F$149/100)^(Time!AJ26-Inputs!$F$256)/1000000</f>
        <v>2.34594333514991</v>
      </c>
      <c r="AK53" s="13" t="n">
        <f aca="false">AK42*Inputs!$F$148*(1+Inputs!$F$149/100)^(Time!AK26-Inputs!$F$256)/1000000</f>
        <v>2.33724354021875</v>
      </c>
      <c r="AL53" s="13" t="n">
        <f aca="false">AL42*Inputs!$F$148*(1+Inputs!$F$149/100)^(Time!AL26-Inputs!$F$256)/1000000</f>
        <v>2.24984213387101</v>
      </c>
      <c r="AM53" s="13" t="n">
        <f aca="false">AM42*Inputs!$F$148*(1+Inputs!$F$149/100)^(Time!AM26-Inputs!$F$256)/1000000</f>
        <v>2.33419505416011</v>
      </c>
      <c r="AN53" s="13" t="n">
        <f aca="false">AN42*Inputs!$F$148*(1+Inputs!$F$149/100)^(Time!AN26-Inputs!$F$256)/1000000</f>
        <v>2.43572857872505</v>
      </c>
      <c r="AO53" s="13" t="n">
        <f aca="false">AO42*Inputs!$F$148*(1+Inputs!$F$149/100)^(Time!AO26-Inputs!$F$256)/1000000</f>
        <v>2.45264409851547</v>
      </c>
      <c r="AP53" s="13" t="n">
        <f aca="false">AP42*Inputs!$F$148*(1+Inputs!$F$149/100)^(Time!AP26-Inputs!$F$256)/1000000</f>
        <v>2.41379203024211</v>
      </c>
      <c r="AQ53" s="13" t="n">
        <f aca="false">AQ42*Inputs!$F$148*(1+Inputs!$F$149/100)^(Time!AQ26-Inputs!$F$256)/1000000</f>
        <v>2.46777549986836</v>
      </c>
      <c r="AR53" s="13" t="n">
        <f aca="false">AR42*Inputs!$F$148*(1+Inputs!$F$149/100)^(Time!AR26-Inputs!$F$256)/1000000</f>
        <v>2.50370114432274</v>
      </c>
      <c r="AS53" s="13" t="n">
        <f aca="false">AS42*Inputs!$F$148*(1+Inputs!$F$149/100)^(Time!AS26-Inputs!$F$256)/1000000</f>
        <v>2.49533098240624</v>
      </c>
      <c r="AT53" s="13" t="n">
        <f aca="false">AT42*Inputs!$F$148*(1+Inputs!$F$149/100)^(Time!AT26-Inputs!$F$256)/1000000</f>
        <v>2.40390148674781</v>
      </c>
      <c r="AU53" s="13" t="n">
        <f aca="false">AU42*Inputs!$F$148*(1+Inputs!$F$149/100)^(Time!AU26-Inputs!$F$256)/1000000</f>
        <v>2.46778741430862</v>
      </c>
      <c r="AV53" s="13" t="n">
        <f aca="false">AV42*Inputs!$F$148*(1+Inputs!$F$149/100)^(Time!AV26-Inputs!$F$256)/1000000</f>
        <v>2.52381740515506</v>
      </c>
      <c r="AW53" s="13" t="n">
        <f aca="false">AW42*Inputs!$F$148*(1+Inputs!$F$149/100)^(Time!AW26-Inputs!$F$256)/1000000</f>
        <v>2.58256222529219</v>
      </c>
      <c r="AX53" s="13" t="n">
        <f aca="false">AX42*Inputs!$F$148*(1+Inputs!$F$149/100)^(Time!AX26-Inputs!$F$256)/1000000</f>
        <v>2.62474005819615</v>
      </c>
      <c r="AY53" s="13" t="n">
        <f aca="false">AY42*Inputs!$F$148*(1+Inputs!$F$149/100)^(Time!AY26-Inputs!$F$256)/1000000</f>
        <v>2.65897268563719</v>
      </c>
      <c r="AZ53" s="13" t="n">
        <f aca="false">AZ42*Inputs!$F$148*(1+Inputs!$F$149/100)^(Time!AZ26-Inputs!$F$256)/1000000</f>
        <v>2.64913284786709</v>
      </c>
      <c r="BA53" s="13" t="n">
        <f aca="false">BA42*Inputs!$F$148*(1+Inputs!$F$149/100)^(Time!BA26-Inputs!$F$256)/1000000</f>
        <v>2.64534103962645</v>
      </c>
      <c r="BB53" s="13" t="n">
        <f aca="false">BB42*Inputs!$F$148*(1+Inputs!$F$149/100)^(Time!BB26-Inputs!$F$256)/1000000</f>
        <v>2.55874901496789</v>
      </c>
      <c r="BC53" s="13" t="n">
        <f aca="false">BC42*Inputs!$F$148*(1+Inputs!$F$149/100)^(Time!BC26-Inputs!$F$256)/1000000</f>
        <v>2.64106068723682</v>
      </c>
      <c r="BD53" s="13" t="n">
        <f aca="false">BD42*Inputs!$F$148*(1+Inputs!$F$149/100)^(Time!BD26-Inputs!$F$256)/1000000</f>
        <v>2.72933291531602</v>
      </c>
      <c r="BE53" s="13" t="n">
        <f aca="false">BE42*Inputs!$F$148*(1+Inputs!$F$149/100)^(Time!BE26-Inputs!$F$256)/1000000</f>
        <v>2.76835383480409</v>
      </c>
      <c r="BF53" s="13" t="n">
        <f aca="false">BF42*Inputs!$F$148*(1+Inputs!$F$149/100)^(Time!BF26-Inputs!$F$256)/1000000</f>
        <v>2.76498452848309</v>
      </c>
      <c r="BG53" s="13" t="n">
        <f aca="false">BG42*Inputs!$F$148*(1+Inputs!$F$149/100)^(Time!BG26-Inputs!$F$256)/1000000</f>
        <v>2.78179836207888</v>
      </c>
      <c r="BH53" s="13" t="n">
        <f aca="false">BH42*Inputs!$F$148*(1+Inputs!$F$149/100)^(Time!BH26-Inputs!$F$256)/1000000</f>
        <v>2.7329686535266</v>
      </c>
      <c r="BI53" s="13" t="n">
        <f aca="false">BI42*Inputs!$F$148*(1+Inputs!$F$149/100)^(Time!BI26-Inputs!$F$256)/1000000</f>
        <v>2.74656472406745</v>
      </c>
      <c r="BJ53" s="13" t="n">
        <f aca="false">BJ42*Inputs!$F$148*(1+Inputs!$F$149/100)^(Time!BJ26-Inputs!$F$256)/1000000</f>
        <v>2.69226134166233</v>
      </c>
      <c r="BK53" s="13" t="n">
        <f aca="false">BK42*Inputs!$F$148*(1+Inputs!$F$149/100)^(Time!BK26-Inputs!$F$256)/1000000</f>
        <v>2.77802219906124</v>
      </c>
      <c r="BL53" s="13" t="n">
        <f aca="false">BL42*Inputs!$F$148*(1+Inputs!$F$149/100)^(Time!BL26-Inputs!$F$256)/1000000</f>
        <v>2.86922933506723</v>
      </c>
      <c r="BM53" s="13" t="n">
        <f aca="false">BM42*Inputs!$F$148*(1+Inputs!$F$149/100)^(Time!BM26-Inputs!$F$256)/1000000</f>
        <v>1.9412245780837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209.785642003885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0.824551726645846</v>
      </c>
      <c r="P54" s="13" t="n">
        <f aca="false">MAX(0,P43-P42)*P41/1000000</f>
        <v>2.83937841684773</v>
      </c>
      <c r="Q54" s="13" t="n">
        <f aca="false">MAX(0,Q43-Q42)*Q41/1000000</f>
        <v>2.03082502166063</v>
      </c>
      <c r="R54" s="13" t="n">
        <f aca="false">MAX(0,R43-R42)*R41/1000000</f>
        <v>3.59809648677334</v>
      </c>
      <c r="S54" s="13" t="n">
        <f aca="false">MAX(0,S43-S42)*S41/1000000</f>
        <v>2.06599266816086</v>
      </c>
      <c r="T54" s="13" t="n">
        <f aca="false">MAX(0,T43-T42)*T41/1000000</f>
        <v>2.22203352926468</v>
      </c>
      <c r="U54" s="13" t="n">
        <f aca="false">MAX(0,U43-U42)*U41/1000000</f>
        <v>2.04738637369116</v>
      </c>
      <c r="V54" s="13" t="n">
        <f aca="false">MAX(0,V43-V42)*V41/1000000</f>
        <v>3.89322450070558</v>
      </c>
      <c r="W54" s="13" t="n">
        <f aca="false">MAX(0,W43-W42)*W41/1000000</f>
        <v>2.14566049224165</v>
      </c>
      <c r="X54" s="13" t="n">
        <f aca="false">MAX(0,X43-X42)*X41/1000000</f>
        <v>1.99472255574244</v>
      </c>
      <c r="Y54" s="13" t="n">
        <f aca="false">MAX(0,Y43-Y42)*Y41/1000000</f>
        <v>0.7497158420671</v>
      </c>
      <c r="Z54" s="13" t="n">
        <f aca="false">MAX(0,Z43-Z42)*Z41/1000000</f>
        <v>1.74918204824459</v>
      </c>
      <c r="AA54" s="13" t="n">
        <f aca="false">MAX(0,AA43-AA42)*AA41/1000000</f>
        <v>0.853632962824578</v>
      </c>
      <c r="AB54" s="13" t="n">
        <f aca="false">MAX(0,AB43-AB42)*AB41/1000000</f>
        <v>2.63288130075639</v>
      </c>
      <c r="AC54" s="13" t="n">
        <f aca="false">MAX(0,AC43-AC42)*AC41/1000000</f>
        <v>3.53149707983065</v>
      </c>
      <c r="AD54" s="13" t="n">
        <f aca="false">MAX(0,AD43-AD42)*AD41/1000000</f>
        <v>7.6946955795975</v>
      </c>
      <c r="AE54" s="13" t="n">
        <f aca="false">MAX(0,AE43-AE42)*AE41/1000000</f>
        <v>5.04778798229388</v>
      </c>
      <c r="AF54" s="13" t="n">
        <f aca="false">MAX(0,AF43-AF42)*AF41/1000000</f>
        <v>3.23494131404624</v>
      </c>
      <c r="AG54" s="13" t="n">
        <f aca="false">MAX(0,AG43-AG42)*AG41/1000000</f>
        <v>2.67455690995977</v>
      </c>
      <c r="AH54" s="13" t="n">
        <f aca="false">MAX(0,AH43-AH42)*AH41/1000000</f>
        <v>5.28711874999441</v>
      </c>
      <c r="AI54" s="13" t="n">
        <f aca="false">MAX(0,AI43-AI42)*AI41/1000000</f>
        <v>3.50204253156875</v>
      </c>
      <c r="AJ54" s="13" t="n">
        <f aca="false">MAX(0,AJ43-AJ42)*AJ41/1000000</f>
        <v>3.66109959446425</v>
      </c>
      <c r="AK54" s="13" t="n">
        <f aca="false">MAX(0,AK43-AK42)*AK41/1000000</f>
        <v>4.28865978459601</v>
      </c>
      <c r="AL54" s="13" t="n">
        <f aca="false">MAX(0,AL43-AL42)*AL41/1000000</f>
        <v>8.07197290760235</v>
      </c>
      <c r="AM54" s="13" t="n">
        <f aca="false">MAX(0,AM43-AM42)*AM41/1000000</f>
        <v>5.18283928324873</v>
      </c>
      <c r="AN54" s="13" t="n">
        <f aca="false">MAX(0,AN43-AN42)*AN41/1000000</f>
        <v>3.18219589303123</v>
      </c>
      <c r="AO54" s="13" t="n">
        <f aca="false">MAX(0,AO43-AO42)*AO41/1000000</f>
        <v>2.50265665246211</v>
      </c>
      <c r="AP54" s="13" t="n">
        <f aca="false">MAX(0,AP43-AP42)*AP41/1000000</f>
        <v>5.19676933096974</v>
      </c>
      <c r="AQ54" s="13" t="n">
        <f aca="false">MAX(0,AQ43-AQ42)*AQ41/1000000</f>
        <v>3.27889563547651</v>
      </c>
      <c r="AR54" s="13" t="n">
        <f aca="false">MAX(0,AR43-AR42)*AR41/1000000</f>
        <v>3.50010753449793</v>
      </c>
      <c r="AS54" s="13" t="n">
        <f aca="false">MAX(0,AS43-AS42)*AS41/1000000</f>
        <v>4.14802454659233</v>
      </c>
      <c r="AT54" s="13" t="n">
        <f aca="false">MAX(0,AT43-AT42)*AT41/1000000</f>
        <v>8.1982164818887</v>
      </c>
      <c r="AU54" s="13" t="n">
        <f aca="false">MAX(0,AU43-AU42)*AU41/1000000</f>
        <v>5.93655880415299</v>
      </c>
      <c r="AV54" s="13" t="n">
        <f aca="false">MAX(0,AV43-AV42)*AV41/1000000</f>
        <v>5.52273327616748</v>
      </c>
      <c r="AW54" s="13" t="n">
        <f aca="false">MAX(0,AW43-AW42)*AW41/1000000</f>
        <v>3.40940058477378</v>
      </c>
      <c r="AX54" s="13" t="n">
        <f aca="false">MAX(0,AX43-AX42)*AX41/1000000</f>
        <v>3.48724730132688</v>
      </c>
      <c r="AY54" s="13" t="n">
        <f aca="false">MAX(0,AY43-AY42)*AY41/1000000</f>
        <v>2.18939919072441</v>
      </c>
      <c r="AZ54" s="13" t="n">
        <f aca="false">MAX(0,AZ43-AZ42)*AZ41/1000000</f>
        <v>4.06917338971593</v>
      </c>
      <c r="BA54" s="13" t="n">
        <f aca="false">MAX(0,BA43-BA42)*BA41/1000000</f>
        <v>4.59690447549397</v>
      </c>
      <c r="BB54" s="13" t="n">
        <f aca="false">MAX(0,BB43-BB42)*BB41/1000000</f>
        <v>8.62193783182208</v>
      </c>
      <c r="BC54" s="13" t="n">
        <f aca="false">MAX(0,BC43-BC42)*BC41/1000000</f>
        <v>5.67169355652796</v>
      </c>
      <c r="BD54" s="13" t="n">
        <f aca="false">MAX(0,BD43-BD42)*BD41/1000000</f>
        <v>4.22907782300124</v>
      </c>
      <c r="BE54" s="13" t="n">
        <f aca="false">MAX(0,BE43-BE42)*BE41/1000000</f>
        <v>2.74249156439292</v>
      </c>
      <c r="BF54" s="13" t="n">
        <f aca="false">MAX(0,BF43-BF42)*BF41/1000000</f>
        <v>4.49718040340832</v>
      </c>
      <c r="BG54" s="13" t="n">
        <f aca="false">MAX(0,BG43-BG42)*BG41/1000000</f>
        <v>3.77662035574407</v>
      </c>
      <c r="BH54" s="13" t="n">
        <f aca="false">MAX(0,BH43-BH42)*BH41/1000000</f>
        <v>7.15001007460735</v>
      </c>
      <c r="BI54" s="13" t="n">
        <f aca="false">MAX(0,BI43-BI42)*BI41/1000000</f>
        <v>7.11724733812121</v>
      </c>
      <c r="BJ54" s="13" t="n">
        <f aca="false">MAX(0,BJ43-BJ42)*BJ41/1000000</f>
        <v>10.1562863788469</v>
      </c>
      <c r="BK54" s="13" t="n">
        <f aca="false">MAX(0,BK43-BK42)*BK41/1000000</f>
        <v>7.02331493997259</v>
      </c>
      <c r="BL54" s="13" t="n">
        <f aca="false">MAX(0,BL43-BL42)*BL41/1000000</f>
        <v>5.54918510050285</v>
      </c>
      <c r="BM54" s="13" t="n">
        <f aca="false">MAX(0,BM43-BM42)*BM41/1000000</f>
        <v>2.20781789683406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4071.31435721164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22.3429089467866</v>
      </c>
      <c r="P55" s="13" t="n">
        <f aca="false">P48+P50</f>
        <v>67.4305065332608</v>
      </c>
      <c r="Q55" s="13" t="n">
        <f aca="false">Q48+Q50</f>
        <v>67.8151875695848</v>
      </c>
      <c r="R55" s="13" t="n">
        <f aca="false">R48+R50</f>
        <v>68.1833903111036</v>
      </c>
      <c r="S55" s="13" t="n">
        <f aca="false">S48+S50</f>
        <v>68.6575050450689</v>
      </c>
      <c r="T55" s="13" t="n">
        <f aca="false">T48+T50</f>
        <v>69.1935143571802</v>
      </c>
      <c r="U55" s="13" t="n">
        <f aca="false">U48+U50</f>
        <v>69.5801457108804</v>
      </c>
      <c r="V55" s="13" t="n">
        <f aca="false">V48+V50</f>
        <v>69.9163050080466</v>
      </c>
      <c r="W55" s="13" t="n">
        <f aca="false">W48+W50</f>
        <v>70.4459158658141</v>
      </c>
      <c r="X55" s="13" t="n">
        <f aca="false">X48+X50</f>
        <v>71.0598248307653</v>
      </c>
      <c r="Y55" s="13" t="n">
        <f aca="false">Y48+Y50</f>
        <v>71.5521352411329</v>
      </c>
      <c r="Z55" s="13" t="n">
        <f aca="false">Z48+Z50</f>
        <v>72.0660599406022</v>
      </c>
      <c r="AA55" s="13" t="n">
        <f aca="false">AA48+AA50</f>
        <v>72.5376437683121</v>
      </c>
      <c r="AB55" s="13" t="n">
        <f aca="false">AB48+AB50</f>
        <v>72.9876477482172</v>
      </c>
      <c r="AC55" s="13" t="n">
        <f aca="false">AC48+AC50</f>
        <v>73.3228955642856</v>
      </c>
      <c r="AD55" s="13" t="n">
        <f aca="false">AD48+AD50</f>
        <v>72.1163138477277</v>
      </c>
      <c r="AE55" s="13" t="n">
        <f aca="false">AE48+AE50</f>
        <v>74.1824307906031</v>
      </c>
      <c r="AF55" s="13" t="n">
        <f aca="false">AF48+AF50</f>
        <v>75.0891466631081</v>
      </c>
      <c r="AG55" s="13" t="n">
        <f aca="false">AG48+AG50</f>
        <v>75.5798215162803</v>
      </c>
      <c r="AH55" s="13" t="n">
        <f aca="false">AH48+AH50</f>
        <v>76.0026262869026</v>
      </c>
      <c r="AI55" s="13" t="n">
        <f aca="false">AI48+AI50</f>
        <v>76.6585559859671</v>
      </c>
      <c r="AJ55" s="13" t="n">
        <f aca="false">AJ48+AJ50</f>
        <v>77.3999922444642</v>
      </c>
      <c r="AK55" s="13" t="n">
        <f aca="false">AK48+AK50</f>
        <v>77.8443632942405</v>
      </c>
      <c r="AL55" s="13" t="n">
        <f aca="false">AL48+AL50</f>
        <v>77.0091521338403</v>
      </c>
      <c r="AM55" s="13" t="n">
        <f aca="false">AM48+AM50</f>
        <v>78.960908170333</v>
      </c>
      <c r="AN55" s="13" t="n">
        <f aca="false">AN48+AN50</f>
        <v>80.033937271089</v>
      </c>
      <c r="AO55" s="13" t="n">
        <f aca="false">AO48+AO50</f>
        <v>80.6289403883624</v>
      </c>
      <c r="AP55" s="13" t="n">
        <f aca="false">AP48+AP50</f>
        <v>81.1546689769359</v>
      </c>
      <c r="AQ55" s="13" t="n">
        <f aca="false">AQ48+AQ50</f>
        <v>81.9324425627742</v>
      </c>
      <c r="AR55" s="13" t="n">
        <f aca="false">AR48+AR50</f>
        <v>82.8076034154613</v>
      </c>
      <c r="AS55" s="13" t="n">
        <f aca="false">AS48+AS50</f>
        <v>83.3469642996389</v>
      </c>
      <c r="AT55" s="13" t="n">
        <f aca="false">AT48+AT50</f>
        <v>83.0901212130416</v>
      </c>
      <c r="AU55" s="13" t="n">
        <f aca="false">AU48+AU50</f>
        <v>84.5786883444328</v>
      </c>
      <c r="AV55" s="13" t="n">
        <f aca="false">AV48+AV50</f>
        <v>85.6144571212841</v>
      </c>
      <c r="AW55" s="13" t="n">
        <f aca="false">AW48+AW50</f>
        <v>86.5141560970609</v>
      </c>
      <c r="AX55" s="13" t="n">
        <f aca="false">AX48+AX50</f>
        <v>87.5355717298038</v>
      </c>
      <c r="AY55" s="13" t="n">
        <f aca="false">AY48+AY50</f>
        <v>88.3596321599373</v>
      </c>
      <c r="AZ55" s="13" t="n">
        <f aca="false">AZ48+AZ50</f>
        <v>89.1801176223817</v>
      </c>
      <c r="BA55" s="13" t="n">
        <f aca="false">BA48+BA50</f>
        <v>89.857933624801</v>
      </c>
      <c r="BB55" s="13" t="n">
        <f aca="false">BB48+BB50</f>
        <v>90.0173963376353</v>
      </c>
      <c r="BC55" s="13" t="n">
        <f aca="false">BC48+BC50</f>
        <v>91.4697969621914</v>
      </c>
      <c r="BD55" s="13" t="n">
        <f aca="false">BD48+BD50</f>
        <v>92.8566818671772</v>
      </c>
      <c r="BE55" s="13" t="n">
        <f aca="false">BE48+BE50</f>
        <v>93.8213301630816</v>
      </c>
      <c r="BF55" s="13" t="n">
        <f aca="false">BF48+BF50</f>
        <v>94.8014720622973</v>
      </c>
      <c r="BG55" s="13" t="n">
        <f aca="false">BG48+BG50</f>
        <v>95.6944638520005</v>
      </c>
      <c r="BH55" s="13" t="n">
        <f aca="false">BH48+BH50</f>
        <v>96.4783715612244</v>
      </c>
      <c r="BI55" s="13" t="n">
        <f aca="false">BI48+BI50</f>
        <v>97.3950051333203</v>
      </c>
      <c r="BJ55" s="13" t="n">
        <f aca="false">BJ48+BJ50</f>
        <v>97.2350339065402</v>
      </c>
      <c r="BK55" s="13" t="n">
        <f aca="false">BK48+BK50</f>
        <v>99.5397150900867</v>
      </c>
      <c r="BL55" s="13" t="n">
        <f aca="false">BL48+BL50</f>
        <v>101.190187245487</v>
      </c>
      <c r="BM55" s="13" t="n">
        <f aca="false">BM48+BM50</f>
        <v>68.2447708290815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9118.72066949393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48.8456917158716</v>
      </c>
      <c r="P56" s="13" t="n">
        <f aca="false">P55+P51+P52+P53+P54</f>
        <v>147.35635463178</v>
      </c>
      <c r="Q56" s="13" t="n">
        <f aca="false">Q55+Q51+Q52+Q53+Q54</f>
        <v>147.963527629736</v>
      </c>
      <c r="R56" s="13" t="n">
        <f aca="false">R55+R51+R52+R53+R54</f>
        <v>149.601197718282</v>
      </c>
      <c r="S56" s="13" t="n">
        <f aca="false">S55+S51+S52+S53+S54</f>
        <v>150.325580073091</v>
      </c>
      <c r="T56" s="13" t="n">
        <f aca="false">T55+T51+T52+T53+T54</f>
        <v>152.203227316438</v>
      </c>
      <c r="U56" s="13" t="n">
        <f aca="false">U55+U51+U52+U53+U54</f>
        <v>153.258977208741</v>
      </c>
      <c r="V56" s="13" t="n">
        <f aca="false">V55+V51+V52+V53+V54</f>
        <v>154.44721605988</v>
      </c>
      <c r="W56" s="13" t="n">
        <f aca="false">W55+W51+W52+W53+W54</f>
        <v>155.241090773446</v>
      </c>
      <c r="X56" s="13" t="n">
        <f aca="false">X55+X51+X52+X53+X54</f>
        <v>157.25819778073</v>
      </c>
      <c r="Y56" s="13" t="n">
        <f aca="false">Y55+Y51+Y52+Y53+Y54</f>
        <v>158.001752411824</v>
      </c>
      <c r="Z56" s="13" t="n">
        <f aca="false">Z55+Z51+Z52+Z53+Z54</f>
        <v>159.908621193634</v>
      </c>
      <c r="AA56" s="13" t="n">
        <f aca="false">AA55+AA51+AA52+AA53+AA54</f>
        <v>160.62418287343</v>
      </c>
      <c r="AB56" s="13" t="n">
        <f aca="false">AB55+AB51+AB52+AB53+AB54</f>
        <v>162.470089028408</v>
      </c>
      <c r="AC56" s="13" t="n">
        <f aca="false">AC55+AC51+AC52+AC53+AC54</f>
        <v>163.493812039244</v>
      </c>
      <c r="AD56" s="13" t="n">
        <f aca="false">AD55+AD51+AD52+AD53+AD54</f>
        <v>163.141744034178</v>
      </c>
      <c r="AE56" s="13" t="n">
        <f aca="false">AE55+AE51+AE52+AE53+AE54</f>
        <v>165.51540614457</v>
      </c>
      <c r="AF56" s="13" t="n">
        <f aca="false">AF55+AF51+AF52+AF53+AF54</f>
        <v>167.98546695934</v>
      </c>
      <c r="AG56" s="13" t="n">
        <f aca="false">AG55+AG51+AG52+AG53+AG54</f>
        <v>168.722717871435</v>
      </c>
      <c r="AH56" s="13" t="n">
        <f aca="false">AH55+AH51+AH52+AH53+AH54</f>
        <v>170.602748455484</v>
      </c>
      <c r="AI56" s="13" t="n">
        <f aca="false">AI55+AI51+AI52+AI53+AI54</f>
        <v>171.546925459076</v>
      </c>
      <c r="AJ56" s="13" t="n">
        <f aca="false">AJ55+AJ51+AJ52+AJ53+AJ54</f>
        <v>173.849062235446</v>
      </c>
      <c r="AK56" s="13" t="n">
        <f aca="false">AK55+AK51+AK52+AK53+AK54</f>
        <v>175.048740544488</v>
      </c>
      <c r="AL56" s="13" t="n">
        <f aca="false">AL55+AL51+AL52+AL53+AL54</f>
        <v>175.162550268999</v>
      </c>
      <c r="AM56" s="13" t="n">
        <f aca="false">AM55+AM51+AM52+AM53+AM54</f>
        <v>177.443739144928</v>
      </c>
      <c r="AN56" s="13" t="n">
        <f aca="false">AN55+AN51+AN52+AN53+AN54</f>
        <v>180.200594715316</v>
      </c>
      <c r="AO56" s="13" t="n">
        <f aca="false">AO55+AO51+AO52+AO53+AO54</f>
        <v>181.06390960554</v>
      </c>
      <c r="AP56" s="13" t="n">
        <f aca="false">AP55+AP51+AP52+AP53+AP54</f>
        <v>183.168535344481</v>
      </c>
      <c r="AQ56" s="13" t="n">
        <f aca="false">AQ55+AQ51+AQ52+AQ53+AQ54</f>
        <v>184.255143030466</v>
      </c>
      <c r="AR56" s="13" t="n">
        <f aca="false">AR55+AR51+AR52+AR53+AR54</f>
        <v>186.811805213347</v>
      </c>
      <c r="AS56" s="13" t="n">
        <f aca="false">AS55+AS51+AS52+AS53+AS54</f>
        <v>188.168562377637</v>
      </c>
      <c r="AT56" s="13" t="n">
        <f aca="false">AT55+AT51+AT52+AT53+AT54</f>
        <v>188.941898341351</v>
      </c>
      <c r="AU56" s="13" t="n">
        <f aca="false">AU55+AU51+AU52+AU53+AU54</f>
        <v>190.758533647995</v>
      </c>
      <c r="AV56" s="13" t="n">
        <f aca="false">AV55+AV51+AV52+AV53+AV54</f>
        <v>193.55853159488</v>
      </c>
      <c r="AW56" s="13" t="n">
        <f aca="false">AW55+AW51+AW52+AW53+AW54</f>
        <v>194.786050982121</v>
      </c>
      <c r="AX56" s="13" t="n">
        <f aca="false">AX55+AX51+AX52+AX53+AX54</f>
        <v>197.591190031272</v>
      </c>
      <c r="AY56" s="13" t="n">
        <f aca="false">AY55+AY51+AY52+AY53+AY54</f>
        <v>198.725247196036</v>
      </c>
      <c r="AZ56" s="13" t="n">
        <f aca="false">AZ55+AZ51+AZ52+AZ53+AZ54</f>
        <v>201.314969170225</v>
      </c>
      <c r="BA56" s="13" t="n">
        <f aca="false">BA55+BA51+BA52+BA53+BA54</f>
        <v>202.881206092678</v>
      </c>
      <c r="BB56" s="13" t="n">
        <f aca="false">BB55+BB51+BB52+BB53+BB54</f>
        <v>204.167068237249</v>
      </c>
      <c r="BC56" s="13" t="n">
        <f aca="false">BC55+BC51+BC52+BC53+BC54</f>
        <v>205.984345059891</v>
      </c>
      <c r="BD56" s="13" t="n">
        <f aca="false">BD55+BD51+BD52+BD53+BD54</f>
        <v>209.298760592229</v>
      </c>
      <c r="BE56" s="13" t="n">
        <f aca="false">BE55+BE51+BE52+BE53+BE54</f>
        <v>210.594069725528</v>
      </c>
      <c r="BF56" s="13" t="n">
        <f aca="false">BF55+BF51+BF52+BF53+BF54</f>
        <v>213.45462696212</v>
      </c>
      <c r="BG56" s="13" t="n">
        <f aca="false">BG55+BG51+BG52+BG53+BG54</f>
        <v>214.664216135822</v>
      </c>
      <c r="BH56" s="13" t="n">
        <f aca="false">BH55+BH51+BH52+BH53+BH54</f>
        <v>217.324921011987</v>
      </c>
      <c r="BI56" s="13" t="n">
        <f aca="false">BI55+BI51+BI52+BI53+BI54</f>
        <v>219.2176761844</v>
      </c>
      <c r="BJ56" s="13" t="n">
        <f aca="false">BJ55+BJ51+BJ52+BJ53+BJ54</f>
        <v>220.311467538146</v>
      </c>
      <c r="BK56" s="13" t="n">
        <f aca="false">BK55+BK51+BK52+BK53+BK54</f>
        <v>223.005464865521</v>
      </c>
      <c r="BL56" s="13" t="n">
        <f aca="false">BL55+BL51+BL52+BL53+BL54</f>
        <v>226.730236901688</v>
      </c>
      <c r="BM56" s="13" t="n">
        <f aca="false">BM55+BM51+BM52+BM53+BM54</f>
        <v>151.72301936353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379.972857764499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1.45656716833736</v>
      </c>
      <c r="P60" s="13" t="n">
        <f aca="false">Inputs!$F$151*(Inputs!$F$152*P21+(1-Inputs!$F$152)*P27*Inputs!$F$153/P11)*Time!P30/12*Inputs!$F$40</f>
        <v>4.45142647516605</v>
      </c>
      <c r="Q60" s="13" t="n">
        <f aca="false">Inputs!$F$151*(Inputs!$F$152*Q21+(1-Inputs!$F$152)*Q27*Inputs!$F$153/Q11)*Time!Q30/12*Inputs!$F$40</f>
        <v>4.53511947402165</v>
      </c>
      <c r="R60" s="13" t="n">
        <f aca="false">Inputs!$F$151*(Inputs!$F$152*R21+(1-Inputs!$F$152)*R27*Inputs!$F$153/R11)*Time!R30/12*Inputs!$F$40</f>
        <v>4.62083603464854</v>
      </c>
      <c r="S60" s="13" t="n">
        <f aca="false">Inputs!$F$151*(Inputs!$F$152*S21+(1-Inputs!$F$152)*S27*Inputs!$F$153/S11)*Time!S30/12*Inputs!$F$40</f>
        <v>4.70863337422239</v>
      </c>
      <c r="T60" s="13" t="n">
        <f aca="false">Inputs!$F$151*(Inputs!$F$152*T21+(1-Inputs!$F$152)*T27*Inputs!$F$153/T11)*Time!T30/12*Inputs!$F$40</f>
        <v>4.79857044653475</v>
      </c>
      <c r="U60" s="13" t="n">
        <f aca="false">Inputs!$F$151*(Inputs!$F$152*U21+(1-Inputs!$F$152)*U27*Inputs!$F$153/U11)*Time!U30/12*Inputs!$F$40</f>
        <v>4.89070799615662</v>
      </c>
      <c r="V60" s="13" t="n">
        <f aca="false">Inputs!$F$151*(Inputs!$F$152*V21+(1-Inputs!$F$152)*V27*Inputs!$F$153/V11)*Time!V30/12*Inputs!$F$40</f>
        <v>4.98510861430791</v>
      </c>
      <c r="W60" s="13" t="n">
        <f aca="false">Inputs!$F$151*(Inputs!$F$152*W21+(1-Inputs!$F$152)*W27*Inputs!$F$153/W11)*Time!W30/12*Inputs!$F$40</f>
        <v>5.08183679648675</v>
      </c>
      <c r="X60" s="13" t="n">
        <f aca="false">Inputs!$F$151*(Inputs!$F$152*X21+(1-Inputs!$F$152)*X27*Inputs!$F$153/X11)*Time!X30/12*Inputs!$F$40</f>
        <v>5.1809590019142</v>
      </c>
      <c r="Y60" s="13" t="n">
        <f aca="false">Inputs!$F$151*(Inputs!$F$152*Y21+(1-Inputs!$F$152)*Y27*Inputs!$F$153/Y11)*Time!Y30/12*Inputs!$F$40</f>
        <v>5.28254371485188</v>
      </c>
      <c r="Z60" s="13" t="n">
        <f aca="false">Inputs!$F$151*(Inputs!$F$152*Z21+(1-Inputs!$F$152)*Z27*Inputs!$F$153/Z11)*Time!Z30/12*Inputs!$F$40</f>
        <v>5.38666150785157</v>
      </c>
      <c r="AA60" s="13" t="n">
        <f aca="false">Inputs!$F$151*(Inputs!$F$152*AA21+(1-Inputs!$F$152)*AA27*Inputs!$F$153/AA11)*Time!AA30/12*Inputs!$F$40</f>
        <v>5.49338510699789</v>
      </c>
      <c r="AB60" s="13" t="n">
        <f aca="false">Inputs!$F$151*(Inputs!$F$152*AB21+(1-Inputs!$F$152)*AB27*Inputs!$F$153/AB11)*Time!AB30/12*Inputs!$F$40</f>
        <v>5.60278945920712</v>
      </c>
      <c r="AC60" s="13" t="n">
        <f aca="false">Inputs!$F$151*(Inputs!$F$152*AC21+(1-Inputs!$F$152)*AC27*Inputs!$F$153/AC11)*Time!AC30/12*Inputs!$F$40</f>
        <v>5.71495180164707</v>
      </c>
      <c r="AD60" s="13" t="n">
        <f aca="false">Inputs!$F$151*(Inputs!$F$152*AD21+(1-Inputs!$F$152)*AD27*Inputs!$F$153/AD11)*Time!AD30/12*Inputs!$F$40</f>
        <v>5.82995173334515</v>
      </c>
      <c r="AE60" s="13" t="n">
        <f aca="false">Inputs!$F$151*(Inputs!$F$152*AE21+(1-Inputs!$F$152)*AE27*Inputs!$F$153/AE11)*Time!AE30/12*Inputs!$F$40</f>
        <v>5.94787128905363</v>
      </c>
      <c r="AF60" s="13" t="n">
        <f aca="false">Inputs!$F$151*(Inputs!$F$152*AF21+(1-Inputs!$F$152)*AF27*Inputs!$F$153/AF11)*Time!AF30/12*Inputs!$F$40</f>
        <v>6.06879501544374</v>
      </c>
      <c r="AG60" s="13" t="n">
        <f aca="false">Inputs!$F$151*(Inputs!$F$152*AG21+(1-Inputs!$F$152)*AG27*Inputs!$F$153/AG11)*Time!AG30/12*Inputs!$F$40</f>
        <v>6.1928100497019</v>
      </c>
      <c r="AH60" s="13" t="n">
        <f aca="false">Inputs!$F$151*(Inputs!$F$152*AH21+(1-Inputs!$F$152)*AH27*Inputs!$F$153/AH11)*Time!AH30/12*Inputs!$F$40</f>
        <v>6.32000620060432</v>
      </c>
      <c r="AI60" s="13" t="n">
        <f aca="false">Inputs!$F$151*(Inputs!$F$152*AI21+(1-Inputs!$F$152)*AI27*Inputs!$F$153/AI11)*Time!AI30/12*Inputs!$F$40</f>
        <v>6.45047603214808</v>
      </c>
      <c r="AJ60" s="13" t="n">
        <f aca="false">Inputs!$F$151*(Inputs!$F$152*AJ21+(1-Inputs!$F$152)*AJ27*Inputs!$F$153/AJ11)*Time!AJ30/12*Inputs!$F$40</f>
        <v>6.58431494981978</v>
      </c>
      <c r="AK60" s="13" t="n">
        <f aca="false">Inputs!$F$151*(Inputs!$F$152*AK21+(1-Inputs!$F$152)*AK27*Inputs!$F$153/AK11)*Time!AK30/12*Inputs!$F$40</f>
        <v>6.72162128958483</v>
      </c>
      <c r="AL60" s="13" t="n">
        <f aca="false">Inputs!$F$151*(Inputs!$F$152*AL21+(1-Inputs!$F$152)*AL27*Inputs!$F$153/AL11)*Time!AL30/12*Inputs!$F$40</f>
        <v>6.86249640968374</v>
      </c>
      <c r="AM60" s="13" t="n">
        <f aca="false">Inputs!$F$151*(Inputs!$F$152*AM21+(1-Inputs!$F$152)*AM27*Inputs!$F$153/AM11)*Time!AM30/12*Inputs!$F$40</f>
        <v>7.00704478532391</v>
      </c>
      <c r="AN60" s="13" t="n">
        <f aca="false">Inputs!$F$151*(Inputs!$F$152*AN21+(1-Inputs!$F$152)*AN27*Inputs!$F$153/AN11)*Time!AN30/12*Inputs!$F$40</f>
        <v>7.15537410635866</v>
      </c>
      <c r="AO60" s="13" t="n">
        <f aca="false">Inputs!$F$151*(Inputs!$F$152*AO21+(1-Inputs!$F$152)*AO27*Inputs!$F$153/AO11)*Time!AO30/12*Inputs!$F$40</f>
        <v>7.30759537804774</v>
      </c>
      <c r="AP60" s="13" t="n">
        <f aca="false">Inputs!$F$151*(Inputs!$F$152*AP21+(1-Inputs!$F$152)*AP27*Inputs!$F$153/AP11)*Time!AP30/12*Inputs!$F$40</f>
        <v>7.4638230249971</v>
      </c>
      <c r="AQ60" s="13" t="n">
        <f aca="false">Inputs!$F$151*(Inputs!$F$152*AQ21+(1-Inputs!$F$152)*AQ27*Inputs!$F$153/AQ11)*Time!AQ30/12*Inputs!$F$40</f>
        <v>7.62417499837806</v>
      </c>
      <c r="AR60" s="13" t="n">
        <f aca="false">Inputs!$F$151*(Inputs!$F$152*AR21+(1-Inputs!$F$152)*AR27*Inputs!$F$153/AR11)*Time!AR30/12*Inputs!$F$40</f>
        <v>7.78877288652992</v>
      </c>
      <c r="AS60" s="13" t="n">
        <f aca="false">Inputs!$F$151*(Inputs!$F$152*AS21+(1-Inputs!$F$152)*AS27*Inputs!$F$153/AS11)*Time!AS30/12*Inputs!$F$40</f>
        <v>7.9577420290528</v>
      </c>
      <c r="AT60" s="13" t="n">
        <f aca="false">Inputs!$F$151*(Inputs!$F$152*AT21+(1-Inputs!$F$152)*AT27*Inputs!$F$153/AT11)*Time!AT30/12*Inputs!$F$40</f>
        <v>8.13121163450122</v>
      </c>
      <c r="AU60" s="13" t="n">
        <f aca="false">Inputs!$F$151*(Inputs!$F$152*AU21+(1-Inputs!$F$152)*AU27*Inputs!$F$153/AU11)*Time!AU30/12*Inputs!$F$40</f>
        <v>8.30931490179215</v>
      </c>
      <c r="AV60" s="13" t="n">
        <f aca="false">Inputs!$F$151*(Inputs!$F$152*AV21+(1-Inputs!$F$152)*AV27*Inputs!$F$153/AV11)*Time!AV30/12*Inputs!$F$40</f>
        <v>8.49218914544526</v>
      </c>
      <c r="AW60" s="13" t="n">
        <f aca="false">Inputs!$F$151*(Inputs!$F$152*AW21+(1-Inputs!$F$152)*AW27*Inputs!$F$153/AW11)*Time!AW30/12*Inputs!$F$40</f>
        <v>8.67997592477619</v>
      </c>
      <c r="AX60" s="13" t="n">
        <f aca="false">Inputs!$F$151*(Inputs!$F$152*AX21+(1-Inputs!$F$152)*AX27*Inputs!$F$153/AX11)*Time!AX30/12*Inputs!$F$40</f>
        <v>8.87282117716828</v>
      </c>
      <c r="AY60" s="13" t="n">
        <f aca="false">Inputs!$F$151*(Inputs!$F$152*AY21+(1-Inputs!$F$152)*AY27*Inputs!$F$153/AY11)*Time!AY30/12*Inputs!$F$40</f>
        <v>9.07087535555145</v>
      </c>
      <c r="AZ60" s="13" t="n">
        <f aca="false">Inputs!$F$151*(Inputs!$F$152*AZ21+(1-Inputs!$F$152)*AZ27*Inputs!$F$153/AZ11)*Time!AZ30/12*Inputs!$F$40</f>
        <v>9.27429357022146</v>
      </c>
      <c r="BA60" s="13" t="n">
        <f aca="false">Inputs!$F$151*(Inputs!$F$152*BA21+(1-Inputs!$F$152)*BA27*Inputs!$F$153/BA11)*Time!BA30/12*Inputs!$F$40</f>
        <v>9.48323573513676</v>
      </c>
      <c r="BB60" s="13" t="n">
        <f aca="false">Inputs!$F$151*(Inputs!$F$152*BB21+(1-Inputs!$F$152)*BB27*Inputs!$F$153/BB11)*Time!BB30/12*Inputs!$F$40</f>
        <v>9.69786671883461</v>
      </c>
      <c r="BC60" s="13" t="n">
        <f aca="false">Inputs!$F$151*(Inputs!$F$152*BC21+(1-Inputs!$F$152)*BC27*Inputs!$F$153/BC11)*Time!BC30/12*Inputs!$F$40</f>
        <v>9.91835650011251</v>
      </c>
      <c r="BD60" s="13" t="n">
        <f aca="false">Inputs!$F$151*(Inputs!$F$152*BD21+(1-Inputs!$F$152)*BD27*Inputs!$F$153/BD11)*Time!BD30/12*Inputs!$F$40</f>
        <v>10.1448803286258</v>
      </c>
      <c r="BE60" s="13" t="n">
        <f aca="false">Inputs!$F$151*(Inputs!$F$152*BE21+(1-Inputs!$F$152)*BE27*Inputs!$F$153/BE11)*Time!BE30/12*Inputs!$F$40</f>
        <v>10.3776188905569</v>
      </c>
      <c r="BF60" s="13" t="n">
        <f aca="false">Inputs!$F$151*(Inputs!$F$152*BF21+(1-Inputs!$F$152)*BF27*Inputs!$F$153/BF11)*Time!BF30/12*Inputs!$F$40</f>
        <v>10.6167584795163</v>
      </c>
      <c r="BG60" s="13" t="n">
        <f aca="false">Inputs!$F$151*(Inputs!$F$152*BG21+(1-Inputs!$F$152)*BG27*Inputs!$F$153/BG11)*Time!BG30/12*Inputs!$F$40</f>
        <v>10.8624911728415</v>
      </c>
      <c r="BH60" s="13" t="n">
        <f aca="false">Inputs!$F$151*(Inputs!$F$152*BH21+(1-Inputs!$F$152)*BH27*Inputs!$F$153/BH11)*Time!BH30/12*Inputs!$F$40</f>
        <v>11.1150150134639</v>
      </c>
      <c r="BI60" s="13" t="n">
        <f aca="false">Inputs!$F$151*(Inputs!$F$152*BI21+(1-Inputs!$F$152)*BI27*Inputs!$F$153/BI11)*Time!BI30/12*Inputs!$F$40</f>
        <v>11.3745341975206</v>
      </c>
      <c r="BJ60" s="13" t="n">
        <f aca="false">Inputs!$F$151*(Inputs!$F$152*BJ21+(1-Inputs!$F$152)*BJ27*Inputs!$F$153/BJ11)*Time!BJ30/12*Inputs!$F$40</f>
        <v>11.6412592678914</v>
      </c>
      <c r="BK60" s="13" t="n">
        <f aca="false">Inputs!$F$151*(Inputs!$F$152*BK21+(1-Inputs!$F$152)*BK27*Inputs!$F$153/BK11)*Time!BK30/12*Inputs!$F$40</f>
        <v>11.9154073138508</v>
      </c>
      <c r="BL60" s="13" t="n">
        <f aca="false">Inputs!$F$151*(Inputs!$F$152*BL21+(1-Inputs!$F$152)*BL27*Inputs!$F$153/BL11)*Time!BL30/12*Inputs!$F$40</f>
        <v>12.1972021770259</v>
      </c>
      <c r="BM60" s="13" t="n">
        <f aca="false">Inputs!$F$151*(Inputs!$F$152*BM21+(1-Inputs!$F$152)*BM27*Inputs!$F$153/BM11)*Time!BM30/12*Inputs!$F$40</f>
        <v>8.32458310924095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4.69655897156034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0.0590877503445437</v>
      </c>
      <c r="P61" s="13" t="n">
        <f aca="false">IF(Time!P30&gt;0,Inputs!$F$154*MAX(-1,MIN(1,(P32-Inputs!$F$216)/Inputs!$F$217))*P21*Time!P30/12,0)</f>
        <v>0.179202538739512</v>
      </c>
      <c r="Q61" s="13" t="n">
        <f aca="false">IF(Time!Q30&gt;0,Inputs!$F$154*MAX(-1,MIN(1,(Q32-Inputs!$F$216)/Inputs!$F$217))*Q21*Time!Q30/12,0)</f>
        <v>0.145296822665961</v>
      </c>
      <c r="R61" s="13" t="n">
        <f aca="false">IF(Time!R30&gt;0,Inputs!$F$154*MAX(-1,MIN(1,(R32-Inputs!$F$216)/Inputs!$F$217))*R21*Time!R30/12,0)</f>
        <v>0.0743691887458481</v>
      </c>
      <c r="S61" s="13" t="n">
        <f aca="false">IF(Time!S30&gt;0,Inputs!$F$154*MAX(-1,MIN(1,(S32-Inputs!$F$216)/Inputs!$F$217))*S21*Time!S30/12,0)</f>
        <v>0.15210776194307</v>
      </c>
      <c r="T61" s="13" t="n">
        <f aca="false">IF(Time!T30&gt;0,Inputs!$F$154*MAX(-1,MIN(1,(T32-Inputs!$F$216)/Inputs!$F$217))*T21*Time!T30/12,0)</f>
        <v>0.309304912188794</v>
      </c>
      <c r="U61" s="13" t="n">
        <f aca="false">IF(Time!U30&gt;0,Inputs!$F$154*MAX(-1,MIN(1,(U32-Inputs!$F$216)/Inputs!$F$217))*U21*Time!U30/12,0)</f>
        <v>0.228084402799784</v>
      </c>
      <c r="V61" s="13" t="n">
        <f aca="false">IF(Time!V30&gt;0,Inputs!$F$154*MAX(-1,MIN(1,(V32-Inputs!$F$216)/Inputs!$F$217))*V21*Time!V30/12,0)</f>
        <v>0.0595198050627645</v>
      </c>
      <c r="W61" s="13" t="n">
        <f aca="false">IF(Time!W30&gt;0,Inputs!$F$154*MAX(-1,MIN(1,(W32-Inputs!$F$216)/Inputs!$F$217))*W21*Time!W30/12,0)</f>
        <v>0.165358942927682</v>
      </c>
      <c r="X61" s="13" t="n">
        <f aca="false">IF(Time!X30&gt;0,Inputs!$F$154*MAX(-1,MIN(1,(X32-Inputs!$F$216)/Inputs!$F$217))*X21*Time!X30/12,0)</f>
        <v>0.351269343667872</v>
      </c>
      <c r="Y61" s="13" t="n">
        <f aca="false">IF(Time!Y30&gt;0,Inputs!$F$154*MAX(-1,MIN(1,(Y32-Inputs!$F$216)/Inputs!$F$217))*Y21*Time!Y30/12,0)</f>
        <v>0.355112285257038</v>
      </c>
      <c r="Z61" s="13" t="n">
        <f aca="false">IF(Time!Z30&gt;0,Inputs!$F$154*MAX(-1,MIN(1,(Z32-Inputs!$F$216)/Inputs!$F$217))*Z21*Time!Z30/12,0)</f>
        <v>0.358997269228565</v>
      </c>
      <c r="AA61" s="13" t="n">
        <f aca="false">IF(Time!AA30&gt;0,Inputs!$F$154*MAX(-1,MIN(1,(AA32-Inputs!$F$216)/Inputs!$F$217))*AA21*Time!AA30/12,0)</f>
        <v>0.362924755532693</v>
      </c>
      <c r="AB61" s="13" t="n">
        <f aca="false">IF(Time!AB30&gt;0,Inputs!$F$154*MAX(-1,MIN(1,(AB32-Inputs!$F$216)/Inputs!$F$217))*AB21*Time!AB30/12,0)</f>
        <v>0.313743326342113</v>
      </c>
      <c r="AC61" s="13" t="n">
        <f aca="false">IF(Time!AC30&gt;0,Inputs!$F$154*MAX(-1,MIN(1,(AC32-Inputs!$F$216)/Inputs!$F$217))*AC21*Time!AC30/12,0)</f>
        <v>0.0524075353951739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-0.241099869043029</v>
      </c>
      <c r="AF61" s="13" t="n">
        <f aca="false">IF(Time!AF30&gt;0,Inputs!$F$154*MAX(-1,MIN(1,(AF32-Inputs!$F$216)/Inputs!$F$217))*AF21*Time!AF30/12,0)</f>
        <v>0.254708151235959</v>
      </c>
      <c r="AG61" s="13" t="n">
        <f aca="false">IF(Time!AG30&gt;0,Inputs!$F$154*MAX(-1,MIN(1,(AG32-Inputs!$F$216)/Inputs!$F$217))*AG21*Time!AG30/12,0)</f>
        <v>0.152715477392822</v>
      </c>
      <c r="AH61" s="13" t="n">
        <f aca="false">IF(Time!AH30&gt;0,Inputs!$F$154*MAX(-1,MIN(1,(AH32-Inputs!$F$216)/Inputs!$F$217))*AH21*Time!AH30/12,0)</f>
        <v>-0.057464835285378</v>
      </c>
      <c r="AI61" s="13" t="n">
        <f aca="false">IF(Time!AI30&gt;0,Inputs!$F$154*MAX(-1,MIN(1,(AI32-Inputs!$F$216)/Inputs!$F$217))*AI21*Time!AI30/12,0)</f>
        <v>0.0356554572118378</v>
      </c>
      <c r="AJ61" s="13" t="n">
        <f aca="false">IF(Time!AJ30&gt;0,Inputs!$F$154*MAX(-1,MIN(1,(AJ32-Inputs!$F$216)/Inputs!$F$217))*AJ21*Time!AJ30/12,0)</f>
        <v>0.225594723803475</v>
      </c>
      <c r="AK61" s="13" t="n">
        <f aca="false">IF(Time!AK30&gt;0,Inputs!$F$154*MAX(-1,MIN(1,(AK32-Inputs!$F$216)/Inputs!$F$217))*AK21*Time!AK30/12,0)</f>
        <v>-0.00299366313151081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-0.202928977792907</v>
      </c>
      <c r="AN61" s="13" t="n">
        <f aca="false">IF(Time!AN30&gt;0,Inputs!$F$154*MAX(-1,MIN(1,(AN32-Inputs!$F$216)/Inputs!$F$217))*AN21*Time!AN30/12,0)</f>
        <v>0.345631132622963</v>
      </c>
      <c r="AO61" s="13" t="n">
        <f aca="false">IF(Time!AO30&gt;0,Inputs!$F$154*MAX(-1,MIN(1,(AO32-Inputs!$F$216)/Inputs!$F$217))*AO21*Time!AO30/12,0)</f>
        <v>0.245819026076856</v>
      </c>
      <c r="AP61" s="13" t="n">
        <f aca="false">IF(Time!AP30&gt;0,Inputs!$F$154*MAX(-1,MIN(1,(AP32-Inputs!$F$216)/Inputs!$F$217))*AP21*Time!AP30/12,0)</f>
        <v>0.0390549389882663</v>
      </c>
      <c r="AQ61" s="13" t="n">
        <f aca="false">IF(Time!AQ30&gt;0,Inputs!$F$154*MAX(-1,MIN(1,(AQ32-Inputs!$F$216)/Inputs!$F$217))*AQ21*Time!AQ30/12,0)</f>
        <v>0.137973719049764</v>
      </c>
      <c r="AR61" s="13" t="n">
        <f aca="false">IF(Time!AR30&gt;0,Inputs!$F$154*MAX(-1,MIN(1,(AR32-Inputs!$F$216)/Inputs!$F$217))*AR21*Time!AR30/12,0)</f>
        <v>0.338621224090195</v>
      </c>
      <c r="AS61" s="13" t="n">
        <f aca="false">IF(Time!AS30&gt;0,Inputs!$F$154*MAX(-1,MIN(1,(AS32-Inputs!$F$216)/Inputs!$F$217))*AS21*Time!AS30/12,0)</f>
        <v>0.0936464016587693</v>
      </c>
      <c r="AT61" s="13" t="n">
        <f aca="false">IF(Time!AT30&gt;0,Inputs!$F$154*MAX(-1,MIN(1,(AT32-Inputs!$F$216)/Inputs!$F$217))*AT21*Time!AT30/12,0)</f>
        <v>-0.408129058197995</v>
      </c>
      <c r="AU61" s="13" t="n">
        <f aca="false">IF(Time!AU30&gt;0,Inputs!$F$154*MAX(-1,MIN(1,(AU32-Inputs!$F$216)/Inputs!$F$217))*AU21*Time!AU30/12,0)</f>
        <v>-0.257332194944533</v>
      </c>
      <c r="AV61" s="13" t="n">
        <f aca="false">IF(Time!AV30&gt;0,Inputs!$F$154*MAX(-1,MIN(1,(AV32-Inputs!$F$216)/Inputs!$F$217))*AV21*Time!AV30/12,0)</f>
        <v>0.053773446676823</v>
      </c>
      <c r="AW61" s="13" t="n">
        <f aca="false">IF(Time!AW30&gt;0,Inputs!$F$154*MAX(-1,MIN(1,(AW32-Inputs!$F$216)/Inputs!$F$217))*AW21*Time!AW30/12,0)</f>
        <v>0.172420619530798</v>
      </c>
      <c r="AX61" s="13" t="n">
        <f aca="false">IF(Time!AX30&gt;0,Inputs!$F$154*MAX(-1,MIN(1,(AX32-Inputs!$F$216)/Inputs!$F$217))*AX21*Time!AX30/12,0)</f>
        <v>0.413007859263252</v>
      </c>
      <c r="AY61" s="13" t="n">
        <f aca="false">IF(Time!AY30&gt;0,Inputs!$F$154*MAX(-1,MIN(1,(AY32-Inputs!$F$216)/Inputs!$F$217))*AY21*Time!AY30/12,0)</f>
        <v>0.391284520747748</v>
      </c>
      <c r="AZ61" s="13" t="n">
        <f aca="false">IF(Time!AZ30&gt;0,Inputs!$F$154*MAX(-1,MIN(1,(AZ32-Inputs!$F$216)/Inputs!$F$217))*AZ21*Time!AZ30/12,0)</f>
        <v>0.342507639574108</v>
      </c>
      <c r="BA61" s="13" t="n">
        <f aca="false">IF(Time!BA30&gt;0,Inputs!$F$154*MAX(-1,MIN(1,(BA32-Inputs!$F$216)/Inputs!$F$217))*BA21*Time!BA30/12,0)</f>
        <v>0.104034427299608</v>
      </c>
      <c r="BB61" s="13" t="n">
        <f aca="false">IF(Time!BB30&gt;0,Inputs!$F$154*MAX(-1,MIN(1,(BB32-Inputs!$F$216)/Inputs!$F$217))*BB21*Time!BB30/12,0)</f>
        <v>-0.384567874646263</v>
      </c>
      <c r="BC61" s="13" t="n">
        <f aca="false">IF(Time!BC30&gt;0,Inputs!$F$154*MAX(-1,MIN(1,(BC32-Inputs!$F$216)/Inputs!$F$217))*BC21*Time!BC30/12,0)</f>
        <v>-0.137529077313122</v>
      </c>
      <c r="BD61" s="13" t="n">
        <f aca="false">IF(Time!BD30&gt;0,Inputs!$F$154*MAX(-1,MIN(1,(BD32-Inputs!$F$216)/Inputs!$F$217))*BD21*Time!BD30/12,0)</f>
        <v>0.368955734955217</v>
      </c>
      <c r="BE61" s="13" t="n">
        <f aca="false">IF(Time!BE30&gt;0,Inputs!$F$154*MAX(-1,MIN(1,(BE32-Inputs!$F$216)/Inputs!$F$217))*BE21*Time!BE30/12,0)</f>
        <v>0.364730688256973</v>
      </c>
      <c r="BF61" s="13" t="n">
        <f aca="false">IF(Time!BF30&gt;0,Inputs!$F$154*MAX(-1,MIN(1,(BF32-Inputs!$F$216)/Inputs!$F$217))*BF21*Time!BF30/12,0)</f>
        <v>0.352017174938993</v>
      </c>
      <c r="BG61" s="13" t="n">
        <f aca="false">IF(Time!BG30&gt;0,Inputs!$F$154*MAX(-1,MIN(1,(BG32-Inputs!$F$216)/Inputs!$F$217))*BG21*Time!BG30/12,0)</f>
        <v>0.216956090482153</v>
      </c>
      <c r="BH61" s="13" t="n">
        <f aca="false">IF(Time!BH30&gt;0,Inputs!$F$154*MAX(-1,MIN(1,(BH32-Inputs!$F$216)/Inputs!$F$217))*BH21*Time!BH30/12,0)</f>
        <v>-0.0615342333861342</v>
      </c>
      <c r="BI61" s="13" t="n">
        <f aca="false">IF(Time!BI30&gt;0,Inputs!$F$154*MAX(-1,MIN(1,(BI32-Inputs!$F$216)/Inputs!$F$217))*BI21*Time!BI30/12,0)</f>
        <v>-0.217969140400012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-0.273849125130313</v>
      </c>
      <c r="BL61" s="13" t="n">
        <f aca="false">IF(Time!BL30&gt;0,Inputs!$F$154*MAX(-1,MIN(1,(BL32-Inputs!$F$216)/Inputs!$F$217))*BL21*Time!BL30/12,0)</f>
        <v>0.263587916208461</v>
      </c>
      <c r="BM61" s="13" t="n">
        <f aca="false">IF(Time!BM30&gt;0,Inputs!$F$154*MAX(-1,MIN(1,(BM32-Inputs!$F$216)/Inputs!$F$217))*BM21*Time!BM30/12,0)</f>
        <v>0.177647739506753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2337.47139577737</v>
      </c>
      <c r="P63" s="15" t="n">
        <f aca="false">IF(P31&gt;0,Inputs!$F$258*(Inputs!$F$129*P32/P31*P37/Inputs!$F$131+Inputs!$F$130*Inputs!$F$132)*Time!P30/12,0)</f>
        <v>7012.41418733211</v>
      </c>
      <c r="Q63" s="15" t="n">
        <f aca="false">IF(Q31&gt;0,Inputs!$F$258*(Inputs!$F$129*Q32/Q31*Q37/Inputs!$F$131+Inputs!$F$130*Inputs!$F$132)*Time!Q30/12,0)</f>
        <v>7012.41418733211</v>
      </c>
      <c r="R63" s="15" t="n">
        <f aca="false">IF(R31&gt;0,Inputs!$F$258*(Inputs!$F$129*R32/R31*R37/Inputs!$F$131+Inputs!$F$130*Inputs!$F$132)*Time!R30/12,0)</f>
        <v>7012.41418733211</v>
      </c>
      <c r="S63" s="15" t="n">
        <f aca="false">IF(S31&gt;0,Inputs!$F$258*(Inputs!$F$129*S32/S31*S37/Inputs!$F$131+Inputs!$F$130*Inputs!$F$132)*Time!S30/12,0)</f>
        <v>7012.41418733211</v>
      </c>
      <c r="T63" s="15" t="n">
        <f aca="false">IF(T31&gt;0,Inputs!$F$258*(Inputs!$F$129*T32/T31*T37/Inputs!$F$131+Inputs!$F$130*Inputs!$F$132)*Time!T30/12,0)</f>
        <v>7012.41418733211</v>
      </c>
      <c r="U63" s="15" t="n">
        <f aca="false">IF(U31&gt;0,Inputs!$F$258*(Inputs!$F$129*U32/U31*U37/Inputs!$F$131+Inputs!$F$130*Inputs!$F$132)*Time!U30/12,0)</f>
        <v>7012.41418733211</v>
      </c>
      <c r="V63" s="15" t="n">
        <f aca="false">IF(V31&gt;0,Inputs!$F$258*(Inputs!$F$129*V32/V31*V37/Inputs!$F$131+Inputs!$F$130*Inputs!$F$132)*Time!V30/12,0)</f>
        <v>7012.41418733211</v>
      </c>
      <c r="W63" s="15" t="n">
        <f aca="false">IF(W31&gt;0,Inputs!$F$258*(Inputs!$F$129*W32/W31*W37/Inputs!$F$131+Inputs!$F$130*Inputs!$F$132)*Time!W30/12,0)</f>
        <v>7012.41418733211</v>
      </c>
      <c r="X63" s="15" t="n">
        <f aca="false">IF(X31&gt;0,Inputs!$F$258*(Inputs!$F$129*X32/X31*X37/Inputs!$F$131+Inputs!$F$130*Inputs!$F$132)*Time!X30/12,0)</f>
        <v>7012.41418733211</v>
      </c>
      <c r="Y63" s="15" t="n">
        <f aca="false">IF(Y31&gt;0,Inputs!$F$258*(Inputs!$F$129*Y32/Y31*Y37/Inputs!$F$131+Inputs!$F$130*Inputs!$F$132)*Time!Y30/12,0)</f>
        <v>7012.41418733211</v>
      </c>
      <c r="Z63" s="15" t="n">
        <f aca="false">IF(Z31&gt;0,Inputs!$F$258*(Inputs!$F$129*Z32/Z31*Z37/Inputs!$F$131+Inputs!$F$130*Inputs!$F$132)*Time!Z30/12,0)</f>
        <v>7012.41418733211</v>
      </c>
      <c r="AA63" s="15" t="n">
        <f aca="false">IF(AA31&gt;0,Inputs!$F$258*(Inputs!$F$129*AA32/AA31*AA37/Inputs!$F$131+Inputs!$F$130*Inputs!$F$132)*Time!AA30/12,0)</f>
        <v>7012.41418733211</v>
      </c>
      <c r="AB63" s="15" t="n">
        <f aca="false">IF(AB31&gt;0,Inputs!$F$258*(Inputs!$F$129*AB32/AB31*AB37/Inputs!$F$131+Inputs!$F$130*Inputs!$F$132)*Time!AB30/12,0)</f>
        <v>7012.41418733211</v>
      </c>
      <c r="AC63" s="15" t="n">
        <f aca="false">IF(AC31&gt;0,Inputs!$F$258*(Inputs!$F$129*AC32/AC31*AC37/Inputs!$F$131+Inputs!$F$130*Inputs!$F$132)*Time!AC30/12,0)</f>
        <v>7012.41418733211</v>
      </c>
      <c r="AD63" s="15" t="n">
        <f aca="false">IF(AD31&gt;0,Inputs!$F$258*(Inputs!$F$129*AD32/AD31*AD37/Inputs!$F$131+Inputs!$F$130*Inputs!$F$132)*Time!AD30/12,0)</f>
        <v>7012.41418733211</v>
      </c>
      <c r="AE63" s="15" t="n">
        <f aca="false">IF(AE31&gt;0,Inputs!$F$258*(Inputs!$F$129*AE32/AE31*AE37/Inputs!$F$131+Inputs!$F$130*Inputs!$F$132)*Time!AE30/12,0)</f>
        <v>7012.41418733211</v>
      </c>
      <c r="AF63" s="15" t="n">
        <f aca="false">IF(AF31&gt;0,Inputs!$F$258*(Inputs!$F$129*AF32/AF31*AF37/Inputs!$F$131+Inputs!$F$130*Inputs!$F$132)*Time!AF30/12,0)</f>
        <v>7012.41418733211</v>
      </c>
      <c r="AG63" s="15" t="n">
        <f aca="false">IF(AG31&gt;0,Inputs!$F$258*(Inputs!$F$129*AG32/AG31*AG37/Inputs!$F$131+Inputs!$F$130*Inputs!$F$132)*Time!AG30/12,0)</f>
        <v>7012.41418733211</v>
      </c>
      <c r="AH63" s="15" t="n">
        <f aca="false">IF(AH31&gt;0,Inputs!$F$258*(Inputs!$F$129*AH32/AH31*AH37/Inputs!$F$131+Inputs!$F$130*Inputs!$F$132)*Time!AH30/12,0)</f>
        <v>7012.41418733211</v>
      </c>
      <c r="AI63" s="15" t="n">
        <f aca="false">IF(AI31&gt;0,Inputs!$F$258*(Inputs!$F$129*AI32/AI31*AI37/Inputs!$F$131+Inputs!$F$130*Inputs!$F$132)*Time!AI30/12,0)</f>
        <v>7012.41418733211</v>
      </c>
      <c r="AJ63" s="15" t="n">
        <f aca="false">IF(AJ31&gt;0,Inputs!$F$258*(Inputs!$F$129*AJ32/AJ31*AJ37/Inputs!$F$131+Inputs!$F$130*Inputs!$F$132)*Time!AJ30/12,0)</f>
        <v>7012.41418733211</v>
      </c>
      <c r="AK63" s="15" t="n">
        <f aca="false">IF(AK31&gt;0,Inputs!$F$258*(Inputs!$F$129*AK32/AK31*AK37/Inputs!$F$131+Inputs!$F$130*Inputs!$F$132)*Time!AK30/12,0)</f>
        <v>7012.41418733211</v>
      </c>
      <c r="AL63" s="15" t="n">
        <f aca="false">IF(AL31&gt;0,Inputs!$F$258*(Inputs!$F$129*AL32/AL31*AL37/Inputs!$F$131+Inputs!$F$130*Inputs!$F$132)*Time!AL30/12,0)</f>
        <v>7012.41418733211</v>
      </c>
      <c r="AM63" s="15" t="n">
        <f aca="false">IF(AM31&gt;0,Inputs!$F$258*(Inputs!$F$129*AM32/AM31*AM37/Inputs!$F$131+Inputs!$F$130*Inputs!$F$132)*Time!AM30/12,0)</f>
        <v>7012.41418733211</v>
      </c>
      <c r="AN63" s="15" t="n">
        <f aca="false">IF(AN31&gt;0,Inputs!$F$258*(Inputs!$F$129*AN32/AN31*AN37/Inputs!$F$131+Inputs!$F$130*Inputs!$F$132)*Time!AN30/12,0)</f>
        <v>7012.41418733211</v>
      </c>
      <c r="AO63" s="15" t="n">
        <f aca="false">IF(AO31&gt;0,Inputs!$F$258*(Inputs!$F$129*AO32/AO31*AO37/Inputs!$F$131+Inputs!$F$130*Inputs!$F$132)*Time!AO30/12,0)</f>
        <v>7012.41418733211</v>
      </c>
      <c r="AP63" s="15" t="n">
        <f aca="false">IF(AP31&gt;0,Inputs!$F$258*(Inputs!$F$129*AP32/AP31*AP37/Inputs!$F$131+Inputs!$F$130*Inputs!$F$132)*Time!AP30/12,0)</f>
        <v>7012.41418733211</v>
      </c>
      <c r="AQ63" s="15" t="n">
        <f aca="false">IF(AQ31&gt;0,Inputs!$F$258*(Inputs!$F$129*AQ32/AQ31*AQ37/Inputs!$F$131+Inputs!$F$130*Inputs!$F$132)*Time!AQ30/12,0)</f>
        <v>7012.41418733211</v>
      </c>
      <c r="AR63" s="15" t="n">
        <f aca="false">IF(AR31&gt;0,Inputs!$F$258*(Inputs!$F$129*AR32/AR31*AR37/Inputs!$F$131+Inputs!$F$130*Inputs!$F$132)*Time!AR30/12,0)</f>
        <v>7012.41418733211</v>
      </c>
      <c r="AS63" s="15" t="n">
        <f aca="false">IF(AS31&gt;0,Inputs!$F$258*(Inputs!$F$129*AS32/AS31*AS37/Inputs!$F$131+Inputs!$F$130*Inputs!$F$132)*Time!AS30/12,0)</f>
        <v>7012.41418733211</v>
      </c>
      <c r="AT63" s="15" t="n">
        <f aca="false">IF(AT31&gt;0,Inputs!$F$258*(Inputs!$F$129*AT32/AT31*AT37/Inputs!$F$131+Inputs!$F$130*Inputs!$F$132)*Time!AT30/12,0)</f>
        <v>7012.41418733211</v>
      </c>
      <c r="AU63" s="15" t="n">
        <f aca="false">IF(AU31&gt;0,Inputs!$F$258*(Inputs!$F$129*AU32/AU31*AU37/Inputs!$F$131+Inputs!$F$130*Inputs!$F$132)*Time!AU30/12,0)</f>
        <v>7012.41418733211</v>
      </c>
      <c r="AV63" s="15" t="n">
        <f aca="false">IF(AV31&gt;0,Inputs!$F$258*(Inputs!$F$129*AV32/AV31*AV37/Inputs!$F$131+Inputs!$F$130*Inputs!$F$132)*Time!AV30/12,0)</f>
        <v>7012.41418733211</v>
      </c>
      <c r="AW63" s="15" t="n">
        <f aca="false">IF(AW31&gt;0,Inputs!$F$258*(Inputs!$F$129*AW32/AW31*AW37/Inputs!$F$131+Inputs!$F$130*Inputs!$F$132)*Time!AW30/12,0)</f>
        <v>7012.41418733211</v>
      </c>
      <c r="AX63" s="15" t="n">
        <f aca="false">IF(AX31&gt;0,Inputs!$F$258*(Inputs!$F$129*AX32/AX31*AX37/Inputs!$F$131+Inputs!$F$130*Inputs!$F$132)*Time!AX30/12,0)</f>
        <v>7012.41418733211</v>
      </c>
      <c r="AY63" s="15" t="n">
        <f aca="false">IF(AY31&gt;0,Inputs!$F$258*(Inputs!$F$129*AY32/AY31*AY37/Inputs!$F$131+Inputs!$F$130*Inputs!$F$132)*Time!AY30/12,0)</f>
        <v>7012.41418733211</v>
      </c>
      <c r="AZ63" s="15" t="n">
        <f aca="false">IF(AZ31&gt;0,Inputs!$F$258*(Inputs!$F$129*AZ32/AZ31*AZ37/Inputs!$F$131+Inputs!$F$130*Inputs!$F$132)*Time!AZ30/12,0)</f>
        <v>7012.41418733211</v>
      </c>
      <c r="BA63" s="15" t="n">
        <f aca="false">IF(BA31&gt;0,Inputs!$F$258*(Inputs!$F$129*BA32/BA31*BA37/Inputs!$F$131+Inputs!$F$130*Inputs!$F$132)*Time!BA30/12,0)</f>
        <v>7012.41418733211</v>
      </c>
      <c r="BB63" s="15" t="n">
        <f aca="false">IF(BB31&gt;0,Inputs!$F$258*(Inputs!$F$129*BB32/BB31*BB37/Inputs!$F$131+Inputs!$F$130*Inputs!$F$132)*Time!BB30/12,0)</f>
        <v>7012.41418733211</v>
      </c>
      <c r="BC63" s="15" t="n">
        <f aca="false">IF(BC31&gt;0,Inputs!$F$258*(Inputs!$F$129*BC32/BC31*BC37/Inputs!$F$131+Inputs!$F$130*Inputs!$F$132)*Time!BC30/12,0)</f>
        <v>7012.41418733211</v>
      </c>
      <c r="BD63" s="15" t="n">
        <f aca="false">IF(BD31&gt;0,Inputs!$F$258*(Inputs!$F$129*BD32/BD31*BD37/Inputs!$F$131+Inputs!$F$130*Inputs!$F$132)*Time!BD30/12,0)</f>
        <v>7012.41418733211</v>
      </c>
      <c r="BE63" s="15" t="n">
        <f aca="false">IF(BE31&gt;0,Inputs!$F$258*(Inputs!$F$129*BE32/BE31*BE37/Inputs!$F$131+Inputs!$F$130*Inputs!$F$132)*Time!BE30/12,0)</f>
        <v>7012.41418733211</v>
      </c>
      <c r="BF63" s="15" t="n">
        <f aca="false">IF(BF31&gt;0,Inputs!$F$258*(Inputs!$F$129*BF32/BF31*BF37/Inputs!$F$131+Inputs!$F$130*Inputs!$F$132)*Time!BF30/12,0)</f>
        <v>7012.41418733211</v>
      </c>
      <c r="BG63" s="15" t="n">
        <f aca="false">IF(BG31&gt;0,Inputs!$F$258*(Inputs!$F$129*BG32/BG31*BG37/Inputs!$F$131+Inputs!$F$130*Inputs!$F$132)*Time!BG30/12,0)</f>
        <v>7012.41418733211</v>
      </c>
      <c r="BH63" s="15" t="n">
        <f aca="false">IF(BH31&gt;0,Inputs!$F$258*(Inputs!$F$129*BH32/BH31*BH37/Inputs!$F$131+Inputs!$F$130*Inputs!$F$132)*Time!BH30/12,0)</f>
        <v>7012.41418733211</v>
      </c>
      <c r="BI63" s="15" t="n">
        <f aca="false">IF(BI31&gt;0,Inputs!$F$258*(Inputs!$F$129*BI32/BI31*BI37/Inputs!$F$131+Inputs!$F$130*Inputs!$F$132)*Time!BI30/12,0)</f>
        <v>7012.41418733211</v>
      </c>
      <c r="BJ63" s="15" t="n">
        <f aca="false">IF(BJ31&gt;0,Inputs!$F$258*(Inputs!$F$129*BJ32/BJ31*BJ37/Inputs!$F$131+Inputs!$F$130*Inputs!$F$132)*Time!BJ30/12,0)</f>
        <v>7012.41418733211</v>
      </c>
      <c r="BK63" s="15" t="n">
        <f aca="false">IF(BK31&gt;0,Inputs!$F$258*(Inputs!$F$129*BK32/BK31*BK37/Inputs!$F$131+Inputs!$F$130*Inputs!$F$132)*Time!BK30/12,0)</f>
        <v>7012.41418733211</v>
      </c>
      <c r="BL63" s="15" t="n">
        <f aca="false">IF(BL31&gt;0,Inputs!$F$258*(Inputs!$F$129*BL32/BL31*BL37/Inputs!$F$131+Inputs!$F$130*Inputs!$F$132)*Time!BL30/12,0)</f>
        <v>7012.41418733211</v>
      </c>
      <c r="BM63" s="15" t="n">
        <f aca="false">IF(BM31&gt;0,Inputs!$F$258*(Inputs!$F$129*BM32/BM31*BM37/Inputs!$F$131+Inputs!$F$130*Inputs!$F$132)*Time!BM30/12,0)</f>
        <v>4674.94279155474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240.842906110126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1.20607006342054</v>
      </c>
      <c r="P64" s="13" t="n">
        <f aca="false">P63*Inputs!$F$156*P21/1000000</f>
        <v>3.65779397594958</v>
      </c>
      <c r="Q64" s="13" t="n">
        <f aca="false">Q63*Inputs!$F$156*Q21/1000000</f>
        <v>3.69781081444736</v>
      </c>
      <c r="R64" s="13" t="n">
        <f aca="false">R63*Inputs!$F$156*R21/1000000</f>
        <v>3.73826544342047</v>
      </c>
      <c r="S64" s="13" t="n">
        <f aca="false">S63*Inputs!$F$156*S21/1000000</f>
        <v>3.7791626523652</v>
      </c>
      <c r="T64" s="13" t="n">
        <f aca="false">T63*Inputs!$F$156*T21/1000000</f>
        <v>3.82050728317572</v>
      </c>
      <c r="U64" s="13" t="n">
        <f aca="false">U63*Inputs!$F$156*U21/1000000</f>
        <v>3.86230423071724</v>
      </c>
      <c r="V64" s="13" t="n">
        <f aca="false">V63*Inputs!$F$156*V21/1000000</f>
        <v>3.90455844340558</v>
      </c>
      <c r="W64" s="13" t="n">
        <f aca="false">W63*Inputs!$F$156*W21/1000000</f>
        <v>3.94727492379301</v>
      </c>
      <c r="X64" s="13" t="n">
        <f aca="false">X63*Inputs!$F$156*X21/1000000</f>
        <v>3.9904587291605</v>
      </c>
      <c r="Y64" s="13" t="n">
        <f aca="false">Y63*Inputs!$F$156*Y21/1000000</f>
        <v>4.03411497211646</v>
      </c>
      <c r="Z64" s="13" t="n">
        <f aca="false">Z63*Inputs!$F$156*Z21/1000000</f>
        <v>4.07824882120203</v>
      </c>
      <c r="AA64" s="13" t="n">
        <f aca="false">AA63*Inputs!$F$156*AA21/1000000</f>
        <v>4.12286550150302</v>
      </c>
      <c r="AB64" s="13" t="n">
        <f aca="false">AB63*Inputs!$F$156*AB21/1000000</f>
        <v>4.16797029526848</v>
      </c>
      <c r="AC64" s="13" t="n">
        <f aca="false">AC63*Inputs!$F$156*AC21/1000000</f>
        <v>4.21356854253609</v>
      </c>
      <c r="AD64" s="13" t="n">
        <f aca="false">AD63*Inputs!$F$156*AD21/1000000</f>
        <v>4.25966564176438</v>
      </c>
      <c r="AE64" s="13" t="n">
        <f aca="false">AE63*Inputs!$F$156*AE21/1000000</f>
        <v>4.30626705047188</v>
      </c>
      <c r="AF64" s="13" t="n">
        <f aca="false">AF63*Inputs!$F$156*AF21/1000000</f>
        <v>4.3533782858832</v>
      </c>
      <c r="AG64" s="13" t="n">
        <f aca="false">AG63*Inputs!$F$156*AG21/1000000</f>
        <v>4.40100492558226</v>
      </c>
      <c r="AH64" s="13" t="n">
        <f aca="false">AH63*Inputs!$F$156*AH21/1000000</f>
        <v>4.44915260817263</v>
      </c>
      <c r="AI64" s="13" t="n">
        <f aca="false">AI63*Inputs!$F$156*AI21/1000000</f>
        <v>4.49782703394507</v>
      </c>
      <c r="AJ64" s="13" t="n">
        <f aca="false">AJ63*Inputs!$F$156*AJ21/1000000</f>
        <v>4.54703396555242</v>
      </c>
      <c r="AK64" s="13" t="n">
        <f aca="false">AK63*Inputs!$F$156*AK21/1000000</f>
        <v>4.59677922869186</v>
      </c>
      <c r="AL64" s="13" t="n">
        <f aca="false">AL63*Inputs!$F$156*AL21/1000000</f>
        <v>4.64706871279458</v>
      </c>
      <c r="AM64" s="13" t="n">
        <f aca="false">AM63*Inputs!$F$156*AM21/1000000</f>
        <v>4.69790837172308</v>
      </c>
      <c r="AN64" s="13" t="n">
        <f aca="false">AN63*Inputs!$F$156*AN21/1000000</f>
        <v>4.74930422447606</v>
      </c>
      <c r="AO64" s="13" t="n">
        <f aca="false">AO63*Inputs!$F$156*AO21/1000000</f>
        <v>4.80126235590099</v>
      </c>
      <c r="AP64" s="13" t="n">
        <f aca="false">AP63*Inputs!$F$156*AP21/1000000</f>
        <v>4.85378891741453</v>
      </c>
      <c r="AQ64" s="13" t="n">
        <f aca="false">AQ63*Inputs!$F$156*AQ21/1000000</f>
        <v>4.90689012773081</v>
      </c>
      <c r="AR64" s="13" t="n">
        <f aca="false">AR63*Inputs!$F$156*AR21/1000000</f>
        <v>4.96057227359765</v>
      </c>
      <c r="AS64" s="13" t="n">
        <f aca="false">AS63*Inputs!$F$156*AS21/1000000</f>
        <v>5.01484171054088</v>
      </c>
      <c r="AT64" s="13" t="n">
        <f aca="false">AT63*Inputs!$F$156*AT21/1000000</f>
        <v>5.0697048636168</v>
      </c>
      <c r="AU64" s="13" t="n">
        <f aca="false">AU63*Inputs!$F$156*AU21/1000000</f>
        <v>5.12516822817279</v>
      </c>
      <c r="AV64" s="13" t="n">
        <f aca="false">AV63*Inputs!$F$156*AV21/1000000</f>
        <v>5.18123837061637</v>
      </c>
      <c r="AW64" s="13" t="n">
        <f aca="false">AW63*Inputs!$F$156*AW21/1000000</f>
        <v>5.23792192919258</v>
      </c>
      <c r="AX64" s="13" t="n">
        <f aca="false">AX63*Inputs!$F$156*AX21/1000000</f>
        <v>5.29522561476992</v>
      </c>
      <c r="AY64" s="13" t="n">
        <f aca="false">AY63*Inputs!$F$156*AY21/1000000</f>
        <v>5.35315621163482</v>
      </c>
      <c r="AZ64" s="13" t="n">
        <f aca="false">AZ63*Inputs!$F$156*AZ21/1000000</f>
        <v>5.41172057829486</v>
      </c>
      <c r="BA64" s="13" t="n">
        <f aca="false">BA63*Inputs!$F$156*BA21/1000000</f>
        <v>5.47092564829078</v>
      </c>
      <c r="BB64" s="13" t="n">
        <f aca="false">BB63*Inputs!$F$156*BB21/1000000</f>
        <v>5.53077843101735</v>
      </c>
      <c r="BC64" s="13" t="n">
        <f aca="false">BC63*Inputs!$F$156*BC21/1000000</f>
        <v>5.59128601255318</v>
      </c>
      <c r="BD64" s="13" t="n">
        <f aca="false">BD63*Inputs!$F$156*BD21/1000000</f>
        <v>5.65245555649973</v>
      </c>
      <c r="BE64" s="13" t="n">
        <f aca="false">BE63*Inputs!$F$156*BE21/1000000</f>
        <v>5.71429430482935</v>
      </c>
      <c r="BF64" s="13" t="n">
        <f aca="false">BF63*Inputs!$F$156*BF21/1000000</f>
        <v>5.77680957874272</v>
      </c>
      <c r="BG64" s="13" t="n">
        <f aca="false">BG63*Inputs!$F$156*BG21/1000000</f>
        <v>5.84000877953559</v>
      </c>
      <c r="BH64" s="13" t="n">
        <f aca="false">BH63*Inputs!$F$156*BH21/1000000</f>
        <v>5.90389938947506</v>
      </c>
      <c r="BI64" s="13" t="n">
        <f aca="false">BI63*Inputs!$F$156*BI21/1000000</f>
        <v>5.96848897268538</v>
      </c>
      <c r="BJ64" s="13" t="n">
        <f aca="false">BJ63*Inputs!$F$156*BJ21/1000000</f>
        <v>6.03378517604351</v>
      </c>
      <c r="BK64" s="13" t="n">
        <f aca="false">BK63*Inputs!$F$156*BK21/1000000</f>
        <v>6.09979573008445</v>
      </c>
      <c r="BL64" s="13" t="n">
        <f aca="false">BL63*Inputs!$F$156*BL21/1000000</f>
        <v>6.16652844991646</v>
      </c>
      <c r="BM64" s="13" t="n">
        <f aca="false">BM63*Inputs!$F$156*BM21/1000000</f>
        <v>4.15599415743087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169.793803447671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0.594325849771651</v>
      </c>
      <c r="P66" s="13" t="n">
        <f aca="false">Inputs!$F$159*(Inputs!$F$218*P21+(1-Inputs!$F$218)*P27*Inputs!$F$153/P11)*Time!P30/12*Inputs!$F$40</f>
        <v>1.8219397374573</v>
      </c>
      <c r="Q66" s="13" t="n">
        <f aca="false">Inputs!$F$159*(Inputs!$F$218*Q21+(1-Inputs!$F$218)*Q27*Inputs!$F$153/Q11)*Time!Q30/12*Inputs!$F$40</f>
        <v>1.86194418529884</v>
      </c>
      <c r="R66" s="13" t="n">
        <f aca="false">Inputs!$F$159*(Inputs!$F$218*R21+(1-Inputs!$F$218)*R27*Inputs!$F$153/R11)*Time!R30/12*Inputs!$F$40</f>
        <v>1.90302179893816</v>
      </c>
      <c r="S66" s="13" t="n">
        <f aca="false">Inputs!$F$159*(Inputs!$F$218*S21+(1-Inputs!$F$218)*S27*Inputs!$F$153/S11)*Time!S30/12*Inputs!$F$40</f>
        <v>1.94520444010193</v>
      </c>
      <c r="T66" s="13" t="n">
        <f aca="false">Inputs!$F$159*(Inputs!$F$218*T21+(1-Inputs!$F$218)*T27*Inputs!$F$153/T11)*Time!T30/12*Inputs!$F$40</f>
        <v>1.98852495615083</v>
      </c>
      <c r="U66" s="13" t="n">
        <f aca="false">Inputs!$F$159*(Inputs!$F$218*U21+(1-Inputs!$F$218)*U27*Inputs!$F$153/U11)*Time!U30/12*Inputs!$F$40</f>
        <v>2.03301721103277</v>
      </c>
      <c r="V66" s="13" t="n">
        <f aca="false">Inputs!$F$159*(Inputs!$F$218*V21+(1-Inputs!$F$218)*V27*Inputs!$F$153/V11)*Time!V30/12*Inputs!$F$40</f>
        <v>2.0787161172134</v>
      </c>
      <c r="W66" s="13" t="n">
        <f aca="false">Inputs!$F$159*(Inputs!$F$218*W21+(1-Inputs!$F$218)*W27*Inputs!$F$153/W11)*Time!W30/12*Inputs!$F$40</f>
        <v>2.12565766861465</v>
      </c>
      <c r="X66" s="13" t="n">
        <f aca="false">Inputs!$F$159*(Inputs!$F$218*X21+(1-Inputs!$F$218)*X27*Inputs!$F$153/X11)*Time!X30/12*Inputs!$F$40</f>
        <v>2.1738789745935</v>
      </c>
      <c r="Y66" s="13" t="n">
        <f aca="false">Inputs!$F$159*(Inputs!$F$218*Y21+(1-Inputs!$F$218)*Y27*Inputs!$F$153/Y11)*Time!Y30/12*Inputs!$F$40</f>
        <v>2.22341829499353</v>
      </c>
      <c r="Z66" s="13" t="n">
        <f aca="false">Inputs!$F$159*(Inputs!$F$218*Z21+(1-Inputs!$F$218)*Z27*Inputs!$F$153/Z11)*Time!Z30/12*Inputs!$F$40</f>
        <v>2.27431507630349</v>
      </c>
      <c r="AA66" s="13" t="n">
        <f aca="false">Inputs!$F$159*(Inputs!$F$218*AA21+(1-Inputs!$F$218)*AA27*Inputs!$F$153/AA11)*Time!AA30/12*Inputs!$F$40</f>
        <v>2.32660998895765</v>
      </c>
      <c r="AB66" s="13" t="n">
        <f aca="false">Inputs!$F$159*(Inputs!$F$218*AB21+(1-Inputs!$F$218)*AB27*Inputs!$F$153/AB11)*Time!AB30/12*Inputs!$F$40</f>
        <v>2.3803449658143</v>
      </c>
      <c r="AC66" s="13" t="n">
        <f aca="false">Inputs!$F$159*(Inputs!$F$218*AC21+(1-Inputs!$F$218)*AC27*Inputs!$F$153/AC11)*Time!AC30/12*Inputs!$F$40</f>
        <v>2.43556324184942</v>
      </c>
      <c r="AD66" s="13" t="n">
        <f aca="false">Inputs!$F$159*(Inputs!$F$218*AD21+(1-Inputs!$F$218)*AD27*Inputs!$F$153/AD11)*Time!AD30/12*Inputs!$F$40</f>
        <v>2.4923093951042</v>
      </c>
      <c r="AE66" s="13" t="n">
        <f aca="false">Inputs!$F$159*(Inputs!$F$218*AE21+(1-Inputs!$F$218)*AE27*Inputs!$F$153/AE11)*Time!AE30/12*Inputs!$F$40</f>
        <v>2.55062938892582</v>
      </c>
      <c r="AF66" s="13" t="n">
        <f aca="false">Inputs!$F$159*(Inputs!$F$218*AF21+(1-Inputs!$F$218)*AF27*Inputs!$F$153/AF11)*Time!AF30/12*Inputs!$F$40</f>
        <v>2.61057061554265</v>
      </c>
      <c r="AG66" s="13" t="n">
        <f aca="false">Inputs!$F$159*(Inputs!$F$218*AG21+(1-Inputs!$F$218)*AG27*Inputs!$F$153/AG11)*Time!AG30/12*Inputs!$F$40</f>
        <v>2.67218194101597</v>
      </c>
      <c r="AH66" s="13" t="n">
        <f aca="false">Inputs!$F$159*(Inputs!$F$218*AH21+(1-Inputs!$F$218)*AH27*Inputs!$F$153/AH11)*Time!AH30/12*Inputs!$F$40</f>
        <v>2.73551375161168</v>
      </c>
      <c r="AI66" s="13" t="n">
        <f aca="false">Inputs!$F$159*(Inputs!$F$218*AI21+(1-Inputs!$F$218)*AI27*Inputs!$F$153/AI11)*Time!AI30/12*Inputs!$F$40</f>
        <v>2.8006180016371</v>
      </c>
      <c r="AJ66" s="13" t="n">
        <f aca="false">Inputs!$F$159*(Inputs!$F$218*AJ21+(1-Inputs!$F$218)*AJ27*Inputs!$F$153/AJ11)*Time!AJ30/12*Inputs!$F$40</f>
        <v>2.86754826278908</v>
      </c>
      <c r="AK66" s="13" t="n">
        <f aca="false">Inputs!$F$159*(Inputs!$F$218*AK21+(1-Inputs!$F$218)*AK27*Inputs!$F$153/AK11)*Time!AK30/12*Inputs!$F$40</f>
        <v>2.93635977506125</v>
      </c>
      <c r="AL66" s="13" t="n">
        <f aca="false">Inputs!$F$159*(Inputs!$F$218*AL21+(1-Inputs!$F$218)*AL27*Inputs!$F$153/AL11)*Time!AL30/12*Inputs!$F$40</f>
        <v>3.00710949925983</v>
      </c>
      <c r="AM66" s="13" t="n">
        <f aca="false">Inputs!$F$159*(Inputs!$F$218*AM21+(1-Inputs!$F$218)*AM27*Inputs!$F$153/AM11)*Time!AM30/12*Inputs!$F$40</f>
        <v>3.07985617117878</v>
      </c>
      <c r="AN66" s="13" t="n">
        <f aca="false">Inputs!$F$159*(Inputs!$F$218*AN21+(1-Inputs!$F$218)*AN27*Inputs!$F$153/AN11)*Time!AN30/12*Inputs!$F$40</f>
        <v>3.15466035748683</v>
      </c>
      <c r="AO66" s="13" t="n">
        <f aca="false">Inputs!$F$159*(Inputs!$F$218*AO21+(1-Inputs!$F$218)*AO27*Inputs!$F$153/AO11)*Time!AO30/12*Inputs!$F$40</f>
        <v>3.23158451338059</v>
      </c>
      <c r="AP66" s="13" t="n">
        <f aca="false">Inputs!$F$159*(Inputs!$F$218*AP21+(1-Inputs!$F$218)*AP27*Inputs!$F$153/AP11)*Time!AP30/12*Inputs!$F$40</f>
        <v>3.31069304205958</v>
      </c>
      <c r="AQ66" s="13" t="n">
        <f aca="false">Inputs!$F$159*(Inputs!$F$218*AQ21+(1-Inputs!$F$218)*AQ27*Inputs!$F$153/AQ11)*Time!AQ30/12*Inputs!$F$40</f>
        <v>3.39205235608084</v>
      </c>
      <c r="AR66" s="13" t="n">
        <f aca="false">Inputs!$F$159*(Inputs!$F$218*AR21+(1-Inputs!$F$218)*AR27*Inputs!$F$153/AR11)*Time!AR30/12*Inputs!$F$40</f>
        <v>3.47573094065257</v>
      </c>
      <c r="AS66" s="13" t="n">
        <f aca="false">Inputs!$F$159*(Inputs!$F$218*AS21+(1-Inputs!$F$218)*AS27*Inputs!$F$153/AS11)*Time!AS30/12*Inputs!$F$40</f>
        <v>3.56179941892818</v>
      </c>
      <c r="AT66" s="13" t="n">
        <f aca="false">Inputs!$F$159*(Inputs!$F$218*AT21+(1-Inputs!$F$218)*AT27*Inputs!$F$153/AT11)*Time!AT30/12*Inputs!$F$40</f>
        <v>3.65033061936407</v>
      </c>
      <c r="AU66" s="13" t="n">
        <f aca="false">Inputs!$F$159*(Inputs!$F$218*AU21+(1-Inputs!$F$218)*AU27*Inputs!$F$153/AU11)*Time!AU30/12*Inputs!$F$40</f>
        <v>3.74139964520639</v>
      </c>
      <c r="AV66" s="13" t="n">
        <f aca="false">Inputs!$F$159*(Inputs!$F$218*AV21+(1-Inputs!$F$218)*AV27*Inputs!$F$153/AV11)*Time!AV30/12*Inputs!$F$40</f>
        <v>3.83508394617413</v>
      </c>
      <c r="AW66" s="13" t="n">
        <f aca="false">Inputs!$F$159*(Inputs!$F$218*AW21+(1-Inputs!$F$218)*AW27*Inputs!$F$153/AW11)*Time!AW30/12*Inputs!$F$40</f>
        <v>3.93146339240812</v>
      </c>
      <c r="AX66" s="13" t="n">
        <f aca="false">Inputs!$F$159*(Inputs!$F$218*AX21+(1-Inputs!$F$218)*AX27*Inputs!$F$153/AX11)*Time!AX30/12*Inputs!$F$40</f>
        <v>4.03062035075761</v>
      </c>
      <c r="AY66" s="13" t="n">
        <f aca="false">Inputs!$F$159*(Inputs!$F$218*AY21+(1-Inputs!$F$218)*AY27*Inputs!$F$153/AY11)*Time!AY30/12*Inputs!$F$40</f>
        <v>4.13263976347833</v>
      </c>
      <c r="AZ66" s="13" t="n">
        <f aca="false">Inputs!$F$159*(Inputs!$F$218*AZ21+(1-Inputs!$F$218)*AZ27*Inputs!$F$153/AZ11)*Time!AZ30/12*Inputs!$F$40</f>
        <v>4.23760922941844</v>
      </c>
      <c r="BA66" s="13" t="n">
        <f aca="false">Inputs!$F$159*(Inputs!$F$218*BA21+(1-Inputs!$F$218)*BA27*Inputs!$F$153/BA11)*Time!BA30/12*Inputs!$F$40</f>
        <v>4.34561908777105</v>
      </c>
      <c r="BB66" s="13" t="n">
        <f aca="false">Inputs!$F$159*(Inputs!$F$218*BB21+(1-Inputs!$F$218)*BB27*Inputs!$F$153/BB11)*Time!BB30/12*Inputs!$F$40</f>
        <v>4.4567625044745</v>
      </c>
      <c r="BC66" s="13" t="n">
        <f aca="false">Inputs!$F$159*(Inputs!$F$218*BC21+(1-Inputs!$F$218)*BC27*Inputs!$F$153/BC11)*Time!BC30/12*Inputs!$F$40</f>
        <v>4.57113556134428</v>
      </c>
      <c r="BD66" s="13" t="n">
        <f aca="false">Inputs!$F$159*(Inputs!$F$218*BD21+(1-Inputs!$F$218)*BD27*Inputs!$F$153/BD11)*Time!BD30/12*Inputs!$F$40</f>
        <v>4.68883734802288</v>
      </c>
      <c r="BE66" s="13" t="n">
        <f aca="false">Inputs!$F$159*(Inputs!$F$218*BE21+(1-Inputs!$F$218)*BE27*Inputs!$F$153/BE11)*Time!BE30/12*Inputs!$F$40</f>
        <v>4.80997005683695</v>
      </c>
      <c r="BF66" s="13" t="n">
        <f aca="false">Inputs!$F$159*(Inputs!$F$218*BF21+(1-Inputs!$F$218)*BF27*Inputs!$F$153/BF11)*Time!BF30/12*Inputs!$F$40</f>
        <v>4.93463908065359</v>
      </c>
      <c r="BG66" s="13" t="n">
        <f aca="false">Inputs!$F$159*(Inputs!$F$218*BG21+(1-Inputs!$F$218)*BG27*Inputs!$F$153/BG11)*Time!BG30/12*Inputs!$F$40</f>
        <v>5.06295311383078</v>
      </c>
      <c r="BH66" s="13" t="n">
        <f aca="false">Inputs!$F$159*(Inputs!$F$218*BH21+(1-Inputs!$F$218)*BH27*Inputs!$F$153/BH11)*Time!BH30/12*Inputs!$F$40</f>
        <v>5.19502425635987</v>
      </c>
      <c r="BI66" s="13" t="n">
        <f aca="false">Inputs!$F$159*(Inputs!$F$218*BI21+(1-Inputs!$F$218)*BI27*Inputs!$F$153/BI11)*Time!BI30/12*Inputs!$F$40</f>
        <v>5.33096812130106</v>
      </c>
      <c r="BJ66" s="13" t="n">
        <f aca="false">Inputs!$F$159*(Inputs!$F$218*BJ21+(1-Inputs!$F$218)*BJ27*Inputs!$F$153/BJ11)*Time!BJ30/12*Inputs!$F$40</f>
        <v>5.4709039456162</v>
      </c>
      <c r="BK66" s="13" t="n">
        <f aca="false">Inputs!$F$159*(Inputs!$F$218*BK21+(1-Inputs!$F$218)*BK27*Inputs!$F$153/BK11)*Time!BK30/12*Inputs!$F$40</f>
        <v>5.61495470450641</v>
      </c>
      <c r="BL66" s="13" t="n">
        <f aca="false">Inputs!$F$159*(Inputs!$F$218*BL21+(1-Inputs!$F$218)*BL27*Inputs!$F$153/BL11)*Time!BL30/12*Inputs!$F$40</f>
        <v>5.76324722936529</v>
      </c>
      <c r="BM66" s="13" t="n">
        <f aca="false">Inputs!$F$159*(Inputs!$F$218*BM21+(1-Inputs!$F$218)*BM27*Inputs!$F$153/BM11)*Time!BM30/12*Inputs!$F$40</f>
        <v>3.94394155297494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50.8805340808893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0.140168032938453</v>
      </c>
      <c r="P67" s="13" t="n">
        <f aca="false">Inputs!$F$160*P27/P11*Time!P30/12*Inputs!$F$40</f>
        <v>0.433817821341188</v>
      </c>
      <c r="Q67" s="13" t="n">
        <f aca="false">Inputs!$F$160*Q27/Q11*Time!Q30/12*Inputs!$F$40</f>
        <v>0.447553074139834</v>
      </c>
      <c r="R67" s="13" t="n">
        <f aca="false">Inputs!$F$160*R27/R11*Time!R30/12*Inputs!$F$40</f>
        <v>0.461723203423866</v>
      </c>
      <c r="S67" s="13" t="n">
        <f aca="false">Inputs!$F$160*S27/S11*Time!S30/12*Inputs!$F$40</f>
        <v>0.476341977964804</v>
      </c>
      <c r="T67" s="13" t="n">
        <f aca="false">Inputs!$F$160*T27/T11*Time!T30/12*Inputs!$F$40</f>
        <v>0.491423602471899</v>
      </c>
      <c r="U67" s="13" t="n">
        <f aca="false">Inputs!$F$160*U27/U11*Time!U30/12*Inputs!$F$40</f>
        <v>0.506982731394508</v>
      </c>
      <c r="V67" s="13" t="n">
        <f aca="false">Inputs!$F$160*V27/V11*Time!V30/12*Inputs!$F$40</f>
        <v>0.523034483161467</v>
      </c>
      <c r="W67" s="13" t="n">
        <f aca="false">Inputs!$F$160*W27/W11*Time!W30/12*Inputs!$F$40</f>
        <v>0.539594454871301</v>
      </c>
      <c r="X67" s="13" t="n">
        <f aca="false">Inputs!$F$160*X27/X11*Time!X30/12*Inputs!$F$40</f>
        <v>0.556678737447549</v>
      </c>
      <c r="Y67" s="13" t="n">
        <f aca="false">Inputs!$F$160*Y27/Y11*Time!Y30/12*Inputs!$F$40</f>
        <v>0.574303931273922</v>
      </c>
      <c r="Z67" s="13" t="n">
        <f aca="false">Inputs!$F$160*Z27/Z11*Time!Z30/12*Inputs!$F$40</f>
        <v>0.592487162324497</v>
      </c>
      <c r="AA67" s="13" t="n">
        <f aca="false">Inputs!$F$160*AA27/AA11*Time!AA30/12*Inputs!$F$40</f>
        <v>0.611246098804608</v>
      </c>
      <c r="AB67" s="13" t="n">
        <f aca="false">Inputs!$F$160*AB27/AB11*Time!AB30/12*Inputs!$F$40</f>
        <v>0.630598968318617</v>
      </c>
      <c r="AC67" s="13" t="n">
        <f aca="false">Inputs!$F$160*AC27/AC11*Time!AC30/12*Inputs!$F$40</f>
        <v>0.650564575581232</v>
      </c>
      <c r="AD67" s="13" t="n">
        <f aca="false">Inputs!$F$160*AD27/AD11*Time!AD30/12*Inputs!$F$40</f>
        <v>0.671162320689598</v>
      </c>
      <c r="AE67" s="13" t="n">
        <f aca="false">Inputs!$F$160*AE27/AE11*Time!AE30/12*Inputs!$F$40</f>
        <v>0.692412217973895</v>
      </c>
      <c r="AF67" s="13" t="n">
        <f aca="false">Inputs!$F$160*AF27/AF11*Time!AF30/12*Inputs!$F$40</f>
        <v>0.714334915444783</v>
      </c>
      <c r="AG67" s="13" t="n">
        <f aca="false">Inputs!$F$160*AG27/AG11*Time!AG30/12*Inputs!$F$40</f>
        <v>0.736951714856573</v>
      </c>
      <c r="AH67" s="13" t="n">
        <f aca="false">Inputs!$F$160*AH27/AH11*Time!AH30/12*Inputs!$F$40</f>
        <v>0.760284592405627</v>
      </c>
      <c r="AI67" s="13" t="n">
        <f aca="false">Inputs!$F$160*AI27/AI11*Time!AI30/12*Inputs!$F$40</f>
        <v>0.784356220084089</v>
      </c>
      <c r="AJ67" s="13" t="n">
        <f aca="false">Inputs!$F$160*AJ27/AJ11*Time!AJ30/12*Inputs!$F$40</f>
        <v>0.809189987709723</v>
      </c>
      <c r="AK67" s="13" t="n">
        <f aca="false">Inputs!$F$160*AK27/AK11*Time!AK30/12*Inputs!$F$40</f>
        <v>0.83481002565322</v>
      </c>
      <c r="AL67" s="13" t="n">
        <f aca="false">Inputs!$F$160*AL27/AL11*Time!AL30/12*Inputs!$F$40</f>
        <v>0.861241228285104</v>
      </c>
      <c r="AM67" s="13" t="n">
        <f aca="false">Inputs!$F$160*AM27/AM11*Time!AM30/12*Inputs!$F$40</f>
        <v>0.888509278164984</v>
      </c>
      <c r="AN67" s="13" t="n">
        <f aca="false">Inputs!$F$160*AN27/AN11*Time!AN30/12*Inputs!$F$40</f>
        <v>0.916640670996678</v>
      </c>
      <c r="AO67" s="13" t="n">
        <f aca="false">Inputs!$F$160*AO27/AO11*Time!AO30/12*Inputs!$F$40</f>
        <v>0.945662741373446</v>
      </c>
      <c r="AP67" s="13" t="n">
        <f aca="false">Inputs!$F$160*AP27/AP11*Time!AP30/12*Inputs!$F$40</f>
        <v>0.975603689338352</v>
      </c>
      <c r="AQ67" s="13" t="n">
        <f aca="false">Inputs!$F$160*AQ27/AQ11*Time!AQ30/12*Inputs!$F$40</f>
        <v>1.00649260778556</v>
      </c>
      <c r="AR67" s="13" t="n">
        <f aca="false">Inputs!$F$160*AR27/AR11*Time!AR30/12*Inputs!$F$40</f>
        <v>1.03835951072921</v>
      </c>
      <c r="AS67" s="13" t="n">
        <f aca="false">Inputs!$F$160*AS27/AS11*Time!AS30/12*Inputs!$F$40</f>
        <v>1.07123536246727</v>
      </c>
      <c r="AT67" s="13" t="n">
        <f aca="false">Inputs!$F$160*AT27/AT11*Time!AT30/12*Inputs!$F$40</f>
        <v>1.10515210766886</v>
      </c>
      <c r="AU67" s="13" t="n">
        <f aca="false">Inputs!$F$160*AU27/AU11*Time!AU30/12*Inputs!$F$40</f>
        <v>1.14014270241405</v>
      </c>
      <c r="AV67" s="13" t="n">
        <f aca="false">Inputs!$F$160*AV27/AV11*Time!AV30/12*Inputs!$F$40</f>
        <v>1.1762411462165</v>
      </c>
      <c r="AW67" s="13" t="n">
        <f aca="false">Inputs!$F$160*AW27/AW11*Time!AW30/12*Inputs!$F$40</f>
        <v>1.21348251506001</v>
      </c>
      <c r="AX67" s="13" t="n">
        <f aca="false">Inputs!$F$160*AX27/AX11*Time!AX30/12*Inputs!$F$40</f>
        <v>1.25190299548093</v>
      </c>
      <c r="AY67" s="13" t="n">
        <f aca="false">Inputs!$F$160*AY27/AY11*Time!AY30/12*Inputs!$F$40</f>
        <v>1.29153991972981</v>
      </c>
      <c r="AZ67" s="13" t="n">
        <f aca="false">Inputs!$F$160*AZ27/AZ11*Time!AZ30/12*Inputs!$F$40</f>
        <v>1.33243180204619</v>
      </c>
      <c r="BA67" s="13" t="n">
        <f aca="false">Inputs!$F$160*BA27/BA11*Time!BA30/12*Inputs!$F$40</f>
        <v>1.37461837608199</v>
      </c>
      <c r="BB67" s="13" t="n">
        <f aca="false">Inputs!$F$160*BB27/BB11*Time!BB30/12*Inputs!$F$40</f>
        <v>1.41814063350972</v>
      </c>
      <c r="BC67" s="13" t="n">
        <f aca="false">Inputs!$F$160*BC27/BC11*Time!BC30/12*Inputs!$F$40</f>
        <v>1.46304086385312</v>
      </c>
      <c r="BD67" s="13" t="n">
        <f aca="false">Inputs!$F$160*BD27/BD11*Time!BD30/12*Inputs!$F$40</f>
        <v>1.50936269557881</v>
      </c>
      <c r="BE67" s="13" t="n">
        <f aca="false">Inputs!$F$160*BE27/BE11*Time!BE30/12*Inputs!$F$40</f>
        <v>1.55715113848908</v>
      </c>
      <c r="BF67" s="13" t="n">
        <f aca="false">Inputs!$F$160*BF27/BF11*Time!BF30/12*Inputs!$F$40</f>
        <v>1.60645262745679</v>
      </c>
      <c r="BG67" s="13" t="n">
        <f aca="false">Inputs!$F$160*BG27/BG11*Time!BG30/12*Inputs!$F$40</f>
        <v>1.65731506754501</v>
      </c>
      <c r="BH67" s="13" t="n">
        <f aca="false">Inputs!$F$160*BH27/BH11*Time!BH30/12*Inputs!$F$40</f>
        <v>1.70978788055522</v>
      </c>
      <c r="BI67" s="13" t="n">
        <f aca="false">Inputs!$F$160*BI27/BI11*Time!BI30/12*Inputs!$F$40</f>
        <v>1.7639220530493</v>
      </c>
      <c r="BJ67" s="13" t="n">
        <f aca="false">Inputs!$F$160*BJ27/BJ11*Time!BJ30/12*Inputs!$F$40</f>
        <v>1.81977018589187</v>
      </c>
      <c r="BK67" s="13" t="n">
        <f aca="false">Inputs!$F$160*BK27/BK11*Time!BK30/12*Inputs!$F$40</f>
        <v>1.87738654536136</v>
      </c>
      <c r="BL67" s="13" t="n">
        <f aca="false">Inputs!$F$160*BL27/BL11*Time!BL30/12*Inputs!$F$40</f>
        <v>1.93682711587918</v>
      </c>
      <c r="BM67" s="13" t="n">
        <f aca="false">Inputs!$F$160*BM27/BM11*Time!BM30/12*Inputs!$F$40</f>
        <v>1.33209976960562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22.392228964664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0.122885999207326</v>
      </c>
      <c r="P68" s="13" t="n">
        <f aca="false">Inputs!$F$161/100*P55</f>
        <v>0.370867785932935</v>
      </c>
      <c r="Q68" s="13" t="n">
        <f aca="false">Inputs!$F$161/100*Q55</f>
        <v>0.372983531632716</v>
      </c>
      <c r="R68" s="13" t="n">
        <f aca="false">Inputs!$F$161/100*R55</f>
        <v>0.37500864671107</v>
      </c>
      <c r="S68" s="13" t="n">
        <f aca="false">Inputs!$F$161/100*S55</f>
        <v>0.377616277747879</v>
      </c>
      <c r="T68" s="13" t="n">
        <f aca="false">Inputs!$F$161/100*T55</f>
        <v>0.380564328964491</v>
      </c>
      <c r="U68" s="13" t="n">
        <f aca="false">Inputs!$F$161/100*U55</f>
        <v>0.382690801409842</v>
      </c>
      <c r="V68" s="13" t="n">
        <f aca="false">Inputs!$F$161/100*V55</f>
        <v>0.384539677544256</v>
      </c>
      <c r="W68" s="13" t="n">
        <f aca="false">Inputs!$F$161/100*W55</f>
        <v>0.387452537261977</v>
      </c>
      <c r="X68" s="13" t="n">
        <f aca="false">Inputs!$F$161/100*X55</f>
        <v>0.390829036569209</v>
      </c>
      <c r="Y68" s="13" t="n">
        <f aca="false">Inputs!$F$161/100*Y55</f>
        <v>0.393536743826231</v>
      </c>
      <c r="Z68" s="13" t="n">
        <f aca="false">Inputs!$F$161/100*Z55</f>
        <v>0.396363329673312</v>
      </c>
      <c r="AA68" s="13" t="n">
        <f aca="false">Inputs!$F$161/100*AA55</f>
        <v>0.398957040725717</v>
      </c>
      <c r="AB68" s="13" t="n">
        <f aca="false">Inputs!$F$161/100*AB55</f>
        <v>0.401432062615195</v>
      </c>
      <c r="AC68" s="13" t="n">
        <f aca="false">Inputs!$F$161/100*AC55</f>
        <v>0.403275925603571</v>
      </c>
      <c r="AD68" s="13" t="n">
        <f aca="false">Inputs!$F$161/100*AD55</f>
        <v>0.396639726162502</v>
      </c>
      <c r="AE68" s="13" t="n">
        <f aca="false">Inputs!$F$161/100*AE55</f>
        <v>0.408003369348317</v>
      </c>
      <c r="AF68" s="13" t="n">
        <f aca="false">Inputs!$F$161/100*AF55</f>
        <v>0.412990306647095</v>
      </c>
      <c r="AG68" s="13" t="n">
        <f aca="false">Inputs!$F$161/100*AG55</f>
        <v>0.415689018339542</v>
      </c>
      <c r="AH68" s="13" t="n">
        <f aca="false">Inputs!$F$161/100*AH55</f>
        <v>0.418014444577964</v>
      </c>
      <c r="AI68" s="13" t="n">
        <f aca="false">Inputs!$F$161/100*AI55</f>
        <v>0.421622057922819</v>
      </c>
      <c r="AJ68" s="13" t="n">
        <f aca="false">Inputs!$F$161/100*AJ55</f>
        <v>0.425699957344553</v>
      </c>
      <c r="AK68" s="13" t="n">
        <f aca="false">Inputs!$F$161/100*AK55</f>
        <v>0.428143998118323</v>
      </c>
      <c r="AL68" s="13" t="n">
        <f aca="false">Inputs!$F$161/100*AL55</f>
        <v>0.423550336736121</v>
      </c>
      <c r="AM68" s="13" t="n">
        <f aca="false">Inputs!$F$161/100*AM55</f>
        <v>0.434284994936832</v>
      </c>
      <c r="AN68" s="13" t="n">
        <f aca="false">Inputs!$F$161/100*AN55</f>
        <v>0.44018665499099</v>
      </c>
      <c r="AO68" s="13" t="n">
        <f aca="false">Inputs!$F$161/100*AO55</f>
        <v>0.443459172135993</v>
      </c>
      <c r="AP68" s="13" t="n">
        <f aca="false">Inputs!$F$161/100*AP55</f>
        <v>0.446350679373147</v>
      </c>
      <c r="AQ68" s="13" t="n">
        <f aca="false">Inputs!$F$161/100*AQ55</f>
        <v>0.450628434095258</v>
      </c>
      <c r="AR68" s="13" t="n">
        <f aca="false">Inputs!$F$161/100*AR55</f>
        <v>0.455441818785037</v>
      </c>
      <c r="AS68" s="13" t="n">
        <f aca="false">Inputs!$F$161/100*AS55</f>
        <v>0.458408303648014</v>
      </c>
      <c r="AT68" s="13" t="n">
        <f aca="false">Inputs!$F$161/100*AT55</f>
        <v>0.456995666671729</v>
      </c>
      <c r="AU68" s="13" t="n">
        <f aca="false">Inputs!$F$161/100*AU55</f>
        <v>0.46518278589438</v>
      </c>
      <c r="AV68" s="13" t="n">
        <f aca="false">Inputs!$F$161/100*AV55</f>
        <v>0.470879514167062</v>
      </c>
      <c r="AW68" s="13" t="n">
        <f aca="false">Inputs!$F$161/100*AW55</f>
        <v>0.475827858533835</v>
      </c>
      <c r="AX68" s="13" t="n">
        <f aca="false">Inputs!$F$161/100*AX55</f>
        <v>0.481445644513921</v>
      </c>
      <c r="AY68" s="13" t="n">
        <f aca="false">Inputs!$F$161/100*AY55</f>
        <v>0.485977976879655</v>
      </c>
      <c r="AZ68" s="13" t="n">
        <f aca="false">Inputs!$F$161/100*AZ55</f>
        <v>0.490490646923099</v>
      </c>
      <c r="BA68" s="13" t="n">
        <f aca="false">Inputs!$F$161/100*BA55</f>
        <v>0.494218634936406</v>
      </c>
      <c r="BB68" s="13" t="n">
        <f aca="false">Inputs!$F$161/100*BB55</f>
        <v>0.495095679856994</v>
      </c>
      <c r="BC68" s="13" t="n">
        <f aca="false">Inputs!$F$161/100*BC55</f>
        <v>0.503083883292053</v>
      </c>
      <c r="BD68" s="13" t="n">
        <f aca="false">Inputs!$F$161/100*BD55</f>
        <v>0.510711750269475</v>
      </c>
      <c r="BE68" s="13" t="n">
        <f aca="false">Inputs!$F$161/100*BE55</f>
        <v>0.516017315896949</v>
      </c>
      <c r="BF68" s="13" t="n">
        <f aca="false">Inputs!$F$161/100*BF55</f>
        <v>0.521408096342635</v>
      </c>
      <c r="BG68" s="13" t="n">
        <f aca="false">Inputs!$F$161/100*BG55</f>
        <v>0.526319551186003</v>
      </c>
      <c r="BH68" s="13" t="n">
        <f aca="false">Inputs!$F$161/100*BH55</f>
        <v>0.530631043586734</v>
      </c>
      <c r="BI68" s="13" t="n">
        <f aca="false">Inputs!$F$161/100*BI55</f>
        <v>0.535672528233262</v>
      </c>
      <c r="BJ68" s="13" t="n">
        <f aca="false">Inputs!$F$161/100*BJ55</f>
        <v>0.534792686485971</v>
      </c>
      <c r="BK68" s="13" t="n">
        <f aca="false">Inputs!$F$161/100*BK55</f>
        <v>0.547468432995477</v>
      </c>
      <c r="BL68" s="13" t="n">
        <f aca="false">Inputs!$F$161/100*BL55</f>
        <v>0.556546029850178</v>
      </c>
      <c r="BM68" s="13" t="n">
        <f aca="false">Inputs!$F$161/100*BM55</f>
        <v>0.375346239559948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145.124782263849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0.594403935928643</v>
      </c>
      <c r="P69" s="13" t="n">
        <f aca="false">Inputs!$F$162*(Inputs!$F$219*P21+(1-Inputs!$F$219)*P27*Inputs!$F$153/P11)*P38/1000000</f>
        <v>1.81374223192995</v>
      </c>
      <c r="Q69" s="13" t="n">
        <f aca="false">Inputs!$F$162*(Inputs!$F$219*Q21+(1-Inputs!$F$219)*Q27*Inputs!$F$153/Q11)*Q38/1000000</f>
        <v>1.83799120973747</v>
      </c>
      <c r="R69" s="13" t="n">
        <f aca="false">Inputs!$F$162*(Inputs!$F$219*R21+(1-Inputs!$F$219)*R27*Inputs!$F$153/R11)*R38/1000000</f>
        <v>1.85608983396338</v>
      </c>
      <c r="S69" s="13" t="n">
        <f aca="false">Inputs!$F$162*(Inputs!$F$219*S21+(1-Inputs!$F$219)*S27*Inputs!$F$153/S11)*S38/1000000</f>
        <v>1.90204095938663</v>
      </c>
      <c r="T69" s="13" t="n">
        <f aca="false">Inputs!$F$162*(Inputs!$F$219*T21+(1-Inputs!$F$219)*T27*Inputs!$F$153/T11)*T38/1000000</f>
        <v>1.96357608995204</v>
      </c>
      <c r="U69" s="13" t="n">
        <f aca="false">Inputs!$F$162*(Inputs!$F$219*U21+(1-Inputs!$F$219)*U27*Inputs!$F$153/U11)*U38/1000000</f>
        <v>1.98186944248652</v>
      </c>
      <c r="V69" s="13" t="n">
        <f aca="false">Inputs!$F$162*(Inputs!$F$219*V21+(1-Inputs!$F$219)*V27*Inputs!$F$153/V11)*V38/1000000</f>
        <v>1.98438142926394</v>
      </c>
      <c r="W69" s="13" t="n">
        <f aca="false">Inputs!$F$162*(Inputs!$F$219*W21+(1-Inputs!$F$219)*W27*Inputs!$F$153/W11)*W38/1000000</f>
        <v>2.0389701940118</v>
      </c>
      <c r="X69" s="13" t="n">
        <f aca="false">Inputs!$F$162*(Inputs!$F$219*X21+(1-Inputs!$F$219)*X27*Inputs!$F$153/X11)*X38/1000000</f>
        <v>2.11522939043458</v>
      </c>
      <c r="Y69" s="13" t="n">
        <f aca="false">Inputs!$F$162*(Inputs!$F$219*Y21+(1-Inputs!$F$219)*Y27*Inputs!$F$153/Y11)*Y38/1000000</f>
        <v>2.15577786509785</v>
      </c>
      <c r="Z69" s="13" t="n">
        <f aca="false">Inputs!$F$162*(Inputs!$F$219*Z21+(1-Inputs!$F$219)*Z27*Inputs!$F$153/Z11)*Z38/1000000</f>
        <v>2.20044393613984</v>
      </c>
      <c r="AA69" s="13" t="n">
        <f aca="false">Inputs!$F$162*(Inputs!$F$219*AA21+(1-Inputs!$F$219)*AA27*Inputs!$F$153/AA11)*AA38/1000000</f>
        <v>2.23136006049585</v>
      </c>
      <c r="AB69" s="13" t="n">
        <f aca="false">Inputs!$F$162*(Inputs!$F$219*AB21+(1-Inputs!$F$219)*AB27*Inputs!$F$153/AB11)*AB38/1000000</f>
        <v>2.25425379612645</v>
      </c>
      <c r="AC69" s="13" t="n">
        <f aca="false">Inputs!$F$162*(Inputs!$F$219*AC21+(1-Inputs!$F$219)*AC27*Inputs!$F$153/AC11)*AC38/1000000</f>
        <v>2.24309167499871</v>
      </c>
      <c r="AD69" s="13" t="n">
        <f aca="false">Inputs!$F$162*(Inputs!$F$219*AD21+(1-Inputs!$F$219)*AD27*Inputs!$F$153/AD11)*AD38/1000000</f>
        <v>2.17808365239205</v>
      </c>
      <c r="AE69" s="13" t="n">
        <f aca="false">Inputs!$F$162*(Inputs!$F$219*AE21+(1-Inputs!$F$219)*AE27*Inputs!$F$153/AE11)*AE38/1000000</f>
        <v>2.26704321805646</v>
      </c>
      <c r="AF69" s="13" t="n">
        <f aca="false">Inputs!$F$162*(Inputs!$F$219*AF21+(1-Inputs!$F$219)*AF27*Inputs!$F$153/AF11)*AF38/1000000</f>
        <v>2.408759397837</v>
      </c>
      <c r="AG69" s="13" t="n">
        <f aca="false">Inputs!$F$162*(Inputs!$F$219*AG21+(1-Inputs!$F$219)*AG27*Inputs!$F$153/AG11)*AG38/1000000</f>
        <v>2.43214962767613</v>
      </c>
      <c r="AH69" s="13" t="n">
        <f aca="false">Inputs!$F$162*(Inputs!$F$219*AH21+(1-Inputs!$F$219)*AH27*Inputs!$F$153/AH11)*AH38/1000000</f>
        <v>2.43425153758927</v>
      </c>
      <c r="AI69" s="13" t="n">
        <f aca="false">Inputs!$F$162*(Inputs!$F$219*AI21+(1-Inputs!$F$219)*AI27*Inputs!$F$153/AI11)*AI38/1000000</f>
        <v>2.49902087388884</v>
      </c>
      <c r="AJ69" s="13" t="n">
        <f aca="false">Inputs!$F$162*(Inputs!$F$219*AJ21+(1-Inputs!$F$219)*AJ27*Inputs!$F$153/AJ11)*AJ38/1000000</f>
        <v>2.58521729916497</v>
      </c>
      <c r="AK69" s="13" t="n">
        <f aca="false">Inputs!$F$162*(Inputs!$F$219*AK21+(1-Inputs!$F$219)*AK27*Inputs!$F$153/AK11)*AK38/1000000</f>
        <v>2.58593480892506</v>
      </c>
      <c r="AL69" s="13" t="n">
        <f aca="false">Inputs!$F$162*(Inputs!$F$219*AL21+(1-Inputs!$F$219)*AL27*Inputs!$F$153/AL11)*AL38/1000000</f>
        <v>2.53693689489018</v>
      </c>
      <c r="AM69" s="13" t="n">
        <f aca="false">Inputs!$F$162*(Inputs!$F$219*AM21+(1-Inputs!$F$219)*AM27*Inputs!$F$153/AM11)*AM38/1000000</f>
        <v>2.64311929380906</v>
      </c>
      <c r="AN69" s="13" t="n">
        <f aca="false">Inputs!$F$162*(Inputs!$F$219*AN21+(1-Inputs!$F$219)*AN27*Inputs!$F$153/AN11)*AN38/1000000</f>
        <v>2.81151692356041</v>
      </c>
      <c r="AO69" s="13" t="n">
        <f aca="false">Inputs!$F$162*(Inputs!$F$219*AO21+(1-Inputs!$F$219)*AO27*Inputs!$F$153/AO11)*AO38/1000000</f>
        <v>2.8435229940479</v>
      </c>
      <c r="AP69" s="13" t="n">
        <f aca="false">Inputs!$F$162*(Inputs!$F$219*AP21+(1-Inputs!$F$219)*AP27*Inputs!$F$153/AP11)*AP38/1000000</f>
        <v>2.85326992210562</v>
      </c>
      <c r="AQ69" s="13" t="n">
        <f aca="false">Inputs!$F$162*(Inputs!$F$219*AQ21+(1-Inputs!$F$219)*AQ27*Inputs!$F$153/AQ11)*AQ38/1000000</f>
        <v>2.93054137014984</v>
      </c>
      <c r="AR69" s="13" t="n">
        <f aca="false">Inputs!$F$162*(Inputs!$F$219*AR21+(1-Inputs!$F$219)*AR27*Inputs!$F$153/AR11)*AR38/1000000</f>
        <v>3.03203676804665</v>
      </c>
      <c r="AS69" s="13" t="n">
        <f aca="false">Inputs!$F$162*(Inputs!$F$219*AS21+(1-Inputs!$F$219)*AS27*Inputs!$F$153/AS11)*AS38/1000000</f>
        <v>3.03646624850352</v>
      </c>
      <c r="AT69" s="13" t="n">
        <f aca="false">Inputs!$F$162*(Inputs!$F$219*AT21+(1-Inputs!$F$219)*AT27*Inputs!$F$153/AT11)*AT38/1000000</f>
        <v>2.98370576626155</v>
      </c>
      <c r="AU69" s="13" t="n">
        <f aca="false">Inputs!$F$162*(Inputs!$F$219*AU21+(1-Inputs!$F$219)*AU27*Inputs!$F$153/AU11)*AU38/1000000</f>
        <v>3.07839805425176</v>
      </c>
      <c r="AV69" s="13" t="n">
        <f aca="false">Inputs!$F$162*(Inputs!$F$219*AV21+(1-Inputs!$F$219)*AV27*Inputs!$F$153/AV11)*AV38/1000000</f>
        <v>3.21191076118019</v>
      </c>
      <c r="AW69" s="13" t="n">
        <f aca="false">Inputs!$F$162*(Inputs!$F$219*AW21+(1-Inputs!$F$219)*AW27*Inputs!$F$153/AW11)*AW38/1000000</f>
        <v>3.30387493831096</v>
      </c>
      <c r="AX69" s="13" t="n">
        <f aca="false">Inputs!$F$162*(Inputs!$F$219*AX21+(1-Inputs!$F$219)*AX27*Inputs!$F$153/AX11)*AX38/1000000</f>
        <v>3.42639351715416</v>
      </c>
      <c r="AY69" s="13" t="n">
        <f aca="false">Inputs!$F$162*(Inputs!$F$219*AY21+(1-Inputs!$F$219)*AY27*Inputs!$F$153/AY11)*AY38/1000000</f>
        <v>3.48997048745865</v>
      </c>
      <c r="AZ69" s="13" t="n">
        <f aca="false">Inputs!$F$162*(Inputs!$F$219*AZ21+(1-Inputs!$F$219)*AZ27*Inputs!$F$153/AZ11)*AZ38/1000000</f>
        <v>3.54878305450837</v>
      </c>
      <c r="BA69" s="13" t="n">
        <f aca="false">Inputs!$F$162*(Inputs!$F$219*BA21+(1-Inputs!$F$219)*BA27*Inputs!$F$153/BA11)*BA38/1000000</f>
        <v>3.563723732256</v>
      </c>
      <c r="BB69" s="13" t="n">
        <f aca="false">Inputs!$F$162*(Inputs!$F$219*BB21+(1-Inputs!$F$219)*BB27*Inputs!$F$153/BB11)*BB38/1000000</f>
        <v>3.51890531987685</v>
      </c>
      <c r="BC69" s="13" t="n">
        <f aca="false">Inputs!$F$162*(Inputs!$F$219*BC21+(1-Inputs!$F$219)*BC27*Inputs!$F$153/BC11)*BC38/1000000</f>
        <v>3.65337785409151</v>
      </c>
      <c r="BD69" s="13" t="n">
        <f aca="false">Inputs!$F$162*(Inputs!$F$219*BD21+(1-Inputs!$F$219)*BD27*Inputs!$F$153/BD11)*BD38/1000000</f>
        <v>3.85496005863934</v>
      </c>
      <c r="BE69" s="13" t="n">
        <f aca="false">Inputs!$F$162*(Inputs!$F$219*BE21+(1-Inputs!$F$219)*BE27*Inputs!$F$153/BE11)*BE38/1000000</f>
        <v>3.93378705241136</v>
      </c>
      <c r="BF69" s="13" t="n">
        <f aca="false">Inputs!$F$162*(Inputs!$F$219*BF21+(1-Inputs!$F$219)*BF27*Inputs!$F$153/BF11)*BF38/1000000</f>
        <v>4.0125327513512</v>
      </c>
      <c r="BG69" s="13" t="n">
        <f aca="false">Inputs!$F$162*(Inputs!$F$219*BG21+(1-Inputs!$F$219)*BG27*Inputs!$F$153/BG11)*BG38/1000000</f>
        <v>4.06225130444153</v>
      </c>
      <c r="BH69" s="13" t="n">
        <f aca="false">Inputs!$F$162*(Inputs!$F$219*BH21+(1-Inputs!$F$219)*BH27*Inputs!$F$153/BH11)*BH38/1000000</f>
        <v>4.07663364275615</v>
      </c>
      <c r="BI69" s="13" t="n">
        <f aca="false">Inputs!$F$162*(Inputs!$F$219*BI21+(1-Inputs!$F$219)*BI27*Inputs!$F$153/BI11)*BI38/1000000</f>
        <v>4.1234548820876</v>
      </c>
      <c r="BJ69" s="13" t="n">
        <f aca="false">Inputs!$F$162*(Inputs!$F$219*BJ21+(1-Inputs!$F$219)*BJ27*Inputs!$F$153/BJ11)*BJ38/1000000</f>
        <v>4.12955717695289</v>
      </c>
      <c r="BK69" s="13" t="n">
        <f aca="false">Inputs!$F$162*(Inputs!$F$219*BK21+(1-Inputs!$F$219)*BK27*Inputs!$F$153/BK11)*BK38/1000000</f>
        <v>4.289583717522</v>
      </c>
      <c r="BL69" s="13" t="n">
        <f aca="false">Inputs!$F$162*(Inputs!$F$219*BL21+(1-Inputs!$F$219)*BL27*Inputs!$F$153/BL11)*BL38/1000000</f>
        <v>4.52739263415896</v>
      </c>
      <c r="BM69" s="13" t="n">
        <f aca="false">Inputs!$F$162*(Inputs!$F$219*BM21+(1-Inputs!$F$219)*BM27*Inputs!$F$153/BM11)*BM38/1000000</f>
        <v>3.08449267758093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1275.55538489105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5.50826944360905</v>
      </c>
      <c r="P72" s="13" t="n">
        <f aca="false">P60+P61+P62+P64+P65+P66+P67+P68+P69+P70+P71</f>
        <v>16.7737825366395</v>
      </c>
      <c r="Q72" s="13" t="n">
        <f aca="false">Q60+Q61+Q62+Q64+Q65+Q66+Q67+Q68+Q69+Q70+Q71</f>
        <v>16.9848464954071</v>
      </c>
      <c r="R72" s="13" t="n">
        <f aca="false">R60+R61+R62+R64+R65+R66+R67+R68+R69+R70+R71</f>
        <v>17.1570671933171</v>
      </c>
      <c r="S72" s="13" t="n">
        <f aca="false">S60+S61+S62+S64+S65+S66+S67+S68+S69+S70+S71</f>
        <v>17.5109213196313</v>
      </c>
      <c r="T72" s="13" t="n">
        <f aca="false">T60+T61+T62+T64+T65+T66+T67+T68+T69+T70+T71</f>
        <v>17.9648064798605</v>
      </c>
      <c r="U72" s="13" t="n">
        <f aca="false">U60+U61+U62+U64+U65+U66+U67+U68+U69+U70+U71</f>
        <v>18.1409778471665</v>
      </c>
      <c r="V72" s="13" t="n">
        <f aca="false">V60+V61+V62+V64+V65+V66+V67+V68+V69+V70+V71</f>
        <v>18.2186360473106</v>
      </c>
      <c r="W72" s="13" t="n">
        <f aca="false">W60+W61+W62+W64+W65+W66+W67+W68+W69+W70+W71</f>
        <v>18.6288548618221</v>
      </c>
      <c r="X72" s="13" t="n">
        <f aca="false">X60+X61+X62+X64+X65+X66+X67+X68+X69+X70+X71</f>
        <v>19.1464250456404</v>
      </c>
      <c r="Y72" s="13" t="n">
        <f aca="false">Y60+Y61+Y62+Y64+Y65+Y66+Y67+Y68+Y69+Y70+Y71</f>
        <v>19.4508280068367</v>
      </c>
      <c r="Z72" s="13" t="n">
        <f aca="false">Z60+Z61+Z62+Z64+Z65+Z66+Z67+Z68+Z69+Z70+Z71</f>
        <v>19.764926864877</v>
      </c>
      <c r="AA72" s="13" t="n">
        <f aca="false">AA60+AA61+AA62+AA64+AA65+AA66+AA67+AA68+AA69+AA70+AA71</f>
        <v>20.0706444468244</v>
      </c>
      <c r="AB72" s="13" t="n">
        <f aca="false">AB60+AB61+AB62+AB64+AB65+AB66+AB67+AB68+AB69+AB70+AB71</f>
        <v>20.3208169006134</v>
      </c>
      <c r="AC72" s="13" t="n">
        <f aca="false">AC60+AC61+AC62+AC64+AC65+AC66+AC67+AC68+AC69+AC70+AC71</f>
        <v>20.330002951082</v>
      </c>
      <c r="AD72" s="13" t="n">
        <f aca="false">AD60+AD61+AD62+AD64+AD65+AD66+AD67+AD68+AD69+AD70+AD71</f>
        <v>20.1168338912183</v>
      </c>
      <c r="AE72" s="13" t="n">
        <f aca="false">AE60+AE61+AE62+AE64+AE65+AE66+AE67+AE68+AE69+AE70+AE71</f>
        <v>20.643042320634</v>
      </c>
      <c r="AF72" s="13" t="n">
        <f aca="false">AF60+AF61+AF62+AF64+AF65+AF66+AF67+AF68+AF69+AF70+AF71</f>
        <v>21.5839040067091</v>
      </c>
      <c r="AG72" s="13" t="n">
        <f aca="false">AG60+AG61+AG62+AG64+AG65+AG66+AG67+AG68+AG69+AG70+AG71</f>
        <v>21.8128518048409</v>
      </c>
      <c r="AH72" s="13" t="n">
        <f aca="false">AH60+AH61+AH62+AH64+AH65+AH66+AH67+AH68+AH69+AH70+AH71</f>
        <v>21.9186249493616</v>
      </c>
      <c r="AI72" s="13" t="n">
        <f aca="false">AI60+AI61+AI62+AI64+AI65+AI66+AI67+AI68+AI69+AI70+AI71</f>
        <v>22.3985016562196</v>
      </c>
      <c r="AJ72" s="13" t="n">
        <f aca="false">AJ60+AJ61+AJ62+AJ64+AJ65+AJ66+AJ67+AJ68+AJ69+AJ70+AJ71</f>
        <v>23.0041321121626</v>
      </c>
      <c r="AK72" s="13" t="n">
        <f aca="false">AK60+AK61+AK62+AK64+AK65+AK66+AK67+AK68+AK69+AK70+AK71</f>
        <v>23.1113490638312</v>
      </c>
      <c r="AL72" s="13" t="n">
        <f aca="false">AL60+AL61+AL62+AL64+AL65+AL66+AL67+AL68+AL69+AL70+AL71</f>
        <v>22.9917480692794</v>
      </c>
      <c r="AM72" s="13" t="n">
        <f aca="false">AM60+AM61+AM62+AM64+AM65+AM66+AM67+AM68+AM69+AM70+AM71</f>
        <v>23.6624940274923</v>
      </c>
      <c r="AN72" s="13" t="n">
        <f aca="false">AN60+AN61+AN62+AN64+AN65+AN66+AN67+AN68+AN69+AN70+AN71</f>
        <v>24.7408723684298</v>
      </c>
      <c r="AO72" s="13" t="n">
        <f aca="false">AO60+AO61+AO62+AO64+AO65+AO66+AO67+AO68+AO69+AO70+AO71</f>
        <v>25.0399009435354</v>
      </c>
      <c r="AP72" s="13" t="n">
        <f aca="false">AP60+AP61+AP62+AP64+AP65+AP66+AP67+AP68+AP69+AP70+AP71</f>
        <v>25.2176000447684</v>
      </c>
      <c r="AQ72" s="13" t="n">
        <f aca="false">AQ60+AQ61+AQ62+AQ64+AQ65+AQ66+AQ67+AQ68+AQ69+AQ70+AQ71</f>
        <v>25.7783815106186</v>
      </c>
      <c r="AR72" s="13" t="n">
        <f aca="false">AR60+AR61+AR62+AR64+AR65+AR66+AR67+AR68+AR69+AR70+AR71</f>
        <v>26.4743728511939</v>
      </c>
      <c r="AS72" s="13" t="n">
        <f aca="false">AS60+AS61+AS62+AS64+AS65+AS66+AS67+AS68+AS69+AS70+AS71</f>
        <v>26.6347904358895</v>
      </c>
      <c r="AT72" s="13" t="n">
        <f aca="false">AT60+AT61+AT62+AT64+AT65+AT66+AT67+AT68+AT69+AT70+AT71</f>
        <v>26.4860467020816</v>
      </c>
      <c r="AU72" s="13" t="n">
        <f aca="false">AU60+AU61+AU62+AU64+AU65+AU66+AU67+AU68+AU69+AU70+AU71</f>
        <v>27.1563906550211</v>
      </c>
      <c r="AV72" s="13" t="n">
        <f aca="false">AV60+AV61+AV62+AV64+AV65+AV66+AV67+AV68+AV69+AV70+AV71</f>
        <v>28.03309833492</v>
      </c>
      <c r="AW72" s="13" t="n">
        <f aca="false">AW60+AW61+AW62+AW64+AW65+AW66+AW67+AW68+AW69+AW70+AW71</f>
        <v>28.6850455237557</v>
      </c>
      <c r="AX72" s="13" t="n">
        <f aca="false">AX60+AX61+AX62+AX64+AX65+AX66+AX67+AX68+AX69+AX70+AX71</f>
        <v>29.5004296176495</v>
      </c>
      <c r="AY72" s="13" t="n">
        <f aca="false">AY60+AY61+AY62+AY64+AY65+AY66+AY67+AY68+AY69+AY70+AY71</f>
        <v>30.0040355550344</v>
      </c>
      <c r="AZ72" s="13" t="n">
        <f aca="false">AZ60+AZ61+AZ62+AZ64+AZ65+AZ66+AZ67+AZ68+AZ69+AZ70+AZ71</f>
        <v>30.4866585036159</v>
      </c>
      <c r="BA72" s="13" t="n">
        <f aca="false">BA60+BA61+BA62+BA64+BA65+BA66+BA67+BA68+BA69+BA70+BA71</f>
        <v>30.7460872203568</v>
      </c>
      <c r="BB72" s="13" t="n">
        <f aca="false">BB60+BB61+BB62+BB64+BB65+BB66+BB67+BB68+BB69+BB70+BB71</f>
        <v>30.704248729171</v>
      </c>
      <c r="BC72" s="13" t="n">
        <f aca="false">BC60+BC61+BC62+BC64+BC65+BC66+BC67+BC68+BC69+BC70+BC71</f>
        <v>31.5962480812465</v>
      </c>
      <c r="BD72" s="13" t="n">
        <f aca="false">BD60+BD61+BD62+BD64+BD65+BD66+BD67+BD68+BD69+BD70+BD71</f>
        <v>32.8265699197959</v>
      </c>
      <c r="BE72" s="13" t="n">
        <f aca="false">BE60+BE61+BE62+BE64+BE65+BE66+BE67+BE68+BE69+BE70+BE71</f>
        <v>33.4335741032235</v>
      </c>
      <c r="BF72" s="13" t="n">
        <f aca="false">BF60+BF61+BF62+BF64+BF65+BF66+BF67+BF68+BF69+BF70+BF71</f>
        <v>34.0449164280454</v>
      </c>
      <c r="BG72" s="13" t="n">
        <f aca="false">BG60+BG61+BG62+BG64+BG65+BG66+BG67+BG68+BG69+BG70+BG71</f>
        <v>34.5175910882392</v>
      </c>
      <c r="BH72" s="13" t="n">
        <f aca="false">BH60+BH61+BH62+BH64+BH65+BH66+BH67+BH68+BH69+BH70+BH71</f>
        <v>34.8244614519129</v>
      </c>
      <c r="BI72" s="13" t="n">
        <f aca="false">BI60+BI61+BI62+BI64+BI65+BI66+BI67+BI68+BI69+BI70+BI71</f>
        <v>35.3005033850381</v>
      </c>
      <c r="BJ72" s="13" t="n">
        <f aca="false">BJ60+BJ61+BJ62+BJ64+BJ65+BJ66+BJ67+BJ68+BJ69+BJ70+BJ71</f>
        <v>35.5875163738557</v>
      </c>
      <c r="BK72" s="13" t="n">
        <f aca="false">BK60+BK61+BK62+BK64+BK65+BK66+BK67+BK68+BK69+BK70+BK71</f>
        <v>36.6272218387035</v>
      </c>
      <c r="BL72" s="13" t="n">
        <f aca="false">BL60+BL61+BL62+BL64+BL65+BL66+BL67+BL68+BL69+BL70+BL71</f>
        <v>38.0364374973652</v>
      </c>
      <c r="BM72" s="13" t="n">
        <f aca="false">BM60+BM61+BM62+BM64+BM65+BM66+BM67+BM68+BM69+BM70+BM71</f>
        <v>25.8570973851951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4031.67863320397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21.1467869978598</v>
      </c>
      <c r="P73" s="13" t="n">
        <f aca="false">P42*P41/1000000</f>
        <v>63.4348236373987</v>
      </c>
      <c r="Q73" s="13" t="n">
        <f aca="false">Q42*Q41/1000000</f>
        <v>64.4666922786381</v>
      </c>
      <c r="R73" s="13" t="n">
        <f aca="false">R42*R41/1000000</f>
        <v>64.001589608558</v>
      </c>
      <c r="S73" s="13" t="n">
        <f aca="false">S42*S41/1000000</f>
        <v>65.7614749781439</v>
      </c>
      <c r="T73" s="13" t="n">
        <f aca="false">T42*T41/1000000</f>
        <v>66.7296462879733</v>
      </c>
      <c r="U73" s="13" t="n">
        <f aca="false">U42*U41/1000000</f>
        <v>67.518862763657</v>
      </c>
      <c r="V73" s="13" t="n">
        <f aca="false">V42*V41/1000000</f>
        <v>66.4374889128771</v>
      </c>
      <c r="W73" s="13" t="n">
        <f aca="false">W42*W41/1000000</f>
        <v>68.4220368469738</v>
      </c>
      <c r="X73" s="13" t="n">
        <f aca="false">X42*X41/1000000</f>
        <v>69.7426051261119</v>
      </c>
      <c r="Y73" s="13" t="n">
        <f aca="false">Y42*Y41/1000000</f>
        <v>71.2293354439327</v>
      </c>
      <c r="Z73" s="13" t="n">
        <f aca="false">Z42*Z41/1000000</f>
        <v>71.4228921872469</v>
      </c>
      <c r="AA73" s="13" t="n">
        <f aca="false">AA42*AA41/1000000</f>
        <v>72.5649993488952</v>
      </c>
      <c r="AB73" s="13" t="n">
        <f aca="false">AB42*AB41/1000000</f>
        <v>72.0026344194449</v>
      </c>
      <c r="AC73" s="13" t="n">
        <f aca="false">AC42*AC41/1000000</f>
        <v>71.7692482370072</v>
      </c>
      <c r="AD73" s="13" t="n">
        <f aca="false">AD42*AD41/1000000</f>
        <v>68.4335304550078</v>
      </c>
      <c r="AE73" s="13" t="n">
        <f aca="false">AE42*AE41/1000000</f>
        <v>71.3369570748194</v>
      </c>
      <c r="AF73" s="13" t="n">
        <f aca="false">AF42*AF41/1000000</f>
        <v>74.4158492412512</v>
      </c>
      <c r="AG73" s="13" t="n">
        <f aca="false">AG42*AG41/1000000</f>
        <v>75.2378830482957</v>
      </c>
      <c r="AH73" s="13" t="n">
        <f aca="false">AH42*AH41/1000000</f>
        <v>73.916687616409</v>
      </c>
      <c r="AI73" s="13" t="n">
        <f aca="false">AI42*AI41/1000000</f>
        <v>75.9686462258519</v>
      </c>
      <c r="AJ73" s="13" t="n">
        <f aca="false">AJ42*AJ41/1000000</f>
        <v>77.1267828992672</v>
      </c>
      <c r="AK73" s="13" t="n">
        <f aca="false">AK42*AK41/1000000</f>
        <v>77.2192886183187</v>
      </c>
      <c r="AL73" s="13" t="n">
        <f aca="false">AL42*AL41/1000000</f>
        <v>74.3316672360037</v>
      </c>
      <c r="AM73" s="13" t="n">
        <f aca="false">AM42*AM41/1000000</f>
        <v>77.4984652999717</v>
      </c>
      <c r="AN73" s="13" t="n">
        <f aca="false">AN42*AN41/1000000</f>
        <v>80.869517053447</v>
      </c>
      <c r="AO73" s="13" t="n">
        <f aca="false">AO42*AO41/1000000</f>
        <v>81.8322740224227</v>
      </c>
      <c r="AP73" s="13" t="n">
        <f aca="false">AP42*AP41/1000000</f>
        <v>80.535977874438</v>
      </c>
      <c r="AQ73" s="13" t="n">
        <f aca="false">AQ42*AQ41/1000000</f>
        <v>82.742733652906</v>
      </c>
      <c r="AR73" s="13" t="n">
        <f aca="false">AR42*AR41/1000000</f>
        <v>83.947294615018</v>
      </c>
      <c r="AS73" s="13" t="n">
        <f aca="false">AS42*AS41/1000000</f>
        <v>84.0788001003432</v>
      </c>
      <c r="AT73" s="13" t="n">
        <f aca="false">AT42*AT41/1000000</f>
        <v>80.9981337106176</v>
      </c>
      <c r="AU73" s="13" t="n">
        <f aca="false">AU42*AU41/1000000</f>
        <v>83.5603443074802</v>
      </c>
      <c r="AV73" s="13" t="n">
        <f aca="false">AV42*AV41/1000000</f>
        <v>85.4575439201889</v>
      </c>
      <c r="AW73" s="13" t="n">
        <f aca="false">AW42*AW41/1000000</f>
        <v>87.8774405890921</v>
      </c>
      <c r="AX73" s="13" t="n">
        <f aca="false">AX42*AX41/1000000</f>
        <v>89.3126354389566</v>
      </c>
      <c r="AY73" s="13" t="n">
        <f aca="false">AY42*AY41/1000000</f>
        <v>90.9231788066188</v>
      </c>
      <c r="AZ73" s="13" t="n">
        <f aca="false">AZ42*AZ41/1000000</f>
        <v>90.5867070053733</v>
      </c>
      <c r="BA73" s="13" t="n">
        <f aca="false">BA42*BA41/1000000</f>
        <v>90.9026478970297</v>
      </c>
      <c r="BB73" s="13" t="n">
        <f aca="false">BB42*BB41/1000000</f>
        <v>87.9270601711689</v>
      </c>
      <c r="BC73" s="13" t="n">
        <f aca="false">BC42*BC41/1000000</f>
        <v>91.2026325919079</v>
      </c>
      <c r="BD73" s="13" t="n">
        <f aca="false">BD42*BD41/1000000</f>
        <v>94.2509001400496</v>
      </c>
      <c r="BE73" s="13" t="n">
        <f aca="false">BE42*BE41/1000000</f>
        <v>96.0693211070116</v>
      </c>
      <c r="BF73" s="13" t="n">
        <f aca="false">BF42*BF41/1000000</f>
        <v>95.9523971189035</v>
      </c>
      <c r="BG73" s="13" t="n">
        <f aca="false">BG42*BG41/1000000</f>
        <v>97.0114285690886</v>
      </c>
      <c r="BH73" s="13" t="n">
        <f aca="false">BH42*BH41/1000000</f>
        <v>95.3085589981507</v>
      </c>
      <c r="BI73" s="13" t="n">
        <f aca="false">BI42*BI41/1000000</f>
        <v>96.2545394155027</v>
      </c>
      <c r="BJ73" s="13" t="n">
        <f aca="false">BJ42*BJ41/1000000</f>
        <v>94.3514540753663</v>
      </c>
      <c r="BK73" s="13" t="n">
        <f aca="false">BK42*BK41/1000000</f>
        <v>97.8365711614233</v>
      </c>
      <c r="BL73" s="13" t="n">
        <f aca="false">BL42*BL41/1000000</f>
        <v>101.048710162795</v>
      </c>
      <c r="BM73" s="13" t="n">
        <f aca="false">BM42*BM41/1000000</f>
        <v>68.7029559087508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5052.53776935249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26.4632908761893</v>
      </c>
      <c r="P74" s="13" t="n">
        <f aca="false">P73+P52+P53+P54</f>
        <v>79.8124445349774</v>
      </c>
      <c r="Q74" s="13" t="n">
        <f aca="false">Q73+Q52+Q53+Q54</f>
        <v>80.0408000160842</v>
      </c>
      <c r="R74" s="13" t="n">
        <f aca="false">R73+R52+R53+R54</f>
        <v>81.3186863556727</v>
      </c>
      <c r="S74" s="13" t="n">
        <f aca="false">S73+S52+S53+S54</f>
        <v>81.5740719842666</v>
      </c>
      <c r="T74" s="13" t="n">
        <f aca="false">T73+T52+T53+T54</f>
        <v>82.9222751945345</v>
      </c>
      <c r="U74" s="13" t="n">
        <f aca="false">U73+U52+U53+U54</f>
        <v>83.5983929220307</v>
      </c>
      <c r="V74" s="13" t="n">
        <f aca="false">V73+V52+V53+V54</f>
        <v>84.4596556782897</v>
      </c>
      <c r="W74" s="13" t="n">
        <f aca="false">W73+W52+W53+W54</f>
        <v>84.7299117815271</v>
      </c>
      <c r="X74" s="13" t="n">
        <f aca="false">X73+X52+X53+X54</f>
        <v>86.1401174653902</v>
      </c>
      <c r="Y74" s="13" t="n">
        <f aca="false">Y73+Y52+Y53+Y54</f>
        <v>86.3985529102094</v>
      </c>
      <c r="Z74" s="13" t="n">
        <f aca="false">Z73+Z52+Z53+Z54</f>
        <v>87.7998038188543</v>
      </c>
      <c r="AA74" s="13" t="n">
        <f aca="false">AA73+AA52+AA53+AA54</f>
        <v>88.0516680302906</v>
      </c>
      <c r="AB74" s="13" t="n">
        <f aca="false">AB73+AB52+AB53+AB54</f>
        <v>89.4563336631307</v>
      </c>
      <c r="AC74" s="13" t="n">
        <f aca="false">AC73+AC52+AC53+AC54</f>
        <v>90.1533487654909</v>
      </c>
      <c r="AD74" s="13" t="n">
        <f aca="false">AD73+AD52+AD53+AD54</f>
        <v>91.0167313923365</v>
      </c>
      <c r="AE74" s="13" t="n">
        <f aca="false">AE73+AE52+AE53+AE54</f>
        <v>91.3322912321473</v>
      </c>
      <c r="AF74" s="13" t="n">
        <f aca="false">AF73+AF52+AF53+AF54</f>
        <v>92.9043414996109</v>
      </c>
      <c r="AG74" s="13" t="n">
        <f aca="false">AG73+AG52+AG53+AG54</f>
        <v>93.1598266827211</v>
      </c>
      <c r="AH74" s="13" t="n">
        <f aca="false">AH73+AH52+AH53+AH54</f>
        <v>94.6254102095435</v>
      </c>
      <c r="AI74" s="13" t="n">
        <f aca="false">AI73+AI52+AI53+AI54</f>
        <v>94.9232439135327</v>
      </c>
      <c r="AJ74" s="13" t="n">
        <f aca="false">AJ73+AJ52+AJ53+AJ54</f>
        <v>96.4934848905614</v>
      </c>
      <c r="AK74" s="13" t="n">
        <f aca="false">AK73+AK52+AK53+AK54</f>
        <v>97.2578540000038</v>
      </c>
      <c r="AL74" s="13" t="n">
        <f aca="false">AL73+AL52+AL53+AL54</f>
        <v>98.2135362250823</v>
      </c>
      <c r="AM74" s="13" t="n">
        <f aca="false">AM73+AM52+AM53+AM54</f>
        <v>98.554550240556</v>
      </c>
      <c r="AN74" s="13" t="n">
        <f aca="false">AN73+AN52+AN53+AN54</f>
        <v>100.250896282023</v>
      </c>
      <c r="AO74" s="13" t="n">
        <f aca="false">AO73+AO52+AO53+AO54</f>
        <v>100.529711135623</v>
      </c>
      <c r="AP74" s="13" t="n">
        <f aca="false">AP73+AP52+AP53+AP54</f>
        <v>102.116445813821</v>
      </c>
      <c r="AQ74" s="13" t="n">
        <f aca="false">AQ73+AQ52+AQ53+AQ54</f>
        <v>102.437673195907</v>
      </c>
      <c r="AR74" s="13" t="n">
        <f aca="false">AR73+AR52+AR53+AR54</f>
        <v>104.130558470683</v>
      </c>
      <c r="AS74" s="13" t="n">
        <f aca="false">AS73+AS52+AS53+AS54</f>
        <v>104.957866253355</v>
      </c>
      <c r="AT74" s="13" t="n">
        <f aca="false">AT73+AT52+AT53+AT54</f>
        <v>105.992398683751</v>
      </c>
      <c r="AU74" s="13" t="n">
        <f aca="false">AU73+AU52+AU53+AU54</f>
        <v>106.33454534622</v>
      </c>
      <c r="AV74" s="13" t="n">
        <f aca="false">AV73+AV52+AV53+AV54</f>
        <v>108.112123811076</v>
      </c>
      <c r="AW74" s="13" t="n">
        <f aca="false">AW73+AW52+AW53+AW54</f>
        <v>108.45480604174</v>
      </c>
      <c r="AX74" s="13" t="n">
        <f aca="false">AX73+AX52+AX53+AX54</f>
        <v>110.251772446187</v>
      </c>
      <c r="AY74" s="13" t="n">
        <f aca="false">AY73+AY52+AY53+AY54</f>
        <v>110.575734365201</v>
      </c>
      <c r="AZ74" s="13" t="n">
        <f aca="false">AZ73+AZ52+AZ53+AZ54</f>
        <v>112.35457013538</v>
      </c>
      <c r="BA74" s="13" t="n">
        <f aca="false">BA73+BA52+BA53+BA54</f>
        <v>113.254157785723</v>
      </c>
      <c r="BB74" s="13" t="n">
        <f aca="false">BB73+BB52+BB53+BB54</f>
        <v>114.383047263768</v>
      </c>
      <c r="BC74" s="13" t="n">
        <f aca="false">BC73+BC52+BC53+BC54</f>
        <v>114.767026969689</v>
      </c>
      <c r="BD74" s="13" t="n">
        <f aca="false">BD73+BD52+BD53+BD54</f>
        <v>116.713740627864</v>
      </c>
      <c r="BE74" s="13" t="n">
        <f aca="false">BE73+BE52+BE53+BE54</f>
        <v>117.060581242235</v>
      </c>
      <c r="BF74" s="13" t="n">
        <f aca="false">BF73+BF52+BF53+BF54</f>
        <v>118.951558246534</v>
      </c>
      <c r="BG74" s="13" t="n">
        <f aca="false">BG73+BG52+BG53+BG54</f>
        <v>119.282468243978</v>
      </c>
      <c r="BH74" s="13" t="n">
        <f aca="false">BH73+BH52+BH53+BH54</f>
        <v>121.16458886496</v>
      </c>
      <c r="BI74" s="13" t="n">
        <f aca="false">BI73+BI52+BI53+BI54</f>
        <v>122.154773960558</v>
      </c>
      <c r="BJ74" s="13" t="n">
        <f aca="false">BJ73+BJ52+BJ53+BJ54</f>
        <v>123.412648701631</v>
      </c>
      <c r="BK74" s="13" t="n">
        <f aca="false">BK73+BK52+BK53+BK54</f>
        <v>123.825443225951</v>
      </c>
      <c r="BL74" s="13" t="n">
        <f aca="false">BL73+BL52+BL53+BL54</f>
        <v>125.922961207707</v>
      </c>
      <c r="BM74" s="13" t="n">
        <f aca="false">BM73+BM52+BM53+BM54</f>
        <v>83.7450467478959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0.126717991213169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0.112045410533401</v>
      </c>
      <c r="Q75" s="13" t="n">
        <f aca="false">SUMIFS(Construction!$J$38:$BJ$38,Construction!$J$12:$BJ$12,Time!Q20,Construction!$J$8:$BJ$8,"&gt;"&amp;Time!$F$14)</f>
        <v>0.0146725806797689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6398.98712758228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31.9715603197984</v>
      </c>
      <c r="P83" s="13" t="n">
        <f aca="false">P72+P74+P75+P76+P79+P82</f>
        <v>96.6982724821503</v>
      </c>
      <c r="Q83" s="13" t="n">
        <f aca="false">Q72+Q74+Q75+Q76+Q79+Q82</f>
        <v>97.0403190921711</v>
      </c>
      <c r="R83" s="13" t="n">
        <f aca="false">R72+R74+R75+R76+R79+R82</f>
        <v>98.4757535489897</v>
      </c>
      <c r="S83" s="13" t="n">
        <f aca="false">S72+S74+S75+S76+S79+S82</f>
        <v>99.0849933038979</v>
      </c>
      <c r="T83" s="13" t="n">
        <f aca="false">T72+T74+T75+T76+T79+T82</f>
        <v>100.887081674395</v>
      </c>
      <c r="U83" s="13" t="n">
        <f aca="false">U72+U74+U75+U76+U79+U82</f>
        <v>101.739370769197</v>
      </c>
      <c r="V83" s="13" t="n">
        <f aca="false">V72+V74+V75+V76+V79+V82</f>
        <v>105.175901540329</v>
      </c>
      <c r="W83" s="13" t="n">
        <f aca="false">W72+W74+W75+W76+W79+W82</f>
        <v>103.358766643349</v>
      </c>
      <c r="X83" s="13" t="n">
        <f aca="false">X72+X74+X75+X76+X79+X82</f>
        <v>105.286542511031</v>
      </c>
      <c r="Y83" s="13" t="n">
        <f aca="false">Y72+Y74+Y75+Y76+Y79+Y82</f>
        <v>105.849380917046</v>
      </c>
      <c r="Z83" s="13" t="n">
        <f aca="false">Z72+Z74+Z75+Z76+Z79+Z82</f>
        <v>107.564730683731</v>
      </c>
      <c r="AA83" s="13" t="n">
        <f aca="false">AA72+AA74+AA75+AA76+AA79+AA82</f>
        <v>108.122312477115</v>
      </c>
      <c r="AB83" s="13" t="n">
        <f aca="false">AB72+AB74+AB75+AB76+AB79+AB82</f>
        <v>109.777150563744</v>
      </c>
      <c r="AC83" s="13" t="n">
        <f aca="false">AC72+AC74+AC75+AC76+AC79+AC82</f>
        <v>110.483351716573</v>
      </c>
      <c r="AD83" s="13" t="n">
        <f aca="false">AD72+AD74+AD75+AD76+AD79+AD82</f>
        <v>122.970020545356</v>
      </c>
      <c r="AE83" s="13" t="n">
        <f aca="false">AE72+AE74+AE75+AE76+AE79+AE82</f>
        <v>111.975333552781</v>
      </c>
      <c r="AF83" s="13" t="n">
        <f aca="false">AF72+AF74+AF75+AF76+AF79+AF82</f>
        <v>114.48824550632</v>
      </c>
      <c r="AG83" s="13" t="n">
        <f aca="false">AG72+AG74+AG75+AG76+AG79+AG82</f>
        <v>114.972678487562</v>
      </c>
      <c r="AH83" s="13" t="n">
        <f aca="false">AH72+AH74+AH75+AH76+AH79+AH82</f>
        <v>116.544035158905</v>
      </c>
      <c r="AI83" s="13" t="n">
        <f aca="false">AI72+AI74+AI75+AI76+AI79+AI82</f>
        <v>117.321745569752</v>
      </c>
      <c r="AJ83" s="13" t="n">
        <f aca="false">AJ72+AJ74+AJ75+AJ76+AJ79+AJ82</f>
        <v>119.497617002724</v>
      </c>
      <c r="AK83" s="13" t="n">
        <f aca="false">AK72+AK74+AK75+AK76+AK79+AK82</f>
        <v>120.369203063835</v>
      </c>
      <c r="AL83" s="13" t="n">
        <f aca="false">AL72+AL74+AL75+AL76+AL79+AL82</f>
        <v>124.177852023857</v>
      </c>
      <c r="AM83" s="13" t="n">
        <f aca="false">AM72+AM74+AM75+AM76+AM79+AM82</f>
        <v>122.217044268048</v>
      </c>
      <c r="AN83" s="13" t="n">
        <f aca="false">AN72+AN74+AN75+AN76+AN79+AN82</f>
        <v>124.991768650452</v>
      </c>
      <c r="AO83" s="13" t="n">
        <f aca="false">AO72+AO74+AO75+AO76+AO79+AO82</f>
        <v>125.569612079159</v>
      </c>
      <c r="AP83" s="13" t="n">
        <f aca="false">AP72+AP74+AP75+AP76+AP79+AP82</f>
        <v>127.33404585859</v>
      </c>
      <c r="AQ83" s="13" t="n">
        <f aca="false">AQ72+AQ74+AQ75+AQ76+AQ79+AQ82</f>
        <v>128.216054706526</v>
      </c>
      <c r="AR83" s="13" t="n">
        <f aca="false">AR72+AR74+AR75+AR76+AR79+AR82</f>
        <v>130.604931321877</v>
      </c>
      <c r="AS83" s="13" t="n">
        <f aca="false">AS72+AS74+AS75+AS76+AS79+AS82</f>
        <v>131.592656689244</v>
      </c>
      <c r="AT83" s="13" t="n">
        <f aca="false">AT72+AT74+AT75+AT76+AT79+AT82</f>
        <v>146.565779898754</v>
      </c>
      <c r="AU83" s="13" t="n">
        <f aca="false">AU72+AU74+AU75+AU76+AU79+AU82</f>
        <v>133.490936001241</v>
      </c>
      <c r="AV83" s="13" t="n">
        <f aca="false">AV72+AV74+AV75+AV76+AV79+AV82</f>
        <v>136.145222145996</v>
      </c>
      <c r="AW83" s="13" t="n">
        <f aca="false">AW72+AW74+AW75+AW76+AW79+AW82</f>
        <v>137.139851565496</v>
      </c>
      <c r="AX83" s="13" t="n">
        <f aca="false">AX72+AX74+AX75+AX76+AX79+AX82</f>
        <v>139.752202063837</v>
      </c>
      <c r="AY83" s="13" t="n">
        <f aca="false">AY72+AY74+AY75+AY76+AY79+AY82</f>
        <v>140.579769920236</v>
      </c>
      <c r="AZ83" s="13" t="n">
        <f aca="false">AZ72+AZ74+AZ75+AZ76+AZ79+AZ82</f>
        <v>142.841228638996</v>
      </c>
      <c r="BA83" s="13" t="n">
        <f aca="false">BA72+BA74+BA75+BA76+BA79+BA82</f>
        <v>144.000245006079</v>
      </c>
      <c r="BB83" s="13" t="n">
        <f aca="false">BB72+BB74+BB75+BB76+BB79+BB82</f>
        <v>148.62514199848</v>
      </c>
      <c r="BC83" s="13" t="n">
        <f aca="false">BC72+BC74+BC75+BC76+BC79+BC82</f>
        <v>146.363275050935</v>
      </c>
      <c r="BD83" s="13" t="n">
        <f aca="false">BD72+BD74+BD75+BD76+BD79+BD82</f>
        <v>149.54031054766</v>
      </c>
      <c r="BE83" s="13" t="n">
        <f aca="false">BE72+BE74+BE75+BE76+BE79+BE82</f>
        <v>150.494155345458</v>
      </c>
      <c r="BF83" s="13" t="n">
        <f aca="false">BF72+BF74+BF75+BF76+BF79+BF82</f>
        <v>152.99647467458</v>
      </c>
      <c r="BG83" s="13" t="n">
        <f aca="false">BG72+BG74+BG75+BG76+BG79+BG82</f>
        <v>153.800059332217</v>
      </c>
      <c r="BH83" s="13" t="n">
        <f aca="false">BH72+BH74+BH75+BH76+BH79+BH82</f>
        <v>155.989050316873</v>
      </c>
      <c r="BI83" s="13" t="n">
        <f aca="false">BI72+BI74+BI75+BI76+BI79+BI82</f>
        <v>157.455277345596</v>
      </c>
      <c r="BJ83" s="13" t="n">
        <f aca="false">BJ72+BJ74+BJ75+BJ76+BJ79+BJ82</f>
        <v>175.766417242165</v>
      </c>
      <c r="BK83" s="13" t="n">
        <f aca="false">BK72+BK74+BK75+BK76+BK79+BK82</f>
        <v>160.452665064654</v>
      </c>
      <c r="BL83" s="13" t="n">
        <f aca="false">BL72+BL74+BL75+BL76+BL79+BL82</f>
        <v>163.959398705072</v>
      </c>
      <c r="BM83" s="13" t="n">
        <f aca="false">BM72+BM74+BM75+BM76+BM79+BM82</f>
        <v>128.671333989445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2719.73354191166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16.8741313960732</v>
      </c>
      <c r="P84" s="13" t="n">
        <f aca="false">P56-P83+P58</f>
        <v>50.6580821496292</v>
      </c>
      <c r="Q84" s="13" t="n">
        <f aca="false">Q56-Q83+Q58</f>
        <v>50.9232085375646</v>
      </c>
      <c r="R84" s="13" t="n">
        <f aca="false">R56-R83+R58</f>
        <v>51.1254441692925</v>
      </c>
      <c r="S84" s="13" t="n">
        <f aca="false">S56-S83+S58</f>
        <v>51.240586769193</v>
      </c>
      <c r="T84" s="13" t="n">
        <f aca="false">T56-T83+T58</f>
        <v>51.3161456420434</v>
      </c>
      <c r="U84" s="13" t="n">
        <f aca="false">U56-U83+U58</f>
        <v>51.5196064395441</v>
      </c>
      <c r="V84" s="13" t="n">
        <f aca="false">V56-V83+V58</f>
        <v>49.2713145195501</v>
      </c>
      <c r="W84" s="13" t="n">
        <f aca="false">W56-W83+W58</f>
        <v>51.8823241300972</v>
      </c>
      <c r="X84" s="13" t="n">
        <f aca="false">X56-X83+X58</f>
        <v>51.9716552696997</v>
      </c>
      <c r="Y84" s="13" t="n">
        <f aca="false">Y56-Y83+Y58</f>
        <v>52.1523714947775</v>
      </c>
      <c r="Z84" s="13" t="n">
        <f aca="false">Z56-Z83+Z58</f>
        <v>52.3438905099027</v>
      </c>
      <c r="AA84" s="13" t="n">
        <f aca="false">AA56-AA83+AA58</f>
        <v>52.5018703963153</v>
      </c>
      <c r="AB84" s="13" t="n">
        <f aca="false">AB56-AB83+AB58</f>
        <v>52.6929384646642</v>
      </c>
      <c r="AC84" s="13" t="n">
        <f aca="false">AC56-AC83+AC58</f>
        <v>53.0104603226708</v>
      </c>
      <c r="AD84" s="13" t="n">
        <f aca="false">AD56-AD83+AD58</f>
        <v>40.1717234888226</v>
      </c>
      <c r="AE84" s="13" t="n">
        <f aca="false">AE56-AE83+AE58</f>
        <v>53.540072591789</v>
      </c>
      <c r="AF84" s="13" t="n">
        <f aca="false">AF56-AF83+AF58</f>
        <v>53.4972214530195</v>
      </c>
      <c r="AG84" s="13" t="n">
        <f aca="false">AG56-AG83+AG58</f>
        <v>53.7500393838735</v>
      </c>
      <c r="AH84" s="13" t="n">
        <f aca="false">AH56-AH83+AH58</f>
        <v>54.0587132965794</v>
      </c>
      <c r="AI84" s="13" t="n">
        <f aca="false">AI56-AI83+AI58</f>
        <v>54.2251798893235</v>
      </c>
      <c r="AJ84" s="13" t="n">
        <f aca="false">AJ56-AJ83+AJ58</f>
        <v>54.3514452327217</v>
      </c>
      <c r="AK84" s="13" t="n">
        <f aca="false">AK56-AK83+AK58</f>
        <v>54.679537480653</v>
      </c>
      <c r="AL84" s="13" t="n">
        <f aca="false">AL56-AL83+AL58</f>
        <v>50.9846982451415</v>
      </c>
      <c r="AM84" s="13" t="n">
        <f aca="false">AM56-AM83+AM58</f>
        <v>55.2266948768797</v>
      </c>
      <c r="AN84" s="13" t="n">
        <f aca="false">AN56-AN83+AN58</f>
        <v>55.2088260648634</v>
      </c>
      <c r="AO84" s="13" t="n">
        <f aca="false">AO56-AO83+AO58</f>
        <v>55.4942975263817</v>
      </c>
      <c r="AP84" s="13" t="n">
        <f aca="false">AP56-AP83+AP58</f>
        <v>55.8344894858909</v>
      </c>
      <c r="AQ84" s="13" t="n">
        <f aca="false">AQ56-AQ83+AQ58</f>
        <v>56.0390883239402</v>
      </c>
      <c r="AR84" s="13" t="n">
        <f aca="false">AR56-AR83+AR58</f>
        <v>56.2068738914701</v>
      </c>
      <c r="AS84" s="13" t="n">
        <f aca="false">AS56-AS83+AS58</f>
        <v>56.575905688393</v>
      </c>
      <c r="AT84" s="13" t="n">
        <f aca="false">AT56-AT83+AT58</f>
        <v>42.3761184425965</v>
      </c>
      <c r="AU84" s="13" t="n">
        <f aca="false">AU56-AU83+AU58</f>
        <v>57.2675976467544</v>
      </c>
      <c r="AV84" s="13" t="n">
        <f aca="false">AV56-AV83+AV58</f>
        <v>57.4133094488844</v>
      </c>
      <c r="AW84" s="13" t="n">
        <f aca="false">AW56-AW83+AW58</f>
        <v>57.6461994166253</v>
      </c>
      <c r="AX84" s="13" t="n">
        <f aca="false">AX56-AX83+AX58</f>
        <v>57.8389879674355</v>
      </c>
      <c r="AY84" s="13" t="n">
        <f aca="false">AY56-AY83+AY58</f>
        <v>58.1454772758</v>
      </c>
      <c r="AZ84" s="13" t="n">
        <f aca="false">AZ56-AZ83+AZ58</f>
        <v>58.4737405312293</v>
      </c>
      <c r="BA84" s="13" t="n">
        <f aca="false">BA56-BA83+BA58</f>
        <v>58.8809610865984</v>
      </c>
      <c r="BB84" s="13" t="n">
        <f aca="false">BB56-BB83+BB58</f>
        <v>55.5419262387689</v>
      </c>
      <c r="BC84" s="13" t="n">
        <f aca="false">BC56-BC83+BC58</f>
        <v>59.6210700089557</v>
      </c>
      <c r="BD84" s="13" t="n">
        <f aca="false">BD56-BD83+BD58</f>
        <v>59.7584500445695</v>
      </c>
      <c r="BE84" s="13" t="n">
        <f aca="false">BE56-BE83+BE58</f>
        <v>60.0999143800698</v>
      </c>
      <c r="BF84" s="13" t="n">
        <f aca="false">BF56-BF83+BF58</f>
        <v>60.4581522875409</v>
      </c>
      <c r="BG84" s="13" t="n">
        <f aca="false">BG56-BG83+BG58</f>
        <v>60.8641568036052</v>
      </c>
      <c r="BH84" s="13" t="n">
        <f aca="false">BH56-BH83+BH58</f>
        <v>61.3358706951139</v>
      </c>
      <c r="BI84" s="13" t="n">
        <f aca="false">BI56-BI83+BI58</f>
        <v>61.7623988388032</v>
      </c>
      <c r="BJ84" s="13" t="n">
        <f aca="false">BJ56-BJ83+BJ58</f>
        <v>44.545050295981</v>
      </c>
      <c r="BK84" s="13" t="n">
        <f aca="false">BK56-BK83+BK58</f>
        <v>62.5527998008668</v>
      </c>
      <c r="BL84" s="13" t="n">
        <f aca="false">BL56-BL83+BL58</f>
        <v>62.7708381966165</v>
      </c>
      <c r="BM84" s="13" t="n">
        <f aca="false">BM56-BM83+BM58</f>
        <v>23.0516853740852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36.0337070035118</v>
      </c>
      <c r="P88" s="13" t="n">
        <f aca="false">(1-P86)*(P56/MAX(Time!P31,1)*Inputs!$F$168+P55/MAX(Time!P31,1)*P87)</f>
        <v>36.0382389045113</v>
      </c>
      <c r="Q88" s="13" t="n">
        <f aca="false">(1-Q86)*(Q56/MAX(Time!Q31,1)*Inputs!$F$168+Q55/MAX(Time!Q31,1)*Q87)</f>
        <v>36.7865123941332</v>
      </c>
      <c r="R88" s="13" t="n">
        <f aca="false">(1-R86)*(R56/MAX(Time!R31,1)*Inputs!$F$168+R55/MAX(Time!R31,1)*R87)</f>
        <v>36.5872494419712</v>
      </c>
      <c r="S88" s="13" t="n">
        <f aca="false">(1-S86)*(S56/MAX(Time!S31,1)*Inputs!$F$168+S55/MAX(Time!S31,1)*S87)</f>
        <v>37.3737630015972</v>
      </c>
      <c r="T88" s="13" t="n">
        <f aca="false">(1-T86)*(T56/MAX(Time!T31,1)*Inputs!$F$168+T55/MAX(Time!T31,1)*T87)</f>
        <v>37.2236153763029</v>
      </c>
      <c r="U88" s="13" t="n">
        <f aca="false">(1-U86)*(U56/MAX(Time!U31,1)*Inputs!$F$168+U55/MAX(Time!U31,1)*U87)</f>
        <v>37.8937031560075</v>
      </c>
      <c r="V88" s="13" t="n">
        <f aca="false">(1-V86)*(V56/MAX(Time!V31,1)*Inputs!$F$168+V55/MAX(Time!V31,1)*V87)</f>
        <v>37.7724169711662</v>
      </c>
      <c r="W88" s="13" t="n">
        <f aca="false">(1-W86)*(W56/MAX(Time!W31,1)*Inputs!$F$168+W55/MAX(Time!W31,1)*W87)</f>
        <v>38.5958512972657</v>
      </c>
      <c r="X88" s="13" t="n">
        <f aca="false">(1-X86)*(X56/MAX(Time!X31,1)*Inputs!$F$168+X55/MAX(Time!X31,1)*X87)</f>
        <v>38.459885326809</v>
      </c>
      <c r="Y88" s="13" t="n">
        <f aca="false">(1-Y86)*(Y56/MAX(Time!Y31,1)*Inputs!$F$168+Y55/MAX(Time!Y31,1)*Y87)</f>
        <v>39.2822036382987</v>
      </c>
      <c r="Z88" s="13" t="n">
        <f aca="false">(1-Z86)*(Z56/MAX(Time!Z31,1)*Inputs!$F$168+Z55/MAX(Time!Z31,1)*Z87)</f>
        <v>39.1080867049648</v>
      </c>
      <c r="AA88" s="13" t="n">
        <f aca="false">(1-AA86)*(AA56/MAX(Time!AA31,1)*Inputs!$F$168+AA55/MAX(Time!AA31,1)*AA87)</f>
        <v>39.9341891121788</v>
      </c>
      <c r="AB88" s="13" t="n">
        <f aca="false">(1-AB86)*(AB56/MAX(Time!AB31,1)*Inputs!$F$168+AB55/MAX(Time!AB31,1)*AB87)</f>
        <v>39.7345326428172</v>
      </c>
      <c r="AC88" s="13" t="n">
        <f aca="false">(1-AC86)*(AC56/MAX(Time!AC31,1)*Inputs!$F$168+AC55/MAX(Time!AC31,1)*AC87)</f>
        <v>40.4242941855273</v>
      </c>
      <c r="AD88" s="13" t="n">
        <f aca="false">(1-AD86)*(AD56/MAX(Time!AD31,1)*Inputs!$F$168+AD55/MAX(Time!AD31,1)*AD87)</f>
        <v>39.8987960953153</v>
      </c>
      <c r="AE88" s="13" t="n">
        <f aca="false">(1-AE86)*(AE56/MAX(Time!AE31,1)*Inputs!$F$168+AE55/MAX(Time!AE31,1)*AE87)</f>
        <v>41.1502390967164</v>
      </c>
      <c r="AF88" s="13" t="n">
        <f aca="false">(1-AF86)*(AF56/MAX(Time!AF31,1)*Inputs!$F$168+AF55/MAX(Time!AF31,1)*AF87)</f>
        <v>41.0834022454906</v>
      </c>
      <c r="AG88" s="13" t="n">
        <f aca="false">(1-AG86)*(AG56/MAX(Time!AG31,1)*Inputs!$F$168+AG55/MAX(Time!AG31,1)*AG87)</f>
        <v>41.9476370398596</v>
      </c>
      <c r="AH88" s="13" t="n">
        <f aca="false">(1-AH86)*(AH56/MAX(Time!AH31,1)*Inputs!$F$168+AH55/MAX(Time!AH31,1)*AH87)</f>
        <v>41.7234982635696</v>
      </c>
      <c r="AI88" s="13" t="n">
        <f aca="false">(1-AI86)*(AI56/MAX(Time!AI31,1)*Inputs!$F$168+AI55/MAX(Time!AI31,1)*AI87)</f>
        <v>42.6497880975603</v>
      </c>
      <c r="AJ88" s="13" t="n">
        <f aca="false">(1-AJ86)*(AJ56/MAX(Time!AJ31,1)*Inputs!$F$168+AJ55/MAX(Time!AJ31,1)*AJ87)</f>
        <v>42.5174336988862</v>
      </c>
      <c r="AK88" s="13" t="n">
        <f aca="false">(1-AK86)*(AK56/MAX(Time!AK31,1)*Inputs!$F$168+AK55/MAX(Time!AK31,1)*AK87)</f>
        <v>43.281282002758</v>
      </c>
      <c r="AL88" s="13" t="n">
        <f aca="false">(1-AL86)*(AL56/MAX(Time!AL31,1)*Inputs!$F$168+AL55/MAX(Time!AL31,1)*AL87)</f>
        <v>42.8386671853529</v>
      </c>
      <c r="AM88" s="13" t="n">
        <f aca="false">(1-AM86)*(AM56/MAX(Time!AM31,1)*Inputs!$F$168+AM55/MAX(Time!AM31,1)*AM87)</f>
        <v>44.115846748739</v>
      </c>
      <c r="AN88" s="13" t="n">
        <f aca="false">(1-AN86)*(AN56/MAX(Time!AN31,1)*Inputs!$F$168+AN55/MAX(Time!AN31,1)*AN87)</f>
        <v>44.0707976205935</v>
      </c>
      <c r="AO88" s="13" t="n">
        <f aca="false">(1-AO86)*(AO56/MAX(Time!AO31,1)*Inputs!$F$168+AO55/MAX(Time!AO31,1)*AO87)</f>
        <v>45.0158891284493</v>
      </c>
      <c r="AP88" s="13" t="n">
        <f aca="false">(1-AP86)*(AP56/MAX(Time!AP31,1)*Inputs!$F$168+AP55/MAX(Time!AP31,1)*AP87)</f>
        <v>44.7966526657698</v>
      </c>
      <c r="AQ88" s="13" t="n">
        <f aca="false">(1-AQ86)*(AQ56/MAX(Time!AQ31,1)*Inputs!$F$168+AQ55/MAX(Time!AQ31,1)*AQ87)</f>
        <v>45.809289703707</v>
      </c>
      <c r="AR88" s="13" t="n">
        <f aca="false">(1-AR86)*(AR56/MAX(Time!AR31,1)*Inputs!$F$168+AR55/MAX(Time!AR31,1)*AR87)</f>
        <v>45.6876697532641</v>
      </c>
      <c r="AS88" s="13" t="n">
        <f aca="false">(1-AS86)*(AS56/MAX(Time!AS31,1)*Inputs!$F$168+AS55/MAX(Time!AS31,1)*AS87)</f>
        <v>46.5251939944708</v>
      </c>
      <c r="AT88" s="13" t="n">
        <f aca="false">(1-AT86)*(AT56/MAX(Time!AT31,1)*Inputs!$F$168+AT55/MAX(Time!AT31,1)*AT87)</f>
        <v>46.2086164421781</v>
      </c>
      <c r="AU88" s="13" t="n">
        <f aca="false">(1-AU86)*(AU56/MAX(Time!AU31,1)*Inputs!$F$168+AU55/MAX(Time!AU31,1)*AU87)</f>
        <v>47.4261547743634</v>
      </c>
      <c r="AV88" s="13" t="n">
        <f aca="false">(1-AV86)*(AV56/MAX(Time!AV31,1)*Inputs!$F$168+AV55/MAX(Time!AV31,1)*AV87)</f>
        <v>47.3376843574435</v>
      </c>
      <c r="AW88" s="13" t="n">
        <f aca="false">(1-AW86)*(AW56/MAX(Time!AW31,1)*Inputs!$F$168+AW55/MAX(Time!AW31,1)*AW87)</f>
        <v>48.4274712386489</v>
      </c>
      <c r="AX88" s="13" t="n">
        <f aca="false">(1-AX86)*(AX56/MAX(Time!AX31,1)*Inputs!$F$168+AX55/MAX(Time!AX31,1)*AX87)</f>
        <v>48.3239323446047</v>
      </c>
      <c r="AY88" s="13" t="n">
        <f aca="false">(1-AY86)*(AY56/MAX(Time!AY31,1)*Inputs!$F$168+AY55/MAX(Time!AY31,1)*AY87)</f>
        <v>49.406829413379</v>
      </c>
      <c r="AZ88" s="13" t="n">
        <f aca="false">(1-AZ86)*(AZ56/MAX(Time!AZ31,1)*Inputs!$F$168+AZ55/MAX(Time!AZ31,1)*AZ87)</f>
        <v>49.2346391992398</v>
      </c>
      <c r="BA88" s="13" t="n">
        <f aca="false">(1-BA86)*(BA56/MAX(Time!BA31,1)*Inputs!$F$168+BA55/MAX(Time!BA31,1)*BA87)</f>
        <v>50.1629355723654</v>
      </c>
      <c r="BB88" s="13" t="n">
        <f aca="false">(1-BB86)*(BB56/MAX(Time!BB31,1)*Inputs!$F$168+BB55/MAX(Time!BB31,1)*BB87)</f>
        <v>49.932163427588</v>
      </c>
      <c r="BC88" s="13" t="n">
        <f aca="false">(1-BC86)*(BC56/MAX(Time!BC31,1)*Inputs!$F$168+BC55/MAX(Time!BC31,1)*BC87)</f>
        <v>51.2115775010778</v>
      </c>
      <c r="BD88" s="13" t="n">
        <f aca="false">(1-BD86)*(BD56/MAX(Time!BD31,1)*Inputs!$F$168+BD55/MAX(Time!BD31,1)*BD87)</f>
        <v>51.1871968839691</v>
      </c>
      <c r="BE88" s="13" t="n">
        <f aca="false">(1-BE86)*(BE56/MAX(Time!BE31,1)*Inputs!$F$168+BE55/MAX(Time!BE31,1)*BE87)</f>
        <v>52.3576416444683</v>
      </c>
      <c r="BF88" s="13" t="n">
        <f aca="false">(1-BF86)*(BF56/MAX(Time!BF31,1)*Inputs!$F$168+BF55/MAX(Time!BF31,1)*BF87)</f>
        <v>52.2035772461708</v>
      </c>
      <c r="BG88" s="13" t="n">
        <f aca="false">(1-BG86)*(BG56/MAX(Time!BG31,1)*Inputs!$F$168+BG55/MAX(Time!BG31,1)*BG87)</f>
        <v>53.3695564978564</v>
      </c>
      <c r="BH88" s="13" t="n">
        <f aca="false">(1-BH86)*(BH56/MAX(Time!BH31,1)*Inputs!$F$168+BH55/MAX(Time!BH31,1)*BH87)</f>
        <v>53.1501165518446</v>
      </c>
      <c r="BI88" s="13" t="n">
        <f aca="false">(1-BI86)*(BI56/MAX(Time!BI31,1)*Inputs!$F$168+BI55/MAX(Time!BI31,1)*BI87)</f>
        <v>54.2021726829559</v>
      </c>
      <c r="BJ88" s="13" t="n">
        <f aca="false">(1-BJ86)*(BJ56/MAX(Time!BJ31,1)*Inputs!$F$168+BJ55/MAX(Time!BJ31,1)*BJ87)</f>
        <v>53.8805219522639</v>
      </c>
      <c r="BK88" s="13" t="n">
        <f aca="false">(1-BK86)*(BK56/MAX(Time!BK31,1)*Inputs!$F$168+BK55/MAX(Time!BK31,1)*BK87)</f>
        <v>55.4433476184998</v>
      </c>
      <c r="BL88" s="13" t="n">
        <f aca="false">(1-BL86)*(BL56/MAX(Time!BL31,1)*Inputs!$F$168+BL55/MAX(Time!BL31,1)*BL87)</f>
        <v>55.4503296770433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2.20915679591003</v>
      </c>
      <c r="P91" s="13" t="n">
        <f aca="false">(1-P86)*(P52+P53)/MAX(Time!P31,1)*Inputs!$F$170</f>
        <v>2.20732214359745</v>
      </c>
      <c r="Q91" s="13" t="n">
        <f aca="false">(1-Q86)*(Q52+Q53)/MAX(Time!Q31,1)*Inputs!$F$170</f>
        <v>2.24474299156665</v>
      </c>
      <c r="R91" s="13" t="n">
        <f aca="false">(1-R86)*(R52+R53)/MAX(Time!R31,1)*Inputs!$F$170</f>
        <v>2.23679352070783</v>
      </c>
      <c r="S91" s="13" t="n">
        <f aca="false">(1-S86)*(S52+S53)/MAX(Time!S31,1)*Inputs!$F$170</f>
        <v>2.27844270794948</v>
      </c>
      <c r="T91" s="13" t="n">
        <f aca="false">(1-T86)*(T52+T53)/MAX(Time!T31,1)*Inputs!$F$170</f>
        <v>2.27781446368965</v>
      </c>
      <c r="U91" s="13" t="n">
        <f aca="false">(1-U86)*(U52+U53)/MAX(Time!U31,1)*Inputs!$F$170</f>
        <v>2.31299073373889</v>
      </c>
      <c r="V91" s="13" t="n">
        <f aca="false">(1-V86)*(V52+V53)/MAX(Time!V31,1)*Inputs!$F$170</f>
        <v>2.30363189098483</v>
      </c>
      <c r="W91" s="13" t="n">
        <f aca="false">(1-W86)*(W52+W53)/MAX(Time!W31,1)*Inputs!$F$170</f>
        <v>2.34732836060414</v>
      </c>
      <c r="X91" s="13" t="n">
        <f aca="false">(1-X86)*(X52+X53)/MAX(Time!X31,1)*Inputs!$F$170</f>
        <v>2.3482809429678</v>
      </c>
      <c r="Y91" s="13" t="n">
        <f aca="false">(1-Y86)*(Y52+Y53)/MAX(Time!Y31,1)*Inputs!$F$170</f>
        <v>2.38997264489662</v>
      </c>
      <c r="Z91" s="13" t="n">
        <f aca="false">(1-Z86)*(Z52+Z53)/MAX(Time!Z31,1)*Inputs!$F$170</f>
        <v>2.3849559103309</v>
      </c>
      <c r="AA91" s="13" t="n">
        <f aca="false">(1-AA86)*(AA52+AA53)/MAX(Time!AA31,1)*Inputs!$F$170</f>
        <v>2.42536503622721</v>
      </c>
      <c r="AB91" s="13" t="n">
        <f aca="false">(1-AB86)*(AB52+AB53)/MAX(Time!AB31,1)*Inputs!$F$170</f>
        <v>2.41643770808631</v>
      </c>
      <c r="AC91" s="13" t="n">
        <f aca="false">(1-AC86)*(AC52+AC53)/MAX(Time!AC31,1)*Inputs!$F$170</f>
        <v>2.44823133769006</v>
      </c>
      <c r="AD91" s="13" t="n">
        <f aca="false">(1-AD86)*(AD52+AD53)/MAX(Time!AD31,1)*Inputs!$F$170</f>
        <v>2.42747369963008</v>
      </c>
      <c r="AE91" s="13" t="n">
        <f aca="false">(1-AE86)*(AE52+AE53)/MAX(Time!AE31,1)*Inputs!$F$170</f>
        <v>2.47749384116586</v>
      </c>
      <c r="AF91" s="13" t="n">
        <f aca="false">(1-AF86)*(AF52+AF53)/MAX(Time!AF31,1)*Inputs!$F$170</f>
        <v>2.48699200179025</v>
      </c>
      <c r="AG91" s="13" t="n">
        <f aca="false">(1-AG86)*(AG52+AG53)/MAX(Time!AG31,1)*Inputs!$F$170</f>
        <v>2.52719116980092</v>
      </c>
      <c r="AH91" s="13" t="n">
        <f aca="false">(1-AH86)*(AH52+AH53)/MAX(Time!AH31,1)*Inputs!$F$170</f>
        <v>2.51439193094675</v>
      </c>
      <c r="AI91" s="13" t="n">
        <f aca="false">(1-AI86)*(AI52+AI53)/MAX(Time!AI31,1)*Inputs!$F$170</f>
        <v>2.5611969872009</v>
      </c>
      <c r="AJ91" s="13" t="n">
        <f aca="false">(1-AJ86)*(AJ52+AJ53)/MAX(Time!AJ31,1)*Inputs!$F$170</f>
        <v>2.5606960429614</v>
      </c>
      <c r="AK91" s="13" t="n">
        <f aca="false">(1-AK86)*(AK52+AK53)/MAX(Time!AK31,1)*Inputs!$F$170</f>
        <v>2.59613828523447</v>
      </c>
      <c r="AL91" s="13" t="n">
        <f aca="false">(1-AL86)*(AL52+AL53)/MAX(Time!AL31,1)*Inputs!$F$170</f>
        <v>2.57770044806677</v>
      </c>
      <c r="AM91" s="13" t="n">
        <f aca="false">(1-AM86)*(AM52+AM53)/MAX(Time!AM31,1)*Inputs!$F$170</f>
        <v>2.63092469458601</v>
      </c>
      <c r="AN91" s="13" t="n">
        <f aca="false">(1-AN86)*(AN52+AN53)/MAX(Time!AN31,1)*Inputs!$F$170</f>
        <v>2.64117119601266</v>
      </c>
      <c r="AO91" s="13" t="n">
        <f aca="false">(1-AO86)*(AO52+AO53)/MAX(Time!AO31,1)*Inputs!$F$170</f>
        <v>2.68421775592352</v>
      </c>
      <c r="AP91" s="13" t="n">
        <f aca="false">(1-AP86)*(AP52+AP53)/MAX(Time!AP31,1)*Inputs!$F$170</f>
        <v>2.67125520789353</v>
      </c>
      <c r="AQ91" s="13" t="n">
        <f aca="false">(1-AQ86)*(AQ52+AQ53)/MAX(Time!AQ31,1)*Inputs!$F$170</f>
        <v>2.72089125539085</v>
      </c>
      <c r="AR91" s="13" t="n">
        <f aca="false">(1-AR86)*(AR52+AR53)/MAX(Time!AR31,1)*Inputs!$F$170</f>
        <v>2.72007983497286</v>
      </c>
      <c r="AS91" s="13" t="n">
        <f aca="false">(1-AS86)*(AS52+AS53)/MAX(Time!AS31,1)*Inputs!$F$170</f>
        <v>2.75786400105814</v>
      </c>
      <c r="AT91" s="13" t="n">
        <f aca="false">(1-AT86)*(AT52+AT53)/MAX(Time!AT31,1)*Inputs!$F$170</f>
        <v>2.73848616705075</v>
      </c>
      <c r="AU91" s="13" t="n">
        <f aca="false">(1-AU86)*(AU52+AU53)/MAX(Time!AU31,1)*Inputs!$F$170</f>
        <v>2.79076943114693</v>
      </c>
      <c r="AV91" s="13" t="n">
        <f aca="false">(1-AV86)*(AV52+AV53)/MAX(Time!AV31,1)*Inputs!$F$170</f>
        <v>2.79323586109554</v>
      </c>
      <c r="AW91" s="13" t="n">
        <f aca="false">(1-AW86)*(AW52+AW53)/MAX(Time!AW31,1)*Inputs!$F$170</f>
        <v>2.84551903887418</v>
      </c>
      <c r="AX91" s="13" t="n">
        <f aca="false">(1-AX86)*(AX52+AX53)/MAX(Time!AX31,1)*Inputs!$F$170</f>
        <v>2.84541679987563</v>
      </c>
      <c r="AY91" s="13" t="n">
        <f aca="false">(1-AY86)*(AY52+AY53)/MAX(Time!AY31,1)*Inputs!$F$170</f>
        <v>2.89444580682729</v>
      </c>
      <c r="AZ91" s="13" t="n">
        <f aca="false">(1-AZ86)*(AZ52+AZ53)/MAX(Time!AZ31,1)*Inputs!$F$170</f>
        <v>2.88565593591691</v>
      </c>
      <c r="BA91" s="13" t="n">
        <f aca="false">(1-BA86)*(BA52+BA53)/MAX(Time!BA31,1)*Inputs!$F$170</f>
        <v>2.92658330986798</v>
      </c>
      <c r="BB91" s="13" t="n">
        <f aca="false">(1-BB86)*(BB52+BB53)/MAX(Time!BB31,1)*Inputs!$F$170</f>
        <v>2.90772542295286</v>
      </c>
      <c r="BC91" s="13" t="n">
        <f aca="false">(1-BC86)*(BC52+BC53)/MAX(Time!BC31,1)*Inputs!$F$170</f>
        <v>2.96564102009713</v>
      </c>
      <c r="BD91" s="13" t="n">
        <f aca="false">(1-BD86)*(BD52+BD53)/MAX(Time!BD31,1)*Inputs!$F$170</f>
        <v>2.97289608665427</v>
      </c>
      <c r="BE91" s="13" t="n">
        <f aca="false">(1-BE86)*(BE52+BE53)/MAX(Time!BE31,1)*Inputs!$F$170</f>
        <v>3.02465777417075</v>
      </c>
      <c r="BF91" s="13" t="n">
        <f aca="false">(1-BF86)*(BF52+BF53)/MAX(Time!BF31,1)*Inputs!$F$170</f>
        <v>3.01662729199278</v>
      </c>
      <c r="BG91" s="13" t="n">
        <f aca="false">(1-BG86)*(BG52+BG53)/MAX(Time!BG31,1)*Inputs!$F$170</f>
        <v>3.06537336781415</v>
      </c>
      <c r="BH91" s="13" t="n">
        <f aca="false">(1-BH86)*(BH52+BH53)/MAX(Time!BH31,1)*Inputs!$F$170</f>
        <v>3.04989453133727</v>
      </c>
      <c r="BI91" s="13" t="n">
        <f aca="false">(1-BI86)*(BI52+BI53)/MAX(Time!BI31,1)*Inputs!$F$170</f>
        <v>3.09609679235181</v>
      </c>
      <c r="BJ91" s="13" t="n">
        <f aca="false">(1-BJ86)*(BJ52+BJ53)/MAX(Time!BJ31,1)*Inputs!$F$170</f>
        <v>3.0823219968616</v>
      </c>
      <c r="BK91" s="13" t="n">
        <f aca="false">(1-BK86)*(BK52+BK53)/MAX(Time!BK31,1)*Inputs!$F$170</f>
        <v>3.14346250683233</v>
      </c>
      <c r="BL91" s="13" t="n">
        <f aca="false">(1-BL86)*(BL52+BL53)/MAX(Time!BL31,1)*Inputs!$F$170</f>
        <v>3.15082596919713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1.56829191720039</v>
      </c>
      <c r="P92" s="13" t="n">
        <f aca="false">(1-P86)*(P60+P61+P62+P64)/MAX(Time!P31,1)*Inputs!$F$171</f>
        <v>1.582363098369</v>
      </c>
      <c r="Q92" s="13" t="n">
        <f aca="false">(1-Q86)*(Q60+Q61+Q62+Q64)/MAX(Time!Q31,1)*Inputs!$F$171</f>
        <v>1.62604372147285</v>
      </c>
      <c r="R92" s="13" t="n">
        <f aca="false">(1-R86)*(R60+R61+R62+R64)/MAX(Time!R31,1)*Inputs!$F$171</f>
        <v>1.6110939513999</v>
      </c>
      <c r="S92" s="13" t="n">
        <f aca="false">(1-S86)*(S60+S61+S62+S64)/MAX(Time!S31,1)*Inputs!$F$171</f>
        <v>1.67463806692825</v>
      </c>
      <c r="T92" s="13" t="n">
        <f aca="false">(1-T86)*(T60+T61+T62+T64)/MAX(Time!T31,1)*Inputs!$F$171</f>
        <v>1.69697969557219</v>
      </c>
      <c r="U92" s="13" t="n">
        <f aca="false">(1-U86)*(U60+U61+U62+U64)/MAX(Time!U31,1)*Inputs!$F$171</f>
        <v>1.72698542654055</v>
      </c>
      <c r="V92" s="13" t="n">
        <f aca="false">(1-V86)*(V60+V61+V62+V64)/MAX(Time!V31,1)*Inputs!$F$171</f>
        <v>1.70567952106313</v>
      </c>
      <c r="W92" s="13" t="n">
        <f aca="false">(1-W86)*(W60+W61+W62+W64)/MAX(Time!W31,1)*Inputs!$F$171</f>
        <v>1.77734748347336</v>
      </c>
      <c r="X92" s="13" t="n">
        <f aca="false">(1-X86)*(X60+X61+X62+X64)/MAX(Time!X31,1)*Inputs!$F$171</f>
        <v>1.80460959568715</v>
      </c>
      <c r="Y92" s="13" t="n">
        <f aca="false">(1-Y86)*(Y60+Y61+Y62+Y64)/MAX(Time!Y31,1)*Inputs!$F$171</f>
        <v>1.86203287746238</v>
      </c>
      <c r="Z92" s="13" t="n">
        <f aca="false">(1-Z86)*(Z60+Z61+Z62+Z64)/MAX(Time!Z31,1)*Inputs!$F$171</f>
        <v>1.8592655841665</v>
      </c>
      <c r="AA92" s="13" t="n">
        <f aca="false">(1-AA86)*(AA60+AA61+AA62+AA64)/MAX(Time!AA31,1)*Inputs!$F$171</f>
        <v>1.91868137376422</v>
      </c>
      <c r="AB92" s="13" t="n">
        <f aca="false">(1-AB86)*(AB60+AB61+AB62+AB64)/MAX(Time!AB31,1)*Inputs!$F$171</f>
        <v>1.9074198914812</v>
      </c>
      <c r="AC92" s="13" t="n">
        <f aca="false">(1-AC86)*(AC60+AC61+AC62+AC64)/MAX(Time!AC31,1)*Inputs!$F$171</f>
        <v>1.91421888795457</v>
      </c>
      <c r="AD92" s="13" t="n">
        <f aca="false">(1-AD86)*(AD60+AD61+AD62+AD64)/MAX(Time!AD31,1)*Inputs!$F$171</f>
        <v>1.85290839910915</v>
      </c>
      <c r="AE92" s="13" t="n">
        <f aca="false">(1-AE86)*(AE60+AE61+AE62+AE64)/MAX(Time!AE31,1)*Inputs!$F$171</f>
        <v>1.93606781967793</v>
      </c>
      <c r="AF92" s="13" t="n">
        <f aca="false">(1-AF86)*(AF60+AF61+AF62+AF64)/MAX(Time!AF31,1)*Inputs!$F$171</f>
        <v>2.01571184109115</v>
      </c>
      <c r="AG92" s="13" t="n">
        <f aca="false">(1-AG86)*(AG60+AG61+AG62+AG64)/MAX(Time!AG31,1)*Inputs!$F$171</f>
        <v>2.06372293643635</v>
      </c>
      <c r="AH92" s="13" t="n">
        <f aca="false">(1-AH86)*(AH60+AH61+AH62+AH64)/MAX(Time!AH31,1)*Inputs!$F$171</f>
        <v>2.02743594653629</v>
      </c>
      <c r="AI92" s="13" t="n">
        <f aca="false">(1-AI86)*(AI60+AI61+AI62+AI64)/MAX(Time!AI31,1)*Inputs!$F$171</f>
        <v>2.10929131628697</v>
      </c>
      <c r="AJ92" s="13" t="n">
        <f aca="false">(1-AJ86)*(AJ60+AJ61+AJ62+AJ64)/MAX(Time!AJ31,1)*Inputs!$F$171</f>
        <v>2.1388209066428</v>
      </c>
      <c r="AK92" s="13" t="n">
        <f aca="false">(1-AK86)*(AK60+AK61+AK62+AK64)/MAX(Time!AK31,1)*Inputs!$F$171</f>
        <v>2.15865364614957</v>
      </c>
      <c r="AL92" s="13" t="n">
        <f aca="false">(1-AL86)*(AL60+AL61+AL62+AL64)/MAX(Time!AL31,1)*Inputs!$F$171</f>
        <v>2.10332601598685</v>
      </c>
      <c r="AM92" s="13" t="n">
        <f aca="false">(1-AM86)*(AM60+AM61+AM62+AM64)/MAX(Time!AM31,1)*Inputs!$F$171</f>
        <v>2.20800311600705</v>
      </c>
      <c r="AN92" s="13" t="n">
        <f aca="false">(1-AN86)*(AN60+AN61+AN62+AN64)/MAX(Time!AN31,1)*Inputs!$F$171</f>
        <v>2.29725175010992</v>
      </c>
      <c r="AO92" s="13" t="n">
        <f aca="false">(1-AO86)*(AO60+AO61+AO62+AO64)/MAX(Time!AO31,1)*Inputs!$F$171</f>
        <v>2.35596173408869</v>
      </c>
      <c r="AP92" s="13" t="n">
        <f aca="false">(1-AP86)*(AP60+AP61+AP62+AP64)/MAX(Time!AP31,1)*Inputs!$F$171</f>
        <v>2.32119084454921</v>
      </c>
      <c r="AQ92" s="13" t="n">
        <f aca="false">(1-AQ86)*(AQ60+AQ61+AQ62+AQ64)/MAX(Time!AQ31,1)*Inputs!$F$171</f>
        <v>2.41484690269375</v>
      </c>
      <c r="AR92" s="13" t="n">
        <f aca="false">(1-AR86)*(AR60+AR61+AR62+AR64)/MAX(Time!AR31,1)*Inputs!$F$171</f>
        <v>2.44716783086196</v>
      </c>
      <c r="AS92" s="13" t="n">
        <f aca="false">(1-AS86)*(AS60+AS61+AS62+AS64)/MAX(Time!AS31,1)*Inputs!$F$171</f>
        <v>2.47394166483025</v>
      </c>
      <c r="AT92" s="13" t="n">
        <f aca="false">(1-AT86)*(AT60+AT61+AT62+AT64)/MAX(Time!AT31,1)*Inputs!$F$171</f>
        <v>2.40593255497508</v>
      </c>
      <c r="AU92" s="13" t="n">
        <f aca="false">(1-AU86)*(AU60+AU61+AU62+AU64)/MAX(Time!AU31,1)*Inputs!$F$171</f>
        <v>2.51307711240275</v>
      </c>
      <c r="AV92" s="13" t="n">
        <f aca="false">(1-AV86)*(AV60+AV61+AV62+AV64)/MAX(Time!AV31,1)*Inputs!$F$171</f>
        <v>2.56532592974</v>
      </c>
      <c r="AW92" s="13" t="n">
        <f aca="false">(1-AW86)*(AW60+AW61+AW62+AW64)/MAX(Time!AW31,1)*Inputs!$F$171</f>
        <v>2.67166926488258</v>
      </c>
      <c r="AX92" s="13" t="n">
        <f aca="false">(1-AX86)*(AX60+AX61+AX62+AX64)/MAX(Time!AX31,1)*Inputs!$F$171</f>
        <v>2.71173950246864</v>
      </c>
      <c r="AY92" s="13" t="n">
        <f aca="false">(1-AY86)*(AY60+AY61+AY62+AY64)/MAX(Time!AY31,1)*Inputs!$F$171</f>
        <v>2.79923227733167</v>
      </c>
      <c r="AZ92" s="13" t="n">
        <f aca="false">(1-AZ86)*(AZ60+AZ61+AZ62+AZ64)/MAX(Time!AZ31,1)*Inputs!$F$171</f>
        <v>2.7920527608538</v>
      </c>
      <c r="BA92" s="13" t="n">
        <f aca="false">(1-BA86)*(BA60+BA61+BA62+BA64)/MAX(Time!BA31,1)*Inputs!$F$171</f>
        <v>2.83140586918201</v>
      </c>
      <c r="BB92" s="13" t="n">
        <f aca="false">(1-BB86)*(BB60+BB61+BB62+BB64)/MAX(Time!BB31,1)*Inputs!$F$171</f>
        <v>2.76949879242583</v>
      </c>
      <c r="BC92" s="13" t="n">
        <f aca="false">(1-BC86)*(BC60+BC61+BC62+BC64)/MAX(Time!BC31,1)*Inputs!$F$171</f>
        <v>2.90680628063543</v>
      </c>
      <c r="BD92" s="13" t="n">
        <f aca="false">(1-BD86)*(BD60+BD61+BD62+BD64)/MAX(Time!BD31,1)*Inputs!$F$171</f>
        <v>2.99276113186255</v>
      </c>
      <c r="BE92" s="13" t="n">
        <f aca="false">(1-BE86)*(BE60+BE61+BE62+BE64)/MAX(Time!BE31,1)*Inputs!$F$171</f>
        <v>3.09445943638613</v>
      </c>
      <c r="BF92" s="13" t="n">
        <f aca="false">(1-BF86)*(BF60+BF61+BF62+BF64)/MAX(Time!BF31,1)*Inputs!$F$171</f>
        <v>3.09506413722148</v>
      </c>
      <c r="BG92" s="13" t="n">
        <f aca="false">(1-BG86)*(BG60+BG61+BG62+BG64)/MAX(Time!BG31,1)*Inputs!$F$171</f>
        <v>3.17923908991632</v>
      </c>
      <c r="BH92" s="13" t="n">
        <f aca="false">(1-BH86)*(BH60+BH61+BH62+BH64)/MAX(Time!BH31,1)*Inputs!$F$171</f>
        <v>3.13762164517913</v>
      </c>
      <c r="BI92" s="13" t="n">
        <f aca="false">(1-BI86)*(BI60+BI61+BI62+BI64)/MAX(Time!BI31,1)*Inputs!$F$171</f>
        <v>3.20386320852206</v>
      </c>
      <c r="BJ92" s="13" t="n">
        <f aca="false">(1-BJ86)*(BJ60+BJ61+BJ62+BJ64)/MAX(Time!BJ31,1)*Inputs!$F$171</f>
        <v>3.17623584937689</v>
      </c>
      <c r="BK92" s="13" t="n">
        <f aca="false">(1-BK86)*(BK60+BK61+BK62+BK64)/MAX(Time!BK31,1)*Inputs!$F$171</f>
        <v>3.33214272512837</v>
      </c>
      <c r="BL92" s="13" t="n">
        <f aca="false">(1-BL86)*(BL60+BL61+BL62+BL64)/MAX(Time!BL31,1)*Inputs!$F$171</f>
        <v>3.42647923809582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1.14069305506636</v>
      </c>
      <c r="P93" s="13" t="n">
        <f aca="false">(1-P86)*(P65+P66+P67+P68+P69+P70+P71)/MAX(Time!P31,1)*Inputs!$F$172</f>
        <v>1.15249274999613</v>
      </c>
      <c r="Q93" s="13" t="n">
        <f aca="false">(1-Q86)*(Q65+Q66+Q67+Q68+Q69+Q70+Q71)/MAX(Time!Q31,1)*Inputs!$F$172</f>
        <v>1.18912420594268</v>
      </c>
      <c r="R93" s="13" t="n">
        <f aca="false">(1-R86)*(R65+R66+R67+R68+R69+R70+R71)/MAX(Time!R31,1)*Inputs!$F$172</f>
        <v>1.18625396055397</v>
      </c>
      <c r="S93" s="13" t="n">
        <f aca="false">(1-S86)*(S65+S66+S67+S68+S69+S70+S71)/MAX(Time!S31,1)*Inputs!$F$172</f>
        <v>1.2277245827344</v>
      </c>
      <c r="T93" s="13" t="n">
        <f aca="false">(1-T86)*(T65+T66+T67+T68+T69+T70+T71)/MAX(Time!T31,1)*Inputs!$F$172</f>
        <v>1.23206483918767</v>
      </c>
      <c r="U93" s="13" t="n">
        <f aca="false">(1-U86)*(U65+U66+U67+U68+U69+U70+U71)/MAX(Time!U31,1)*Inputs!$F$172</f>
        <v>1.26328564716821</v>
      </c>
      <c r="V93" s="13" t="n">
        <f aca="false">(1-V86)*(V65+V66+V67+V68+V69+V70+V71)/MAX(Time!V31,1)*Inputs!$F$172</f>
        <v>1.26475026925925</v>
      </c>
      <c r="W93" s="13" t="n">
        <f aca="false">(1-W86)*(W65+W66+W67+W68+W69+W70+W71)/MAX(Time!W31,1)*Inputs!$F$172</f>
        <v>1.3103080184861</v>
      </c>
      <c r="X93" s="13" t="n">
        <f aca="false">(1-X86)*(X65+X66+X67+X68+X69+X70+X71)/MAX(Time!X31,1)*Inputs!$F$172</f>
        <v>1.31709014001508</v>
      </c>
      <c r="Y93" s="13" t="n">
        <f aca="false">(1-Y86)*(Y65+Y66+Y67+Y68+Y69+Y70+Y71)/MAX(Time!Y31,1)*Inputs!$F$172</f>
        <v>1.36186126731718</v>
      </c>
      <c r="Z93" s="13" t="n">
        <f aca="false">(1-Z86)*(Z65+Z66+Z67+Z68+Z69+Z70+Z71)/MAX(Time!Z31,1)*Inputs!$F$172</f>
        <v>1.36327683945476</v>
      </c>
      <c r="AA93" s="13" t="n">
        <f aca="false">(1-AA86)*(AA65+AA66+AA67+AA68+AA69+AA70+AA71)/MAX(Time!AA31,1)*Inputs!$F$172</f>
        <v>1.40794477764314</v>
      </c>
      <c r="AB93" s="13" t="n">
        <f aca="false">(1-AB86)*(AB65+AB66+AB67+AB68+AB69+AB70+AB71)/MAX(Time!AB31,1)*Inputs!$F$172</f>
        <v>1.40575677709706</v>
      </c>
      <c r="AC93" s="13" t="n">
        <f aca="false">(1-AC86)*(AC65+AC66+AC67+AC68+AC69+AC70+AC71)/MAX(Time!AC31,1)*Inputs!$F$172</f>
        <v>1.43688049958641</v>
      </c>
      <c r="AD93" s="13" t="n">
        <f aca="false">(1-AD86)*(AD65+AD66+AD67+AD68+AD69+AD70+AD71)/MAX(Time!AD31,1)*Inputs!$F$172</f>
        <v>1.42701017011122</v>
      </c>
      <c r="AE93" s="13" t="n">
        <f aca="false">(1-AE86)*(AE65+AE66+AE67+AE68+AE69+AE70+AE71)/MAX(Time!AE31,1)*Inputs!$F$172</f>
        <v>1.48543090749898</v>
      </c>
      <c r="AF93" s="13" t="n">
        <f aca="false">(1-AF86)*(AF65+AF66+AF67+AF68+AF69+AF70+AF71)/MAX(Time!AF31,1)*Inputs!$F$172</f>
        <v>1.50340294261142</v>
      </c>
      <c r="AG93" s="13" t="n">
        <f aca="false">(1-AG86)*(AG65+AG66+AG67+AG68+AG69+AG70+AG71)/MAX(Time!AG31,1)*Inputs!$F$172</f>
        <v>1.55166686547098</v>
      </c>
      <c r="AH93" s="13" t="n">
        <f aca="false">(1-AH86)*(AH65+AH66+AH67+AH68+AH69+AH70+AH71)/MAX(Time!AH31,1)*Inputs!$F$172</f>
        <v>1.5462529039031</v>
      </c>
      <c r="AI93" s="13" t="n">
        <f aca="false">(1-AI86)*(AI65+AI66+AI67+AI68+AI69+AI70+AI71)/MAX(Time!AI31,1)*Inputs!$F$172</f>
        <v>1.60316752176048</v>
      </c>
      <c r="AJ93" s="13" t="n">
        <f aca="false">(1-AJ86)*(AJ65+AJ66+AJ67+AJ68+AJ69+AJ70+AJ71)/MAX(Time!AJ31,1)*Inputs!$F$172</f>
        <v>1.61185280729675</v>
      </c>
      <c r="AK93" s="13" t="n">
        <f aca="false">(1-AK86)*(AK65+AK66+AK67+AK68+AK69+AK70+AK71)/MAX(Time!AK31,1)*Inputs!$F$172</f>
        <v>1.65090938635008</v>
      </c>
      <c r="AL93" s="13" t="n">
        <f aca="false">(1-AL86)*(AL65+AL66+AL67+AL68+AL69+AL70+AL71)/MAX(Time!AL31,1)*Inputs!$F$172</f>
        <v>1.6453285605261</v>
      </c>
      <c r="AM93" s="13" t="n">
        <f aca="false">(1-AM86)*(AM65+AM66+AM67+AM68+AM69+AM70+AM71)/MAX(Time!AM31,1)*Inputs!$F$172</f>
        <v>1.7139572200414</v>
      </c>
      <c r="AN93" s="13" t="n">
        <f aca="false">(1-AN86)*(AN65+AN66+AN67+AN68+AN69+AN70+AN71)/MAX(Time!AN31,1)*Inputs!$F$172</f>
        <v>1.73658613604711</v>
      </c>
      <c r="AO93" s="13" t="n">
        <f aca="false">(1-AO86)*(AO65+AO66+AO67+AO68+AO69+AO70+AO71)/MAX(Time!AO31,1)*Inputs!$F$172</f>
        <v>1.79429809080667</v>
      </c>
      <c r="AP93" s="13" t="n">
        <f aca="false">(1-AP86)*(AP65+AP66+AP67+AP68+AP69+AP70+AP71)/MAX(Time!AP31,1)*Inputs!$F$172</f>
        <v>1.79037438014129</v>
      </c>
      <c r="AQ93" s="13" t="n">
        <f aca="false">(1-AQ86)*(AQ65+AQ66+AQ67+AQ68+AQ69+AQ70+AQ71)/MAX(Time!AQ31,1)*Inputs!$F$172</f>
        <v>1.85781301619331</v>
      </c>
      <c r="AR93" s="13" t="n">
        <f aca="false">(1-AR86)*(AR65+AR66+AR67+AR68+AR69+AR70+AR71)/MAX(Time!AR31,1)*Inputs!$F$172</f>
        <v>1.86930600357182</v>
      </c>
      <c r="AS93" s="13" t="n">
        <f aca="false">(1-AS86)*(AS65+AS66+AS67+AS68+AS69+AS70+AS71)/MAX(Time!AS31,1)*Inputs!$F$172</f>
        <v>1.91640840701968</v>
      </c>
      <c r="AT93" s="13" t="n">
        <f aca="false">(1-AT86)*(AT65+AT66+AT67+AT68+AT69+AT70+AT71)/MAX(Time!AT31,1)*Inputs!$F$172</f>
        <v>1.91244462471214</v>
      </c>
      <c r="AU93" s="13" t="n">
        <f aca="false">(1-AU86)*(AU65+AU66+AU67+AU68+AU69+AU70+AU71)/MAX(Time!AU31,1)*Inputs!$F$172</f>
        <v>1.98798211218638</v>
      </c>
      <c r="AV93" s="13" t="n">
        <f aca="false">(1-AV86)*(AV65+AV66+AV67+AV68+AV69+AV70+AV71)/MAX(Time!AV31,1)*Inputs!$F$172</f>
        <v>2.00528792921436</v>
      </c>
      <c r="AW93" s="13" t="n">
        <f aca="false">(1-AW86)*(AW65+AW66+AW67+AW68+AW69+AW70+AW71)/MAX(Time!AW31,1)*Inputs!$F$172</f>
        <v>2.08275816999406</v>
      </c>
      <c r="AX93" s="13" t="n">
        <f aca="false">(1-AX86)*(AX65+AX66+AX67+AX68+AX69+AX70+AX71)/MAX(Time!AX31,1)*Inputs!$F$172</f>
        <v>2.09811315258292</v>
      </c>
      <c r="AY93" s="13" t="n">
        <f aca="false">(1-AY86)*(AY65+AY66+AY67+AY68+AY69+AY70+AY71)/MAX(Time!AY31,1)*Inputs!$F$172</f>
        <v>2.17381228980111</v>
      </c>
      <c r="AZ93" s="13" t="n">
        <f aca="false">(1-AZ86)*(AZ65+AZ66+AZ67+AZ68+AZ69+AZ70+AZ71)/MAX(Time!AZ31,1)*Inputs!$F$172</f>
        <v>2.17859808212705</v>
      </c>
      <c r="BA93" s="13" t="n">
        <f aca="false">(1-BA86)*(BA65+BA66+BA67+BA68+BA69+BA70+BA71)/MAX(Time!BA31,1)*Inputs!$F$172</f>
        <v>2.23663048582186</v>
      </c>
      <c r="BB93" s="13" t="n">
        <f aca="false">(1-BB86)*(BB65+BB66+BB67+BB68+BB69+BB70+BB71)/MAX(Time!BB31,1)*Inputs!$F$172</f>
        <v>2.23662871776509</v>
      </c>
      <c r="BC93" s="13" t="n">
        <f aca="false">(1-BC86)*(BC65+BC66+BC67+BC68+BC69+BC70+BC71)/MAX(Time!BC31,1)*Inputs!$F$172</f>
        <v>2.33014091515129</v>
      </c>
      <c r="BD93" s="13" t="n">
        <f aca="false">(1-BD86)*(BD65+BD66+BD67+BD68+BD69+BD70+BD71)/MAX(Time!BD31,1)*Inputs!$F$172</f>
        <v>2.35939700723461</v>
      </c>
      <c r="BE93" s="13" t="n">
        <f aca="false">(1-BE86)*(BE65+BE66+BE67+BE68+BE69+BE70+BE71)/MAX(Time!BE31,1)*Inputs!$F$172</f>
        <v>2.44701693431389</v>
      </c>
      <c r="BF93" s="13" t="n">
        <f aca="false">(1-BF86)*(BF65+BF66+BF67+BF68+BF69+BF70+BF71)/MAX(Time!BF31,1)*Inputs!$F$172</f>
        <v>2.45573745430765</v>
      </c>
      <c r="BG93" s="13" t="n">
        <f aca="false">(1-BG86)*(BG65+BG66+BG67+BG68+BG69+BG70+BG71)/MAX(Time!BG31,1)*Inputs!$F$172</f>
        <v>2.54190860426698</v>
      </c>
      <c r="BH93" s="13" t="n">
        <f aca="false">(1-BH86)*(BH65+BH66+BH67+BH68+BH69+BH70+BH71)/MAX(Time!BH31,1)*Inputs!$F$172</f>
        <v>2.54027967850232</v>
      </c>
      <c r="BI93" s="13" t="n">
        <f aca="false">(1-BI86)*(BI65+BI66+BI67+BI68+BI69+BI70+BI71)/MAX(Time!BI31,1)*Inputs!$F$172</f>
        <v>2.61490108571499</v>
      </c>
      <c r="BJ93" s="13" t="n">
        <f aca="false">(1-BJ86)*(BJ65+BJ66+BJ67+BJ68+BJ69+BJ70+BJ71)/MAX(Time!BJ31,1)*Inputs!$F$172</f>
        <v>2.62607660288219</v>
      </c>
      <c r="BK93" s="13" t="n">
        <f aca="false">(1-BK86)*(BK65+BK66+BK67+BK68+BK69+BK70+BK71)/MAX(Time!BK31,1)*Inputs!$F$172</f>
        <v>2.73866752438049</v>
      </c>
      <c r="BL93" s="13" t="n">
        <f aca="false">(1-BL86)*(BL65+BL66+BL67+BL68+BL69+BL70+BL71)/MAX(Time!BL31,1)*Inputs!$F$172</f>
        <v>2.77511383212677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14.9072006025031</v>
      </c>
      <c r="P95" s="13" t="n">
        <f aca="false">P88+P89-P90-P91-P92-P93-P94</f>
        <v>14.8876962797167</v>
      </c>
      <c r="Q95" s="13" t="n">
        <f aca="false">Q88+Q89-Q90-Q91-Q92-Q93-Q94</f>
        <v>15.1940695496623</v>
      </c>
      <c r="R95" s="13" t="n">
        <f aca="false">R88+R89-R90-R91-R92-R93-R94</f>
        <v>15.0205760838208</v>
      </c>
      <c r="S95" s="13" t="n">
        <f aca="false">S88+S89-S90-S91-S92-S93-S94</f>
        <v>15.3297750799866</v>
      </c>
      <c r="T95" s="13" t="n">
        <f aca="false">T88+T89-T90-T91-T92-T93-T94</f>
        <v>15.1535738138549</v>
      </c>
      <c r="U95" s="13" t="n">
        <f aca="false">U88+U89-U90-U91-U92-U93-U94</f>
        <v>15.3899951332814</v>
      </c>
      <c r="V95" s="13" t="n">
        <f aca="false">V88+V89-V90-V91-V92-V93-V94</f>
        <v>15.2979090745806</v>
      </c>
      <c r="W95" s="13" t="n">
        <f aca="false">W88+W89-W90-W91-W92-W93-W94</f>
        <v>15.6164122951181</v>
      </c>
      <c r="X95" s="13" t="n">
        <f aca="false">X88+X89-X90-X91-X92-X93-X94</f>
        <v>15.4454495085551</v>
      </c>
      <c r="Y95" s="13" t="n">
        <f aca="false">Y88+Y89-Y90-Y91-Y92-Y93-Y94</f>
        <v>15.7729926062469</v>
      </c>
      <c r="Z95" s="13" t="n">
        <f aca="false">Z88+Z89-Z90-Z91-Z92-Z93-Z94</f>
        <v>15.6052441286371</v>
      </c>
      <c r="AA95" s="13" t="n">
        <f aca="false">AA88+AA89-AA90-AA91-AA92-AA93-AA94</f>
        <v>15.9289467973211</v>
      </c>
      <c r="AB95" s="13" t="n">
        <f aca="false">AB88+AB89-AB90-AB91-AB92-AB93-AB94</f>
        <v>15.7516671389295</v>
      </c>
      <c r="AC95" s="13" t="n">
        <f aca="false">AC88+AC89-AC90-AC91-AC92-AC93-AC94</f>
        <v>16.0066473105286</v>
      </c>
      <c r="AD95" s="13" t="n">
        <f aca="false">AD88+AD89-AD90-AD91-AD92-AD93-AD94</f>
        <v>15.5730876766972</v>
      </c>
      <c r="AE95" s="13" t="n">
        <f aca="false">AE88+AE89-AE90-AE91-AE92-AE93-AE94</f>
        <v>16.2605640556106</v>
      </c>
      <c r="AF95" s="13" t="n">
        <f aca="false">AF88+AF89-AF90-AF91-AF92-AF93-AF94</f>
        <v>16.0866129872349</v>
      </c>
      <c r="AG95" s="13" t="n">
        <f aca="false">AG88+AG89-AG90-AG91-AG92-AG93-AG94</f>
        <v>16.4345599459332</v>
      </c>
      <c r="AH95" s="13" t="n">
        <f aca="false">AH88+AH89-AH90-AH91-AH92-AH93-AH94</f>
        <v>16.2649213599652</v>
      </c>
      <c r="AI95" s="13" t="n">
        <f aca="false">AI88+AI89-AI90-AI91-AI92-AI93-AI94</f>
        <v>16.6182262276494</v>
      </c>
      <c r="AJ95" s="13" t="n">
        <f aca="false">AJ88+AJ89-AJ90-AJ91-AJ92-AJ93-AJ94</f>
        <v>16.4481578973226</v>
      </c>
      <c r="AK95" s="13" t="n">
        <f aca="false">AK88+AK89-AK90-AK91-AK92-AK93-AK94</f>
        <v>16.7225165194681</v>
      </c>
      <c r="AL95" s="13" t="n">
        <f aca="false">AL88+AL89-AL90-AL91-AL92-AL93-AL94</f>
        <v>16.3592479952174</v>
      </c>
      <c r="AM95" s="13" t="n">
        <f aca="false">AM88+AM89-AM90-AM91-AM92-AM93-AM94</f>
        <v>17.0068362692376</v>
      </c>
      <c r="AN95" s="13" t="n">
        <f aca="false">AN88+AN89-AN90-AN91-AN92-AN93-AN94</f>
        <v>16.8396630895569</v>
      </c>
      <c r="AO95" s="13" t="n">
        <f aca="false">AO88+AO89-AO90-AO91-AO92-AO93-AO94</f>
        <v>17.2141635897861</v>
      </c>
      <c r="AP95" s="13" t="n">
        <f aca="false">AP88+AP89-AP90-AP91-AP92-AP93-AP94</f>
        <v>17.0465842753414</v>
      </c>
      <c r="AQ95" s="13" t="n">
        <f aca="false">AQ88+AQ89-AQ90-AQ91-AQ92-AQ93-AQ94</f>
        <v>17.4291456124279</v>
      </c>
      <c r="AR95" s="13" t="n">
        <f aca="false">AR88+AR89-AR90-AR91-AR92-AR93-AR94</f>
        <v>17.2645231668563</v>
      </c>
      <c r="AS95" s="13" t="n">
        <f aca="false">AS88+AS89-AS90-AS91-AS92-AS93-AS94</f>
        <v>17.5626551462215</v>
      </c>
      <c r="AT95" s="13" t="n">
        <f aca="false">AT88+AT89-AT90-AT91-AT92-AT93-AT94</f>
        <v>17.337428320099</v>
      </c>
      <c r="AU95" s="13" t="n">
        <f aca="false">AU88+AU89-AU90-AU91-AU92-AU93-AU94</f>
        <v>17.8837148477794</v>
      </c>
      <c r="AV95" s="13" t="n">
        <f aca="false">AV88+AV89-AV90-AV91-AV92-AV93-AV94</f>
        <v>17.7232233665456</v>
      </c>
      <c r="AW95" s="13" t="n">
        <f aca="false">AW88+AW89-AW90-AW91-AW92-AW93-AW94</f>
        <v>18.1319012686331</v>
      </c>
      <c r="AX95" s="13" t="n">
        <f aca="false">AX88+AX89-AX90-AX91-AX92-AX93-AX94</f>
        <v>17.9730393934125</v>
      </c>
      <c r="AY95" s="13" t="n">
        <f aca="false">AY88+AY89-AY90-AY91-AY92-AY93-AY94</f>
        <v>18.3898030732287</v>
      </c>
      <c r="AZ95" s="13" t="n">
        <f aca="false">AZ88+AZ89-AZ90-AZ91-AZ92-AZ93-AZ94</f>
        <v>18.2287964541517</v>
      </c>
      <c r="BA95" s="13" t="n">
        <f aca="false">BA88+BA89-BA90-BA91-BA92-BA93-BA94</f>
        <v>18.5557892219795</v>
      </c>
      <c r="BB95" s="13" t="n">
        <f aca="false">BB88+BB89-BB90-BB91-BB92-BB93-BB94</f>
        <v>18.4057838089301</v>
      </c>
      <c r="BC95" s="13" t="n">
        <f aca="false">BC88+BC89-BC90-BC91-BC92-BC93-BC94</f>
        <v>18.9242120659696</v>
      </c>
      <c r="BD95" s="13" t="n">
        <f aca="false">BD88+BD89-BD90-BD91-BD92-BD93-BD94</f>
        <v>18.7773654389933</v>
      </c>
      <c r="BE95" s="13" t="n">
        <f aca="false">BE88+BE89-BE90-BE91-BE92-BE93-BE94</f>
        <v>19.2250347359887</v>
      </c>
      <c r="BF95" s="13" t="n">
        <f aca="false">BF88+BF89-BF90-BF91-BF92-BF93-BF94</f>
        <v>19.06967559904</v>
      </c>
      <c r="BG95" s="13" t="n">
        <f aca="false">BG88+BG89-BG90-BG91-BG92-BG93-BG94</f>
        <v>19.5252332169779</v>
      </c>
      <c r="BH95" s="13" t="n">
        <f aca="false">BH88+BH89-BH90-BH91-BH92-BH93-BH94</f>
        <v>19.3645184779448</v>
      </c>
      <c r="BI95" s="13" t="n">
        <f aca="false">BI88+BI89-BI90-BI91-BI92-BI93-BI94</f>
        <v>19.7283533331084</v>
      </c>
      <c r="BJ95" s="13" t="n">
        <f aca="false">BJ88+BJ89-BJ90-BJ91-BJ92-BJ93-BJ94</f>
        <v>19.4369292398845</v>
      </c>
      <c r="BK95" s="13" t="n">
        <f aca="false">BK88+BK89-BK90-BK91-BK92-BK93-BK94</f>
        <v>20.1589374336347</v>
      </c>
      <c r="BL95" s="13" t="n">
        <f aca="false">BL88+BL89-BL90-BL91-BL92-BL93-BL94</f>
        <v>20.0277732090998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14.9072006025031</v>
      </c>
      <c r="P96" s="13" t="n">
        <f aca="false">P95-O95</f>
        <v>-0.0195043227863483</v>
      </c>
      <c r="Q96" s="13" t="n">
        <f aca="false">Q95-P95</f>
        <v>0.306373269945631</v>
      </c>
      <c r="R96" s="13" t="n">
        <f aca="false">R95-Q95</f>
        <v>-0.173493465841498</v>
      </c>
      <c r="S96" s="13" t="n">
        <f aca="false">S95-R95</f>
        <v>0.309198996165799</v>
      </c>
      <c r="T96" s="13" t="n">
        <f aca="false">T95-S95</f>
        <v>-0.176201266131699</v>
      </c>
      <c r="U96" s="13" t="n">
        <f aca="false">U95-T95</f>
        <v>0.236421319426473</v>
      </c>
      <c r="V96" s="13" t="n">
        <f aca="false">V95-U95</f>
        <v>-0.0920860587008168</v>
      </c>
      <c r="W96" s="13" t="n">
        <f aca="false">W95-V95</f>
        <v>0.318503220537524</v>
      </c>
      <c r="X96" s="13" t="n">
        <f aca="false">X95-W95</f>
        <v>-0.170962786563068</v>
      </c>
      <c r="Y96" s="13" t="n">
        <f aca="false">Y95-X95</f>
        <v>0.327543097691812</v>
      </c>
      <c r="Z96" s="13" t="n">
        <f aca="false">Z95-Y95</f>
        <v>-0.167748477609814</v>
      </c>
      <c r="AA96" s="13" t="n">
        <f aca="false">AA95-Z95</f>
        <v>0.323702668684041</v>
      </c>
      <c r="AB96" s="13" t="n">
        <f aca="false">AB95-AA95</f>
        <v>-0.177279658391576</v>
      </c>
      <c r="AC96" s="13" t="n">
        <f aca="false">AC95-AB95</f>
        <v>0.254980171599126</v>
      </c>
      <c r="AD96" s="13" t="n">
        <f aca="false">AD95-AC95</f>
        <v>-0.433559633831393</v>
      </c>
      <c r="AE96" s="13" t="n">
        <f aca="false">AE95-AD95</f>
        <v>0.687476378913388</v>
      </c>
      <c r="AF96" s="13" t="n">
        <f aca="false">AF95-AE95</f>
        <v>-0.173951068375761</v>
      </c>
      <c r="AG96" s="13" t="n">
        <f aca="false">AG95-AF95</f>
        <v>0.347946958698302</v>
      </c>
      <c r="AH96" s="13" t="n">
        <f aca="false">AH95-AG95</f>
        <v>-0.16963858596797</v>
      </c>
      <c r="AI96" s="13" t="n">
        <f aca="false">AI95-AH95</f>
        <v>0.353304867684148</v>
      </c>
      <c r="AJ96" s="13" t="n">
        <f aca="false">AJ95-AI95</f>
        <v>-0.170068330326714</v>
      </c>
      <c r="AK96" s="13" t="n">
        <f aca="false">AK95-AJ95</f>
        <v>0.274358622145446</v>
      </c>
      <c r="AL96" s="13" t="n">
        <f aca="false">AL95-AK95</f>
        <v>-0.363268524250699</v>
      </c>
      <c r="AM96" s="13" t="n">
        <f aca="false">AM95-AL95</f>
        <v>0.64758827402019</v>
      </c>
      <c r="AN96" s="13" t="n">
        <f aca="false">AN95-AM95</f>
        <v>-0.167173179680713</v>
      </c>
      <c r="AO96" s="13" t="n">
        <f aca="false">AO95-AN95</f>
        <v>0.374500500229235</v>
      </c>
      <c r="AP96" s="13" t="n">
        <f aca="false">AP95-AO95</f>
        <v>-0.167579314444669</v>
      </c>
      <c r="AQ96" s="13" t="n">
        <f aca="false">AQ95-AP95</f>
        <v>0.382561337086511</v>
      </c>
      <c r="AR96" s="13" t="n">
        <f aca="false">AR95-AQ95</f>
        <v>-0.164622445571627</v>
      </c>
      <c r="AS96" s="13" t="n">
        <f aca="false">AS95-AR95</f>
        <v>0.298131979365202</v>
      </c>
      <c r="AT96" s="13" t="n">
        <f aca="false">AT95-AS95</f>
        <v>-0.225226826122562</v>
      </c>
      <c r="AU96" s="13" t="n">
        <f aca="false">AU95-AT95</f>
        <v>0.546286527680394</v>
      </c>
      <c r="AV96" s="13" t="n">
        <f aca="false">AV95-AU95</f>
        <v>-0.160491481233748</v>
      </c>
      <c r="AW96" s="13" t="n">
        <f aca="false">AW95-AV95</f>
        <v>0.408677902087479</v>
      </c>
      <c r="AX96" s="13" t="n">
        <f aca="false">AX95-AW95</f>
        <v>-0.158861875220573</v>
      </c>
      <c r="AY96" s="13" t="n">
        <f aca="false">AY95-AX95</f>
        <v>0.416763679816157</v>
      </c>
      <c r="AZ96" s="13" t="n">
        <f aca="false">AZ95-AY95</f>
        <v>-0.161006619076957</v>
      </c>
      <c r="BA96" s="13" t="n">
        <f aca="false">BA95-AZ95</f>
        <v>0.326992767827775</v>
      </c>
      <c r="BB96" s="13" t="n">
        <f aca="false">BB95-BA95</f>
        <v>-0.150005413049339</v>
      </c>
      <c r="BC96" s="13" t="n">
        <f aca="false">BC95-BB95</f>
        <v>0.518428257039446</v>
      </c>
      <c r="BD96" s="13" t="n">
        <f aca="false">BD95-BC95</f>
        <v>-0.14684662697633</v>
      </c>
      <c r="BE96" s="13" t="n">
        <f aca="false">BE95-BD95</f>
        <v>0.447669296995404</v>
      </c>
      <c r="BF96" s="13" t="n">
        <f aca="false">BF95-BE95</f>
        <v>-0.155359136948686</v>
      </c>
      <c r="BG96" s="13" t="n">
        <f aca="false">BG95-BF95</f>
        <v>0.455557617937934</v>
      </c>
      <c r="BH96" s="13" t="n">
        <f aca="false">BH95-BG95</f>
        <v>-0.160714739033089</v>
      </c>
      <c r="BI96" s="13" t="n">
        <f aca="false">BI95-BH95</f>
        <v>0.363834855163599</v>
      </c>
      <c r="BJ96" s="13" t="n">
        <f aca="false">BJ95-BI95</f>
        <v>-0.291424093223895</v>
      </c>
      <c r="BK96" s="13" t="n">
        <f aca="false">BK95-BJ95</f>
        <v>0.722008193750192</v>
      </c>
      <c r="BL96" s="13" t="n">
        <f aca="false">BL95-BK95</f>
        <v>-0.131164224534942</v>
      </c>
      <c r="BM96" s="13" t="n">
        <f aca="false">BM95-BL95</f>
        <v>-20.0277732090998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-5.13145707019371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0.0394918928956933</v>
      </c>
      <c r="P98" s="13" t="n">
        <f aca="false">P51-P73</f>
        <v>0.113403563541297</v>
      </c>
      <c r="Q98" s="13" t="n">
        <f aca="false">Q51-Q73</f>
        <v>0.107540044066681</v>
      </c>
      <c r="R98" s="13" t="n">
        <f aca="false">R51-R73</f>
        <v>0.099121051505918</v>
      </c>
      <c r="S98" s="13" t="n">
        <f aca="false">S51-S73</f>
        <v>0.0940030437554356</v>
      </c>
      <c r="T98" s="13" t="n">
        <f aca="false">T51-T73</f>
        <v>0.0874377647236599</v>
      </c>
      <c r="U98" s="13" t="n">
        <f aca="false">U51-U73</f>
        <v>0.080438575830172</v>
      </c>
      <c r="V98" s="13" t="n">
        <f aca="false">V51-V73</f>
        <v>0.071255373543309</v>
      </c>
      <c r="W98" s="13" t="n">
        <f aca="false">W51-W73</f>
        <v>0.0652631261051795</v>
      </c>
      <c r="X98" s="13" t="n">
        <f aca="false">X51-X73</f>
        <v>0.0582554845748007</v>
      </c>
      <c r="Y98" s="13" t="n">
        <f aca="false">Y51-Y73</f>
        <v>0.0510642604812404</v>
      </c>
      <c r="Z98" s="13" t="n">
        <f aca="false">Z51-Z73</f>
        <v>0.0427574341774459</v>
      </c>
      <c r="AA98" s="13" t="n">
        <f aca="false">AA51-AA73</f>
        <v>0.0348710748275494</v>
      </c>
      <c r="AB98" s="13" t="n">
        <f aca="false">AB51-AB73</f>
        <v>0.0261076170603758</v>
      </c>
      <c r="AC98" s="13" t="n">
        <f aca="false">AC51-AC73</f>
        <v>0.0175677094671727</v>
      </c>
      <c r="AD98" s="13" t="n">
        <f aca="false">AD51-AD73</f>
        <v>0.00869879411406771</v>
      </c>
      <c r="AE98" s="13" t="n">
        <f aca="false">AE51-AE73</f>
        <v>0.000684121819929828</v>
      </c>
      <c r="AF98" s="13" t="n">
        <f aca="false">AF51-AF73</f>
        <v>-0.00802120337954193</v>
      </c>
      <c r="AG98" s="13" t="n">
        <f aca="false">AG51-AG73</f>
        <v>-0.0169303275658308</v>
      </c>
      <c r="AH98" s="13" t="n">
        <f aca="false">AH51-AH73</f>
        <v>-0.0252880409616125</v>
      </c>
      <c r="AI98" s="13" t="n">
        <f aca="false">AI51-AI73</f>
        <v>-0.0348744404239056</v>
      </c>
      <c r="AJ98" s="13" t="n">
        <f aca="false">AJ51-AJ73</f>
        <v>-0.0444148995798344</v>
      </c>
      <c r="AK98" s="13" t="n">
        <f aca="false">AK51-AK73</f>
        <v>-0.0534767497562854</v>
      </c>
      <c r="AL98" s="13" t="n">
        <f aca="false">AL51-AL73</f>
        <v>-0.0601380899238109</v>
      </c>
      <c r="AM98" s="13" t="n">
        <f aca="false">AM51-AM73</f>
        <v>-0.0717192659610646</v>
      </c>
      <c r="AN98" s="13" t="n">
        <f aca="false">AN51-AN73</f>
        <v>-0.0842388377958798</v>
      </c>
      <c r="AO98" s="13" t="n">
        <f aca="false">AO51-AO73</f>
        <v>-0.0947419184452798</v>
      </c>
      <c r="AP98" s="13" t="n">
        <f aca="false">AP51-AP73</f>
        <v>-0.10257944627655</v>
      </c>
      <c r="AQ98" s="13" t="n">
        <f aca="false">AQ51-AQ73</f>
        <v>-0.11497272821552</v>
      </c>
      <c r="AR98" s="13" t="n">
        <f aca="false">AR51-AR73</f>
        <v>-0.126356672797414</v>
      </c>
      <c r="AS98" s="13" t="n">
        <f aca="false">AS51-AS73</f>
        <v>-0.136268175356363</v>
      </c>
      <c r="AT98" s="13" t="n">
        <f aca="false">AT51-AT73</f>
        <v>-0.140621555441925</v>
      </c>
      <c r="AU98" s="13" t="n">
        <f aca="false">AU51-AU73</f>
        <v>-0.154700042657311</v>
      </c>
      <c r="AV98" s="13" t="n">
        <f aca="false">AV51-AV73</f>
        <v>-0.168049337479573</v>
      </c>
      <c r="AW98" s="13" t="n">
        <f aca="false">AW51-AW73</f>
        <v>-0.18291115667985</v>
      </c>
      <c r="AX98" s="13" t="n">
        <f aca="false">AX51-AX73</f>
        <v>-0.196154144718705</v>
      </c>
      <c r="AY98" s="13" t="n">
        <f aca="false">AY51-AY73</f>
        <v>-0.21011932910281</v>
      </c>
      <c r="AZ98" s="13" t="n">
        <f aca="false">AZ51-AZ73</f>
        <v>-0.219718587536519</v>
      </c>
      <c r="BA98" s="13" t="n">
        <f aca="false">BA51-BA73</f>
        <v>-0.230885317845889</v>
      </c>
      <c r="BB98" s="13" t="n">
        <f aca="false">BB51-BB73</f>
        <v>-0.233375364155037</v>
      </c>
      <c r="BC98" s="13" t="n">
        <f aca="false">BC51-BC73</f>
        <v>-0.252478871989112</v>
      </c>
      <c r="BD98" s="13" t="n">
        <f aca="false">BD51-BD73</f>
        <v>-0.271661902811786</v>
      </c>
      <c r="BE98" s="13" t="n">
        <f aca="false">BE51-BE73</f>
        <v>-0.287841679788286</v>
      </c>
      <c r="BF98" s="13" t="n">
        <f aca="false">BF51-BF73</f>
        <v>-0.298403346711069</v>
      </c>
      <c r="BG98" s="13" t="n">
        <f aca="false">BG51-BG73</f>
        <v>-0.31271596015614</v>
      </c>
      <c r="BH98" s="13" t="n">
        <f aca="false">BH51-BH73</f>
        <v>-0.318039414197614</v>
      </c>
      <c r="BI98" s="13" t="n">
        <f aca="false">BI51-BI73</f>
        <v>-0.332102909478962</v>
      </c>
      <c r="BJ98" s="13" t="n">
        <f aca="false">BJ51-BJ73</f>
        <v>-0.336215070025531</v>
      </c>
      <c r="BK98" s="13" t="n">
        <f aca="false">BK51-BK73</f>
        <v>-0.359693450516417</v>
      </c>
      <c r="BL98" s="13" t="n">
        <f aca="false">BL51-BL73</f>
        <v>-0.382911551505245</v>
      </c>
      <c r="BM98" s="13" t="n">
        <f aca="false">BM51-BM73</f>
        <v>-0.266798213446961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836.565916977971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7.52909325280174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22.5872797584052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22.5872797584052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22.5872797584052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22.5872797584052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22.5872797584052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22.5872797584052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22.5872797584052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22.5872797584052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22.5872797584052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21.7507138414272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20.0775820074713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20.0775820074713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20.0775820074713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20.0775820074713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20.0775820074713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20.0775820074713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20.0775820074713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20.0775820074713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20.0775820074713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20.0775820074713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20.0775820074713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20.0775820074713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20.0775820074713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20.0775820074713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20.0775820074713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20.0775820074713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20.0775820074713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20.0775820074713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20.0775820074713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20.0775820074713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20.0775820074713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20.0775820074713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20.0775820074713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20.0775820074713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20.0775820074713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20.0775820074713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20.0775820074713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20.0775820074713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20.0775820074713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13.6639099773069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0.836565916977971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0.836565916977971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0.836565916977971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0.836565916977971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0.836565916977971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0.836565916977971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0.836565916977971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0.836565916977971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0.836565916977971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0.557710611318647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225.872797584052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7.52909325280174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22.5872797584052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22.5872797584052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22.5872797584052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22.5872797584052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22.5872797584052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22.5872797584052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22.5872797584052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22.5872797584052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22.5872797584052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15.0581865056035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610.693119393919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6.69252733582377</v>
      </c>
      <c r="Z12" s="13" t="n">
        <f aca="false">Z10-Z11</f>
        <v>20.0775820074713</v>
      </c>
      <c r="AA12" s="13" t="n">
        <f aca="false">AA10-AA11</f>
        <v>20.0775820074713</v>
      </c>
      <c r="AB12" s="13" t="n">
        <f aca="false">AB10-AB11</f>
        <v>20.0775820074713</v>
      </c>
      <c r="AC12" s="13" t="n">
        <f aca="false">AC10-AC11</f>
        <v>20.0775820074713</v>
      </c>
      <c r="AD12" s="13" t="n">
        <f aca="false">AD10-AD11</f>
        <v>20.0775820074713</v>
      </c>
      <c r="AE12" s="13" t="n">
        <f aca="false">AE10-AE11</f>
        <v>20.0775820074713</v>
      </c>
      <c r="AF12" s="13" t="n">
        <f aca="false">AF10-AF11</f>
        <v>20.0775820074713</v>
      </c>
      <c r="AG12" s="13" t="n">
        <f aca="false">AG10-AG11</f>
        <v>20.0775820074713</v>
      </c>
      <c r="AH12" s="13" t="n">
        <f aca="false">AH10-AH11</f>
        <v>20.0775820074713</v>
      </c>
      <c r="AI12" s="13" t="n">
        <f aca="false">AI10-AI11</f>
        <v>20.0775820074713</v>
      </c>
      <c r="AJ12" s="13" t="n">
        <f aca="false">AJ10-AJ11</f>
        <v>20.0775820074713</v>
      </c>
      <c r="AK12" s="13" t="n">
        <f aca="false">AK10-AK11</f>
        <v>20.0775820074713</v>
      </c>
      <c r="AL12" s="13" t="n">
        <f aca="false">AL10-AL11</f>
        <v>20.0775820074713</v>
      </c>
      <c r="AM12" s="13" t="n">
        <f aca="false">AM10-AM11</f>
        <v>20.0775820074713</v>
      </c>
      <c r="AN12" s="13" t="n">
        <f aca="false">AN10-AN11</f>
        <v>20.0775820074713</v>
      </c>
      <c r="AO12" s="13" t="n">
        <f aca="false">AO10-AO11</f>
        <v>20.0775820074713</v>
      </c>
      <c r="AP12" s="13" t="n">
        <f aca="false">AP10-AP11</f>
        <v>20.0775820074713</v>
      </c>
      <c r="AQ12" s="13" t="n">
        <f aca="false">AQ10-AQ11</f>
        <v>20.0775820074713</v>
      </c>
      <c r="AR12" s="13" t="n">
        <f aca="false">AR10-AR11</f>
        <v>20.0775820074713</v>
      </c>
      <c r="AS12" s="13" t="n">
        <f aca="false">AS10-AS11</f>
        <v>20.0775820074713</v>
      </c>
      <c r="AT12" s="13" t="n">
        <f aca="false">AT10-AT11</f>
        <v>20.0775820074713</v>
      </c>
      <c r="AU12" s="13" t="n">
        <f aca="false">AU10-AU11</f>
        <v>20.0775820074713</v>
      </c>
      <c r="AV12" s="13" t="n">
        <f aca="false">AV10-AV11</f>
        <v>20.0775820074713</v>
      </c>
      <c r="AW12" s="13" t="n">
        <f aca="false">AW10-AW11</f>
        <v>20.0775820074713</v>
      </c>
      <c r="AX12" s="13" t="n">
        <f aca="false">AX10-AX11</f>
        <v>20.0775820074713</v>
      </c>
      <c r="AY12" s="13" t="n">
        <f aca="false">AY10-AY11</f>
        <v>20.0775820074713</v>
      </c>
      <c r="AZ12" s="13" t="n">
        <f aca="false">AZ10-AZ11</f>
        <v>20.0775820074713</v>
      </c>
      <c r="BA12" s="13" t="n">
        <f aca="false">BA10-BA11</f>
        <v>20.0775820074713</v>
      </c>
      <c r="BB12" s="13" t="n">
        <f aca="false">BB10-BB11</f>
        <v>20.0775820074713</v>
      </c>
      <c r="BC12" s="13" t="n">
        <f aca="false">BC10-BC11</f>
        <v>13.6639099773069</v>
      </c>
      <c r="BD12" s="13" t="n">
        <f aca="false">BD10-BD11</f>
        <v>0.836565916977971</v>
      </c>
      <c r="BE12" s="13" t="n">
        <f aca="false">BE10-BE11</f>
        <v>0.836565916977971</v>
      </c>
      <c r="BF12" s="13" t="n">
        <f aca="false">BF10-BF11</f>
        <v>0.836565916977971</v>
      </c>
      <c r="BG12" s="13" t="n">
        <f aca="false">BG10-BG11</f>
        <v>0.836565916977971</v>
      </c>
      <c r="BH12" s="13" t="n">
        <f aca="false">BH10-BH11</f>
        <v>0.836565916977971</v>
      </c>
      <c r="BI12" s="13" t="n">
        <f aca="false">BI10-BI11</f>
        <v>0.836565916977971</v>
      </c>
      <c r="BJ12" s="13" t="n">
        <f aca="false">BJ10-BJ11</f>
        <v>0.836565916977971</v>
      </c>
      <c r="BK12" s="13" t="n">
        <f aca="false">BK10-BK11</f>
        <v>0.836565916977971</v>
      </c>
      <c r="BL12" s="13" t="n">
        <f aca="false">BL10-BL11</f>
        <v>0.836565916977971</v>
      </c>
      <c r="BM12" s="13" t="n">
        <f aca="false">BM10-BM11</f>
        <v>0.557710611318647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190.228014143694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3.24206410181602</v>
      </c>
      <c r="P13" s="13" t="n">
        <f aca="false">IF(Time!P20&gt;=Time!$F$12,Waterfall!P33*Inputs!$F$104/100*Time!P31/Inputs!$F$248,0)</f>
        <v>9.93460467947218</v>
      </c>
      <c r="Q13" s="13" t="n">
        <f aca="false">IF(Time!Q20&gt;=Time!$F$12,Waterfall!Q33*Inputs!$F$104/100*Time!Q31/Inputs!$F$248,0)</f>
        <v>9.53110475329694</v>
      </c>
      <c r="R13" s="13" t="n">
        <f aca="false">IF(Time!R20&gt;=Time!$F$12,Waterfall!R33*Inputs!$F$104/100*Time!R31/Inputs!$F$248,0)</f>
        <v>9.54350912772581</v>
      </c>
      <c r="S13" s="13" t="n">
        <f aca="false">IF(Time!S20&gt;=Time!$F$12,Waterfall!S33*Inputs!$F$104/100*Time!S31/Inputs!$F$248,0)</f>
        <v>9.19943025050903</v>
      </c>
      <c r="T13" s="13" t="n">
        <f aca="false">IF(Time!T20&gt;=Time!$F$12,Waterfall!T33*Inputs!$F$104/100*Time!T31/Inputs!$F$248,0)</f>
        <v>9.18144826497077</v>
      </c>
      <c r="U13" s="13" t="n">
        <f aca="false">IF(Time!U20&gt;=Time!$F$12,Waterfall!U33*Inputs!$F$104/100*Time!U31/Inputs!$F$248,0)</f>
        <v>8.87706768747982</v>
      </c>
      <c r="V13" s="13" t="n">
        <f aca="false">IF(Time!V20&gt;=Time!$F$12,Waterfall!V33*Inputs!$F$104/100*Time!V31/Inputs!$F$248,0)</f>
        <v>8.79758401147279</v>
      </c>
      <c r="W13" s="13" t="n">
        <f aca="false">IF(Time!W20&gt;=Time!$F$12,Waterfall!W33*Inputs!$F$104/100*Time!W31/Inputs!$F$248,0)</f>
        <v>8.41695095812532</v>
      </c>
      <c r="X13" s="13" t="n">
        <f aca="false">IF(Time!X20&gt;=Time!$F$12,Waterfall!X33*Inputs!$F$104/100*Time!X31/Inputs!$F$248,0)</f>
        <v>8.2588200306221</v>
      </c>
      <c r="Y13" s="13" t="n">
        <f aca="false">IF(Time!Y20&gt;=Time!$F$12,Waterfall!Y33*Inputs!$F$104/100*Time!Y31/Inputs!$F$248,0)</f>
        <v>7.87280677616618</v>
      </c>
      <c r="Z13" s="13" t="n">
        <f aca="false">IF(Time!Z20&gt;=Time!$F$12,Waterfall!Z33*Inputs!$F$104/100*Time!Z31/Inputs!$F$248,0)</f>
        <v>7.76463259418274</v>
      </c>
      <c r="AA13" s="13" t="n">
        <f aca="false">IF(Time!AA20&gt;=Time!$F$12,Waterfall!AA33*Inputs!$F$104/100*Time!AA31/Inputs!$F$248,0)</f>
        <v>7.3631727225321</v>
      </c>
      <c r="AB13" s="13" t="n">
        <f aca="false">IF(Time!AB20&gt;=Time!$F$12,Waterfall!AB33*Inputs!$F$104/100*Time!AB31/Inputs!$F$248,0)</f>
        <v>7.53055658277076</v>
      </c>
      <c r="AC13" s="13" t="n">
        <f aca="false">IF(Time!AC20&gt;=Time!$F$12,Waterfall!AC33*Inputs!$F$104/100*Time!AC31/Inputs!$F$248,0)</f>
        <v>7.45165012705297</v>
      </c>
      <c r="AD13" s="13" t="n">
        <f aca="false">IF(Time!AD20&gt;=Time!$F$12,Waterfall!AD33*Inputs!$F$104/100*Time!AD31/Inputs!$F$248,0)</f>
        <v>7.54596917629078</v>
      </c>
      <c r="AE13" s="13" t="n">
        <f aca="false">IF(Time!AE20&gt;=Time!$F$12,Waterfall!AE33*Inputs!$F$104/100*Time!AE31/Inputs!$F$248,0)</f>
        <v>7.38111061626031</v>
      </c>
      <c r="AF13" s="13" t="n">
        <f aca="false">IF(Time!AF20&gt;=Time!$F$12,Waterfall!AF33*Inputs!$F$104/100*Time!AF31/Inputs!$F$248,0)</f>
        <v>7.41593370464995</v>
      </c>
      <c r="AG13" s="13" t="n">
        <f aca="false">IF(Time!AG20&gt;=Time!$F$12,Waterfall!AG33*Inputs!$F$104/100*Time!AG31/Inputs!$F$248,0)</f>
        <v>7.16328544016216</v>
      </c>
      <c r="AH13" s="13" t="n">
        <f aca="false">IF(Time!AH20&gt;=Time!$F$12,Waterfall!AH33*Inputs!$F$104/100*Time!AH31/Inputs!$F$248,0)</f>
        <v>7.11011609318114</v>
      </c>
      <c r="AI13" s="13" t="n">
        <f aca="false">IF(Time!AI20&gt;=Time!$F$12,Waterfall!AI33*Inputs!$F$104/100*Time!AI31/Inputs!$F$248,0)</f>
        <v>6.75050731938593</v>
      </c>
      <c r="AJ13" s="13" t="n">
        <f aca="false">IF(Time!AJ20&gt;=Time!$F$12,Waterfall!AJ33*Inputs!$F$104/100*Time!AJ31/Inputs!$F$248,0)</f>
        <v>6.54839346345436</v>
      </c>
      <c r="AK13" s="13" t="n">
        <f aca="false">IF(Time!AK20&gt;=Time!$F$12,Waterfall!AK33*Inputs!$F$104/100*Time!AK31/Inputs!$F$248,0)</f>
        <v>6.05917354678491</v>
      </c>
      <c r="AL13" s="13" t="n">
        <f aca="false">IF(Time!AL20&gt;=Time!$F$12,Waterfall!AL33*Inputs!$F$104/100*Time!AL31/Inputs!$F$248,0)</f>
        <v>4.7991812631884</v>
      </c>
      <c r="AM13" s="13" t="n">
        <f aca="false">IF(Time!AM20&gt;=Time!$F$12,Waterfall!AM33*Inputs!$F$104/100*Time!AM31/Inputs!$F$248,0)</f>
        <v>3.41146357918087</v>
      </c>
      <c r="AN13" s="13" t="n">
        <f aca="false">IF(Time!AN20&gt;=Time!$F$12,Waterfall!AN33*Inputs!$F$104/100*Time!AN31/Inputs!$F$248,0)</f>
        <v>2.10434797644753</v>
      </c>
      <c r="AO13" s="13" t="n">
        <f aca="false">IF(Time!AO20&gt;=Time!$F$12,Waterfall!AO33*Inputs!$F$104/100*Time!AO31/Inputs!$F$248,0)</f>
        <v>0.973129296512255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0.660021639243005</v>
      </c>
      <c r="P14" s="3" t="n">
        <f aca="false">IF(Waterfall!P33&gt;0,MIN(1,Inputs!$F$183*(Waterfall!$F$32+MAX(0,Waterfall!O43))/Waterfall!P33),1)</f>
        <v>0.790391161006422</v>
      </c>
      <c r="Q14" s="3" t="n">
        <f aca="false">IF(Waterfall!Q33&gt;0,MIN(1,Inputs!$F$183*(Waterfall!$F$32+MAX(0,Waterfall!P43))/Waterfall!Q33),1)</f>
        <v>0.919639098622035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186.277473383063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2.13983246301151</v>
      </c>
      <c r="P15" s="13" t="n">
        <f aca="false">P13*P14</f>
        <v>7.85222372674785</v>
      </c>
      <c r="Q15" s="13" t="n">
        <f aca="false">Q13*Q14</f>
        <v>8.76517658419419</v>
      </c>
      <c r="R15" s="13" t="n">
        <f aca="false">R13*R14</f>
        <v>9.54350912772581</v>
      </c>
      <c r="S15" s="13" t="n">
        <f aca="false">S13*S14</f>
        <v>9.19943025050903</v>
      </c>
      <c r="T15" s="13" t="n">
        <f aca="false">T13*T14</f>
        <v>9.18144826497077</v>
      </c>
      <c r="U15" s="13" t="n">
        <f aca="false">U13*U14</f>
        <v>8.87706768747982</v>
      </c>
      <c r="V15" s="13" t="n">
        <f aca="false">V13*V14</f>
        <v>8.79758401147279</v>
      </c>
      <c r="W15" s="13" t="n">
        <f aca="false">W13*W14</f>
        <v>8.41695095812532</v>
      </c>
      <c r="X15" s="13" t="n">
        <f aca="false">X13*X14</f>
        <v>8.2588200306221</v>
      </c>
      <c r="Y15" s="13" t="n">
        <f aca="false">Y13*Y14</f>
        <v>7.87280677616618</v>
      </c>
      <c r="Z15" s="13" t="n">
        <f aca="false">Z13*Z14</f>
        <v>7.76463259418274</v>
      </c>
      <c r="AA15" s="13" t="n">
        <f aca="false">AA13*AA14</f>
        <v>7.3631727225321</v>
      </c>
      <c r="AB15" s="13" t="n">
        <f aca="false">AB13*AB14</f>
        <v>7.53055658277076</v>
      </c>
      <c r="AC15" s="13" t="n">
        <f aca="false">AC13*AC14</f>
        <v>7.45165012705297</v>
      </c>
      <c r="AD15" s="13" t="n">
        <f aca="false">AD13*AD14</f>
        <v>7.54596917629078</v>
      </c>
      <c r="AE15" s="13" t="n">
        <f aca="false">AE13*AE14</f>
        <v>7.38111061626031</v>
      </c>
      <c r="AF15" s="13" t="n">
        <f aca="false">AF13*AF14</f>
        <v>7.41593370464995</v>
      </c>
      <c r="AG15" s="13" t="n">
        <f aca="false">AG13*AG14</f>
        <v>7.16328544016216</v>
      </c>
      <c r="AH15" s="13" t="n">
        <f aca="false">AH13*AH14</f>
        <v>7.11011609318114</v>
      </c>
      <c r="AI15" s="13" t="n">
        <f aca="false">AI13*AI14</f>
        <v>6.75050731938593</v>
      </c>
      <c r="AJ15" s="13" t="n">
        <f aca="false">AJ13*AJ14</f>
        <v>6.54839346345436</v>
      </c>
      <c r="AK15" s="13" t="n">
        <f aca="false">AK13*AK14</f>
        <v>6.05917354678491</v>
      </c>
      <c r="AL15" s="13" t="n">
        <f aca="false">AL13*AL14</f>
        <v>4.7991812631884</v>
      </c>
      <c r="AM15" s="13" t="n">
        <f aca="false">AM13*AM14</f>
        <v>3.41146357918087</v>
      </c>
      <c r="AN15" s="13" t="n">
        <f aca="false">AN13*AN14</f>
        <v>2.10434797644753</v>
      </c>
      <c r="AO15" s="13" t="n">
        <f aca="false">AO13*AO14</f>
        <v>0.973129296512255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315.949637059037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21.6459045565159</v>
      </c>
      <c r="Q16" s="13" t="n">
        <f aca="false">Debt!Q112+Debt!Q110+Debt!Q104-Debt!Q103</f>
        <v>20.9441443137716</v>
      </c>
      <c r="R16" s="13" t="n">
        <f aca="false">Debt!R112+Debt!R110+Debt!R104-Debt!R103</f>
        <v>20.6566360076442</v>
      </c>
      <c r="S16" s="13" t="n">
        <f aca="false">Debt!S112+Debt!S110+Debt!S104-Debt!S103</f>
        <v>19.9028829710076</v>
      </c>
      <c r="T16" s="13" t="n">
        <f aca="false">Debt!T112+Debt!T110+Debt!T104-Debt!T103</f>
        <v>19.5559964836194</v>
      </c>
      <c r="U16" s="13" t="n">
        <f aca="false">Debt!U112+Debt!U110+Debt!U104-Debt!U103</f>
        <v>18.8261507856198</v>
      </c>
      <c r="V16" s="13" t="n">
        <f aca="false">Debt!V112+Debt!V110+Debt!V104-Debt!V103</f>
        <v>18.3468941371808</v>
      </c>
      <c r="W16" s="13" t="n">
        <f aca="false">Debt!W112+Debt!W110+Debt!W104-Debt!W103</f>
        <v>17.4929358293616</v>
      </c>
      <c r="X16" s="13" t="n">
        <f aca="false">Debt!X112+Debt!X110+Debt!X104-Debt!X103</f>
        <v>16.9973751099178</v>
      </c>
      <c r="Y16" s="13" t="n">
        <f aca="false">Debt!Y112+Debt!Y110+Debt!Y104-Debt!Y103</f>
        <v>16.6780111010117</v>
      </c>
      <c r="Z16" s="13" t="n">
        <f aca="false">Debt!Z112+Debt!Z110+Debt!Z104-Debt!Z103</f>
        <v>16.1827521406066</v>
      </c>
      <c r="AA16" s="13" t="n">
        <f aca="false">Debt!AA112+Debt!AA110+Debt!AA104-Debt!AA103</f>
        <v>15.2989121110846</v>
      </c>
      <c r="AB16" s="13" t="n">
        <f aca="false">Debt!AB112+Debt!AB110+Debt!AB104-Debt!AB103</f>
        <v>14.4168222512366</v>
      </c>
      <c r="AC16" s="13" t="n">
        <f aca="false">Debt!AC112+Debt!AC110+Debt!AC104-Debt!AC103</f>
        <v>13.1916834693402</v>
      </c>
      <c r="AD16" s="13" t="n">
        <f aca="false">Debt!AD112+Debt!AD110+Debt!AD104-Debt!AD103</f>
        <v>12.1616580580305</v>
      </c>
      <c r="AE16" s="13" t="n">
        <f aca="false">Debt!AE112+Debt!AE110+Debt!AE104-Debt!AE103</f>
        <v>10.8019273278615</v>
      </c>
      <c r="AF16" s="13" t="n">
        <f aca="false">Debt!AF112+Debt!AF110+Debt!AF104-Debt!AF103</f>
        <v>9.62133923817047</v>
      </c>
      <c r="AG16" s="13" t="n">
        <f aca="false">Debt!AG112+Debt!AG110+Debt!AG104-Debt!AG103</f>
        <v>8.41172506381701</v>
      </c>
      <c r="AH16" s="13" t="n">
        <f aca="false">Debt!AH112+Debt!AH110+Debt!AH104-Debt!AH103</f>
        <v>7.11071809385424</v>
      </c>
      <c r="AI16" s="13" t="n">
        <f aca="false">Debt!AI112+Debt!AI110+Debt!AI104-Debt!AI103</f>
        <v>5.61262849302436</v>
      </c>
      <c r="AJ16" s="13" t="n">
        <f aca="false">Debt!AJ112+Debt!AJ110+Debt!AJ104-Debt!AJ103</f>
        <v>4.21678466138132</v>
      </c>
      <c r="AK16" s="13" t="n">
        <f aca="false">Debt!AK112+Debt!AK110+Debt!AK104-Debt!AK103</f>
        <v>2.72749830722989</v>
      </c>
      <c r="AL16" s="13" t="n">
        <f aca="false">Debt!AL112+Debt!AL110+Debt!AL104-Debt!AL103</f>
        <v>2.12018093892231</v>
      </c>
      <c r="AM16" s="13" t="n">
        <f aca="false">Debt!AM112+Debt!AM110+Debt!AM104-Debt!AM103</f>
        <v>1.55456897541206</v>
      </c>
      <c r="AN16" s="13" t="n">
        <f aca="false">Debt!AN112+Debt!AN110+Debt!AN104-Debt!AN103</f>
        <v>0.987122487264173</v>
      </c>
      <c r="AO16" s="13" t="n">
        <f aca="false">Debt!AO112+Debt!AO110+Debt!AO104-Debt!AO103</f>
        <v>0.486384146150525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1367.03074060739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2.50799053670944</v>
      </c>
      <c r="Z18" s="13" t="n">
        <f aca="false">(Operations!Z84-Z16-Z15)*Z17-Z12</f>
        <v>8.31892376764203</v>
      </c>
      <c r="AA18" s="13" t="n">
        <f aca="false">(Operations!AA84-AA16-AA15)*AA17-AA12</f>
        <v>9.76220355522731</v>
      </c>
      <c r="AB18" s="13" t="n">
        <f aca="false">(Operations!AB84-AB16-AB15)*AB17-AB12</f>
        <v>10.6679776231855</v>
      </c>
      <c r="AC18" s="13" t="n">
        <f aca="false">(Operations!AC84-AC16-AC15)*AC17-AC12</f>
        <v>12.2895447188064</v>
      </c>
      <c r="AD18" s="13" t="n">
        <f aca="false">(Operations!AD84-AD16-AD15)*AD17-AD12</f>
        <v>0.386514247030007</v>
      </c>
      <c r="AE18" s="13" t="n">
        <f aca="false">(Operations!AE84-AE16-AE15)*AE17-AE12</f>
        <v>15.2794526401959</v>
      </c>
      <c r="AF18" s="13" t="n">
        <f aca="false">(Operations!AF84-AF16-AF15)*AF17-AF12</f>
        <v>16.3823665027278</v>
      </c>
      <c r="AG18" s="13" t="n">
        <f aca="false">(Operations!AG84-AG16-AG15)*AG17-AG12</f>
        <v>18.097446872423</v>
      </c>
      <c r="AH18" s="13" t="n">
        <f aca="false">(Operations!AH84-AH16-AH15)*AH17-AH12</f>
        <v>19.7602971020727</v>
      </c>
      <c r="AI18" s="13" t="n">
        <f aca="false">(Operations!AI84-AI16-AI15)*AI17-AI12</f>
        <v>21.7844620694419</v>
      </c>
      <c r="AJ18" s="13" t="n">
        <f aca="false">(Operations!AJ84-AJ16-AJ15)*AJ17-AJ12</f>
        <v>23.5086851004148</v>
      </c>
      <c r="AK18" s="13" t="n">
        <f aca="false">(Operations!AK84-AK16-AK15)*AK17-AK12</f>
        <v>25.8152836191669</v>
      </c>
      <c r="AL18" s="13" t="n">
        <f aca="false">(Operations!AL84-AL16-AL15)*AL17-AL12</f>
        <v>23.9877540355595</v>
      </c>
      <c r="AM18" s="13" t="n">
        <f aca="false">(Operations!AM84-AM16-AM15)*AM17-AM12</f>
        <v>30.1830803148154</v>
      </c>
      <c r="AN18" s="13" t="n">
        <f aca="false">(Operations!AN84-AN16-AN15)*AN17-AN12</f>
        <v>32.0397735936804</v>
      </c>
      <c r="AO18" s="13" t="n">
        <f aca="false">(Operations!AO84-AO16-AO15)*AO17-AO12</f>
        <v>33.9572020762476</v>
      </c>
      <c r="AP18" s="13" t="n">
        <f aca="false">(Operations!AP84-AP16-AP15)*AP17-AP12</f>
        <v>35.7569074784196</v>
      </c>
      <c r="AQ18" s="13" t="n">
        <f aca="false">(Operations!AQ84-AQ16-AQ15)*AQ17-AQ12</f>
        <v>35.9615063164689</v>
      </c>
      <c r="AR18" s="13" t="n">
        <f aca="false">(Operations!AR84-AR16-AR15)*AR17-AR12</f>
        <v>36.1292918839988</v>
      </c>
      <c r="AS18" s="13" t="n">
        <f aca="false">(Operations!AS84-AS16-AS15)*AS17-AS12</f>
        <v>36.4983236809217</v>
      </c>
      <c r="AT18" s="13" t="n">
        <f aca="false">(Operations!AT84-AT16-AT15)*AT17-AT12</f>
        <v>22.2985364351252</v>
      </c>
      <c r="AU18" s="13" t="n">
        <f aca="false">(Operations!AU84-AU16-AU15)*AU17-AU12</f>
        <v>37.1900156392831</v>
      </c>
      <c r="AV18" s="13" t="n">
        <f aca="false">(Operations!AV84-AV16-AV15)*AV17-AV12</f>
        <v>37.3357274414131</v>
      </c>
      <c r="AW18" s="13" t="n">
        <f aca="false">(Operations!AW84-AW16-AW15)*AW17-AW12</f>
        <v>37.568617409154</v>
      </c>
      <c r="AX18" s="13" t="n">
        <f aca="false">(Operations!AX84-AX16-AX15)*AX17-AX12</f>
        <v>37.7614059599642</v>
      </c>
      <c r="AY18" s="13" t="n">
        <f aca="false">(Operations!AY84-AY16-AY15)*AY17-AY12</f>
        <v>38.0678952683287</v>
      </c>
      <c r="AZ18" s="13" t="n">
        <f aca="false">(Operations!AZ84-AZ16-AZ15)*AZ17-AZ12</f>
        <v>38.396158523758</v>
      </c>
      <c r="BA18" s="13" t="n">
        <f aca="false">(Operations!BA84-BA16-BA15)*BA17-BA12</f>
        <v>38.8033790791271</v>
      </c>
      <c r="BB18" s="13" t="n">
        <f aca="false">(Operations!BB84-BB16-BB15)*BB17-BB12</f>
        <v>35.4643442312976</v>
      </c>
      <c r="BC18" s="13" t="n">
        <f aca="false">(Operations!BC84-BC16-BC15)*BC17-BC12</f>
        <v>45.9571600316489</v>
      </c>
      <c r="BD18" s="13" t="n">
        <f aca="false">(Operations!BD84-BD16-BD15)*BD17-BD12</f>
        <v>58.9218841275916</v>
      </c>
      <c r="BE18" s="13" t="n">
        <f aca="false">(Operations!BE84-BE16-BE15)*BE17-BE12</f>
        <v>59.2633484630919</v>
      </c>
      <c r="BF18" s="13" t="n">
        <f aca="false">(Operations!BF84-BF16-BF15)*BF17-BF12</f>
        <v>59.6215863705629</v>
      </c>
      <c r="BG18" s="13" t="n">
        <f aca="false">(Operations!BG84-BG16-BG15)*BG17-BG12</f>
        <v>60.0275908866272</v>
      </c>
      <c r="BH18" s="13" t="n">
        <f aca="false">(Operations!BH84-BH16-BH15)*BH17-BH12</f>
        <v>60.4993047781359</v>
      </c>
      <c r="BI18" s="13" t="n">
        <f aca="false">(Operations!BI84-BI16-BI15)*BI17-BI12</f>
        <v>60.9258329218252</v>
      </c>
      <c r="BJ18" s="13" t="n">
        <f aca="false">(Operations!BJ84-BJ16-BJ15)*BJ17-BJ12</f>
        <v>43.708484379003</v>
      </c>
      <c r="BK18" s="13" t="n">
        <f aca="false">(Operations!BK84-BK16-BK15)*BK17-BK12</f>
        <v>61.7162338838888</v>
      </c>
      <c r="BL18" s="13" t="n">
        <f aca="false">(Operations!BL84-BL16-BL15)*BL17-BL12</f>
        <v>61.9342722796386</v>
      </c>
      <c r="BM18" s="13" t="n">
        <f aca="false">(Operations!BM84-BM16-BM15)*BM17-BM12</f>
        <v>22.4939747627666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225.872797584052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2.50799053670944</v>
      </c>
      <c r="Z20" s="13" t="n">
        <f aca="false">MIN(Y21,MAX(0,Z18-Z19))</f>
        <v>8.31892376764203</v>
      </c>
      <c r="AA20" s="13" t="n">
        <f aca="false">MIN(Z21,MAX(0,AA18-AA19))</f>
        <v>9.76220355522731</v>
      </c>
      <c r="AB20" s="13" t="n">
        <f aca="false">MIN(AA21,MAX(0,AB18-AB19))</f>
        <v>10.6679776231855</v>
      </c>
      <c r="AC20" s="13" t="n">
        <f aca="false">MIN(AB21,MAX(0,AC18-AC19))</f>
        <v>12.2895447188064</v>
      </c>
      <c r="AD20" s="13" t="n">
        <f aca="false">MIN(AC21,MAX(0,AD18-AD19))</f>
        <v>0.386514247030007</v>
      </c>
      <c r="AE20" s="13" t="n">
        <f aca="false">MIN(AD21,MAX(0,AE18-AE19))</f>
        <v>15.2794526401959</v>
      </c>
      <c r="AF20" s="13" t="n">
        <f aca="false">MIN(AE21,MAX(0,AF18-AF19))</f>
        <v>16.3823665027278</v>
      </c>
      <c r="AG20" s="13" t="n">
        <f aca="false">MIN(AF21,MAX(0,AG18-AG19))</f>
        <v>18.097446872423</v>
      </c>
      <c r="AH20" s="13" t="n">
        <f aca="false">MIN(AG21,MAX(0,AH18-AH19))</f>
        <v>19.7602971020727</v>
      </c>
      <c r="AI20" s="13" t="n">
        <f aca="false">MIN(AH21,MAX(0,AI18-AI19))</f>
        <v>21.7844620694419</v>
      </c>
      <c r="AJ20" s="13" t="n">
        <f aca="false">MIN(AI21,MAX(0,AJ18-AJ19))</f>
        <v>23.5086851004148</v>
      </c>
      <c r="AK20" s="13" t="n">
        <f aca="false">MIN(AJ21,MAX(0,AK18-AK19))</f>
        <v>25.8152836191669</v>
      </c>
      <c r="AL20" s="13" t="n">
        <f aca="false">MIN(AK21,MAX(0,AL18-AL19))</f>
        <v>23.9877540355595</v>
      </c>
      <c r="AM20" s="13" t="n">
        <f aca="false">MIN(AL21,MAX(0,AM18-AM19))</f>
        <v>17.3238951934488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7.52909325280174</v>
      </c>
      <c r="P21" s="13" t="n">
        <f aca="false">O21+P11-P20</f>
        <v>30.116373011207</v>
      </c>
      <c r="Q21" s="13" t="n">
        <f aca="false">P21+Q11-Q20</f>
        <v>52.7036527696122</v>
      </c>
      <c r="R21" s="13" t="n">
        <f aca="false">Q21+R11-R20</f>
        <v>75.2909325280174</v>
      </c>
      <c r="S21" s="13" t="n">
        <f aca="false">R21+S11-S20</f>
        <v>97.8782122864226</v>
      </c>
      <c r="T21" s="13" t="n">
        <f aca="false">S21+T11-T20</f>
        <v>120.465492044828</v>
      </c>
      <c r="U21" s="13" t="n">
        <f aca="false">T21+U11-U20</f>
        <v>143.052771803233</v>
      </c>
      <c r="V21" s="13" t="n">
        <f aca="false">U21+V11-V20</f>
        <v>165.640051561638</v>
      </c>
      <c r="W21" s="13" t="n">
        <f aca="false">V21+W11-W20</f>
        <v>188.227331320043</v>
      </c>
      <c r="X21" s="13" t="n">
        <f aca="false">W21+X11-X20</f>
        <v>210.814611078449</v>
      </c>
      <c r="Y21" s="13" t="n">
        <f aca="false">X21+Y11-Y20</f>
        <v>223.364807047343</v>
      </c>
      <c r="Z21" s="13" t="n">
        <f aca="false">Y21+Z11-Z20</f>
        <v>215.045883279701</v>
      </c>
      <c r="AA21" s="13" t="n">
        <f aca="false">Z21+AA11-AA20</f>
        <v>205.283679724473</v>
      </c>
      <c r="AB21" s="13" t="n">
        <f aca="false">AA21+AB11-AB20</f>
        <v>194.615702101288</v>
      </c>
      <c r="AC21" s="13" t="n">
        <f aca="false">AB21+AC11-AC20</f>
        <v>182.326157382481</v>
      </c>
      <c r="AD21" s="13" t="n">
        <f aca="false">AC21+AD11-AD20</f>
        <v>181.939643135451</v>
      </c>
      <c r="AE21" s="13" t="n">
        <f aca="false">AD21+AE11-AE20</f>
        <v>166.660190495255</v>
      </c>
      <c r="AF21" s="13" t="n">
        <f aca="false">AE21+AF11-AF20</f>
        <v>150.277823992528</v>
      </c>
      <c r="AG21" s="13" t="n">
        <f aca="false">AF21+AG11-AG20</f>
        <v>132.180377120105</v>
      </c>
      <c r="AH21" s="13" t="n">
        <f aca="false">AG21+AH11-AH20</f>
        <v>112.420080018032</v>
      </c>
      <c r="AI21" s="13" t="n">
        <f aca="false">AH21+AI11-AI20</f>
        <v>90.63561794859</v>
      </c>
      <c r="AJ21" s="13" t="n">
        <f aca="false">AI21+AJ11-AJ20</f>
        <v>67.1269328481752</v>
      </c>
      <c r="AK21" s="13" t="n">
        <f aca="false">AJ21+AK11-AK20</f>
        <v>41.3116492290083</v>
      </c>
      <c r="AL21" s="13" t="n">
        <f aca="false">AK21+AL11-AL20</f>
        <v>17.3238951934488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1141.15794302334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12.8591851213666</v>
      </c>
      <c r="AN23" s="13" t="n">
        <f aca="false">MAX(0,AN18-AN19-AN20)</f>
        <v>32.0397735936804</v>
      </c>
      <c r="AO23" s="13" t="n">
        <f aca="false">MAX(0,AO18-AO19-AO20)</f>
        <v>33.9572020762476</v>
      </c>
      <c r="AP23" s="13" t="n">
        <f aca="false">MAX(0,AP18-AP19-AP20)</f>
        <v>35.7569074784196</v>
      </c>
      <c r="AQ23" s="13" t="n">
        <f aca="false">MAX(0,AQ18-AQ19-AQ20)</f>
        <v>35.9615063164689</v>
      </c>
      <c r="AR23" s="13" t="n">
        <f aca="false">MAX(0,AR18-AR19-AR20)</f>
        <v>36.1292918839988</v>
      </c>
      <c r="AS23" s="13" t="n">
        <f aca="false">MAX(0,AS18-AS19-AS20)</f>
        <v>36.4983236809217</v>
      </c>
      <c r="AT23" s="13" t="n">
        <f aca="false">MAX(0,AT18-AT19-AT20)</f>
        <v>22.2985364351252</v>
      </c>
      <c r="AU23" s="13" t="n">
        <f aca="false">MAX(0,AU18-AU19-AU20)</f>
        <v>37.1900156392831</v>
      </c>
      <c r="AV23" s="13" t="n">
        <f aca="false">MAX(0,AV18-AV19-AV20)</f>
        <v>37.3357274414131</v>
      </c>
      <c r="AW23" s="13" t="n">
        <f aca="false">MAX(0,AW18-AW19-AW20)</f>
        <v>37.568617409154</v>
      </c>
      <c r="AX23" s="13" t="n">
        <f aca="false">MAX(0,AX18-AX19-AX20)</f>
        <v>37.7614059599642</v>
      </c>
      <c r="AY23" s="13" t="n">
        <f aca="false">MAX(0,AY18-AY19-AY20)</f>
        <v>38.0678952683287</v>
      </c>
      <c r="AZ23" s="13" t="n">
        <f aca="false">MAX(0,AZ18-AZ19-AZ20)</f>
        <v>38.396158523758</v>
      </c>
      <c r="BA23" s="13" t="n">
        <f aca="false">MAX(0,BA18-BA19-BA20)</f>
        <v>38.8033790791271</v>
      </c>
      <c r="BB23" s="13" t="n">
        <f aca="false">MAX(0,BB18-BB19-BB20)</f>
        <v>35.4643442312976</v>
      </c>
      <c r="BC23" s="13" t="n">
        <f aca="false">MAX(0,BC18-BC19-BC20)</f>
        <v>45.9571600316489</v>
      </c>
      <c r="BD23" s="13" t="n">
        <f aca="false">MAX(0,BD18-BD19-BD20)</f>
        <v>58.9218841275916</v>
      </c>
      <c r="BE23" s="13" t="n">
        <f aca="false">MAX(0,BE18-BE19-BE20)</f>
        <v>59.2633484630919</v>
      </c>
      <c r="BF23" s="13" t="n">
        <f aca="false">MAX(0,BF18-BF19-BF20)</f>
        <v>59.6215863705629</v>
      </c>
      <c r="BG23" s="13" t="n">
        <f aca="false">MAX(0,BG18-BG19-BG20)</f>
        <v>60.0275908866272</v>
      </c>
      <c r="BH23" s="13" t="n">
        <f aca="false">MAX(0,BH18-BH19-BH20)</f>
        <v>60.4993047781359</v>
      </c>
      <c r="BI23" s="13" t="n">
        <f aca="false">MAX(0,BI18-BI19-BI20)</f>
        <v>60.9258329218252</v>
      </c>
      <c r="BJ23" s="13" t="n">
        <f aca="false">MAX(0,BJ18-BJ19-BJ20)</f>
        <v>43.708484379003</v>
      </c>
      <c r="BK23" s="13" t="n">
        <f aca="false">MAX(0,BK18-BK19-BK20)</f>
        <v>61.7162338838888</v>
      </c>
      <c r="BL23" s="13" t="n">
        <f aca="false">MAX(0,BL18-BL19-BL20)</f>
        <v>61.9342722796386</v>
      </c>
      <c r="BM23" s="13" t="n">
        <f aca="false">MAX(0,BM18-BM19-BM20)</f>
        <v>22.4939747627666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342.347382907001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3.85775553640999</v>
      </c>
      <c r="AN25" s="13" t="n">
        <f aca="false">AN23*AN24</f>
        <v>9.61193207810411</v>
      </c>
      <c r="AO25" s="13" t="n">
        <f aca="false">AO23*AO24</f>
        <v>10.1871606228743</v>
      </c>
      <c r="AP25" s="13" t="n">
        <f aca="false">AP23*AP24</f>
        <v>10.7270722435259</v>
      </c>
      <c r="AQ25" s="13" t="n">
        <f aca="false">AQ23*AQ24</f>
        <v>10.7884518949407</v>
      </c>
      <c r="AR25" s="13" t="n">
        <f aca="false">AR23*AR24</f>
        <v>10.8387875651996</v>
      </c>
      <c r="AS25" s="13" t="n">
        <f aca="false">AS23*AS24</f>
        <v>10.9494971042765</v>
      </c>
      <c r="AT25" s="13" t="n">
        <f aca="false">AT23*AT24</f>
        <v>6.68956093053755</v>
      </c>
      <c r="AU25" s="13" t="n">
        <f aca="false">AU23*AU24</f>
        <v>11.1570046917849</v>
      </c>
      <c r="AV25" s="13" t="n">
        <f aca="false">AV23*AV24</f>
        <v>11.2007182324239</v>
      </c>
      <c r="AW25" s="13" t="n">
        <f aca="false">AW23*AW24</f>
        <v>11.2705852227462</v>
      </c>
      <c r="AX25" s="13" t="n">
        <f aca="false">AX23*AX24</f>
        <v>11.3284217879893</v>
      </c>
      <c r="AY25" s="13" t="n">
        <f aca="false">AY23*AY24</f>
        <v>11.4203685804986</v>
      </c>
      <c r="AZ25" s="13" t="n">
        <f aca="false">AZ23*AZ24</f>
        <v>11.5188475571274</v>
      </c>
      <c r="BA25" s="13" t="n">
        <f aca="false">BA23*BA24</f>
        <v>11.6410137237381</v>
      </c>
      <c r="BB25" s="13" t="n">
        <f aca="false">BB23*BB24</f>
        <v>10.6393032693893</v>
      </c>
      <c r="BC25" s="13" t="n">
        <f aca="false">BC23*BC24</f>
        <v>13.7871480094947</v>
      </c>
      <c r="BD25" s="13" t="n">
        <f aca="false">BD23*BD24</f>
        <v>17.6765652382775</v>
      </c>
      <c r="BE25" s="13" t="n">
        <f aca="false">BE23*BE24</f>
        <v>17.7790045389276</v>
      </c>
      <c r="BF25" s="13" t="n">
        <f aca="false">BF23*BF24</f>
        <v>17.8864759111689</v>
      </c>
      <c r="BG25" s="13" t="n">
        <f aca="false">BG23*BG24</f>
        <v>18.0082772659882</v>
      </c>
      <c r="BH25" s="13" t="n">
        <f aca="false">BH23*BH24</f>
        <v>18.1497914334408</v>
      </c>
      <c r="BI25" s="13" t="n">
        <f aca="false">BI23*BI24</f>
        <v>18.2777498765476</v>
      </c>
      <c r="BJ25" s="13" t="n">
        <f aca="false">BJ23*BJ24</f>
        <v>13.1125453137009</v>
      </c>
      <c r="BK25" s="13" t="n">
        <f aca="false">BK23*BK24</f>
        <v>18.5148701651666</v>
      </c>
      <c r="BL25" s="13" t="n">
        <f aca="false">BL23*BL24</f>
        <v>18.5802816838916</v>
      </c>
      <c r="BM25" s="13" t="n">
        <f aca="false">BM23*BM24</f>
        <v>6.74819242882997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16.8949386476953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0.119253558735222</v>
      </c>
      <c r="Z26" s="13" t="n">
        <f aca="false">IF(Time!Z30&gt;0,Inputs!$F$176/100*Operations!Z55*(Z8+Z9)/Time!Z30,0)</f>
        <v>0.360330299703011</v>
      </c>
      <c r="AA26" s="13" t="n">
        <f aca="false">IF(Time!AA30&gt;0,Inputs!$F$176/100*Operations!AA55*(AA8+AA9)/Time!AA30,0)</f>
        <v>0.362688218841561</v>
      </c>
      <c r="AB26" s="13" t="n">
        <f aca="false">IF(Time!AB30&gt;0,Inputs!$F$176/100*Operations!AB55*(AB8+AB9)/Time!AB30,0)</f>
        <v>0.364938238741086</v>
      </c>
      <c r="AC26" s="13" t="n">
        <f aca="false">IF(Time!AC30&gt;0,Inputs!$F$176/100*Operations!AC55*(AC8+AC9)/Time!AC30,0)</f>
        <v>0.366614477821428</v>
      </c>
      <c r="AD26" s="13" t="n">
        <f aca="false">IF(Time!AD30&gt;0,Inputs!$F$176/100*Operations!AD55*(AD8+AD9)/Time!AD30,0)</f>
        <v>0.360581569238638</v>
      </c>
      <c r="AE26" s="13" t="n">
        <f aca="false">IF(Time!AE30&gt;0,Inputs!$F$176/100*Operations!AE55*(AE8+AE9)/Time!AE30,0)</f>
        <v>0.370912153953016</v>
      </c>
      <c r="AF26" s="13" t="n">
        <f aca="false">IF(Time!AF30&gt;0,Inputs!$F$176/100*Operations!AF55*(AF8+AF9)/Time!AF30,0)</f>
        <v>0.375445733315541</v>
      </c>
      <c r="AG26" s="13" t="n">
        <f aca="false">IF(Time!AG30&gt;0,Inputs!$F$176/100*Operations!AG55*(AG8+AG9)/Time!AG30,0)</f>
        <v>0.377899107581401</v>
      </c>
      <c r="AH26" s="13" t="n">
        <f aca="false">IF(Time!AH30&gt;0,Inputs!$F$176/100*Operations!AH55*(AH8+AH9)/Time!AH30,0)</f>
        <v>0.380013131434513</v>
      </c>
      <c r="AI26" s="13" t="n">
        <f aca="false">IF(Time!AI30&gt;0,Inputs!$F$176/100*Operations!AI55*(AI8+AI9)/Time!AI30,0)</f>
        <v>0.383292779929835</v>
      </c>
      <c r="AJ26" s="13" t="n">
        <f aca="false">IF(Time!AJ30&gt;0,Inputs!$F$176/100*Operations!AJ55*(AJ8+AJ9)/Time!AJ30,0)</f>
        <v>0.386999961222321</v>
      </c>
      <c r="AK26" s="13" t="n">
        <f aca="false">IF(Time!AK30&gt;0,Inputs!$F$176/100*Operations!AK55*(AK8+AK9)/Time!AK30,0)</f>
        <v>0.389221816471203</v>
      </c>
      <c r="AL26" s="13" t="n">
        <f aca="false">IF(Time!AL30&gt;0,Inputs!$F$176/100*Operations!AL55*(AL8+AL9)/Time!AL30,0)</f>
        <v>0.385045760669201</v>
      </c>
      <c r="AM26" s="13" t="n">
        <f aca="false">IF(Time!AM30&gt;0,Inputs!$F$176/100*Operations!AM55*(AM8+AM9)/Time!AM30,0)</f>
        <v>0.394804540851665</v>
      </c>
      <c r="AN26" s="13" t="n">
        <f aca="false">IF(Time!AN30&gt;0,Inputs!$F$176/100*Operations!AN55*(AN8+AN9)/Time!AN30,0)</f>
        <v>0.400169686355445</v>
      </c>
      <c r="AO26" s="13" t="n">
        <f aca="false">IF(Time!AO30&gt;0,Inputs!$F$176/100*Operations!AO55*(AO8+AO9)/Time!AO30,0)</f>
        <v>0.403144701941812</v>
      </c>
      <c r="AP26" s="13" t="n">
        <f aca="false">IF(Time!AP30&gt;0,Inputs!$F$176/100*Operations!AP55*(AP8+AP9)/Time!AP30,0)</f>
        <v>0.405773344884679</v>
      </c>
      <c r="AQ26" s="13" t="n">
        <f aca="false">IF(Time!AQ30&gt;0,Inputs!$F$176/100*Operations!AQ55*(AQ8+AQ9)/Time!AQ30,0)</f>
        <v>0.409662212813871</v>
      </c>
      <c r="AR26" s="13" t="n">
        <f aca="false">IF(Time!AR30&gt;0,Inputs!$F$176/100*Operations!AR55*(AR8+AR9)/Time!AR30,0)</f>
        <v>0.414038017077306</v>
      </c>
      <c r="AS26" s="13" t="n">
        <f aca="false">IF(Time!AS30&gt;0,Inputs!$F$176/100*Operations!AS55*(AS8+AS9)/Time!AS30,0)</f>
        <v>0.416734821498194</v>
      </c>
      <c r="AT26" s="13" t="n">
        <f aca="false">IF(Time!AT30&gt;0,Inputs!$F$176/100*Operations!AT55*(AT8+AT9)/Time!AT30,0)</f>
        <v>0.415450606065208</v>
      </c>
      <c r="AU26" s="13" t="n">
        <f aca="false">IF(Time!AU30&gt;0,Inputs!$F$176/100*Operations!AU55*(AU8+AU9)/Time!AU30,0)</f>
        <v>0.422893441722164</v>
      </c>
      <c r="AV26" s="13" t="n">
        <f aca="false">IF(Time!AV30&gt;0,Inputs!$F$176/100*Operations!AV55*(AV8+AV9)/Time!AV30,0)</f>
        <v>0.42807228560642</v>
      </c>
      <c r="AW26" s="13" t="n">
        <f aca="false">IF(Time!AW30&gt;0,Inputs!$F$176/100*Operations!AW55*(AW8+AW9)/Time!AW30,0)</f>
        <v>0.432570780485304</v>
      </c>
      <c r="AX26" s="13" t="n">
        <f aca="false">IF(Time!AX30&gt;0,Inputs!$F$176/100*Operations!AX55*(AX8+AX9)/Time!AX30,0)</f>
        <v>0.437677858649019</v>
      </c>
      <c r="AY26" s="13" t="n">
        <f aca="false">IF(Time!AY30&gt;0,Inputs!$F$176/100*Operations!AY55*(AY8+AY9)/Time!AY30,0)</f>
        <v>0.441798160799687</v>
      </c>
      <c r="AZ26" s="13" t="n">
        <f aca="false">IF(Time!AZ30&gt;0,Inputs!$F$176/100*Operations!AZ55*(AZ8+AZ9)/Time!AZ30,0)</f>
        <v>0.445900588111909</v>
      </c>
      <c r="BA26" s="13" t="n">
        <f aca="false">IF(Time!BA30&gt;0,Inputs!$F$176/100*Operations!BA55*(BA8+BA9)/Time!BA30,0)</f>
        <v>0.449289668124005</v>
      </c>
      <c r="BB26" s="13" t="n">
        <f aca="false">IF(Time!BB30&gt;0,Inputs!$F$176/100*Operations!BB55*(BB8+BB9)/Time!BB30,0)</f>
        <v>0.450086981688176</v>
      </c>
      <c r="BC26" s="13" t="n">
        <f aca="false">IF(Time!BC30&gt;0,Inputs!$F$176/100*Operations!BC55*(BC8+BC9)/Time!BC30,0)</f>
        <v>0.457348984810957</v>
      </c>
      <c r="BD26" s="13" t="n">
        <f aca="false">IF(Time!BD30&gt;0,Inputs!$F$176/100*Operations!BD55*(BD8+BD9)/Time!BD30,0)</f>
        <v>0.464283409335886</v>
      </c>
      <c r="BE26" s="13" t="n">
        <f aca="false">IF(Time!BE30&gt;0,Inputs!$F$176/100*Operations!BE55*(BE8+BE9)/Time!BE30,0)</f>
        <v>0.469106650815408</v>
      </c>
      <c r="BF26" s="13" t="n">
        <f aca="false">IF(Time!BF30&gt;0,Inputs!$F$176/100*Operations!BF55*(BF8+BF9)/Time!BF30,0)</f>
        <v>0.474007360311487</v>
      </c>
      <c r="BG26" s="13" t="n">
        <f aca="false">IF(Time!BG30&gt;0,Inputs!$F$176/100*Operations!BG55*(BG8+BG9)/Time!BG30,0)</f>
        <v>0.478472319260003</v>
      </c>
      <c r="BH26" s="13" t="n">
        <f aca="false">IF(Time!BH30&gt;0,Inputs!$F$176/100*Operations!BH55*(BH8+BH9)/Time!BH30,0)</f>
        <v>0.482391857806122</v>
      </c>
      <c r="BI26" s="13" t="n">
        <f aca="false">IF(Time!BI30&gt;0,Inputs!$F$176/100*Operations!BI55*(BI8+BI9)/Time!BI30,0)</f>
        <v>0.486975025666602</v>
      </c>
      <c r="BJ26" s="13" t="n">
        <f aca="false">IF(Time!BJ30&gt;0,Inputs!$F$176/100*Operations!BJ55*(BJ8+BJ9)/Time!BJ30,0)</f>
        <v>0.486175169532701</v>
      </c>
      <c r="BK26" s="13" t="n">
        <f aca="false">IF(Time!BK30&gt;0,Inputs!$F$176/100*Operations!BK55*(BK8+BK9)/Time!BK30,0)</f>
        <v>0.497698575450433</v>
      </c>
      <c r="BL26" s="13" t="n">
        <f aca="false">IF(Time!BL30&gt;0,Inputs!$F$176/100*Operations!BL55*(BL8+BL9)/Time!BL30,0)</f>
        <v>0.505950936227435</v>
      </c>
      <c r="BM26" s="13" t="n">
        <f aca="false">IF(Time!BM30&gt;0,Inputs!$F$176/100*Operations!BM55*(BM8+BM9)/Time!BM30,0)</f>
        <v>0.341223854145407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347.330619714659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0.119253558735222</v>
      </c>
      <c r="Z27" s="13" t="n">
        <f aca="false">MAX(Z25,Z26)</f>
        <v>0.360330299703011</v>
      </c>
      <c r="AA27" s="13" t="n">
        <f aca="false">MAX(AA25,AA26)</f>
        <v>0.362688218841561</v>
      </c>
      <c r="AB27" s="13" t="n">
        <f aca="false">MAX(AB25,AB26)</f>
        <v>0.364938238741086</v>
      </c>
      <c r="AC27" s="13" t="n">
        <f aca="false">MAX(AC25,AC26)</f>
        <v>0.366614477821428</v>
      </c>
      <c r="AD27" s="13" t="n">
        <f aca="false">MAX(AD25,AD26)</f>
        <v>0.360581569238638</v>
      </c>
      <c r="AE27" s="13" t="n">
        <f aca="false">MAX(AE25,AE26)</f>
        <v>0.370912153953016</v>
      </c>
      <c r="AF27" s="13" t="n">
        <f aca="false">MAX(AF25,AF26)</f>
        <v>0.375445733315541</v>
      </c>
      <c r="AG27" s="13" t="n">
        <f aca="false">MAX(AG25,AG26)</f>
        <v>0.377899107581401</v>
      </c>
      <c r="AH27" s="13" t="n">
        <f aca="false">MAX(AH25,AH26)</f>
        <v>0.380013131434513</v>
      </c>
      <c r="AI27" s="13" t="n">
        <f aca="false">MAX(AI25,AI26)</f>
        <v>0.383292779929835</v>
      </c>
      <c r="AJ27" s="13" t="n">
        <f aca="false">MAX(AJ25,AJ26)</f>
        <v>0.386999961222321</v>
      </c>
      <c r="AK27" s="13" t="n">
        <f aca="false">MAX(AK25,AK26)</f>
        <v>0.389221816471203</v>
      </c>
      <c r="AL27" s="13" t="n">
        <f aca="false">MAX(AL25,AL26)</f>
        <v>0.385045760669201</v>
      </c>
      <c r="AM27" s="13" t="n">
        <f aca="false">MAX(AM25,AM26)</f>
        <v>3.85775553640999</v>
      </c>
      <c r="AN27" s="13" t="n">
        <f aca="false">MAX(AN25,AN26)</f>
        <v>9.61193207810411</v>
      </c>
      <c r="AO27" s="13" t="n">
        <f aca="false">MAX(AO25,AO26)</f>
        <v>10.1871606228743</v>
      </c>
      <c r="AP27" s="13" t="n">
        <f aca="false">MAX(AP25,AP26)</f>
        <v>10.7270722435259</v>
      </c>
      <c r="AQ27" s="13" t="n">
        <f aca="false">MAX(AQ25,AQ26)</f>
        <v>10.7884518949407</v>
      </c>
      <c r="AR27" s="13" t="n">
        <f aca="false">MAX(AR25,AR26)</f>
        <v>10.8387875651996</v>
      </c>
      <c r="AS27" s="13" t="n">
        <f aca="false">MAX(AS25,AS26)</f>
        <v>10.9494971042765</v>
      </c>
      <c r="AT27" s="13" t="n">
        <f aca="false">MAX(AT25,AT26)</f>
        <v>6.68956093053755</v>
      </c>
      <c r="AU27" s="13" t="n">
        <f aca="false">MAX(AU25,AU26)</f>
        <v>11.1570046917849</v>
      </c>
      <c r="AV27" s="13" t="n">
        <f aca="false">MAX(AV25,AV26)</f>
        <v>11.2007182324239</v>
      </c>
      <c r="AW27" s="13" t="n">
        <f aca="false">MAX(AW25,AW26)</f>
        <v>11.2705852227462</v>
      </c>
      <c r="AX27" s="13" t="n">
        <f aca="false">MAX(AX25,AX26)</f>
        <v>11.3284217879893</v>
      </c>
      <c r="AY27" s="13" t="n">
        <f aca="false">MAX(AY25,AY26)</f>
        <v>11.4203685804986</v>
      </c>
      <c r="AZ27" s="13" t="n">
        <f aca="false">MAX(AZ25,AZ26)</f>
        <v>11.5188475571274</v>
      </c>
      <c r="BA27" s="13" t="n">
        <f aca="false">MAX(BA25,BA26)</f>
        <v>11.6410137237381</v>
      </c>
      <c r="BB27" s="13" t="n">
        <f aca="false">MAX(BB25,BB26)</f>
        <v>10.6393032693893</v>
      </c>
      <c r="BC27" s="13" t="n">
        <f aca="false">MAX(BC25,BC26)</f>
        <v>13.7871480094947</v>
      </c>
      <c r="BD27" s="13" t="n">
        <f aca="false">MAX(BD25,BD26)</f>
        <v>17.6765652382775</v>
      </c>
      <c r="BE27" s="13" t="n">
        <f aca="false">MAX(BE25,BE26)</f>
        <v>17.7790045389276</v>
      </c>
      <c r="BF27" s="13" t="n">
        <f aca="false">MAX(BF25,BF26)</f>
        <v>17.8864759111689</v>
      </c>
      <c r="BG27" s="13" t="n">
        <f aca="false">MAX(BG25,BG26)</f>
        <v>18.0082772659882</v>
      </c>
      <c r="BH27" s="13" t="n">
        <f aca="false">MAX(BH25,BH26)</f>
        <v>18.1497914334408</v>
      </c>
      <c r="BI27" s="13" t="n">
        <f aca="false">MAX(BI25,BI26)</f>
        <v>18.2777498765476</v>
      </c>
      <c r="BJ27" s="13" t="n">
        <f aca="false">MAX(BJ25,BJ26)</f>
        <v>13.1125453137009</v>
      </c>
      <c r="BK27" s="13" t="n">
        <f aca="false">MAX(BK25,BK26)</f>
        <v>18.5148701651666</v>
      </c>
      <c r="BL27" s="13" t="n">
        <f aca="false">MAX(BL25,BL26)</f>
        <v>18.5802816838916</v>
      </c>
      <c r="BM27" s="13" t="n">
        <f aca="false">MAX(BM25,BM26)</f>
        <v>6.74819242882997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3.95054076063159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1.10223163880451</v>
      </c>
      <c r="P28" s="13" t="n">
        <f aca="false">P13-P15</f>
        <v>2.08238095272433</v>
      </c>
      <c r="Q28" s="13" t="n">
        <f aca="false">Q13-Q15</f>
        <v>0.76592816910275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1.51012514276959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2.14079712147163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3.44769025264475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5.33442582257009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7.68005448729142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10.4076326147268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13.3265223367466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16.3652241902233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19.3735037541993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22.2498328398293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24.8888354569165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27.2436043378185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29.2283738013769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30.7501102068037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31.8132058785677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32.332653604203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33.462783465802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31.8324685097011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30.7514014967068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29.2466625250027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27.2558399403181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24.9305131228623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22.2301693467426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19.3429848723469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16.3579552718582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13.2919717729557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10.3856103321197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7.63481329906588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5.25281757330975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3.46128309025735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2.04419111985091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49.6769468881855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-0.550212710018479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0.0136918590391793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84.5897614311673</v>
      </c>
      <c r="L22" s="13" t="n">
        <f aca="false">K22+Construction!L14*$F$9/$F$10*(L21+(L19-L20)*K22)</f>
        <v>86.5314983730006</v>
      </c>
      <c r="M22" s="13" t="n">
        <f aca="false">L22+Construction!M14*$F$9/$F$10*(M21+(M19-M20)*L22)</f>
        <v>89.4749597531065</v>
      </c>
      <c r="N22" s="13" t="n">
        <f aca="false">M22+Construction!N14*$F$9/$F$10*(N21+(N19-N20)*M22)</f>
        <v>93.8889470386347</v>
      </c>
      <c r="O22" s="13" t="n">
        <f aca="false">N22+Construction!O14*$F$9/$F$10*(O21+(O19-O20)*N22)</f>
        <v>100.13911122081</v>
      </c>
      <c r="P22" s="13" t="n">
        <f aca="false">O22+Construction!P14*$F$9/$F$10*(P21+(P19-P20)*O22)</f>
        <v>108.473469628687</v>
      </c>
      <c r="Q22" s="13" t="n">
        <f aca="false">P22+Construction!Q14*$F$9/$F$10*(Q21+(Q19-Q20)*P22)</f>
        <v>119.118200022781</v>
      </c>
      <c r="R22" s="13" t="n">
        <f aca="false">Q22+Construction!R14*$F$9/$F$10*(R21+(R19-R20)*Q22)</f>
        <v>132.124052389067</v>
      </c>
      <c r="S22" s="13" t="n">
        <f aca="false">R22+Construction!S14*$F$9/$F$10*(S21+(S19-S20)*R22)</f>
        <v>147.504659916331</v>
      </c>
      <c r="T22" s="13" t="n">
        <f aca="false">S22+Construction!T14*$F$9/$F$10*(T21+(T19-T20)*S22)</f>
        <v>165.135640162321</v>
      </c>
      <c r="U22" s="13" t="n">
        <f aca="false">T22+Construction!U14*$F$9/$F$10*(U21+(U19-U20)*T22)</f>
        <v>184.894995945595</v>
      </c>
      <c r="V22" s="13" t="n">
        <f aca="false">U22+Construction!V14*$F$9/$F$10*(V21+(V19-V20)*U22)</f>
        <v>206.539481198333</v>
      </c>
      <c r="W22" s="13" t="n">
        <f aca="false">V22+Construction!W14*$F$9/$F$10*(W21+(W19-W20)*V22)</f>
        <v>229.766552760668</v>
      </c>
      <c r="X22" s="13" t="n">
        <f aca="false">W22+Construction!X14*$F$9/$F$10*(X21+(X19-X20)*W22)</f>
        <v>254.276724686467</v>
      </c>
      <c r="Y22" s="13" t="n">
        <f aca="false">X22+Construction!Y14*$F$9/$F$10*(Y21+(Y19-Y20)*X22)</f>
        <v>279.665952817014</v>
      </c>
      <c r="Z22" s="13" t="n">
        <f aca="false">Y22+Construction!Z14*$F$9/$F$10*(Z21+(Z19-Z20)*Y22)</f>
        <v>305.581779833161</v>
      </c>
      <c r="AA22" s="13" t="n">
        <f aca="false">Z22+Construction!AA14*$F$9/$F$10*(AA21+(AA19-AA20)*Z22)</f>
        <v>332.481464557477</v>
      </c>
      <c r="AB22" s="13" t="n">
        <f aca="false">AA22+Construction!AB14*$F$9/$F$10*(AB21+(AB19-AB20)*AA22)</f>
        <v>358.148761745725</v>
      </c>
      <c r="AC22" s="13" t="n">
        <f aca="false">AB22+Construction!AC14*$F$9/$F$10*(AC21+(AC19-AC20)*AB22)</f>
        <v>383.166078902966</v>
      </c>
      <c r="AD22" s="13" t="n">
        <f aca="false">AC22+Construction!AD14*$F$9/$F$10*(AD21+(AD19-AD20)*AC22)</f>
        <v>407.075252524441</v>
      </c>
      <c r="AE22" s="13" t="n">
        <f aca="false">AD22+Construction!AE14*$F$9/$F$10*(AE21+(AE19-AE20)*AD22)</f>
        <v>429.593357129414</v>
      </c>
      <c r="AF22" s="13" t="n">
        <f aca="false">AE22+Construction!AF14*$F$9/$F$10*(AF21+(AF19-AF20)*AE22)</f>
        <v>450.357113904056</v>
      </c>
      <c r="AG22" s="13" t="n">
        <f aca="false">AF22+Construction!AG14*$F$9/$F$10*(AG21+(AG19-AG20)*AF22)</f>
        <v>469.190440066368</v>
      </c>
      <c r="AH22" s="13" t="n">
        <f aca="false">AG22+Construction!AH14*$F$9/$F$10*(AH21+(AH19-AH20)*AG22)</f>
        <v>485.877103077844</v>
      </c>
      <c r="AI22" s="13" t="n">
        <f aca="false">AH22+Construction!AI14*$F$9/$F$10*(AI21+(AI19-AI20)*AH22)</f>
        <v>500.27289472514</v>
      </c>
      <c r="AJ22" s="13" t="n">
        <f aca="false">AI22+Construction!AJ14*$F$9/$F$10*(AJ21+(AJ19-AJ20)*AI22)</f>
        <v>512.428066606223</v>
      </c>
      <c r="AK22" s="13" t="n">
        <f aca="false">AJ22+Construction!AK14*$F$9/$F$10*(AK21+(AK19-AK20)*AJ22)</f>
        <v>522.331985874938</v>
      </c>
      <c r="AL22" s="13" t="n">
        <f aca="false">AK22+Construction!AL14*$F$9/$F$10*(AL21+(AL19-AL20)*AK22)</f>
        <v>530.223516605716</v>
      </c>
      <c r="AM22" s="13" t="n">
        <f aca="false">AL22+Construction!AM14*$F$9/$F$10*(AM21+(AM19-AM20)*AL22)</f>
        <v>536.325372042775</v>
      </c>
      <c r="AN22" s="13" t="n">
        <f aca="false">AM22+Construction!AN14*$F$9/$F$10*(AN21+(AN19-AN20)*AM22)</f>
        <v>540.871695411045</v>
      </c>
      <c r="AO22" s="13" t="n">
        <f aca="false">AN22+Construction!AO14*$F$9/$F$10*(AO21+(AO19-AO20)*AN22)</f>
        <v>544.548306302657</v>
      </c>
      <c r="AP22" s="13" t="n">
        <f aca="false">AO22+Construction!AP14*$F$9/$F$10*(AP21+(AP19-AP20)*AO22)</f>
        <v>584.789374976407</v>
      </c>
      <c r="AQ22" s="13" t="n">
        <f aca="false">AP22+Construction!AQ14*$F$9/$F$10*(AQ21+(AQ19-AQ20)*AP22)</f>
        <v>586.64242250818</v>
      </c>
      <c r="AR22" s="13" t="n">
        <f aca="false">AQ22+Construction!AR14*$F$9/$F$10*(AR21+(AR19-AR20)*AQ22)</f>
        <v>588.862540655949</v>
      </c>
      <c r="AS22" s="13" t="n">
        <f aca="false">AR22+Construction!AS14*$F$9/$F$10*(AS21+(AS19-AS20)*AR22)</f>
        <v>588.862540655949</v>
      </c>
      <c r="AT22" s="13" t="n">
        <f aca="false">AS22+Construction!AT14*$F$9/$F$10*(AT21+(AT19-AT20)*AS22)</f>
        <v>588.862540655949</v>
      </c>
      <c r="AU22" s="13" t="n">
        <f aca="false">AT22+Construction!AU14*$F$9/$F$10*(AU21+(AU19-AU20)*AT22)</f>
        <v>588.862540655949</v>
      </c>
      <c r="AV22" s="13" t="n">
        <f aca="false">AU22+Construction!AV14*$F$9/$F$10*(AV21+(AV19-AV20)*AU22)</f>
        <v>588.862540655949</v>
      </c>
      <c r="AW22" s="13" t="n">
        <f aca="false">AV22+Construction!AW14*$F$9/$F$10*(AW21+(AW19-AW20)*AV22)</f>
        <v>588.862540655949</v>
      </c>
      <c r="AX22" s="13" t="n">
        <f aca="false">AW22+Construction!AX14*$F$9/$F$10*(AX21+(AX19-AX20)*AW22)</f>
        <v>588.862540655949</v>
      </c>
      <c r="AY22" s="13" t="n">
        <f aca="false">AX22+Construction!AY14*$F$9/$F$10*(AY21+(AY19-AY20)*AX22)</f>
        <v>588.862540655949</v>
      </c>
      <c r="AZ22" s="13" t="n">
        <f aca="false">AY22+Construction!AZ14*$F$9/$F$10*(AZ21+(AZ19-AZ20)*AY22)</f>
        <v>588.862540655949</v>
      </c>
      <c r="BA22" s="13" t="n">
        <f aca="false">AZ22+Construction!BA14*$F$9/$F$10*(BA21+(BA19-BA20)*AZ22)</f>
        <v>588.862540655949</v>
      </c>
      <c r="BB22" s="13" t="n">
        <f aca="false">BA22+Construction!BB14*$F$9/$F$10*(BB21+(BB19-BB20)*BA22)</f>
        <v>588.862540655949</v>
      </c>
      <c r="BC22" s="13" t="n">
        <f aca="false">BB22+Construction!BC14*$F$9/$F$10*(BC21+(BC19-BC20)*BB22)</f>
        <v>588.862540655949</v>
      </c>
      <c r="BD22" s="13" t="n">
        <f aca="false">BC22+Construction!BD14*$F$9/$F$10*(BD21+(BD19-BD20)*BC22)</f>
        <v>588.862540655949</v>
      </c>
      <c r="BE22" s="13" t="n">
        <f aca="false">BD22+Construction!BE14*$F$9/$F$10*(BE21+(BE19-BE20)*BD22)</f>
        <v>588.862540655949</v>
      </c>
      <c r="BF22" s="13" t="n">
        <f aca="false">BE22+Construction!BF14*$F$9/$F$10*(BF21+(BF19-BF20)*BE22)</f>
        <v>588.862540655949</v>
      </c>
      <c r="BG22" s="13" t="n">
        <f aca="false">BF22+Construction!BG14*$F$9/$F$10*(BG21+(BG19-BG20)*BF22)</f>
        <v>588.862540655949</v>
      </c>
      <c r="BH22" s="13" t="n">
        <f aca="false">BG22+Construction!BH14*$F$9/$F$10*(BH21+(BH19-BH20)*BG22)</f>
        <v>588.862540655949</v>
      </c>
      <c r="BI22" s="13" t="n">
        <f aca="false">BH22+Construction!BI14*$F$9/$F$10*(BI21+(BI19-BI20)*BH22)</f>
        <v>588.862540655949</v>
      </c>
      <c r="BJ22" s="13" t="n">
        <f aca="false">BI22+Construction!BJ14*$F$9/$F$10*(BJ21+(BJ19-BJ20)*BI22)</f>
        <v>588.862540655949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857.566761361508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27.4262516950913</v>
      </c>
      <c r="M28" s="13" t="n">
        <f aca="false">L61</f>
        <v>28.1295289159048</v>
      </c>
      <c r="N28" s="13" t="n">
        <f aca="false">M61</f>
        <v>29.1242330464357</v>
      </c>
      <c r="O28" s="13" t="n">
        <f aca="false">N61</f>
        <v>30.5569843919557</v>
      </c>
      <c r="P28" s="13" t="n">
        <f aca="false">O61</f>
        <v>32.5317442009011</v>
      </c>
      <c r="Q28" s="13" t="n">
        <f aca="false">P61</f>
        <v>35.1082990152342</v>
      </c>
      <c r="R28" s="13" t="n">
        <f aca="false">Q61</f>
        <v>38.3789576401874</v>
      </c>
      <c r="S28" s="13" t="n">
        <f aca="false">R61</f>
        <v>42.3415107152639</v>
      </c>
      <c r="T28" s="13" t="n">
        <f aca="false">S61</f>
        <v>47.0085294133691</v>
      </c>
      <c r="U28" s="13" t="n">
        <f aca="false">T61</f>
        <v>52.3346985200762</v>
      </c>
      <c r="V28" s="13" t="n">
        <f aca="false">U61</f>
        <v>58.2929256585109</v>
      </c>
      <c r="W28" s="13" t="n">
        <f aca="false">V61</f>
        <v>64.8068922257938</v>
      </c>
      <c r="X28" s="13" t="n">
        <f aca="false">W61</f>
        <v>71.7830505853109</v>
      </c>
      <c r="Y28" s="13" t="n">
        <f aca="false">X61</f>
        <v>79.1417610842302</v>
      </c>
      <c r="Z28" s="13" t="n">
        <f aca="false">Y61</f>
        <v>86.755246404984</v>
      </c>
      <c r="AA28" s="13" t="n">
        <f aca="false">Z61</f>
        <v>94.5282708692765</v>
      </c>
      <c r="AB28" s="13" t="n">
        <f aca="false">AA61</f>
        <v>102.591427530177</v>
      </c>
      <c r="AC28" s="13" t="n">
        <f aca="false">AB61</f>
        <v>110.282634150302</v>
      </c>
      <c r="AD28" s="13" t="n">
        <f aca="false">AC61</f>
        <v>117.790919252197</v>
      </c>
      <c r="AE28" s="13" t="n">
        <f aca="false">AD61</f>
        <v>124.968256369542</v>
      </c>
      <c r="AF28" s="13" t="n">
        <f aca="false">AE61</f>
        <v>131.739948385404</v>
      </c>
      <c r="AG28" s="13" t="n">
        <f aca="false">AF61</f>
        <v>137.990276284965</v>
      </c>
      <c r="AH28" s="13" t="n">
        <f aca="false">AG61</f>
        <v>143.676130209027</v>
      </c>
      <c r="AI28" s="13" t="n">
        <f aca="false">AH61</f>
        <v>148.72940943968</v>
      </c>
      <c r="AJ28" s="13" t="n">
        <f aca="false">AI61</f>
        <v>153.103291833799</v>
      </c>
      <c r="AK28" s="13" t="n">
        <f aca="false">AJ61</f>
        <v>156.821341396621</v>
      </c>
      <c r="AL28" s="13" t="n">
        <f aca="false">AK61</f>
        <v>159.871747993478</v>
      </c>
      <c r="AM28" s="13" t="n">
        <f aca="false">AL61</f>
        <v>162.333698160446</v>
      </c>
      <c r="AN28" s="13" t="n">
        <f aca="false">AM61</f>
        <v>164.268582276372</v>
      </c>
      <c r="AO28" s="13" t="n">
        <f aca="false">AN61</f>
        <v>165.732145338823</v>
      </c>
      <c r="AP28" s="13" t="n">
        <f aca="false">AO61</f>
        <v>166.952988876591</v>
      </c>
      <c r="AQ28" s="13" t="n">
        <f aca="false">AP61</f>
        <v>178.946912150131</v>
      </c>
      <c r="AR28" s="13" t="n">
        <f aca="false">AQ61</f>
        <v>188.190745187457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20.1125845764003</v>
      </c>
      <c r="M29" s="13" t="n">
        <f aca="false">L62</f>
        <v>20.6283212049969</v>
      </c>
      <c r="N29" s="13" t="n">
        <f aca="false">M62</f>
        <v>21.3577709007195</v>
      </c>
      <c r="O29" s="13" t="n">
        <f aca="false">N62</f>
        <v>22.4084552207675</v>
      </c>
      <c r="P29" s="13" t="n">
        <f aca="false">O62</f>
        <v>23.8566124139942</v>
      </c>
      <c r="Q29" s="13" t="n">
        <f aca="false">P62</f>
        <v>25.7460859445051</v>
      </c>
      <c r="R29" s="13" t="n">
        <f aca="false">Q62</f>
        <v>28.1445689361375</v>
      </c>
      <c r="S29" s="13" t="n">
        <f aca="false">R62</f>
        <v>31.0504411911935</v>
      </c>
      <c r="T29" s="13" t="n">
        <f aca="false">S62</f>
        <v>34.472921569804</v>
      </c>
      <c r="U29" s="13" t="n">
        <f aca="false">T62</f>
        <v>38.3787789147226</v>
      </c>
      <c r="V29" s="13" t="n">
        <f aca="false">U62</f>
        <v>42.748145482908</v>
      </c>
      <c r="W29" s="13" t="n">
        <f aca="false">V62</f>
        <v>47.5250542989154</v>
      </c>
      <c r="X29" s="13" t="n">
        <f aca="false">W62</f>
        <v>52.6409037625613</v>
      </c>
      <c r="Y29" s="13" t="n">
        <f aca="false">X62</f>
        <v>58.0372914617688</v>
      </c>
      <c r="Z29" s="13" t="n">
        <f aca="false">Y62</f>
        <v>63.6205140303216</v>
      </c>
      <c r="AA29" s="13" t="n">
        <f aca="false">Z62</f>
        <v>69.3207319708028</v>
      </c>
      <c r="AB29" s="13" t="n">
        <f aca="false">AA62</f>
        <v>75.2337135221299</v>
      </c>
      <c r="AC29" s="13" t="n">
        <f aca="false">AB62</f>
        <v>80.8739317102214</v>
      </c>
      <c r="AD29" s="13" t="n">
        <f aca="false">AC62</f>
        <v>86.3800074516111</v>
      </c>
      <c r="AE29" s="13" t="n">
        <f aca="false">AD62</f>
        <v>91.6433880043309</v>
      </c>
      <c r="AF29" s="13" t="n">
        <f aca="false">AE62</f>
        <v>96.6092954826295</v>
      </c>
      <c r="AG29" s="13" t="n">
        <f aca="false">AF62</f>
        <v>101.192869275641</v>
      </c>
      <c r="AH29" s="13" t="n">
        <f aca="false">AG62</f>
        <v>105.36249548662</v>
      </c>
      <c r="AI29" s="13" t="n">
        <f aca="false">AH62</f>
        <v>109.068233589099</v>
      </c>
      <c r="AJ29" s="13" t="n">
        <f aca="false">AI62</f>
        <v>112.275747344786</v>
      </c>
      <c r="AK29" s="13" t="n">
        <f aca="false">AJ62</f>
        <v>115.002317024189</v>
      </c>
      <c r="AL29" s="13" t="n">
        <f aca="false">AK62</f>
        <v>117.239281861884</v>
      </c>
      <c r="AM29" s="13" t="n">
        <f aca="false">AL62</f>
        <v>119.044711984327</v>
      </c>
      <c r="AN29" s="13" t="n">
        <f aca="false">AM62</f>
        <v>120.463627002673</v>
      </c>
      <c r="AO29" s="13" t="n">
        <f aca="false">AN62</f>
        <v>121.536906581803</v>
      </c>
      <c r="AP29" s="13" t="n">
        <f aca="false">AO62</f>
        <v>122.432191842834</v>
      </c>
      <c r="AQ29" s="13" t="n">
        <f aca="false">AP62</f>
        <v>131.227735576763</v>
      </c>
      <c r="AR29" s="13" t="n">
        <f aca="false">AQ62</f>
        <v>138.006546470802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9.14208389836378</v>
      </c>
      <c r="M30" s="13" t="n">
        <f aca="false">L63</f>
        <v>9.37650963863494</v>
      </c>
      <c r="N30" s="13" t="n">
        <f aca="false">M63</f>
        <v>9.70807768214525</v>
      </c>
      <c r="O30" s="13" t="n">
        <f aca="false">N63</f>
        <v>10.1856614639852</v>
      </c>
      <c r="P30" s="13" t="n">
        <f aca="false">O63</f>
        <v>10.8439147336337</v>
      </c>
      <c r="Q30" s="13" t="n">
        <f aca="false">P63</f>
        <v>11.7027663384114</v>
      </c>
      <c r="R30" s="13" t="n">
        <f aca="false">Q63</f>
        <v>12.7929858800625</v>
      </c>
      <c r="S30" s="13" t="n">
        <f aca="false">R63</f>
        <v>14.113836905088</v>
      </c>
      <c r="T30" s="13" t="n">
        <f aca="false">S63</f>
        <v>15.6695098044564</v>
      </c>
      <c r="U30" s="13" t="n">
        <f aca="false">T63</f>
        <v>17.4448995066921</v>
      </c>
      <c r="V30" s="13" t="n">
        <f aca="false">U63</f>
        <v>19.4309752195036</v>
      </c>
      <c r="W30" s="13" t="n">
        <f aca="false">V63</f>
        <v>21.6022974085979</v>
      </c>
      <c r="X30" s="13" t="n">
        <f aca="false">W63</f>
        <v>23.927683528437</v>
      </c>
      <c r="Y30" s="13" t="n">
        <f aca="false">X63</f>
        <v>26.3805870280767</v>
      </c>
      <c r="Z30" s="13" t="n">
        <f aca="false">Y63</f>
        <v>28.918415468328</v>
      </c>
      <c r="AA30" s="13" t="n">
        <f aca="false">Z63</f>
        <v>31.5094236230922</v>
      </c>
      <c r="AB30" s="13" t="n">
        <f aca="false">AA63</f>
        <v>34.197142510059</v>
      </c>
      <c r="AC30" s="13" t="n">
        <f aca="false">AB63</f>
        <v>36.7608780501006</v>
      </c>
      <c r="AD30" s="13" t="n">
        <f aca="false">AC63</f>
        <v>39.2636397507323</v>
      </c>
      <c r="AE30" s="13" t="n">
        <f aca="false">AD63</f>
        <v>41.656085456514</v>
      </c>
      <c r="AF30" s="13" t="n">
        <f aca="false">AE63</f>
        <v>43.913316128468</v>
      </c>
      <c r="AG30" s="13" t="n">
        <f aca="false">AF63</f>
        <v>45.996758761655</v>
      </c>
      <c r="AH30" s="13" t="n">
        <f aca="false">AG63</f>
        <v>47.8920434030092</v>
      </c>
      <c r="AI30" s="13" t="n">
        <f aca="false">AH63</f>
        <v>49.5764698132268</v>
      </c>
      <c r="AJ30" s="13" t="n">
        <f aca="false">AI63</f>
        <v>51.0344306112662</v>
      </c>
      <c r="AK30" s="13" t="n">
        <f aca="false">AJ63</f>
        <v>52.2737804655405</v>
      </c>
      <c r="AL30" s="13" t="n">
        <f aca="false">AK63</f>
        <v>53.2905826644928</v>
      </c>
      <c r="AM30" s="13" t="n">
        <f aca="false">AL63</f>
        <v>54.1112327201487</v>
      </c>
      <c r="AN30" s="13" t="n">
        <f aca="false">AM63</f>
        <v>54.7561940921241</v>
      </c>
      <c r="AO30" s="13" t="n">
        <f aca="false">AN63</f>
        <v>55.2440484462743</v>
      </c>
      <c r="AP30" s="13" t="n">
        <f aca="false">AO63</f>
        <v>55.6509962921971</v>
      </c>
      <c r="AQ30" s="13" t="n">
        <f aca="false">AP63</f>
        <v>59.6489707167104</v>
      </c>
      <c r="AR30" s="13" t="n">
        <f aca="false">AQ63</f>
        <v>62.7302483958189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34.7399188137824</v>
      </c>
      <c r="M31" s="13" t="n">
        <f aca="false">L64</f>
        <v>35.6307366268128</v>
      </c>
      <c r="N31" s="13" t="n">
        <f aca="false">M64</f>
        <v>36.8906951921519</v>
      </c>
      <c r="O31" s="13" t="n">
        <f aca="false">N64</f>
        <v>38.7055135631439</v>
      </c>
      <c r="P31" s="13" t="n">
        <f aca="false">O64</f>
        <v>41.2068759878081</v>
      </c>
      <c r="Q31" s="13" t="n">
        <f aca="false">P64</f>
        <v>44.4705120859634</v>
      </c>
      <c r="R31" s="13" t="n">
        <f aca="false">Q64</f>
        <v>48.6133463442374</v>
      </c>
      <c r="S31" s="13" t="n">
        <f aca="false">R64</f>
        <v>53.6325802393343</v>
      </c>
      <c r="T31" s="13" t="n">
        <f aca="false">S64</f>
        <v>59.5441372569342</v>
      </c>
      <c r="U31" s="13" t="n">
        <f aca="false">T64</f>
        <v>66.2906181254299</v>
      </c>
      <c r="V31" s="13" t="n">
        <f aca="false">U64</f>
        <v>73.8377058341138</v>
      </c>
      <c r="W31" s="13" t="n">
        <f aca="false">V64</f>
        <v>82.0887301526721</v>
      </c>
      <c r="X31" s="13" t="n">
        <f aca="false">W64</f>
        <v>90.9251974080605</v>
      </c>
      <c r="Y31" s="13" t="n">
        <f aca="false">X64</f>
        <v>100.246230706692</v>
      </c>
      <c r="Z31" s="13" t="n">
        <f aca="false">Y64</f>
        <v>109.889978779646</v>
      </c>
      <c r="AA31" s="13" t="n">
        <f aca="false">Z64</f>
        <v>119.73580976775</v>
      </c>
      <c r="AB31" s="13" t="n">
        <f aca="false">AA64</f>
        <v>129.949141538224</v>
      </c>
      <c r="AC31" s="13" t="n">
        <f aca="false">AB64</f>
        <v>139.691336590382</v>
      </c>
      <c r="AD31" s="13" t="n">
        <f aca="false">AC64</f>
        <v>149.201831052783</v>
      </c>
      <c r="AE31" s="13" t="n">
        <f aca="false">AD64</f>
        <v>158.293124734753</v>
      </c>
      <c r="AF31" s="13" t="n">
        <f aca="false">AE64</f>
        <v>166.870601288178</v>
      </c>
      <c r="AG31" s="13" t="n">
        <f aca="false">AF64</f>
        <v>174.787683294289</v>
      </c>
      <c r="AH31" s="13" t="n">
        <f aca="false">AG64</f>
        <v>181.989764931435</v>
      </c>
      <c r="AI31" s="13" t="n">
        <f aca="false">AH64</f>
        <v>188.390585290262</v>
      </c>
      <c r="AJ31" s="13" t="n">
        <f aca="false">AI64</f>
        <v>193.930836322812</v>
      </c>
      <c r="AK31" s="13" t="n">
        <f aca="false">AJ64</f>
        <v>198.640365769054</v>
      </c>
      <c r="AL31" s="13" t="n">
        <f aca="false">AK64</f>
        <v>202.504214125073</v>
      </c>
      <c r="AM31" s="13" t="n">
        <f aca="false">AL64</f>
        <v>205.622684336565</v>
      </c>
      <c r="AN31" s="13" t="n">
        <f aca="false">AM64</f>
        <v>208.073537550072</v>
      </c>
      <c r="AO31" s="13" t="n">
        <f aca="false">AN64</f>
        <v>209.927384095842</v>
      </c>
      <c r="AP31" s="13" t="n">
        <f aca="false">AO64</f>
        <v>211.473785910349</v>
      </c>
      <c r="AQ31" s="13" t="n">
        <f aca="false">AP64</f>
        <v>226.6660887235</v>
      </c>
      <c r="AR31" s="13" t="n">
        <f aca="false">AQ64</f>
        <v>238.374943904112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0.0836337254194869</v>
      </c>
      <c r="AT32" s="13" t="n">
        <f aca="false">AS65</f>
        <v>0.0836337254194869</v>
      </c>
      <c r="AU32" s="13" t="n">
        <f aca="false">AT65</f>
        <v>0.0836337254194869</v>
      </c>
      <c r="AV32" s="13" t="n">
        <f aca="false">AU65</f>
        <v>0.0836337254194869</v>
      </c>
      <c r="AW32" s="13" t="n">
        <f aca="false">AV65</f>
        <v>0.0836337254194869</v>
      </c>
      <c r="AX32" s="13" t="n">
        <f aca="false">AW65</f>
        <v>0.0836337254194869</v>
      </c>
      <c r="AY32" s="13" t="n">
        <f aca="false">AX65</f>
        <v>0.0836337254194869</v>
      </c>
      <c r="AZ32" s="13" t="n">
        <f aca="false">AY65</f>
        <v>0.0836337254194869</v>
      </c>
      <c r="BA32" s="13" t="n">
        <f aca="false">AZ65</f>
        <v>0.0836337254194869</v>
      </c>
      <c r="BB32" s="13" t="n">
        <f aca="false">BA65</f>
        <v>0.0836337254194869</v>
      </c>
      <c r="BC32" s="13" t="n">
        <f aca="false">BB65</f>
        <v>0.0836337254194869</v>
      </c>
      <c r="BD32" s="13" t="n">
        <f aca="false">BC65</f>
        <v>0.0836337254194869</v>
      </c>
      <c r="BE32" s="13" t="n">
        <f aca="false">BD65</f>
        <v>0.0836337254194869</v>
      </c>
      <c r="BF32" s="13" t="n">
        <f aca="false">BE65</f>
        <v>0.0836337254194869</v>
      </c>
      <c r="BG32" s="13" t="n">
        <f aca="false">BF65</f>
        <v>0.0836337254194869</v>
      </c>
      <c r="BH32" s="13" t="n">
        <f aca="false">BG65</f>
        <v>0.0836337254194869</v>
      </c>
      <c r="BI32" s="13" t="n">
        <f aca="false">BH65</f>
        <v>0.0836337254194869</v>
      </c>
      <c r="BJ32" s="13" t="n">
        <f aca="false">BI65</f>
        <v>0.0836337254194869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12.3708572966245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0.0913979837738919</v>
      </c>
      <c r="M33" s="13" t="n">
        <f aca="false">Construction!M14*M28*(Construction!M17+Inputs!$F$79)/100*Construction!M11/Inputs!$F$247*1</f>
        <v>0.0907177307537931</v>
      </c>
      <c r="N33" s="13" t="n">
        <f aca="false">Construction!N14*N28*(Construction!N17+Inputs!$F$79)/100*Construction!N11/Inputs!$F$247*1</f>
        <v>0.0970565066272471</v>
      </c>
      <c r="O33" s="13" t="n">
        <f aca="false">Construction!O14*O28*(Construction!O17+Inputs!$F$79)/100*Construction!O11/Inputs!$F$247*1</f>
        <v>0.108935649357322</v>
      </c>
      <c r="P33" s="13" t="n">
        <f aca="false">Construction!P14*P28*(Construction!P17+Inputs!$F$79)/100*Construction!P11/Inputs!$F$247*1</f>
        <v>0.104752216326902</v>
      </c>
      <c r="Q33" s="13" t="n">
        <f aca="false">Construction!Q14*Q28*(Construction!Q17+Inputs!$F$79)/100*Construction!Q11/Inputs!$F$247*1</f>
        <v>0.12516108598931</v>
      </c>
      <c r="R33" s="13" t="n">
        <f aca="false">Construction!R14*R28*(Construction!R17+Inputs!$F$79)/100*Construction!R11/Inputs!$F$247*1</f>
        <v>0.132407403858647</v>
      </c>
      <c r="S33" s="13" t="n">
        <f aca="false">Construction!S14*S28*(Construction!S17+Inputs!$F$79)/100*Construction!S11/Inputs!$F$247*1</f>
        <v>0.150947485699916</v>
      </c>
      <c r="T33" s="13" t="n">
        <f aca="false">Construction!T14*T28*(Construction!T17+Inputs!$F$79)/100*Construction!T11/Inputs!$F$247*1</f>
        <v>0.162179426476123</v>
      </c>
      <c r="U33" s="13" t="n">
        <f aca="false">Construction!U14*U28*(Construction!U17+Inputs!$F$79)/100*Construction!U11/Inputs!$F$247*1</f>
        <v>0.193333098782915</v>
      </c>
      <c r="V33" s="13" t="n">
        <f aca="false">Construction!V14*V28*(Construction!V17+Inputs!$F$79)/100*Construction!V11/Inputs!$F$247*1</f>
        <v>0.215343782870149</v>
      </c>
      <c r="W33" s="13" t="n">
        <f aca="false">Construction!W14*W28*(Construction!W17+Inputs!$F$79)/100*Construction!W11/Inputs!$F$247*1</f>
        <v>0.231684639707213</v>
      </c>
      <c r="X33" s="13" t="n">
        <f aca="false">Construction!X14*X28*(Construction!X17+Inputs!$F$79)/100*Construction!X11/Inputs!$F$247*1</f>
        <v>0.265178552703903</v>
      </c>
      <c r="Y33" s="13" t="n">
        <f aca="false">Construction!Y14*Y28*(Construction!Y17+Inputs!$F$79)/100*Construction!Y11/Inputs!$F$247*1</f>
        <v>0.282931795876123</v>
      </c>
      <c r="Z33" s="13" t="n">
        <f aca="false">Construction!Z14*Z28*(Construction!Z17+Inputs!$F$79)/100*Construction!Z11/Inputs!$F$247*1</f>
        <v>0.320488339427745</v>
      </c>
      <c r="AA33" s="13" t="n">
        <f aca="false">Construction!AA14*AA28*(Construction!AA17+Inputs!$F$79)/100*Construction!AA11/Inputs!$F$247*1</f>
        <v>0.355715134851691</v>
      </c>
      <c r="AB33" s="13" t="n">
        <f aca="false">Construction!AB14*AB28*(Construction!AB17+Inputs!$F$79)/100*Construction!AB11/Inputs!$F$247*1</f>
        <v>0.361150322524982</v>
      </c>
      <c r="AC33" s="13" t="n">
        <f aca="false">Construction!AC14*AC28*(Construction!AC17+Inputs!$F$79)/100*Construction!AC11/Inputs!$F$247*1</f>
        <v>0.414999679120594</v>
      </c>
      <c r="AD33" s="13" t="n">
        <f aca="false">Construction!AD14*AD28*(Construction!AD17+Inputs!$F$79)/100*Construction!AD11/Inputs!$F$247*1</f>
        <v>0.42895526427675</v>
      </c>
      <c r="AE33" s="13" t="n">
        <f aca="false">Construction!AE14*AE28*(Construction!AE17+Inputs!$F$79)/100*Construction!AE11/Inputs!$F$247*1</f>
        <v>0.470262491399496</v>
      </c>
      <c r="AF33" s="13" t="n">
        <f aca="false">Construction!AF14*AF28*(Construction!AF17+Inputs!$F$79)/100*Construction!AF11/Inputs!$F$247*1</f>
        <v>0.479752978703512</v>
      </c>
      <c r="AG33" s="13" t="n">
        <f aca="false">Construction!AG14*AG28*(Construction!AG17+Inputs!$F$79)/100*Construction!AG11/Inputs!$F$247*1</f>
        <v>0.524018074192154</v>
      </c>
      <c r="AH33" s="13" t="n">
        <f aca="false">Construction!AH14*AH28*(Construction!AH17+Inputs!$F$79)/100*Construction!AH11/Inputs!$F$247*1</f>
        <v>0.545610104468782</v>
      </c>
      <c r="AI33" s="13" t="n">
        <f aca="false">Construction!AI14*AI28*(Construction!AI17+Inputs!$F$79)/100*Construction!AI11/Inputs!$F$247*1</f>
        <v>0.546580579690825</v>
      </c>
      <c r="AJ33" s="13" t="n">
        <f aca="false">Construction!AJ14*AJ28*(Construction!AJ17+Inputs!$F$79)/100*Construction!AJ11/Inputs!$F$247*1</f>
        <v>0.581409750738851</v>
      </c>
      <c r="AK33" s="13" t="n">
        <f aca="false">Construction!AK14*AK28*(Construction!AK17+Inputs!$F$79)/100*Construction!AK11/Inputs!$F$247*1</f>
        <v>0.576318429632584</v>
      </c>
      <c r="AL33" s="13" t="n">
        <f aca="false">Construction!AL14*AL28*(Construction!AL17+Inputs!$F$79)/100*Construction!AL11/Inputs!$F$247*1</f>
        <v>0.607112963005234</v>
      </c>
      <c r="AM33" s="13" t="n">
        <f aca="false">Construction!AM14*AM28*(Construction!AM17+Inputs!$F$79)/100*Construction!AM11/Inputs!$F$247*1</f>
        <v>0.620655839300105</v>
      </c>
      <c r="AN33" s="13" t="n">
        <f aca="false">Construction!AN14*AN28*(Construction!AN17+Inputs!$F$79)/100*Construction!AN11/Inputs!$F$247*1</f>
        <v>0.567274170794406</v>
      </c>
      <c r="AO33" s="13" t="n">
        <f aca="false">Construction!AO14*AO28*(Construction!AO17+Inputs!$F$79)/100*Construction!AO11/Inputs!$F$247*1</f>
        <v>0.633649235678766</v>
      </c>
      <c r="AP33" s="13" t="n">
        <f aca="false">Construction!AP14*AP28*(Construction!AP17+Inputs!$F$79)/100*Construction!AP11/Inputs!$F$247*1</f>
        <v>0.617726058843388</v>
      </c>
      <c r="AQ33" s="13" t="n">
        <f aca="false">Construction!AQ14*AQ28*(Construction!AQ17+Inputs!$F$79)/100*Construction!AQ11/Inputs!$F$247*1</f>
        <v>0.684173694120668</v>
      </c>
      <c r="AR33" s="13" t="n">
        <f aca="false">Construction!AR14*AR28*(Construction!AR17+Inputs!$F$79)/100*Construction!AR11/Inputs!$F$247*1</f>
        <v>0.69630575719359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13.8575220089953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0.106859279220225</v>
      </c>
      <c r="M34" s="13" t="n">
        <f aca="false">Construction!M14*M29*(Construction!M17+Inputs!$F$80)/100*Construction!M11/Inputs!$F$247*1</f>
        <v>0.106063951529026</v>
      </c>
      <c r="N34" s="13" t="n">
        <f aca="false">Construction!N14*N29*(Construction!N17+Inputs!$F$80)/100*Construction!N11/Inputs!$F$247*1</f>
        <v>0.113475023338351</v>
      </c>
      <c r="O34" s="13" t="n">
        <f aca="false">Construction!O14*O29*(Construction!O17+Inputs!$F$80)/100*Construction!O11/Inputs!$F$247*1</f>
        <v>0.124267333340945</v>
      </c>
      <c r="P34" s="13" t="n">
        <f aca="false">Construction!P14*P29*(Construction!P17+Inputs!$F$80)/100*Construction!P11/Inputs!$F$247*1</f>
        <v>0.119495120846984</v>
      </c>
      <c r="Q34" s="13" t="n">
        <f aca="false">Construction!Q14*Q29*(Construction!Q17+Inputs!$F$80)/100*Construction!Q11/Inputs!$F$247*1</f>
        <v>0.142776349943361</v>
      </c>
      <c r="R34" s="13" t="n">
        <f aca="false">Construction!R14*R29*(Construction!R17+Inputs!$F$80)/100*Construction!R11/Inputs!$F$247*1</f>
        <v>0.151042519957271</v>
      </c>
      <c r="S34" s="13" t="n">
        <f aca="false">Construction!S14*S29*(Construction!S17+Inputs!$F$80)/100*Construction!S11/Inputs!$F$247*1</f>
        <v>0.172191946650274</v>
      </c>
      <c r="T34" s="13" t="n">
        <f aca="false">Construction!T14*T29*(Construction!T17+Inputs!$F$80)/100*Construction!T11/Inputs!$F$247*1</f>
        <v>0.185004679091282</v>
      </c>
      <c r="U34" s="13" t="n">
        <f aca="false">Construction!U14*U29*(Construction!U17+Inputs!$F$80)/100*Construction!U11/Inputs!$F$247*1</f>
        <v>0.21778890956913</v>
      </c>
      <c r="V34" s="13" t="n">
        <f aca="false">Construction!V14*V29*(Construction!V17+Inputs!$F$80)/100*Construction!V11/Inputs!$F$247*1</f>
        <v>0.242583851130647</v>
      </c>
      <c r="W34" s="13" t="n">
        <f aca="false">Construction!W14*W29*(Construction!W17+Inputs!$F$80)/100*Construction!W11/Inputs!$F$247*1</f>
        <v>0.260991756524877</v>
      </c>
      <c r="X34" s="13" t="n">
        <f aca="false">Construction!X14*X29*(Construction!X17+Inputs!$F$80)/100*Construction!X11/Inputs!$F$247*1</f>
        <v>0.298722506379268</v>
      </c>
      <c r="Y34" s="13" t="n">
        <f aca="false">Construction!Y14*Y29*(Construction!Y17+Inputs!$F$80)/100*Construction!Y11/Inputs!$F$247*1</f>
        <v>0.318721458944214</v>
      </c>
      <c r="Z34" s="13" t="n">
        <f aca="false">Construction!Z14*Z29*(Construction!Z17+Inputs!$F$80)/100*Construction!Z11/Inputs!$F$247*1</f>
        <v>0.361028744757067</v>
      </c>
      <c r="AA34" s="13" t="n">
        <f aca="false">Construction!AA14*AA29*(Construction!AA17+Inputs!$F$80)/100*Construction!AA11/Inputs!$F$247*1</f>
        <v>0.398151326377858</v>
      </c>
      <c r="AB34" s="13" t="n">
        <f aca="false">Construction!AB14*AB29*(Construction!AB17+Inputs!$F$80)/100*Construction!AB11/Inputs!$F$247*1</f>
        <v>0.404234922405155</v>
      </c>
      <c r="AC34" s="13" t="n">
        <f aca="false">Construction!AC14*AC29*(Construction!AC17+Inputs!$F$80)/100*Construction!AC11/Inputs!$F$247*1</f>
        <v>0.464508412770069</v>
      </c>
      <c r="AD34" s="13" t="n">
        <f aca="false">Construction!AD14*AD29*(Construction!AD17+Inputs!$F$80)/100*Construction!AD11/Inputs!$F$247*1</f>
        <v>0.480128874751872</v>
      </c>
      <c r="AE34" s="13" t="n">
        <f aca="false">Construction!AE14*AE29*(Construction!AE17+Inputs!$F$80)/100*Construction!AE11/Inputs!$F$247*1</f>
        <v>0.526363981601541</v>
      </c>
      <c r="AF34" s="13" t="n">
        <f aca="false">Construction!AF14*AF29*(Construction!AF17+Inputs!$F$80)/100*Construction!AF11/Inputs!$F$247*1</f>
        <v>0.536986667390949</v>
      </c>
      <c r="AG34" s="13" t="n">
        <f aca="false">Construction!AG14*AG29*(Construction!AG17+Inputs!$F$80)/100*Construction!AG11/Inputs!$F$247*1</f>
        <v>0.584698020500724</v>
      </c>
      <c r="AH34" s="13" t="n">
        <f aca="false">Construction!AH14*AH29*(Construction!AH17+Inputs!$F$80)/100*Construction!AH11/Inputs!$F$247*1</f>
        <v>0.608790352393663</v>
      </c>
      <c r="AI34" s="13" t="n">
        <f aca="false">Construction!AI14*AI29*(Construction!AI17+Inputs!$F$80)/100*Construction!AI11/Inputs!$F$247*1</f>
        <v>0.609873206152378</v>
      </c>
      <c r="AJ34" s="13" t="n">
        <f aca="false">Construction!AJ14*AJ29*(Construction!AJ17+Inputs!$F$80)/100*Construction!AJ11/Inputs!$F$247*1</f>
        <v>0.648735505699691</v>
      </c>
      <c r="AK34" s="13" t="n">
        <f aca="false">Construction!AK14*AK29*(Construction!AK17+Inputs!$F$80)/100*Construction!AK11/Inputs!$F$247*1</f>
        <v>0.64305462269359</v>
      </c>
      <c r="AL34" s="13" t="n">
        <f aca="false">Construction!AL14*AL29*(Construction!AL17+Inputs!$F$80)/100*Construction!AL11/Inputs!$F$247*1</f>
        <v>0.677415083891403</v>
      </c>
      <c r="AM34" s="13" t="n">
        <f aca="false">Construction!AM14*AM29*(Construction!AM17+Inputs!$F$80)/100*Construction!AM11/Inputs!$F$247*1</f>
        <v>0.690922281166814</v>
      </c>
      <c r="AN34" s="13" t="n">
        <f aca="false">Construction!AN14*AN29*(Construction!AN17+Inputs!$F$80)/100*Construction!AN11/Inputs!$F$247*1</f>
        <v>0.631497102442902</v>
      </c>
      <c r="AO34" s="13" t="n">
        <f aca="false">Construction!AO14*AO29*(Construction!AO17+Inputs!$F$80)/100*Construction!AO11/Inputs!$F$247*1</f>
        <v>0.705386701700056</v>
      </c>
      <c r="AP34" s="13" t="n">
        <f aca="false">Construction!AP14*AP29*(Construction!AP17+Inputs!$F$80)/100*Construction!AP11/Inputs!$F$247*1</f>
        <v>0.687660810850583</v>
      </c>
      <c r="AQ34" s="13" t="n">
        <f aca="false">Construction!AQ14*AQ29*(Construction!AQ17+Inputs!$F$80)/100*Construction!AQ11/Inputs!$F$247*1</f>
        <v>0.761631196428023</v>
      </c>
      <c r="AR34" s="13" t="n">
        <f aca="false">Construction!AR14*AR29*(Construction!AR17+Inputs!$F$80)/100*Construction!AR11/Inputs!$F$247*1</f>
        <v>0.775136769344336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6.06243292941138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0.0466043121396589</v>
      </c>
      <c r="M35" s="13" t="n">
        <f aca="false">Construction!M14*M30*(Construction!M17+Inputs!$F$81)/100*Construction!M11/Inputs!$F$247*1</f>
        <v>0.046257447550599</v>
      </c>
      <c r="N35" s="13" t="n">
        <f aca="false">Construction!N14*N30*(Construction!N17+Inputs!$F$81)/100*Construction!N11/Inputs!$F$247*1</f>
        <v>0.0494896226729804</v>
      </c>
      <c r="O35" s="13" t="n">
        <f aca="false">Construction!O14*O30*(Construction!O17+Inputs!$F$81)/100*Construction!O11/Inputs!$F$247*1</f>
        <v>0.054292404953448</v>
      </c>
      <c r="P35" s="13" t="n">
        <f aca="false">Construction!P14*P30*(Construction!P17+Inputs!$F$81)/100*Construction!P11/Inputs!$F$247*1</f>
        <v>0.0522074250453721</v>
      </c>
      <c r="Q35" s="13" t="n">
        <f aca="false">Construction!Q14*Q30*(Construction!Q17+Inputs!$F$81)/100*Construction!Q11/Inputs!$F$247*1</f>
        <v>0.0623789953521601</v>
      </c>
      <c r="R35" s="13" t="n">
        <f aca="false">Construction!R14*R30*(Construction!R17+Inputs!$F$81)/100*Construction!R11/Inputs!$F$247*1</f>
        <v>0.065990485497989</v>
      </c>
      <c r="S35" s="13" t="n">
        <f aca="false">Construction!S14*S30*(Construction!S17+Inputs!$F$81)/100*Construction!S11/Inputs!$F$247*1</f>
        <v>0.0752306712143703</v>
      </c>
      <c r="T35" s="13" t="n">
        <f aca="false">Construction!T14*T30*(Construction!T17+Inputs!$F$81)/100*Construction!T11/Inputs!$F$247*1</f>
        <v>0.0808285547413208</v>
      </c>
      <c r="U35" s="13" t="n">
        <f aca="false">Construction!U14*U30*(Construction!U17+Inputs!$F$81)/100*Construction!U11/Inputs!$F$247*1</f>
        <v>0.0952394596957017</v>
      </c>
      <c r="V35" s="13" t="n">
        <f aca="false">Construction!V14*V30*(Construction!V17+Inputs!$F$81)/100*Construction!V11/Inputs!$F$247*1</f>
        <v>0.106082329712257</v>
      </c>
      <c r="W35" s="13" t="n">
        <f aca="false">Construction!W14*W30*(Construction!W17+Inputs!$F$81)/100*Construction!W11/Inputs!$F$247*1</f>
        <v>0.114132137975426</v>
      </c>
      <c r="X35" s="13" t="n">
        <f aca="false">Construction!X14*X30*(Construction!X17+Inputs!$F$81)/100*Construction!X11/Inputs!$F$247*1</f>
        <v>0.13063185890775</v>
      </c>
      <c r="Y35" s="13" t="n">
        <f aca="false">Construction!Y14*Y30*(Construction!Y17+Inputs!$F$81)/100*Construction!Y11/Inputs!$F$247*1</f>
        <v>0.139377434798339</v>
      </c>
      <c r="Z35" s="13" t="n">
        <f aca="false">Construction!Z14*Z30*(Construction!Z17+Inputs!$F$81)/100*Construction!Z11/Inputs!$F$247*1</f>
        <v>0.1578784826707</v>
      </c>
      <c r="AA35" s="13" t="n">
        <f aca="false">Construction!AA14*AA30*(Construction!AA17+Inputs!$F$81)/100*Construction!AA11/Inputs!$F$247*1</f>
        <v>0.174194596929661</v>
      </c>
      <c r="AB35" s="13" t="n">
        <f aca="false">Construction!AB14*AB30*(Construction!AB17+Inputs!$F$81)/100*Construction!AB11/Inputs!$F$247*1</f>
        <v>0.176856222014522</v>
      </c>
      <c r="AC35" s="13" t="n">
        <f aca="false">Construction!AC14*AC30*(Construction!AC17+Inputs!$F$81)/100*Construction!AC11/Inputs!$F$247*1</f>
        <v>0.203226387486973</v>
      </c>
      <c r="AD35" s="13" t="n">
        <f aca="false">Construction!AD14*AD30*(Construction!AD17+Inputs!$F$81)/100*Construction!AD11/Inputs!$F$247*1</f>
        <v>0.210060472666418</v>
      </c>
      <c r="AE35" s="13" t="n">
        <f aca="false">Construction!AE14*AE30*(Construction!AE17+Inputs!$F$81)/100*Construction!AE11/Inputs!$F$247*1</f>
        <v>0.230288725765428</v>
      </c>
      <c r="AF35" s="13" t="n">
        <f aca="false">Construction!AF14*AF30*(Construction!AF17+Inputs!$F$81)/100*Construction!AF11/Inputs!$F$247*1</f>
        <v>0.234936241287304</v>
      </c>
      <c r="AG35" s="13" t="n">
        <f aca="false">Construction!AG14*AG30*(Construction!AG17+Inputs!$F$81)/100*Construction!AG11/Inputs!$F$247*1</f>
        <v>0.25586974748914</v>
      </c>
      <c r="AH35" s="13" t="n">
        <f aca="false">Construction!AH14*AH30*(Construction!AH17+Inputs!$F$81)/100*Construction!AH11/Inputs!$F$247*1</f>
        <v>0.266412794774628</v>
      </c>
      <c r="AI35" s="13" t="n">
        <f aca="false">Construction!AI14*AI30*(Construction!AI17+Inputs!$F$81)/100*Construction!AI11/Inputs!$F$247*1</f>
        <v>0.266886662494538</v>
      </c>
      <c r="AJ35" s="13" t="n">
        <f aca="false">Construction!AJ14*AJ30*(Construction!AJ17+Inputs!$F$81)/100*Construction!AJ11/Inputs!$F$247*1</f>
        <v>0.283893196505894</v>
      </c>
      <c r="AK35" s="13" t="n">
        <f aca="false">Construction!AK14*AK30*(Construction!AK17+Inputs!$F$81)/100*Construction!AK11/Inputs!$F$247*1</f>
        <v>0.281407184839493</v>
      </c>
      <c r="AL35" s="13" t="n">
        <f aca="false">Construction!AL14*AL30*(Construction!AL17+Inputs!$F$81)/100*Construction!AL11/Inputs!$F$247*1</f>
        <v>0.29644366901087</v>
      </c>
      <c r="AM35" s="13" t="n">
        <f aca="false">Construction!AM14*AM30*(Construction!AM17+Inputs!$F$81)/100*Construction!AM11/Inputs!$F$247*1</f>
        <v>0.302406636415742</v>
      </c>
      <c r="AN35" s="13" t="n">
        <f aca="false">Construction!AN14*AN30*(Construction!AN17+Inputs!$F$81)/100*Construction!AN11/Inputs!$F$247*1</f>
        <v>0.276397099733911</v>
      </c>
      <c r="AO35" s="13" t="n">
        <f aca="false">Construction!AO14*AO30*(Construction!AO17+Inputs!$F$81)/100*Construction!AO11/Inputs!$F$247*1</f>
        <v>0.308737502969609</v>
      </c>
      <c r="AP35" s="13" t="n">
        <f aca="false">Construction!AP14*AP30*(Construction!AP17+Inputs!$F$81)/100*Construction!AP11/Inputs!$F$247*1</f>
        <v>0.3009791382803</v>
      </c>
      <c r="AQ35" s="13" t="n">
        <f aca="false">Construction!AQ14*AQ30*(Construction!AQ17+Inputs!$F$81)/100*Construction!AQ11/Inputs!$F$247*1</f>
        <v>0.333354900513749</v>
      </c>
      <c r="AR35" s="13" t="n">
        <f aca="false">Construction!AR14*AR30*(Construction!AR17+Inputs!$F$81)/100*Construction!AR11/Inputs!$F$247*1</f>
        <v>0.339266093407387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28.3921936635999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0.220040930214951</v>
      </c>
      <c r="M36" s="13" t="n">
        <f aca="false">Construction!M14*M31*(Construction!M17+Inputs!$F$82)/100*Construction!M11/Inputs!$F$247*(1/(1-Inputs!$F$93/100))</f>
        <v>0.218403218953241</v>
      </c>
      <c r="N36" s="13" t="n">
        <f aca="false">Construction!N14*N31*(Construction!N17+Inputs!$F$82)/100*Construction!N11/Inputs!$F$247*(1/(1-Inputs!$F$93/100))</f>
        <v>0.233663841584365</v>
      </c>
      <c r="O36" s="13" t="n">
        <f aca="false">Construction!O14*O31*(Construction!O17+Inputs!$F$82)/100*Construction!O11/Inputs!$F$247*(1/(1-Inputs!$F$93/100))</f>
        <v>0.255157735862713</v>
      </c>
      <c r="P36" s="13" t="n">
        <f aca="false">Construction!P14*P31*(Construction!P17+Inputs!$F$82)/100*Construction!P11/Inputs!$F$247*(1/(1-Inputs!$F$93/100))</f>
        <v>0.245358966529875</v>
      </c>
      <c r="Q36" s="13" t="n">
        <f aca="false">Construction!Q14*Q31*(Construction!Q17+Inputs!$F$82)/100*Construction!Q11/Inputs!$F$247*(1/(1-Inputs!$F$93/100))</f>
        <v>0.293162243100028</v>
      </c>
      <c r="R36" s="13" t="n">
        <f aca="false">Construction!R14*R31*(Construction!R17+Inputs!$F$82)/100*Construction!R11/Inputs!$F$247*(1/(1-Inputs!$F$93/100))</f>
        <v>0.310135144733144</v>
      </c>
      <c r="S36" s="13" t="n">
        <f aca="false">Construction!S14*S31*(Construction!S17+Inputs!$F$82)/100*Construction!S11/Inputs!$F$247*(1/(1-Inputs!$F$93/100))</f>
        <v>0.353561197941957</v>
      </c>
      <c r="T36" s="13" t="n">
        <f aca="false">Construction!T14*T31*(Construction!T17+Inputs!$F$82)/100*Construction!T11/Inputs!$F$247*(1/(1-Inputs!$F$93/100))</f>
        <v>0.379869542315071</v>
      </c>
      <c r="U36" s="13" t="n">
        <f aca="false">Construction!U14*U31*(Construction!U17+Inputs!$F$82)/100*Construction!U11/Inputs!$F$247*(1/(1-Inputs!$F$93/100))</f>
        <v>0.446520509249809</v>
      </c>
      <c r="V36" s="13" t="n">
        <f aca="false">Construction!V14*V31*(Construction!V17+Inputs!$F$82)/100*Construction!V11/Inputs!$F$247*(1/(1-Inputs!$F$93/100))</f>
        <v>0.497356201272747</v>
      </c>
      <c r="W36" s="13" t="n">
        <f aca="false">Construction!W14*W31*(Construction!W17+Inputs!$F$82)/100*Construction!W11/Inputs!$F$247*(1/(1-Inputs!$F$93/100))</f>
        <v>0.535096907661863</v>
      </c>
      <c r="X36" s="13" t="n">
        <f aca="false">Construction!X14*X31*(Construction!X17+Inputs!$F$82)/100*Construction!X11/Inputs!$F$247*(1/(1-Inputs!$F$93/100))</f>
        <v>0.612454169207874</v>
      </c>
      <c r="Y36" s="13" t="n">
        <f aca="false">Construction!Y14*Y31*(Construction!Y17+Inputs!$F$82)/100*Construction!Y11/Inputs!$F$247*(1/(1-Inputs!$F$93/100))</f>
        <v>0.653456911273249</v>
      </c>
      <c r="Z36" s="13" t="n">
        <f aca="false">Construction!Z14*Z31*(Construction!Z17+Inputs!$F$82)/100*Construction!Z11/Inputs!$F$247*(1/(1-Inputs!$F$93/100))</f>
        <v>0.740197190397223</v>
      </c>
      <c r="AA36" s="13" t="n">
        <f aca="false">Construction!AA14*AA31*(Construction!AA17+Inputs!$F$82)/100*Construction!AA11/Inputs!$F$247*(1/(1-Inputs!$F$93/100))</f>
        <v>0.815681726294378</v>
      </c>
      <c r="AB36" s="13" t="n">
        <f aca="false">Construction!AB14*AB31*(Construction!AB17+Inputs!$F$82)/100*Construction!AB11/Inputs!$F$247*(1/(1-Inputs!$F$93/100))</f>
        <v>0.828145022988042</v>
      </c>
      <c r="AC36" s="13" t="n">
        <f aca="false">Construction!AC14*AC31*(Construction!AC17+Inputs!$F$82)/100*Construction!AC11/Inputs!$F$247*(1/(1-Inputs!$F$93/100))</f>
        <v>0.951625673216951</v>
      </c>
      <c r="AD36" s="13" t="n">
        <f aca="false">Construction!AD14*AD31*(Construction!AD17+Inputs!$F$82)/100*Construction!AD11/Inputs!$F$247*(1/(1-Inputs!$F$93/100))</f>
        <v>0.983626886199827</v>
      </c>
      <c r="AE36" s="13" t="n">
        <f aca="false">Construction!AE14*AE31*(Construction!AE17+Inputs!$F$82)/100*Construction!AE11/Inputs!$F$247*(1/(1-Inputs!$F$93/100))</f>
        <v>1.07834748430416</v>
      </c>
      <c r="AF36" s="13" t="n">
        <f aca="false">Construction!AF14*AF31*(Construction!AF17+Inputs!$F$82)/100*Construction!AF11/Inputs!$F$247*(1/(1-Inputs!$F$93/100))</f>
        <v>1.10010988997392</v>
      </c>
      <c r="AG36" s="13" t="n">
        <f aca="false">Construction!AG14*AG31*(Construction!AG17+Inputs!$F$82)/100*Construction!AG11/Inputs!$F$247*(1/(1-Inputs!$F$93/100))</f>
        <v>1.19740352419754</v>
      </c>
      <c r="AH36" s="13" t="n">
        <f aca="false">Construction!AH14*AH31*(Construction!AH17+Inputs!$F$82)/100*Construction!AH11/Inputs!$F$247*(1/(1-Inputs!$F$93/100))</f>
        <v>1.2467422291414</v>
      </c>
      <c r="AI36" s="13" t="n">
        <f aca="false">Construction!AI14*AI31*(Construction!AI17+Inputs!$F$82)/100*Construction!AI11/Inputs!$F$247*(1/(1-Inputs!$F$93/100))</f>
        <v>1.24895980618359</v>
      </c>
      <c r="AJ36" s="13" t="n">
        <f aca="false">Construction!AJ14*AJ31*(Construction!AJ17+Inputs!$F$82)/100*Construction!AJ11/Inputs!$F$247*(1/(1-Inputs!$F$93/100))</f>
        <v>1.32854593920405</v>
      </c>
      <c r="AK36" s="13" t="n">
        <f aca="false">Construction!AK14*AK31*(Construction!AK17+Inputs!$F$82)/100*Construction!AK11/Inputs!$F$247*(1/(1-Inputs!$F$93/100))</f>
        <v>1.31691205454299</v>
      </c>
      <c r="AL36" s="13" t="n">
        <f aca="false">Construction!AL14*AL31*(Construction!AL17+Inputs!$F$82)/100*Construction!AL11/Inputs!$F$247*(1/(1-Inputs!$F$93/100))</f>
        <v>1.38727886935806</v>
      </c>
      <c r="AM36" s="13" t="n">
        <f aca="false">Construction!AM14*AM31*(Construction!AM17+Inputs!$F$82)/100*Construction!AM11/Inputs!$F$247*(1/(1-Inputs!$F$93/100))</f>
        <v>1.41454444789435</v>
      </c>
      <c r="AN36" s="13" t="n">
        <f aca="false">Construction!AN14*AN31*(Construction!AN17+Inputs!$F$82)/100*Construction!AN11/Inputs!$F$247*(1/(1-Inputs!$F$93/100))</f>
        <v>1.29288162282656</v>
      </c>
      <c r="AO36" s="13" t="n">
        <f aca="false">Construction!AO14*AO31*(Construction!AO17+Inputs!$F$82)/100*Construction!AO11/Inputs!$F$247*(1/(1-Inputs!$F$93/100))</f>
        <v>1.4441578592939</v>
      </c>
      <c r="AP36" s="13" t="n">
        <f aca="false">Construction!AP14*AP31*(Construction!AP17+Inputs!$F$82)/100*Construction!AP11/Inputs!$F$247*(1/(1-Inputs!$F$93/100))</f>
        <v>1.40786714879205</v>
      </c>
      <c r="AQ36" s="13" t="n">
        <f aca="false">Construction!AQ14*AQ31*(Construction!AQ17+Inputs!$F$82)/100*Construction!AQ11/Inputs!$F$247*(1/(1-Inputs!$F$93/100))</f>
        <v>1.55930878134509</v>
      </c>
      <c r="AR36" s="13" t="n">
        <f aca="false">Construction!AR14*AR31*(Construction!AR17+Inputs!$F$82)/100*Construction!AR11/Inputs!$F$247*(1/(1-Inputs!$F$93/100))</f>
        <v>1.58695911728756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3.66873067341143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0.0305378163052111</v>
      </c>
      <c r="M38" s="13" t="n">
        <f aca="false">Construction!M14*(Inputs!$F$95/100*Inputs!$F$96/100)*M31*Construction!M11/Inputs!$F$248</f>
        <v>0.0303105307469188</v>
      </c>
      <c r="N38" s="13" t="n">
        <f aca="false">Construction!N14*(Inputs!$F$95/100*Inputs!$F$96/100)*N31*Construction!N11/Inputs!$F$248</f>
        <v>0.0324284371298684</v>
      </c>
      <c r="O38" s="13" t="n">
        <f aca="false">Construction!O14*(Inputs!$F$95/100*Inputs!$F$96/100)*O31*Construction!O11/Inputs!$F$248</f>
        <v>0.0340237370595472</v>
      </c>
      <c r="P38" s="13" t="n">
        <f aca="false">Construction!P14*(Inputs!$F$95/100*Inputs!$F$96/100)*P31*Construction!P11/Inputs!$F$248</f>
        <v>0.0327171305788131</v>
      </c>
      <c r="Q38" s="13" t="n">
        <f aca="false">Construction!Q14*(Inputs!$F$95/100*Inputs!$F$96/100)*Q31*Construction!Q11/Inputs!$F$248</f>
        <v>0.039091407678853</v>
      </c>
      <c r="R38" s="13" t="n">
        <f aca="false">Construction!R14*(Inputs!$F$95/100*Inputs!$F$96/100)*R31*Construction!R11/Inputs!$F$248</f>
        <v>0.0413546412051664</v>
      </c>
      <c r="S38" s="13" t="n">
        <f aca="false">Construction!S14*(Inputs!$F$95/100*Inputs!$F$96/100)*S31*Construction!S11/Inputs!$F$248</f>
        <v>0.0471452421090148</v>
      </c>
      <c r="T38" s="13" t="n">
        <f aca="false">Construction!T14*(Inputs!$F$95/100*Inputs!$F$96/100)*T31*Construction!T11/Inputs!$F$248</f>
        <v>0.0506533003240495</v>
      </c>
      <c r="U38" s="13" t="n">
        <f aca="false">Construction!U14*(Inputs!$F$95/100*Inputs!$F$96/100)*U31*Construction!U11/Inputs!$F$248</f>
        <v>0.0582721776042306</v>
      </c>
      <c r="V38" s="13" t="n">
        <f aca="false">Construction!V14*(Inputs!$F$95/100*Inputs!$F$96/100)*V31*Construction!V11/Inputs!$F$248</f>
        <v>0.0649063778544532</v>
      </c>
      <c r="W38" s="13" t="n">
        <f aca="false">Construction!W14*(Inputs!$F$95/100*Inputs!$F$96/100)*W31*Construction!W11/Inputs!$F$248</f>
        <v>0.0698316457874101</v>
      </c>
      <c r="X38" s="13" t="n">
        <f aca="false">Construction!X14*(Inputs!$F$95/100*Inputs!$F$96/100)*X31*Construction!X11/Inputs!$F$248</f>
        <v>0.0799269851736335</v>
      </c>
      <c r="Y38" s="13" t="n">
        <f aca="false">Construction!Y14*(Inputs!$F$95/100*Inputs!$F$96/100)*Y31*Construction!Y11/Inputs!$F$248</f>
        <v>0.0852779579025418</v>
      </c>
      <c r="Z38" s="13" t="n">
        <f aca="false">Construction!Z14*(Inputs!$F$95/100*Inputs!$F$96/100)*Z31*Construction!Z11/Inputs!$F$248</f>
        <v>0.0965978073738343</v>
      </c>
      <c r="AA38" s="13" t="n">
        <f aca="false">Construction!AA14*(Inputs!$F$95/100*Inputs!$F$96/100)*AA31*Construction!AA11/Inputs!$F$248</f>
        <v>0.105252697435569</v>
      </c>
      <c r="AB38" s="13" t="n">
        <f aca="false">Construction!AB14*(Inputs!$F$95/100*Inputs!$F$96/100)*AB31*Construction!AB11/Inputs!$F$248</f>
        <v>0.106860917349858</v>
      </c>
      <c r="AC38" s="13" t="n">
        <f aca="false">Construction!AC14*(Inputs!$F$95/100*Inputs!$F$96/100)*AC31*Construction!AC11/Inputs!$F$248</f>
        <v>0.122794425602806</v>
      </c>
      <c r="AD38" s="13" t="n">
        <f aca="false">Construction!AD14*(Inputs!$F$95/100*Inputs!$F$96/100)*AD31*Construction!AD11/Inputs!$F$248</f>
        <v>0.126923749429833</v>
      </c>
      <c r="AE38" s="13" t="n">
        <f aca="false">Construction!AE14*(Inputs!$F$95/100*Inputs!$F$96/100)*AE31*Construction!AE11/Inputs!$F$248</f>
        <v>0.139146161838755</v>
      </c>
      <c r="AF38" s="13" t="n">
        <f aca="false">Construction!AF14*(Inputs!$F$95/100*Inputs!$F$96/100)*AF31*Construction!AF11/Inputs!$F$248</f>
        <v>0.141954306027341</v>
      </c>
      <c r="AG38" s="13" t="n">
        <f aca="false">Construction!AG14*(Inputs!$F$95/100*Inputs!$F$96/100)*AG31*Construction!AG11/Inputs!$F$248</f>
        <v>0.153645556671158</v>
      </c>
      <c r="AH38" s="13" t="n">
        <f aca="false">Construction!AH14*(Inputs!$F$95/100*Inputs!$F$96/100)*AH31*Construction!AH11/Inputs!$F$248</f>
        <v>0.159976482406167</v>
      </c>
      <c r="AI38" s="13" t="n">
        <f aca="false">Construction!AI14*(Inputs!$F$95/100*Inputs!$F$96/100)*AI31*Construction!AI11/Inputs!$F$248</f>
        <v>0.160261032144182</v>
      </c>
      <c r="AJ38" s="13" t="n">
        <f aca="false">Construction!AJ14*(Inputs!$F$95/100*Inputs!$F$96/100)*AJ31*Construction!AJ11/Inputs!$F$248</f>
        <v>0.170473174888148</v>
      </c>
      <c r="AK38" s="13" t="n">
        <f aca="false">Construction!AK14*(Inputs!$F$95/100*Inputs!$F$96/100)*AK31*Construction!AK11/Inputs!$F$248</f>
        <v>0.168980365948743</v>
      </c>
      <c r="AL38" s="13" t="n">
        <f aca="false">Construction!AL14*(Inputs!$F$95/100*Inputs!$F$96/100)*AL31*Construction!AL11/Inputs!$F$248</f>
        <v>0.17800952630693</v>
      </c>
      <c r="AM38" s="13" t="n">
        <f aca="false">Construction!AM14*(Inputs!$F$95/100*Inputs!$F$96/100)*AM31*Construction!AM11/Inputs!$F$248</f>
        <v>0.180750789779142</v>
      </c>
      <c r="AN38" s="13" t="n">
        <f aca="false">Construction!AN14*(Inputs!$F$95/100*Inputs!$F$96/100)*AN31*Construction!AN11/Inputs!$F$248</f>
        <v>0.165204688169892</v>
      </c>
      <c r="AO38" s="13" t="n">
        <f aca="false">Construction!AO14*(Inputs!$F$95/100*Inputs!$F$96/100)*AO31*Construction!AO11/Inputs!$F$248</f>
        <v>0.184534797773017</v>
      </c>
      <c r="AP38" s="13" t="n">
        <f aca="false">Construction!AP14*(Inputs!$F$95/100*Inputs!$F$96/100)*AP31*Construction!AP11/Inputs!$F$248</f>
        <v>0.179897563082639</v>
      </c>
      <c r="AQ38" s="13" t="n">
        <f aca="false">Construction!AQ14*(Inputs!$F$95/100*Inputs!$F$96/100)*AQ31*Construction!AQ11/Inputs!$F$248</f>
        <v>0.199248807032698</v>
      </c>
      <c r="AR38" s="13" t="n">
        <f aca="false">Construction!AR14*(Inputs!$F$95/100*Inputs!$F$96/100)*AR31*Construction!AR11/Inputs!$F$248</f>
        <v>0.202781972828018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9.25364550927212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0.467535776102714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0.450484409945749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0.462621975292419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0.458475725560646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0.408945377374428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0.445304642458898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0.421780315390689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0.424372397540836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0.397612720219239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0.395453037328877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0.378210479677945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0.34776741636511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0.339171307225427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0.307621819745456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0.295843158837721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0.273348745762545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0.23388473523419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0.227757077164599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0.199382705120611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0.185258246241953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0.160317674087002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0.147573726349304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0.131119391561023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0.112737744545553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0.10383805870427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0.0900758395483646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0.0842507732870613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0.0771261174622058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0.06460479921375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0.0672913259990179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0.0617015979114041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0.0290490144366113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0.00222408148747507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2.4339408069039</v>
      </c>
      <c r="L45" s="13" t="n">
        <f aca="false">Construction!L14*(Construction!L32+Construction!L38)+L33+L34+L35+L36+L37+L38+L39+L40+L41+L42+L43+L44</f>
        <v>3.10377321922828</v>
      </c>
      <c r="M45" s="13" t="n">
        <f aca="false">Construction!M14*(Construction!M32+Construction!M38)+M33+M34+M35+M36+M37+M38+M39+M40+M41+M42+M43+M44</f>
        <v>4.38992754212408</v>
      </c>
      <c r="N45" s="13" t="n">
        <f aca="false">Construction!N14*(Construction!N32+Construction!N38)+N33+N34+N35+N36+N37+N38+N39+N40+N41+N42+N43+N44</f>
        <v>6.32316122921532</v>
      </c>
      <c r="O45" s="13" t="n">
        <f aca="false">Construction!O14*(Construction!O32+Construction!O38)+O33+O34+O35+O36+O37+O38+O39+O40+O41+O42+O43+O44</f>
        <v>8.71520707342604</v>
      </c>
      <c r="P45" s="13" t="n">
        <f aca="false">Construction!P14*(Construction!P32+Construction!P38)+P33+P34+P35+P36+P37+P38+P39+P40+P41+P42+P43+P44</f>
        <v>11.3711088514292</v>
      </c>
      <c r="Q45" s="13" t="n">
        <f aca="false">Construction!Q14*(Construction!Q32+Construction!Q38)+Q33+Q34+Q35+Q36+Q37+Q38+Q39+Q40+Q41+Q42+Q43+Q44</f>
        <v>14.4343970612692</v>
      </c>
      <c r="R45" s="13" t="n">
        <f aca="false">Construction!R14*(Construction!R32+Construction!R38)+R33+R34+R35+R36+R37+R38+R39+R40+R41+R42+R43+R44</f>
        <v>17.4879347008662</v>
      </c>
      <c r="S45" s="13" t="n">
        <f aca="false">Construction!S14*(Construction!S32+Construction!S38)+S33+S34+S35+S36+S37+S38+S39+S40+S41+S42+S43+S44</f>
        <v>20.5969526953556</v>
      </c>
      <c r="T45" s="13" t="n">
        <f aca="false">Construction!T14*(Construction!T32+Construction!T38)+T33+T34+T35+T36+T37+T38+T39+T40+T41+T42+T43+T44</f>
        <v>23.5059810629963</v>
      </c>
      <c r="U45" s="13" t="n">
        <f aca="false">Construction!U14*(Construction!U32+Construction!U38)+U33+U34+U35+U36+U37+U38+U39+U40+U41+U42+U43+U44</f>
        <v>26.2954426491472</v>
      </c>
      <c r="V45" s="13" t="n">
        <f aca="false">Construction!V14*(Construction!V32+Construction!V38)+V33+V34+V35+V36+V37+V38+V39+V40+V41+V42+V43+V44</f>
        <v>28.7480873603367</v>
      </c>
      <c r="W45" s="13" t="n">
        <f aca="false">Construction!W14*(Construction!W32+Construction!W38)+W33+W34+W35+W36+W37+W38+W39+W40+W41+W42+W43+W44</f>
        <v>30.7878783053988</v>
      </c>
      <c r="X45" s="13" t="n">
        <f aca="false">Construction!X14*(Construction!X32+Construction!X38)+X33+X34+X35+X36+X37+X38+X39+X40+X41+X42+X43+X44</f>
        <v>32.4761955864015</v>
      </c>
      <c r="Y45" s="13" t="n">
        <f aca="false">Construction!Y14*(Construction!Y32+Construction!Y38)+Y33+Y34+Y35+Y36+Y37+Y38+Y39+Y40+Y41+Y42+Y43+Y44</f>
        <v>33.6005932571076</v>
      </c>
      <c r="Z45" s="13" t="n">
        <f aca="false">Construction!Z14*(Construction!Z32+Construction!Z38)+Z33+Z34+Z35+Z36+Z37+Z38+Z39+Z40+Z41+Z42+Z43+Z44</f>
        <v>34.3046873276673</v>
      </c>
      <c r="AA45" s="13" t="n">
        <f aca="false">Construction!AA14*(Construction!AA32+Construction!AA38)+AA33+AA34+AA35+AA36+AA37+AA38+AA39+AA40+AA41+AA42+AA43+AA44</f>
        <v>35.5851276934537</v>
      </c>
      <c r="AB45" s="13" t="n">
        <f aca="false">Construction!AB14*(Construction!AB32+Construction!AB38)+AB33+AB34+AB35+AB36+AB37+AB38+AB39+AB40+AB41+AB42+AB43+AB44</f>
        <v>33.9436006522179</v>
      </c>
      <c r="AC45" s="13" t="n">
        <f aca="false">Construction!AC14*(Construction!AC32+Construction!AC38)+AC33+AC34+AC35+AC36+AC37+AC38+AC39+AC40+AC41+AC42+AC43+AC44</f>
        <v>33.1363131520688</v>
      </c>
      <c r="AD45" s="13" t="n">
        <f aca="false">Construction!AD14*(Construction!AD32+Construction!AD38)+AD33+AD34+AD35+AD36+AD37+AD38+AD39+AD40+AD41+AD42+AD43+AD44</f>
        <v>31.675740477448</v>
      </c>
      <c r="AE45" s="13" t="n">
        <f aca="false">Construction!AE14*(Construction!AE32+Construction!AE38)+AE33+AE34+AE35+AE36+AE37+AE38+AE39+AE40+AE41+AE42+AE43+AE44</f>
        <v>29.8855070314694</v>
      </c>
      <c r="AF45" s="13" t="n">
        <f aca="false">Construction!AF14*(Construction!AF32+Construction!AF38)+AF33+AF34+AF35+AF36+AF37+AF38+AF39+AF40+AF41+AF42+AF43+AF44</f>
        <v>27.5845708803323</v>
      </c>
      <c r="AG45" s="13" t="n">
        <f aca="false">Construction!AG14*(Construction!AG32+Construction!AG38)+AG33+AG34+AG35+AG36+AG37+AG38+AG39+AG40+AG41+AG42+AG43+AG44</f>
        <v>25.0933779961426</v>
      </c>
      <c r="AH45" s="13" t="n">
        <f aca="false">Construction!AH14*(Construction!AH32+Construction!AH38)+AH33+AH34+AH35+AH36+AH37+AH38+AH39+AH40+AH41+AH42+AH43+AH44</f>
        <v>22.3016362270925</v>
      </c>
      <c r="AI45" s="13" t="n">
        <f aca="false">Construction!AI14*(Construction!AI32+Construction!AI38)+AI33+AI34+AI35+AI36+AI37+AI38+AI39+AI40+AI41+AI42+AI43+AI44</f>
        <v>19.3032543030692</v>
      </c>
      <c r="AJ45" s="13" t="n">
        <f aca="false">Construction!AJ14*(Construction!AJ32+Construction!AJ38)+AJ33+AJ34+AJ35+AJ36+AJ37+AJ38+AJ39+AJ40+AJ41+AJ42+AJ43+AJ44</f>
        <v>16.4088673986966</v>
      </c>
      <c r="AK45" s="13" t="n">
        <f aca="false">Construction!AK14*(Construction!AK32+Construction!AK38)+AK33+AK34+AK35+AK36+AK37+AK38+AK39+AK40+AK41+AK42+AK43+AK44</f>
        <v>13.4623588293254</v>
      </c>
      <c r="AL45" s="13" t="n">
        <f aca="false">Construction!AL14*(Construction!AL32+Construction!AL38)+AL33+AL34+AL35+AL36+AL37+AL38+AL39+AL40+AL41+AL42+AL43+AL44</f>
        <v>10.8653241839254</v>
      </c>
      <c r="AM45" s="13" t="n">
        <f aca="false">Construction!AM14*(Construction!AM32+Construction!AM38)+AM33+AM34+AM35+AM36+AM37+AM38+AM39+AM40+AM41+AM42+AM43+AM44</f>
        <v>8.53922368532811</v>
      </c>
      <c r="AN45" s="13" t="n">
        <f aca="false">Construction!AN14*(Construction!AN32+Construction!AN38)+AN33+AN34+AN35+AN36+AN37+AN38+AN39+AN40+AN41+AN42+AN43+AN44</f>
        <v>6.45914257343877</v>
      </c>
      <c r="AO45" s="13" t="n">
        <f aca="false">Construction!AO14*(Construction!AO32+Construction!AO38)+AO33+AO34+AO35+AO36+AO37+AO38+AO39+AO40+AO41+AO42+AO43+AO44</f>
        <v>5.38794854326527</v>
      </c>
      <c r="AP45" s="13" t="n">
        <f aca="false">Construction!AP14*(Construction!AP32+Construction!AP38)+AP33+AP34+AP35+AP36+AP37+AP38+AP39+AP40+AP41+AP42+AP43+AP44</f>
        <v>52.9327792059458</v>
      </c>
      <c r="AQ45" s="13" t="n">
        <f aca="false">Construction!AQ14*(Construction!AQ32+Construction!AQ38)+AQ33+AQ34+AQ35+AQ36+AQ37+AQ38+AQ39+AQ40+AQ41+AQ42+AQ43+AQ44</f>
        <v>40.795806511523</v>
      </c>
      <c r="AR45" s="13" t="n">
        <f aca="false">Construction!AR14*(Construction!AR32+Construction!AR38)+AR33+AR34+AR35+AR36+AR37+AR38+AR39+AR40+AR41+AR42+AR43+AR44</f>
        <v>3.61636565058755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538.528835794796</v>
      </c>
      <c r="M46" s="13" t="n">
        <f aca="false">$F$25-M28-M29-M30-M31</f>
        <v>536.184578392084</v>
      </c>
      <c r="N46" s="13" t="n">
        <f aca="false">$F$25-N28-N29-N30-N31</f>
        <v>532.868897956981</v>
      </c>
      <c r="O46" s="13" t="n">
        <f aca="false">$F$25-O28-O29-O30-O31</f>
        <v>528.093060138581</v>
      </c>
      <c r="P46" s="13" t="n">
        <f aca="false">$F$25-P28-P29-P30-P31</f>
        <v>521.510527442096</v>
      </c>
      <c r="Q46" s="13" t="n">
        <f aca="false">$F$25-Q28-Q29-Q30-Q31</f>
        <v>512.922011394319</v>
      </c>
      <c r="R46" s="13" t="n">
        <f aca="false">$F$25-R28-R29-R30-R31</f>
        <v>502.019815977809</v>
      </c>
      <c r="S46" s="13" t="n">
        <f aca="false">$F$25-S28-S29-S30-S31</f>
        <v>488.811305727554</v>
      </c>
      <c r="T46" s="13" t="n">
        <f aca="false">$F$25-T28-T29-T30-T31</f>
        <v>473.25457673387</v>
      </c>
      <c r="U46" s="13" t="n">
        <f aca="false">$F$25-U28-U29-U30-U31</f>
        <v>455.500679711513</v>
      </c>
      <c r="V46" s="13" t="n">
        <f aca="false">$F$25-V28-V29-V30-V31</f>
        <v>435.639922583397</v>
      </c>
      <c r="W46" s="13" t="n">
        <f aca="false">$F$25-W28-W29-W30-W31</f>
        <v>413.926700692454</v>
      </c>
      <c r="X46" s="13" t="n">
        <f aca="false">$F$25-X28-X29-X30-X31</f>
        <v>390.672839494064</v>
      </c>
      <c r="Y46" s="13" t="n">
        <f aca="false">$F$25-Y28-Y29-Y30-Y31</f>
        <v>366.143804497666</v>
      </c>
      <c r="Z46" s="13" t="n">
        <f aca="false">$F$25-Z28-Z29-Z30-Z31</f>
        <v>340.765520095153</v>
      </c>
      <c r="AA46" s="13" t="n">
        <f aca="false">$F$25-AA28-AA29-AA30-AA31</f>
        <v>314.855438547512</v>
      </c>
      <c r="AB46" s="13" t="n">
        <f aca="false">$F$25-AB28-AB29-AB30-AB31</f>
        <v>287.978249677843</v>
      </c>
      <c r="AC46" s="13" t="n">
        <f aca="false">$F$25-AC28-AC29-AC30-AC31</f>
        <v>262.340894277427</v>
      </c>
      <c r="AD46" s="13" t="n">
        <f aca="false">$F$25-AD28-AD29-AD30-AD31</f>
        <v>237.31327727111</v>
      </c>
      <c r="AE46" s="13" t="n">
        <f aca="false">$F$25-AE28-AE29-AE30-AE31</f>
        <v>213.388820213293</v>
      </c>
      <c r="AF46" s="13" t="n">
        <f aca="false">$F$25-AF28-AF29-AF30-AF31</f>
        <v>190.816513493754</v>
      </c>
      <c r="AG46" s="13" t="n">
        <f aca="false">$F$25-AG28-AG29-AG30-AG31</f>
        <v>169.982087161884</v>
      </c>
      <c r="AH46" s="13" t="n">
        <f aca="false">$F$25-AH28-AH29-AH30-AH31</f>
        <v>151.029240748342</v>
      </c>
      <c r="AI46" s="13" t="n">
        <f aca="false">$F$25-AI28-AI29-AI30-AI31</f>
        <v>134.184976646165</v>
      </c>
      <c r="AJ46" s="13" t="n">
        <f aca="false">$F$25-AJ28-AJ29-AJ30-AJ31</f>
        <v>119.605368665771</v>
      </c>
      <c r="AK46" s="13" t="n">
        <f aca="false">$F$25-AK28-AK29-AK30-AK31</f>
        <v>107.211870123029</v>
      </c>
      <c r="AL46" s="13" t="n">
        <f aca="false">$F$25-AL28-AL29-AL30-AL31</f>
        <v>97.0438481335054</v>
      </c>
      <c r="AM46" s="13" t="n">
        <f aca="false">$F$25-AM28-AM29-AM30-AM31</f>
        <v>88.8373475769468</v>
      </c>
      <c r="AN46" s="13" t="n">
        <f aca="false">$F$25-AN28-AN29-AN30-AN31</f>
        <v>82.3877338571924</v>
      </c>
      <c r="AO46" s="13" t="n">
        <f aca="false">$F$25-AO28-AO29-AO30-AO31</f>
        <v>77.5091903156902</v>
      </c>
      <c r="AP46" s="13" t="n">
        <f aca="false">$F$25-AP28-AP29-AP30-AP31</f>
        <v>73.4397118564619</v>
      </c>
      <c r="AQ46" s="13" t="n">
        <f aca="false">$F$25-AQ28-AQ29-AQ30-AQ31</f>
        <v>33.4599676113293</v>
      </c>
      <c r="AR46" s="13" t="n">
        <f aca="false">$F$25-AR28-AR29-AR30-AR31</f>
        <v>2.64719082024411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1.8383378395684</v>
      </c>
      <c r="L47" s="13" t="n">
        <f aca="false">MIN($F$26*L45/(1-Inputs!$F$94/100*Inputs!$F$75*$F$26),L46)</f>
        <v>2.34425740271163</v>
      </c>
      <c r="M47" s="13" t="n">
        <f aca="false">MIN($F$26*M45/(1-Inputs!$F$94/100*Inputs!$F$75*$F$26),M46)</f>
        <v>3.31568043510306</v>
      </c>
      <c r="N47" s="13" t="n">
        <f aca="false">MIN($F$26*N45/(1-Inputs!$F$94/100*Inputs!$F$75*$F$26),N46)</f>
        <v>4.77583781839988</v>
      </c>
      <c r="O47" s="13" t="n">
        <f aca="false">MIN($F$26*O45/(1-Inputs!$F$94/100*Inputs!$F$75*$F$26),O46)</f>
        <v>6.58253269648471</v>
      </c>
      <c r="P47" s="13" t="n">
        <f aca="false">MIN($F$26*P45/(1-Inputs!$F$94/100*Inputs!$F$75*$F$26),P46)</f>
        <v>8.58851604777703</v>
      </c>
      <c r="Q47" s="13" t="n">
        <f aca="false">MIN($F$26*Q45/(1-Inputs!$F$94/100*Inputs!$F$75*$F$26),Q46)</f>
        <v>10.9021954165107</v>
      </c>
      <c r="R47" s="13" t="n">
        <f aca="false">MIN($F$26*R45/(1-Inputs!$F$94/100*Inputs!$F$75*$F$26),R46)</f>
        <v>13.2085102502548</v>
      </c>
      <c r="S47" s="13" t="n">
        <f aca="false">MIN($F$26*S45/(1-Inputs!$F$94/100*Inputs!$F$75*$F$26),S46)</f>
        <v>15.556728993684</v>
      </c>
      <c r="T47" s="13" t="n">
        <f aca="false">MIN($F$26*T45/(1-Inputs!$F$94/100*Inputs!$F$75*$F$26),T46)</f>
        <v>17.7538970223571</v>
      </c>
      <c r="U47" s="13" t="n">
        <f aca="false">MIN($F$26*U45/(1-Inputs!$F$94/100*Inputs!$F$75*$F$26),U46)</f>
        <v>19.8607571281156</v>
      </c>
      <c r="V47" s="13" t="n">
        <f aca="false">MIN($F$26*V45/(1-Inputs!$F$94/100*Inputs!$F$75*$F$26),V46)</f>
        <v>21.7132218909429</v>
      </c>
      <c r="W47" s="13" t="n">
        <f aca="false">MIN($F$26*W45/(1-Inputs!$F$94/100*Inputs!$F$75*$F$26),W46)</f>
        <v>23.2538611983905</v>
      </c>
      <c r="X47" s="13" t="n">
        <f aca="false">MIN($F$26*X45/(1-Inputs!$F$94/100*Inputs!$F$75*$F$26),X46)</f>
        <v>24.5290349963977</v>
      </c>
      <c r="Y47" s="13" t="n">
        <f aca="false">MIN($F$26*Y45/(1-Inputs!$F$94/100*Inputs!$F$75*$F$26),Y46)</f>
        <v>25.3782844025125</v>
      </c>
      <c r="Z47" s="13" t="n">
        <f aca="false">MIN($F$26*Z45/(1-Inputs!$F$94/100*Inputs!$F$75*$F$26),Z46)</f>
        <v>25.9100815476419</v>
      </c>
      <c r="AA47" s="13" t="n">
        <f aca="false">MIN($F$26*AA45/(1-Inputs!$F$94/100*Inputs!$F$75*$F$26),AA46)</f>
        <v>26.8771888696685</v>
      </c>
      <c r="AB47" s="13" t="n">
        <f aca="false">MIN($F$26*AB45/(1-Inputs!$F$94/100*Inputs!$F$75*$F$26),AB46)</f>
        <v>25.6373554004161</v>
      </c>
      <c r="AC47" s="13" t="n">
        <f aca="false">MIN($F$26*AC45/(1-Inputs!$F$94/100*Inputs!$F$75*$F$26),AC46)</f>
        <v>25.0276170063167</v>
      </c>
      <c r="AD47" s="13" t="n">
        <f aca="false">MIN($F$26*AD45/(1-Inputs!$F$94/100*Inputs!$F$75*$F$26),AD46)</f>
        <v>23.9244570578172</v>
      </c>
      <c r="AE47" s="13" t="n">
        <f aca="false">MIN($F$26*AE45/(1-Inputs!$F$94/100*Inputs!$F$75*$F$26),AE46)</f>
        <v>22.5723067195393</v>
      </c>
      <c r="AF47" s="13" t="n">
        <f aca="false">MIN($F$26*AF45/(1-Inputs!$F$94/100*Inputs!$F$75*$F$26),AF46)</f>
        <v>20.83442633187</v>
      </c>
      <c r="AG47" s="13" t="n">
        <f aca="false">MIN($F$26*AG45/(1-Inputs!$F$94/100*Inputs!$F$75*$F$26),AG46)</f>
        <v>18.952846413542</v>
      </c>
      <c r="AH47" s="13" t="n">
        <f aca="false">MIN($F$26*AH45/(1-Inputs!$F$94/100*Inputs!$F$75*$F$26),AH46)</f>
        <v>16.8442641021764</v>
      </c>
      <c r="AI47" s="13" t="n">
        <f aca="false">MIN($F$26*AI45/(1-Inputs!$F$94/100*Inputs!$F$75*$F$26),AI46)</f>
        <v>14.5796079803944</v>
      </c>
      <c r="AJ47" s="13" t="n">
        <f aca="false">MIN($F$26*AJ45/(1-Inputs!$F$94/100*Inputs!$F$75*$F$26),AJ46)</f>
        <v>12.3934985427422</v>
      </c>
      <c r="AK47" s="13" t="n">
        <f aca="false">MIN($F$26*AK45/(1-Inputs!$F$94/100*Inputs!$F$75*$F$26),AK46)</f>
        <v>10.1680219895232</v>
      </c>
      <c r="AL47" s="13" t="n">
        <f aca="false">MIN($F$26*AL45/(1-Inputs!$F$94/100*Inputs!$F$75*$F$26),AL46)</f>
        <v>8.2065005565587</v>
      </c>
      <c r="AM47" s="13" t="n">
        <f aca="false">MIN($F$26*AM45/(1-Inputs!$F$94/100*Inputs!$F$75*$F$26),AM46)</f>
        <v>6.44961371975437</v>
      </c>
      <c r="AN47" s="13" t="n">
        <f aca="false">MIN($F$26*AN45/(1-Inputs!$F$94/100*Inputs!$F$75*$F$26),AN46)</f>
        <v>4.87854354150222</v>
      </c>
      <c r="AO47" s="13" t="n">
        <f aca="false">MIN($F$26*AO45/(1-Inputs!$F$94/100*Inputs!$F$75*$F$26),AO46)</f>
        <v>4.06947845922823</v>
      </c>
      <c r="AP47" s="13" t="n">
        <f aca="false">MIN($F$26*AP45/(1-Inputs!$F$94/100*Inputs!$F$75*$F$26),AP46)</f>
        <v>39.9797442451327</v>
      </c>
      <c r="AQ47" s="13" t="n">
        <f aca="false">MIN($F$26*AQ45/(1-Inputs!$F$94/100*Inputs!$F$75*$F$26),AQ46)</f>
        <v>30.8127767910852</v>
      </c>
      <c r="AR47" s="13" t="n">
        <f aca="false">MIN($F$26*AR45/(1-Inputs!$F$94/100*Inputs!$F$75*$F$26),AR46)</f>
        <v>2.64719082024411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0.0598378966779514</v>
      </c>
      <c r="L48" s="13" t="n">
        <f aca="false">Inputs!$F$94/100*Inputs!$F$75*L47</f>
        <v>0.0763055784582635</v>
      </c>
      <c r="M48" s="13" t="n">
        <f aca="false">Inputs!$F$94/100*Inputs!$F$75*M47</f>
        <v>0.107925398162605</v>
      </c>
      <c r="N48" s="13" t="n">
        <f aca="false">Inputs!$F$94/100*Inputs!$F$75*N47</f>
        <v>0.155453520988916</v>
      </c>
      <c r="O48" s="13" t="n">
        <f aca="false">Inputs!$F$94/100*Inputs!$F$75*O47</f>
        <v>0.214261439270577</v>
      </c>
      <c r="P48" s="13" t="n">
        <f aca="false">Inputs!$F$94/100*Inputs!$F$75*P47</f>
        <v>0.279556197355142</v>
      </c>
      <c r="Q48" s="13" t="n">
        <f aca="false">Inputs!$F$94/100*Inputs!$F$75*Q47</f>
        <v>0.354866460807424</v>
      </c>
      <c r="R48" s="13" t="n">
        <f aca="false">Inputs!$F$94/100*Inputs!$F$75*R47</f>
        <v>0.429937008645795</v>
      </c>
      <c r="S48" s="13" t="n">
        <f aca="false">Inputs!$F$94/100*Inputs!$F$75*S47</f>
        <v>0.506371528744415</v>
      </c>
      <c r="T48" s="13" t="n">
        <f aca="false">Inputs!$F$94/100*Inputs!$F$75*T47</f>
        <v>0.577889348077722</v>
      </c>
      <c r="U48" s="13" t="n">
        <f aca="false">Inputs!$F$94/100*Inputs!$F$75*U47</f>
        <v>0.646467644520163</v>
      </c>
      <c r="V48" s="13" t="n">
        <f aca="false">Inputs!$F$94/100*Inputs!$F$75*V47</f>
        <v>0.706765372550192</v>
      </c>
      <c r="W48" s="13" t="n">
        <f aca="false">Inputs!$F$94/100*Inputs!$F$75*W47</f>
        <v>0.756913182007609</v>
      </c>
      <c r="X48" s="13" t="n">
        <f aca="false">Inputs!$F$94/100*Inputs!$F$75*X47</f>
        <v>0.798420089132746</v>
      </c>
      <c r="Y48" s="13" t="n">
        <f aca="false">Inputs!$F$94/100*Inputs!$F$75*Y47</f>
        <v>0.826063157301781</v>
      </c>
      <c r="Z48" s="13" t="n">
        <f aca="false">Inputs!$F$94/100*Inputs!$F$75*Z47</f>
        <v>0.843373154375744</v>
      </c>
      <c r="AA48" s="13" t="n">
        <f aca="false">Inputs!$F$94/100*Inputs!$F$75*AA47</f>
        <v>0.874852497707709</v>
      </c>
      <c r="AB48" s="13" t="n">
        <f aca="false">Inputs!$F$94/100*Inputs!$F$75*AB47</f>
        <v>0.834495918283544</v>
      </c>
      <c r="AC48" s="13" t="n">
        <f aca="false">Inputs!$F$94/100*Inputs!$F$75*AC47</f>
        <v>0.814648933555609</v>
      </c>
      <c r="AD48" s="13" t="n">
        <f aca="false">Inputs!$F$94/100*Inputs!$F$75*AD47</f>
        <v>0.778741077231948</v>
      </c>
      <c r="AE48" s="13" t="n">
        <f aca="false">Inputs!$F$94/100*Inputs!$F$75*AE47</f>
        <v>0.734728583721004</v>
      </c>
      <c r="AF48" s="13" t="n">
        <f aca="false">Inputs!$F$94/100*Inputs!$F$75*AF47</f>
        <v>0.678160577102369</v>
      </c>
      <c r="AG48" s="13" t="n">
        <f aca="false">Inputs!$F$94/100*Inputs!$F$75*AG47</f>
        <v>0.616915150760791</v>
      </c>
      <c r="AH48" s="13" t="n">
        <f aca="false">Inputs!$F$94/100*Inputs!$F$75*AH47</f>
        <v>0.548280796525842</v>
      </c>
      <c r="AI48" s="13" t="n">
        <f aca="false">Inputs!$F$94/100*Inputs!$F$75*AI47</f>
        <v>0.474566239761838</v>
      </c>
      <c r="AJ48" s="13" t="n">
        <f aca="false">Inputs!$F$94/100*Inputs!$F$75*AJ47</f>
        <v>0.403408377566259</v>
      </c>
      <c r="AK48" s="13" t="n">
        <f aca="false">Inputs!$F$94/100*Inputs!$F$75*AK47</f>
        <v>0.330969115758981</v>
      </c>
      <c r="AL48" s="13" t="n">
        <f aca="false">Inputs!$F$94/100*Inputs!$F$75*AL47</f>
        <v>0.267121593115986</v>
      </c>
      <c r="AM48" s="13" t="n">
        <f aca="false">Inputs!$F$94/100*Inputs!$F$75*AM47</f>
        <v>0.209934926578005</v>
      </c>
      <c r="AN48" s="13" t="n">
        <f aca="false">Inputs!$F$94/100*Inputs!$F$75*AN47</f>
        <v>0.158796592275897</v>
      </c>
      <c r="AO48" s="13" t="n">
        <f aca="false">Inputs!$F$94/100*Inputs!$F$75*AO47</f>
        <v>0.132461523847879</v>
      </c>
      <c r="AP48" s="13" t="n">
        <f aca="false">Inputs!$F$94/100*Inputs!$F$75*AP47</f>
        <v>1.30134067517907</v>
      </c>
      <c r="AQ48" s="13" t="n">
        <f aca="false">Inputs!$F$94/100*Inputs!$F$75*AQ47</f>
        <v>1.00295588454982</v>
      </c>
      <c r="AR48" s="13" t="n">
        <f aca="false">Inputs!$F$94/100*Inputs!$F$75*AR47</f>
        <v>0.0861660611989456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854.663406001466</v>
      </c>
      <c r="J49" s="13" t="n">
        <f aca="false">J45+J48</f>
        <v>121.522240775464</v>
      </c>
      <c r="K49" s="13" t="n">
        <f aca="false">K45+K48</f>
        <v>2.49377870358185</v>
      </c>
      <c r="L49" s="13" t="n">
        <f aca="false">L45+L48</f>
        <v>3.18007879768654</v>
      </c>
      <c r="M49" s="13" t="n">
        <f aca="false">M45+M48</f>
        <v>4.49785294028669</v>
      </c>
      <c r="N49" s="13" t="n">
        <f aca="false">N45+N48</f>
        <v>6.47861475020423</v>
      </c>
      <c r="O49" s="13" t="n">
        <f aca="false">O45+O48</f>
        <v>8.92946851269662</v>
      </c>
      <c r="P49" s="13" t="n">
        <f aca="false">P45+P48</f>
        <v>11.6506650487844</v>
      </c>
      <c r="Q49" s="13" t="n">
        <f aca="false">Q45+Q48</f>
        <v>14.7892635220766</v>
      </c>
      <c r="R49" s="13" t="n">
        <f aca="false">R45+R48</f>
        <v>17.917871709512</v>
      </c>
      <c r="S49" s="13" t="n">
        <f aca="false">S45+S48</f>
        <v>21.1033242241</v>
      </c>
      <c r="T49" s="13" t="n">
        <f aca="false">T45+T48</f>
        <v>24.0838704110741</v>
      </c>
      <c r="U49" s="13" t="n">
        <f aca="false">U45+U48</f>
        <v>26.9419102936674</v>
      </c>
      <c r="V49" s="13" t="n">
        <f aca="false">V45+V48</f>
        <v>29.4548527328869</v>
      </c>
      <c r="W49" s="13" t="n">
        <f aca="false">W45+W48</f>
        <v>31.5447914874064</v>
      </c>
      <c r="X49" s="13" t="n">
        <f aca="false">X45+X48</f>
        <v>33.2746156755343</v>
      </c>
      <c r="Y49" s="13" t="n">
        <f aca="false">Y45+Y48</f>
        <v>34.4266564144094</v>
      </c>
      <c r="Z49" s="13" t="n">
        <f aca="false">Z45+Z48</f>
        <v>35.148060482043</v>
      </c>
      <c r="AA49" s="13" t="n">
        <f aca="false">AA45+AA48</f>
        <v>36.4599801911614</v>
      </c>
      <c r="AB49" s="13" t="n">
        <f aca="false">AB45+AB48</f>
        <v>34.7780965705014</v>
      </c>
      <c r="AC49" s="13" t="n">
        <f aca="false">AC45+AC48</f>
        <v>33.9509620856245</v>
      </c>
      <c r="AD49" s="13" t="n">
        <f aca="false">AD45+AD48</f>
        <v>32.45448155468</v>
      </c>
      <c r="AE49" s="13" t="n">
        <f aca="false">AE45+AE48</f>
        <v>30.6202356151904</v>
      </c>
      <c r="AF49" s="13" t="n">
        <f aca="false">AF45+AF48</f>
        <v>28.2627314574347</v>
      </c>
      <c r="AG49" s="13" t="n">
        <f aca="false">AG45+AG48</f>
        <v>25.7102931469034</v>
      </c>
      <c r="AH49" s="13" t="n">
        <f aca="false">AH45+AH48</f>
        <v>22.8499170236184</v>
      </c>
      <c r="AI49" s="13" t="n">
        <f aca="false">AI45+AI48</f>
        <v>19.7778205428311</v>
      </c>
      <c r="AJ49" s="13" t="n">
        <f aca="false">AJ45+AJ48</f>
        <v>16.8122757762629</v>
      </c>
      <c r="AK49" s="13" t="n">
        <f aca="false">AK45+AK48</f>
        <v>13.7933279450844</v>
      </c>
      <c r="AL49" s="13" t="n">
        <f aca="false">AL45+AL48</f>
        <v>11.1324457770414</v>
      </c>
      <c r="AM49" s="13" t="n">
        <f aca="false">AM45+AM48</f>
        <v>8.74915861190612</v>
      </c>
      <c r="AN49" s="13" t="n">
        <f aca="false">AN45+AN48</f>
        <v>6.61793916571466</v>
      </c>
      <c r="AO49" s="13" t="n">
        <f aca="false">AO45+AO48</f>
        <v>5.52041006711315</v>
      </c>
      <c r="AP49" s="13" t="n">
        <f aca="false">AP45+AP48</f>
        <v>54.2341198811249</v>
      </c>
      <c r="AQ49" s="13" t="n">
        <f aca="false">AQ45+AQ48</f>
        <v>41.7987623960728</v>
      </c>
      <c r="AR49" s="13" t="n">
        <f aca="false">AR45+AR48</f>
        <v>3.70253171178649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2.49377870358185</v>
      </c>
      <c r="L50" s="13" t="n">
        <f aca="false">L47/$F$26</f>
        <v>3.18007879768654</v>
      </c>
      <c r="M50" s="13" t="n">
        <f aca="false">M47/$F$26</f>
        <v>4.49785294028669</v>
      </c>
      <c r="N50" s="13" t="n">
        <f aca="false">N47/$F$26</f>
        <v>6.47861475020423</v>
      </c>
      <c r="O50" s="13" t="n">
        <f aca="false">O47/$F$26</f>
        <v>8.92946851269662</v>
      </c>
      <c r="P50" s="13" t="n">
        <f aca="false">P47/$F$26</f>
        <v>11.6506650487844</v>
      </c>
      <c r="Q50" s="13" t="n">
        <f aca="false">Q47/$F$26</f>
        <v>14.7892635220766</v>
      </c>
      <c r="R50" s="13" t="n">
        <f aca="false">R47/$F$26</f>
        <v>17.917871709512</v>
      </c>
      <c r="S50" s="13" t="n">
        <f aca="false">S47/$F$26</f>
        <v>21.1033242241</v>
      </c>
      <c r="T50" s="13" t="n">
        <f aca="false">T47/$F$26</f>
        <v>24.0838704110741</v>
      </c>
      <c r="U50" s="13" t="n">
        <f aca="false">U47/$F$26</f>
        <v>26.9419102936674</v>
      </c>
      <c r="V50" s="13" t="n">
        <f aca="false">V47/$F$26</f>
        <v>29.4548527328869</v>
      </c>
      <c r="W50" s="13" t="n">
        <f aca="false">W47/$F$26</f>
        <v>31.5447914874064</v>
      </c>
      <c r="X50" s="13" t="n">
        <f aca="false">X47/$F$26</f>
        <v>33.2746156755343</v>
      </c>
      <c r="Y50" s="13" t="n">
        <f aca="false">Y47/$F$26</f>
        <v>34.4266564144094</v>
      </c>
      <c r="Z50" s="13" t="n">
        <f aca="false">Z47/$F$26</f>
        <v>35.148060482043</v>
      </c>
      <c r="AA50" s="13" t="n">
        <f aca="false">AA47/$F$26</f>
        <v>36.4599801911614</v>
      </c>
      <c r="AB50" s="13" t="n">
        <f aca="false">AB47/$F$26</f>
        <v>34.7780965705014</v>
      </c>
      <c r="AC50" s="13" t="n">
        <f aca="false">AC47/$F$26</f>
        <v>33.9509620856245</v>
      </c>
      <c r="AD50" s="13" t="n">
        <f aca="false">AD47/$F$26</f>
        <v>32.45448155468</v>
      </c>
      <c r="AE50" s="13" t="n">
        <f aca="false">AE47/$F$26</f>
        <v>30.6202356151904</v>
      </c>
      <c r="AF50" s="13" t="n">
        <f aca="false">AF47/$F$26</f>
        <v>28.2627314574347</v>
      </c>
      <c r="AG50" s="13" t="n">
        <f aca="false">AG47/$F$26</f>
        <v>25.7102931469034</v>
      </c>
      <c r="AH50" s="13" t="n">
        <f aca="false">AH47/$F$26</f>
        <v>22.8499170236184</v>
      </c>
      <c r="AI50" s="13" t="n">
        <f aca="false">AI47/$F$26</f>
        <v>19.7778205428311</v>
      </c>
      <c r="AJ50" s="13" t="n">
        <f aca="false">AJ47/$F$26</f>
        <v>16.8122757762629</v>
      </c>
      <c r="AK50" s="13" t="n">
        <f aca="false">AK47/$F$26</f>
        <v>13.7933279450844</v>
      </c>
      <c r="AL50" s="13" t="n">
        <f aca="false">AL47/$F$26</f>
        <v>11.1324457770414</v>
      </c>
      <c r="AM50" s="13" t="n">
        <f aca="false">AM47/$F$26</f>
        <v>8.74915861190612</v>
      </c>
      <c r="AN50" s="13" t="n">
        <f aca="false">AN47/$F$26</f>
        <v>6.61793916571466</v>
      </c>
      <c r="AO50" s="13" t="n">
        <f aca="false">AO47/$F$26</f>
        <v>5.52041006711315</v>
      </c>
      <c r="AP50" s="13" t="n">
        <f aca="false">AP47/$F$26</f>
        <v>54.2341198811249</v>
      </c>
      <c r="AQ50" s="13" t="n">
        <f aca="false">AQ47/$F$26</f>
        <v>41.7987623960728</v>
      </c>
      <c r="AR50" s="13" t="n">
        <f aca="false">AR47/$F$26</f>
        <v>3.59102007789384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0.111511633892649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0.0836337254194869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0.0836337254194869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0.0278779084731623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0.0278779084731623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0.55150135187052</v>
      </c>
      <c r="L57" s="13" t="n">
        <f aca="false">Inputs!$F$75*L47</f>
        <v>0.703277220813488</v>
      </c>
      <c r="M57" s="13" t="n">
        <f aca="false">Inputs!$F$75*M47</f>
        <v>0.994704130530917</v>
      </c>
      <c r="N57" s="13" t="n">
        <f aca="false">Inputs!$F$75*N47</f>
        <v>1.43275134551996</v>
      </c>
      <c r="O57" s="13" t="n">
        <f aca="false">Inputs!$F$75*O47</f>
        <v>1.97475980894541</v>
      </c>
      <c r="P57" s="13" t="n">
        <f aca="false">Inputs!$F$75*P47</f>
        <v>2.57655481433311</v>
      </c>
      <c r="Q57" s="13" t="n">
        <f aca="false">Inputs!$F$75*Q47</f>
        <v>3.27065862495322</v>
      </c>
      <c r="R57" s="13" t="n">
        <f aca="false">Inputs!$F$75*R47</f>
        <v>3.96255307507645</v>
      </c>
      <c r="S57" s="13" t="n">
        <f aca="false">Inputs!$F$75*S47</f>
        <v>4.66701869810521</v>
      </c>
      <c r="T57" s="13" t="n">
        <f aca="false">Inputs!$F$75*T47</f>
        <v>5.32616910670712</v>
      </c>
      <c r="U57" s="13" t="n">
        <f aca="false">Inputs!$F$75*U47</f>
        <v>5.95822713843468</v>
      </c>
      <c r="V57" s="13" t="n">
        <f aca="false">Inputs!$F$75*V47</f>
        <v>6.51396656728288</v>
      </c>
      <c r="W57" s="13" t="n">
        <f aca="false">Inputs!$F$75*W47</f>
        <v>6.97615835951714</v>
      </c>
      <c r="X57" s="13" t="n">
        <f aca="false">Inputs!$F$75*X47</f>
        <v>7.35871049891932</v>
      </c>
      <c r="Y57" s="13" t="n">
        <f aca="false">Inputs!$F$75*Y47</f>
        <v>7.61348532075374</v>
      </c>
      <c r="Z57" s="13" t="n">
        <f aca="false">Inputs!$F$75*Z47</f>
        <v>7.77302446429258</v>
      </c>
      <c r="AA57" s="13" t="n">
        <f aca="false">Inputs!$F$75*AA47</f>
        <v>8.06315666090054</v>
      </c>
      <c r="AB57" s="13" t="n">
        <f aca="false">Inputs!$F$75*AB47</f>
        <v>7.69120662012483</v>
      </c>
      <c r="AC57" s="13" t="n">
        <f aca="false">Inputs!$F$75*AC47</f>
        <v>7.50828510189501</v>
      </c>
      <c r="AD57" s="13" t="n">
        <f aca="false">Inputs!$F$75*AD47</f>
        <v>7.17733711734515</v>
      </c>
      <c r="AE57" s="13" t="n">
        <f aca="false">Inputs!$F$75*AE47</f>
        <v>6.77169201586179</v>
      </c>
      <c r="AF57" s="13" t="n">
        <f aca="false">Inputs!$F$75*AF47</f>
        <v>6.250327899561</v>
      </c>
      <c r="AG57" s="13" t="n">
        <f aca="false">Inputs!$F$75*AG47</f>
        <v>5.68585392406259</v>
      </c>
      <c r="AH57" s="13" t="n">
        <f aca="false">Inputs!$F$75*AH47</f>
        <v>5.05327923065293</v>
      </c>
      <c r="AI57" s="13" t="n">
        <f aca="false">Inputs!$F$75*AI47</f>
        <v>4.37388239411833</v>
      </c>
      <c r="AJ57" s="13" t="n">
        <f aca="false">Inputs!$F$75*AJ47</f>
        <v>3.71804956282266</v>
      </c>
      <c r="AK57" s="13" t="n">
        <f aca="false">Inputs!$F$75*AK47</f>
        <v>3.05040659685697</v>
      </c>
      <c r="AL57" s="13" t="n">
        <f aca="false">Inputs!$F$75*AL47</f>
        <v>2.46195016696761</v>
      </c>
      <c r="AM57" s="13" t="n">
        <f aca="false">Inputs!$F$75*AM47</f>
        <v>1.93488411592631</v>
      </c>
      <c r="AN57" s="13" t="n">
        <f aca="false">Inputs!$F$75*AN47</f>
        <v>1.46356306245066</v>
      </c>
      <c r="AO57" s="13" t="n">
        <f aca="false">Inputs!$F$75*AO47</f>
        <v>1.22084353776847</v>
      </c>
      <c r="AP57" s="13" t="n">
        <f aca="false">Inputs!$F$75*AP47</f>
        <v>11.9939232735398</v>
      </c>
      <c r="AQ57" s="13" t="n">
        <f aca="false">Inputs!$F$75*AQ47</f>
        <v>9.24383303732556</v>
      </c>
      <c r="AR57" s="13" t="n">
        <f aca="false">Inputs!$F$75*AR47</f>
        <v>0.794157246073232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0.404434324705048</v>
      </c>
      <c r="L58" s="13" t="n">
        <f aca="false">Inputs!$F$76*L47</f>
        <v>0.515736628596558</v>
      </c>
      <c r="M58" s="13" t="n">
        <f aca="false">Inputs!$F$76*M47</f>
        <v>0.729449695722673</v>
      </c>
      <c r="N58" s="13" t="n">
        <f aca="false">Inputs!$F$76*N47</f>
        <v>1.05068432004797</v>
      </c>
      <c r="O58" s="13" t="n">
        <f aca="false">Inputs!$F$76*O47</f>
        <v>1.44815719322664</v>
      </c>
      <c r="P58" s="13" t="n">
        <f aca="false">Inputs!$F$76*P47</f>
        <v>1.88947353051095</v>
      </c>
      <c r="Q58" s="13" t="n">
        <f aca="false">Inputs!$F$76*Q47</f>
        <v>2.39848299163236</v>
      </c>
      <c r="R58" s="13" t="n">
        <f aca="false">Inputs!$F$76*R47</f>
        <v>2.90587225505606</v>
      </c>
      <c r="S58" s="13" t="n">
        <f aca="false">Inputs!$F$76*S47</f>
        <v>3.42248037861049</v>
      </c>
      <c r="T58" s="13" t="n">
        <f aca="false">Inputs!$F$76*T47</f>
        <v>3.90585734491855</v>
      </c>
      <c r="U58" s="13" t="n">
        <f aca="false">Inputs!$F$76*U47</f>
        <v>4.36936656818543</v>
      </c>
      <c r="V58" s="13" t="n">
        <f aca="false">Inputs!$F$76*V47</f>
        <v>4.77690881600745</v>
      </c>
      <c r="W58" s="13" t="n">
        <f aca="false">Inputs!$F$76*W47</f>
        <v>5.1158494636459</v>
      </c>
      <c r="X58" s="13" t="n">
        <f aca="false">Inputs!$F$76*X47</f>
        <v>5.3963876992075</v>
      </c>
      <c r="Y58" s="13" t="n">
        <f aca="false">Inputs!$F$76*Y47</f>
        <v>5.58322256855274</v>
      </c>
      <c r="Z58" s="13" t="n">
        <f aca="false">Inputs!$F$76*Z47</f>
        <v>5.70021794048122</v>
      </c>
      <c r="AA58" s="13" t="n">
        <f aca="false">Inputs!$F$76*AA47</f>
        <v>5.91298155132706</v>
      </c>
      <c r="AB58" s="13" t="n">
        <f aca="false">Inputs!$F$76*AB47</f>
        <v>5.64021818809154</v>
      </c>
      <c r="AC58" s="13" t="n">
        <f aca="false">Inputs!$F$76*AC47</f>
        <v>5.50607574138968</v>
      </c>
      <c r="AD58" s="13" t="n">
        <f aca="false">Inputs!$F$76*AD47</f>
        <v>5.26338055271978</v>
      </c>
      <c r="AE58" s="13" t="n">
        <f aca="false">Inputs!$F$76*AE47</f>
        <v>4.96590747829865</v>
      </c>
      <c r="AF58" s="13" t="n">
        <f aca="false">Inputs!$F$76*AF47</f>
        <v>4.5835737930114</v>
      </c>
      <c r="AG58" s="13" t="n">
        <f aca="false">Inputs!$F$76*AG47</f>
        <v>4.16962621097924</v>
      </c>
      <c r="AH58" s="13" t="n">
        <f aca="false">Inputs!$F$76*AH47</f>
        <v>3.70573810247881</v>
      </c>
      <c r="AI58" s="13" t="n">
        <f aca="false">Inputs!$F$76*AI47</f>
        <v>3.20751375568677</v>
      </c>
      <c r="AJ58" s="13" t="n">
        <f aca="false">Inputs!$F$76*AJ47</f>
        <v>2.72656967940329</v>
      </c>
      <c r="AK58" s="13" t="n">
        <f aca="false">Inputs!$F$76*AK47</f>
        <v>2.23696483769511</v>
      </c>
      <c r="AL58" s="13" t="n">
        <f aca="false">Inputs!$F$76*AL47</f>
        <v>1.80543012244291</v>
      </c>
      <c r="AM58" s="13" t="n">
        <f aca="false">Inputs!$F$76*AM47</f>
        <v>1.41891501834596</v>
      </c>
      <c r="AN58" s="13" t="n">
        <f aca="false">Inputs!$F$76*AN47</f>
        <v>1.07327957913049</v>
      </c>
      <c r="AO58" s="13" t="n">
        <f aca="false">Inputs!$F$76*AO47</f>
        <v>0.895285261030211</v>
      </c>
      <c r="AP58" s="13" t="n">
        <f aca="false">Inputs!$F$76*AP47</f>
        <v>8.79554373392919</v>
      </c>
      <c r="AQ58" s="13" t="n">
        <f aca="false">Inputs!$F$76*AQ47</f>
        <v>6.77881089403875</v>
      </c>
      <c r="AR58" s="13" t="n">
        <f aca="false">Inputs!$F$76*AR47</f>
        <v>0.582381980453703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0.18383378395684</v>
      </c>
      <c r="L59" s="13" t="n">
        <f aca="false">Inputs!$F$77*L47</f>
        <v>0.234425740271163</v>
      </c>
      <c r="M59" s="13" t="n">
        <f aca="false">Inputs!$F$77*M47</f>
        <v>0.331568043510306</v>
      </c>
      <c r="N59" s="13" t="n">
        <f aca="false">Inputs!$F$77*N47</f>
        <v>0.477583781839988</v>
      </c>
      <c r="O59" s="13" t="n">
        <f aca="false">Inputs!$F$77*O47</f>
        <v>0.658253269648471</v>
      </c>
      <c r="P59" s="13" t="n">
        <f aca="false">Inputs!$F$77*P47</f>
        <v>0.858851604777703</v>
      </c>
      <c r="Q59" s="13" t="n">
        <f aca="false">Inputs!$F$77*Q47</f>
        <v>1.09021954165107</v>
      </c>
      <c r="R59" s="13" t="n">
        <f aca="false">Inputs!$F$77*R47</f>
        <v>1.32085102502548</v>
      </c>
      <c r="S59" s="13" t="n">
        <f aca="false">Inputs!$F$77*S47</f>
        <v>1.5556728993684</v>
      </c>
      <c r="T59" s="13" t="n">
        <f aca="false">Inputs!$F$77*T47</f>
        <v>1.77538970223571</v>
      </c>
      <c r="U59" s="13" t="n">
        <f aca="false">Inputs!$F$77*U47</f>
        <v>1.98607571281156</v>
      </c>
      <c r="V59" s="13" t="n">
        <f aca="false">Inputs!$F$77*V47</f>
        <v>2.17132218909429</v>
      </c>
      <c r="W59" s="13" t="n">
        <f aca="false">Inputs!$F$77*W47</f>
        <v>2.32538611983905</v>
      </c>
      <c r="X59" s="13" t="n">
        <f aca="false">Inputs!$F$77*X47</f>
        <v>2.45290349963977</v>
      </c>
      <c r="Y59" s="13" t="n">
        <f aca="false">Inputs!$F$77*Y47</f>
        <v>2.53782844025125</v>
      </c>
      <c r="Z59" s="13" t="n">
        <f aca="false">Inputs!$F$77*Z47</f>
        <v>2.59100815476419</v>
      </c>
      <c r="AA59" s="13" t="n">
        <f aca="false">Inputs!$F$77*AA47</f>
        <v>2.68771888696685</v>
      </c>
      <c r="AB59" s="13" t="n">
        <f aca="false">Inputs!$F$77*AB47</f>
        <v>2.56373554004161</v>
      </c>
      <c r="AC59" s="13" t="n">
        <f aca="false">Inputs!$F$77*AC47</f>
        <v>2.50276170063167</v>
      </c>
      <c r="AD59" s="13" t="n">
        <f aca="false">Inputs!$F$77*AD47</f>
        <v>2.39244570578172</v>
      </c>
      <c r="AE59" s="13" t="n">
        <f aca="false">Inputs!$F$77*AE47</f>
        <v>2.25723067195393</v>
      </c>
      <c r="AF59" s="13" t="n">
        <f aca="false">Inputs!$F$77*AF47</f>
        <v>2.083442633187</v>
      </c>
      <c r="AG59" s="13" t="n">
        <f aca="false">Inputs!$F$77*AG47</f>
        <v>1.8952846413542</v>
      </c>
      <c r="AH59" s="13" t="n">
        <f aca="false">Inputs!$F$77*AH47</f>
        <v>1.68442641021764</v>
      </c>
      <c r="AI59" s="13" t="n">
        <f aca="false">Inputs!$F$77*AI47</f>
        <v>1.45796079803944</v>
      </c>
      <c r="AJ59" s="13" t="n">
        <f aca="false">Inputs!$F$77*AJ47</f>
        <v>1.23934985427422</v>
      </c>
      <c r="AK59" s="13" t="n">
        <f aca="false">Inputs!$F$77*AK47</f>
        <v>1.01680219895232</v>
      </c>
      <c r="AL59" s="13" t="n">
        <f aca="false">Inputs!$F$77*AL47</f>
        <v>0.82065005565587</v>
      </c>
      <c r="AM59" s="13" t="n">
        <f aca="false">Inputs!$F$77*AM47</f>
        <v>0.644961371975437</v>
      </c>
      <c r="AN59" s="13" t="n">
        <f aca="false">Inputs!$F$77*AN47</f>
        <v>0.487854354150222</v>
      </c>
      <c r="AO59" s="13" t="n">
        <f aca="false">Inputs!$F$77*AO47</f>
        <v>0.406947845922823</v>
      </c>
      <c r="AP59" s="13" t="n">
        <f aca="false">Inputs!$F$77*AP47</f>
        <v>3.99797442451327</v>
      </c>
      <c r="AQ59" s="13" t="n">
        <f aca="false">Inputs!$F$77*AQ47</f>
        <v>3.08127767910852</v>
      </c>
      <c r="AR59" s="13" t="n">
        <f aca="false">Inputs!$F$77*AR47</f>
        <v>0.264719082024411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0.698568379035992</v>
      </c>
      <c r="L60" s="13" t="n">
        <f aca="false">Inputs!$F$78*L47</f>
        <v>0.890817813030419</v>
      </c>
      <c r="M60" s="13" t="n">
        <f aca="false">Inputs!$F$78*M47</f>
        <v>1.25995856533916</v>
      </c>
      <c r="N60" s="13" t="n">
        <f aca="false">Inputs!$F$78*N47</f>
        <v>1.81481837099196</v>
      </c>
      <c r="O60" s="13" t="n">
        <f aca="false">Inputs!$F$78*O47</f>
        <v>2.50136242466419</v>
      </c>
      <c r="P60" s="13" t="n">
        <f aca="false">Inputs!$F$78*P47</f>
        <v>3.26363609815527</v>
      </c>
      <c r="Q60" s="13" t="n">
        <f aca="false">Inputs!$F$78*Q47</f>
        <v>4.14283425827408</v>
      </c>
      <c r="R60" s="13" t="n">
        <f aca="false">Inputs!$F$78*R47</f>
        <v>5.01923389509684</v>
      </c>
      <c r="S60" s="13" t="n">
        <f aca="false">Inputs!$F$78*S47</f>
        <v>5.91155701759994</v>
      </c>
      <c r="T60" s="13" t="n">
        <f aca="false">Inputs!$F$78*T47</f>
        <v>6.74648086849568</v>
      </c>
      <c r="U60" s="13" t="n">
        <f aca="false">Inputs!$F$78*U47</f>
        <v>7.54708770868393</v>
      </c>
      <c r="V60" s="13" t="n">
        <f aca="false">Inputs!$F$78*V47</f>
        <v>8.25102431855832</v>
      </c>
      <c r="W60" s="13" t="n">
        <f aca="false">Inputs!$F$78*W47</f>
        <v>8.83646725538837</v>
      </c>
      <c r="X60" s="13" t="n">
        <f aca="false">Inputs!$F$78*X47</f>
        <v>9.32103329863113</v>
      </c>
      <c r="Y60" s="13" t="n">
        <f aca="false">Inputs!$F$78*Y47</f>
        <v>9.64374807295474</v>
      </c>
      <c r="Z60" s="13" t="n">
        <f aca="false">Inputs!$F$78*Z47</f>
        <v>9.84583098810393</v>
      </c>
      <c r="AA60" s="13" t="n">
        <f aca="false">Inputs!$F$78*AA47</f>
        <v>10.213331770474</v>
      </c>
      <c r="AB60" s="13" t="n">
        <f aca="false">Inputs!$F$78*AB47</f>
        <v>9.74219505215812</v>
      </c>
      <c r="AC60" s="13" t="n">
        <f aca="false">Inputs!$F$78*AC47</f>
        <v>9.51049446240035</v>
      </c>
      <c r="AD60" s="13" t="n">
        <f aca="false">Inputs!$F$78*AD47</f>
        <v>9.09129368197052</v>
      </c>
      <c r="AE60" s="13" t="n">
        <f aca="false">Inputs!$F$78*AE47</f>
        <v>8.57747655342493</v>
      </c>
      <c r="AF60" s="13" t="n">
        <f aca="false">Inputs!$F$78*AF47</f>
        <v>7.91708200611061</v>
      </c>
      <c r="AG60" s="13" t="n">
        <f aca="false">Inputs!$F$78*AG47</f>
        <v>7.20208163714595</v>
      </c>
      <c r="AH60" s="13" t="n">
        <f aca="false">Inputs!$F$78*AH47</f>
        <v>6.40082035882704</v>
      </c>
      <c r="AI60" s="13" t="n">
        <f aca="false">Inputs!$F$78*AI47</f>
        <v>5.54025103254988</v>
      </c>
      <c r="AJ60" s="13" t="n">
        <f aca="false">Inputs!$F$78*AJ47</f>
        <v>4.70952944624204</v>
      </c>
      <c r="AK60" s="13" t="n">
        <f aca="false">Inputs!$F$78*AK47</f>
        <v>3.86384835601882</v>
      </c>
      <c r="AL60" s="13" t="n">
        <f aca="false">Inputs!$F$78*AL47</f>
        <v>3.11847021149231</v>
      </c>
      <c r="AM60" s="13" t="n">
        <f aca="false">Inputs!$F$78*AM47</f>
        <v>2.45085321350666</v>
      </c>
      <c r="AN60" s="13" t="n">
        <f aca="false">Inputs!$F$78*AN47</f>
        <v>1.85384654577084</v>
      </c>
      <c r="AO60" s="13" t="n">
        <f aca="false">Inputs!$F$78*AO47</f>
        <v>1.54640181450673</v>
      </c>
      <c r="AP60" s="13" t="n">
        <f aca="false">Inputs!$F$78*AP47</f>
        <v>15.1923028131504</v>
      </c>
      <c r="AQ60" s="13" t="n">
        <f aca="false">Inputs!$F$78*AQ47</f>
        <v>11.7088551806124</v>
      </c>
      <c r="AR60" s="13" t="n">
        <f aca="false">Inputs!$F$78*AR47</f>
        <v>1.00593251169276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27.4262516950913</v>
      </c>
      <c r="L61" s="13" t="n">
        <f aca="false">L28+L57</f>
        <v>28.1295289159048</v>
      </c>
      <c r="M61" s="13" t="n">
        <f aca="false">M28+M57</f>
        <v>29.1242330464357</v>
      </c>
      <c r="N61" s="13" t="n">
        <f aca="false">N28+N57</f>
        <v>30.5569843919557</v>
      </c>
      <c r="O61" s="13" t="n">
        <f aca="false">O28+O57</f>
        <v>32.5317442009011</v>
      </c>
      <c r="P61" s="13" t="n">
        <f aca="false">P28+P57</f>
        <v>35.1082990152342</v>
      </c>
      <c r="Q61" s="13" t="n">
        <f aca="false">Q28+Q57</f>
        <v>38.3789576401874</v>
      </c>
      <c r="R61" s="13" t="n">
        <f aca="false">R28+R57</f>
        <v>42.3415107152639</v>
      </c>
      <c r="S61" s="13" t="n">
        <f aca="false">S28+S57</f>
        <v>47.0085294133691</v>
      </c>
      <c r="T61" s="13" t="n">
        <f aca="false">T28+T57</f>
        <v>52.3346985200762</v>
      </c>
      <c r="U61" s="13" t="n">
        <f aca="false">U28+U57</f>
        <v>58.2929256585109</v>
      </c>
      <c r="V61" s="13" t="n">
        <f aca="false">V28+V57</f>
        <v>64.8068922257938</v>
      </c>
      <c r="W61" s="13" t="n">
        <f aca="false">W28+W57</f>
        <v>71.7830505853109</v>
      </c>
      <c r="X61" s="13" t="n">
        <f aca="false">X28+X57</f>
        <v>79.1417610842302</v>
      </c>
      <c r="Y61" s="13" t="n">
        <f aca="false">Y28+Y57</f>
        <v>86.755246404984</v>
      </c>
      <c r="Z61" s="13" t="n">
        <f aca="false">Z28+Z57</f>
        <v>94.5282708692765</v>
      </c>
      <c r="AA61" s="13" t="n">
        <f aca="false">AA28+AA57</f>
        <v>102.591427530177</v>
      </c>
      <c r="AB61" s="13" t="n">
        <f aca="false">AB28+AB57</f>
        <v>110.282634150302</v>
      </c>
      <c r="AC61" s="13" t="n">
        <f aca="false">AC28+AC57</f>
        <v>117.790919252197</v>
      </c>
      <c r="AD61" s="13" t="n">
        <f aca="false">AD28+AD57</f>
        <v>124.968256369542</v>
      </c>
      <c r="AE61" s="13" t="n">
        <f aca="false">AE28+AE57</f>
        <v>131.739948385404</v>
      </c>
      <c r="AF61" s="13" t="n">
        <f aca="false">AF28+AF57</f>
        <v>137.990276284965</v>
      </c>
      <c r="AG61" s="13" t="n">
        <f aca="false">AG28+AG57</f>
        <v>143.676130209027</v>
      </c>
      <c r="AH61" s="13" t="n">
        <f aca="false">AH28+AH57</f>
        <v>148.72940943968</v>
      </c>
      <c r="AI61" s="13" t="n">
        <f aca="false">AI28+AI57</f>
        <v>153.103291833799</v>
      </c>
      <c r="AJ61" s="13" t="n">
        <f aca="false">AJ28+AJ57</f>
        <v>156.821341396621</v>
      </c>
      <c r="AK61" s="13" t="n">
        <f aca="false">AK28+AK57</f>
        <v>159.871747993478</v>
      </c>
      <c r="AL61" s="13" t="n">
        <f aca="false">AL28+AL57</f>
        <v>162.333698160446</v>
      </c>
      <c r="AM61" s="13" t="n">
        <f aca="false">AM28+AM57</f>
        <v>164.268582276372</v>
      </c>
      <c r="AN61" s="13" t="n">
        <f aca="false">AN28+AN57</f>
        <v>165.732145338823</v>
      </c>
      <c r="AO61" s="13" t="n">
        <f aca="false">AO28+AO57</f>
        <v>166.952988876591</v>
      </c>
      <c r="AP61" s="13" t="n">
        <f aca="false">AP28+AP57</f>
        <v>178.946912150131</v>
      </c>
      <c r="AQ61" s="13" t="n">
        <f aca="false">AQ28+AQ57</f>
        <v>188.190745187457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20.1125845764003</v>
      </c>
      <c r="L62" s="13" t="n">
        <f aca="false">L29+L58</f>
        <v>20.6283212049969</v>
      </c>
      <c r="M62" s="13" t="n">
        <f aca="false">M29+M58</f>
        <v>21.3577709007195</v>
      </c>
      <c r="N62" s="13" t="n">
        <f aca="false">N29+N58</f>
        <v>22.4084552207675</v>
      </c>
      <c r="O62" s="13" t="n">
        <f aca="false">O29+O58</f>
        <v>23.8566124139942</v>
      </c>
      <c r="P62" s="13" t="n">
        <f aca="false">P29+P58</f>
        <v>25.7460859445051</v>
      </c>
      <c r="Q62" s="13" t="n">
        <f aca="false">Q29+Q58</f>
        <v>28.1445689361375</v>
      </c>
      <c r="R62" s="13" t="n">
        <f aca="false">R29+R58</f>
        <v>31.0504411911935</v>
      </c>
      <c r="S62" s="13" t="n">
        <f aca="false">S29+S58</f>
        <v>34.472921569804</v>
      </c>
      <c r="T62" s="13" t="n">
        <f aca="false">T29+T58</f>
        <v>38.3787789147226</v>
      </c>
      <c r="U62" s="13" t="n">
        <f aca="false">U29+U58</f>
        <v>42.748145482908</v>
      </c>
      <c r="V62" s="13" t="n">
        <f aca="false">V29+V58</f>
        <v>47.5250542989154</v>
      </c>
      <c r="W62" s="13" t="n">
        <f aca="false">W29+W58</f>
        <v>52.6409037625613</v>
      </c>
      <c r="X62" s="13" t="n">
        <f aca="false">X29+X58</f>
        <v>58.0372914617688</v>
      </c>
      <c r="Y62" s="13" t="n">
        <f aca="false">Y29+Y58</f>
        <v>63.6205140303216</v>
      </c>
      <c r="Z62" s="13" t="n">
        <f aca="false">Z29+Z58</f>
        <v>69.3207319708028</v>
      </c>
      <c r="AA62" s="13" t="n">
        <f aca="false">AA29+AA58</f>
        <v>75.2337135221299</v>
      </c>
      <c r="AB62" s="13" t="n">
        <f aca="false">AB29+AB58</f>
        <v>80.8739317102214</v>
      </c>
      <c r="AC62" s="13" t="n">
        <f aca="false">AC29+AC58</f>
        <v>86.3800074516111</v>
      </c>
      <c r="AD62" s="13" t="n">
        <f aca="false">AD29+AD58</f>
        <v>91.6433880043309</v>
      </c>
      <c r="AE62" s="13" t="n">
        <f aca="false">AE29+AE58</f>
        <v>96.6092954826295</v>
      </c>
      <c r="AF62" s="13" t="n">
        <f aca="false">AF29+AF58</f>
        <v>101.192869275641</v>
      </c>
      <c r="AG62" s="13" t="n">
        <f aca="false">AG29+AG58</f>
        <v>105.36249548662</v>
      </c>
      <c r="AH62" s="13" t="n">
        <f aca="false">AH29+AH58</f>
        <v>109.068233589099</v>
      </c>
      <c r="AI62" s="13" t="n">
        <f aca="false">AI29+AI58</f>
        <v>112.275747344786</v>
      </c>
      <c r="AJ62" s="13" t="n">
        <f aca="false">AJ29+AJ58</f>
        <v>115.002317024189</v>
      </c>
      <c r="AK62" s="13" t="n">
        <f aca="false">AK29+AK58</f>
        <v>117.239281861884</v>
      </c>
      <c r="AL62" s="13" t="n">
        <f aca="false">AL29+AL58</f>
        <v>119.044711984327</v>
      </c>
      <c r="AM62" s="13" t="n">
        <f aca="false">AM29+AM58</f>
        <v>120.463627002673</v>
      </c>
      <c r="AN62" s="13" t="n">
        <f aca="false">AN29+AN58</f>
        <v>121.536906581803</v>
      </c>
      <c r="AO62" s="13" t="n">
        <f aca="false">AO29+AO58</f>
        <v>122.432191842834</v>
      </c>
      <c r="AP62" s="13" t="n">
        <f aca="false">AP29+AP58</f>
        <v>131.227735576763</v>
      </c>
      <c r="AQ62" s="13" t="n">
        <f aca="false">AQ29+AQ58</f>
        <v>138.006546470802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9.14208389836378</v>
      </c>
      <c r="L63" s="13" t="n">
        <f aca="false">L30+L59</f>
        <v>9.37650963863494</v>
      </c>
      <c r="M63" s="13" t="n">
        <f aca="false">M30+M59</f>
        <v>9.70807768214525</v>
      </c>
      <c r="N63" s="13" t="n">
        <f aca="false">N30+N59</f>
        <v>10.1856614639852</v>
      </c>
      <c r="O63" s="13" t="n">
        <f aca="false">O30+O59</f>
        <v>10.8439147336337</v>
      </c>
      <c r="P63" s="13" t="n">
        <f aca="false">P30+P59</f>
        <v>11.7027663384114</v>
      </c>
      <c r="Q63" s="13" t="n">
        <f aca="false">Q30+Q59</f>
        <v>12.7929858800625</v>
      </c>
      <c r="R63" s="13" t="n">
        <f aca="false">R30+R59</f>
        <v>14.113836905088</v>
      </c>
      <c r="S63" s="13" t="n">
        <f aca="false">S30+S59</f>
        <v>15.6695098044564</v>
      </c>
      <c r="T63" s="13" t="n">
        <f aca="false">T30+T59</f>
        <v>17.4448995066921</v>
      </c>
      <c r="U63" s="13" t="n">
        <f aca="false">U30+U59</f>
        <v>19.4309752195036</v>
      </c>
      <c r="V63" s="13" t="n">
        <f aca="false">V30+V59</f>
        <v>21.6022974085979</v>
      </c>
      <c r="W63" s="13" t="n">
        <f aca="false">W30+W59</f>
        <v>23.927683528437</v>
      </c>
      <c r="X63" s="13" t="n">
        <f aca="false">X30+X59</f>
        <v>26.3805870280767</v>
      </c>
      <c r="Y63" s="13" t="n">
        <f aca="false">Y30+Y59</f>
        <v>28.918415468328</v>
      </c>
      <c r="Z63" s="13" t="n">
        <f aca="false">Z30+Z59</f>
        <v>31.5094236230922</v>
      </c>
      <c r="AA63" s="13" t="n">
        <f aca="false">AA30+AA59</f>
        <v>34.197142510059</v>
      </c>
      <c r="AB63" s="13" t="n">
        <f aca="false">AB30+AB59</f>
        <v>36.7608780501006</v>
      </c>
      <c r="AC63" s="13" t="n">
        <f aca="false">AC30+AC59</f>
        <v>39.2636397507323</v>
      </c>
      <c r="AD63" s="13" t="n">
        <f aca="false">AD30+AD59</f>
        <v>41.656085456514</v>
      </c>
      <c r="AE63" s="13" t="n">
        <f aca="false">AE30+AE59</f>
        <v>43.913316128468</v>
      </c>
      <c r="AF63" s="13" t="n">
        <f aca="false">AF30+AF59</f>
        <v>45.996758761655</v>
      </c>
      <c r="AG63" s="13" t="n">
        <f aca="false">AG30+AG59</f>
        <v>47.8920434030092</v>
      </c>
      <c r="AH63" s="13" t="n">
        <f aca="false">AH30+AH59</f>
        <v>49.5764698132268</v>
      </c>
      <c r="AI63" s="13" t="n">
        <f aca="false">AI30+AI59</f>
        <v>51.0344306112662</v>
      </c>
      <c r="AJ63" s="13" t="n">
        <f aca="false">AJ30+AJ59</f>
        <v>52.2737804655405</v>
      </c>
      <c r="AK63" s="13" t="n">
        <f aca="false">AK30+AK59</f>
        <v>53.2905826644928</v>
      </c>
      <c r="AL63" s="13" t="n">
        <f aca="false">AL30+AL59</f>
        <v>54.1112327201487</v>
      </c>
      <c r="AM63" s="13" t="n">
        <f aca="false">AM30+AM59</f>
        <v>54.7561940921241</v>
      </c>
      <c r="AN63" s="13" t="n">
        <f aca="false">AN30+AN59</f>
        <v>55.2440484462743</v>
      </c>
      <c r="AO63" s="13" t="n">
        <f aca="false">AO30+AO59</f>
        <v>55.6509962921971</v>
      </c>
      <c r="AP63" s="13" t="n">
        <f aca="false">AP30+AP59</f>
        <v>59.6489707167104</v>
      </c>
      <c r="AQ63" s="13" t="n">
        <f aca="false">AQ30+AQ59</f>
        <v>62.7302483958189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34.7399188137824</v>
      </c>
      <c r="L64" s="13" t="n">
        <f aca="false">L31+L60</f>
        <v>35.6307366268128</v>
      </c>
      <c r="M64" s="13" t="n">
        <f aca="false">M31+M60</f>
        <v>36.8906951921519</v>
      </c>
      <c r="N64" s="13" t="n">
        <f aca="false">N31+N60</f>
        <v>38.7055135631439</v>
      </c>
      <c r="O64" s="13" t="n">
        <f aca="false">O31+O60</f>
        <v>41.2068759878081</v>
      </c>
      <c r="P64" s="13" t="n">
        <f aca="false">P31+P60</f>
        <v>44.4705120859634</v>
      </c>
      <c r="Q64" s="13" t="n">
        <f aca="false">Q31+Q60</f>
        <v>48.6133463442374</v>
      </c>
      <c r="R64" s="13" t="n">
        <f aca="false">R31+R60</f>
        <v>53.6325802393343</v>
      </c>
      <c r="S64" s="13" t="n">
        <f aca="false">S31+S60</f>
        <v>59.5441372569342</v>
      </c>
      <c r="T64" s="13" t="n">
        <f aca="false">T31+T60</f>
        <v>66.2906181254299</v>
      </c>
      <c r="U64" s="13" t="n">
        <f aca="false">U31+U60</f>
        <v>73.8377058341138</v>
      </c>
      <c r="V64" s="13" t="n">
        <f aca="false">V31+V60</f>
        <v>82.0887301526721</v>
      </c>
      <c r="W64" s="13" t="n">
        <f aca="false">W31+W60</f>
        <v>90.9251974080605</v>
      </c>
      <c r="X64" s="13" t="n">
        <f aca="false">X31+X60</f>
        <v>100.246230706692</v>
      </c>
      <c r="Y64" s="13" t="n">
        <f aca="false">Y31+Y60</f>
        <v>109.889978779646</v>
      </c>
      <c r="Z64" s="13" t="n">
        <f aca="false">Z31+Z60</f>
        <v>119.73580976775</v>
      </c>
      <c r="AA64" s="13" t="n">
        <f aca="false">AA31+AA60</f>
        <v>129.949141538224</v>
      </c>
      <c r="AB64" s="13" t="n">
        <f aca="false">AB31+AB60</f>
        <v>139.691336590382</v>
      </c>
      <c r="AC64" s="13" t="n">
        <f aca="false">AC31+AC60</f>
        <v>149.201831052783</v>
      </c>
      <c r="AD64" s="13" t="n">
        <f aca="false">AD31+AD60</f>
        <v>158.293124734753</v>
      </c>
      <c r="AE64" s="13" t="n">
        <f aca="false">AE31+AE60</f>
        <v>166.870601288178</v>
      </c>
      <c r="AF64" s="13" t="n">
        <f aca="false">AF31+AF60</f>
        <v>174.787683294289</v>
      </c>
      <c r="AG64" s="13" t="n">
        <f aca="false">AG31+AG60</f>
        <v>181.989764931435</v>
      </c>
      <c r="AH64" s="13" t="n">
        <f aca="false">AH31+AH60</f>
        <v>188.390585290262</v>
      </c>
      <c r="AI64" s="13" t="n">
        <f aca="false">AI31+AI60</f>
        <v>193.930836322812</v>
      </c>
      <c r="AJ64" s="13" t="n">
        <f aca="false">AJ31+AJ60</f>
        <v>198.640365769054</v>
      </c>
      <c r="AK64" s="13" t="n">
        <f aca="false">AK31+AK60</f>
        <v>202.504214125073</v>
      </c>
      <c r="AL64" s="13" t="n">
        <f aca="false">AL31+AL60</f>
        <v>205.622684336565</v>
      </c>
      <c r="AM64" s="13" t="n">
        <f aca="false">AM31+AM60</f>
        <v>208.073537550072</v>
      </c>
      <c r="AN64" s="13" t="n">
        <f aca="false">AN31+AN60</f>
        <v>209.927384095842</v>
      </c>
      <c r="AO64" s="13" t="n">
        <f aca="false">AO31+AO60</f>
        <v>211.473785910349</v>
      </c>
      <c r="AP64" s="13" t="n">
        <f aca="false">AP31+AP60</f>
        <v>226.6660887235</v>
      </c>
      <c r="AQ64" s="13" t="n">
        <f aca="false">AQ31+AQ60</f>
        <v>238.374943904112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0.0836337254194869</v>
      </c>
      <c r="AS65" s="13" t="n">
        <f aca="false">AS32+AS55</f>
        <v>0.0836337254194869</v>
      </c>
      <c r="AT65" s="13" t="n">
        <f aca="false">AT32+AT55</f>
        <v>0.0836337254194869</v>
      </c>
      <c r="AU65" s="13" t="n">
        <f aca="false">AU32+AU55</f>
        <v>0.0836337254194869</v>
      </c>
      <c r="AV65" s="13" t="n">
        <f aca="false">AV32+AV55</f>
        <v>0.0836337254194869</v>
      </c>
      <c r="AW65" s="13" t="n">
        <f aca="false">AW32+AW55</f>
        <v>0.0836337254194869</v>
      </c>
      <c r="AX65" s="13" t="n">
        <f aca="false">AX32+AX55</f>
        <v>0.0836337254194869</v>
      </c>
      <c r="AY65" s="13" t="n">
        <f aca="false">AY32+AY55</f>
        <v>0.0836337254194869</v>
      </c>
      <c r="AZ65" s="13" t="n">
        <f aca="false">AZ32+AZ55</f>
        <v>0.0836337254194869</v>
      </c>
      <c r="BA65" s="13" t="n">
        <f aca="false">BA32+BA55</f>
        <v>0.0836337254194869</v>
      </c>
      <c r="BB65" s="13" t="n">
        <f aca="false">BB32+BB55</f>
        <v>0.0836337254194869</v>
      </c>
      <c r="BC65" s="13" t="n">
        <f aca="false">BC32+BC55</f>
        <v>0.0836337254194869</v>
      </c>
      <c r="BD65" s="13" t="n">
        <f aca="false">BD32+BD55</f>
        <v>0.0836337254194869</v>
      </c>
      <c r="BE65" s="13" t="n">
        <f aca="false">BE32+BE55</f>
        <v>0.0836337254194869</v>
      </c>
      <c r="BF65" s="13" t="n">
        <f aca="false">BF32+BF55</f>
        <v>0.0836337254194869</v>
      </c>
      <c r="BG65" s="13" t="n">
        <f aca="false">BG32+BG55</f>
        <v>0.0836337254194869</v>
      </c>
      <c r="BH65" s="13" t="n">
        <f aca="false">BH32+BH55</f>
        <v>0.0836337254194869</v>
      </c>
      <c r="BI65" s="13" t="n">
        <f aca="false">BI32+BI55</f>
        <v>0.0836337254194869</v>
      </c>
      <c r="BJ65" s="13" t="n">
        <f aca="false">BJ32+BJ55</f>
        <v>0.0836337254194869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224.630097497613</v>
      </c>
      <c r="J67" s="13" t="n">
        <f aca="false">J50-J47+J56</f>
        <v>31.9397396313942</v>
      </c>
      <c r="K67" s="13" t="n">
        <f aca="false">K50-K47+K56</f>
        <v>0.655440864013448</v>
      </c>
      <c r="L67" s="13" t="n">
        <f aca="false">L50-L47+L56</f>
        <v>0.835821394974914</v>
      </c>
      <c r="M67" s="13" t="n">
        <f aca="false">M50-M47+M56</f>
        <v>1.18217250518363</v>
      </c>
      <c r="N67" s="13" t="n">
        <f aca="false">N50-N47+N56</f>
        <v>1.70277693180435</v>
      </c>
      <c r="O67" s="13" t="n">
        <f aca="false">O50-O47+O56</f>
        <v>2.34693581621191</v>
      </c>
      <c r="P67" s="13" t="n">
        <f aca="false">P50-P47+P56</f>
        <v>3.06214900100732</v>
      </c>
      <c r="Q67" s="13" t="n">
        <f aca="false">Q50-Q47+Q56</f>
        <v>3.88706810556589</v>
      </c>
      <c r="R67" s="13" t="n">
        <f aca="false">R50-R47+R56</f>
        <v>4.70936145925717</v>
      </c>
      <c r="S67" s="13" t="n">
        <f aca="false">S50-S47+S56</f>
        <v>5.54659523041599</v>
      </c>
      <c r="T67" s="13" t="n">
        <f aca="false">T50-T47+T56</f>
        <v>6.329973388717</v>
      </c>
      <c r="U67" s="13" t="n">
        <f aca="false">U50-U47+U56</f>
        <v>7.08115316555175</v>
      </c>
      <c r="V67" s="13" t="n">
        <f aca="false">V50-V47+V56</f>
        <v>7.74163084194396</v>
      </c>
      <c r="W67" s="13" t="n">
        <f aca="false">W50-W47+W56</f>
        <v>8.29093028901597</v>
      </c>
      <c r="X67" s="13" t="n">
        <f aca="false">X50-X47+X56</f>
        <v>8.74558067913655</v>
      </c>
      <c r="Y67" s="13" t="n">
        <f aca="false">Y50-Y47+Y56</f>
        <v>9.04837201189693</v>
      </c>
      <c r="Z67" s="13" t="n">
        <f aca="false">Z50-Z47+Z56</f>
        <v>9.2379789344011</v>
      </c>
      <c r="AA67" s="13" t="n">
        <f aca="false">AA50-AA47+AA56</f>
        <v>9.58279132149293</v>
      </c>
      <c r="AB67" s="13" t="n">
        <f aca="false">AB50-AB47+AB56</f>
        <v>9.14074117008531</v>
      </c>
      <c r="AC67" s="13" t="n">
        <f aca="false">AC50-AC47+AC56</f>
        <v>8.92334507930773</v>
      </c>
      <c r="AD67" s="13" t="n">
        <f aca="false">AD50-AD47+AD56</f>
        <v>8.53002449686281</v>
      </c>
      <c r="AE67" s="13" t="n">
        <f aca="false">AE50-AE47+AE56</f>
        <v>8.04792889565113</v>
      </c>
      <c r="AF67" s="13" t="n">
        <f aca="false">AF50-AF47+AF56</f>
        <v>7.42830512556466</v>
      </c>
      <c r="AG67" s="13" t="n">
        <f aca="false">AG50-AG47+AG56</f>
        <v>6.7574467333614</v>
      </c>
      <c r="AH67" s="13" t="n">
        <f aca="false">AH50-AH47+AH56</f>
        <v>6.00565292144193</v>
      </c>
      <c r="AI67" s="13" t="n">
        <f aca="false">AI50-AI47+AI56</f>
        <v>5.19821256243663</v>
      </c>
      <c r="AJ67" s="13" t="n">
        <f aca="false">AJ50-AJ47+AJ56</f>
        <v>4.41877723352064</v>
      </c>
      <c r="AK67" s="13" t="n">
        <f aca="false">AK50-AK47+AK56</f>
        <v>3.6253059555612</v>
      </c>
      <c r="AL67" s="13" t="n">
        <f aca="false">AL50-AL47+AL56</f>
        <v>2.92594522048271</v>
      </c>
      <c r="AM67" s="13" t="n">
        <f aca="false">AM50-AM47+AM56</f>
        <v>2.29954489215175</v>
      </c>
      <c r="AN67" s="13" t="n">
        <f aca="false">AN50-AN47+AN56</f>
        <v>1.73939562421245</v>
      </c>
      <c r="AO67" s="13" t="n">
        <f aca="false">AO50-AO47+AO56</f>
        <v>1.45093160788492</v>
      </c>
      <c r="AP67" s="13" t="n">
        <f aca="false">AP50-AP47+AP56</f>
        <v>14.2543756359922</v>
      </c>
      <c r="AQ67" s="13" t="n">
        <f aca="false">AQ50-AQ47+AQ56</f>
        <v>10.9859856049876</v>
      </c>
      <c r="AR67" s="13" t="n">
        <f aca="false">AR50-AR47+AR56</f>
        <v>0.971707166122899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210.430097497613</v>
      </c>
      <c r="J68" s="13" t="n">
        <f aca="false">J67-IF(Construction!J8=1,Inputs!$F$68,0)</f>
        <v>17.7397396313942</v>
      </c>
      <c r="K68" s="13" t="n">
        <f aca="false">K67-IF(Construction!K8=1,Inputs!$F$68,0)</f>
        <v>0.655440864013448</v>
      </c>
      <c r="L68" s="13" t="n">
        <f aca="false">L67-IF(Construction!L8=1,Inputs!$F$68,0)</f>
        <v>0.835821394974914</v>
      </c>
      <c r="M68" s="13" t="n">
        <f aca="false">M67-IF(Construction!M8=1,Inputs!$F$68,0)</f>
        <v>1.18217250518363</v>
      </c>
      <c r="N68" s="13" t="n">
        <f aca="false">N67-IF(Construction!N8=1,Inputs!$F$68,0)</f>
        <v>1.70277693180435</v>
      </c>
      <c r="O68" s="13" t="n">
        <f aca="false">O67-IF(Construction!O8=1,Inputs!$F$68,0)</f>
        <v>2.34693581621191</v>
      </c>
      <c r="P68" s="13" t="n">
        <f aca="false">P67-IF(Construction!P8=1,Inputs!$F$68,0)</f>
        <v>3.06214900100732</v>
      </c>
      <c r="Q68" s="13" t="n">
        <f aca="false">Q67-IF(Construction!Q8=1,Inputs!$F$68,0)</f>
        <v>3.88706810556589</v>
      </c>
      <c r="R68" s="13" t="n">
        <f aca="false">R67-IF(Construction!R8=1,Inputs!$F$68,0)</f>
        <v>4.70936145925717</v>
      </c>
      <c r="S68" s="13" t="n">
        <f aca="false">S67-IF(Construction!S8=1,Inputs!$F$68,0)</f>
        <v>5.54659523041599</v>
      </c>
      <c r="T68" s="13" t="n">
        <f aca="false">T67-IF(Construction!T8=1,Inputs!$F$68,0)</f>
        <v>6.329973388717</v>
      </c>
      <c r="U68" s="13" t="n">
        <f aca="false">U67-IF(Construction!U8=1,Inputs!$F$68,0)</f>
        <v>7.08115316555175</v>
      </c>
      <c r="V68" s="13" t="n">
        <f aca="false">V67-IF(Construction!V8=1,Inputs!$F$68,0)</f>
        <v>7.74163084194396</v>
      </c>
      <c r="W68" s="13" t="n">
        <f aca="false">W67-IF(Construction!W8=1,Inputs!$F$68,0)</f>
        <v>8.29093028901597</v>
      </c>
      <c r="X68" s="13" t="n">
        <f aca="false">X67-IF(Construction!X8=1,Inputs!$F$68,0)</f>
        <v>8.74558067913655</v>
      </c>
      <c r="Y68" s="13" t="n">
        <f aca="false">Y67-IF(Construction!Y8=1,Inputs!$F$68,0)</f>
        <v>9.04837201189693</v>
      </c>
      <c r="Z68" s="13" t="n">
        <f aca="false">Z67-IF(Construction!Z8=1,Inputs!$F$68,0)</f>
        <v>9.2379789344011</v>
      </c>
      <c r="AA68" s="13" t="n">
        <f aca="false">AA67-IF(Construction!AA8=1,Inputs!$F$68,0)</f>
        <v>9.58279132149293</v>
      </c>
      <c r="AB68" s="13" t="n">
        <f aca="false">AB67-IF(Construction!AB8=1,Inputs!$F$68,0)</f>
        <v>9.14074117008531</v>
      </c>
      <c r="AC68" s="13" t="n">
        <f aca="false">AC67-IF(Construction!AC8=1,Inputs!$F$68,0)</f>
        <v>8.92334507930773</v>
      </c>
      <c r="AD68" s="13" t="n">
        <f aca="false">AD67-IF(Construction!AD8=1,Inputs!$F$68,0)</f>
        <v>8.53002449686281</v>
      </c>
      <c r="AE68" s="13" t="n">
        <f aca="false">AE67-IF(Construction!AE8=1,Inputs!$F$68,0)</f>
        <v>8.04792889565113</v>
      </c>
      <c r="AF68" s="13" t="n">
        <f aca="false">AF67-IF(Construction!AF8=1,Inputs!$F$68,0)</f>
        <v>7.42830512556466</v>
      </c>
      <c r="AG68" s="13" t="n">
        <f aca="false">AG67-IF(Construction!AG8=1,Inputs!$F$68,0)</f>
        <v>6.7574467333614</v>
      </c>
      <c r="AH68" s="13" t="n">
        <f aca="false">AH67-IF(Construction!AH8=1,Inputs!$F$68,0)</f>
        <v>6.00565292144193</v>
      </c>
      <c r="AI68" s="13" t="n">
        <f aca="false">AI67-IF(Construction!AI8=1,Inputs!$F$68,0)</f>
        <v>5.19821256243663</v>
      </c>
      <c r="AJ68" s="13" t="n">
        <f aca="false">AJ67-IF(Construction!AJ8=1,Inputs!$F$68,0)</f>
        <v>4.41877723352064</v>
      </c>
      <c r="AK68" s="13" t="n">
        <f aca="false">AK67-IF(Construction!AK8=1,Inputs!$F$68,0)</f>
        <v>3.6253059555612</v>
      </c>
      <c r="AL68" s="13" t="n">
        <f aca="false">AL67-IF(Construction!AL8=1,Inputs!$F$68,0)</f>
        <v>2.92594522048271</v>
      </c>
      <c r="AM68" s="13" t="n">
        <f aca="false">AM67-IF(Construction!AM8=1,Inputs!$F$68,0)</f>
        <v>2.29954489215175</v>
      </c>
      <c r="AN68" s="13" t="n">
        <f aca="false">AN67-IF(Construction!AN8=1,Inputs!$F$68,0)</f>
        <v>1.73939562421245</v>
      </c>
      <c r="AO68" s="13" t="n">
        <f aca="false">AO67-IF(Construction!AO8=1,Inputs!$F$68,0)</f>
        <v>1.45093160788492</v>
      </c>
      <c r="AP68" s="13" t="n">
        <f aca="false">AP67-IF(Construction!AP8=1,Inputs!$F$68,0)</f>
        <v>14.2543756359922</v>
      </c>
      <c r="AQ68" s="13" t="n">
        <f aca="false">AQ67-IF(Construction!AQ8=1,Inputs!$F$68,0)</f>
        <v>10.9859856049876</v>
      </c>
      <c r="AR68" s="13" t="n">
        <f aca="false">AR67-IF(Construction!AR8=1,Inputs!$F$68,0)</f>
        <v>0.971707166122899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44.9260194995226</v>
      </c>
      <c r="J69" s="13" t="n">
        <f aca="false">(1-Inputs!$F$53)*J67</f>
        <v>6.38794792627885</v>
      </c>
      <c r="K69" s="13" t="n">
        <f aca="false">(1-Inputs!$F$53)*K67</f>
        <v>0.13108817280269</v>
      </c>
      <c r="L69" s="13" t="n">
        <f aca="false">(1-Inputs!$F$53)*L67</f>
        <v>0.167164278994983</v>
      </c>
      <c r="M69" s="13" t="n">
        <f aca="false">(1-Inputs!$F$53)*M67</f>
        <v>0.236434501036725</v>
      </c>
      <c r="N69" s="13" t="n">
        <f aca="false">(1-Inputs!$F$53)*N67</f>
        <v>0.34055538636087</v>
      </c>
      <c r="O69" s="13" t="n">
        <f aca="false">(1-Inputs!$F$53)*O67</f>
        <v>0.469387163242383</v>
      </c>
      <c r="P69" s="13" t="n">
        <f aca="false">(1-Inputs!$F$53)*P67</f>
        <v>0.612429800201465</v>
      </c>
      <c r="Q69" s="13" t="n">
        <f aca="false">(1-Inputs!$F$53)*Q67</f>
        <v>0.777413621113179</v>
      </c>
      <c r="R69" s="13" t="n">
        <f aca="false">(1-Inputs!$F$53)*R67</f>
        <v>0.941872291851434</v>
      </c>
      <c r="S69" s="13" t="n">
        <f aca="false">(1-Inputs!$F$53)*S67</f>
        <v>1.1093190460832</v>
      </c>
      <c r="T69" s="13" t="n">
        <f aca="false">(1-Inputs!$F$53)*T67</f>
        <v>1.2659946777434</v>
      </c>
      <c r="U69" s="13" t="n">
        <f aca="false">(1-Inputs!$F$53)*U67</f>
        <v>1.41623063311035</v>
      </c>
      <c r="V69" s="13" t="n">
        <f aca="false">(1-Inputs!$F$53)*V67</f>
        <v>1.54832616838879</v>
      </c>
      <c r="W69" s="13" t="n">
        <f aca="false">(1-Inputs!$F$53)*W67</f>
        <v>1.65818605780319</v>
      </c>
      <c r="X69" s="13" t="n">
        <f aca="false">(1-Inputs!$F$53)*X67</f>
        <v>1.74911613582731</v>
      </c>
      <c r="Y69" s="13" t="n">
        <f aca="false">(1-Inputs!$F$53)*Y67</f>
        <v>1.80967440237939</v>
      </c>
      <c r="Z69" s="13" t="n">
        <f aca="false">(1-Inputs!$F$53)*Z67</f>
        <v>1.84759578688022</v>
      </c>
      <c r="AA69" s="13" t="n">
        <f aca="false">(1-Inputs!$F$53)*AA67</f>
        <v>1.91655826429859</v>
      </c>
      <c r="AB69" s="13" t="n">
        <f aca="false">(1-Inputs!$F$53)*AB67</f>
        <v>1.82814823401706</v>
      </c>
      <c r="AC69" s="13" t="n">
        <f aca="false">(1-Inputs!$F$53)*AC67</f>
        <v>1.78466901586155</v>
      </c>
      <c r="AD69" s="13" t="n">
        <f aca="false">(1-Inputs!$F$53)*AD67</f>
        <v>1.70600489937256</v>
      </c>
      <c r="AE69" s="13" t="n">
        <f aca="false">(1-Inputs!$F$53)*AE67</f>
        <v>1.60958577913022</v>
      </c>
      <c r="AF69" s="13" t="n">
        <f aca="false">(1-Inputs!$F$53)*AF67</f>
        <v>1.48566102511293</v>
      </c>
      <c r="AG69" s="13" t="n">
        <f aca="false">(1-Inputs!$F$53)*AG67</f>
        <v>1.35148934667228</v>
      </c>
      <c r="AH69" s="13" t="n">
        <f aca="false">(1-Inputs!$F$53)*AH67</f>
        <v>1.20113058428839</v>
      </c>
      <c r="AI69" s="13" t="n">
        <f aca="false">(1-Inputs!$F$53)*AI67</f>
        <v>1.03964251248733</v>
      </c>
      <c r="AJ69" s="13" t="n">
        <f aca="false">(1-Inputs!$F$53)*AJ67</f>
        <v>0.883755446704128</v>
      </c>
      <c r="AK69" s="13" t="n">
        <f aca="false">(1-Inputs!$F$53)*AK67</f>
        <v>0.72506119111224</v>
      </c>
      <c r="AL69" s="13" t="n">
        <f aca="false">(1-Inputs!$F$53)*AL67</f>
        <v>0.585189044096543</v>
      </c>
      <c r="AM69" s="13" t="n">
        <f aca="false">(1-Inputs!$F$53)*AM67</f>
        <v>0.459908978430349</v>
      </c>
      <c r="AN69" s="13" t="n">
        <f aca="false">(1-Inputs!$F$53)*AN67</f>
        <v>0.347879124842489</v>
      </c>
      <c r="AO69" s="13" t="n">
        <f aca="false">(1-Inputs!$F$53)*AO67</f>
        <v>0.290186321576984</v>
      </c>
      <c r="AP69" s="13" t="n">
        <f aca="false">(1-Inputs!$F$53)*AP67</f>
        <v>2.85087512719845</v>
      </c>
      <c r="AQ69" s="13" t="n">
        <f aca="false">(1-Inputs!$F$53)*AQ67</f>
        <v>2.19719712099751</v>
      </c>
      <c r="AR69" s="13" t="n">
        <f aca="false">(1-Inputs!$F$53)*AR67</f>
        <v>0.19434143322458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179.70407799809</v>
      </c>
      <c r="J70" s="13" t="n">
        <f aca="false">Inputs!$F$53*J67</f>
        <v>25.5517917051154</v>
      </c>
      <c r="K70" s="13" t="n">
        <f aca="false">Inputs!$F$53*K67</f>
        <v>0.524352691210758</v>
      </c>
      <c r="L70" s="13" t="n">
        <f aca="false">Inputs!$F$53*L67</f>
        <v>0.668657115979932</v>
      </c>
      <c r="M70" s="13" t="n">
        <f aca="false">Inputs!$F$53*M67</f>
        <v>0.945738004146902</v>
      </c>
      <c r="N70" s="13" t="n">
        <f aca="false">Inputs!$F$53*N67</f>
        <v>1.36222154544348</v>
      </c>
      <c r="O70" s="13" t="n">
        <f aca="false">Inputs!$F$53*O67</f>
        <v>1.87754865296953</v>
      </c>
      <c r="P70" s="13" t="n">
        <f aca="false">Inputs!$F$53*P67</f>
        <v>2.44971920080586</v>
      </c>
      <c r="Q70" s="13" t="n">
        <f aca="false">Inputs!$F$53*Q67</f>
        <v>3.10965448445271</v>
      </c>
      <c r="R70" s="13" t="n">
        <f aca="false">Inputs!$F$53*R67</f>
        <v>3.76748916740574</v>
      </c>
      <c r="S70" s="13" t="n">
        <f aca="false">Inputs!$F$53*S67</f>
        <v>4.43727618433279</v>
      </c>
      <c r="T70" s="13" t="n">
        <f aca="false">Inputs!$F$53*T67</f>
        <v>5.0639787109736</v>
      </c>
      <c r="U70" s="13" t="n">
        <f aca="false">Inputs!$F$53*U67</f>
        <v>5.6649225324414</v>
      </c>
      <c r="V70" s="13" t="n">
        <f aca="false">Inputs!$F$53*V67</f>
        <v>6.19330467355517</v>
      </c>
      <c r="W70" s="13" t="n">
        <f aca="false">Inputs!$F$53*W67</f>
        <v>6.63274423121278</v>
      </c>
      <c r="X70" s="13" t="n">
        <f aca="false">Inputs!$F$53*X67</f>
        <v>6.99646454330924</v>
      </c>
      <c r="Y70" s="13" t="n">
        <f aca="false">Inputs!$F$53*Y67</f>
        <v>7.23869760951754</v>
      </c>
      <c r="Z70" s="13" t="n">
        <f aca="false">Inputs!$F$53*Z67</f>
        <v>7.39038314752088</v>
      </c>
      <c r="AA70" s="13" t="n">
        <f aca="false">Inputs!$F$53*AA67</f>
        <v>7.66623305719434</v>
      </c>
      <c r="AB70" s="13" t="n">
        <f aca="false">Inputs!$F$53*AB67</f>
        <v>7.31259293606825</v>
      </c>
      <c r="AC70" s="13" t="n">
        <f aca="false">Inputs!$F$53*AC67</f>
        <v>7.13867606344619</v>
      </c>
      <c r="AD70" s="13" t="n">
        <f aca="false">Inputs!$F$53*AD67</f>
        <v>6.82401959749025</v>
      </c>
      <c r="AE70" s="13" t="n">
        <f aca="false">Inputs!$F$53*AE67</f>
        <v>6.4383431165209</v>
      </c>
      <c r="AF70" s="13" t="n">
        <f aca="false">Inputs!$F$53*AF67</f>
        <v>5.94264410045173</v>
      </c>
      <c r="AG70" s="13" t="n">
        <f aca="false">Inputs!$F$53*AG67</f>
        <v>5.40595738668912</v>
      </c>
      <c r="AH70" s="13" t="n">
        <f aca="false">Inputs!$F$53*AH67</f>
        <v>4.80452233715355</v>
      </c>
      <c r="AI70" s="13" t="n">
        <f aca="false">Inputs!$F$53*AI67</f>
        <v>4.15857004994931</v>
      </c>
      <c r="AJ70" s="13" t="n">
        <f aca="false">Inputs!$F$53*AJ67</f>
        <v>3.53502178681651</v>
      </c>
      <c r="AK70" s="13" t="n">
        <f aca="false">Inputs!$F$53*AK67</f>
        <v>2.90024476444896</v>
      </c>
      <c r="AL70" s="13" t="n">
        <f aca="false">Inputs!$F$53*AL67</f>
        <v>2.34075617638617</v>
      </c>
      <c r="AM70" s="13" t="n">
        <f aca="false">Inputs!$F$53*AM67</f>
        <v>1.8396359137214</v>
      </c>
      <c r="AN70" s="13" t="n">
        <f aca="false">Inputs!$F$53*AN67</f>
        <v>1.39151649936996</v>
      </c>
      <c r="AO70" s="13" t="n">
        <f aca="false">Inputs!$F$53*AO67</f>
        <v>1.16074528630794</v>
      </c>
      <c r="AP70" s="13" t="n">
        <f aca="false">Inputs!$F$53*AP67</f>
        <v>11.4035005087938</v>
      </c>
      <c r="AQ70" s="13" t="n">
        <f aca="false">Inputs!$F$53*AQ67</f>
        <v>8.78878848399006</v>
      </c>
      <c r="AR70" s="13" t="n">
        <f aca="false">Inputs!$F$53*AR67</f>
        <v>0.777365732898319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24.4984064130996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0.212004969720021</v>
      </c>
      <c r="M71" s="13" t="n">
        <f aca="false">IF(Construction!M8&lt;=Time!$F$11,L72*Inputs!$F$104/100*Construction!M11/Inputs!$F$248,0)</f>
        <v>0.212042502316025</v>
      </c>
      <c r="N71" s="13" t="n">
        <f aca="false">IF(Construction!N8&lt;=Time!$F$11,M72*Inputs!$F$104/100*Construction!N11/Inputs!$F$248,0)</f>
        <v>0.228452129812952</v>
      </c>
      <c r="O71" s="13" t="n">
        <f aca="false">IF(Construction!O8&lt;=Time!$F$11,N72*Inputs!$F$104/100*Construction!O11/Inputs!$F$248,0)</f>
        <v>0.241286469466733</v>
      </c>
      <c r="P71" s="13" t="n">
        <f aca="false">IF(Construction!P8&lt;=Time!$F$11,O72*Inputs!$F$104/100*Construction!P11/Inputs!$F$248,0)</f>
        <v>0.23337753973894</v>
      </c>
      <c r="Q71" s="13" t="n">
        <f aca="false">IF(Construction!Q8&lt;=Time!$F$11,P72*Inputs!$F$104/100*Construction!Q11/Inputs!$F$248,0)</f>
        <v>0.280030823813252</v>
      </c>
      <c r="R71" s="13" t="n">
        <f aca="false">IF(Construction!R8&lt;=Time!$F$11,Q72*Inputs!$F$104/100*Construction!R11/Inputs!$F$248,0)</f>
        <v>0.297464977263845</v>
      </c>
      <c r="S71" s="13" t="n">
        <f aca="false">IF(Construction!S8&lt;=Time!$F$11,R72*Inputs!$F$104/100*Construction!S11/Inputs!$F$248,0)</f>
        <v>0.340178531180088</v>
      </c>
      <c r="T71" s="13" t="n">
        <f aca="false">IF(Construction!T8&lt;=Time!$F$11,S72*Inputs!$F$104/100*Construction!T11/Inputs!$F$248,0)</f>
        <v>0.366508443706365</v>
      </c>
      <c r="U71" s="13" t="n">
        <f aca="false">IF(Construction!U8&lt;=Time!$F$11,T72*Inputs!$F$104/100*Construction!U11/Inputs!$F$248,0)</f>
        <v>0.422541240242329</v>
      </c>
      <c r="V71" s="13" t="n">
        <f aca="false">IF(Construction!V8&lt;=Time!$F$11,U72*Inputs!$F$104/100*Construction!V11/Inputs!$F$248,0)</f>
        <v>0.47165789999727</v>
      </c>
      <c r="W71" s="13" t="n">
        <f aca="false">IF(Construction!W8&lt;=Time!$F$11,V72*Inputs!$F$104/100*Construction!W11/Inputs!$F$248,0)</f>
        <v>0.508484617617628</v>
      </c>
      <c r="X71" s="13" t="n">
        <f aca="false">IF(Construction!X8&lt;=Time!$F$11,W72*Inputs!$F$104/100*Construction!X11/Inputs!$F$248,0)</f>
        <v>0.583053060925811</v>
      </c>
      <c r="Y71" s="13" t="n">
        <f aca="false">IF(Construction!Y8&lt;=Time!$F$11,X72*Inputs!$F$104/100*Construction!Y11/Inputs!$F$248,0)</f>
        <v>0.623427432388139</v>
      </c>
      <c r="Z71" s="13" t="n">
        <f aca="false">IF(Construction!Z8&lt;=Time!$F$11,Y72*Inputs!$F$104/100*Construction!Z11/Inputs!$F$248,0)</f>
        <v>0.707643848851522</v>
      </c>
      <c r="AA71" s="13" t="n">
        <f aca="false">IF(Construction!AA8&lt;=Time!$F$11,Z72*Inputs!$F$104/100*Construction!AA11/Inputs!$F$248,0)</f>
        <v>0.772982724205814</v>
      </c>
      <c r="AB71" s="13" t="n">
        <f aca="false">IF(Construction!AB8&lt;=Time!$F$11,AA72*Inputs!$F$104/100*Construction!AB11/Inputs!$F$248,0)</f>
        <v>0.786811609326471</v>
      </c>
      <c r="AC71" s="13" t="n">
        <f aca="false">IF(Construction!AC8&lt;=Time!$F$11,AB72*Inputs!$F$104/100*Construction!AC11/Inputs!$F$248,0)</f>
        <v>0.906424469034337</v>
      </c>
      <c r="AD71" s="13" t="n">
        <f aca="false">IF(Construction!AD8&lt;=Time!$F$11,AC72*Inputs!$F$104/100*Construction!AD11/Inputs!$F$248,0)</f>
        <v>0.940002878300543</v>
      </c>
      <c r="AE71" s="13" t="n">
        <f aca="false">IF(Construction!AE8&lt;=Time!$F$11,AD72*Inputs!$F$104/100*Construction!AE11/Inputs!$F$248,0)</f>
        <v>1.03398026974491</v>
      </c>
      <c r="AF71" s="13" t="n">
        <f aca="false">IF(Construction!AF8&lt;=Time!$F$11,AE72*Inputs!$F$104/100*Construction!AF11/Inputs!$F$248,0)</f>
        <v>1.05897160626455</v>
      </c>
      <c r="AG71" s="13" t="n">
        <f aca="false">IF(Construction!AG8&lt;=Time!$F$11,AF72*Inputs!$F$104/100*Construction!AG11/Inputs!$F$248,0)</f>
        <v>1.15076314818007</v>
      </c>
      <c r="AH71" s="13" t="n">
        <f aca="false">IF(Construction!AH8&lt;=Time!$F$11,AG72*Inputs!$F$104/100*Construction!AH11/Inputs!$F$248,0)</f>
        <v>1.20366600290661</v>
      </c>
      <c r="AI71" s="13" t="n">
        <f aca="false">IF(Construction!AI8&lt;=Time!$F$11,AH72*Inputs!$F$104/100*Construction!AI11/Inputs!$F$248,0)</f>
        <v>1.21175131875137</v>
      </c>
      <c r="AJ71" s="13" t="n">
        <f aca="false">IF(Construction!AJ8&lt;=Time!$F$11,AI72*Inputs!$F$104/100*Construction!AJ11/Inputs!$F$248,0)</f>
        <v>1.29547343055675</v>
      </c>
      <c r="AK71" s="13" t="n">
        <f aca="false">IF(Construction!AK8&lt;=Time!$F$11,AJ72*Inputs!$F$104/100*Construction!AK11/Inputs!$F$248,0)</f>
        <v>1.29140153045085</v>
      </c>
      <c r="AL71" s="13" t="n">
        <f aca="false">IF(Construction!AL8&lt;=Time!$F$11,AK72*Inputs!$F$104/100*Construction!AL11/Inputs!$F$248,0)</f>
        <v>1.36826851755304</v>
      </c>
      <c r="AM71" s="13" t="n">
        <f aca="false">IF(Construction!AM8&lt;=Time!$F$11,AL72*Inputs!$F$104/100*Construction!AM11/Inputs!$F$248,0)</f>
        <v>1.39819475789181</v>
      </c>
      <c r="AN71" s="13" t="n">
        <f aca="false">IF(Construction!AN8&lt;=Time!$F$11,AM72*Inputs!$F$104/100*Construction!AN11/Inputs!$F$248,0)</f>
        <v>1.28648183321569</v>
      </c>
      <c r="AO71" s="13" t="n">
        <f aca="false">IF(Construction!AO8&lt;=Time!$F$11,AN72*Inputs!$F$104/100*Construction!AO11/Inputs!$F$248,0)</f>
        <v>1.44592658369281</v>
      </c>
      <c r="AP71" s="13" t="n">
        <f aca="false">IF(Construction!AP8&lt;=Time!$F$11,AO72*Inputs!$F$104/100*Construction!AP11/Inputs!$F$248,0)</f>
        <v>1.41963725595677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26.2756583863524</v>
      </c>
      <c r="L72" s="13" t="n">
        <f aca="false">K72+L71+L70</f>
        <v>27.1563204720524</v>
      </c>
      <c r="M72" s="13" t="n">
        <f aca="false">L72+M71+M70</f>
        <v>28.3141009785153</v>
      </c>
      <c r="N72" s="13" t="n">
        <f aca="false">M72+N71+N70</f>
        <v>29.9047746537717</v>
      </c>
      <c r="O72" s="13" t="n">
        <f aca="false">N72+O71+O70</f>
        <v>32.023609776208</v>
      </c>
      <c r="P72" s="13" t="n">
        <f aca="false">O72+P71+P70</f>
        <v>34.7067065167528</v>
      </c>
      <c r="Q72" s="13" t="n">
        <f aca="false">P72+Q71+Q70</f>
        <v>38.0963918250187</v>
      </c>
      <c r="R72" s="13" t="n">
        <f aca="false">Q72+R71+R70</f>
        <v>42.1613459696883</v>
      </c>
      <c r="S72" s="13" t="n">
        <f aca="false">R72+S71+S70</f>
        <v>46.9388006852012</v>
      </c>
      <c r="T72" s="13" t="n">
        <f aca="false">S72+T71+T70</f>
        <v>52.3692878398812</v>
      </c>
      <c r="U72" s="13" t="n">
        <f aca="false">T72+U71+U70</f>
        <v>58.4567516125649</v>
      </c>
      <c r="V72" s="13" t="n">
        <f aca="false">U72+V71+V70</f>
        <v>65.1217141861173</v>
      </c>
      <c r="W72" s="13" t="n">
        <f aca="false">V72+W71+W70</f>
        <v>72.2629430349477</v>
      </c>
      <c r="X72" s="13" t="n">
        <f aca="false">W72+X71+X70</f>
        <v>79.8424606391828</v>
      </c>
      <c r="Y72" s="13" t="n">
        <f aca="false">X72+Y71+Y70</f>
        <v>87.7045856810884</v>
      </c>
      <c r="Z72" s="13" t="n">
        <f aca="false">Y72+Z71+Z70</f>
        <v>95.8026126774608</v>
      </c>
      <c r="AA72" s="13" t="n">
        <f aca="false">Z72+AA71+AA70</f>
        <v>104.241828458861</v>
      </c>
      <c r="AB72" s="13" t="n">
        <f aca="false">AA72+AB71+AB70</f>
        <v>112.341233004256</v>
      </c>
      <c r="AC72" s="13" t="n">
        <f aca="false">AB72+AC71+AC70</f>
        <v>120.386333536736</v>
      </c>
      <c r="AD72" s="13" t="n">
        <f aca="false">AC72+AD71+AD70</f>
        <v>128.150356012527</v>
      </c>
      <c r="AE72" s="13" t="n">
        <f aca="false">AD72+AE71+AE70</f>
        <v>135.622679398793</v>
      </c>
      <c r="AF72" s="13" t="n">
        <f aca="false">AE72+AF71+AF70</f>
        <v>142.624295105509</v>
      </c>
      <c r="AG72" s="13" t="n">
        <f aca="false">AF72+AG71+AG70</f>
        <v>149.181015640378</v>
      </c>
      <c r="AH72" s="13" t="n">
        <f aca="false">AG72+AH71+AH70</f>
        <v>155.189203980438</v>
      </c>
      <c r="AI72" s="13" t="n">
        <f aca="false">AH72+AI71+AI70</f>
        <v>160.559525349139</v>
      </c>
      <c r="AJ72" s="13" t="n">
        <f aca="false">AI72+AJ71+AJ70</f>
        <v>165.390020566512</v>
      </c>
      <c r="AK72" s="13" t="n">
        <f aca="false">AJ72+AK71+AK70</f>
        <v>169.581666861412</v>
      </c>
      <c r="AL72" s="13" t="n">
        <f aca="false">AK72+AL71+AL70</f>
        <v>173.290691555351</v>
      </c>
      <c r="AM72" s="13" t="n">
        <f aca="false">AL72+AM71+AM70</f>
        <v>176.528522226965</v>
      </c>
      <c r="AN72" s="13" t="n">
        <f aca="false">AM72+AN71+AN70</f>
        <v>179.20652055955</v>
      </c>
      <c r="AO72" s="13" t="n">
        <f aca="false">AN72+AO71+AO70</f>
        <v>181.813192429551</v>
      </c>
      <c r="AP72" s="13" t="n">
        <f aca="false">AO72+AP71+AP70</f>
        <v>194.636330194302</v>
      </c>
      <c r="AQ72" s="13" t="n">
        <f aca="false">AP72+AQ71+AQ70</f>
        <v>203.425118678292</v>
      </c>
      <c r="AR72" s="13" t="n">
        <f aca="false">AQ72+AR71+AR70</f>
        <v>204.20248441119</v>
      </c>
      <c r="AS72" s="13" t="n">
        <f aca="false">AR72+AS71+AS70</f>
        <v>204.20248441119</v>
      </c>
      <c r="AT72" s="13" t="n">
        <f aca="false">AS72+AT71+AT70</f>
        <v>204.20248441119</v>
      </c>
      <c r="AU72" s="13" t="n">
        <f aca="false">AT72+AU71+AU70</f>
        <v>204.20248441119</v>
      </c>
      <c r="AV72" s="13" t="n">
        <f aca="false">AU72+AV71+AV70</f>
        <v>204.20248441119</v>
      </c>
      <c r="AW72" s="13" t="n">
        <f aca="false">AV72+AW71+AW70</f>
        <v>204.20248441119</v>
      </c>
      <c r="AX72" s="13" t="n">
        <f aca="false">AW72+AX71+AX70</f>
        <v>204.20248441119</v>
      </c>
      <c r="AY72" s="13" t="n">
        <f aca="false">AX72+AY71+AY70</f>
        <v>204.20248441119</v>
      </c>
      <c r="AZ72" s="13" t="n">
        <f aca="false">AY72+AZ71+AZ70</f>
        <v>204.20248441119</v>
      </c>
      <c r="BA72" s="13" t="n">
        <f aca="false">AZ72+BA71+BA70</f>
        <v>204.20248441119</v>
      </c>
      <c r="BB72" s="13" t="n">
        <f aca="false">BA72+BB71+BB70</f>
        <v>204.20248441119</v>
      </c>
      <c r="BC72" s="13" t="n">
        <f aca="false">BB72+BC71+BC70</f>
        <v>204.20248441119</v>
      </c>
      <c r="BD72" s="13" t="n">
        <f aca="false">BC72+BD71+BD70</f>
        <v>204.20248441119</v>
      </c>
      <c r="BE72" s="13" t="n">
        <f aca="false">BD72+BE71+BE70</f>
        <v>204.20248441119</v>
      </c>
      <c r="BF72" s="13" t="n">
        <f aca="false">BE72+BF71+BF70</f>
        <v>204.20248441119</v>
      </c>
      <c r="BG72" s="13" t="n">
        <f aca="false">BF72+BG71+BG70</f>
        <v>204.20248441119</v>
      </c>
      <c r="BH72" s="13" t="n">
        <f aca="false">BG72+BH71+BH70</f>
        <v>204.20248441119</v>
      </c>
      <c r="BI72" s="13" t="n">
        <f aca="false">BH72+BI71+BI70</f>
        <v>204.20248441119</v>
      </c>
      <c r="BJ72" s="13" t="n">
        <f aca="false">BI72+BJ71+BJ70</f>
        <v>204.20248441119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630.033308503853</v>
      </c>
      <c r="J73" s="13" t="n">
        <f aca="false">J47+J55</f>
        <v>89.5825011440694</v>
      </c>
      <c r="K73" s="13" t="n">
        <f aca="false">K47+K55</f>
        <v>1.8383378395684</v>
      </c>
      <c r="L73" s="13" t="n">
        <f aca="false">L47+L55</f>
        <v>2.34425740271163</v>
      </c>
      <c r="M73" s="13" t="n">
        <f aca="false">M47+M55</f>
        <v>3.31568043510306</v>
      </c>
      <c r="N73" s="13" t="n">
        <f aca="false">N47+N55</f>
        <v>4.77583781839988</v>
      </c>
      <c r="O73" s="13" t="n">
        <f aca="false">O47+O55</f>
        <v>6.58253269648471</v>
      </c>
      <c r="P73" s="13" t="n">
        <f aca="false">P47+P55</f>
        <v>8.58851604777703</v>
      </c>
      <c r="Q73" s="13" t="n">
        <f aca="false">Q47+Q55</f>
        <v>10.9021954165107</v>
      </c>
      <c r="R73" s="13" t="n">
        <f aca="false">R47+R55</f>
        <v>13.2085102502548</v>
      </c>
      <c r="S73" s="13" t="n">
        <f aca="false">S47+S55</f>
        <v>15.556728993684</v>
      </c>
      <c r="T73" s="13" t="n">
        <f aca="false">T47+T55</f>
        <v>17.7538970223571</v>
      </c>
      <c r="U73" s="13" t="n">
        <f aca="false">U47+U55</f>
        <v>19.8607571281156</v>
      </c>
      <c r="V73" s="13" t="n">
        <f aca="false">V47+V55</f>
        <v>21.7132218909429</v>
      </c>
      <c r="W73" s="13" t="n">
        <f aca="false">W47+W55</f>
        <v>23.2538611983905</v>
      </c>
      <c r="X73" s="13" t="n">
        <f aca="false">X47+X55</f>
        <v>24.5290349963977</v>
      </c>
      <c r="Y73" s="13" t="n">
        <f aca="false">Y47+Y55</f>
        <v>25.3782844025125</v>
      </c>
      <c r="Z73" s="13" t="n">
        <f aca="false">Z47+Z55</f>
        <v>25.9100815476419</v>
      </c>
      <c r="AA73" s="13" t="n">
        <f aca="false">AA47+AA55</f>
        <v>26.8771888696685</v>
      </c>
      <c r="AB73" s="13" t="n">
        <f aca="false">AB47+AB55</f>
        <v>25.6373554004161</v>
      </c>
      <c r="AC73" s="13" t="n">
        <f aca="false">AC47+AC55</f>
        <v>25.0276170063167</v>
      </c>
      <c r="AD73" s="13" t="n">
        <f aca="false">AD47+AD55</f>
        <v>23.9244570578172</v>
      </c>
      <c r="AE73" s="13" t="n">
        <f aca="false">AE47+AE55</f>
        <v>22.5723067195393</v>
      </c>
      <c r="AF73" s="13" t="n">
        <f aca="false">AF47+AF55</f>
        <v>20.83442633187</v>
      </c>
      <c r="AG73" s="13" t="n">
        <f aca="false">AG47+AG55</f>
        <v>18.952846413542</v>
      </c>
      <c r="AH73" s="13" t="n">
        <f aca="false">AH47+AH55</f>
        <v>16.8442641021764</v>
      </c>
      <c r="AI73" s="13" t="n">
        <f aca="false">AI47+AI55</f>
        <v>14.5796079803944</v>
      </c>
      <c r="AJ73" s="13" t="n">
        <f aca="false">AJ47+AJ55</f>
        <v>12.3934985427422</v>
      </c>
      <c r="AK73" s="13" t="n">
        <f aca="false">AK47+AK55</f>
        <v>10.1680219895232</v>
      </c>
      <c r="AL73" s="13" t="n">
        <f aca="false">AL47+AL55</f>
        <v>8.2065005565587</v>
      </c>
      <c r="AM73" s="13" t="n">
        <f aca="false">AM47+AM55</f>
        <v>6.44961371975437</v>
      </c>
      <c r="AN73" s="13" t="n">
        <f aca="false">AN47+AN55</f>
        <v>4.87854354150222</v>
      </c>
      <c r="AO73" s="13" t="n">
        <f aca="false">AO47+AO55</f>
        <v>4.06947845922823</v>
      </c>
      <c r="AP73" s="13" t="n">
        <f aca="false">AP47+AP55</f>
        <v>39.9797442451327</v>
      </c>
      <c r="AQ73" s="13" t="n">
        <f aca="false">AQ47+AQ55</f>
        <v>30.8127767910852</v>
      </c>
      <c r="AR73" s="13" t="n">
        <f aca="false">AR47+AR55</f>
        <v>2.73082454566359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106.427510564871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1.07294932449094</v>
      </c>
      <c r="L74" s="13" t="n">
        <f aca="false">L33+L34+L35+L36+L37+L38+L39+L40+L41+L42+L43+L48+Construction!L14*Construction!L38</f>
        <v>1.12540432768654</v>
      </c>
      <c r="M74" s="13" t="n">
        <f aca="false">M33+M34+M35+M36+M37+M38+M39+M40+M41+M42+M43+M48+Construction!M14*Construction!M38</f>
        <v>1.14085870301396</v>
      </c>
      <c r="N74" s="13" t="n">
        <f aca="false">N33+N34+N35+N36+N37+N38+N39+N40+N41+N42+N43+N48+Construction!N14*Construction!N38</f>
        <v>1.23245294929514</v>
      </c>
      <c r="O74" s="13" t="n">
        <f aca="false">O33+O34+O35+O36+O37+O38+O39+O40+O41+O42+O43+O48+Construction!O14*Construction!O38</f>
        <v>1.32107427542389</v>
      </c>
      <c r="P74" s="13" t="n">
        <f aca="false">P33+P34+P35+P36+P37+P38+P39+P40+P41+P42+P43+P48+Construction!P14*Construction!P38</f>
        <v>1.33250574969345</v>
      </c>
      <c r="Q74" s="13" t="n">
        <f aca="false">Q33+Q34+Q35+Q36+Q37+Q38+Q39+Q40+Q41+Q42+Q43+Q48+Construction!Q14*Construction!Q38</f>
        <v>1.53995716844025</v>
      </c>
      <c r="R74" s="13" t="n">
        <f aca="false">R33+R34+R35+R36+R37+R38+R39+R40+R41+R42+R43+R48+Construction!R14*Construction!R38</f>
        <v>1.64033178496655</v>
      </c>
      <c r="S74" s="13" t="n">
        <f aca="false">S33+S34+S35+S36+S37+S38+S39+S40+S41+S42+S43+S48+Construction!S14*Construction!S38</f>
        <v>1.81672067773639</v>
      </c>
      <c r="T74" s="13" t="n">
        <f aca="false">T33+T34+T35+T36+T37+T38+T39+T40+T41+T42+T43+T48+Construction!T14*Construction!T38</f>
        <v>1.9155906465286</v>
      </c>
      <c r="U74" s="13" t="n">
        <f aca="false">U33+U34+U35+U36+U37+U38+U39+U40+U41+U42+U43+U48+Construction!U14*Construction!U38</f>
        <v>2.11580984548554</v>
      </c>
      <c r="V74" s="13" t="n">
        <f aca="false">V33+V34+V35+V36+V37+V38+V39+V40+V41+V42+V43+V48+Construction!V14*Construction!V38</f>
        <v>2.28012432834143</v>
      </c>
      <c r="W74" s="13" t="n">
        <f aca="false">W33+W34+W35+W36+W37+W38+W39+W40+W41+W42+W43+W48+Construction!W14*Construction!W38</f>
        <v>2.40359733740642</v>
      </c>
      <c r="X74" s="13" t="n">
        <f aca="false">X33+X34+X35+X36+X37+X38+X39+X40+X41+X42+X43+X48+Construction!X14*Construction!X38</f>
        <v>2.60600945280699</v>
      </c>
      <c r="Y74" s="13" t="n">
        <f aca="false">Y33+Y34+Y35+Y36+Y37+Y38+Y39+Y40+Y41+Y42+Y43+Y48+Construction!Y14*Construction!Y38</f>
        <v>2.71545231531849</v>
      </c>
      <c r="Z74" s="13" t="n">
        <f aca="false">Z33+Z34+Z35+Z36+Z37+Z38+Z39+Z40+Z41+Z42+Z43+Z48+Construction!Z14*Construction!Z38</f>
        <v>2.90813681931574</v>
      </c>
      <c r="AA74" s="13" t="n">
        <f aca="false">AA33+AA34+AA35+AA36+AA37+AA38+AA39+AA40+AA41+AA42+AA43+AA48+Construction!AA14*Construction!AA38</f>
        <v>3.07705652843411</v>
      </c>
      <c r="AB74" s="13" t="n">
        <f aca="false">AB33+AB34+AB35+AB36+AB37+AB38+AB39+AB40+AB41+AB42+AB43+AB48+Construction!AB14*Construction!AB38</f>
        <v>3.0668924714105</v>
      </c>
      <c r="AC74" s="13" t="n">
        <f aca="false">AC33+AC34+AC35+AC36+AC37+AC38+AC39+AC40+AC41+AC42+AC43+AC48+Construction!AC14*Construction!AC38</f>
        <v>3.28235586289717</v>
      </c>
      <c r="AD74" s="13" t="n">
        <f aca="false">AD33+AD34+AD35+AD36+AD37+AD38+AD39+AD40+AD41+AD42+AD43+AD48+Construction!AD14*Construction!AD38</f>
        <v>3.31328740467997</v>
      </c>
      <c r="AE74" s="13" t="n">
        <f aca="false">AE33+AE34+AE35+AE36+AE37+AE38+AE39+AE40+AE41+AE42+AE43+AE48+Construction!AE14*Construction!AE38</f>
        <v>3.44550721064495</v>
      </c>
      <c r="AF74" s="13" t="n">
        <f aca="false">AF33+AF34+AF35+AF36+AF37+AF38+AF39+AF40+AF41+AF42+AF43+AF48+Construction!AF14*Construction!AF38</f>
        <v>3.43663100925285</v>
      </c>
      <c r="AG74" s="13" t="n">
        <f aca="false">AG33+AG34+AG35+AG36+AG37+AG38+AG39+AG40+AG41+AG42+AG43+AG48+Construction!AG14*Construction!AG38</f>
        <v>3.54201338235792</v>
      </c>
      <c r="AH74" s="13" t="n">
        <f aca="false">AH33+AH34+AH35+AH36+AH37+AH38+AH39+AH40+AH41+AH42+AH43+AH48+Construction!AH14*Construction!AH38</f>
        <v>3.56331347725472</v>
      </c>
      <c r="AI74" s="13" t="n">
        <f aca="false">AI33+AI34+AI35+AI36+AI37+AI38+AI39+AI40+AI41+AI42+AI43+AI48+Construction!AI14*Construction!AI38</f>
        <v>3.5002806182856</v>
      </c>
      <c r="AJ74" s="13" t="n">
        <f aca="false">AJ33+AJ34+AJ35+AJ36+AJ37+AJ38+AJ39+AJ40+AJ41+AJ42+AJ43+AJ48+Construction!AJ14*Construction!AJ38</f>
        <v>3.56296942262649</v>
      </c>
      <c r="AK74" s="13" t="n">
        <f aca="false">AK33+AK34+AK35+AK36+AK37+AK38+AK39+AK40+AK41+AK42+AK43+AK48+Construction!AK14*Construction!AK38</f>
        <v>3.47516864599351</v>
      </c>
      <c r="AL74" s="13" t="n">
        <f aca="false">AL33+AL34+AL35+AL36+AL37+AL38+AL39+AL40+AL41+AL42+AL43+AL48+Construction!AL14*Construction!AL38</f>
        <v>3.52405153976869</v>
      </c>
      <c r="AM74" s="13" t="n">
        <f aca="false">AM33+AM34+AM35+AM36+AM37+AM38+AM39+AM40+AM41+AM42+AM43+AM48+Construction!AM14*Construction!AM38</f>
        <v>3.50299681099702</v>
      </c>
      <c r="AN74" s="13" t="n">
        <f aca="false">AN33+AN34+AN35+AN36+AN37+AN38+AN39+AN40+AN41+AN42+AN43+AN48+Construction!AN14*Construction!AN38</f>
        <v>3.26094492844193</v>
      </c>
      <c r="AO74" s="13" t="n">
        <f aca="false">AO33+AO34+AO35+AO36+AO37+AO38+AO39+AO40+AO41+AO42+AO43+AO48+Construction!AO14*Construction!AO38</f>
        <v>3.46573559711315</v>
      </c>
      <c r="AP74" s="13" t="n">
        <f aca="false">AP33+AP34+AP35+AP36+AP37+AP38+AP39+AP40+AP41+AP42+AP43+AP48+Construction!AP14*Construction!AP38</f>
        <v>4.575290502034</v>
      </c>
      <c r="AQ74" s="13" t="n">
        <f aca="false">AQ33+AQ34+AQ35+AQ36+AQ37+AQ38+AQ39+AQ40+AQ41+AQ42+AQ43+AQ48+Construction!AQ14*Construction!AQ38</f>
        <v>4.55286695947799</v>
      </c>
      <c r="AR74" s="13" t="n">
        <f aca="false">AR33+AR34+AR35+AR36+AR37+AR38+AR39+AR40+AR41+AR42+AR43+AR48+Construction!AR14*Construction!AR38</f>
        <v>3.70253171178649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854.663406001466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836.565916977971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60.5260979469441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52.6759196617367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43.2493543228938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33.5988127890376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2.5511960129674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2.5511960129674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60.5260979469441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52.6759196617367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43.2493543228938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33.5988127890376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60.5260979469441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52.6759196617367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43.2493543228938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33.5988127890376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157.931167070677</v>
      </c>
      <c r="AC63" s="13" t="n">
        <f aca="false">Time!AC35*AB75</f>
        <v>142.634297778181</v>
      </c>
      <c r="AD63" s="13" t="n">
        <f aca="false">Time!AD35*AC75</f>
        <v>127.641550852378</v>
      </c>
      <c r="AE63" s="13" t="n">
        <f aca="false">Time!AE35*AD75</f>
        <v>110.82738671289</v>
      </c>
      <c r="AF63" s="13" t="n">
        <f aca="false">Time!AF35*AE75</f>
        <v>93.3542217374465</v>
      </c>
      <c r="AG63" s="13" t="n">
        <f aca="false">Time!AG35*AF75</f>
        <v>75.2519774280195</v>
      </c>
      <c r="AH63" s="13" t="n">
        <f aca="false">Time!AH35*AG75</f>
        <v>57.3789161755596</v>
      </c>
      <c r="AI63" s="13" t="n">
        <f aca="false">Time!AI35*AH75</f>
        <v>38.6850844166379</v>
      </c>
      <c r="AJ63" s="13" t="n">
        <f aca="false">Time!AJ35*AI75</f>
        <v>20.3138881988674</v>
      </c>
      <c r="AK63" s="13" t="n">
        <f aca="false">Time!AK35*AJ75</f>
        <v>1.68103167515298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139.643500580668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6.92401432717764</v>
      </c>
      <c r="AC65" s="13" t="n">
        <f aca="false">AC63*AC13</f>
        <v>6.18539795525479</v>
      </c>
      <c r="AD65" s="13" t="n">
        <f aca="false">AD63*AD13</f>
        <v>5.59605772082673</v>
      </c>
      <c r="AE65" s="13" t="n">
        <f aca="false">AE63*AE13</f>
        <v>4.77967049387824</v>
      </c>
      <c r="AF65" s="13" t="n">
        <f aca="false">AF63*AF13</f>
        <v>4.09283348437062</v>
      </c>
      <c r="AG65" s="13" t="n">
        <f aca="false">AG63*AG13</f>
        <v>3.45559867459741</v>
      </c>
      <c r="AH65" s="13" t="n">
        <f aca="false">AH63*AH13</f>
        <v>2.67853281287686</v>
      </c>
      <c r="AI65" s="13" t="n">
        <f aca="false">AI63*AI13</f>
        <v>1.77643340422106</v>
      </c>
      <c r="AJ65" s="13" t="n">
        <f aca="false">AJ63*AJ13</f>
        <v>0.948282395772315</v>
      </c>
      <c r="AK65" s="13" t="n">
        <f aca="false">AK63*AK13</f>
        <v>0.0776200810893785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137.387758837033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7.82853413056982</v>
      </c>
      <c r="AC66" s="13" t="n">
        <f aca="false">Time!AC35*(AC63-AC64)*AC19</f>
        <v>7.80070584900453</v>
      </c>
      <c r="AD66" s="13" t="n">
        <f aca="false">Time!AD35*(AD63-AD64)*AD19</f>
        <v>8.38034060601325</v>
      </c>
      <c r="AE66" s="13" t="n">
        <f aca="false">Time!AE35*(AE63-AE64)*AE19</f>
        <v>8.26463714034304</v>
      </c>
      <c r="AF66" s="13" t="n">
        <f aca="false">Time!AF35*(AF63-AF64)*AF19</f>
        <v>7.88993083171105</v>
      </c>
      <c r="AG66" s="13" t="n">
        <f aca="false">Time!AG35*(AG63-AG64)*AG19</f>
        <v>7.12037594084918</v>
      </c>
      <c r="AH66" s="13" t="n">
        <f aca="false">Time!AH35*(AH63-AH64)*AH19</f>
        <v>6.41103271757137</v>
      </c>
      <c r="AI66" s="13" t="n">
        <f aca="false">Time!AI35*(AI63-AI64)*AI19</f>
        <v>5.06403775900927</v>
      </c>
      <c r="AJ66" s="13" t="n">
        <f aca="false">Time!AJ35*(AJ63-AJ64)*AJ19</f>
        <v>3.2594063627475</v>
      </c>
      <c r="AK66" s="13" t="n">
        <f aca="false">Time!AK35*(AK63-AK64)*AK19</f>
        <v>0.335427510405168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137.387758837033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7.82853413056982</v>
      </c>
      <c r="AC69" s="13" t="n">
        <f aca="false">AC66-AC67+AC68</f>
        <v>7.80070584900453</v>
      </c>
      <c r="AD69" s="13" t="n">
        <f aca="false">AD66-AD67+AD68</f>
        <v>8.38034060601325</v>
      </c>
      <c r="AE69" s="13" t="n">
        <f aca="false">AE66-AE67+AE68</f>
        <v>8.26463714034304</v>
      </c>
      <c r="AF69" s="13" t="n">
        <f aca="false">AF66-AF67+AF68</f>
        <v>7.88993083171105</v>
      </c>
      <c r="AG69" s="13" t="n">
        <f aca="false">AG66-AG67+AG68</f>
        <v>7.12037594084918</v>
      </c>
      <c r="AH69" s="13" t="n">
        <f aca="false">AH66-AH67+AH68</f>
        <v>6.41103271757137</v>
      </c>
      <c r="AI69" s="13" t="n">
        <f aca="false">AI66-AI67+AI68</f>
        <v>5.06403775900927</v>
      </c>
      <c r="AJ69" s="13" t="n">
        <f aca="false">AJ66-AJ67+AJ68</f>
        <v>3.2594063627475</v>
      </c>
      <c r="AK69" s="13" t="n">
        <f aca="false">AK66-AK67+AK68</f>
        <v>0.335427510405168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150.102632940107</v>
      </c>
      <c r="AC73" s="13" t="n">
        <f aca="false">AC63-AC69-AC70-AC71</f>
        <v>134.833591929176</v>
      </c>
      <c r="AD73" s="13" t="n">
        <f aca="false">AD63-AD69-AD70-AD71</f>
        <v>119.261210246365</v>
      </c>
      <c r="AE73" s="13" t="n">
        <f aca="false">AE63-AE69-AE70-AE71</f>
        <v>102.562749572547</v>
      </c>
      <c r="AF73" s="13" t="n">
        <f aca="false">AF63-AF69-AF70-AF71</f>
        <v>85.4642909057355</v>
      </c>
      <c r="AG73" s="13" t="n">
        <f aca="false">AG63-AG69-AG70-AG71</f>
        <v>68.1316014871703</v>
      </c>
      <c r="AH73" s="13" t="n">
        <f aca="false">AH63-AH69-AH70-AH71</f>
        <v>50.9678834579882</v>
      </c>
      <c r="AI73" s="13" t="n">
        <f aca="false">AI63-AI69-AI70-AI71</f>
        <v>33.6210466576286</v>
      </c>
      <c r="AJ73" s="13" t="n">
        <f aca="false">AJ63-AJ69-AJ70-AJ71</f>
        <v>17.0544818361199</v>
      </c>
      <c r="AK73" s="13" t="n">
        <f aca="false">AK63-AK69-AK70-AK71</f>
        <v>1.34560416474781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101.993117578772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6.41637935631897</v>
      </c>
      <c r="AB74" s="13" t="n">
        <f aca="false">Waterfall!AB28*AB73/(AB31+AB45+AB59+AB73+AB87+Inputs!$F$253)+Waterfall!AB29</f>
        <v>7.46833516192671</v>
      </c>
      <c r="AC74" s="13" t="n">
        <f aca="false">Waterfall!AC28*AC73/(AC31+AC45+AC59+AC73+AC87+Inputs!$F$253)+Waterfall!AC29</f>
        <v>7.19204107679818</v>
      </c>
      <c r="AD74" s="13" t="n">
        <f aca="false">Waterfall!AD28*AD73/(AD31+AD45+AD59+AD73+AD87+Inputs!$F$253)+Waterfall!AD29</f>
        <v>8.43382353347502</v>
      </c>
      <c r="AE74" s="13" t="n">
        <f aca="false">Waterfall!AE28*AE73/(AE31+AE45+AE59+AE73+AE87+Inputs!$F$253)+Waterfall!AE29</f>
        <v>9.20852783510016</v>
      </c>
      <c r="AF74" s="13" t="n">
        <f aca="false">Waterfall!AF28*AF73/(AF31+AF45+AF59+AF73+AF87+Inputs!$F$253)+Waterfall!AF29</f>
        <v>10.212313477716</v>
      </c>
      <c r="AG74" s="13" t="n">
        <f aca="false">Waterfall!AG28*AG73/(AG31+AG45+AG59+AG73+AG87+Inputs!$F$253)+Waterfall!AG29</f>
        <v>10.7526853116107</v>
      </c>
      <c r="AH74" s="13" t="n">
        <f aca="false">Waterfall!AH28*AH73/(AH31+AH45+AH59+AH73+AH87+Inputs!$F$253)+Waterfall!AH29</f>
        <v>12.2827990413503</v>
      </c>
      <c r="AI74" s="13" t="n">
        <f aca="false">Waterfall!AI28*AI73/(AI31+AI45+AI59+AI73+AI87+Inputs!$F$253)+Waterfall!AI29</f>
        <v>13.3071584587612</v>
      </c>
      <c r="AJ74" s="13" t="n">
        <f aca="false">Waterfall!AJ28*AJ73/(AJ31+AJ45+AJ59+AJ73+AJ87+Inputs!$F$253)+Waterfall!AJ29</f>
        <v>15.3734501609669</v>
      </c>
      <c r="AK74" s="13" t="n">
        <f aca="false">Waterfall!AK28*AK73/(AK31+AK45+AK59+AK73+AK87+Inputs!$F$253)+Waterfall!AK29</f>
        <v>1.34560416474781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157.931167070677</v>
      </c>
      <c r="AB75" s="13" t="n">
        <f aca="false">IF(Time!AB34=1,INDEX(Funding!$J$64:$BJ$64,1,Time!$F$14),Time!AB35*(AB73-AB74))</f>
        <v>142.634297778181</v>
      </c>
      <c r="AC75" s="13" t="n">
        <f aca="false">IF(Time!AC34=1,INDEX(Funding!$J$64:$BJ$64,1,Time!$F$14),Time!AC35*(AC73-AC74))</f>
        <v>127.641550852378</v>
      </c>
      <c r="AD75" s="13" t="n">
        <f aca="false">IF(Time!AD34=1,INDEX(Funding!$J$64:$BJ$64,1,Time!$F$14),Time!AD35*(AD73-AD74))</f>
        <v>110.82738671289</v>
      </c>
      <c r="AE75" s="13" t="n">
        <f aca="false">IF(Time!AE34=1,INDEX(Funding!$J$64:$BJ$64,1,Time!$F$14),Time!AE35*(AE73-AE74))</f>
        <v>93.3542217374465</v>
      </c>
      <c r="AF75" s="13" t="n">
        <f aca="false">IF(Time!AF34=1,INDEX(Funding!$J$64:$BJ$64,1,Time!$F$14),Time!AF35*(AF73-AF74))</f>
        <v>75.2519774280195</v>
      </c>
      <c r="AG75" s="13" t="n">
        <f aca="false">IF(Time!AG34=1,INDEX(Funding!$J$64:$BJ$64,1,Time!$F$14),Time!AG35*(AG73-AG74))</f>
        <v>57.3789161755596</v>
      </c>
      <c r="AH75" s="13" t="n">
        <f aca="false">IF(Time!AH34=1,INDEX(Funding!$J$64:$BJ$64,1,Time!$F$14),Time!AH35*(AH73-AH74))</f>
        <v>38.6850844166379</v>
      </c>
      <c r="AI75" s="13" t="n">
        <f aca="false">IF(Time!AI34=1,INDEX(Funding!$J$64:$BJ$64,1,Time!$F$14),Time!AI35*(AI73-AI74))</f>
        <v>20.3138881988674</v>
      </c>
      <c r="AJ75" s="13" t="n">
        <f aca="false">IF(Time!AJ34=1,INDEX(Funding!$J$64:$BJ$64,1,Time!$F$14),Time!AJ35*(AJ73-AJ74))</f>
        <v>1.68103167515298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0.0836337254194869</v>
      </c>
      <c r="Q77" s="13" t="n">
        <f aca="false">Time!Q35*P89</f>
        <v>0.0820529679762427</v>
      </c>
      <c r="R77" s="13" t="n">
        <f aca="false">Time!R35*Q89</f>
        <v>0.080355991265304</v>
      </c>
      <c r="S77" s="13" t="n">
        <f aca="false">Time!S35*R89</f>
        <v>0.0785157708441258</v>
      </c>
      <c r="T77" s="13" t="n">
        <f aca="false">Time!T35*S89</f>
        <v>0.0765878966773097</v>
      </c>
      <c r="U77" s="13" t="n">
        <f aca="false">Time!U35*T89</f>
        <v>0.0745149763908816</v>
      </c>
      <c r="V77" s="13" t="n">
        <f aca="false">Time!V35*U89</f>
        <v>0.0723378932782924</v>
      </c>
      <c r="W77" s="13" t="n">
        <f aca="false">Time!W35*V89</f>
        <v>0.0699338943663735</v>
      </c>
      <c r="X77" s="13" t="n">
        <f aca="false">Time!X35*W89</f>
        <v>0.0674181616538557</v>
      </c>
      <c r="Y77" s="13" t="n">
        <f aca="false">Time!Y35*X89</f>
        <v>0.0650164011118648</v>
      </c>
      <c r="Z77" s="13" t="n">
        <f aca="false">Time!Z35*Y89</f>
        <v>0.0626216708887536</v>
      </c>
      <c r="AA77" s="13" t="n">
        <f aca="false">Time!AA35*Z89</f>
        <v>0.0600759375606714</v>
      </c>
      <c r="AB77" s="13" t="n">
        <f aca="false">Time!AB35*AA89</f>
        <v>0.0574189458115556</v>
      </c>
      <c r="AC77" s="13" t="n">
        <f aca="false">Time!AC35*AB89</f>
        <v>0.0545727300495588</v>
      </c>
      <c r="AD77" s="13" t="n">
        <f aca="false">Time!AD35*AC89</f>
        <v>0.0515881336297287</v>
      </c>
      <c r="AE77" s="13" t="n">
        <f aca="false">Time!AE35*AD89</f>
        <v>0.0482011007383339</v>
      </c>
      <c r="AF77" s="13" t="n">
        <f aca="false">Time!AF35*AE89</f>
        <v>0.0446066407480478</v>
      </c>
      <c r="AG77" s="13" t="n">
        <f aca="false">Time!AG35*AF89</f>
        <v>0.0408366633052825</v>
      </c>
      <c r="AH77" s="13" t="n">
        <f aca="false">Time!AH35*AG89</f>
        <v>0.0369726798613707</v>
      </c>
      <c r="AI77" s="13" t="n">
        <f aca="false">Time!AI35*AH89</f>
        <v>0.032841666659199</v>
      </c>
      <c r="AJ77" s="13" t="n">
        <f aca="false">Time!AJ35*AI89</f>
        <v>0.0285425564843366</v>
      </c>
      <c r="AK77" s="13" t="n">
        <f aca="false">Time!AK35*AJ89</f>
        <v>0.0239628428764162</v>
      </c>
      <c r="AL77" s="13" t="n">
        <f aca="false">Time!AL35*AK89</f>
        <v>0.0191813763240176</v>
      </c>
      <c r="AM77" s="13" t="n">
        <f aca="false">Time!AM35*AL89</f>
        <v>0.0140176660157232</v>
      </c>
      <c r="AN77" s="13" t="n">
        <f aca="false">Time!AN35*AM89</f>
        <v>0.00864761123665667</v>
      </c>
      <c r="AO77" s="13" t="n">
        <f aca="false">Time!AO35*AN89</f>
        <v>0.00426016143929583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0.0543354579552766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0.00331538955780698</v>
      </c>
      <c r="Q79" s="13" t="n">
        <f aca="false">Q77*Q14</f>
        <v>0.0032084928947845</v>
      </c>
      <c r="R79" s="13" t="n">
        <f aca="false">R77*R14</f>
        <v>0.00319421612804798</v>
      </c>
      <c r="S79" s="13" t="n">
        <f aca="false">S77*S14</f>
        <v>0.0030743896950962</v>
      </c>
      <c r="T79" s="13" t="n">
        <f aca="false">T77*T14</f>
        <v>0.0030486067565392</v>
      </c>
      <c r="U79" s="13" t="n">
        <f aca="false">U77*U14</f>
        <v>0.00293385332711272</v>
      </c>
      <c r="V79" s="13" t="n">
        <f aca="false">V77*V14</f>
        <v>0.00287943395457352</v>
      </c>
      <c r="W79" s="13" t="n">
        <f aca="false">W77*W14</f>
        <v>0.00273835487910784</v>
      </c>
      <c r="X79" s="13" t="n">
        <f aca="false">X77*X14</f>
        <v>0.00268360239735228</v>
      </c>
      <c r="Y79" s="13" t="n">
        <f aca="false">Y77*Y14</f>
        <v>0.00265476654630366</v>
      </c>
      <c r="Z79" s="13" t="n">
        <f aca="false">Z77*Z14</f>
        <v>0.00259936525624242</v>
      </c>
      <c r="AA79" s="13" t="n">
        <f aca="false">AA77*AA14</f>
        <v>0.00245303625772041</v>
      </c>
      <c r="AB79" s="13" t="n">
        <f aca="false">AB77*AB14</f>
        <v>0.00238340514831948</v>
      </c>
      <c r="AC79" s="13" t="n">
        <f aca="false">AC77*AC14</f>
        <v>0.00224063906552589</v>
      </c>
      <c r="AD79" s="13" t="n">
        <f aca="false">AD77*AD14</f>
        <v>0.00214137374950803</v>
      </c>
      <c r="AE79" s="13" t="n">
        <f aca="false">AE77*AE14</f>
        <v>0.00196815984192932</v>
      </c>
      <c r="AF79" s="13" t="n">
        <f aca="false">AF77*AF14</f>
        <v>0.00185157870290852</v>
      </c>
      <c r="AG79" s="13" t="n">
        <f aca="false">AG77*AG14</f>
        <v>0.001735892446126</v>
      </c>
      <c r="AH79" s="13" t="n">
        <f aca="false">AH77*AH14</f>
        <v>0.00159769082933982</v>
      </c>
      <c r="AI79" s="13" t="n">
        <f aca="false">AI77*AI14</f>
        <v>0.00139603964813935</v>
      </c>
      <c r="AJ79" s="13" t="n">
        <f aca="false">AJ77*AJ14</f>
        <v>0.00123340209343558</v>
      </c>
      <c r="AK79" s="13" t="n">
        <f aca="false">AK77*AK14</f>
        <v>0.00102424468057936</v>
      </c>
      <c r="AL79" s="13" t="n">
        <f aca="false">AL77*AL14</f>
        <v>0.000828879842140356</v>
      </c>
      <c r="AM79" s="13" t="n">
        <f aca="false">AM77*AM14</f>
        <v>0.00059586554286044</v>
      </c>
      <c r="AN79" s="13" t="n">
        <f aca="false">AN77*AN14</f>
        <v>0.000373686982396361</v>
      </c>
      <c r="AO79" s="13" t="n">
        <f aca="false">AO77*AO14</f>
        <v>0.000181091731380372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0.0836337254194869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0.00158075744324424</v>
      </c>
      <c r="Q80" s="13" t="n">
        <f aca="false">Time!Q35*(Q77-Q78)*Q19</f>
        <v>0.00169697671093865</v>
      </c>
      <c r="R80" s="13" t="n">
        <f aca="false">Time!R35*(R77-R78)*R19</f>
        <v>0.0018402204211782</v>
      </c>
      <c r="S80" s="13" t="n">
        <f aca="false">Time!S35*(S77-S78)*S19</f>
        <v>0.00192787416681611</v>
      </c>
      <c r="T80" s="13" t="n">
        <f aca="false">Time!T35*(T77-T78)*T19</f>
        <v>0.00207292028642812</v>
      </c>
      <c r="U80" s="13" t="n">
        <f aca="false">Time!U35*(U77-U78)*U19</f>
        <v>0.00217708311258915</v>
      </c>
      <c r="V80" s="13" t="n">
        <f aca="false">Time!V35*(V77-V78)*V19</f>
        <v>0.00240399891191885</v>
      </c>
      <c r="W80" s="13" t="n">
        <f aca="false">Time!W35*(W77-W78)*W19</f>
        <v>0.00251573271251782</v>
      </c>
      <c r="X80" s="13" t="n">
        <f aca="false">Time!X35*(X77-X78)*X19</f>
        <v>0.00240176054199088</v>
      </c>
      <c r="Y80" s="13" t="n">
        <f aca="false">Time!Y35*(Y77-Y78)*Y19</f>
        <v>0.00239473022311123</v>
      </c>
      <c r="Z80" s="13" t="n">
        <f aca="false">Time!Z35*(Z77-Z78)*Z19</f>
        <v>0.00254573332808216</v>
      </c>
      <c r="AA80" s="13" t="n">
        <f aca="false">Time!AA35*(AA77-AA78)*AA19</f>
        <v>0.00265699174911585</v>
      </c>
      <c r="AB80" s="13" t="n">
        <f aca="false">Time!AB35*(AB77-AB78)*AB19</f>
        <v>0.00284621576199674</v>
      </c>
      <c r="AC80" s="13" t="n">
        <f aca="false">Time!AC35*(AC77-AC78)*AC19</f>
        <v>0.0029845964198301</v>
      </c>
      <c r="AD80" s="13" t="n">
        <f aca="false">Time!AD35*(AD77-AD78)*AD19</f>
        <v>0.00338703289139486</v>
      </c>
      <c r="AE80" s="13" t="n">
        <f aca="false">Time!AE35*(AE77-AE78)*AE19</f>
        <v>0.00359445999028613</v>
      </c>
      <c r="AF80" s="13" t="n">
        <f aca="false">Time!AF35*(AF77-AF78)*AF19</f>
        <v>0.00376997744276527</v>
      </c>
      <c r="AG80" s="13" t="n">
        <f aca="false">Time!AG35*(AG77-AG78)*AG19</f>
        <v>0.0038639834439118</v>
      </c>
      <c r="AH80" s="13" t="n">
        <f aca="false">Time!AH35*(AH77-AH78)*AH19</f>
        <v>0.00413101320217169</v>
      </c>
      <c r="AI80" s="13" t="n">
        <f aca="false">Time!AI35*(AI77-AI78)*AI19</f>
        <v>0.00429911017486241</v>
      </c>
      <c r="AJ80" s="13" t="n">
        <f aca="false">Time!AJ35*(AJ77-AJ78)*AJ19</f>
        <v>0.00457971360792039</v>
      </c>
      <c r="AK80" s="13" t="n">
        <f aca="false">Time!AK35*(AK77-AK78)*AK19</f>
        <v>0.00478146655239856</v>
      </c>
      <c r="AL80" s="13" t="n">
        <f aca="false">Time!AL35*(AL77-AL78)*AL19</f>
        <v>0.0051637103082944</v>
      </c>
      <c r="AM80" s="13" t="n">
        <f aca="false">Time!AM35*(AM77-AM78)*AM19</f>
        <v>0.00537005477906656</v>
      </c>
      <c r="AN80" s="13" t="n">
        <f aca="false">Time!AN35*(AN77-AN78)*AN19</f>
        <v>0.00438744979736085</v>
      </c>
      <c r="AO80" s="13" t="n">
        <f aca="false">Time!AO35*(AO77-AO78)*AO19</f>
        <v>0.00426016143929583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0.0836337254194869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0.00158075744324424</v>
      </c>
      <c r="Q83" s="13" t="n">
        <f aca="false">Q80-Q81+Q82</f>
        <v>0.00169697671093865</v>
      </c>
      <c r="R83" s="13" t="n">
        <f aca="false">R80-R81+R82</f>
        <v>0.0018402204211782</v>
      </c>
      <c r="S83" s="13" t="n">
        <f aca="false">S80-S81+S82</f>
        <v>0.00192787416681611</v>
      </c>
      <c r="T83" s="13" t="n">
        <f aca="false">T80-T81+T82</f>
        <v>0.00207292028642812</v>
      </c>
      <c r="U83" s="13" t="n">
        <f aca="false">U80-U81+U82</f>
        <v>0.00217708311258915</v>
      </c>
      <c r="V83" s="13" t="n">
        <f aca="false">V80-V81+V82</f>
        <v>0.00240399891191885</v>
      </c>
      <c r="W83" s="13" t="n">
        <f aca="false">W80-W81+W82</f>
        <v>0.00251573271251782</v>
      </c>
      <c r="X83" s="13" t="n">
        <f aca="false">X80-X81+X82</f>
        <v>0.00240176054199088</v>
      </c>
      <c r="Y83" s="13" t="n">
        <f aca="false">Y80-Y81+Y82</f>
        <v>0.00239473022311123</v>
      </c>
      <c r="Z83" s="13" t="n">
        <f aca="false">Z80-Z81+Z82</f>
        <v>0.00254573332808216</v>
      </c>
      <c r="AA83" s="13" t="n">
        <f aca="false">AA80-AA81+AA82</f>
        <v>0.00265699174911585</v>
      </c>
      <c r="AB83" s="13" t="n">
        <f aca="false">AB80-AB81+AB82</f>
        <v>0.00284621576199674</v>
      </c>
      <c r="AC83" s="13" t="n">
        <f aca="false">AC80-AC81+AC82</f>
        <v>0.0029845964198301</v>
      </c>
      <c r="AD83" s="13" t="n">
        <f aca="false">AD80-AD81+AD82</f>
        <v>0.00338703289139486</v>
      </c>
      <c r="AE83" s="13" t="n">
        <f aca="false">AE80-AE81+AE82</f>
        <v>0.00359445999028613</v>
      </c>
      <c r="AF83" s="13" t="n">
        <f aca="false">AF80-AF81+AF82</f>
        <v>0.00376997744276527</v>
      </c>
      <c r="AG83" s="13" t="n">
        <f aca="false">AG80-AG81+AG82</f>
        <v>0.0038639834439118</v>
      </c>
      <c r="AH83" s="13" t="n">
        <f aca="false">AH80-AH81+AH82</f>
        <v>0.00413101320217169</v>
      </c>
      <c r="AI83" s="13" t="n">
        <f aca="false">AI80-AI81+AI82</f>
        <v>0.00429911017486241</v>
      </c>
      <c r="AJ83" s="13" t="n">
        <f aca="false">AJ80-AJ81+AJ82</f>
        <v>0.00457971360792039</v>
      </c>
      <c r="AK83" s="13" t="n">
        <f aca="false">AK80-AK81+AK82</f>
        <v>0.00478146655239856</v>
      </c>
      <c r="AL83" s="13" t="n">
        <f aca="false">AL80-AL81+AL82</f>
        <v>0.0051637103082944</v>
      </c>
      <c r="AM83" s="13" t="n">
        <f aca="false">AM80-AM81+AM82</f>
        <v>0.00537005477906656</v>
      </c>
      <c r="AN83" s="13" t="n">
        <f aca="false">AN80-AN81+AN82</f>
        <v>0.00438744979736085</v>
      </c>
      <c r="AO83" s="13" t="n">
        <f aca="false">AO80-AO81+AO82</f>
        <v>0.00426016143929583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0.0820529679762427</v>
      </c>
      <c r="Q87" s="13" t="n">
        <f aca="false">Q77-Q83-Q84-Q85</f>
        <v>0.080355991265304</v>
      </c>
      <c r="R87" s="13" t="n">
        <f aca="false">R77-R83-R84-R85</f>
        <v>0.0785157708441258</v>
      </c>
      <c r="S87" s="13" t="n">
        <f aca="false">S77-S83-S84-S85</f>
        <v>0.0765878966773097</v>
      </c>
      <c r="T87" s="13" t="n">
        <f aca="false">T77-T83-T84-T85</f>
        <v>0.0745149763908816</v>
      </c>
      <c r="U87" s="13" t="n">
        <f aca="false">U77-U83-U84-U85</f>
        <v>0.0723378932782924</v>
      </c>
      <c r="V87" s="13" t="n">
        <f aca="false">V77-V83-V84-V85</f>
        <v>0.0699338943663735</v>
      </c>
      <c r="W87" s="13" t="n">
        <f aca="false">W77-W83-W84-W85</f>
        <v>0.0674181616538557</v>
      </c>
      <c r="X87" s="13" t="n">
        <f aca="false">X77-X83-X84-X85</f>
        <v>0.0650164011118648</v>
      </c>
      <c r="Y87" s="13" t="n">
        <f aca="false">Y77-Y83-Y84-Y85</f>
        <v>0.0626216708887536</v>
      </c>
      <c r="Z87" s="13" t="n">
        <f aca="false">Z77-Z83-Z84-Z85</f>
        <v>0.0600759375606714</v>
      </c>
      <c r="AA87" s="13" t="n">
        <f aca="false">AA77-AA83-AA84-AA85</f>
        <v>0.0574189458115556</v>
      </c>
      <c r="AB87" s="13" t="n">
        <f aca="false">AB77-AB83-AB84-AB85</f>
        <v>0.0545727300495588</v>
      </c>
      <c r="AC87" s="13" t="n">
        <f aca="false">AC77-AC83-AC84-AC85</f>
        <v>0.0515881336297287</v>
      </c>
      <c r="AD87" s="13" t="n">
        <f aca="false">AD77-AD83-AD84-AD85</f>
        <v>0.0482011007383339</v>
      </c>
      <c r="AE87" s="13" t="n">
        <f aca="false">AE77-AE83-AE84-AE85</f>
        <v>0.0446066407480478</v>
      </c>
      <c r="AF87" s="13" t="n">
        <f aca="false">AF77-AF83-AF84-AF85</f>
        <v>0.0408366633052825</v>
      </c>
      <c r="AG87" s="13" t="n">
        <f aca="false">AG77-AG83-AG84-AG85</f>
        <v>0.0369726798613707</v>
      </c>
      <c r="AH87" s="13" t="n">
        <f aca="false">AH77-AH83-AH84-AH85</f>
        <v>0.032841666659199</v>
      </c>
      <c r="AI87" s="13" t="n">
        <f aca="false">AI77-AI83-AI84-AI85</f>
        <v>0.0285425564843366</v>
      </c>
      <c r="AJ87" s="13" t="n">
        <f aca="false">AJ77-AJ83-AJ84-AJ85</f>
        <v>0.0239628428764162</v>
      </c>
      <c r="AK87" s="13" t="n">
        <f aca="false">AK77-AK83-AK84-AK85</f>
        <v>0.0191813763240176</v>
      </c>
      <c r="AL87" s="13" t="n">
        <f aca="false">AL77-AL83-AL84-AL85</f>
        <v>0.0140176660157232</v>
      </c>
      <c r="AM87" s="13" t="n">
        <f aca="false">AM77-AM83-AM84-AM85</f>
        <v>0.00864761123665667</v>
      </c>
      <c r="AN87" s="13" t="n">
        <f aca="false">AN77-AN83-AN84-AN85</f>
        <v>0.00426016143929583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0.0836337254194869</v>
      </c>
      <c r="P89" s="13" t="n">
        <f aca="false">IF(Time!P34=1,INDEX(Funding!$J$65:$BJ$65,1,Time!$F$14),Time!P35*(P87-P88))</f>
        <v>0.0820529679762427</v>
      </c>
      <c r="Q89" s="13" t="n">
        <f aca="false">IF(Time!Q34=1,INDEX(Funding!$J$65:$BJ$65,1,Time!$F$14),Time!Q35*(Q87-Q88))</f>
        <v>0.080355991265304</v>
      </c>
      <c r="R89" s="13" t="n">
        <f aca="false">IF(Time!R34=1,INDEX(Funding!$J$65:$BJ$65,1,Time!$F$14),Time!R35*(R87-R88))</f>
        <v>0.0785157708441258</v>
      </c>
      <c r="S89" s="13" t="n">
        <f aca="false">IF(Time!S34=1,INDEX(Funding!$J$65:$BJ$65,1,Time!$F$14),Time!S35*(S87-S88))</f>
        <v>0.0765878966773097</v>
      </c>
      <c r="T89" s="13" t="n">
        <f aca="false">IF(Time!T34=1,INDEX(Funding!$J$65:$BJ$65,1,Time!$F$14),Time!T35*(T87-T88))</f>
        <v>0.0745149763908816</v>
      </c>
      <c r="U89" s="13" t="n">
        <f aca="false">IF(Time!U34=1,INDEX(Funding!$J$65:$BJ$65,1,Time!$F$14),Time!U35*(U87-U88))</f>
        <v>0.0723378932782924</v>
      </c>
      <c r="V89" s="13" t="n">
        <f aca="false">IF(Time!V34=1,INDEX(Funding!$J$65:$BJ$65,1,Time!$F$14),Time!V35*(V87-V88))</f>
        <v>0.0699338943663735</v>
      </c>
      <c r="W89" s="13" t="n">
        <f aca="false">IF(Time!W34=1,INDEX(Funding!$J$65:$BJ$65,1,Time!$F$14),Time!W35*(W87-W88))</f>
        <v>0.0674181616538557</v>
      </c>
      <c r="X89" s="13" t="n">
        <f aca="false">IF(Time!X34=1,INDEX(Funding!$J$65:$BJ$65,1,Time!$F$14),Time!X35*(X87-X88))</f>
        <v>0.0650164011118648</v>
      </c>
      <c r="Y89" s="13" t="n">
        <f aca="false">IF(Time!Y34=1,INDEX(Funding!$J$65:$BJ$65,1,Time!$F$14),Time!Y35*(Y87-Y88))</f>
        <v>0.0626216708887536</v>
      </c>
      <c r="Z89" s="13" t="n">
        <f aca="false">IF(Time!Z34=1,INDEX(Funding!$J$65:$BJ$65,1,Time!$F$14),Time!Z35*(Z87-Z88))</f>
        <v>0.0600759375606714</v>
      </c>
      <c r="AA89" s="13" t="n">
        <f aca="false">IF(Time!AA34=1,INDEX(Funding!$J$65:$BJ$65,1,Time!$F$14),Time!AA35*(AA87-AA88))</f>
        <v>0.0574189458115556</v>
      </c>
      <c r="AB89" s="13" t="n">
        <f aca="false">IF(Time!AB34=1,INDEX(Funding!$J$65:$BJ$65,1,Time!$F$14),Time!AB35*(AB87-AB88))</f>
        <v>0.0545727300495588</v>
      </c>
      <c r="AC89" s="13" t="n">
        <f aca="false">IF(Time!AC34=1,INDEX(Funding!$J$65:$BJ$65,1,Time!$F$14),Time!AC35*(AC87-AC88))</f>
        <v>0.0515881336297287</v>
      </c>
      <c r="AD89" s="13" t="n">
        <f aca="false">IF(Time!AD34=1,INDEX(Funding!$J$65:$BJ$65,1,Time!$F$14),Time!AD35*(AD87-AD88))</f>
        <v>0.0482011007383339</v>
      </c>
      <c r="AE89" s="13" t="n">
        <f aca="false">IF(Time!AE34=1,INDEX(Funding!$J$65:$BJ$65,1,Time!$F$14),Time!AE35*(AE87-AE88))</f>
        <v>0.0446066407480478</v>
      </c>
      <c r="AF89" s="13" t="n">
        <f aca="false">IF(Time!AF34=1,INDEX(Funding!$J$65:$BJ$65,1,Time!$F$14),Time!AF35*(AF87-AF88))</f>
        <v>0.0408366633052825</v>
      </c>
      <c r="AG89" s="13" t="n">
        <f aca="false">IF(Time!AG34=1,INDEX(Funding!$J$65:$BJ$65,1,Time!$F$14),Time!AG35*(AG87-AG88))</f>
        <v>0.0369726798613707</v>
      </c>
      <c r="AH89" s="13" t="n">
        <f aca="false">IF(Time!AH34=1,INDEX(Funding!$J$65:$BJ$65,1,Time!$F$14),Time!AH35*(AH87-AH88))</f>
        <v>0.032841666659199</v>
      </c>
      <c r="AI89" s="13" t="n">
        <f aca="false">IF(Time!AI34=1,INDEX(Funding!$J$65:$BJ$65,1,Time!$F$14),Time!AI35*(AI87-AI88))</f>
        <v>0.0285425564843366</v>
      </c>
      <c r="AJ89" s="13" t="n">
        <f aca="false">IF(Time!AJ34=1,INDEX(Funding!$J$65:$BJ$65,1,Time!$F$14),Time!AJ35*(AJ87-AJ88))</f>
        <v>0.0239628428764162</v>
      </c>
      <c r="AK89" s="13" t="n">
        <f aca="false">IF(Time!AK34=1,INDEX(Funding!$J$65:$BJ$65,1,Time!$F$14),Time!AK35*(AK87-AK88))</f>
        <v>0.0191813763240176</v>
      </c>
      <c r="AL89" s="13" t="n">
        <f aca="false">IF(Time!AL34=1,INDEX(Funding!$J$65:$BJ$65,1,Time!$F$14),Time!AL35*(AL87-AL88))</f>
        <v>0.0140176660157232</v>
      </c>
      <c r="AM89" s="13" t="n">
        <f aca="false">IF(Time!AM34=1,INDEX(Funding!$J$65:$BJ$65,1,Time!$F$14),Time!AM35*(AM87-AM88))</f>
        <v>0.00864761123665667</v>
      </c>
      <c r="AN89" s="13" t="n">
        <f aca="false">IF(Time!AN34=1,INDEX(Funding!$J$65:$BJ$65,1,Time!$F$14),Time!AN35*(AN87-AN88))</f>
        <v>0.00426016143929583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17.2204041927042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0.824011272792871</v>
      </c>
      <c r="AC108" s="13" t="n">
        <f aca="false">(Inputs!$F$95/100*Inputs!$F$96/100)*AC63*Time!AC25/Inputs!$F$248</f>
        <v>0.736110210204819</v>
      </c>
      <c r="AD108" s="13" t="n">
        <f aca="false">(Inputs!$F$95/100*Inputs!$F$96/100)*AD63*Time!AD25/Inputs!$F$248</f>
        <v>0.66597416285827</v>
      </c>
      <c r="AE108" s="13" t="n">
        <f aca="false">(Inputs!$F$95/100*Inputs!$F$96/100)*AE63*Time!AE25/Inputs!$F$248</f>
        <v>0.568817766845457</v>
      </c>
      <c r="AF108" s="13" t="n">
        <f aca="false">(Inputs!$F$95/100*Inputs!$F$96/100)*AF63*Time!AF25/Inputs!$F$248</f>
        <v>0.487078848977516</v>
      </c>
      <c r="AG108" s="13" t="n">
        <f aca="false">(Inputs!$F$95/100*Inputs!$F$96/100)*AG63*Time!AG25/Inputs!$F$248</f>
        <v>0.386228197026795</v>
      </c>
      <c r="AH108" s="13" t="n">
        <f aca="false">(Inputs!$F$95/100*Inputs!$F$96/100)*AH63*Time!AH25/Inputs!$F$248</f>
        <v>0.299376460177358</v>
      </c>
      <c r="AI108" s="13" t="n">
        <f aca="false">(Inputs!$F$95/100*Inputs!$F$96/100)*AI63*Time!AI25/Inputs!$F$248</f>
        <v>0.198549870936736</v>
      </c>
      <c r="AJ108" s="13" t="n">
        <f aca="false">(Inputs!$F$95/100*Inputs!$F$96/100)*AJ63*Time!AJ25/Inputs!$F$248</f>
        <v>0.105988407358694</v>
      </c>
      <c r="AK108" s="13" t="n">
        <f aca="false">(Inputs!$F$95/100*Inputs!$F$96/100)*AK63*Time!AK25/Inputs!$F$248</f>
        <v>0.00867550511365936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307.026422163959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20.930284026911</v>
      </c>
      <c r="Q111" s="13" t="n">
        <f aca="false">Q23+Q37+Q51+Q65+Q79+Q92</f>
        <v>20.1817641388983</v>
      </c>
      <c r="R111" s="13" t="n">
        <f aca="false">R23+R37+R51+R65+R79+R92</f>
        <v>20.011938192594</v>
      </c>
      <c r="S111" s="13" t="n">
        <f aca="false">S23+S37+S51+S65+S79+S92</f>
        <v>19.1919093746818</v>
      </c>
      <c r="T111" s="13" t="n">
        <f aca="false">T23+T37+T51+T65+T79+T92</f>
        <v>18.9586781442984</v>
      </c>
      <c r="U111" s="13" t="n">
        <f aca="false">U23+U37+U51+U65+U79+U92</f>
        <v>18.1785982580571</v>
      </c>
      <c r="V111" s="13" t="n">
        <f aca="false">V23+V37+V51+V65+V79+V92</f>
        <v>17.7772321923975</v>
      </c>
      <c r="W111" s="13" t="n">
        <f aca="false">W23+W37+W51+W65+W79+W92</f>
        <v>16.8514488661533</v>
      </c>
      <c r="X111" s="13" t="n">
        <f aca="false">X23+X37+X51+X65+X79+X92</f>
        <v>16.4619483159134</v>
      </c>
      <c r="Y111" s="13" t="n">
        <f aca="false">Y23+Y37+Y51+Y65+Y79+Y92</f>
        <v>16.0779567004314</v>
      </c>
      <c r="Z111" s="13" t="n">
        <f aca="false">Z23+Z37+Z51+Z65+Z79+Z92</f>
        <v>15.6803498994972</v>
      </c>
      <c r="AA111" s="13" t="n">
        <f aca="false">AA23+AA37+AA51+AA65+AA79+AA92</f>
        <v>14.7405355093253</v>
      </c>
      <c r="AB111" s="13" t="n">
        <f aca="false">AB23+AB37+AB51+AB65+AB79+AB92</f>
        <v>13.9849126913345</v>
      </c>
      <c r="AC111" s="13" t="n">
        <f aca="false">AC23+AC37+AC51+AC65+AC79+AC92</f>
        <v>12.7730798563489</v>
      </c>
      <c r="AD111" s="13" t="n">
        <f aca="false">AD23+AD37+AD51+AD65+AD79+AD92</f>
        <v>11.8438935427818</v>
      </c>
      <c r="AE111" s="13" t="n">
        <f aca="false">AE23+AE37+AE51+AE65+AE79+AE92</f>
        <v>10.4874701800448</v>
      </c>
      <c r="AF111" s="13" t="n">
        <f aca="false">AF23+AF37+AF51+AF65+AF79+AF92</f>
        <v>9.43269698167569</v>
      </c>
      <c r="AG111" s="13" t="n">
        <f aca="false">AG23+AG37+AG51+AG65+AG79+AG92</f>
        <v>8.23922754616814</v>
      </c>
      <c r="AH111" s="13" t="n">
        <f aca="false">AH23+AH37+AH51+AH65+AH79+AH92</f>
        <v>7.05667048599599</v>
      </c>
      <c r="AI111" s="13" t="n">
        <f aca="false">AI23+AI37+AI51+AI65+AI79+AI92</f>
        <v>5.58464818097937</v>
      </c>
      <c r="AJ111" s="13" t="n">
        <f aca="false">AJ23+AJ37+AJ51+AJ65+AJ79+AJ92</f>
        <v>4.29894827601101</v>
      </c>
      <c r="AK111" s="13" t="n">
        <f aca="false">AK23+AK37+AK51+AK65+AK79+AK92</f>
        <v>2.85396316942301</v>
      </c>
      <c r="AL111" s="13" t="n">
        <f aca="false">AL23+AL37+AL51+AL65+AL79+AL92</f>
        <v>2.24639761200148</v>
      </c>
      <c r="AM111" s="13" t="n">
        <f aca="false">AM23+AM37+AM51+AM65+AM79+AM92</f>
        <v>1.62744006577566</v>
      </c>
      <c r="AN111" s="13" t="n">
        <f aca="false">AN23+AN37+AN51+AN65+AN79+AN92</f>
        <v>1.04541087173337</v>
      </c>
      <c r="AO111" s="13" t="n">
        <f aca="false">AO23+AO37+AO51+AO65+AO79+AO92</f>
        <v>0.50901908452698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315.949637059037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21.6459045565159</v>
      </c>
      <c r="Q112" s="13" t="n">
        <f aca="false">Q111+Q107+Q108+Q109</f>
        <v>20.9441443137716</v>
      </c>
      <c r="R112" s="13" t="n">
        <f aca="false">R111+R107+R108+R109</f>
        <v>20.6566360076442</v>
      </c>
      <c r="S112" s="13" t="n">
        <f aca="false">S111+S107+S108+S109</f>
        <v>19.9028829710076</v>
      </c>
      <c r="T112" s="13" t="n">
        <f aca="false">T111+T107+T108+T109</f>
        <v>19.5559964836194</v>
      </c>
      <c r="U112" s="13" t="n">
        <f aca="false">U111+U107+U108+U109</f>
        <v>18.8261507856198</v>
      </c>
      <c r="V112" s="13" t="n">
        <f aca="false">V111+V107+V108+V109</f>
        <v>18.3468941371808</v>
      </c>
      <c r="W112" s="13" t="n">
        <f aca="false">W111+W107+W108+W109</f>
        <v>17.4929358293616</v>
      </c>
      <c r="X112" s="13" t="n">
        <f aca="false">X111+X107+X108+X109</f>
        <v>16.9973751099178</v>
      </c>
      <c r="Y112" s="13" t="n">
        <f aca="false">Y111+Y107+Y108+Y109</f>
        <v>16.6780111010117</v>
      </c>
      <c r="Z112" s="13" t="n">
        <f aca="false">Z111+Z107+Z108+Z109</f>
        <v>16.1827521406066</v>
      </c>
      <c r="AA112" s="13" t="n">
        <f aca="false">AA111+AA107+AA108+AA109</f>
        <v>15.2989121110846</v>
      </c>
      <c r="AB112" s="13" t="n">
        <f aca="false">AB111+AB107+AB108+AB109</f>
        <v>14.4168222512366</v>
      </c>
      <c r="AC112" s="13" t="n">
        <f aca="false">AC111+AC107+AC108+AC109</f>
        <v>13.1916834693402</v>
      </c>
      <c r="AD112" s="13" t="n">
        <f aca="false">AD111+AD107+AD108+AD109</f>
        <v>12.1616580580305</v>
      </c>
      <c r="AE112" s="13" t="n">
        <f aca="false">AE111+AE107+AE108+AE109</f>
        <v>10.8019273278615</v>
      </c>
      <c r="AF112" s="13" t="n">
        <f aca="false">AF111+AF107+AF108+AF109</f>
        <v>9.62133923817047</v>
      </c>
      <c r="AG112" s="13" t="n">
        <f aca="false">AG111+AG107+AG108+AG109</f>
        <v>8.41172506381701</v>
      </c>
      <c r="AH112" s="13" t="n">
        <f aca="false">AH111+AH107+AH108+AH109</f>
        <v>7.11071809385424</v>
      </c>
      <c r="AI112" s="13" t="n">
        <f aca="false">AI111+AI107+AI108+AI109</f>
        <v>5.61262849302436</v>
      </c>
      <c r="AJ112" s="13" t="n">
        <f aca="false">AJ111+AJ107+AJ108+AJ109</f>
        <v>4.21678466138132</v>
      </c>
      <c r="AK112" s="13" t="n">
        <f aca="false">AK111+AK107+AK108+AK109</f>
        <v>2.72749830722989</v>
      </c>
      <c r="AL112" s="13" t="n">
        <f aca="false">AL111+AL107+AL108+AL109</f>
        <v>2.12018093892231</v>
      </c>
      <c r="AM112" s="13" t="n">
        <f aca="false">AM111+AM107+AM108+AM109</f>
        <v>1.55456897541206</v>
      </c>
      <c r="AN112" s="13" t="n">
        <f aca="false">AN111+AN107+AN108+AN109</f>
        <v>0.987122487264173</v>
      </c>
      <c r="AO112" s="13" t="n">
        <f aca="false">AO111+AO107+AO108+AO109</f>
        <v>0.486384146150525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528.040190925081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15.6048870270799</v>
      </c>
      <c r="Q113" s="13" t="n">
        <f aca="false">Q27+Q41+Q55+Q69+Q83+Q93</f>
        <v>16.2177776105638</v>
      </c>
      <c r="R113" s="13" t="n">
        <f aca="false">R27+R41+R55+R69+R83+R93</f>
        <v>16.9731835160627</v>
      </c>
      <c r="S113" s="13" t="n">
        <f aca="false">S27+S41+S55+S69+S83+S93</f>
        <v>17.4354317849971</v>
      </c>
      <c r="T113" s="13" t="n">
        <f aca="false">T27+T41+T55+T69+T83+T93</f>
        <v>18.2003428246607</v>
      </c>
      <c r="U113" s="13" t="n">
        <f aca="false">U27+U41+U55+U69+U83+U93</f>
        <v>18.7496529052493</v>
      </c>
      <c r="V113" s="13" t="n">
        <f aca="false">V27+V41+V55+V69+V83+V93</f>
        <v>19.9463095303674</v>
      </c>
      <c r="W113" s="13" t="n">
        <f aca="false">W27+W41+W55+W69+W83+W93</f>
        <v>20.5355456837395</v>
      </c>
      <c r="X113" s="13" t="n">
        <f aca="false">X27+X41+X55+X69+X83+X93</f>
        <v>19.934505327171</v>
      </c>
      <c r="Y113" s="13" t="n">
        <f aca="false">Y27+Y41+Y55+Y69+Y83+Y93</f>
        <v>19.8974304399711</v>
      </c>
      <c r="Z113" s="13" t="n">
        <f aca="false">Z27+Z41+Z55+Z69+Z83+Z93</f>
        <v>20.6937560660872</v>
      </c>
      <c r="AA113" s="13" t="n">
        <f aca="false">AA27+AA41+AA55+AA69+AA83+AA93</f>
        <v>21.2804852714728</v>
      </c>
      <c r="AB113" s="13" t="n">
        <f aca="false">AB27+AB41+AB55+AB69+AB83+AB93</f>
        <v>21.9603162765376</v>
      </c>
      <c r="AC113" s="13" t="n">
        <f aca="false">AC27+AC41+AC55+AC69+AC83+AC93</f>
        <v>22.2661678026964</v>
      </c>
      <c r="AD113" s="13" t="n">
        <f aca="false">AD27+AD41+AD55+AD69+AD83+AD93</f>
        <v>23.8162049739976</v>
      </c>
      <c r="AE113" s="13" t="n">
        <f aca="false">AE27+AE41+AE55+AE69+AE83+AE93</f>
        <v>24.2006742604916</v>
      </c>
      <c r="AF113" s="13" t="n">
        <f aca="false">AF27+AF41+AF55+AF69+AF83+AF93</f>
        <v>24.2491963908079</v>
      </c>
      <c r="AG113" s="13" t="n">
        <f aca="false">AG27+AG41+AG55+AG69+AG83+AG93</f>
        <v>23.7063198875084</v>
      </c>
      <c r="AH113" s="13" t="n">
        <f aca="false">AH27+AH41+AH55+AH69+AH83+AH93</f>
        <v>23.640870397559</v>
      </c>
      <c r="AI113" s="13" t="n">
        <f aca="false">AI27+AI41+AI55+AI69+AI83+AI93</f>
        <v>22.699210739498</v>
      </c>
      <c r="AJ113" s="13" t="n">
        <f aca="false">AJ27+AJ41+AJ55+AJ69+AJ83+AJ93</f>
        <v>21.5712035265253</v>
      </c>
      <c r="AK113" s="13" t="n">
        <f aca="false">AK27+AK41+AK55+AK69+AK83+AK93</f>
        <v>19.1337152341737</v>
      </c>
      <c r="AL113" s="13" t="n">
        <f aca="false">AL27+AL41+AL55+AL69+AL83+AL93</f>
        <v>19.7199990739533</v>
      </c>
      <c r="AM113" s="13" t="n">
        <f aca="false">AM27+AM41+AM55+AM69+AM83+AM93</f>
        <v>20.2175612651599</v>
      </c>
      <c r="AN113" s="13" t="n">
        <f aca="false">AN27+AN41+AN55+AN69+AN83+AN93</f>
        <v>17.8481879257219</v>
      </c>
      <c r="AO113" s="13" t="n">
        <f aca="false">AO27+AO41+AO55+AO69+AO83+AO93</f>
        <v>17.5412551830275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843.989827984118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37.2507915835958</v>
      </c>
      <c r="Q114" s="13" t="n">
        <f aca="false">Q112+Q113</f>
        <v>37.1619219243354</v>
      </c>
      <c r="R114" s="13" t="n">
        <f aca="false">R112+R113</f>
        <v>37.6298195237069</v>
      </c>
      <c r="S114" s="13" t="n">
        <f aca="false">S112+S113</f>
        <v>37.3383147560047</v>
      </c>
      <c r="T114" s="13" t="n">
        <f aca="false">T112+T113</f>
        <v>37.7563393082801</v>
      </c>
      <c r="U114" s="13" t="n">
        <f aca="false">U112+U113</f>
        <v>37.5758036908691</v>
      </c>
      <c r="V114" s="13" t="n">
        <f aca="false">V112+V113</f>
        <v>38.2932036675482</v>
      </c>
      <c r="W114" s="13" t="n">
        <f aca="false">W112+W113</f>
        <v>38.0284815131011</v>
      </c>
      <c r="X114" s="13" t="n">
        <f aca="false">X112+X113</f>
        <v>36.9318804370888</v>
      </c>
      <c r="Y114" s="13" t="n">
        <f aca="false">Y112+Y113</f>
        <v>36.5754415409828</v>
      </c>
      <c r="Z114" s="13" t="n">
        <f aca="false">Z112+Z113</f>
        <v>36.8765082066938</v>
      </c>
      <c r="AA114" s="13" t="n">
        <f aca="false">AA112+AA113</f>
        <v>36.5793973825574</v>
      </c>
      <c r="AB114" s="13" t="n">
        <f aca="false">AB112+AB113</f>
        <v>36.3771385277743</v>
      </c>
      <c r="AC114" s="13" t="n">
        <f aca="false">AC112+AC113</f>
        <v>35.4578512720366</v>
      </c>
      <c r="AD114" s="13" t="n">
        <f aca="false">AD112+AD113</f>
        <v>35.9778630320282</v>
      </c>
      <c r="AE114" s="13" t="n">
        <f aca="false">AE112+AE113</f>
        <v>35.002601588353</v>
      </c>
      <c r="AF114" s="13" t="n">
        <f aca="false">AF112+AF113</f>
        <v>33.8705356289784</v>
      </c>
      <c r="AG114" s="13" t="n">
        <f aca="false">AG112+AG113</f>
        <v>32.1180449513254</v>
      </c>
      <c r="AH114" s="13" t="n">
        <f aca="false">AH112+AH113</f>
        <v>30.7515884914132</v>
      </c>
      <c r="AI114" s="13" t="n">
        <f aca="false">AI112+AI113</f>
        <v>28.3118392325224</v>
      </c>
      <c r="AJ114" s="13" t="n">
        <f aca="false">AJ112+AJ113</f>
        <v>25.7879881879066</v>
      </c>
      <c r="AK114" s="13" t="n">
        <f aca="false">AK112+AK113</f>
        <v>21.8612135414036</v>
      </c>
      <c r="AL114" s="13" t="n">
        <f aca="false">AL112+AL113</f>
        <v>21.8401800128756</v>
      </c>
      <c r="AM114" s="13" t="n">
        <f aca="false">AM112+AM113</f>
        <v>21.772130240572</v>
      </c>
      <c r="AN114" s="13" t="n">
        <f aca="false">AN112+AN113</f>
        <v>18.835310412986</v>
      </c>
      <c r="AO114" s="13" t="n">
        <f aca="false">AO112+AO113</f>
        <v>18.027639329178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630.033308503853</v>
      </c>
      <c r="Q115" s="13" t="n">
        <f aca="false">Q21+Q35+Q49+Q63+Q77+Q91</f>
        <v>614.428421476773</v>
      </c>
      <c r="R115" s="13" t="n">
        <f aca="false">R21+R35+R49+R63+R77+R91</f>
        <v>598.210643866209</v>
      </c>
      <c r="S115" s="13" t="n">
        <f aca="false">S21+S35+S49+S63+S77+S91</f>
        <v>581.237460350146</v>
      </c>
      <c r="T115" s="13" t="n">
        <f aca="false">T21+T35+T49+T63+T77+T91</f>
        <v>563.802028565149</v>
      </c>
      <c r="U115" s="13" t="n">
        <f aca="false">U21+U35+U49+U63+U77+U91</f>
        <v>545.601685740489</v>
      </c>
      <c r="V115" s="13" t="n">
        <f aca="false">V21+V35+V49+V63+V77+V91</f>
        <v>526.852032835239</v>
      </c>
      <c r="W115" s="13" t="n">
        <f aca="false">W21+W35+W49+W63+W77+W91</f>
        <v>506.905723304872</v>
      </c>
      <c r="X115" s="13" t="n">
        <f aca="false">X21+X35+X49+X63+X77+X91</f>
        <v>486.370177621132</v>
      </c>
      <c r="Y115" s="13" t="n">
        <f aca="false">Y21+Y35+Y49+Y63+Y77+Y91</f>
        <v>466.435672293961</v>
      </c>
      <c r="Z115" s="13" t="n">
        <f aca="false">Z21+Z35+Z49+Z63+Z77+Z91</f>
        <v>446.53824185399</v>
      </c>
      <c r="AA115" s="13" t="n">
        <f aca="false">AA21+AA35+AA49+AA63+AA77+AA91</f>
        <v>425.844485787903</v>
      </c>
      <c r="AB115" s="13" t="n">
        <f aca="false">AB21+AB35+AB49+AB63+AB77+AB91</f>
        <v>398.147621160111</v>
      </c>
      <c r="AC115" s="13" t="n">
        <f aca="false">AC21+AC35+AC49+AC63+AC77+AC91</f>
        <v>368.718969721647</v>
      </c>
      <c r="AD115" s="13" t="n">
        <f aca="false">AD21+AD35+AD49+AD63+AD77+AD91</f>
        <v>339.260760842152</v>
      </c>
      <c r="AE115" s="13" t="n">
        <f aca="false">AE21+AE35+AE49+AE63+AE77+AE91</f>
        <v>307.01073233468</v>
      </c>
      <c r="AF115" s="13" t="n">
        <f aca="false">AF21+AF35+AF49+AF63+AF77+AF91</f>
        <v>273.601530239088</v>
      </c>
      <c r="AG115" s="13" t="n">
        <f aca="false">AG21+AG35+AG49+AG63+AG77+AG91</f>
        <v>239.140020370564</v>
      </c>
      <c r="AH115" s="13" t="n">
        <f aca="false">AH21+AH35+AH49+AH63+AH77+AH91</f>
        <v>204.681015171445</v>
      </c>
      <c r="AI115" s="13" t="n">
        <f aca="false">AI21+AI35+AI49+AI63+AI77+AI91</f>
        <v>168.757345732536</v>
      </c>
      <c r="AJ115" s="13" t="n">
        <f aca="false">AJ21+AJ35+AJ49+AJ63+AJ77+AJ91</f>
        <v>132.750976534276</v>
      </c>
      <c r="AK115" s="13" t="n">
        <f aca="false">AK21+AK35+AK49+AK63+AK77+AK91</f>
        <v>95.8063228467841</v>
      </c>
      <c r="AL115" s="13" t="n">
        <f aca="false">AL21+AL35+AL49+AL63+AL77+AL91</f>
        <v>75.3270034478626</v>
      </c>
      <c r="AM115" s="13" t="n">
        <f aca="false">AM21+AM35+AM49+AM63+AM77+AM91</f>
        <v>55.6070043739092</v>
      </c>
      <c r="AN115" s="13" t="n">
        <f aca="false">AN21+AN35+AN49+AN63+AN77+AN91</f>
        <v>35.3894431087493</v>
      </c>
      <c r="AO115" s="13" t="n">
        <f aca="false">AO21+AO35+AO49+AO63+AO77+AO91</f>
        <v>17.5412551830275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630.033308503853</v>
      </c>
      <c r="P116" s="13" t="n">
        <f aca="false">P33+P47+P61+P75+P89+P95</f>
        <v>614.428421476773</v>
      </c>
      <c r="Q116" s="13" t="n">
        <f aca="false">Q33+Q47+Q61+Q75+Q89+Q95</f>
        <v>598.210643866209</v>
      </c>
      <c r="R116" s="13" t="n">
        <f aca="false">R33+R47+R61+R75+R89+R95</f>
        <v>581.237460350146</v>
      </c>
      <c r="S116" s="13" t="n">
        <f aca="false">S33+S47+S61+S75+S89+S95</f>
        <v>563.802028565149</v>
      </c>
      <c r="T116" s="13" t="n">
        <f aca="false">T33+T47+T61+T75+T89+T95</f>
        <v>545.601685740489</v>
      </c>
      <c r="U116" s="13" t="n">
        <f aca="false">U33+U47+U61+U75+U89+U95</f>
        <v>526.852032835239</v>
      </c>
      <c r="V116" s="13" t="n">
        <f aca="false">V33+V47+V61+V75+V89+V95</f>
        <v>506.905723304872</v>
      </c>
      <c r="W116" s="13" t="n">
        <f aca="false">W33+W47+W61+W75+W89+W95</f>
        <v>486.370177621132</v>
      </c>
      <c r="X116" s="13" t="n">
        <f aca="false">X33+X47+X61+X75+X89+X95</f>
        <v>466.435672293961</v>
      </c>
      <c r="Y116" s="13" t="n">
        <f aca="false">Y33+Y47+Y61+Y75+Y89+Y95</f>
        <v>446.53824185399</v>
      </c>
      <c r="Z116" s="13" t="n">
        <f aca="false">Z33+Z47+Z61+Z75+Z89+Z95</f>
        <v>425.844485787903</v>
      </c>
      <c r="AA116" s="13" t="n">
        <f aca="false">AA33+AA47+AA61+AA75+AA89+AA95</f>
        <v>398.147621160111</v>
      </c>
      <c r="AB116" s="13" t="n">
        <f aca="false">AB33+AB47+AB61+AB75+AB89+AB95</f>
        <v>368.718969721647</v>
      </c>
      <c r="AC116" s="13" t="n">
        <f aca="false">AC33+AC47+AC61+AC75+AC89+AC95</f>
        <v>339.260760842152</v>
      </c>
      <c r="AD116" s="13" t="n">
        <f aca="false">AD33+AD47+AD61+AD75+AD89+AD95</f>
        <v>307.01073233468</v>
      </c>
      <c r="AE116" s="13" t="n">
        <f aca="false">AE33+AE47+AE61+AE75+AE89+AE95</f>
        <v>273.601530239088</v>
      </c>
      <c r="AF116" s="13" t="n">
        <f aca="false">AF33+AF47+AF61+AF75+AF89+AF95</f>
        <v>239.140020370564</v>
      </c>
      <c r="AG116" s="13" t="n">
        <f aca="false">AG33+AG47+AG61+AG75+AG89+AG95</f>
        <v>204.681015171445</v>
      </c>
      <c r="AH116" s="13" t="n">
        <f aca="false">AH33+AH47+AH61+AH75+AH89+AH95</f>
        <v>168.757345732536</v>
      </c>
      <c r="AI116" s="13" t="n">
        <f aca="false">AI33+AI47+AI61+AI75+AI89+AI95</f>
        <v>132.750976534276</v>
      </c>
      <c r="AJ116" s="13" t="n">
        <f aca="false">AJ33+AJ47+AJ61+AJ75+AJ89+AJ95</f>
        <v>95.8063228467841</v>
      </c>
      <c r="AK116" s="13" t="n">
        <f aca="false">AK33+AK47+AK61+AK75+AK89+AK95</f>
        <v>75.3270034478626</v>
      </c>
      <c r="AL116" s="13" t="n">
        <f aca="false">AL33+AL47+AL61+AL75+AL89+AL95</f>
        <v>55.6070043739092</v>
      </c>
      <c r="AM116" s="13" t="n">
        <f aca="false">AM33+AM47+AM61+AM75+AM89+AM95</f>
        <v>35.3894431087493</v>
      </c>
      <c r="AN116" s="13" t="n">
        <f aca="false">AN33+AN47+AN61+AN75+AN89+AN95</f>
        <v>17.5412551830275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150.102632940107</v>
      </c>
      <c r="AC118" s="13" t="n">
        <f aca="false">IF(Time!AC34=1,AC75,AC73)</f>
        <v>134.833591929176</v>
      </c>
      <c r="AD118" s="13" t="n">
        <f aca="false">IF(Time!AD34=1,AD75,AD73)</f>
        <v>119.261210246365</v>
      </c>
      <c r="AE118" s="13" t="n">
        <f aca="false">IF(Time!AE34=1,AE75,AE73)</f>
        <v>102.562749572547</v>
      </c>
      <c r="AF118" s="13" t="n">
        <f aca="false">IF(Time!AF34=1,AF75,AF73)</f>
        <v>85.4642909057355</v>
      </c>
      <c r="AG118" s="13" t="n">
        <f aca="false">IF(Time!AG34=1,AG75,AG73)</f>
        <v>68.1316014871703</v>
      </c>
      <c r="AH118" s="13" t="n">
        <f aca="false">IF(Time!AH34=1,AH75,AH73)</f>
        <v>50.9678834579882</v>
      </c>
      <c r="AI118" s="13" t="n">
        <f aca="false">IF(Time!AI34=1,AI75,AI73)</f>
        <v>33.6210466576286</v>
      </c>
      <c r="AJ118" s="13" t="n">
        <f aca="false">IF(Time!AJ34=1,AJ75,AJ73)</f>
        <v>17.0544818361199</v>
      </c>
      <c r="AK118" s="13" t="n">
        <f aca="false">IF(Time!AK34=1,AK75,AK73)</f>
        <v>1.34560416474781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3.280278233654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3.6216865835156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3.58510002933153</v>
      </c>
      <c r="AB121" s="13" t="n">
        <f aca="false">IF(AND(Time!AB20&gt;=Time!$F$12,Time!AC20&gt;0),(IF(Time!AB34=1,AB61,AB59)-AB58)*AC19+IF(Time!AC46&gt;0,Time!AC45*AB58/Time!AC46,0)+IF(Time!AB34=1,AB61,AB59)*AC12,0)</f>
        <v>3.60300013985276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4.16599291815063</v>
      </c>
      <c r="AJ121" s="13" t="n">
        <f aca="false">IF(AND(Time!AJ20&gt;=Time!$F$12,Time!AK20&gt;0),(IF(Time!AJ34=1,AJ61,AJ59)-AJ58)*AK19+IF(Time!AK46&gt;0,Time!AK45*AJ58/Time!AK46,0)+IF(Time!AJ34=1,AJ61,AJ59)*AK12,0)</f>
        <v>4.19646586287309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14.7184165260014</v>
      </c>
      <c r="AC122" s="13" t="n">
        <f aca="false">IF(AND(Time!AC20&gt;=Time!$F$12,Time!AD20&gt;0),(IF(Time!AC34=1,AC75,AC73)-AC72)*AD19+IF(Time!AD46&gt;0,Time!AD45*AC72/Time!AD46,0)+IF(Time!AC34=1,AC75,AC73)*AD13,0)</f>
        <v>14.7639070197466</v>
      </c>
      <c r="AD122" s="13" t="n">
        <f aca="false">IF(AND(Time!AD20&gt;=Time!$F$12,Time!AE20&gt;0),(IF(Time!AD34=1,AD75,AD73)-AD72)*AE19+IF(Time!AE46&gt;0,Time!AE45*AD72/Time!AE46,0)+IF(Time!AD34=1,AD75,AD73)*AE13,0)</f>
        <v>14.0369628972059</v>
      </c>
      <c r="AE122" s="13" t="n">
        <f aca="false">IF(AND(Time!AE20&gt;=Time!$F$12,Time!AF20&gt;0),(IF(Time!AE34=1,AE75,AE73)-AE72)*AF19+IF(Time!AF46&gt;0,Time!AF45*AE72/Time!AF46,0)+IF(Time!AE34=1,AE75,AE73)*AF13,0)</f>
        <v>13.164752839926</v>
      </c>
      <c r="AF122" s="13" t="n">
        <f aca="false">IF(AND(Time!AF20&gt;=Time!$F$12,Time!AG20&gt;0),(IF(Time!AF34=1,AF75,AF73)-AF72)*AG19+IF(Time!AG46&gt;0,Time!AG45*AF72/Time!AG46,0)+IF(Time!AF34=1,AF75,AF73)*AG13,0)</f>
        <v>12.0112215258499</v>
      </c>
      <c r="AG122" s="13" t="n">
        <f aca="false">IF(AND(Time!AG20&gt;=Time!$F$12,Time!AH20&gt;0),(IF(Time!AG34=1,AG75,AG73)-AG72)*AH19+IF(Time!AH46&gt;0,Time!AH45*AG72/Time!AH46,0)+IF(Time!AG34=1,AG75,AG73)*AH13,0)</f>
        <v>10.7929305342265</v>
      </c>
      <c r="AH122" s="13" t="n">
        <f aca="false">IF(AND(Time!AH20&gt;=Time!$F$12,Time!AI20&gt;0),(IF(Time!AH34=1,AH75,AH73)-AH72)*AI19+IF(Time!AI46&gt;0,Time!AI45*AH72/Time!AI46,0)+IF(Time!AH34=1,AH75,AH73)*AI13,0)</f>
        <v>9.01237110640258</v>
      </c>
      <c r="AI122" s="13" t="n">
        <f aca="false">IF(AND(Time!AI20&gt;=Time!$F$12,Time!AJ20&gt;0),(IF(Time!AI34=1,AI75,AI73)-AI72)*AJ19+IF(Time!AJ46&gt;0,Time!AJ45*AI72/Time!AJ46,0)+IF(Time!AI34=1,AI75,AI73)*AJ13,0)</f>
        <v>6.96404837350939</v>
      </c>
      <c r="AJ122" s="13" t="n">
        <f aca="false">IF(AND(Time!AJ20&gt;=Time!$F$12,Time!AK20&gt;0),(IF(Time!AJ34=1,AJ75,AJ73)-AJ72)*AK19+IF(Time!AK46&gt;0,Time!AK45*AJ72/Time!AK46,0)+IF(Time!AJ34=1,AJ75,AJ73)*AK13,0)</f>
        <v>4.19046990649701</v>
      </c>
      <c r="AK122" s="13" t="n">
        <f aca="false">IF(AND(Time!AK20&gt;=Time!$F$12,Time!AL20&gt;0),(IF(Time!AK34=1,AK75,AK73)-AK72)*AL19+IF(Time!AL46&gt;0,Time!AL45*AK72/Time!AL46,0)+IF(Time!AK34=1,AK75,AK73)*AL13,0)</f>
        <v>0.425057315883048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0.00489614700105122</v>
      </c>
      <c r="P123" s="13" t="n">
        <f aca="false">IF(AND(Time!P20&gt;=Time!$F$12,Time!Q20&gt;0),(IF(Time!P34=1,P89,P87)-P86)*Q19+IF(Time!Q46&gt;0,Time!Q45*P86/Time!Q46,0)+IF(Time!P34=1,P89,P87)*Q14,0)</f>
        <v>0.00490546960572316</v>
      </c>
      <c r="Q123" s="13" t="n">
        <f aca="false">IF(AND(Time!Q20&gt;=Time!$F$12,Time!R20&gt;0),(IF(Time!Q34=1,Q89,Q87)-Q86)*R19+IF(Time!R46&gt;0,Time!R45*Q86/Time!R46,0)+IF(Time!Q34=1,Q89,Q87)*R14,0)</f>
        <v>0.00503443654922618</v>
      </c>
      <c r="R123" s="13" t="n">
        <f aca="false">IF(AND(Time!R20&gt;=Time!$F$12,Time!S20&gt;0),(IF(Time!R34=1,R89,R87)-R86)*S19+IF(Time!S46&gt;0,Time!S45*R86/Time!S46,0)+IF(Time!R34=1,R89,R87)*S14,0)</f>
        <v>0.00500226386191232</v>
      </c>
      <c r="S123" s="13" t="n">
        <f aca="false">IF(AND(Time!S20&gt;=Time!$F$12,Time!T20&gt;0),(IF(Time!S34=1,S89,S87)-S86)*T19+IF(Time!T46&gt;0,Time!T45*S86/Time!T46,0)+IF(Time!S34=1,S89,S87)*T14,0)</f>
        <v>0.00512152704296732</v>
      </c>
      <c r="T123" s="13" t="n">
        <f aca="false">IF(AND(Time!T20&gt;=Time!$F$12,Time!U20&gt;0),(IF(Time!T34=1,T89,T87)-T86)*U19+IF(Time!U46&gt;0,Time!U45*T86/Time!U46,0)+IF(Time!T34=1,T89,T87)*U14,0)</f>
        <v>0.00511093643970187</v>
      </c>
      <c r="U123" s="13" t="n">
        <f aca="false">IF(AND(Time!U20&gt;=Time!$F$12,Time!V20&gt;0),(IF(Time!U34=1,U89,U87)-U86)*V19+IF(Time!V46&gt;0,Time!V45*U86/Time!V46,0)+IF(Time!U34=1,U89,U87)*V14,0)</f>
        <v>0.00528343286649237</v>
      </c>
      <c r="V123" s="13" t="n">
        <f aca="false">IF(AND(Time!V20&gt;=Time!$F$12,Time!W20&gt;0),(IF(Time!V34=1,V89,V87)-V86)*W19+IF(Time!W46&gt;0,Time!W45*V86/Time!W46,0)+IF(Time!V34=1,V89,V87)*W14,0)</f>
        <v>0.00525408759162567</v>
      </c>
      <c r="W123" s="13" t="n">
        <f aca="false">IF(AND(Time!W20&gt;=Time!$F$12,Time!X20&gt;0),(IF(Time!W34=1,W89,W87)-W86)*X19+IF(Time!X46&gt;0,Time!X45*W86/Time!X46,0)+IF(Time!W34=1,W89,W87)*X14,0)</f>
        <v>0.00508536293934316</v>
      </c>
      <c r="X123" s="13" t="n">
        <f aca="false">IF(AND(Time!X20&gt;=Time!$F$12,Time!Y20&gt;0),(IF(Time!X34=1,X89,X87)-X86)*Y19+IF(Time!Y46&gt;0,Time!Y45*X86/Time!Y46,0)+IF(Time!X34=1,X89,X87)*Y14,0)</f>
        <v>0.00504949676941489</v>
      </c>
      <c r="Y123" s="13" t="n">
        <f aca="false">IF(AND(Time!Y20&gt;=Time!$F$12,Time!Z20&gt;0),(IF(Time!Y34=1,Y89,Y87)-Y86)*Z19+IF(Time!Z46&gt;0,Time!Z45*Y86/Time!Z46,0)+IF(Time!Y34=1,Y89,Y87)*Z14,0)</f>
        <v>0.00514509858432457</v>
      </c>
      <c r="Z123" s="13" t="n">
        <f aca="false">IF(AND(Time!Z20&gt;=Time!$F$12,Time!AA20&gt;0),(IF(Time!Z34=1,Z89,Z87)-Z86)*AA19+IF(Time!AA46&gt;0,Time!AA45*Z86/Time!AA46,0)+IF(Time!Z34=1,Z89,Z87)*AA14,0)</f>
        <v>0.00511002800683626</v>
      </c>
      <c r="AA123" s="13" t="n">
        <f aca="false">IF(AND(Time!AA20&gt;=Time!$F$12,Time!AB20&gt;0),(IF(Time!AA34=1,AA89,AA87)-AA86)*AB19+IF(Time!AB46&gt;0,Time!AB45*AA86/Time!AB46,0)+IF(Time!AA34=1,AA89,AA87)*AB14,0)</f>
        <v>0.00522962091031622</v>
      </c>
      <c r="AB123" s="13" t="n">
        <f aca="false">IF(AND(Time!AB20&gt;=Time!$F$12,Time!AC20&gt;0),(IF(Time!AB34=1,AB89,AB87)-AB86)*AC19+IF(Time!AC46&gt;0,Time!AC45*AB86/Time!AC46,0)+IF(Time!AB34=1,AB89,AB87)*AC14,0)</f>
        <v>0.00522523548535599</v>
      </c>
      <c r="AC123" s="13" t="n">
        <f aca="false">IF(AND(Time!AC20&gt;=Time!$F$12,Time!AD20&gt;0),(IF(Time!AC34=1,AC89,AC87)-AC86)*AD19+IF(Time!AD46&gt;0,Time!AD45*AC86/Time!AD46,0)+IF(Time!AC34=1,AC89,AC87)*AD14,0)</f>
        <v>0.00552840664090288</v>
      </c>
      <c r="AD123" s="13" t="n">
        <f aca="false">IF(AND(Time!AD20&gt;=Time!$F$12,Time!AE20&gt;0),(IF(Time!AD34=1,AD89,AD87)-AD86)*AE19+IF(Time!AE46&gt;0,Time!AE45*AD86/Time!AE46,0)+IF(Time!AD34=1,AD89,AD87)*AE14,0)</f>
        <v>0.00556261983221545</v>
      </c>
      <c r="AE123" s="13" t="n">
        <f aca="false">IF(AND(Time!AE20&gt;=Time!$F$12,Time!AF20&gt;0),(IF(Time!AE34=1,AE89,AE87)-AE86)*AF19+IF(Time!AF46&gt;0,Time!AF45*AE86/Time!AF46,0)+IF(Time!AE34=1,AE89,AE87)*AF14,0)</f>
        <v>0.00562155614567379</v>
      </c>
      <c r="AF123" s="13" t="n">
        <f aca="false">IF(AND(Time!AF20&gt;=Time!$F$12,Time!AG20&gt;0),(IF(Time!AF34=1,AF89,AF87)-AF86)*AG19+IF(Time!AG46&gt;0,Time!AG45*AF86/Time!AG46,0)+IF(Time!AF34=1,AF89,AF87)*AG14,0)</f>
        <v>0.00559987589003781</v>
      </c>
      <c r="AG123" s="13" t="n">
        <f aca="false">IF(AND(Time!AG20&gt;=Time!$F$12,Time!AH20&gt;0),(IF(Time!AG34=1,AG89,AG87)-AG86)*AH19+IF(Time!AH46&gt;0,Time!AH45*AG86/Time!AH46,0)+IF(Time!AG34=1,AG89,AG87)*AH14,0)</f>
        <v>0.00572870403151151</v>
      </c>
      <c r="AH123" s="13" t="n">
        <f aca="false">IF(AND(Time!AH20&gt;=Time!$F$12,Time!AI20&gt;0),(IF(Time!AH34=1,AH89,AH87)-AH86)*AI19+IF(Time!AI46&gt;0,Time!AI45*AH86/Time!AI46,0)+IF(Time!AH34=1,AH89,AH87)*AI14,0)</f>
        <v>0.00569514982300177</v>
      </c>
      <c r="AI123" s="13" t="n">
        <f aca="false">IF(AND(Time!AI20&gt;=Time!$F$12,Time!AJ20&gt;0),(IF(Time!AI34=1,AI89,AI87)-AI86)*AJ19+IF(Time!AJ46&gt;0,Time!AJ45*AI86/Time!AJ46,0)+IF(Time!AI34=1,AI89,AI87)*AJ14,0)</f>
        <v>0.00581311570135598</v>
      </c>
      <c r="AJ123" s="13" t="n">
        <f aca="false">IF(AND(Time!AJ20&gt;=Time!$F$12,Time!AK20&gt;0),(IF(Time!AJ34=1,AJ89,AJ87)-AJ86)*AK19+IF(Time!AK46&gt;0,Time!AK45*AJ86/Time!AK46,0)+IF(Time!AJ34=1,AJ89,AJ87)*AK14,0)</f>
        <v>0.00580571123297791</v>
      </c>
      <c r="AK123" s="13" t="n">
        <f aca="false">IF(AND(Time!AK20&gt;=Time!$F$12,Time!AL20&gt;0),(IF(Time!AK34=1,AK89,AK87)-AK86)*AL19+IF(Time!AL46&gt;0,Time!AL45*AK86/Time!AL46,0)+IF(Time!AK34=1,AK89,AK87)*AL14,0)</f>
        <v>0.00599259015043476</v>
      </c>
      <c r="AL123" s="13" t="n">
        <f aca="false">IF(AND(Time!AL20&gt;=Time!$F$12,Time!AM20&gt;0),(IF(Time!AL34=1,AL89,AL87)-AL86)*AM19+IF(Time!AM46&gt;0,Time!AM45*AL86/Time!AM46,0)+IF(Time!AL34=1,AL89,AL87)*AM14,0)</f>
        <v>0.005965920321927</v>
      </c>
      <c r="AM123" s="13" t="n">
        <f aca="false">IF(AND(Time!AM20&gt;=Time!$F$12,Time!AN20&gt;0),(IF(Time!AM34=1,AM89,AM87)-AM86)*AN19+IF(Time!AN46&gt;0,Time!AN45*AM86/Time!AN46,0)+IF(Time!AM34=1,AM89,AM87)*AN14,0)</f>
        <v>0.00476113677975721</v>
      </c>
      <c r="AN123" s="13" t="n">
        <f aca="false">IF(AND(Time!AN20&gt;=Time!$F$12,Time!AO20&gt;0),(IF(Time!AN34=1,AN89,AN87)-AN86)*AO19+IF(Time!AO46&gt;0,Time!AO45*AN86/Time!AO46,0)+IF(Time!AN34=1,AN89,AN87)*AO14,0)</f>
        <v>0.0044412531706762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37.2507915835958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37.1619219243355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37.6298195237069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37.3383147560047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37.7563393082801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37.5758036908691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38.2932036675483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38.0284815131011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36.9318804370888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36.5754415409828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36.8765082066938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36.5793973825574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37.0099782525183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36.2287067415718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36.8028964455557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36.0385431617937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35.1005699621629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33.6057062109164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32.5110559990474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30.5467802211306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28.6137783578794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25.7179754949491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22.2722580645706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21.772130240572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18.835310412986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18.027639329178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810.945584313889</v>
      </c>
      <c r="Q128" s="13" t="n">
        <f aca="false">IF(Time!Q53=1,(Waterfall!Q7+R128)/(1+Q127),0)</f>
        <v>792.892777906299</v>
      </c>
      <c r="R128" s="13" t="n">
        <f aca="false">IF(Time!R53=1,(Waterfall!R7+S128)/(1+R127),0)</f>
        <v>773.843412407908</v>
      </c>
      <c r="S128" s="13" t="n">
        <f aca="false">IF(Time!S53=1,(Waterfall!S7+T128)/(1+S127),0)</f>
        <v>753.716251517292</v>
      </c>
      <c r="T128" s="13" t="n">
        <f aca="false">IF(Time!T53=1,(Waterfall!T7+U128)/(1+T127),0)</f>
        <v>732.823029438581</v>
      </c>
      <c r="U128" s="13" t="n">
        <f aca="false">IF(Time!U53=1,(Waterfall!U7+V128)/(1+U127),0)</f>
        <v>710.881902049149</v>
      </c>
      <c r="V128" s="13" t="n">
        <f aca="false">IF(Time!V53=1,(Waterfall!V7+W128)/(1+V127),0)</f>
        <v>688.061502928123</v>
      </c>
      <c r="W128" s="13" t="n">
        <f aca="false">IF(Time!W53=1,(Waterfall!W7+X128)/(1+W127),0)</f>
        <v>663.555853265242</v>
      </c>
      <c r="X128" s="13" t="n">
        <f aca="false">IF(Time!X53=1,(Waterfall!X7+Y128)/(1+X127),0)</f>
        <v>638.07052457291</v>
      </c>
      <c r="Y128" s="13" t="n">
        <f aca="false">IF(Time!Y53=1,(Waterfall!Y7+Z128)/(1+Y127),0)</f>
        <v>613.268511230531</v>
      </c>
      <c r="Z128" s="13" t="n">
        <f aca="false">IF(Time!Z53=1,(Waterfall!Z7+AA128)/(1+Z127),0)</f>
        <v>588.567729574251</v>
      </c>
      <c r="AA128" s="13" t="n">
        <f aca="false">IF(Time!AA53=1,(Waterfall!AA7+AB128)/(1+AA127),0)</f>
        <v>562.696181311789</v>
      </c>
      <c r="AB128" s="13" t="n">
        <f aca="false">IF(Time!AB53=1,(Waterfall!AB7+AC128)/(1+AB127),0)</f>
        <v>535.821261944815</v>
      </c>
      <c r="AC128" s="13" t="n">
        <f aca="false">IF(Time!AC53=1,(Waterfall!AC7+AD128)/(1+AC127),0)</f>
        <v>507.417387697703</v>
      </c>
      <c r="AD128" s="13" t="n">
        <f aca="false">IF(Time!AD53=1,(Waterfall!AD7+AE128)/(1+AD127),0)</f>
        <v>477.794124777492</v>
      </c>
      <c r="AE128" s="13" t="n">
        <f aca="false">IF(Time!AE53=1,(Waterfall!AE7+AF128)/(1+AE127),0)</f>
        <v>445.445192056767</v>
      </c>
      <c r="AF128" s="13" t="n">
        <f aca="false">IF(Time!AF53=1,(Waterfall!AF7+AG128)/(1+AF127),0)</f>
        <v>411.145440381491</v>
      </c>
      <c r="AG128" s="13" t="n">
        <f aca="false">IF(Time!AG53=1,(Waterfall!AG7+AH128)/(1+AG127),0)</f>
        <v>375.324868891801</v>
      </c>
      <c r="AH128" s="13" t="n">
        <f aca="false">IF(Time!AH53=1,(Waterfall!AH7+AI128)/(1+AH127),0)</f>
        <v>338.685014159882</v>
      </c>
      <c r="AI128" s="13" t="n">
        <f aca="false">IF(Time!AI53=1,(Waterfall!AI7+AJ128)/(1+AI127),0)</f>
        <v>299.841381938881</v>
      </c>
      <c r="AJ128" s="13" t="n">
        <f aca="false">IF(Time!AJ53=1,(Waterfall!AJ7+AK128)/(1+AJ127),0)</f>
        <v>259.541638922961</v>
      </c>
      <c r="AK128" s="13" t="n">
        <f aca="false">IF(Time!AK53=1,(Waterfall!AK7+AL128)/(1+AK127),0)</f>
        <v>217.021326719089</v>
      </c>
      <c r="AL128" s="13" t="n">
        <f aca="false">IF(Time!AL53=1,(Waterfall!AL7+AM128)/(1+AL127),0)</f>
        <v>172.724749819092</v>
      </c>
      <c r="AM128" s="13" t="n">
        <f aca="false">IF(Time!AM53=1,(Waterfall!AM7+AN128)/(1+AM127),0)</f>
        <v>126.188795772931</v>
      </c>
      <c r="AN128" s="13" t="n">
        <f aca="false">IF(Time!AN53=1,(Waterfall!AN7+AO128)/(1+AN127),0)</f>
        <v>80.8094901311809</v>
      </c>
      <c r="AO128" s="13" t="n">
        <f aca="false">IF(Time!AO53=1,(Waterfall!AO7+AP128)/(1+AO127),0)</f>
        <v>40.8551936062844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1.35956930518649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634.414993808124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643.175071021131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36.9685590710409</v>
      </c>
      <c r="Q132" s="13" t="n">
        <f aca="false">IF(Time!Q53=1,(Waterfall!Q7)/$F$129,0)</f>
        <v>36.923874916607</v>
      </c>
      <c r="R132" s="13" t="n">
        <f aca="false">IF(Time!R53=1,(Waterfall!R7)/$F$129,0)</f>
        <v>37.4255796586256</v>
      </c>
      <c r="S132" s="13" t="n">
        <f aca="false">IF(Time!S53=1,(Waterfall!S7)/$F$129,0)</f>
        <v>37.1552367929073</v>
      </c>
      <c r="T132" s="13" t="n">
        <f aca="false">IF(Time!T53=1,(Waterfall!T7)/$F$129,0)</f>
        <v>37.5678374106235</v>
      </c>
      <c r="U132" s="13" t="n">
        <f aca="false">IF(Time!U53=1,(Waterfall!U7)/$F$129,0)</f>
        <v>37.4139932577291</v>
      </c>
      <c r="V132" s="13" t="n">
        <f aca="false">IF(Time!V53=1,(Waterfall!V7)/$F$129,0)</f>
        <v>38.1451759723764</v>
      </c>
      <c r="W132" s="13" t="n">
        <f aca="false">IF(Time!W53=1,(Waterfall!W7)/$F$129,0)</f>
        <v>37.9265850684139</v>
      </c>
      <c r="X132" s="13" t="n">
        <f aca="false">IF(Time!X53=1,(Waterfall!X7)/$F$129,0)</f>
        <v>36.9013005230709</v>
      </c>
      <c r="Y132" s="13" t="n">
        <f aca="false">IF(Time!Y53=1,(Waterfall!Y7)/$F$129,0)</f>
        <v>36.5798434143785</v>
      </c>
      <c r="Z132" s="13" t="n">
        <f aca="false">IF(Time!Z53=1,(Waterfall!Z7)/$F$129,0)</f>
        <v>36.9076927176531</v>
      </c>
      <c r="AA132" s="13" t="n">
        <f aca="false">IF(Time!AA53=1,(Waterfall!AA7)/$F$129,0)</f>
        <v>36.6606812723824</v>
      </c>
      <c r="AB132" s="13" t="n">
        <f aca="false">IF(Time!AB53=1,(Waterfall!AB7)/$F$129,0)</f>
        <v>37.1680481075217</v>
      </c>
      <c r="AC132" s="13" t="n">
        <f aca="false">IF(Time!AC53=1,(Waterfall!AC7)/$F$129,0)</f>
        <v>37.0824223063063</v>
      </c>
      <c r="AD132" s="13" t="n">
        <f aca="false">IF(Time!AD53=1,(Waterfall!AD7)/$F$129,0)</f>
        <v>38.3070996208408</v>
      </c>
      <c r="AE132" s="13" t="n">
        <f aca="false">IF(Time!AE53=1,(Waterfall!AE7)/$F$129,0)</f>
        <v>38.6016982427563</v>
      </c>
      <c r="AF132" s="13" t="n">
        <f aca="false">IF(Time!AF53=1,(Waterfall!AF7)/$F$129,0)</f>
        <v>38.8360480276667</v>
      </c>
      <c r="AG132" s="13" t="n">
        <f aca="false">IF(Time!AG53=1,(Waterfall!AG7)/$F$129,0)</f>
        <v>38.6363278152067</v>
      </c>
      <c r="AH132" s="13" t="n">
        <f aca="false">IF(Time!AH53=1,(Waterfall!AH7)/$F$129,0)</f>
        <v>39.2425090745033</v>
      </c>
      <c r="AI132" s="13" t="n">
        <f aca="false">IF(Time!AI53=1,(Waterfall!AI7)/$F$129,0)</f>
        <v>38.9778984305068</v>
      </c>
      <c r="AJ132" s="13" t="n">
        <f aca="false">IF(Time!AJ53=1,(Waterfall!AJ7)/$F$129,0)</f>
        <v>39.4529984181665</v>
      </c>
      <c r="AK132" s="13" t="n">
        <f aca="false">IF(Time!AK53=1,(Waterfall!AK7)/$F$129,0)</f>
        <v>39.3657968615136</v>
      </c>
      <c r="AL132" s="13" t="n">
        <f aca="false">IF(Time!AL53=1,(Waterfall!AL7)/$F$129,0)</f>
        <v>39.6710109094588</v>
      </c>
      <c r="AM132" s="13" t="n">
        <f aca="false">IF(Time!AM53=1,(Waterfall!AM7)/$F$129,0)</f>
        <v>37.3069257101919</v>
      </c>
      <c r="AN132" s="13" t="n">
        <f aca="false">IF(Time!AN53=1,(Waterfall!AN7)/$F$129,0)</f>
        <v>31.9337733761191</v>
      </c>
      <c r="AO132" s="13" t="n">
        <f aca="false">IF(Time!AO53=1,(Waterfall!AO7)/$F$129,0)</f>
        <v>31.3222335598037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432.907452534418</v>
      </c>
      <c r="R133" s="13" t="n">
        <f aca="false">IF(Time!R53=1,IF(Time!R20=Time!$F$13,Funding!$F$25*(1-Inputs!$F$75),Q133-Q134),0)</f>
        <v>424.204059533911</v>
      </c>
      <c r="S133" s="13" t="n">
        <f aca="false">IF(Time!S53=1,IF(Time!S20=Time!$F$13,Funding!$F$25*(1-Inputs!$F$75),R133-R134),0)</f>
        <v>414.721293161252</v>
      </c>
      <c r="T133" s="13" t="n">
        <f aca="false">IF(Time!T53=1,IF(Time!T20=Time!$F$13,Funding!$F$25*(1-Inputs!$F$75),S133-S134),0)</f>
        <v>404.763648996855</v>
      </c>
      <c r="U133" s="13" t="n">
        <f aca="false">IF(Time!U53=1,IF(Time!U20=Time!$F$13,Funding!$F$25*(1-Inputs!$F$75),T133-T134),0)</f>
        <v>394.055119621412</v>
      </c>
      <c r="V133" s="13" t="n">
        <f aca="false">IF(Time!V53=1,IF(Time!V20=Time!$F$13,Funding!$F$25*(1-Inputs!$F$75),U133-U134),0)</f>
        <v>382.779137805518</v>
      </c>
      <c r="W133" s="13" t="n">
        <f aca="false">IF(Time!W53=1,IF(Time!W20=Time!$F$13,Funding!$F$25*(1-Inputs!$F$75),V133-V134),0)</f>
        <v>370.301191113899</v>
      </c>
      <c r="X133" s="13" t="n">
        <f aca="false">IF(Time!X53=1,IF(Time!X20=Time!$F$13,Funding!$F$25*(1-Inputs!$F$75),W133-W134),0)</f>
        <v>357.195146692987</v>
      </c>
      <c r="Y133" s="13" t="n">
        <f aca="false">IF(Time!Y53=1,IF(Time!Y20=Time!$F$13,Funding!$F$25*(1-Inputs!$F$75),X133-X134),0)</f>
        <v>344.625891652201</v>
      </c>
      <c r="Z133" s="13" t="n">
        <f aca="false">IF(Time!Z53=1,IF(Time!Z20=Time!$F$13,Funding!$F$25*(1-Inputs!$F$75),Y133-Y134),0)</f>
        <v>332.06443577041</v>
      </c>
      <c r="AA133" s="13" t="n">
        <f aca="false">IF(Time!AA53=1,IF(Time!AA20=Time!$F$13,Funding!$F$25*(1-Inputs!$F$75),Z133-Z134),0)</f>
        <v>318.683485328035</v>
      </c>
      <c r="AB133" s="13" t="n">
        <f aca="false">IF(Time!AB53=1,IF(Time!AB20=Time!$F$13,Funding!$F$25*(1-Inputs!$F$75),AA133-AA134),0)</f>
        <v>304.666642999518</v>
      </c>
      <c r="AC133" s="13" t="n">
        <f aca="false">IF(Time!AC53=1,IF(Time!AC20=Time!$F$13,Funding!$F$25*(1-Inputs!$F$75),AB133-AB134),0)</f>
        <v>289.575809570048</v>
      </c>
      <c r="AD133" s="13" t="n">
        <f aca="false">IF(Time!AD53=1,IF(Time!AD20=Time!$F$13,Funding!$F$25*(1-Inputs!$F$75),AC133-AC134),0)</f>
        <v>273.685103984081</v>
      </c>
      <c r="AE133" s="13" t="n">
        <f aca="false">IF(Time!AE53=1,IF(Time!AE20=Time!$F$13,Funding!$F$25*(1-Inputs!$F$75),AD133-AD134),0)</f>
        <v>255.857687774015</v>
      </c>
      <c r="AF133" s="13" t="n">
        <f aca="false">IF(Time!AF53=1,IF(Time!AF20=Time!$F$13,Funding!$F$25*(1-Inputs!$F$75),AE133-AE134),0)</f>
        <v>236.704148303154</v>
      </c>
      <c r="AG133" s="13" t="n">
        <f aca="false">IF(Time!AG53=1,IF(Time!AG20=Time!$F$13,Funding!$F$25*(1-Inputs!$F$75),AF133-AF134),0)</f>
        <v>216.502484964468</v>
      </c>
      <c r="AH133" s="13" t="n">
        <f aca="false">IF(Time!AH53=1,IF(Time!AH20=Time!$F$13,Funding!$F$25*(1-Inputs!$F$75),AG133-AG134),0)</f>
        <v>195.720577051631</v>
      </c>
      <c r="AI133" s="13" t="n">
        <f aca="false">IF(Time!AI53=1,IF(Time!AI20=Time!$F$13,Funding!$F$25*(1-Inputs!$F$75),AH133-AH134),0)</f>
        <v>173.403544302673</v>
      </c>
      <c r="AJ133" s="13" t="n">
        <f aca="false">IF(Time!AJ53=1,IF(Time!AJ20=Time!$F$13,Funding!$F$25*(1-Inputs!$F$75),AI133-AI134),0)</f>
        <v>150.139879851289</v>
      </c>
      <c r="AK133" s="13" t="n">
        <f aca="false">IF(Time!AK53=1,IF(Time!AK20=Time!$F$13,Funding!$F$25*(1-Inputs!$F$75),AJ133-AJ134),0)</f>
        <v>125.341641637139</v>
      </c>
      <c r="AL133" s="13" t="n">
        <f aca="false">IF(Time!AL53=1,IF(Time!AL20=Time!$F$13,Funding!$F$25*(1-Inputs!$F$75),AK133-AK134),0)</f>
        <v>99.3629376307279</v>
      </c>
      <c r="AM133" s="13" t="n">
        <f aca="false">IF(Time!AM53=1,IF(Time!AM20=Time!$F$13,Funding!$F$25*(1-Inputs!$F$75),AL133-AL134),0)</f>
        <v>71.8533634742579</v>
      </c>
      <c r="AN133" s="13" t="n">
        <f aca="false">IF(Time!AN53=1,IF(Time!AN20=Time!$F$13,Funding!$F$25*(1-Inputs!$F$75),AM133-AM134),0)</f>
        <v>45.3303794277204</v>
      </c>
      <c r="AO133" s="13" t="n">
        <f aca="false">IF(Time!AO53=1,IF(Time!AO20=Time!$F$13,Funding!$F$25*(1-Inputs!$F$75),AN133-AN134),0)</f>
        <v>22.925248644059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8.05731981048546</v>
      </c>
      <c r="Q134" s="13" t="n">
        <f aca="false">Q132-Q149-Q133*Q127</f>
        <v>8.70339300050666</v>
      </c>
      <c r="R134" s="13" t="n">
        <f aca="false">R132-R149-R133*R127</f>
        <v>9.48276637265906</v>
      </c>
      <c r="S134" s="13" t="n">
        <f aca="false">S132-S149-S133*S127</f>
        <v>9.95764416439726</v>
      </c>
      <c r="T134" s="13" t="n">
        <f aca="false">T132-T149-T133*T127</f>
        <v>10.708529375443</v>
      </c>
      <c r="U134" s="13" t="n">
        <f aca="false">U132-U149-U133*U127</f>
        <v>11.2759818158937</v>
      </c>
      <c r="V134" s="13" t="n">
        <f aca="false">V132-V149-V133*V127</f>
        <v>12.4779466916193</v>
      </c>
      <c r="W134" s="13" t="n">
        <f aca="false">W132-W149-W133*W127</f>
        <v>13.1060444209119</v>
      </c>
      <c r="X134" s="13" t="n">
        <f aca="false">X132-X149-X133*X127</f>
        <v>12.5692550407863</v>
      </c>
      <c r="Y134" s="13" t="n">
        <f aca="false">Y132-Y149-Y133*Y127</f>
        <v>12.5614558817909</v>
      </c>
      <c r="Z134" s="13" t="n">
        <f aca="false">Z132-Z149-Z133*Z127</f>
        <v>13.3809504423746</v>
      </c>
      <c r="AA134" s="13" t="n">
        <f aca="false">AA132-AA149-AA133*AA127</f>
        <v>14.0168423285171</v>
      </c>
      <c r="AB134" s="13" t="n">
        <f aca="false">AB132-AB149-AB133*AB127</f>
        <v>15.0908334294702</v>
      </c>
      <c r="AC134" s="13" t="n">
        <f aca="false">AC132-AC149-AC133*AC127</f>
        <v>15.8907055859672</v>
      </c>
      <c r="AD134" s="13" t="n">
        <f aca="false">AD132-AD149-AD133*AD127</f>
        <v>17.8274162100658</v>
      </c>
      <c r="AE134" s="13" t="n">
        <f aca="false">AE132-AE149-AE133*AE127</f>
        <v>19.153539470861</v>
      </c>
      <c r="AF134" s="13" t="n">
        <f aca="false">AF132-AF149-AF133*AF127</f>
        <v>20.2016633386859</v>
      </c>
      <c r="AG134" s="13" t="n">
        <f aca="false">AG132-AG149-AG133*AG127</f>
        <v>20.781907912837</v>
      </c>
      <c r="AH134" s="13" t="n">
        <f aca="false">AH132-AH149-AH133*AH127</f>
        <v>22.3170327489583</v>
      </c>
      <c r="AI134" s="13" t="n">
        <f aca="false">AI132-AI149-AI133*AI127</f>
        <v>23.2636644513833</v>
      </c>
      <c r="AJ134" s="13" t="n">
        <f aca="false">AJ132-AJ149-AJ133*AJ127</f>
        <v>24.7982382141502</v>
      </c>
      <c r="AK134" s="13" t="n">
        <f aca="false">AK132-AK149-AK133*AK127</f>
        <v>25.9787040064113</v>
      </c>
      <c r="AL134" s="13" t="n">
        <f aca="false">AL132-AL149-AL133*AL127</f>
        <v>27.50957415647</v>
      </c>
      <c r="AM134" s="13" t="n">
        <f aca="false">AM132-AM149-AM133*AM127</f>
        <v>26.5229840465375</v>
      </c>
      <c r="AN134" s="13" t="n">
        <f aca="false">AN132-AN149-AN133*AN127</f>
        <v>22.4051307836614</v>
      </c>
      <c r="AO134" s="13" t="n">
        <f aca="false">AO132-AO149-AO133*AO127</f>
        <v>22.9252486440584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-0.2773363655539</v>
      </c>
      <c r="Q135" s="13" t="n">
        <f aca="false">IF(Inputs!$F$8=1,Q134-Time!Q53*Inputs!Q298*Funding!$F$25*(1-Inputs!$F$75),0)</f>
        <v>-0.244037539748925</v>
      </c>
      <c r="R135" s="13" t="n">
        <f aca="false">IF(Inputs!$F$8=1,R134-Time!R53*Inputs!R298*Funding!$F$25*(1-Inputs!$F$75),0)</f>
        <v>-0.219926829385168</v>
      </c>
      <c r="S135" s="13" t="n">
        <f aca="false">IF(Inputs!$F$8=1,S134-Time!S53*Inputs!S298*Funding!$F$25*(1-Inputs!$F$75),0)</f>
        <v>-0.20720965283574</v>
      </c>
      <c r="T135" s="13" t="n">
        <f aca="false">IF(Inputs!$F$8=1,T134-Time!T53*Inputs!T298*Funding!$F$25*(1-Inputs!$F$75),0)</f>
        <v>-0.221090435333997</v>
      </c>
      <c r="U135" s="13" t="n">
        <f aca="false">IF(Inputs!$F$8=1,U134-Time!U53*Inputs!U298*Funding!$F$25*(1-Inputs!$F$75),0)</f>
        <v>-0.202843912645777</v>
      </c>
      <c r="V135" s="13" t="n">
        <f aca="false">IF(Inputs!$F$8=1,V134-Time!V53*Inputs!V298*Funding!$F$25*(1-Inputs!$F$75),0)</f>
        <v>-0.197308746238889</v>
      </c>
      <c r="W135" s="13" t="n">
        <f aca="false">IF(Inputs!$F$8=1,W134-Time!W53*Inputs!W298*Funding!$F$25*(1-Inputs!$F$75),0)</f>
        <v>-0.158335436517833</v>
      </c>
      <c r="X135" s="13" t="n">
        <f aca="false">IF(Inputs!$F$8=1,X134-Time!X53*Inputs!X298*Funding!$F$25*(1-Inputs!$F$75),0)</f>
        <v>-0.0941984322454434</v>
      </c>
      <c r="Y135" s="13" t="n">
        <f aca="false">IF(Inputs!$F$8=1,Y134-Time!Y53*Inputs!Y298*Funding!$F$25*(1-Inputs!$F$75),0)</f>
        <v>-0.0649297343597919</v>
      </c>
      <c r="Z135" s="13" t="n">
        <f aca="false">IF(Inputs!$F$8=1,Z134-Time!Z53*Inputs!Z298*Funding!$F$25*(1-Inputs!$F$75),0)</f>
        <v>-0.0416097967872027</v>
      </c>
      <c r="AA135" s="13" t="n">
        <f aca="false">IF(Inputs!$F$8=1,AA134-Time!AA53*Inputs!AA298*Funding!$F$25*(1-Inputs!$F$75),0)</f>
        <v>0.00766414239070912</v>
      </c>
      <c r="AB135" s="13" t="n">
        <f aca="false">IF(Inputs!$F$8=1,AB134-Time!AB53*Inputs!AB298*Funding!$F$25*(1-Inputs!$F$75),0)</f>
        <v>0.0839581618891092</v>
      </c>
      <c r="AC135" s="13" t="n">
        <f aca="false">IF(Inputs!$F$8=1,AC134-Time!AC53*Inputs!AC298*Funding!$F$25*(1-Inputs!$F$75),0)</f>
        <v>0.154208446678656</v>
      </c>
      <c r="AD135" s="13" t="n">
        <f aca="false">IF(Inputs!$F$8=1,AD134-Time!AD53*Inputs!AD298*Funding!$F$25*(1-Inputs!$F$75),0)</f>
        <v>-0.0309558807059602</v>
      </c>
      <c r="AE135" s="13" t="n">
        <f aca="false">IF(Inputs!$F$8=1,AE134-Time!AE53*Inputs!AE298*Funding!$F$25*(1-Inputs!$F$75),0)</f>
        <v>0.201493231508973</v>
      </c>
      <c r="AF135" s="13" t="n">
        <f aca="false">IF(Inputs!$F$8=1,AF134-Time!AF53*Inputs!AF298*Funding!$F$25*(1-Inputs!$F$75),0)</f>
        <v>0.324188833561692</v>
      </c>
      <c r="AG135" s="13" t="n">
        <f aca="false">IF(Inputs!$F$8=1,AG134-Time!AG53*Inputs!AG298*Funding!$F$25*(1-Inputs!$F$75),0)</f>
        <v>0.408780073047662</v>
      </c>
      <c r="AH135" s="13" t="n">
        <f aca="false">IF(Inputs!$F$8=1,AH134-Time!AH53*Inputs!AH298*Funding!$F$25*(1-Inputs!$F$75),0)</f>
        <v>0.535971495109312</v>
      </c>
      <c r="AI135" s="13" t="n">
        <f aca="false">IF(Inputs!$F$8=1,AI134-Time!AI53*Inputs!AI298*Funding!$F$25*(1-Inputs!$F$75),0)</f>
        <v>0.596299939815744</v>
      </c>
      <c r="AJ135" s="13" t="n">
        <f aca="false">IF(Inputs!$F$8=1,AJ134-Time!AJ53*Inputs!AJ298*Funding!$F$25*(1-Inputs!$F$75),0)</f>
        <v>0.651372121647725</v>
      </c>
      <c r="AK135" s="13" t="n">
        <f aca="false">IF(Inputs!$F$8=1,AK134-Time!AK53*Inputs!AK298*Funding!$F$25*(1-Inputs!$F$75),0)</f>
        <v>0.768081148495135</v>
      </c>
      <c r="AL135" s="13" t="n">
        <f aca="false">IF(Inputs!$F$8=1,AL134-Time!AL53*Inputs!AL298*Funding!$F$25*(1-Inputs!$F$75),0)</f>
        <v>0.2835438782406</v>
      </c>
      <c r="AM135" s="13" t="n">
        <f aca="false">IF(Inputs!$F$8=1,AM134-Time!AM53*Inputs!AM298*Funding!$F$25*(1-Inputs!$F$75),0)</f>
        <v>-1.79101214642647</v>
      </c>
      <c r="AN135" s="13" t="n">
        <f aca="false">IF(Inputs!$F$8=1,AN134-Time!AN53*Inputs!AN298*Funding!$F$25*(1-Inputs!$F$75),0)</f>
        <v>-0.728010677679283</v>
      </c>
      <c r="AO135" s="13" t="n">
        <f aca="false">IF(Inputs!$F$8=1,AO134-Time!AO53*Inputs!AO298*Funding!$F$25*(1-Inputs!$F$75),0)</f>
        <v>0.463244114078304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37.2507915835958</v>
      </c>
      <c r="Q9" s="13" t="n">
        <f aca="false">IF(Time!Q34=1,SUM(Funding!$J$44:$BJ$44),P13)</f>
        <v>37.1619219243355</v>
      </c>
      <c r="R9" s="13" t="n">
        <f aca="false">IF(Time!R34=1,SUM(Funding!$J$44:$BJ$44),Q13)</f>
        <v>37.6298195237069</v>
      </c>
      <c r="S9" s="13" t="n">
        <f aca="false">IF(Time!S34=1,SUM(Funding!$J$44:$BJ$44),R13)</f>
        <v>37.3383147560047</v>
      </c>
      <c r="T9" s="13" t="n">
        <f aca="false">IF(Time!T34=1,SUM(Funding!$J$44:$BJ$44),S13)</f>
        <v>37.7563393082801</v>
      </c>
      <c r="U9" s="13" t="n">
        <f aca="false">IF(Time!U34=1,SUM(Funding!$J$44:$BJ$44),T13)</f>
        <v>37.5758036908691</v>
      </c>
      <c r="V9" s="13" t="n">
        <f aca="false">IF(Time!V34=1,SUM(Funding!$J$44:$BJ$44),U13)</f>
        <v>38.2932036675483</v>
      </c>
      <c r="W9" s="13" t="n">
        <f aca="false">IF(Time!W34=1,SUM(Funding!$J$44:$BJ$44),V13)</f>
        <v>38.0284815131011</v>
      </c>
      <c r="X9" s="13" t="n">
        <f aca="false">IF(Time!X34=1,SUM(Funding!$J$44:$BJ$44),W13)</f>
        <v>36.9318804370888</v>
      </c>
      <c r="Y9" s="13" t="n">
        <f aca="false">IF(Time!Y34=1,SUM(Funding!$J$44:$BJ$44),X13)</f>
        <v>36.5754415409828</v>
      </c>
      <c r="Z9" s="13" t="n">
        <f aca="false">IF(Time!Z34=1,SUM(Funding!$J$44:$BJ$44),Y13)</f>
        <v>36.8765082066938</v>
      </c>
      <c r="AA9" s="13" t="n">
        <f aca="false">IF(Time!AA34=1,SUM(Funding!$J$44:$BJ$44),Z13)</f>
        <v>36.5793973825574</v>
      </c>
      <c r="AB9" s="13" t="n">
        <f aca="false">IF(Time!AB34=1,SUM(Funding!$J$44:$BJ$44),AA13)</f>
        <v>37.0099782525183</v>
      </c>
      <c r="AC9" s="13" t="n">
        <f aca="false">IF(Time!AC34=1,SUM(Funding!$J$44:$BJ$44),AB13)</f>
        <v>36.2287067415718</v>
      </c>
      <c r="AD9" s="13" t="n">
        <f aca="false">IF(Time!AD34=1,SUM(Funding!$J$44:$BJ$44),AC13)</f>
        <v>36.8028964455557</v>
      </c>
      <c r="AE9" s="13" t="n">
        <f aca="false">IF(Time!AE34=1,SUM(Funding!$J$44:$BJ$44),AD13)</f>
        <v>36.0385431617937</v>
      </c>
      <c r="AF9" s="13" t="n">
        <f aca="false">IF(Time!AF34=1,SUM(Funding!$J$44:$BJ$44),AE13)</f>
        <v>35.1005699621629</v>
      </c>
      <c r="AG9" s="13" t="n">
        <f aca="false">IF(Time!AG34=1,SUM(Funding!$J$44:$BJ$44),AF13)</f>
        <v>33.6057062109164</v>
      </c>
      <c r="AH9" s="13" t="n">
        <f aca="false">IF(Time!AH34=1,SUM(Funding!$J$44:$BJ$44),AG13)</f>
        <v>32.5110559990474</v>
      </c>
      <c r="AI9" s="13" t="n">
        <f aca="false">IF(Time!AI34=1,SUM(Funding!$J$44:$BJ$44),AH13)</f>
        <v>30.5467802211306</v>
      </c>
      <c r="AJ9" s="13" t="n">
        <f aca="false">IF(Time!AJ34=1,SUM(Funding!$J$44:$BJ$44),AI13)</f>
        <v>28.6137783578794</v>
      </c>
      <c r="AK9" s="13" t="n">
        <f aca="false">IF(Time!AK34=1,SUM(Funding!$J$44:$BJ$44),AJ13)</f>
        <v>25.7179754949491</v>
      </c>
      <c r="AL9" s="13" t="n">
        <f aca="false">IF(Time!AL34=1,SUM(Funding!$J$44:$BJ$44),AK13)</f>
        <v>22.2722580645706</v>
      </c>
      <c r="AM9" s="13" t="n">
        <f aca="false">IF(Time!AM34=1,SUM(Funding!$J$44:$BJ$44),AL13)</f>
        <v>21.772130240572</v>
      </c>
      <c r="AN9" s="13" t="n">
        <f aca="false">IF(Time!AN34=1,SUM(Funding!$J$44:$BJ$44),AM13)</f>
        <v>18.835310412986</v>
      </c>
      <c r="AO9" s="13" t="n">
        <f aca="false">IF(Time!AO34=1,SUM(Funding!$J$44:$BJ$44),AN13)</f>
        <v>18.027639329178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2.91405551498276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0.00489614700104823</v>
      </c>
      <c r="P11" s="13" t="n">
        <f aca="false">MIN(Waterfall!P13,MAX(0,Debt!P125-(P9-P10)))</f>
        <v>0</v>
      </c>
      <c r="Q11" s="13" t="n">
        <f aca="false">MIN(Waterfall!Q13,MAX(0,Debt!Q125-(Q9-Q10)))</f>
        <v>0.467897599371433</v>
      </c>
      <c r="R11" s="13" t="n">
        <f aca="false">MIN(Waterfall!R13,MAX(0,Debt!R125-(R9-R10)))</f>
        <v>0</v>
      </c>
      <c r="S11" s="13" t="n">
        <f aca="false">MIN(Waterfall!S13,MAX(0,Debt!S125-(S9-S10)))</f>
        <v>0.418024552275419</v>
      </c>
      <c r="T11" s="13" t="n">
        <f aca="false">MIN(Waterfall!T13,MAX(0,Debt!T125-(T9-T10)))</f>
        <v>0</v>
      </c>
      <c r="U11" s="13" t="n">
        <f aca="false">MIN(Waterfall!U13,MAX(0,Debt!U125-(U9-U10)))</f>
        <v>0.717399976679126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0.30106666571097</v>
      </c>
      <c r="Z11" s="13" t="n">
        <f aca="false">MIN(Waterfall!Z13,MAX(0,Debt!Z125-(Z9-Z10)))</f>
        <v>0</v>
      </c>
      <c r="AA11" s="13" t="n">
        <f aca="false">MIN(Waterfall!AA13,MAX(0,Debt!AA125-(AA9-AA10)))</f>
        <v>0.430580869960892</v>
      </c>
      <c r="AB11" s="13" t="n">
        <f aca="false">MIN(Waterfall!AB13,MAX(0,Debt!AB125-(AB9-AB10)))</f>
        <v>0</v>
      </c>
      <c r="AC11" s="13" t="n">
        <f aca="false">MIN(Waterfall!AC13,MAX(0,Debt!AC125-(AC9-AC10)))</f>
        <v>0.574189703983876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40.1599509515776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0.0888696592603822</v>
      </c>
      <c r="Q12" s="13" t="n">
        <f aca="false">MAX(0,Q9-Q10-Debt!Q125)</f>
        <v>0</v>
      </c>
      <c r="R12" s="13" t="n">
        <f aca="false">MAX(0,R9-R10-Debt!R125)</f>
        <v>0.291504767702179</v>
      </c>
      <c r="S12" s="13" t="n">
        <f aca="false">MAX(0,S9-S10-Debt!S125)</f>
        <v>0</v>
      </c>
      <c r="T12" s="13" t="n">
        <f aca="false">MAX(0,T9-T10-Debt!T125)</f>
        <v>0.180535617411003</v>
      </c>
      <c r="U12" s="13" t="n">
        <f aca="false">MAX(0,U9-U10-Debt!U125)</f>
        <v>0</v>
      </c>
      <c r="V12" s="13" t="n">
        <f aca="false">MAX(0,V9-V10-Debt!V125)</f>
        <v>0.264722154447156</v>
      </c>
      <c r="W12" s="13" t="n">
        <f aca="false">MAX(0,W9-W10-Debt!W125)</f>
        <v>1.09660107601226</v>
      </c>
      <c r="X12" s="13" t="n">
        <f aca="false">MAX(0,X9-X10-Debt!X125)</f>
        <v>0.356438896106006</v>
      </c>
      <c r="Y12" s="13" t="n">
        <f aca="false">MAX(0,Y9-Y10-Debt!Y125)</f>
        <v>0</v>
      </c>
      <c r="Z12" s="13" t="n">
        <f aca="false">MAX(0,Z9-Z10-Debt!Z125)</f>
        <v>0.297110824136389</v>
      </c>
      <c r="AA12" s="13" t="n">
        <f aca="false">MAX(0,AA9-AA10-Debt!AA125)</f>
        <v>0</v>
      </c>
      <c r="AB12" s="13" t="n">
        <f aca="false">MAX(0,AB9-AB10-Debt!AB125)</f>
        <v>0.781271510946461</v>
      </c>
      <c r="AC12" s="13" t="n">
        <f aca="false">MAX(0,AC9-AC10-Debt!AC125)</f>
        <v>0</v>
      </c>
      <c r="AD12" s="13" t="n">
        <f aca="false">MAX(0,AD9-AD10-Debt!AD125)</f>
        <v>0.764353283762063</v>
      </c>
      <c r="AE12" s="13" t="n">
        <f aca="false">MAX(0,AE9-AE10-Debt!AE125)</f>
        <v>0.937973199630754</v>
      </c>
      <c r="AF12" s="13" t="n">
        <f aca="false">MAX(0,AF9-AF10-Debt!AF125)</f>
        <v>1.49486375124654</v>
      </c>
      <c r="AG12" s="13" t="n">
        <f aca="false">MAX(0,AG9-AG10-Debt!AG125)</f>
        <v>1.09465021186894</v>
      </c>
      <c r="AH12" s="13" t="n">
        <f aca="false">MAX(0,AH9-AH10-Debt!AH125)</f>
        <v>1.96427577791684</v>
      </c>
      <c r="AI12" s="13" t="n">
        <f aca="false">MAX(0,AI9-AI10-Debt!AI125)</f>
        <v>1.93300186325119</v>
      </c>
      <c r="AJ12" s="13" t="n">
        <f aca="false">MAX(0,AJ9-AJ10-Debt!AJ125)</f>
        <v>2.89580286293029</v>
      </c>
      <c r="AK12" s="13" t="n">
        <f aca="false">MAX(0,AK9-AK10-Debt!AK125)</f>
        <v>3.44571743037851</v>
      </c>
      <c r="AL12" s="13" t="n">
        <f aca="false">MAX(0,AL9-AL10-Debt!AL125)</f>
        <v>0.500127823998621</v>
      </c>
      <c r="AM12" s="13" t="n">
        <f aca="false">MAX(0,AM9-AM10-Debt!AM125)</f>
        <v>2.93681982758593</v>
      </c>
      <c r="AN12" s="13" t="n">
        <f aca="false">MAX(0,AN9-AN10-Debt!AN125)</f>
        <v>0.807671083808025</v>
      </c>
      <c r="AO12" s="13" t="n">
        <f aca="false">MAX(0,AO9-AO10-Debt!AO125)</f>
        <v>18.027639329178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37.2507915835958</v>
      </c>
      <c r="P13" s="13" t="n">
        <f aca="false">(1-Time!P37)*(P9-P10+P11-P12)</f>
        <v>37.1619219243355</v>
      </c>
      <c r="Q13" s="13" t="n">
        <f aca="false">(1-Time!Q37)*(Q9-Q10+Q11-Q12)</f>
        <v>37.6298195237069</v>
      </c>
      <c r="R13" s="13" t="n">
        <f aca="false">(1-Time!R37)*(R9-R10+R11-R12)</f>
        <v>37.3383147560047</v>
      </c>
      <c r="S13" s="13" t="n">
        <f aca="false">(1-Time!S37)*(S9-S10+S11-S12)</f>
        <v>37.7563393082801</v>
      </c>
      <c r="T13" s="13" t="n">
        <f aca="false">(1-Time!T37)*(T9-T10+T11-T12)</f>
        <v>37.5758036908691</v>
      </c>
      <c r="U13" s="13" t="n">
        <f aca="false">(1-Time!U37)*(U9-U10+U11-U12)</f>
        <v>38.2932036675483</v>
      </c>
      <c r="V13" s="13" t="n">
        <f aca="false">(1-Time!V37)*(V9-V10+V11-V12)</f>
        <v>38.0284815131011</v>
      </c>
      <c r="W13" s="13" t="n">
        <f aca="false">(1-Time!W37)*(W9-W10+W11-W12)</f>
        <v>36.9318804370888</v>
      </c>
      <c r="X13" s="13" t="n">
        <f aca="false">(1-Time!X37)*(X9-X10+X11-X12)</f>
        <v>36.5754415409828</v>
      </c>
      <c r="Y13" s="13" t="n">
        <f aca="false">(1-Time!Y37)*(Y9-Y10+Y11-Y12)</f>
        <v>36.8765082066938</v>
      </c>
      <c r="Z13" s="13" t="n">
        <f aca="false">(1-Time!Z37)*(Z9-Z10+Z11-Z12)</f>
        <v>36.5793973825574</v>
      </c>
      <c r="AA13" s="13" t="n">
        <f aca="false">(1-Time!AA37)*(AA9-AA10+AA11-AA12)</f>
        <v>37.0099782525183</v>
      </c>
      <c r="AB13" s="13" t="n">
        <f aca="false">(1-Time!AB37)*(AB9-AB10+AB11-AB12)</f>
        <v>36.2287067415718</v>
      </c>
      <c r="AC13" s="13" t="n">
        <f aca="false">(1-Time!AC37)*(AC9-AC10+AC11-AC12)</f>
        <v>36.8028964455557</v>
      </c>
      <c r="AD13" s="13" t="n">
        <f aca="false">(1-Time!AD37)*(AD9-AD10+AD11-AD12)</f>
        <v>36.0385431617937</v>
      </c>
      <c r="AE13" s="13" t="n">
        <f aca="false">(1-Time!AE37)*(AE9-AE10+AE11-AE12)</f>
        <v>35.1005699621629</v>
      </c>
      <c r="AF13" s="13" t="n">
        <f aca="false">(1-Time!AF37)*(AF9-AF10+AF11-AF12)</f>
        <v>33.6057062109164</v>
      </c>
      <c r="AG13" s="13" t="n">
        <f aca="false">(1-Time!AG37)*(AG9-AG10+AG11-AG12)</f>
        <v>32.5110559990474</v>
      </c>
      <c r="AH13" s="13" t="n">
        <f aca="false">(1-Time!AH37)*(AH9-AH10+AH11-AH12)</f>
        <v>30.5467802211306</v>
      </c>
      <c r="AI13" s="13" t="n">
        <f aca="false">(1-Time!AI37)*(AI9-AI10+AI11-AI12)</f>
        <v>28.6137783578794</v>
      </c>
      <c r="AJ13" s="13" t="n">
        <f aca="false">(1-Time!AJ37)*(AJ9-AJ10+AJ11-AJ12)</f>
        <v>25.7179754949491</v>
      </c>
      <c r="AK13" s="13" t="n">
        <f aca="false">(1-Time!AK37)*(AK9-AK10+AK11-AK12)</f>
        <v>22.2722580645706</v>
      </c>
      <c r="AL13" s="13" t="n">
        <f aca="false">(1-Time!AL37)*(AL9-AL10+AL11-AL12)</f>
        <v>21.772130240572</v>
      </c>
      <c r="AM13" s="13" t="n">
        <f aca="false">(1-Time!AM37)*(AM9-AM10+AM11-AM12)</f>
        <v>18.835310412986</v>
      </c>
      <c r="AN13" s="13" t="n">
        <f aca="false">(1-Time!AN37)*(AN9-AN10+AN11-AN12)</f>
        <v>18.027639329178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2377.752922197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1.96693079357017</v>
      </c>
      <c r="P7" s="13" t="n">
        <f aca="false">Operations!P84-Tax!P27-Operations!P96-Reserves!P7+Operations!P79+Operations!P97</f>
        <v>50.2613181699607</v>
      </c>
      <c r="Q7" s="13" t="n">
        <f aca="false">Operations!Q84-Tax!Q27-Operations!Q96-Reserves!Q7+Operations!Q79+Operations!Q97</f>
        <v>50.2005669651641</v>
      </c>
      <c r="R7" s="13" t="n">
        <f aca="false">Operations!R84-Tax!R27-Operations!R96-Reserves!R7+Operations!R79+Operations!R97</f>
        <v>50.8826693326791</v>
      </c>
      <c r="S7" s="13" t="n">
        <f aca="false">Operations!S84-Tax!S27-Operations!S96-Reserves!S7+Operations!S79+Operations!S97</f>
        <v>50.5151194705723</v>
      </c>
      <c r="T7" s="13" t="n">
        <f aca="false">Operations!T84-Tax!T27-Operations!T96-Reserves!T7+Operations!T79+Operations!T97</f>
        <v>51.0760786057203</v>
      </c>
      <c r="U7" s="13" t="n">
        <f aca="false">Operations!U84-Tax!U27-Operations!U96-Reserves!U7+Operations!U79+Operations!U97</f>
        <v>50.8669168176627</v>
      </c>
      <c r="V7" s="13" t="n">
        <f aca="false">Operations!V84-Tax!V27-Operations!V96-Reserves!V7+Operations!V79+Operations!V97</f>
        <v>51.8610103929801</v>
      </c>
      <c r="W7" s="13" t="n">
        <f aca="false">Operations!W84-Tax!W27-Operations!W96-Reserves!W7+Operations!W79+Operations!W97</f>
        <v>51.5638209095596</v>
      </c>
      <c r="X7" s="13" t="n">
        <f aca="false">Operations!X84-Tax!X27-Operations!X96-Reserves!X7+Operations!X79+Operations!X97</f>
        <v>50.1698755126293</v>
      </c>
      <c r="Y7" s="13" t="n">
        <f aca="false">Operations!Y84-Tax!Y27-Operations!Y96-Reserves!Y7+Operations!Y79+Operations!Y97</f>
        <v>49.732832294717</v>
      </c>
      <c r="Z7" s="13" t="n">
        <f aca="false">Operations!Z84-Tax!Z27-Operations!Z96-Reserves!Z7+Operations!Z79+Operations!Z97</f>
        <v>50.178566144176</v>
      </c>
      <c r="AA7" s="13" t="n">
        <f aca="false">Operations!AA84-Tax!AA27-Operations!AA96-Reserves!AA7+Operations!AA79+Operations!AA97</f>
        <v>49.8427369651562</v>
      </c>
      <c r="AB7" s="13" t="n">
        <f aca="false">Operations!AB84-Tax!AB27-Operations!AB96-Reserves!AB7+Operations!AB79+Operations!AB97</f>
        <v>50.5325373406812</v>
      </c>
      <c r="AC7" s="13" t="n">
        <f aca="false">Operations!AC84-Tax!AC27-Operations!AC96-Reserves!AC7+Operations!AC79+Operations!AC97</f>
        <v>50.4161231296168</v>
      </c>
      <c r="AD7" s="13" t="n">
        <f aca="false">Operations!AD84-Tax!AD27-Operations!AD96-Reserves!AD7+Operations!AD79+Operations!AD97</f>
        <v>52.0811568152161</v>
      </c>
      <c r="AE7" s="13" t="n">
        <f aca="false">Operations!AE84-Tax!AE27-Operations!AE96-Reserves!AE7+Operations!AE79+Operations!AE97</f>
        <v>52.4816840589226</v>
      </c>
      <c r="AF7" s="13" t="n">
        <f aca="false">Operations!AF84-Tax!AF27-Operations!AF96-Reserves!AF7+Operations!AF79+Operations!AF97</f>
        <v>52.8002988331638</v>
      </c>
      <c r="AG7" s="13" t="n">
        <f aca="false">Operations!AG84-Tax!AG27-Operations!AG96-Reserves!AG7+Operations!AG79+Operations!AG97</f>
        <v>52.5287653626779</v>
      </c>
      <c r="AH7" s="13" t="n">
        <f aca="false">Operations!AH84-Tax!AH27-Operations!AH96-Reserves!AH7+Operations!AH79+Operations!AH97</f>
        <v>53.3529107961969</v>
      </c>
      <c r="AI7" s="13" t="n">
        <f aca="false">Operations!AI84-Tax!AI27-Operations!AI96-Reserves!AI7+Operations!AI79+Operations!AI97</f>
        <v>52.9931542867936</v>
      </c>
      <c r="AJ7" s="13" t="n">
        <f aca="false">Operations!AJ84-Tax!AJ27-Operations!AJ96-Reserves!AJ7+Operations!AJ79+Operations!AJ97</f>
        <v>53.6390856469102</v>
      </c>
      <c r="AK7" s="13" t="n">
        <f aca="false">Operations!AK84-Tax!AK27-Operations!AK96-Reserves!AK7+Operations!AK79+Operations!AK97</f>
        <v>53.5205290871205</v>
      </c>
      <c r="AL7" s="13" t="n">
        <f aca="false">Operations!AL84-Tax!AL27-Operations!AL96-Reserves!AL7+Operations!AL79+Operations!AL97</f>
        <v>53.9354887382185</v>
      </c>
      <c r="AM7" s="13" t="n">
        <f aca="false">Operations!AM84-Tax!AM27-Operations!AM96-Reserves!AM7+Operations!AM79+Operations!AM97</f>
        <v>50.7213510664495</v>
      </c>
      <c r="AN7" s="13" t="n">
        <f aca="false">Operations!AN84-Tax!AN27-Operations!AN96-Reserves!AN7+Operations!AN79+Operations!AN97</f>
        <v>43.416178080953</v>
      </c>
      <c r="AO7" s="13" t="n">
        <f aca="false">Operations!AO84-Tax!AO27-Operations!AO96-Reserves!AO7+Operations!AO79+Operations!AO97</f>
        <v>42.5847473177912</v>
      </c>
      <c r="AP7" s="13" t="n">
        <f aca="false">Operations!AP84-Tax!AP27-Operations!AP96-Reserves!AP7+Operations!AP79+Operations!AP97</f>
        <v>42.9271074713228</v>
      </c>
      <c r="AQ7" s="13" t="n">
        <f aca="false">Operations!AQ84-Tax!AQ27-Operations!AQ96-Reserves!AQ7+Operations!AQ79+Operations!AQ97</f>
        <v>42.5201860064261</v>
      </c>
      <c r="AR7" s="13" t="n">
        <f aca="false">Operations!AR84-Tax!AR27-Operations!AR96-Reserves!AR7+Operations!AR79+Operations!AR97</f>
        <v>43.1848196863551</v>
      </c>
      <c r="AS7" s="13" t="n">
        <f aca="false">Operations!AS84-Tax!AS27-Operations!AS96-Reserves!AS7+Operations!AS79+Operations!AS97</f>
        <v>42.9803875192643</v>
      </c>
      <c r="AT7" s="13" t="n">
        <f aca="false">Operations!AT84-Tax!AT27-Operations!AT96-Reserves!AT7+Operations!AT79+Operations!AT97</f>
        <v>49.9991188511031</v>
      </c>
      <c r="AU7" s="13" t="n">
        <f aca="false">Operations!AU84-Tax!AU27-Operations!AU96-Reserves!AU7+Operations!AU79+Operations!AU97</f>
        <v>45.5643064272891</v>
      </c>
      <c r="AV7" s="13" t="n">
        <f aca="false">Operations!AV84-Tax!AV27-Operations!AV96-Reserves!AV7+Operations!AV79+Operations!AV97</f>
        <v>45.7834416967709</v>
      </c>
      <c r="AW7" s="13" t="n">
        <f aca="false">Operations!AW84-Tax!AW27-Operations!AW96-Reserves!AW7+Operations!AW79+Operations!AW97</f>
        <v>45.3772952908682</v>
      </c>
      <c r="AX7" s="13" t="n">
        <f aca="false">Operations!AX84-Tax!AX27-Operations!AX96-Reserves!AX7+Operations!AX79+Operations!AX97</f>
        <v>46.0797870537435</v>
      </c>
      <c r="AY7" s="13" t="n">
        <f aca="false">Operations!AY84-Tax!AY27-Operations!AY96-Reserves!AY7+Operations!AY79+Operations!AY97</f>
        <v>45.7187040145619</v>
      </c>
      <c r="AZ7" s="13" t="n">
        <f aca="false">Operations!AZ84-Tax!AZ27-Operations!AZ96-Reserves!AZ7+Operations!AZ79+Operations!AZ97</f>
        <v>46.5262585922555</v>
      </c>
      <c r="BA7" s="13" t="n">
        <f aca="false">Operations!BA84-Tax!BA27-Operations!BA96-Reserves!BA7+Operations!BA79+Operations!BA97</f>
        <v>46.3233135941091</v>
      </c>
      <c r="BB7" s="13" t="n">
        <f aca="false">Operations!BB84-Tax!BB27-Operations!BB96-Reserves!BB7+Operations!BB79+Operations!BB97</f>
        <v>48.5904743879693</v>
      </c>
      <c r="BC7" s="13" t="n">
        <f aca="false">Operations!BC84-Tax!BC27-Operations!BC96-Reserves!BC7+Operations!BC79+Operations!BC97</f>
        <v>45.3154937424216</v>
      </c>
      <c r="BD7" s="13" t="n">
        <f aca="false">Operations!BD84-Tax!BD27-Operations!BD96-Reserves!BD7+Operations!BD79+Operations!BD97</f>
        <v>39.4343560721554</v>
      </c>
      <c r="BE7" s="13" t="n">
        <f aca="false">Operations!BE84-Tax!BE27-Operations!BE96-Reserves!BE7+Operations!BE79+Operations!BE97</f>
        <v>39.0788651830339</v>
      </c>
      <c r="BF7" s="13" t="n">
        <f aca="false">Operations!BF84-Tax!BF27-Operations!BF96-Reserves!BF7+Operations!BF79+Operations!BF97</f>
        <v>39.9326601522077</v>
      </c>
      <c r="BG7" s="13" t="n">
        <f aca="false">Operations!BG84-Tax!BG27-Operations!BG96-Reserves!BG7+Operations!BG79+Operations!BG97</f>
        <v>39.6059465585661</v>
      </c>
      <c r="BH7" s="13" t="n">
        <f aca="false">Operations!BH84-Tax!BH27-Operations!BH96-Reserves!BH7+Operations!BH79+Operations!BH97</f>
        <v>40.5524186395932</v>
      </c>
      <c r="BI7" s="13" t="n">
        <f aca="false">Operations!BI84-Tax!BI27-Operations!BI96-Reserves!BI7+Operations!BI79+Operations!BI97</f>
        <v>40.326438745979</v>
      </c>
      <c r="BJ7" s="13" t="n">
        <f aca="false">Operations!BJ84-Tax!BJ27-Operations!BJ96-Reserves!BJ7+Operations!BJ79+Operations!BJ97</f>
        <v>48.4901812421819</v>
      </c>
      <c r="BK7" s="13" t="n">
        <f aca="false">Operations!BK84-Tax!BK27-Operations!BK96-Reserves!BK7+Operations!BK79+Operations!BK97</f>
        <v>43.3159214419499</v>
      </c>
      <c r="BL7" s="13" t="n">
        <f aca="false">Operations!BL84-Tax!BL27-Operations!BL96-Reserves!BL7+Operations!BL79+Operations!BL97</f>
        <v>44.3217207372599</v>
      </c>
      <c r="BM7" s="13" t="n">
        <f aca="false">Operations!BM84-Tax!BM27-Operations!BM96-Reserves!BM7+Operations!BM79+Operations!BM97</f>
        <v>41.681266154355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1.96203464656912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1.96693079357017</v>
      </c>
      <c r="P9" s="13" t="n">
        <f aca="false">P7+P8</f>
        <v>52.2233528165298</v>
      </c>
      <c r="Q9" s="13" t="n">
        <f aca="false">Q7+Q8</f>
        <v>50.2005669651641</v>
      </c>
      <c r="R9" s="13" t="n">
        <f aca="false">R7+R8</f>
        <v>50.8826693326791</v>
      </c>
      <c r="S9" s="13" t="n">
        <f aca="false">S7+S8</f>
        <v>50.5151194705723</v>
      </c>
      <c r="T9" s="13" t="n">
        <f aca="false">T7+T8</f>
        <v>51.0760786057203</v>
      </c>
      <c r="U9" s="13" t="n">
        <f aca="false">U7+U8</f>
        <v>50.8669168176627</v>
      </c>
      <c r="V9" s="13" t="n">
        <f aca="false">V7+V8</f>
        <v>51.8610103929801</v>
      </c>
      <c r="W9" s="13" t="n">
        <f aca="false">W7+W8</f>
        <v>51.5638209095596</v>
      </c>
      <c r="X9" s="13" t="n">
        <f aca="false">X7+X8</f>
        <v>50.1698755126293</v>
      </c>
      <c r="Y9" s="13" t="n">
        <f aca="false">Y7+Y8</f>
        <v>49.732832294717</v>
      </c>
      <c r="Z9" s="13" t="n">
        <f aca="false">Z7+Z8</f>
        <v>50.178566144176</v>
      </c>
      <c r="AA9" s="13" t="n">
        <f aca="false">AA7+AA8</f>
        <v>49.8427369651562</v>
      </c>
      <c r="AB9" s="13" t="n">
        <f aca="false">AB7+AB8</f>
        <v>50.5325373406812</v>
      </c>
      <c r="AC9" s="13" t="n">
        <f aca="false">AC7+AC8</f>
        <v>50.4161231296168</v>
      </c>
      <c r="AD9" s="13" t="n">
        <f aca="false">AD7+AD8</f>
        <v>52.0811568152161</v>
      </c>
      <c r="AE9" s="13" t="n">
        <f aca="false">AE7+AE8</f>
        <v>52.4816840589226</v>
      </c>
      <c r="AF9" s="13" t="n">
        <f aca="false">AF7+AF8</f>
        <v>52.8002988331638</v>
      </c>
      <c r="AG9" s="13" t="n">
        <f aca="false">AG7+AG8</f>
        <v>52.5287653626779</v>
      </c>
      <c r="AH9" s="13" t="n">
        <f aca="false">AH7+AH8</f>
        <v>53.3529107961969</v>
      </c>
      <c r="AI9" s="13" t="n">
        <f aca="false">AI7+AI8</f>
        <v>52.9931542867936</v>
      </c>
      <c r="AJ9" s="13" t="n">
        <f aca="false">AJ7+AJ8</f>
        <v>53.6390856469102</v>
      </c>
      <c r="AK9" s="13" t="n">
        <f aca="false">AK7+AK8</f>
        <v>53.5205290871205</v>
      </c>
      <c r="AL9" s="13" t="n">
        <f aca="false">AL7+AL8</f>
        <v>53.9354887382185</v>
      </c>
      <c r="AM9" s="13" t="n">
        <f aca="false">AM7+AM8</f>
        <v>50.7213510664495</v>
      </c>
      <c r="AN9" s="13" t="n">
        <f aca="false">AN7+AN8</f>
        <v>43.416178080953</v>
      </c>
      <c r="AO9" s="13" t="n">
        <f aca="false">AO7+AO8</f>
        <v>42.5847473177912</v>
      </c>
      <c r="AP9" s="13" t="n">
        <f aca="false">AP7+AP8</f>
        <v>42.9271074713228</v>
      </c>
      <c r="AQ9" s="13" t="n">
        <f aca="false">AQ7+AQ8</f>
        <v>42.5201860064261</v>
      </c>
      <c r="AR9" s="13" t="n">
        <f aca="false">AR7+AR8</f>
        <v>43.1848196863551</v>
      </c>
      <c r="AS9" s="13" t="n">
        <f aca="false">AS7+AS8</f>
        <v>42.9803875192643</v>
      </c>
      <c r="AT9" s="13" t="n">
        <f aca="false">AT7+AT8</f>
        <v>49.9991188511031</v>
      </c>
      <c r="AU9" s="13" t="n">
        <f aca="false">AU7+AU8</f>
        <v>45.5643064272891</v>
      </c>
      <c r="AV9" s="13" t="n">
        <f aca="false">AV7+AV8</f>
        <v>45.7834416967709</v>
      </c>
      <c r="AW9" s="13" t="n">
        <f aca="false">AW7+AW8</f>
        <v>45.3772952908682</v>
      </c>
      <c r="AX9" s="13" t="n">
        <f aca="false">AX7+AX8</f>
        <v>46.0797870537435</v>
      </c>
      <c r="AY9" s="13" t="n">
        <f aca="false">AY7+AY8</f>
        <v>45.7187040145619</v>
      </c>
      <c r="AZ9" s="13" t="n">
        <f aca="false">AZ7+AZ8</f>
        <v>46.5262585922555</v>
      </c>
      <c r="BA9" s="13" t="n">
        <f aca="false">BA7+BA8</f>
        <v>46.3233135941091</v>
      </c>
      <c r="BB9" s="13" t="n">
        <f aca="false">BB7+BB8</f>
        <v>48.5904743879693</v>
      </c>
      <c r="BC9" s="13" t="n">
        <f aca="false">BC7+BC8</f>
        <v>45.3154937424216</v>
      </c>
      <c r="BD9" s="13" t="n">
        <f aca="false">BD7+BD8</f>
        <v>39.4343560721554</v>
      </c>
      <c r="BE9" s="13" t="n">
        <f aca="false">BE7+BE8</f>
        <v>39.0788651830339</v>
      </c>
      <c r="BF9" s="13" t="n">
        <f aca="false">BF7+BF8</f>
        <v>39.9326601522077</v>
      </c>
      <c r="BG9" s="13" t="n">
        <f aca="false">BG7+BG8</f>
        <v>39.6059465585661</v>
      </c>
      <c r="BH9" s="13" t="n">
        <f aca="false">BH7+BH8</f>
        <v>40.5524186395932</v>
      </c>
      <c r="BI9" s="13" t="n">
        <f aca="false">BI7+BI8</f>
        <v>40.326438745979</v>
      </c>
      <c r="BJ9" s="13" t="n">
        <f aca="false">BJ7+BJ8</f>
        <v>48.4901812421819</v>
      </c>
      <c r="BK9" s="13" t="n">
        <f aca="false">BK7+BK8</f>
        <v>43.3159214419499</v>
      </c>
      <c r="BL9" s="13" t="n">
        <f aca="false">BL7+BL8</f>
        <v>44.3217207372599</v>
      </c>
      <c r="BM9" s="13" t="n">
        <f aca="false">BM7+BM8</f>
        <v>41.681266154355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843.989827984118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37.2507915835958</v>
      </c>
      <c r="Q10" s="13" t="n">
        <f aca="false">Debt!Q114+Debt!Q110</f>
        <v>37.1619219243354</v>
      </c>
      <c r="R10" s="13" t="n">
        <f aca="false">Debt!R114+Debt!R110</f>
        <v>37.6298195237069</v>
      </c>
      <c r="S10" s="13" t="n">
        <f aca="false">Debt!S114+Debt!S110</f>
        <v>37.3383147560047</v>
      </c>
      <c r="T10" s="13" t="n">
        <f aca="false">Debt!T114+Debt!T110</f>
        <v>37.7563393082801</v>
      </c>
      <c r="U10" s="13" t="n">
        <f aca="false">Debt!U114+Debt!U110</f>
        <v>37.5758036908691</v>
      </c>
      <c r="V10" s="13" t="n">
        <f aca="false">Debt!V114+Debt!V110</f>
        <v>38.2932036675482</v>
      </c>
      <c r="W10" s="13" t="n">
        <f aca="false">Debt!W114+Debt!W110</f>
        <v>38.0284815131011</v>
      </c>
      <c r="X10" s="13" t="n">
        <f aca="false">Debt!X114+Debt!X110</f>
        <v>36.9318804370888</v>
      </c>
      <c r="Y10" s="13" t="n">
        <f aca="false">Debt!Y114+Debt!Y110</f>
        <v>36.5754415409828</v>
      </c>
      <c r="Z10" s="13" t="n">
        <f aca="false">Debt!Z114+Debt!Z110</f>
        <v>36.8765082066938</v>
      </c>
      <c r="AA10" s="13" t="n">
        <f aca="false">Debt!AA114+Debt!AA110</f>
        <v>36.5793973825574</v>
      </c>
      <c r="AB10" s="13" t="n">
        <f aca="false">Debt!AB114+Debt!AB110</f>
        <v>36.3771385277743</v>
      </c>
      <c r="AC10" s="13" t="n">
        <f aca="false">Debt!AC114+Debt!AC110</f>
        <v>35.4578512720366</v>
      </c>
      <c r="AD10" s="13" t="n">
        <f aca="false">Debt!AD114+Debt!AD110</f>
        <v>35.9778630320282</v>
      </c>
      <c r="AE10" s="13" t="n">
        <f aca="false">Debt!AE114+Debt!AE110</f>
        <v>35.002601588353</v>
      </c>
      <c r="AF10" s="13" t="n">
        <f aca="false">Debt!AF114+Debt!AF110</f>
        <v>33.8705356289784</v>
      </c>
      <c r="AG10" s="13" t="n">
        <f aca="false">Debt!AG114+Debt!AG110</f>
        <v>32.1180449513254</v>
      </c>
      <c r="AH10" s="13" t="n">
        <f aca="false">Debt!AH114+Debt!AH110</f>
        <v>30.7515884914132</v>
      </c>
      <c r="AI10" s="13" t="n">
        <f aca="false">Debt!AI114+Debt!AI110</f>
        <v>28.3118392325224</v>
      </c>
      <c r="AJ10" s="13" t="n">
        <f aca="false">Debt!AJ114+Debt!AJ110</f>
        <v>25.7879881879066</v>
      </c>
      <c r="AK10" s="13" t="n">
        <f aca="false">Debt!AK114+Debt!AK110</f>
        <v>21.8612135414036</v>
      </c>
      <c r="AL10" s="13" t="n">
        <f aca="false">Debt!AL114+Debt!AL110</f>
        <v>21.8401800128756</v>
      </c>
      <c r="AM10" s="13" t="n">
        <f aca="false">Debt!AM114+Debt!AM110</f>
        <v>21.772130240572</v>
      </c>
      <c r="AN10" s="13" t="n">
        <f aca="false">Debt!AN114+Debt!AN110</f>
        <v>18.835310412986</v>
      </c>
      <c r="AO10" s="13" t="n">
        <f aca="false">Debt!AO114+Debt!AO110</f>
        <v>18.027639329178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1.96693079357017</v>
      </c>
      <c r="P13" s="13" t="n">
        <f aca="false">MAX(0,P9-P10)</f>
        <v>14.9725612329339</v>
      </c>
      <c r="Q13" s="13" t="n">
        <f aca="false">MAX(0,Q9-Q10)</f>
        <v>13.0386450408286</v>
      </c>
      <c r="R13" s="13" t="n">
        <f aca="false">MAX(0,R9-R10)</f>
        <v>13.2528498089722</v>
      </c>
      <c r="S13" s="13" t="n">
        <f aca="false">MAX(0,S9-S10)</f>
        <v>13.1768047145676</v>
      </c>
      <c r="T13" s="13" t="n">
        <f aca="false">MAX(0,T9-T10)</f>
        <v>13.3197392974401</v>
      </c>
      <c r="U13" s="13" t="n">
        <f aca="false">MAX(0,U9-U10)</f>
        <v>13.2911131267936</v>
      </c>
      <c r="V13" s="13" t="n">
        <f aca="false">MAX(0,V9-V10)</f>
        <v>13.5678067254319</v>
      </c>
      <c r="W13" s="13" t="n">
        <f aca="false">MAX(0,W9-W10)</f>
        <v>13.5353393964586</v>
      </c>
      <c r="X13" s="13" t="n">
        <f aca="false">MAX(0,X9-X10)</f>
        <v>13.2379950755405</v>
      </c>
      <c r="Y13" s="13" t="n">
        <f aca="false">MAX(0,Y9-Y10)</f>
        <v>13.1573907537342</v>
      </c>
      <c r="Z13" s="13" t="n">
        <f aca="false">MAX(0,Z9-Z10)</f>
        <v>13.3020579374822</v>
      </c>
      <c r="AA13" s="13" t="n">
        <f aca="false">MAX(0,AA9-AA10)</f>
        <v>13.2633395825988</v>
      </c>
      <c r="AB13" s="13" t="n">
        <f aca="false">MAX(0,AB9-AB10)</f>
        <v>14.155398812907</v>
      </c>
      <c r="AC13" s="13" t="n">
        <f aca="false">MAX(0,AC9-AC10)</f>
        <v>14.9582718575802</v>
      </c>
      <c r="AD13" s="13" t="n">
        <f aca="false">MAX(0,AD9-AD10)</f>
        <v>16.103293783188</v>
      </c>
      <c r="AE13" s="13" t="n">
        <f aca="false">MAX(0,AE9-AE10)</f>
        <v>17.4790824705696</v>
      </c>
      <c r="AF13" s="13" t="n">
        <f aca="false">MAX(0,AF9-AF10)</f>
        <v>18.9297632041855</v>
      </c>
      <c r="AG13" s="13" t="n">
        <f aca="false">MAX(0,AG9-AG10)</f>
        <v>20.4107204113525</v>
      </c>
      <c r="AH13" s="13" t="n">
        <f aca="false">MAX(0,AH9-AH10)</f>
        <v>22.6013223047837</v>
      </c>
      <c r="AI13" s="13" t="n">
        <f aca="false">MAX(0,AI9-AI10)</f>
        <v>24.6813150542712</v>
      </c>
      <c r="AJ13" s="13" t="n">
        <f aca="false">MAX(0,AJ9-AJ10)</f>
        <v>27.8510974590036</v>
      </c>
      <c r="AK13" s="13" t="n">
        <f aca="false">MAX(0,AK9-AK10)</f>
        <v>31.6593155457169</v>
      </c>
      <c r="AL13" s="13" t="n">
        <f aca="false">MAX(0,AL9-AL10)</f>
        <v>32.0953087253429</v>
      </c>
      <c r="AM13" s="13" t="n">
        <f aca="false">MAX(0,AM9-AM10)</f>
        <v>28.9492208258775</v>
      </c>
      <c r="AN13" s="13" t="n">
        <f aca="false">MAX(0,AN9-AN10)</f>
        <v>24.580867667967</v>
      </c>
      <c r="AO13" s="13" t="n">
        <f aca="false">MAX(0,AO9-AO10)</f>
        <v>24.5571079886132</v>
      </c>
      <c r="AP13" s="13" t="n">
        <f aca="false">MAX(0,AP9-AP10)</f>
        <v>42.9271074713228</v>
      </c>
      <c r="AQ13" s="13" t="n">
        <f aca="false">MAX(0,AQ9-AQ10)</f>
        <v>42.5201860064261</v>
      </c>
      <c r="AR13" s="13" t="n">
        <f aca="false">MAX(0,AR9-AR10)</f>
        <v>43.1848196863551</v>
      </c>
      <c r="AS13" s="13" t="n">
        <f aca="false">MAX(0,AS9-AS10)</f>
        <v>42.9803875192643</v>
      </c>
      <c r="AT13" s="13" t="n">
        <f aca="false">MAX(0,AT9-AT10)</f>
        <v>49.9991188511031</v>
      </c>
      <c r="AU13" s="13" t="n">
        <f aca="false">MAX(0,AU9-AU10)</f>
        <v>45.5643064272891</v>
      </c>
      <c r="AV13" s="13" t="n">
        <f aca="false">MAX(0,AV9-AV10)</f>
        <v>45.7834416967709</v>
      </c>
      <c r="AW13" s="13" t="n">
        <f aca="false">MAX(0,AW9-AW10)</f>
        <v>45.3772952908682</v>
      </c>
      <c r="AX13" s="13" t="n">
        <f aca="false">MAX(0,AX9-AX10)</f>
        <v>46.0797870537435</v>
      </c>
      <c r="AY13" s="13" t="n">
        <f aca="false">MAX(0,AY9-AY10)</f>
        <v>45.7187040145619</v>
      </c>
      <c r="AZ13" s="13" t="n">
        <f aca="false">MAX(0,AZ9-AZ10)</f>
        <v>46.5262585922555</v>
      </c>
      <c r="BA13" s="13" t="n">
        <f aca="false">MAX(0,BA9-BA10)</f>
        <v>46.3233135941091</v>
      </c>
      <c r="BB13" s="13" t="n">
        <f aca="false">MAX(0,BB9-BB10)</f>
        <v>48.5904743879693</v>
      </c>
      <c r="BC13" s="13" t="n">
        <f aca="false">MAX(0,BC9-BC10)</f>
        <v>45.3154937424216</v>
      </c>
      <c r="BD13" s="13" t="n">
        <f aca="false">MAX(0,BD9-BD10)</f>
        <v>39.4343560721554</v>
      </c>
      <c r="BE13" s="13" t="n">
        <f aca="false">MAX(0,BE9-BE10)</f>
        <v>39.0788651830339</v>
      </c>
      <c r="BF13" s="13" t="n">
        <f aca="false">MAX(0,BF9-BF10)</f>
        <v>39.9326601522077</v>
      </c>
      <c r="BG13" s="13" t="n">
        <f aca="false">MAX(0,BG9-BG10)</f>
        <v>39.6059465585661</v>
      </c>
      <c r="BH13" s="13" t="n">
        <f aca="false">MAX(0,BH9-BH10)</f>
        <v>40.5524186395932</v>
      </c>
      <c r="BI13" s="13" t="n">
        <f aca="false">MAX(0,BI9-BI10)</f>
        <v>40.326438745979</v>
      </c>
      <c r="BJ13" s="13" t="n">
        <f aca="false">MAX(0,BJ9-BJ10)</f>
        <v>48.4901812421819</v>
      </c>
      <c r="BK13" s="13" t="n">
        <f aca="false">MAX(0,BK9-BK10)</f>
        <v>43.3159214419499</v>
      </c>
      <c r="BL13" s="13" t="n">
        <f aca="false">MAX(0,BL9-BL10)</f>
        <v>44.3217207372599</v>
      </c>
      <c r="BM13" s="13" t="n">
        <f aca="false">MAX(0,BM9-BM10)</f>
        <v>41.681266154355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1.96203464656912</v>
      </c>
      <c r="P14" s="13" t="n">
        <f aca="false">P13-Reserves!P11+Reserves!P12</f>
        <v>15.0614308921943</v>
      </c>
      <c r="Q14" s="13" t="n">
        <f aca="false">Q13-Reserves!Q11+Reserves!Q12</f>
        <v>12.5707474414572</v>
      </c>
      <c r="R14" s="13" t="n">
        <f aca="false">R13-Reserves!R11+Reserves!R12</f>
        <v>13.5443545766744</v>
      </c>
      <c r="S14" s="13" t="n">
        <f aca="false">S13-Reserves!S11+Reserves!S12</f>
        <v>12.7587801622922</v>
      </c>
      <c r="T14" s="13" t="n">
        <f aca="false">T13-Reserves!T11+Reserves!T12</f>
        <v>13.5002749148511</v>
      </c>
      <c r="U14" s="13" t="n">
        <f aca="false">U13-Reserves!U11+Reserves!U12</f>
        <v>12.5737131501145</v>
      </c>
      <c r="V14" s="13" t="n">
        <f aca="false">V13-Reserves!V11+Reserves!V12</f>
        <v>13.832528879879</v>
      </c>
      <c r="W14" s="13" t="n">
        <f aca="false">W13-Reserves!W11+Reserves!W12</f>
        <v>14.6319404724708</v>
      </c>
      <c r="X14" s="13" t="n">
        <f aca="false">X13-Reserves!X11+Reserves!X12</f>
        <v>13.5944339716465</v>
      </c>
      <c r="Y14" s="13" t="n">
        <f aca="false">Y13-Reserves!Y11+Reserves!Y12</f>
        <v>12.8563240880232</v>
      </c>
      <c r="Z14" s="13" t="n">
        <f aca="false">Z13-Reserves!Z11+Reserves!Z12</f>
        <v>13.5991687616186</v>
      </c>
      <c r="AA14" s="13" t="n">
        <f aca="false">AA13-Reserves!AA11+Reserves!AA12</f>
        <v>12.8327587126379</v>
      </c>
      <c r="AB14" s="13" t="n">
        <f aca="false">AB13-Reserves!AB11+Reserves!AB12</f>
        <v>14.9366703238534</v>
      </c>
      <c r="AC14" s="13" t="n">
        <f aca="false">AC13-Reserves!AC11+Reserves!AC12</f>
        <v>14.3840821535964</v>
      </c>
      <c r="AD14" s="13" t="n">
        <f aca="false">AD13-Reserves!AD11+Reserves!AD12</f>
        <v>16.86764706695</v>
      </c>
      <c r="AE14" s="13" t="n">
        <f aca="false">AE13-Reserves!AE11+Reserves!AE12</f>
        <v>18.4170556702003</v>
      </c>
      <c r="AF14" s="13" t="n">
        <f aca="false">AF13-Reserves!AF11+Reserves!AF12</f>
        <v>20.424626955432</v>
      </c>
      <c r="AG14" s="13" t="n">
        <f aca="false">AG13-Reserves!AG11+Reserves!AG12</f>
        <v>21.5053706232215</v>
      </c>
      <c r="AH14" s="13" t="n">
        <f aca="false">AH13-Reserves!AH11+Reserves!AH12</f>
        <v>24.5655980827006</v>
      </c>
      <c r="AI14" s="13" t="n">
        <f aca="false">AI13-Reserves!AI11+Reserves!AI12</f>
        <v>26.6143169175224</v>
      </c>
      <c r="AJ14" s="13" t="n">
        <f aca="false">AJ13-Reserves!AJ11+Reserves!AJ12</f>
        <v>30.7469003219339</v>
      </c>
      <c r="AK14" s="13" t="n">
        <f aca="false">AK13-Reserves!AK11+Reserves!AK12</f>
        <v>35.1050329760954</v>
      </c>
      <c r="AL14" s="13" t="n">
        <f aca="false">AL13-Reserves!AL11+Reserves!AL12</f>
        <v>32.5954365493415</v>
      </c>
      <c r="AM14" s="13" t="n">
        <f aca="false">AM13-Reserves!AM11+Reserves!AM12</f>
        <v>31.8860406534634</v>
      </c>
      <c r="AN14" s="13" t="n">
        <f aca="false">AN13-Reserves!AN11+Reserves!AN12</f>
        <v>25.388538751775</v>
      </c>
      <c r="AO14" s="13" t="n">
        <f aca="false">AO13-Reserves!AO11+Reserves!AO12</f>
        <v>42.5847473177912</v>
      </c>
      <c r="AP14" s="13" t="n">
        <f aca="false">AP13-Reserves!AP11+Reserves!AP12</f>
        <v>42.9271074713228</v>
      </c>
      <c r="AQ14" s="13" t="n">
        <f aca="false">AQ13-Reserves!AQ11+Reserves!AQ12</f>
        <v>42.5201860064261</v>
      </c>
      <c r="AR14" s="13" t="n">
        <f aca="false">AR13-Reserves!AR11+Reserves!AR12</f>
        <v>43.1848196863551</v>
      </c>
      <c r="AS14" s="13" t="n">
        <f aca="false">AS13-Reserves!AS11+Reserves!AS12</f>
        <v>42.9803875192643</v>
      </c>
      <c r="AT14" s="13" t="n">
        <f aca="false">AT13-Reserves!AT11+Reserves!AT12</f>
        <v>49.9991188511031</v>
      </c>
      <c r="AU14" s="13" t="n">
        <f aca="false">AU13-Reserves!AU11+Reserves!AU12</f>
        <v>45.5643064272891</v>
      </c>
      <c r="AV14" s="13" t="n">
        <f aca="false">AV13-Reserves!AV11+Reserves!AV12</f>
        <v>45.7834416967709</v>
      </c>
      <c r="AW14" s="13" t="n">
        <f aca="false">AW13-Reserves!AW11+Reserves!AW12</f>
        <v>45.3772952908682</v>
      </c>
      <c r="AX14" s="13" t="n">
        <f aca="false">AX13-Reserves!AX11+Reserves!AX12</f>
        <v>46.0797870537435</v>
      </c>
      <c r="AY14" s="13" t="n">
        <f aca="false">AY13-Reserves!AY11+Reserves!AY12</f>
        <v>45.7187040145619</v>
      </c>
      <c r="AZ14" s="13" t="n">
        <f aca="false">AZ13-Reserves!AZ11+Reserves!AZ12</f>
        <v>46.5262585922555</v>
      </c>
      <c r="BA14" s="13" t="n">
        <f aca="false">BA13-Reserves!BA11+Reserves!BA12</f>
        <v>46.3233135941091</v>
      </c>
      <c r="BB14" s="13" t="n">
        <f aca="false">BB13-Reserves!BB11+Reserves!BB12</f>
        <v>48.5904743879693</v>
      </c>
      <c r="BC14" s="13" t="n">
        <f aca="false">BC13-Reserves!BC11+Reserves!BC12</f>
        <v>45.3154937424216</v>
      </c>
      <c r="BD14" s="13" t="n">
        <f aca="false">BD13-Reserves!BD11+Reserves!BD12</f>
        <v>39.4343560721554</v>
      </c>
      <c r="BE14" s="13" t="n">
        <f aca="false">BE13-Reserves!BE11+Reserves!BE12</f>
        <v>39.0788651830339</v>
      </c>
      <c r="BF14" s="13" t="n">
        <f aca="false">BF13-Reserves!BF11+Reserves!BF12</f>
        <v>39.9326601522077</v>
      </c>
      <c r="BG14" s="13" t="n">
        <f aca="false">BG13-Reserves!BG11+Reserves!BG12</f>
        <v>39.6059465585661</v>
      </c>
      <c r="BH14" s="13" t="n">
        <f aca="false">BH13-Reserves!BH11+Reserves!BH12</f>
        <v>40.5524186395932</v>
      </c>
      <c r="BI14" s="13" t="n">
        <f aca="false">BI13-Reserves!BI11+Reserves!BI12</f>
        <v>40.326438745979</v>
      </c>
      <c r="BJ14" s="13" t="n">
        <f aca="false">BJ13-Reserves!BJ11+Reserves!BJ12</f>
        <v>48.4901812421819</v>
      </c>
      <c r="BK14" s="13" t="n">
        <f aca="false">BK13-Reserves!BK11+Reserves!BK12</f>
        <v>43.3159214419499</v>
      </c>
      <c r="BL14" s="13" t="n">
        <f aca="false">BL13-Reserves!BL11+Reserves!BL12</f>
        <v>44.3217207372599</v>
      </c>
      <c r="BM14" s="13" t="n">
        <f aca="false">BM13-Reserves!BM11+Reserves!BM12</f>
        <v>41.681266154355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1.96203464656912</v>
      </c>
      <c r="P15" s="13" t="n">
        <f aca="false">P14-Reserves!P14+Reserves!P15</f>
        <v>15.0614308921943</v>
      </c>
      <c r="Q15" s="13" t="n">
        <f aca="false">Q14-Reserves!Q14+Reserves!Q15</f>
        <v>12.5707474414572</v>
      </c>
      <c r="R15" s="13" t="n">
        <f aca="false">R14-Reserves!R14+Reserves!R15</f>
        <v>13.5443545766744</v>
      </c>
      <c r="S15" s="13" t="n">
        <f aca="false">S14-Reserves!S14+Reserves!S15</f>
        <v>12.7587801622922</v>
      </c>
      <c r="T15" s="13" t="n">
        <f aca="false">T14-Reserves!T14+Reserves!T15</f>
        <v>13.5002749148511</v>
      </c>
      <c r="U15" s="13" t="n">
        <f aca="false">U14-Reserves!U14+Reserves!U15</f>
        <v>12.5737131501145</v>
      </c>
      <c r="V15" s="13" t="n">
        <f aca="false">V14-Reserves!V14+Reserves!V15</f>
        <v>13.832528879879</v>
      </c>
      <c r="W15" s="13" t="n">
        <f aca="false">W14-Reserves!W14+Reserves!W15</f>
        <v>14.6319404724708</v>
      </c>
      <c r="X15" s="13" t="n">
        <f aca="false">X14-Reserves!X14+Reserves!X15</f>
        <v>13.5944339716465</v>
      </c>
      <c r="Y15" s="13" t="n">
        <f aca="false">Y14-Reserves!Y14+Reserves!Y15</f>
        <v>12.8563240880232</v>
      </c>
      <c r="Z15" s="13" t="n">
        <f aca="false">Z14-Reserves!Z14+Reserves!Z15</f>
        <v>13.5991687616186</v>
      </c>
      <c r="AA15" s="13" t="n">
        <f aca="false">AA14-Reserves!AA14+Reserves!AA15</f>
        <v>12.8327587126379</v>
      </c>
      <c r="AB15" s="13" t="n">
        <f aca="false">AB14-Reserves!AB14+Reserves!AB15</f>
        <v>14.9366703238534</v>
      </c>
      <c r="AC15" s="13" t="n">
        <f aca="false">AC14-Reserves!AC14+Reserves!AC15</f>
        <v>14.3840821535964</v>
      </c>
      <c r="AD15" s="13" t="n">
        <f aca="false">AD14-Reserves!AD14+Reserves!AD15</f>
        <v>16.86764706695</v>
      </c>
      <c r="AE15" s="13" t="n">
        <f aca="false">AE14-Reserves!AE14+Reserves!AE15</f>
        <v>18.4170556702003</v>
      </c>
      <c r="AF15" s="13" t="n">
        <f aca="false">AF14-Reserves!AF14+Reserves!AF15</f>
        <v>20.424626955432</v>
      </c>
      <c r="AG15" s="13" t="n">
        <f aca="false">AG14-Reserves!AG14+Reserves!AG15</f>
        <v>21.5053706232215</v>
      </c>
      <c r="AH15" s="13" t="n">
        <f aca="false">AH14-Reserves!AH14+Reserves!AH15</f>
        <v>24.5655980827006</v>
      </c>
      <c r="AI15" s="13" t="n">
        <f aca="false">AI14-Reserves!AI14+Reserves!AI15</f>
        <v>26.6143169175224</v>
      </c>
      <c r="AJ15" s="13" t="n">
        <f aca="false">AJ14-Reserves!AJ14+Reserves!AJ15</f>
        <v>30.7469003219339</v>
      </c>
      <c r="AK15" s="13" t="n">
        <f aca="false">AK14-Reserves!AK14+Reserves!AK15</f>
        <v>35.1050329760954</v>
      </c>
      <c r="AL15" s="13" t="n">
        <f aca="false">AL14-Reserves!AL14+Reserves!AL15</f>
        <v>32.5954365493415</v>
      </c>
      <c r="AM15" s="13" t="n">
        <f aca="false">AM14-Reserves!AM14+Reserves!AM15</f>
        <v>31.8860406534634</v>
      </c>
      <c r="AN15" s="13" t="n">
        <f aca="false">AN14-Reserves!AN14+Reserves!AN15</f>
        <v>25.388538751775</v>
      </c>
      <c r="AO15" s="13" t="n">
        <f aca="false">AO14-Reserves!AO14+Reserves!AO15</f>
        <v>42.5847473177912</v>
      </c>
      <c r="AP15" s="13" t="n">
        <f aca="false">AP14-Reserves!AP14+Reserves!AP15</f>
        <v>42.9271074713228</v>
      </c>
      <c r="AQ15" s="13" t="n">
        <f aca="false">AQ14-Reserves!AQ14+Reserves!AQ15</f>
        <v>42.5201860064261</v>
      </c>
      <c r="AR15" s="13" t="n">
        <f aca="false">AR14-Reserves!AR14+Reserves!AR15</f>
        <v>43.1848196863551</v>
      </c>
      <c r="AS15" s="13" t="n">
        <f aca="false">AS14-Reserves!AS14+Reserves!AS15</f>
        <v>42.9803875192643</v>
      </c>
      <c r="AT15" s="13" t="n">
        <f aca="false">AT14-Reserves!AT14+Reserves!AT15</f>
        <v>49.9991188511031</v>
      </c>
      <c r="AU15" s="13" t="n">
        <f aca="false">AU14-Reserves!AU14+Reserves!AU15</f>
        <v>45.5643064272891</v>
      </c>
      <c r="AV15" s="13" t="n">
        <f aca="false">AV14-Reserves!AV14+Reserves!AV15</f>
        <v>45.7834416967709</v>
      </c>
      <c r="AW15" s="13" t="n">
        <f aca="false">AW14-Reserves!AW14+Reserves!AW15</f>
        <v>45.3772952908682</v>
      </c>
      <c r="AX15" s="13" t="n">
        <f aca="false">AX14-Reserves!AX14+Reserves!AX15</f>
        <v>46.0797870537435</v>
      </c>
      <c r="AY15" s="13" t="n">
        <f aca="false">AY14-Reserves!AY14+Reserves!AY15</f>
        <v>45.7187040145619</v>
      </c>
      <c r="AZ15" s="13" t="n">
        <f aca="false">AZ14-Reserves!AZ14+Reserves!AZ15</f>
        <v>46.5262585922555</v>
      </c>
      <c r="BA15" s="13" t="n">
        <f aca="false">BA14-Reserves!BA14+Reserves!BA15</f>
        <v>45.8283452075004</v>
      </c>
      <c r="BB15" s="13" t="n">
        <f aca="false">BB14-Reserves!BB14+Reserves!BB15</f>
        <v>47.0893241333249</v>
      </c>
      <c r="BC15" s="13" t="n">
        <f aca="false">BC14-Reserves!BC14+Reserves!BC15</f>
        <v>43.7979206690794</v>
      </c>
      <c r="BD15" s="13" t="n">
        <f aca="false">BD14-Reserves!BD14+Reserves!BD15</f>
        <v>37.9001805119088</v>
      </c>
      <c r="BE15" s="13" t="n">
        <f aca="false">BE14-Reserves!BE14+Reserves!BE15</f>
        <v>37.5279055020781</v>
      </c>
      <c r="BF15" s="13" t="n">
        <f aca="false">BF14-Reserves!BF14+Reserves!BF15</f>
        <v>38.3647327296357</v>
      </c>
      <c r="BG15" s="13" t="n">
        <f aca="false">BG14-Reserves!BG14+Reserves!BG15</f>
        <v>38.0208657646293</v>
      </c>
      <c r="BH15" s="13" t="n">
        <f aca="false">BH14-Reserves!BH14+Reserves!BH15</f>
        <v>38.9499968137246</v>
      </c>
      <c r="BI15" s="13" t="n">
        <f aca="false">BI14-Reserves!BI14+Reserves!BI15</f>
        <v>38.7064861745756</v>
      </c>
      <c r="BJ15" s="13" t="n">
        <f aca="false">BJ14-Reserves!BJ14+Reserves!BJ15</f>
        <v>46.8525061361442</v>
      </c>
      <c r="BK15" s="13" t="n">
        <f aca="false">BK14-Reserves!BK14+Reserves!BK15</f>
        <v>41.6603299139757</v>
      </c>
      <c r="BL15" s="13" t="n">
        <f aca="false">BL14-Reserves!BL14+Reserves!BL15</f>
        <v>42.6480167788894</v>
      </c>
      <c r="BM15" s="13" t="n">
        <f aca="false">BM14-Reserves!BM14+Reserves!BM15</f>
        <v>59.622446316316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1.34926845936059</v>
      </c>
      <c r="Q17" s="3" t="n">
        <f aca="false">IF(Debt!Q114&gt;Inputs!$F$253,Q7/Debt!Q114,0)</f>
        <v>1.35086035290038</v>
      </c>
      <c r="R17" s="3" t="n">
        <f aca="false">IF(Debt!R114&gt;Inputs!$F$253,R7/Debt!R114,0)</f>
        <v>1.35219009755343</v>
      </c>
      <c r="S17" s="3" t="n">
        <f aca="false">IF(Debt!S114&gt;Inputs!$F$253,S7/Debt!S114,0)</f>
        <v>1.35290303809035</v>
      </c>
      <c r="T17" s="3" t="n">
        <f aca="false">IF(Debt!T114&gt;Inputs!$F$253,T7/Debt!T114,0)</f>
        <v>1.3527815339481</v>
      </c>
      <c r="U17" s="3" t="n">
        <f aca="false">IF(Debt!U114&gt;Inputs!$F$253,U7/Debt!U114,0)</f>
        <v>1.35371467330779</v>
      </c>
      <c r="V17" s="3" t="n">
        <f aca="false">IF(Debt!V114&gt;Inputs!$F$253,V7/Debt!V114,0)</f>
        <v>1.35431370128298</v>
      </c>
      <c r="W17" s="3" t="n">
        <f aca="false">IF(Debt!W114&gt;Inputs!$F$253,W7/Debt!W114,0)</f>
        <v>1.35592637039151</v>
      </c>
      <c r="X17" s="3" t="n">
        <f aca="false">IF(Debt!X114&gt;Inputs!$F$253,X7/Debt!X114,0)</f>
        <v>1.35844357013152</v>
      </c>
      <c r="Y17" s="3" t="n">
        <f aca="false">IF(Debt!Y114&gt;Inputs!$F$253,Y7/Debt!Y114,0)</f>
        <v>1.35973293005886</v>
      </c>
      <c r="Z17" s="3" t="n">
        <f aca="false">IF(Debt!Z114&gt;Inputs!$F$253,Z7/Debt!Z114,0)</f>
        <v>1.36071902098007</v>
      </c>
      <c r="AA17" s="3" t="n">
        <f aca="false">IF(Debt!AA114&gt;Inputs!$F$253,AA7/Debt!AA114,0)</f>
        <v>1.36259043427881</v>
      </c>
      <c r="AB17" s="3" t="n">
        <f aca="false">IF(Debt!AB114&gt;Inputs!$F$253,AB7/Debt!AB114,0)</f>
        <v>1.38912898006255</v>
      </c>
      <c r="AC17" s="3" t="n">
        <f aca="false">IF(Debt!AC114&gt;Inputs!$F$253,AC7/Debt!AC114,0)</f>
        <v>1.42186064075961</v>
      </c>
      <c r="AD17" s="3" t="n">
        <f aca="false">IF(Debt!AD114&gt;Inputs!$F$253,AD7/Debt!AD114,0)</f>
        <v>1.44758894570399</v>
      </c>
      <c r="AE17" s="3" t="n">
        <f aca="false">IF(Debt!AE114&gt;Inputs!$F$253,AE7/Debt!AE114,0)</f>
        <v>1.49936523793665</v>
      </c>
      <c r="AF17" s="3" t="n">
        <f aca="false">IF(Debt!AF114&gt;Inputs!$F$253,AF7/Debt!AF114,0)</f>
        <v>1.55888585322489</v>
      </c>
      <c r="AG17" s="3" t="n">
        <f aca="false">IF(Debt!AG114&gt;Inputs!$F$253,AG7/Debt!AG114,0)</f>
        <v>1.63549074802918</v>
      </c>
      <c r="AH17" s="3" t="n">
        <f aca="false">IF(Debt!AH114&gt;Inputs!$F$253,AH7/Debt!AH114,0)</f>
        <v>1.73496438439578</v>
      </c>
      <c r="AI17" s="3" t="n">
        <f aca="false">IF(Debt!AI114&gt;Inputs!$F$253,AI7/Debt!AI114,0)</f>
        <v>1.87176657268947</v>
      </c>
      <c r="AJ17" s="3" t="n">
        <f aca="false">IF(Debt!AJ114&gt;Inputs!$F$253,AJ7/Debt!AJ114,0)</f>
        <v>2.08000272282056</v>
      </c>
      <c r="AK17" s="3" t="n">
        <f aca="false">IF(Debt!AK114&gt;Inputs!$F$253,AK7/Debt!AK114,0)</f>
        <v>2.44819570449538</v>
      </c>
      <c r="AL17" s="3" t="n">
        <f aca="false">IF(Debt!AL114&gt;Inputs!$F$253,AL7/Debt!AL114,0)</f>
        <v>2.46955330525762</v>
      </c>
      <c r="AM17" s="3" t="n">
        <f aca="false">IF(Debt!AM114&gt;Inputs!$F$253,AM7/Debt!AM114,0)</f>
        <v>2.3296457675938</v>
      </c>
      <c r="AN17" s="3" t="n">
        <f aca="false">IF(Debt!AN114&gt;Inputs!$F$253,AN7/Debt!AN114,0)</f>
        <v>2.30504181396552</v>
      </c>
      <c r="AO17" s="3" t="n">
        <f aca="false">IF(Debt!AO114&gt;Inputs!$F$253,AO7/Debt!AO114,0)</f>
        <v>2.36219210625471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1.34926845936059</v>
      </c>
      <c r="Q18" s="3" t="n">
        <f aca="false">IF(Debt!Q114&gt;Inputs!$F$253,IF(Debt!P114&gt;Inputs!$F$253,(Q7+P7)/(Debt!Q114+Debt!P114),Q17),0)</f>
        <v>1.35006345554671</v>
      </c>
      <c r="R18" s="3" t="n">
        <f aca="false">IF(Debt!R114&gt;Inputs!$F$253,IF(Debt!Q114&gt;Inputs!$F$253,(R7+Q7)/(Debt!R114+Debt!Q114),R17),0)</f>
        <v>1.35152938467231</v>
      </c>
      <c r="S18" s="3" t="n">
        <f aca="false">IF(Debt!S114&gt;Inputs!$F$253,IF(Debt!R114&gt;Inputs!$F$253,(S7+R7)/(Debt!S114+Debt!R114),S17),0)</f>
        <v>1.3525451817292</v>
      </c>
      <c r="T18" s="3" t="n">
        <f aca="false">IF(Debt!T114&gt;Inputs!$F$253,IF(Debt!S114&gt;Inputs!$F$253,(T7+S7)/(Debt!T114+Debt!S114),T17),0)</f>
        <v>1.3528419478346</v>
      </c>
      <c r="U18" s="3" t="n">
        <f aca="false">IF(Debt!U114&gt;Inputs!$F$253,IF(Debt!T114&gt;Inputs!$F$253,(U7+T7)/(Debt!U114+Debt!T114),U17),0)</f>
        <v>1.35324698548048</v>
      </c>
      <c r="V18" s="3" t="n">
        <f aca="false">IF(Debt!V114&gt;Inputs!$F$253,IF(Debt!U114&gt;Inputs!$F$253,(V7+U7)/(Debt!V114+Debt!U114),V17),0)</f>
        <v>1.35401701943113</v>
      </c>
      <c r="W18" s="3" t="n">
        <f aca="false">IF(Debt!W114&gt;Inputs!$F$253,IF(Debt!V114&gt;Inputs!$F$253,(W7+V7)/(Debt!W114+Debt!V114),W17),0)</f>
        <v>1.35511723906173</v>
      </c>
      <c r="X18" s="3" t="n">
        <f aca="false">IF(Debt!X114&gt;Inputs!$F$253,IF(Debt!W114&gt;Inputs!$F$253,(X7+W7)/(Debt!X114+Debt!W114),X17),0)</f>
        <v>1.35716655810426</v>
      </c>
      <c r="Y18" s="3" t="n">
        <f aca="false">IF(Debt!Y114&gt;Inputs!$F$253,IF(Debt!X114&gt;Inputs!$F$253,(Y7+X7)/(Debt!Y114+Debt!X114),Y17),0)</f>
        <v>1.35908512402545</v>
      </c>
      <c r="Z18" s="3" t="n">
        <f aca="false">IF(Debt!Z114&gt;Inputs!$F$253,IF(Debt!Y114&gt;Inputs!$F$253,(Z7+Y7)/(Debt!Z114+Debt!Y114),Z17),0)</f>
        <v>1.36022799642638</v>
      </c>
      <c r="AA18" s="3" t="n">
        <f aca="false">IF(Debt!AA114&gt;Inputs!$F$253,IF(Debt!Z114&gt;Inputs!$F$253,(AA7+Z7)/(Debt!AA114+Debt!Z114),AA17),0)</f>
        <v>1.36165094292934</v>
      </c>
      <c r="AB18" s="3" t="n">
        <f aca="false">IF(Debt!AB114&gt;Inputs!$F$253,IF(Debt!AA114&gt;Inputs!$F$253,(AB7+AA7)/(Debt!AB114+Debt!AA114),AB17),0)</f>
        <v>1.37582292050167</v>
      </c>
      <c r="AC18" s="3" t="n">
        <f aca="false">IF(Debt!AC114&gt;Inputs!$F$253,IF(Debt!AB114&gt;Inputs!$F$253,(AC7+AB7)/(Debt!AC114+Debt!AB114),AC17),0)</f>
        <v>1.4052853734875</v>
      </c>
      <c r="AD18" s="3" t="n">
        <f aca="false">IF(Debt!AD114&gt;Inputs!$F$253,IF(Debt!AC114&gt;Inputs!$F$253,(AD7+AC7)/(Debt!AD114+Debt!AC114),AD17),0)</f>
        <v>1.43481843701535</v>
      </c>
      <c r="AE18" s="3" t="n">
        <f aca="false">IF(Debt!AE114&gt;Inputs!$F$253,IF(Debt!AD114&gt;Inputs!$F$253,(AE7+AD7)/(Debt!AE114+Debt!AD114),AE17),0)</f>
        <v>1.47312139239104</v>
      </c>
      <c r="AF18" s="3" t="n">
        <f aca="false">IF(Debt!AF114&gt;Inputs!$F$253,IF(Debt!AE114&gt;Inputs!$F$253,(AF7+AE7)/(Debt!AF114+Debt!AE114),AF17),0)</f>
        <v>1.52863637618054</v>
      </c>
      <c r="AG18" s="3" t="n">
        <f aca="false">IF(Debt!AG114&gt;Inputs!$F$253,IF(Debt!AF114&gt;Inputs!$F$253,(AG7+AF7)/(Debt!AG114+Debt!AF114),AG17),0)</f>
        <v>1.59617108399026</v>
      </c>
      <c r="AH18" s="3" t="n">
        <f aca="false">IF(Debt!AH114&gt;Inputs!$F$253,IF(Debt!AG114&gt;Inputs!$F$253,(AH7+AG7)/(Debt!AH114+Debt!AG114),AH17),0)</f>
        <v>1.68414654835409</v>
      </c>
      <c r="AI18" s="3" t="n">
        <f aca="false">IF(Debt!AI114&gt;Inputs!$F$253,IF(Debt!AH114&gt;Inputs!$F$253,(AI7+AH7)/(Debt!AI114+Debt!AH114),AI17),0)</f>
        <v>1.80054001572776</v>
      </c>
      <c r="AJ18" s="3" t="n">
        <f aca="false">IF(Debt!AJ114&gt;Inputs!$F$253,IF(Debt!AI114&gt;Inputs!$F$253,(AJ7+AI7)/(Debt!AJ114+Debt!AI114),AJ17),0)</f>
        <v>1.97102735846136</v>
      </c>
      <c r="AK18" s="3" t="n">
        <f aca="false">IF(Debt!AK114&gt;Inputs!$F$253,IF(Debt!AJ114&gt;Inputs!$F$253,(AK7+AJ7)/(Debt!AK114+Debt!AJ114),AK17),0)</f>
        <v>2.2489278066565</v>
      </c>
      <c r="AL18" s="3" t="n">
        <f aca="false">IF(Debt!AL114&gt;Inputs!$F$253,IF(Debt!AK114&gt;Inputs!$F$253,(AL7+AK7)/(Debt!AL114+Debt!AK114),AL17),0)</f>
        <v>2.45886936515819</v>
      </c>
      <c r="AM18" s="3" t="n">
        <f aca="false">IF(Debt!AM114&gt;Inputs!$F$253,IF(Debt!AL114&gt;Inputs!$F$253,(AM7+AL7)/(Debt!AM114+Debt!AL114),AM17),0)</f>
        <v>2.39970868767253</v>
      </c>
      <c r="AN18" s="3" t="n">
        <f aca="false">IF(Debt!AN114&gt;Inputs!$F$253,IF(Debt!AM114&gt;Inputs!$F$253,(AN7+AM7)/(Debt!AN114+Debt!AM114),AN17),0)</f>
        <v>2.31823349692329</v>
      </c>
      <c r="AO18" s="3" t="n">
        <f aca="false">IF(Debt!AO114&gt;Inputs!$F$253,IF(Debt!AN114&gt;Inputs!$F$253,(AO7+AN7)/(Debt!AO114+Debt!AN114),AO17),0)</f>
        <v>2.33299087566983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101.993117578772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6.41637935631897</v>
      </c>
      <c r="AB29" s="13" t="n">
        <f aca="false">IF(AND(AB24=1,Time!AB52=1,Inputs!$F$52=1),MIN(Inputs!$F$111*AB15,Debt!AB73),0)</f>
        <v>7.46833516192671</v>
      </c>
      <c r="AC29" s="13" t="n">
        <f aca="false">IF(AND(AC24=1,Time!AC52=1,Inputs!$F$52=1),MIN(Inputs!$F$111*AC15,Debt!AC73),0)</f>
        <v>7.19204107679818</v>
      </c>
      <c r="AD29" s="13" t="n">
        <f aca="false">IF(AND(AD24=1,Time!AD52=1,Inputs!$F$52=1),MIN(Inputs!$F$111*AD15,Debt!AD73),0)</f>
        <v>8.43382353347502</v>
      </c>
      <c r="AE29" s="13" t="n">
        <f aca="false">IF(AND(AE24=1,Time!AE52=1,Inputs!$F$52=1),MIN(Inputs!$F$111*AE15,Debt!AE73),0)</f>
        <v>9.20852783510016</v>
      </c>
      <c r="AF29" s="13" t="n">
        <f aca="false">IF(AND(AF24=1,Time!AF52=1,Inputs!$F$52=1),MIN(Inputs!$F$111*AF15,Debt!AF73),0)</f>
        <v>10.212313477716</v>
      </c>
      <c r="AG29" s="13" t="n">
        <f aca="false">IF(AND(AG24=1,Time!AG52=1,Inputs!$F$52=1),MIN(Inputs!$F$111*AG15,Debt!AG73),0)</f>
        <v>10.7526853116107</v>
      </c>
      <c r="AH29" s="13" t="n">
        <f aca="false">IF(AND(AH24=1,Time!AH52=1,Inputs!$F$52=1),MIN(Inputs!$F$111*AH15,Debt!AH73),0)</f>
        <v>12.2827990413503</v>
      </c>
      <c r="AI29" s="13" t="n">
        <f aca="false">IF(AND(AI24=1,Time!AI52=1,Inputs!$F$52=1),MIN(Inputs!$F$111*AI15,Debt!AI73),0)</f>
        <v>13.3071584587612</v>
      </c>
      <c r="AJ29" s="13" t="n">
        <f aca="false">IF(AND(AJ24=1,Time!AJ52=1,Inputs!$F$52=1),MIN(Inputs!$F$111*AJ15,Debt!AJ73),0)</f>
        <v>15.3734501609669</v>
      </c>
      <c r="AK29" s="13" t="n">
        <f aca="false">IF(AND(AK24=1,Time!AK52=1,Inputs!$F$52=1),MIN(Inputs!$F$111*AK15,Debt!AK73),0)</f>
        <v>1.34560416474781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1.96203464656912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1469.01587207071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15.0614308921943</v>
      </c>
      <c r="Q31" s="13" t="n">
        <f aca="false">IF(Q24=1,Q15-Q29,0)</f>
        <v>12.5707474414572</v>
      </c>
      <c r="R31" s="13" t="n">
        <f aca="false">IF(R24=1,R15-R29,0)</f>
        <v>13.5443545766744</v>
      </c>
      <c r="S31" s="13" t="n">
        <f aca="false">IF(S24=1,S15-S29,0)</f>
        <v>12.7587801622922</v>
      </c>
      <c r="T31" s="13" t="n">
        <f aca="false">IF(T24=1,T15-T29,0)</f>
        <v>13.5002749148511</v>
      </c>
      <c r="U31" s="13" t="n">
        <f aca="false">IF(U24=1,U15-U29,0)</f>
        <v>12.5737131501145</v>
      </c>
      <c r="V31" s="13" t="n">
        <f aca="false">IF(V24=1,V15-V29,0)</f>
        <v>13.832528879879</v>
      </c>
      <c r="W31" s="13" t="n">
        <f aca="false">IF(W24=1,W15-W29,0)</f>
        <v>14.6319404724708</v>
      </c>
      <c r="X31" s="13" t="n">
        <f aca="false">IF(X24=1,X15-X29,0)</f>
        <v>13.5944339716465</v>
      </c>
      <c r="Y31" s="13" t="n">
        <f aca="false">IF(Y24=1,Y15-Y29,0)</f>
        <v>12.8563240880232</v>
      </c>
      <c r="Z31" s="13" t="n">
        <f aca="false">IF(Z24=1,Z15-Z29,0)</f>
        <v>13.5991687616186</v>
      </c>
      <c r="AA31" s="13" t="n">
        <f aca="false">IF(AA24=1,AA15-AA29,0)</f>
        <v>6.41637935631897</v>
      </c>
      <c r="AB31" s="13" t="n">
        <f aca="false">IF(AB24=1,AB15-AB29,0)</f>
        <v>7.46833516192671</v>
      </c>
      <c r="AC31" s="13" t="n">
        <f aca="false">IF(AC24=1,AC15-AC29,0)</f>
        <v>7.19204107679818</v>
      </c>
      <c r="AD31" s="13" t="n">
        <f aca="false">IF(AD24=1,AD15-AD29,0)</f>
        <v>8.43382353347502</v>
      </c>
      <c r="AE31" s="13" t="n">
        <f aca="false">IF(AE24=1,AE15-AE29,0)</f>
        <v>9.20852783510016</v>
      </c>
      <c r="AF31" s="13" t="n">
        <f aca="false">IF(AF24=1,AF15-AF29,0)</f>
        <v>10.212313477716</v>
      </c>
      <c r="AG31" s="13" t="n">
        <f aca="false">IF(AG24=1,AG15-AG29,0)</f>
        <v>10.7526853116107</v>
      </c>
      <c r="AH31" s="13" t="n">
        <f aca="false">IF(AH24=1,AH15-AH29,0)</f>
        <v>12.2827990413503</v>
      </c>
      <c r="AI31" s="13" t="n">
        <f aca="false">IF(AI24=1,AI15-AI29,0)</f>
        <v>13.3071584587612</v>
      </c>
      <c r="AJ31" s="13" t="n">
        <f aca="false">IF(AJ24=1,AJ15-AJ29,0)</f>
        <v>15.3734501609669</v>
      </c>
      <c r="AK31" s="13" t="n">
        <f aca="false">IF(AK24=1,AK15-AK29,0)</f>
        <v>33.7594288113476</v>
      </c>
      <c r="AL31" s="13" t="n">
        <f aca="false">IF(AL24=1,AL15-AL29,0)</f>
        <v>32.5954365493415</v>
      </c>
      <c r="AM31" s="13" t="n">
        <f aca="false">IF(AM24=1,AM15-AM29,0)</f>
        <v>31.8860406534634</v>
      </c>
      <c r="AN31" s="13" t="n">
        <f aca="false">IF(AN24=1,AN15-AN29,0)</f>
        <v>25.388538751775</v>
      </c>
      <c r="AO31" s="13" t="n">
        <f aca="false">IF(AO24=1,AO15-AO29,0)</f>
        <v>42.5847473177912</v>
      </c>
      <c r="AP31" s="13" t="n">
        <f aca="false">IF(AP24=1,AP15-AP29,0)</f>
        <v>42.9271074713228</v>
      </c>
      <c r="AQ31" s="13" t="n">
        <f aca="false">IF(AQ24=1,AQ15-AQ29,0)</f>
        <v>42.5201860064261</v>
      </c>
      <c r="AR31" s="13" t="n">
        <f aca="false">IF(AR24=1,AR15-AR29,0)</f>
        <v>43.1848196863551</v>
      </c>
      <c r="AS31" s="13" t="n">
        <f aca="false">IF(AS24=1,AS15-AS29,0)</f>
        <v>42.9803875192643</v>
      </c>
      <c r="AT31" s="13" t="n">
        <f aca="false">IF(AT24=1,AT15-AT29,0)</f>
        <v>49.9991188511031</v>
      </c>
      <c r="AU31" s="13" t="n">
        <f aca="false">IF(AU24=1,AU15-AU29,0)</f>
        <v>45.5643064272891</v>
      </c>
      <c r="AV31" s="13" t="n">
        <f aca="false">IF(AV24=1,AV15-AV29,0)</f>
        <v>45.7834416967709</v>
      </c>
      <c r="AW31" s="13" t="n">
        <f aca="false">IF(AW24=1,AW15-AW29,0)</f>
        <v>45.3772952908682</v>
      </c>
      <c r="AX31" s="13" t="n">
        <f aca="false">IF(AX24=1,AX15-AX29,0)</f>
        <v>46.0797870537435</v>
      </c>
      <c r="AY31" s="13" t="n">
        <f aca="false">IF(AY24=1,AY15-AY29,0)</f>
        <v>45.7187040145619</v>
      </c>
      <c r="AZ31" s="13" t="n">
        <f aca="false">IF(AZ24=1,AZ15-AZ29,0)</f>
        <v>46.5262585922555</v>
      </c>
      <c r="BA31" s="13" t="n">
        <f aca="false">IF(BA24=1,BA15-BA29,0)</f>
        <v>45.8283452075004</v>
      </c>
      <c r="BB31" s="13" t="n">
        <f aca="false">IF(BB24=1,BB15-BB29,0)</f>
        <v>47.0893241333249</v>
      </c>
      <c r="BC31" s="13" t="n">
        <f aca="false">IF(BC24=1,BC15-BC29,0)</f>
        <v>43.7979206690794</v>
      </c>
      <c r="BD31" s="13" t="n">
        <f aca="false">IF(BD24=1,BD15-BD29,0)</f>
        <v>37.9001805119088</v>
      </c>
      <c r="BE31" s="13" t="n">
        <f aca="false">IF(BE24=1,BE15-BE29,0)</f>
        <v>37.5279055020781</v>
      </c>
      <c r="BF31" s="13" t="n">
        <f aca="false">IF(BF24=1,BF15-BF29,0)</f>
        <v>38.3647327296357</v>
      </c>
      <c r="BG31" s="13" t="n">
        <f aca="false">IF(BG24=1,BG15-BG29,0)</f>
        <v>38.0208657646293</v>
      </c>
      <c r="BH31" s="13" t="n">
        <f aca="false">IF(BH24=1,BH15-BH29,0)</f>
        <v>38.9499968137246</v>
      </c>
      <c r="BI31" s="13" t="n">
        <f aca="false">IF(BI24=1,BI15-BI29,0)</f>
        <v>38.7064861745756</v>
      </c>
      <c r="BJ31" s="13" t="n">
        <f aca="false">IF(BJ24=1,BJ15-BJ29,0)</f>
        <v>46.8525061361442</v>
      </c>
      <c r="BK31" s="13" t="n">
        <f aca="false">IF(BK24=1,BK15-BK29,0)</f>
        <v>41.6603299139757</v>
      </c>
      <c r="BL31" s="13" t="n">
        <f aca="false">IF(BL24=1,BL15-BL29,0)</f>
        <v>42.6480167788894</v>
      </c>
      <c r="BM31" s="13" t="n">
        <f aca="false">IF(BM24=1,BM15-BM29,0)</f>
        <v>59.622446316316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44.9260194995226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204.20248441119</v>
      </c>
      <c r="P33" s="13" t="n">
        <f aca="false">IF(Time!P20&lt;Time!$F$12,0,IF(Time!P34=1,INDEX(Funding!$J$72:$BJ$72,1,Time!$F$14),O36))</f>
        <v>207.444548513006</v>
      </c>
      <c r="Q33" s="13" t="n">
        <f aca="false">IF(Time!Q20&lt;Time!$F$12,0,IF(Time!Q34=1,INDEX(Funding!$J$72:$BJ$72,1,Time!$F$14),P36))</f>
        <v>202.317722300284</v>
      </c>
      <c r="R33" s="13" t="n">
        <f aca="false">IF(Time!R20&lt;Time!$F$12,0,IF(Time!R34=1,INDEX(Funding!$J$72:$BJ$72,1,Time!$F$14),Q36))</f>
        <v>199.278079612124</v>
      </c>
      <c r="S33" s="13" t="n">
        <f aca="false">IF(Time!S20&lt;Time!$F$12,0,IF(Time!S34=1,INDEX(Funding!$J$72:$BJ$72,1,Time!$F$14),R36))</f>
        <v>195.277234163175</v>
      </c>
      <c r="T33" s="13" t="n">
        <f aca="false">IF(Time!T20&lt;Time!$F$12,0,IF(Time!T34=1,INDEX(Funding!$J$72:$BJ$72,1,Time!$F$14),S36))</f>
        <v>191.717884251392</v>
      </c>
      <c r="U33" s="13" t="n">
        <f aca="false">IF(Time!U20&lt;Time!$F$12,0,IF(Time!U34=1,INDEX(Funding!$J$72:$BJ$72,1,Time!$F$14),T36))</f>
        <v>187.399057601512</v>
      </c>
      <c r="V33" s="13" t="n">
        <f aca="false">IF(Time!V20&lt;Time!$F$12,0,IF(Time!V34=1,INDEX(Funding!$J$72:$BJ$72,1,Time!$F$14),U36))</f>
        <v>183.702412138877</v>
      </c>
      <c r="W33" s="13" t="n">
        <f aca="false">IF(Time!W20&lt;Time!$F$12,0,IF(Time!W34=1,INDEX(Funding!$J$72:$BJ$72,1,Time!$F$14),V36))</f>
        <v>178.667467270471</v>
      </c>
      <c r="X33" s="13" t="n">
        <f aca="false">IF(Time!X20&lt;Time!$F$12,0,IF(Time!X34=1,INDEX(Funding!$J$72:$BJ$72,1,Time!$F$14),W36))</f>
        <v>172.452477756125</v>
      </c>
      <c r="Y33" s="13" t="n">
        <f aca="false">IF(Time!Y20&lt;Time!$F$12,0,IF(Time!Y34=1,INDEX(Funding!$J$72:$BJ$72,1,Time!$F$14),X36))</f>
        <v>167.116863815101</v>
      </c>
      <c r="Z33" s="13" t="n">
        <f aca="false">IF(Time!Z20&lt;Time!$F$12,0,IF(Time!Z34=1,INDEX(Funding!$J$72:$BJ$72,1,Time!$F$14),Y36))</f>
        <v>162.133346503244</v>
      </c>
      <c r="AA33" s="13" t="n">
        <f aca="false">IF(Time!AA20&lt;Time!$F$12,0,IF(Time!AA34=1,INDEX(Funding!$J$72:$BJ$72,1,Time!$F$14),Z36))</f>
        <v>156.298810335808</v>
      </c>
      <c r="AB33" s="13" t="n">
        <f aca="false">IF(Time!AB20&lt;Time!$F$12,0,IF(Time!AB34=1,INDEX(Funding!$J$72:$BJ$72,1,Time!$F$14),AA36))</f>
        <v>157.245603702021</v>
      </c>
      <c r="AC33" s="13" t="n">
        <f aca="false">IF(Time!AC20&lt;Time!$F$12,0,IF(Time!AC34=1,INDEX(Funding!$J$72:$BJ$72,1,Time!$F$14),AB36))</f>
        <v>157.307825122865</v>
      </c>
      <c r="AD33" s="13" t="n">
        <f aca="false">IF(Time!AD20&lt;Time!$F$12,0,IF(Time!AD34=1,INDEX(Funding!$J$72:$BJ$72,1,Time!$F$14),AC36))</f>
        <v>157.56743417312</v>
      </c>
      <c r="AE33" s="13" t="n">
        <f aca="false">IF(Time!AE20&lt;Time!$F$12,0,IF(Time!AE34=1,INDEX(Funding!$J$72:$BJ$72,1,Time!$F$14),AD36))</f>
        <v>156.679579815936</v>
      </c>
      <c r="AF33" s="13" t="n">
        <f aca="false">IF(Time!AF20&lt;Time!$F$12,0,IF(Time!AF34=1,INDEX(Funding!$J$72:$BJ$72,1,Time!$F$14),AE36))</f>
        <v>154.852162597096</v>
      </c>
      <c r="AG33" s="13" t="n">
        <f aca="false">IF(Time!AG20&lt;Time!$F$12,0,IF(Time!AG34=1,INDEX(Funding!$J$72:$BJ$72,1,Time!$F$14),AF36))</f>
        <v>152.05578282403</v>
      </c>
      <c r="AH33" s="13" t="n">
        <f aca="false">IF(Time!AH20&lt;Time!$F$12,0,IF(Time!AH34=1,INDEX(Funding!$J$72:$BJ$72,1,Time!$F$14),AG36))</f>
        <v>148.466382952581</v>
      </c>
      <c r="AI33" s="13" t="n">
        <f aca="false">IF(Time!AI20&lt;Time!$F$12,0,IF(Time!AI34=1,INDEX(Funding!$J$72:$BJ$72,1,Time!$F$14),AH36))</f>
        <v>143.293700004412</v>
      </c>
      <c r="AJ33" s="13" t="n">
        <f aca="false">IF(Time!AJ20&lt;Time!$F$12,0,IF(Time!AJ34=1,INDEX(Funding!$J$72:$BJ$72,1,Time!$F$14),AI36))</f>
        <v>136.737048865037</v>
      </c>
      <c r="AK33" s="13" t="n">
        <f aca="false">IF(Time!AK20&lt;Time!$F$12,0,IF(Time!AK34=1,INDEX(Funding!$J$72:$BJ$72,1,Time!$F$14),AJ36))</f>
        <v>127.911992167524</v>
      </c>
      <c r="AL33" s="13" t="n">
        <f aca="false">IF(Time!AL20&lt;Time!$F$12,0,IF(Time!AL34=1,INDEX(Funding!$J$72:$BJ$72,1,Time!$F$14),AK36))</f>
        <v>100.211736902961</v>
      </c>
      <c r="AM33" s="13" t="n">
        <f aca="false">IF(Time!AM20&lt;Time!$F$12,0,IF(Time!AM34=1,INDEX(Funding!$J$72:$BJ$72,1,Time!$F$14),AL36))</f>
        <v>72.4154816168083</v>
      </c>
      <c r="AN33" s="13" t="n">
        <f aca="false">IF(Time!AN20&lt;Time!$F$12,0,IF(Time!AN34=1,INDEX(Funding!$J$72:$BJ$72,1,Time!$F$14),AM36))</f>
        <v>43.9409045425257</v>
      </c>
      <c r="AO33" s="13" t="n">
        <f aca="false">IF(Time!AO20&lt;Time!$F$12,0,IF(Time!AO34=1,INDEX(Funding!$J$72:$BJ$72,1,Time!$F$14),AN36))</f>
        <v>20.6567137671982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185.717326204566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9.93460467947218</v>
      </c>
      <c r="Q34" s="13" t="n">
        <f aca="false">Q24*MIN(Q31,Tax!Q13)</f>
        <v>9.53110475329694</v>
      </c>
      <c r="R34" s="13" t="n">
        <f aca="false">R24*MIN(R31,Tax!R13)</f>
        <v>9.54350912772581</v>
      </c>
      <c r="S34" s="13" t="n">
        <f aca="false">S24*MIN(S31,Tax!S13)</f>
        <v>9.19943025050903</v>
      </c>
      <c r="T34" s="13" t="n">
        <f aca="false">T24*MIN(T31,Tax!T13)</f>
        <v>9.18144826497077</v>
      </c>
      <c r="U34" s="13" t="n">
        <f aca="false">U24*MIN(U31,Tax!U13)</f>
        <v>8.87706768747982</v>
      </c>
      <c r="V34" s="13" t="n">
        <f aca="false">V24*MIN(V31,Tax!V13)</f>
        <v>8.79758401147279</v>
      </c>
      <c r="W34" s="13" t="n">
        <f aca="false">W24*MIN(W31,Tax!W13)</f>
        <v>8.41695095812532</v>
      </c>
      <c r="X34" s="13" t="n">
        <f aca="false">X24*MIN(X31,Tax!X13)</f>
        <v>8.2588200306221</v>
      </c>
      <c r="Y34" s="13" t="n">
        <f aca="false">Y24*MIN(Y31,Tax!Y13)</f>
        <v>7.87280677616618</v>
      </c>
      <c r="Z34" s="13" t="n">
        <f aca="false">Z24*MIN(Z31,Tax!Z13)</f>
        <v>7.76463259418274</v>
      </c>
      <c r="AA34" s="13" t="n">
        <f aca="false">AA24*MIN(AA31,Tax!AA13)</f>
        <v>6.41637935631897</v>
      </c>
      <c r="AB34" s="13" t="n">
        <f aca="false">AB24*MIN(AB31,Tax!AB13)</f>
        <v>7.46833516192671</v>
      </c>
      <c r="AC34" s="13" t="n">
        <f aca="false">AC24*MIN(AC31,Tax!AC13)</f>
        <v>7.19204107679818</v>
      </c>
      <c r="AD34" s="13" t="n">
        <f aca="false">AD24*MIN(AD31,Tax!AD13)</f>
        <v>7.54596917629078</v>
      </c>
      <c r="AE34" s="13" t="n">
        <f aca="false">AE24*MIN(AE31,Tax!AE13)</f>
        <v>7.38111061626031</v>
      </c>
      <c r="AF34" s="13" t="n">
        <f aca="false">AF24*MIN(AF31,Tax!AF13)</f>
        <v>7.41593370464995</v>
      </c>
      <c r="AG34" s="13" t="n">
        <f aca="false">AG24*MIN(AG31,Tax!AG13)</f>
        <v>7.16328544016216</v>
      </c>
      <c r="AH34" s="13" t="n">
        <f aca="false">AH24*MIN(AH31,Tax!AH13)</f>
        <v>7.11011609318114</v>
      </c>
      <c r="AI34" s="13" t="n">
        <f aca="false">AI24*MIN(AI31,Tax!AI13)</f>
        <v>6.75050731938593</v>
      </c>
      <c r="AJ34" s="13" t="n">
        <f aca="false">AJ24*MIN(AJ31,Tax!AJ13)</f>
        <v>6.54839346345436</v>
      </c>
      <c r="AK34" s="13" t="n">
        <f aca="false">AK24*MIN(AK31,Tax!AK13)</f>
        <v>6.05917354678491</v>
      </c>
      <c r="AL34" s="13" t="n">
        <f aca="false">AL24*MIN(AL31,Tax!AL13)</f>
        <v>4.7991812631884</v>
      </c>
      <c r="AM34" s="13" t="n">
        <f aca="false">AM24*MIN(AM31,Tax!AM13)</f>
        <v>3.41146357918087</v>
      </c>
      <c r="AN34" s="13" t="n">
        <f aca="false">AN24*MIN(AN31,Tax!AN13)</f>
        <v>2.10434797644753</v>
      </c>
      <c r="AO34" s="13" t="n">
        <f aca="false">AO24*MIN(AO31,Tax!AO13)</f>
        <v>0.973129296512255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208.713172350318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5.12682621272215</v>
      </c>
      <c r="Q35" s="13" t="n">
        <f aca="false">Q24*MIN(Q31-Q34,Q33+Tax!Q13-Q34)</f>
        <v>3.03964268816026</v>
      </c>
      <c r="R35" s="13" t="n">
        <f aca="false">R24*MIN(R31-R34,R33+Tax!R13-R34)</f>
        <v>4.00084544894857</v>
      </c>
      <c r="S35" s="13" t="n">
        <f aca="false">S24*MIN(S31-S34,S33+Tax!S13-S34)</f>
        <v>3.55934991178319</v>
      </c>
      <c r="T35" s="13" t="n">
        <f aca="false">T24*MIN(T31-T34,T33+Tax!T13-T34)</f>
        <v>4.31882664988036</v>
      </c>
      <c r="U35" s="13" t="n">
        <f aca="false">U24*MIN(U31-U34,U33+Tax!U13-U34)</f>
        <v>3.69664546263465</v>
      </c>
      <c r="V35" s="13" t="n">
        <f aca="false">V24*MIN(V31-V34,V33+Tax!V13-V34)</f>
        <v>5.03494486840623</v>
      </c>
      <c r="W35" s="13" t="n">
        <f aca="false">W24*MIN(W31-W34,W33+Tax!W13-W34)</f>
        <v>6.2149895143455</v>
      </c>
      <c r="X35" s="13" t="n">
        <f aca="false">X24*MIN(X31-X34,X33+Tax!X13-X34)</f>
        <v>5.3356139410244</v>
      </c>
      <c r="Y35" s="13" t="n">
        <f aca="false">Y24*MIN(Y31-Y34,Y33+Tax!Y13-Y34)</f>
        <v>4.98351731185705</v>
      </c>
      <c r="Z35" s="13" t="n">
        <f aca="false">Z24*MIN(Z31-Z34,Z33+Tax!Z13-Z34)</f>
        <v>5.83453616743585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0.887854357184241</v>
      </c>
      <c r="AE35" s="13" t="n">
        <f aca="false">AE24*MIN(AE31-AE34,AE33+Tax!AE13-AE34)</f>
        <v>1.82741721883985</v>
      </c>
      <c r="AF35" s="13" t="n">
        <f aca="false">AF24*MIN(AF31-AF34,AF33+Tax!AF13-AF34)</f>
        <v>2.79637977306605</v>
      </c>
      <c r="AG35" s="13" t="n">
        <f aca="false">AG24*MIN(AG31-AG34,AG33+Tax!AG13-AG34)</f>
        <v>3.58939987144856</v>
      </c>
      <c r="AH35" s="13" t="n">
        <f aca="false">AH24*MIN(AH31-AH34,AH33+Tax!AH13-AH34)</f>
        <v>5.17268294816915</v>
      </c>
      <c r="AI35" s="13" t="n">
        <f aca="false">AI24*MIN(AI31-AI34,AI33+Tax!AI13-AI34)</f>
        <v>6.55665113937529</v>
      </c>
      <c r="AJ35" s="13" t="n">
        <f aca="false">AJ24*MIN(AJ31-AJ34,AJ33+Tax!AJ13-AJ34)</f>
        <v>8.82505669751259</v>
      </c>
      <c r="AK35" s="13" t="n">
        <f aca="false">AK24*MIN(AK31-AK34,AK33+Tax!AK13-AK34)</f>
        <v>27.7002552645627</v>
      </c>
      <c r="AL35" s="13" t="n">
        <f aca="false">AL24*MIN(AL31-AL34,AL33+Tax!AL13-AL34)</f>
        <v>27.7962552861531</v>
      </c>
      <c r="AM35" s="13" t="n">
        <f aca="false">AM24*MIN(AM31-AM34,AM33+Tax!AM13-AM34)</f>
        <v>28.4745770742826</v>
      </c>
      <c r="AN35" s="13" t="n">
        <f aca="false">AN24*MIN(AN31-AN34,AN33+Tax!AN13-AN34)</f>
        <v>23.2841907753275</v>
      </c>
      <c r="AO35" s="13" t="n">
        <f aca="false">AO24*MIN(AO31-AO34,AO33+Tax!AO13-AO34)</f>
        <v>20.6567137671982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207.444548513006</v>
      </c>
      <c r="P36" s="13" t="n">
        <f aca="false">P33+Tax!P13-P34-P35</f>
        <v>202.317722300284</v>
      </c>
      <c r="Q36" s="13" t="n">
        <f aca="false">Q33+Tax!Q13-Q34-Q35</f>
        <v>199.278079612124</v>
      </c>
      <c r="R36" s="13" t="n">
        <f aca="false">R33+Tax!R13-R34-R35</f>
        <v>195.277234163175</v>
      </c>
      <c r="S36" s="13" t="n">
        <f aca="false">S33+Tax!S13-S34-S35</f>
        <v>191.717884251392</v>
      </c>
      <c r="T36" s="13" t="n">
        <f aca="false">T33+Tax!T13-T34-T35</f>
        <v>187.399057601512</v>
      </c>
      <c r="U36" s="13" t="n">
        <f aca="false">U33+Tax!U13-U34-U35</f>
        <v>183.702412138877</v>
      </c>
      <c r="V36" s="13" t="n">
        <f aca="false">V33+Tax!V13-V34-V35</f>
        <v>178.667467270471</v>
      </c>
      <c r="W36" s="13" t="n">
        <f aca="false">W33+Tax!W13-W34-W35</f>
        <v>172.452477756125</v>
      </c>
      <c r="X36" s="13" t="n">
        <f aca="false">X33+Tax!X13-X34-X35</f>
        <v>167.116863815101</v>
      </c>
      <c r="Y36" s="13" t="n">
        <f aca="false">Y33+Tax!Y13-Y34-Y35</f>
        <v>162.133346503244</v>
      </c>
      <c r="Z36" s="13" t="n">
        <f aca="false">Z33+Tax!Z13-Z34-Z35</f>
        <v>156.298810335808</v>
      </c>
      <c r="AA36" s="13" t="n">
        <f aca="false">AA33+Tax!AA13-AA34-AA35</f>
        <v>157.245603702021</v>
      </c>
      <c r="AB36" s="13" t="n">
        <f aca="false">AB33+Tax!AB13-AB34-AB35</f>
        <v>157.307825122865</v>
      </c>
      <c r="AC36" s="13" t="n">
        <f aca="false">AC33+Tax!AC13-AC34-AC35</f>
        <v>157.56743417312</v>
      </c>
      <c r="AD36" s="13" t="n">
        <f aca="false">AD33+Tax!AD13-AD34-AD35</f>
        <v>156.679579815936</v>
      </c>
      <c r="AE36" s="13" t="n">
        <f aca="false">AE33+Tax!AE13-AE34-AE35</f>
        <v>154.852162597096</v>
      </c>
      <c r="AF36" s="13" t="n">
        <f aca="false">AF33+Tax!AF13-AF34-AF35</f>
        <v>152.05578282403</v>
      </c>
      <c r="AG36" s="13" t="n">
        <f aca="false">AG33+Tax!AG13-AG34-AG35</f>
        <v>148.466382952581</v>
      </c>
      <c r="AH36" s="13" t="n">
        <f aca="false">AH33+Tax!AH13-AH34-AH35</f>
        <v>143.293700004412</v>
      </c>
      <c r="AI36" s="13" t="n">
        <f aca="false">AI33+Tax!AI13-AI34-AI35</f>
        <v>136.737048865037</v>
      </c>
      <c r="AJ36" s="13" t="n">
        <f aca="false">AJ33+Tax!AJ13-AJ34-AJ35</f>
        <v>127.911992167524</v>
      </c>
      <c r="AK36" s="13" t="n">
        <f aca="false">AK33+Tax!AK13-AK34-AK35</f>
        <v>100.211736902961</v>
      </c>
      <c r="AL36" s="13" t="n">
        <f aca="false">AL33+Tax!AL13-AL34-AL35</f>
        <v>72.4154816168083</v>
      </c>
      <c r="AM36" s="13" t="n">
        <f aca="false">AM33+Tax!AM13-AM34-AM35</f>
        <v>43.9409045425257</v>
      </c>
      <c r="AN36" s="13" t="n">
        <f aca="false">AN33+Tax!AN13-AN34-AN35</f>
        <v>20.6567137671982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9.72809301502667</v>
      </c>
      <c r="P37" s="13" t="n">
        <f aca="false">MAX(0,O43+Financials!P14)</f>
        <v>17.0937430909761</v>
      </c>
      <c r="Q37" s="13" t="n">
        <f aca="false">MAX(0,P43+Financials!Q14)</f>
        <v>25.8297797237806</v>
      </c>
      <c r="R37" s="13" t="n">
        <f aca="false">MAX(0,Q43+Financials!R14)</f>
        <v>35.0431559200115</v>
      </c>
      <c r="S37" s="13" t="n">
        <f aca="false">MAX(0,R43+Financials!S14)</f>
        <v>45.4695066299963</v>
      </c>
      <c r="T37" s="13" t="n">
        <f aca="false">MAX(0,S43+Financials!T14)</f>
        <v>56.3362846857579</v>
      </c>
      <c r="U37" s="13" t="n">
        <f aca="false">MAX(0,T43+Financials!U14)</f>
        <v>68.4407498145108</v>
      </c>
      <c r="V37" s="13" t="n">
        <f aca="false">MAX(0,U43+Financials!V14)</f>
        <v>78.8556633477157</v>
      </c>
      <c r="W37" s="13" t="n">
        <f aca="false">MAX(0,V43+Financials!W14)</f>
        <v>93.1161778526344</v>
      </c>
      <c r="X37" s="13" t="n">
        <f aca="false">MAX(0,W43+Financials!X14)</f>
        <v>108.119715144103</v>
      </c>
      <c r="Y37" s="13" t="n">
        <f aca="false">MAX(0,X43+Financials!Y14)</f>
        <v>121.129937003515</v>
      </c>
      <c r="Z37" s="13" t="n">
        <f aca="false">MAX(0,Y43+Financials!Z14)</f>
        <v>128.9352379087</v>
      </c>
      <c r="AA37" s="13" t="n">
        <f aca="false">MAX(0,Z43+Financials!AA14)</f>
        <v>137.748476746056</v>
      </c>
      <c r="AB37" s="13" t="n">
        <f aca="false">MAX(0,AA43+Financials!AB14)</f>
        <v>147.193507411083</v>
      </c>
      <c r="AC37" s="13" t="n">
        <f aca="false">MAX(0,AB43+Financials!AC14)</f>
        <v>157.771958803965</v>
      </c>
      <c r="AD37" s="13" t="n">
        <f aca="false">MAX(0,AC43+Financials!AD14)</f>
        <v>160.024321775185</v>
      </c>
      <c r="AE37" s="13" t="n">
        <f aca="false">MAX(0,AD43+Financials!AE14)</f>
        <v>172.691411036908</v>
      </c>
      <c r="AF37" s="13" t="n">
        <f aca="false">MAX(0,AE43+Financials!AF14)</f>
        <v>186.12600642304</v>
      </c>
      <c r="AG37" s="13" t="n">
        <f aca="false">MAX(0,AF43+Financials!AG14)</f>
        <v>200.758704693693</v>
      </c>
      <c r="AH37" s="13" t="n">
        <f aca="false">MAX(0,AG43+Financials!AH14)</f>
        <v>216.553284101248</v>
      </c>
      <c r="AI37" s="13" t="n">
        <f aca="false">MAX(0,AH43+Financials!AI14)</f>
        <v>233.761499337465</v>
      </c>
      <c r="AJ37" s="13" t="n">
        <f aca="false">MAX(0,AI43+Financials!AJ14)</f>
        <v>252.172963514072</v>
      </c>
      <c r="AK37" s="13" t="n">
        <f aca="false">MAX(0,AJ43+Financials!AK14)</f>
        <v>272.196824798556</v>
      </c>
      <c r="AL37" s="13" t="n">
        <f aca="false">MAX(0,AK43+Financials!AL14)</f>
        <v>290.945591430317</v>
      </c>
      <c r="AM37" s="13" t="n">
        <f aca="false">MAX(0,AL43+Financials!AM14)</f>
        <v>314.416132218226</v>
      </c>
      <c r="AN37" s="13" t="n">
        <f aca="false">MAX(0,AM43+Financials!AN14)</f>
        <v>339.18635830134</v>
      </c>
      <c r="AO37" s="13" t="n">
        <f aca="false">MAX(0,AN43+Financials!AO14)</f>
        <v>365.298784322252</v>
      </c>
      <c r="AP37" s="13" t="n">
        <f aca="false">MAX(0,AO43+Financials!AP14)</f>
        <v>371.716099870603</v>
      </c>
      <c r="AQ37" s="13" t="n">
        <f aca="false">MAX(0,AP43+Financials!AQ14)</f>
        <v>356.304431388347</v>
      </c>
      <c r="AR37" s="13" t="n">
        <f aca="false">MAX(0,AQ43+Financials!AR14)</f>
        <v>341.417134268258</v>
      </c>
      <c r="AS37" s="13" t="n">
        <f aca="false">MAX(0,AR43+Financials!AS14)</f>
        <v>326.123525726087</v>
      </c>
      <c r="AT37" s="13" t="n">
        <f aca="false">MAX(0,AS43+Financials!AT14)</f>
        <v>301.094498278948</v>
      </c>
      <c r="AU37" s="13" t="n">
        <f aca="false">MAX(0,AT43+Financials!AU14)</f>
        <v>279.470774942882</v>
      </c>
      <c r="AV37" s="13" t="n">
        <f aca="false">MAX(0,AU43+Financials!AV14)</f>
        <v>262.38386229212</v>
      </c>
      <c r="AW37" s="13" t="n">
        <f aca="false">MAX(0,AV43+Financials!AW14)</f>
        <v>245.240837349295</v>
      </c>
      <c r="AX37" s="13" t="n">
        <f aca="false">MAX(0,AW43+Financials!AX14)</f>
        <v>228.63891079794</v>
      </c>
      <c r="AY37" s="13" t="n">
        <f aca="false">MAX(0,AX43+Financials!AY14)</f>
        <v>211.549034999565</v>
      </c>
      <c r="AZ37" s="13" t="n">
        <f aca="false">MAX(0,AY43+Financials!AZ14)</f>
        <v>195.050026519172</v>
      </c>
      <c r="BA37" s="13" t="n">
        <f aca="false">MAX(0,AZ43+Financials!BA14)</f>
        <v>178.028517849844</v>
      </c>
      <c r="BB37" s="13" t="n">
        <f aca="false">MAX(0,BA43+Financials!BB14)</f>
        <v>159.367598171791</v>
      </c>
      <c r="BC37" s="13" t="n">
        <f aca="false">MAX(0,BB43+Financials!BC14)</f>
        <v>142.301100207043</v>
      </c>
      <c r="BD37" s="13" t="n">
        <f aca="false">MAX(0,BC43+Financials!BD14)</f>
        <v>128.622171731471</v>
      </c>
      <c r="BE37" s="13" t="n">
        <f aca="false">MAX(0,BD43+Financials!BE14)</f>
        <v>121.080008447919</v>
      </c>
      <c r="BF37" s="13" t="n">
        <f aca="false">MAX(0,BE43+Financials!BF14)</f>
        <v>114.160886709428</v>
      </c>
      <c r="BG37" s="13" t="n">
        <f aca="false">MAX(0,BF43+Financials!BG14)</f>
        <v>106.689140904624</v>
      </c>
      <c r="BH37" s="13" t="n">
        <f aca="false">MAX(0,BG43+Financials!BH14)</f>
        <v>99.8914617888833</v>
      </c>
      <c r="BI37" s="13" t="n">
        <f aca="false">MAX(0,BH43+Financials!BI14)</f>
        <v>92.4632213246293</v>
      </c>
      <c r="BJ37" s="13" t="n">
        <f aca="false">MAX(0,BI43+Financials!BJ14)</f>
        <v>73.2263475195487</v>
      </c>
      <c r="BK37" s="13" t="n">
        <f aca="false">MAX(0,BJ43+Financials!BK14)</f>
        <v>58.4488784063197</v>
      </c>
      <c r="BL37" s="13" t="n">
        <f aca="false">MAX(0,BK43+Financials!BL14)</f>
        <v>49.016212392284</v>
      </c>
      <c r="BM37" s="13" t="n">
        <f aca="false">MAX(0,BL43+Financials!BM14)</f>
        <v>14.6964268167933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20.9549042540808</v>
      </c>
      <c r="AP38" s="13" t="n">
        <f aca="false">AP24*MIN(AP31-AP34-AP35,AP37)</f>
        <v>42.9271074713228</v>
      </c>
      <c r="AQ38" s="13" t="n">
        <f aca="false">AQ24*MIN(AQ31-AQ34-AQ35,AQ37)</f>
        <v>42.5201860064261</v>
      </c>
      <c r="AR38" s="13" t="n">
        <f aca="false">AR24*MIN(AR31-AR34-AR35,AR37)</f>
        <v>43.1848196863551</v>
      </c>
      <c r="AS38" s="13" t="n">
        <f aca="false">AS24*MIN(AS31-AS34-AS35,AS37)</f>
        <v>42.9803875192643</v>
      </c>
      <c r="AT38" s="13" t="n">
        <f aca="false">AT24*MIN(AT31-AT34-AT35,AT37)</f>
        <v>49.9991188511031</v>
      </c>
      <c r="AU38" s="13" t="n">
        <f aca="false">AU24*MIN(AU31-AU34-AU35,AU37)</f>
        <v>45.5643064272891</v>
      </c>
      <c r="AV38" s="13" t="n">
        <f aca="false">AV24*MIN(AV31-AV34-AV35,AV37)</f>
        <v>45.7834416967709</v>
      </c>
      <c r="AW38" s="13" t="n">
        <f aca="false">AW24*MIN(AW31-AW34-AW35,AW37)</f>
        <v>45.3772952908682</v>
      </c>
      <c r="AX38" s="13" t="n">
        <f aca="false">AX24*MIN(AX31-AX34-AX35,AX37)</f>
        <v>46.0797870537435</v>
      </c>
      <c r="AY38" s="13" t="n">
        <f aca="false">AY24*MIN(AY31-AY34-AY35,AY37)</f>
        <v>45.7187040145619</v>
      </c>
      <c r="AZ38" s="13" t="n">
        <f aca="false">AZ24*MIN(AZ31-AZ34-AZ35,AZ37)</f>
        <v>46.5262585922555</v>
      </c>
      <c r="BA38" s="13" t="n">
        <f aca="false">BA24*MIN(BA31-BA34-BA35,BA37)</f>
        <v>45.8283452075004</v>
      </c>
      <c r="BB38" s="13" t="n">
        <f aca="false">BB24*MIN(BB31-BB34-BB35,BB37)</f>
        <v>47.0893241333249</v>
      </c>
      <c r="BC38" s="13" t="n">
        <f aca="false">BC24*MIN(BC31-BC34-BC35,BC37)</f>
        <v>43.7979206690794</v>
      </c>
      <c r="BD38" s="13" t="n">
        <f aca="false">BD24*MIN(BD31-BD34-BD35,BD37)</f>
        <v>37.9001805119088</v>
      </c>
      <c r="BE38" s="13" t="n">
        <f aca="false">BE24*MIN(BE31-BE34-BE35,BE37)</f>
        <v>37.5279055020781</v>
      </c>
      <c r="BF38" s="13" t="n">
        <f aca="false">BF24*MIN(BF31-BF34-BF35,BF37)</f>
        <v>38.3647327296357</v>
      </c>
      <c r="BG38" s="13" t="n">
        <f aca="false">BG24*MIN(BG31-BG34-BG35,BG37)</f>
        <v>38.0208657646293</v>
      </c>
      <c r="BH38" s="13" t="n">
        <f aca="false">BH24*MIN(BH31-BH34-BH35,BH37)</f>
        <v>38.9499968137246</v>
      </c>
      <c r="BI38" s="13" t="n">
        <f aca="false">BI24*MIN(BI31-BI34-BI35,BI37)</f>
        <v>38.7064861745756</v>
      </c>
      <c r="BJ38" s="13" t="n">
        <f aca="false">BJ24*MIN(BJ31-BJ34-BJ35,BJ37)</f>
        <v>46.8525061361442</v>
      </c>
      <c r="BK38" s="13" t="n">
        <f aca="false">BK24*MIN(BK31-BK34-BK35,BK37)</f>
        <v>41.6603299139757</v>
      </c>
      <c r="BL38" s="13" t="n">
        <f aca="false">BL24*MIN(BL31-BL34-BL35,BL37)</f>
        <v>42.6480167788894</v>
      </c>
      <c r="BM38" s="13" t="n">
        <f aca="false">BM24*MIN(BM31-BM34-BM35,BM37)</f>
        <v>14.6964268167933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44.9260194995227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44.9260194995227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44.9260194995227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1074.58537351582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20.9549042540808</v>
      </c>
      <c r="AP41" s="13" t="n">
        <f aca="false">AP38+AP40</f>
        <v>42.9271074713228</v>
      </c>
      <c r="AQ41" s="13" t="n">
        <f aca="false">AQ38+AQ40</f>
        <v>42.5201860064261</v>
      </c>
      <c r="AR41" s="13" t="n">
        <f aca="false">AR38+AR40</f>
        <v>43.1848196863551</v>
      </c>
      <c r="AS41" s="13" t="n">
        <f aca="false">AS38+AS40</f>
        <v>42.9803875192643</v>
      </c>
      <c r="AT41" s="13" t="n">
        <f aca="false">AT38+AT40</f>
        <v>49.9991188511031</v>
      </c>
      <c r="AU41" s="13" t="n">
        <f aca="false">AU38+AU40</f>
        <v>45.5643064272891</v>
      </c>
      <c r="AV41" s="13" t="n">
        <f aca="false">AV38+AV40</f>
        <v>45.7834416967709</v>
      </c>
      <c r="AW41" s="13" t="n">
        <f aca="false">AW38+AW40</f>
        <v>45.3772952908682</v>
      </c>
      <c r="AX41" s="13" t="n">
        <f aca="false">AX38+AX40</f>
        <v>46.0797870537435</v>
      </c>
      <c r="AY41" s="13" t="n">
        <f aca="false">AY38+AY40</f>
        <v>45.7187040145619</v>
      </c>
      <c r="AZ41" s="13" t="n">
        <f aca="false">AZ38+AZ40</f>
        <v>46.5262585922555</v>
      </c>
      <c r="BA41" s="13" t="n">
        <f aca="false">BA38+BA40</f>
        <v>45.8283452075004</v>
      </c>
      <c r="BB41" s="13" t="n">
        <f aca="false">BB38+BB40</f>
        <v>47.0893241333249</v>
      </c>
      <c r="BC41" s="13" t="n">
        <f aca="false">BC38+BC40</f>
        <v>43.7979206690794</v>
      </c>
      <c r="BD41" s="13" t="n">
        <f aca="false">BD38+BD40</f>
        <v>37.9001805119088</v>
      </c>
      <c r="BE41" s="13" t="n">
        <f aca="false">BE38+BE40</f>
        <v>37.5279055020781</v>
      </c>
      <c r="BF41" s="13" t="n">
        <f aca="false">BF38+BF40</f>
        <v>38.3647327296357</v>
      </c>
      <c r="BG41" s="13" t="n">
        <f aca="false">BG38+BG40</f>
        <v>38.0208657646293</v>
      </c>
      <c r="BH41" s="13" t="n">
        <f aca="false">BH38+BH40</f>
        <v>38.9499968137246</v>
      </c>
      <c r="BI41" s="13" t="n">
        <f aca="false">BI38+BI40</f>
        <v>38.7064861745756</v>
      </c>
      <c r="BJ41" s="13" t="n">
        <f aca="false">BJ38+BJ40</f>
        <v>46.8525061361442</v>
      </c>
      <c r="BK41" s="13" t="n">
        <f aca="false">BK38+BK40</f>
        <v>41.6603299139757</v>
      </c>
      <c r="BL41" s="13" t="n">
        <f aca="false">BL38+BL40</f>
        <v>42.6480167788894</v>
      </c>
      <c r="BM41" s="13" t="n">
        <f aca="false">BM38+BM40</f>
        <v>59.622446316316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9.72809301502667</v>
      </c>
      <c r="P43" s="13" t="n">
        <f aca="false">IF(Time!P20&lt;Time!$F$12,0,O43+Financials!P14-P41)</f>
        <v>17.0937430909761</v>
      </c>
      <c r="Q43" s="13" t="n">
        <f aca="false">IF(Time!Q20&lt;Time!$F$12,0,P43+Financials!Q14-Q41)</f>
        <v>25.8297797237806</v>
      </c>
      <c r="R43" s="13" t="n">
        <f aca="false">IF(Time!R20&lt;Time!$F$12,0,Q43+Financials!R14-R41)</f>
        <v>35.0431559200115</v>
      </c>
      <c r="S43" s="13" t="n">
        <f aca="false">IF(Time!S20&lt;Time!$F$12,0,R43+Financials!S14-S41)</f>
        <v>45.4695066299963</v>
      </c>
      <c r="T43" s="13" t="n">
        <f aca="false">IF(Time!T20&lt;Time!$F$12,0,S43+Financials!T14-T41)</f>
        <v>56.3362846857579</v>
      </c>
      <c r="U43" s="13" t="n">
        <f aca="false">IF(Time!U20&lt;Time!$F$12,0,T43+Financials!U14-U41)</f>
        <v>68.4407498145108</v>
      </c>
      <c r="V43" s="13" t="n">
        <f aca="false">IF(Time!V20&lt;Time!$F$12,0,U43+Financials!V14-V41)</f>
        <v>78.8556633477157</v>
      </c>
      <c r="W43" s="13" t="n">
        <f aca="false">IF(Time!W20&lt;Time!$F$12,0,V43+Financials!W14-W41)</f>
        <v>93.1161778526344</v>
      </c>
      <c r="X43" s="13" t="n">
        <f aca="false">IF(Time!X20&lt;Time!$F$12,0,W43+Financials!X14-X41)</f>
        <v>108.119715144103</v>
      </c>
      <c r="Y43" s="13" t="n">
        <f aca="false">IF(Time!Y20&lt;Time!$F$12,0,X43+Financials!Y14-Y41)</f>
        <v>121.129937003515</v>
      </c>
      <c r="Z43" s="13" t="n">
        <f aca="false">IF(Time!Z20&lt;Time!$F$12,0,Y43+Financials!Z14-Z41)</f>
        <v>128.9352379087</v>
      </c>
      <c r="AA43" s="13" t="n">
        <f aca="false">IF(Time!AA20&lt;Time!$F$12,0,Z43+Financials!AA14-AA41)</f>
        <v>137.748476746056</v>
      </c>
      <c r="AB43" s="13" t="n">
        <f aca="false">IF(Time!AB20&lt;Time!$F$12,0,AA43+Financials!AB14-AB41)</f>
        <v>147.193507411083</v>
      </c>
      <c r="AC43" s="13" t="n">
        <f aca="false">IF(Time!AC20&lt;Time!$F$12,0,AB43+Financials!AC14-AC41)</f>
        <v>157.771958803965</v>
      </c>
      <c r="AD43" s="13" t="n">
        <f aca="false">IF(Time!AD20&lt;Time!$F$12,0,AC43+Financials!AD14-AD41)</f>
        <v>160.024321775185</v>
      </c>
      <c r="AE43" s="13" t="n">
        <f aca="false">IF(Time!AE20&lt;Time!$F$12,0,AD43+Financials!AE14-AE41)</f>
        <v>172.691411036908</v>
      </c>
      <c r="AF43" s="13" t="n">
        <f aca="false">IF(Time!AF20&lt;Time!$F$12,0,AE43+Financials!AF14-AF41)</f>
        <v>186.12600642304</v>
      </c>
      <c r="AG43" s="13" t="n">
        <f aca="false">IF(Time!AG20&lt;Time!$F$12,0,AF43+Financials!AG14-AG41)</f>
        <v>200.758704693693</v>
      </c>
      <c r="AH43" s="13" t="n">
        <f aca="false">IF(Time!AH20&lt;Time!$F$12,0,AG43+Financials!AH14-AH41)</f>
        <v>216.553284101248</v>
      </c>
      <c r="AI43" s="13" t="n">
        <f aca="false">IF(Time!AI20&lt;Time!$F$12,0,AH43+Financials!AI14-AI41)</f>
        <v>233.761499337465</v>
      </c>
      <c r="AJ43" s="13" t="n">
        <f aca="false">IF(Time!AJ20&lt;Time!$F$12,0,AI43+Financials!AJ14-AJ41)</f>
        <v>252.172963514072</v>
      </c>
      <c r="AK43" s="13" t="n">
        <f aca="false">IF(Time!AK20&lt;Time!$F$12,0,AJ43+Financials!AK14-AK41)</f>
        <v>272.196824798556</v>
      </c>
      <c r="AL43" s="13" t="n">
        <f aca="false">IF(Time!AL20&lt;Time!$F$12,0,AK43+Financials!AL14-AL41)</f>
        <v>290.945591430317</v>
      </c>
      <c r="AM43" s="13" t="n">
        <f aca="false">IF(Time!AM20&lt;Time!$F$12,0,AL43+Financials!AM14-AM41)</f>
        <v>314.416132218226</v>
      </c>
      <c r="AN43" s="13" t="n">
        <f aca="false">IF(Time!AN20&lt;Time!$F$12,0,AM43+Financials!AN14-AN41)</f>
        <v>339.18635830134</v>
      </c>
      <c r="AO43" s="13" t="n">
        <f aca="false">IF(Time!AO20&lt;Time!$F$12,0,AN43+Financials!AO14-AO41)</f>
        <v>344.343880068171</v>
      </c>
      <c r="AP43" s="13" t="n">
        <f aca="false">IF(Time!AP20&lt;Time!$F$12,0,AO43+Financials!AP14-AP41)</f>
        <v>328.78899239928</v>
      </c>
      <c r="AQ43" s="13" t="n">
        <f aca="false">IF(Time!AQ20&lt;Time!$F$12,0,AP43+Financials!AQ14-AQ41)</f>
        <v>313.784245381921</v>
      </c>
      <c r="AR43" s="13" t="n">
        <f aca="false">IF(Time!AR20&lt;Time!$F$12,0,AQ43+Financials!AR14-AR41)</f>
        <v>298.232314581903</v>
      </c>
      <c r="AS43" s="13" t="n">
        <f aca="false">IF(Time!AS20&lt;Time!$F$12,0,AR43+Financials!AS14-AS41)</f>
        <v>283.143138206822</v>
      </c>
      <c r="AT43" s="13" t="n">
        <f aca="false">IF(Time!AT20&lt;Time!$F$12,0,AS43+Financials!AT14-AT41)</f>
        <v>251.095379427845</v>
      </c>
      <c r="AU43" s="13" t="n">
        <f aca="false">IF(Time!AU20&lt;Time!$F$12,0,AT43+Financials!AU14-AU41)</f>
        <v>233.906468515593</v>
      </c>
      <c r="AV43" s="13" t="n">
        <f aca="false">IF(Time!AV20&lt;Time!$F$12,0,AU43+Financials!AV14-AV41)</f>
        <v>216.600420595349</v>
      </c>
      <c r="AW43" s="13" t="n">
        <f aca="false">IF(Time!AW20&lt;Time!$F$12,0,AV43+Financials!AW14-AW41)</f>
        <v>199.863542058427</v>
      </c>
      <c r="AX43" s="13" t="n">
        <f aca="false">IF(Time!AX20&lt;Time!$F$12,0,AW43+Financials!AX14-AX41)</f>
        <v>182.559123744197</v>
      </c>
      <c r="AY43" s="13" t="n">
        <f aca="false">IF(Time!AY20&lt;Time!$F$12,0,AX43+Financials!AY14-AY41)</f>
        <v>165.830330985004</v>
      </c>
      <c r="AZ43" s="13" t="n">
        <f aca="false">IF(Time!AZ20&lt;Time!$F$12,0,AY43+Financials!AZ14-AZ41)</f>
        <v>148.523767926917</v>
      </c>
      <c r="BA43" s="13" t="n">
        <f aca="false">IF(Time!BA20&lt;Time!$F$12,0,AZ43+Financials!BA14-BA41)</f>
        <v>132.200172642344</v>
      </c>
      <c r="BB43" s="13" t="n">
        <f aca="false">IF(Time!BB20&lt;Time!$F$12,0,BA43+Financials!BB14-BB41)</f>
        <v>112.278274038466</v>
      </c>
      <c r="BC43" s="13" t="n">
        <f aca="false">IF(Time!BC20&lt;Time!$F$12,0,BB43+Financials!BC14-BC41)</f>
        <v>98.5031795379636</v>
      </c>
      <c r="BD43" s="13" t="n">
        <f aca="false">IF(Time!BD20&lt;Time!$F$12,0,BC43+Financials!BD14-BD41)</f>
        <v>90.7219912195619</v>
      </c>
      <c r="BE43" s="13" t="n">
        <f aca="false">IF(Time!BE20&lt;Time!$F$12,0,BD43+Financials!BE14-BE41)</f>
        <v>83.5521029458411</v>
      </c>
      <c r="BF43" s="13" t="n">
        <f aca="false">IF(Time!BF20&lt;Time!$F$12,0,BE43+Financials!BF14-BF41)</f>
        <v>75.7961539797924</v>
      </c>
      <c r="BG43" s="13" t="n">
        <f aca="false">IF(Time!BG20&lt;Time!$F$12,0,BF43+Financials!BG14-BG41)</f>
        <v>68.6682751399952</v>
      </c>
      <c r="BH43" s="13" t="n">
        <f aca="false">IF(Time!BH20&lt;Time!$F$12,0,BG43+Financials!BH14-BH41)</f>
        <v>60.9414649751587</v>
      </c>
      <c r="BI43" s="13" t="n">
        <f aca="false">IF(Time!BI20&lt;Time!$F$12,0,BH43+Financials!BI14-BI41)</f>
        <v>53.7567351500537</v>
      </c>
      <c r="BJ43" s="13" t="n">
        <f aca="false">IF(Time!BJ20&lt;Time!$F$12,0,BI43+Financials!BJ14-BJ41)</f>
        <v>26.3738413834045</v>
      </c>
      <c r="BK43" s="13" t="n">
        <f aca="false">IF(Time!BK20&lt;Time!$F$12,0,BJ43+Financials!BK14-BK41)</f>
        <v>16.788548492344</v>
      </c>
      <c r="BL43" s="13" t="n">
        <f aca="false">IF(Time!BL20&lt;Time!$F$12,0,BK43+Financials!BL14-BL41)</f>
        <v>6.36819561339465</v>
      </c>
      <c r="BM43" s="13" t="n">
        <f aca="false">IF(Time!BM20&lt;Time!$F$12,0,BL43+Financials!BM14-BM41)</f>
        <v>-44.9260194995227</v>
      </c>
      <c r="BN43" s="13" t="n">
        <f aca="false">IF(Time!BN20&lt;Time!$F$12,0,BM43+Financials!BN14-BN41)</f>
        <v>-44.9260194995227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1469.01587207071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15.0614308921943</v>
      </c>
      <c r="Q44" s="13" t="n">
        <f aca="false">Q34+Q35+Q41</f>
        <v>12.5707474414572</v>
      </c>
      <c r="R44" s="13" t="n">
        <f aca="false">R34+R35+R41</f>
        <v>13.5443545766744</v>
      </c>
      <c r="S44" s="13" t="n">
        <f aca="false">S34+S35+S41</f>
        <v>12.7587801622922</v>
      </c>
      <c r="T44" s="13" t="n">
        <f aca="false">T34+T35+T41</f>
        <v>13.5002749148511</v>
      </c>
      <c r="U44" s="13" t="n">
        <f aca="false">U34+U35+U41</f>
        <v>12.5737131501145</v>
      </c>
      <c r="V44" s="13" t="n">
        <f aca="false">V34+V35+V41</f>
        <v>13.832528879879</v>
      </c>
      <c r="W44" s="13" t="n">
        <f aca="false">W34+W35+W41</f>
        <v>14.6319404724708</v>
      </c>
      <c r="X44" s="13" t="n">
        <f aca="false">X34+X35+X41</f>
        <v>13.5944339716465</v>
      </c>
      <c r="Y44" s="13" t="n">
        <f aca="false">Y34+Y35+Y41</f>
        <v>12.8563240880232</v>
      </c>
      <c r="Z44" s="13" t="n">
        <f aca="false">Z34+Z35+Z41</f>
        <v>13.5991687616186</v>
      </c>
      <c r="AA44" s="13" t="n">
        <f aca="false">AA34+AA35+AA41</f>
        <v>6.41637935631897</v>
      </c>
      <c r="AB44" s="13" t="n">
        <f aca="false">AB34+AB35+AB41</f>
        <v>7.46833516192671</v>
      </c>
      <c r="AC44" s="13" t="n">
        <f aca="false">AC34+AC35+AC41</f>
        <v>7.19204107679818</v>
      </c>
      <c r="AD44" s="13" t="n">
        <f aca="false">AD34+AD35+AD41</f>
        <v>8.43382353347502</v>
      </c>
      <c r="AE44" s="13" t="n">
        <f aca="false">AE34+AE35+AE41</f>
        <v>9.20852783510016</v>
      </c>
      <c r="AF44" s="13" t="n">
        <f aca="false">AF34+AF35+AF41</f>
        <v>10.212313477716</v>
      </c>
      <c r="AG44" s="13" t="n">
        <f aca="false">AG34+AG35+AG41</f>
        <v>10.7526853116107</v>
      </c>
      <c r="AH44" s="13" t="n">
        <f aca="false">AH34+AH35+AH41</f>
        <v>12.2827990413503</v>
      </c>
      <c r="AI44" s="13" t="n">
        <f aca="false">AI34+AI35+AI41</f>
        <v>13.3071584587612</v>
      </c>
      <c r="AJ44" s="13" t="n">
        <f aca="false">AJ34+AJ35+AJ41</f>
        <v>15.3734501609669</v>
      </c>
      <c r="AK44" s="13" t="n">
        <f aca="false">AK34+AK35+AK41</f>
        <v>33.7594288113476</v>
      </c>
      <c r="AL44" s="13" t="n">
        <f aca="false">AL34+AL35+AL41</f>
        <v>32.5954365493415</v>
      </c>
      <c r="AM44" s="13" t="n">
        <f aca="false">AM34+AM35+AM41</f>
        <v>31.8860406534634</v>
      </c>
      <c r="AN44" s="13" t="n">
        <f aca="false">AN34+AN35+AN41</f>
        <v>25.388538751775</v>
      </c>
      <c r="AO44" s="13" t="n">
        <f aca="false">AO34+AO35+AO41</f>
        <v>42.5847473177912</v>
      </c>
      <c r="AP44" s="13" t="n">
        <f aca="false">AP34+AP35+AP41</f>
        <v>42.9271074713228</v>
      </c>
      <c r="AQ44" s="13" t="n">
        <f aca="false">AQ34+AQ35+AQ41</f>
        <v>42.5201860064261</v>
      </c>
      <c r="AR44" s="13" t="n">
        <f aca="false">AR34+AR35+AR41</f>
        <v>43.1848196863551</v>
      </c>
      <c r="AS44" s="13" t="n">
        <f aca="false">AS34+AS35+AS41</f>
        <v>42.9803875192643</v>
      </c>
      <c r="AT44" s="13" t="n">
        <f aca="false">AT34+AT35+AT41</f>
        <v>49.9991188511031</v>
      </c>
      <c r="AU44" s="13" t="n">
        <f aca="false">AU34+AU35+AU41</f>
        <v>45.5643064272891</v>
      </c>
      <c r="AV44" s="13" t="n">
        <f aca="false">AV34+AV35+AV41</f>
        <v>45.7834416967709</v>
      </c>
      <c r="AW44" s="13" t="n">
        <f aca="false">AW34+AW35+AW41</f>
        <v>45.3772952908682</v>
      </c>
      <c r="AX44" s="13" t="n">
        <f aca="false">AX34+AX35+AX41</f>
        <v>46.0797870537435</v>
      </c>
      <c r="AY44" s="13" t="n">
        <f aca="false">AY34+AY35+AY41</f>
        <v>45.7187040145619</v>
      </c>
      <c r="AZ44" s="13" t="n">
        <f aca="false">AZ34+AZ35+AZ41</f>
        <v>46.5262585922555</v>
      </c>
      <c r="BA44" s="13" t="n">
        <f aca="false">BA34+BA35+BA41</f>
        <v>45.8283452075004</v>
      </c>
      <c r="BB44" s="13" t="n">
        <f aca="false">BB34+BB35+BB41</f>
        <v>47.0893241333249</v>
      </c>
      <c r="BC44" s="13" t="n">
        <f aca="false">BC34+BC35+BC41</f>
        <v>43.7979206690794</v>
      </c>
      <c r="BD44" s="13" t="n">
        <f aca="false">BD34+BD35+BD41</f>
        <v>37.9001805119088</v>
      </c>
      <c r="BE44" s="13" t="n">
        <f aca="false">BE34+BE35+BE41</f>
        <v>37.5279055020781</v>
      </c>
      <c r="BF44" s="13" t="n">
        <f aca="false">BF34+BF35+BF41</f>
        <v>38.3647327296357</v>
      </c>
      <c r="BG44" s="13" t="n">
        <f aca="false">BG34+BG35+BG41</f>
        <v>38.0208657646293</v>
      </c>
      <c r="BH44" s="13" t="n">
        <f aca="false">BH34+BH35+BH41</f>
        <v>38.9499968137246</v>
      </c>
      <c r="BI44" s="13" t="n">
        <f aca="false">BI34+BI35+BI41</f>
        <v>38.7064861745756</v>
      </c>
      <c r="BJ44" s="13" t="n">
        <f aca="false">BJ34+BJ35+BJ41</f>
        <v>46.8525061361442</v>
      </c>
      <c r="BK44" s="13" t="n">
        <f aca="false">BK34+BK35+BK41</f>
        <v>41.6603299139757</v>
      </c>
      <c r="BL44" s="13" t="n">
        <f aca="false">BL34+BL35+BL41</f>
        <v>42.6480167788894</v>
      </c>
      <c r="BM44" s="13" t="n">
        <f aca="false">BM34+BM35+BM41</f>
        <v>59.622446316316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836.565916977971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5.57710611318647</v>
      </c>
      <c r="P8" s="13" t="n">
        <f aca="false">Funding!$F$76/Time!$F$9*Time!P30</f>
        <v>16.7313183395594</v>
      </c>
      <c r="Q8" s="13" t="n">
        <f aca="false">Funding!$F$76/Time!$F$9*Time!Q30</f>
        <v>16.7313183395594</v>
      </c>
      <c r="R8" s="13" t="n">
        <f aca="false">Funding!$F$76/Time!$F$9*Time!R30</f>
        <v>16.7313183395594</v>
      </c>
      <c r="S8" s="13" t="n">
        <f aca="false">Funding!$F$76/Time!$F$9*Time!S30</f>
        <v>16.7313183395594</v>
      </c>
      <c r="T8" s="13" t="n">
        <f aca="false">Funding!$F$76/Time!$F$9*Time!T30</f>
        <v>16.7313183395594</v>
      </c>
      <c r="U8" s="13" t="n">
        <f aca="false">Funding!$F$76/Time!$F$9*Time!U30</f>
        <v>16.7313183395594</v>
      </c>
      <c r="V8" s="13" t="n">
        <f aca="false">Funding!$F$76/Time!$F$9*Time!V30</f>
        <v>16.7313183395594</v>
      </c>
      <c r="W8" s="13" t="n">
        <f aca="false">Funding!$F$76/Time!$F$9*Time!W30</f>
        <v>16.7313183395594</v>
      </c>
      <c r="X8" s="13" t="n">
        <f aca="false">Funding!$F$76/Time!$F$9*Time!X30</f>
        <v>16.7313183395594</v>
      </c>
      <c r="Y8" s="13" t="n">
        <f aca="false">Funding!$F$76/Time!$F$9*Time!Y30</f>
        <v>16.7313183395594</v>
      </c>
      <c r="Z8" s="13" t="n">
        <f aca="false">Funding!$F$76/Time!$F$9*Time!Z30</f>
        <v>16.7313183395594</v>
      </c>
      <c r="AA8" s="13" t="n">
        <f aca="false">Funding!$F$76/Time!$F$9*Time!AA30</f>
        <v>16.7313183395594</v>
      </c>
      <c r="AB8" s="13" t="n">
        <f aca="false">Funding!$F$76/Time!$F$9*Time!AB30</f>
        <v>16.7313183395594</v>
      </c>
      <c r="AC8" s="13" t="n">
        <f aca="false">Funding!$F$76/Time!$F$9*Time!AC30</f>
        <v>16.7313183395594</v>
      </c>
      <c r="AD8" s="13" t="n">
        <f aca="false">Funding!$F$76/Time!$F$9*Time!AD30</f>
        <v>16.7313183395594</v>
      </c>
      <c r="AE8" s="13" t="n">
        <f aca="false">Funding!$F$76/Time!$F$9*Time!AE30</f>
        <v>16.7313183395594</v>
      </c>
      <c r="AF8" s="13" t="n">
        <f aca="false">Funding!$F$76/Time!$F$9*Time!AF30</f>
        <v>16.7313183395594</v>
      </c>
      <c r="AG8" s="13" t="n">
        <f aca="false">Funding!$F$76/Time!$F$9*Time!AG30</f>
        <v>16.7313183395594</v>
      </c>
      <c r="AH8" s="13" t="n">
        <f aca="false">Funding!$F$76/Time!$F$9*Time!AH30</f>
        <v>16.7313183395594</v>
      </c>
      <c r="AI8" s="13" t="n">
        <f aca="false">Funding!$F$76/Time!$F$9*Time!AI30</f>
        <v>16.7313183395594</v>
      </c>
      <c r="AJ8" s="13" t="n">
        <f aca="false">Funding!$F$76/Time!$F$9*Time!AJ30</f>
        <v>16.7313183395594</v>
      </c>
      <c r="AK8" s="13" t="n">
        <f aca="false">Funding!$F$76/Time!$F$9*Time!AK30</f>
        <v>16.7313183395594</v>
      </c>
      <c r="AL8" s="13" t="n">
        <f aca="false">Funding!$F$76/Time!$F$9*Time!AL30</f>
        <v>16.7313183395594</v>
      </c>
      <c r="AM8" s="13" t="n">
        <f aca="false">Funding!$F$76/Time!$F$9*Time!AM30</f>
        <v>16.7313183395594</v>
      </c>
      <c r="AN8" s="13" t="n">
        <f aca="false">Funding!$F$76/Time!$F$9*Time!AN30</f>
        <v>16.7313183395594</v>
      </c>
      <c r="AO8" s="13" t="n">
        <f aca="false">Funding!$F$76/Time!$F$9*Time!AO30</f>
        <v>16.7313183395594</v>
      </c>
      <c r="AP8" s="13" t="n">
        <f aca="false">Funding!$F$76/Time!$F$9*Time!AP30</f>
        <v>16.7313183395594</v>
      </c>
      <c r="AQ8" s="13" t="n">
        <f aca="false">Funding!$F$76/Time!$F$9*Time!AQ30</f>
        <v>16.7313183395594</v>
      </c>
      <c r="AR8" s="13" t="n">
        <f aca="false">Funding!$F$76/Time!$F$9*Time!AR30</f>
        <v>16.7313183395594</v>
      </c>
      <c r="AS8" s="13" t="n">
        <f aca="false">Funding!$F$76/Time!$F$9*Time!AS30</f>
        <v>16.7313183395594</v>
      </c>
      <c r="AT8" s="13" t="n">
        <f aca="false">Funding!$F$76/Time!$F$9*Time!AT30</f>
        <v>16.7313183395594</v>
      </c>
      <c r="AU8" s="13" t="n">
        <f aca="false">Funding!$F$76/Time!$F$9*Time!AU30</f>
        <v>16.7313183395594</v>
      </c>
      <c r="AV8" s="13" t="n">
        <f aca="false">Funding!$F$76/Time!$F$9*Time!AV30</f>
        <v>16.7313183395594</v>
      </c>
      <c r="AW8" s="13" t="n">
        <f aca="false">Funding!$F$76/Time!$F$9*Time!AW30</f>
        <v>16.7313183395594</v>
      </c>
      <c r="AX8" s="13" t="n">
        <f aca="false">Funding!$F$76/Time!$F$9*Time!AX30</f>
        <v>16.7313183395594</v>
      </c>
      <c r="AY8" s="13" t="n">
        <f aca="false">Funding!$F$76/Time!$F$9*Time!AY30</f>
        <v>16.7313183395594</v>
      </c>
      <c r="AZ8" s="13" t="n">
        <f aca="false">Funding!$F$76/Time!$F$9*Time!AZ30</f>
        <v>16.7313183395594</v>
      </c>
      <c r="BA8" s="13" t="n">
        <f aca="false">Funding!$F$76/Time!$F$9*Time!BA30</f>
        <v>16.7313183395594</v>
      </c>
      <c r="BB8" s="13" t="n">
        <f aca="false">Funding!$F$76/Time!$F$9*Time!BB30</f>
        <v>16.7313183395594</v>
      </c>
      <c r="BC8" s="13" t="n">
        <f aca="false">Funding!$F$76/Time!$F$9*Time!BC30</f>
        <v>16.7313183395594</v>
      </c>
      <c r="BD8" s="13" t="n">
        <f aca="false">Funding!$F$76/Time!$F$9*Time!BD30</f>
        <v>16.7313183395594</v>
      </c>
      <c r="BE8" s="13" t="n">
        <f aca="false">Funding!$F$76/Time!$F$9*Time!BE30</f>
        <v>16.7313183395594</v>
      </c>
      <c r="BF8" s="13" t="n">
        <f aca="false">Funding!$F$76/Time!$F$9*Time!BF30</f>
        <v>16.7313183395594</v>
      </c>
      <c r="BG8" s="13" t="n">
        <f aca="false">Funding!$F$76/Time!$F$9*Time!BG30</f>
        <v>16.7313183395594</v>
      </c>
      <c r="BH8" s="13" t="n">
        <f aca="false">Funding!$F$76/Time!$F$9*Time!BH30</f>
        <v>16.7313183395594</v>
      </c>
      <c r="BI8" s="13" t="n">
        <f aca="false">Funding!$F$76/Time!$F$9*Time!BI30</f>
        <v>16.7313183395594</v>
      </c>
      <c r="BJ8" s="13" t="n">
        <f aca="false">Funding!$F$76/Time!$F$9*Time!BJ30</f>
        <v>16.7313183395594</v>
      </c>
      <c r="BK8" s="13" t="n">
        <f aca="false">Funding!$F$76/Time!$F$9*Time!BK30</f>
        <v>16.7313183395594</v>
      </c>
      <c r="BL8" s="13" t="n">
        <f aca="false">Funding!$F$76/Time!$F$9*Time!BL30</f>
        <v>16.7313183395594</v>
      </c>
      <c r="BM8" s="13" t="n">
        <f aca="false">Funding!$F$76/Time!$F$9*Time!BM30</f>
        <v>11.1542122263729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506.177651202731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3.24206410181602</v>
      </c>
      <c r="P9" s="13" t="n">
        <f aca="false">Debt!P112+Debt!P110+Debt!P104-Debt!P103+Tax!P13</f>
        <v>31.5805092359881</v>
      </c>
      <c r="Q9" s="13" t="n">
        <f aca="false">Debt!Q112+Debt!Q110+Debt!Q104-Debt!Q103+Tax!Q13</f>
        <v>30.4752490670685</v>
      </c>
      <c r="R9" s="13" t="n">
        <f aca="false">Debt!R112+Debt!R110+Debt!R104-Debt!R103+Tax!R13</f>
        <v>30.20014513537</v>
      </c>
      <c r="S9" s="13" t="n">
        <f aca="false">Debt!S112+Debt!S110+Debt!S104-Debt!S103+Tax!S13</f>
        <v>29.1023132215166</v>
      </c>
      <c r="T9" s="13" t="n">
        <f aca="false">Debt!T112+Debt!T110+Debt!T104-Debt!T103+Tax!T13</f>
        <v>28.7374447485902</v>
      </c>
      <c r="U9" s="13" t="n">
        <f aca="false">Debt!U112+Debt!U110+Debt!U104-Debt!U103+Tax!U13</f>
        <v>27.7032184730996</v>
      </c>
      <c r="V9" s="13" t="n">
        <f aca="false">Debt!V112+Debt!V110+Debt!V104-Debt!V103+Tax!V13</f>
        <v>27.1444781486536</v>
      </c>
      <c r="W9" s="13" t="n">
        <f aca="false">Debt!W112+Debt!W110+Debt!W104-Debt!W103+Tax!W13</f>
        <v>25.9098867874869</v>
      </c>
      <c r="X9" s="13" t="n">
        <f aca="false">Debt!X112+Debt!X110+Debt!X104-Debt!X103+Tax!X13</f>
        <v>25.2561951405399</v>
      </c>
      <c r="Y9" s="13" t="n">
        <f aca="false">Debt!Y112+Debt!Y110+Debt!Y104-Debt!Y103+Tax!Y13</f>
        <v>24.5508178771779</v>
      </c>
      <c r="Z9" s="13" t="n">
        <f aca="false">Debt!Z112+Debt!Z110+Debt!Z104-Debt!Z103+Tax!Z13</f>
        <v>23.9473847347893</v>
      </c>
      <c r="AA9" s="13" t="n">
        <f aca="false">Debt!AA112+Debt!AA110+Debt!AA104-Debt!AA103+Tax!AA13</f>
        <v>22.6620848336167</v>
      </c>
      <c r="AB9" s="13" t="n">
        <f aca="false">Debt!AB112+Debt!AB110+Debt!AB104-Debt!AB103+Tax!AB13</f>
        <v>21.9473788340074</v>
      </c>
      <c r="AC9" s="13" t="n">
        <f aca="false">Debt!AC112+Debt!AC110+Debt!AC104-Debt!AC103+Tax!AC13</f>
        <v>20.6433335963931</v>
      </c>
      <c r="AD9" s="13" t="n">
        <f aca="false">Debt!AD112+Debt!AD110+Debt!AD104-Debt!AD103+Tax!AD13</f>
        <v>19.7076272343213</v>
      </c>
      <c r="AE9" s="13" t="n">
        <f aca="false">Debt!AE112+Debt!AE110+Debt!AE104-Debt!AE103+Tax!AE13</f>
        <v>18.1830379441218</v>
      </c>
      <c r="AF9" s="13" t="n">
        <f aca="false">Debt!AF112+Debt!AF110+Debt!AF104-Debt!AF103+Tax!AF13</f>
        <v>17.0372729428204</v>
      </c>
      <c r="AG9" s="13" t="n">
        <f aca="false">Debt!AG112+Debt!AG110+Debt!AG104-Debt!AG103+Tax!AG13</f>
        <v>15.5750105039792</v>
      </c>
      <c r="AH9" s="13" t="n">
        <f aca="false">Debt!AH112+Debt!AH110+Debt!AH104-Debt!AH103+Tax!AH13</f>
        <v>14.2208341870354</v>
      </c>
      <c r="AI9" s="13" t="n">
        <f aca="false">Debt!AI112+Debt!AI110+Debt!AI104-Debt!AI103+Tax!AI13</f>
        <v>12.3631358124103</v>
      </c>
      <c r="AJ9" s="13" t="n">
        <f aca="false">Debt!AJ112+Debt!AJ110+Debt!AJ104-Debt!AJ103+Tax!AJ13</f>
        <v>10.7651781248357</v>
      </c>
      <c r="AK9" s="13" t="n">
        <f aca="false">Debt!AK112+Debt!AK110+Debt!AK104-Debt!AK103+Tax!AK13</f>
        <v>8.7866718540148</v>
      </c>
      <c r="AL9" s="13" t="n">
        <f aca="false">Debt!AL112+Debt!AL110+Debt!AL104-Debt!AL103+Tax!AL13</f>
        <v>6.91936220211071</v>
      </c>
      <c r="AM9" s="13" t="n">
        <f aca="false">Debt!AM112+Debt!AM110+Debt!AM104-Debt!AM103+Tax!AM13</f>
        <v>4.96603255459293</v>
      </c>
      <c r="AN9" s="13" t="n">
        <f aca="false">Debt!AN112+Debt!AN110+Debt!AN104-Debt!AN103+Tax!AN13</f>
        <v>3.09147046371171</v>
      </c>
      <c r="AO9" s="13" t="n">
        <f aca="false">Debt!AO112+Debt!AO110+Debt!AO104-Debt!AO103+Tax!AO13</f>
        <v>1.45951344266278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836.565916977971</v>
      </c>
      <c r="K10" s="13" t="n">
        <f aca="false">Funding!$F$76-SUM(Tax!$J$10:K$10)</f>
        <v>836.565916977971</v>
      </c>
      <c r="L10" s="13" t="n">
        <f aca="false">Funding!$F$76-SUM(Tax!$J$10:L$10)</f>
        <v>836.565916977971</v>
      </c>
      <c r="M10" s="13" t="n">
        <f aca="false">Funding!$F$76-SUM(Tax!$J$10:M$10)</f>
        <v>836.565916977971</v>
      </c>
      <c r="N10" s="13" t="n">
        <f aca="false">Funding!$F$76-SUM(Tax!$J$10:N$10)</f>
        <v>836.565916977971</v>
      </c>
      <c r="O10" s="13" t="n">
        <f aca="false">Funding!$F$76-SUM(Tax!$J$10:O$10)</f>
        <v>829.036823725169</v>
      </c>
      <c r="P10" s="13" t="n">
        <f aca="false">Funding!$F$76-SUM(Tax!$J$10:P$10)</f>
        <v>806.449543966764</v>
      </c>
      <c r="Q10" s="13" t="n">
        <f aca="false">Funding!$F$76-SUM(Tax!$J$10:Q$10)</f>
        <v>783.862264208359</v>
      </c>
      <c r="R10" s="13" t="n">
        <f aca="false">Funding!$F$76-SUM(Tax!$J$10:R$10)</f>
        <v>761.274984449953</v>
      </c>
      <c r="S10" s="13" t="n">
        <f aca="false">Funding!$F$76-SUM(Tax!$J$10:S$10)</f>
        <v>738.687704691548</v>
      </c>
      <c r="T10" s="13" t="n">
        <f aca="false">Funding!$F$76-SUM(Tax!$J$10:T$10)</f>
        <v>716.100424933143</v>
      </c>
      <c r="U10" s="13" t="n">
        <f aca="false">Funding!$F$76-SUM(Tax!$J$10:U$10)</f>
        <v>693.513145174738</v>
      </c>
      <c r="V10" s="13" t="n">
        <f aca="false">Funding!$F$76-SUM(Tax!$J$10:V$10)</f>
        <v>670.925865416333</v>
      </c>
      <c r="W10" s="13" t="n">
        <f aca="false">Funding!$F$76-SUM(Tax!$J$10:W$10)</f>
        <v>648.338585657927</v>
      </c>
      <c r="X10" s="13" t="n">
        <f aca="false">Funding!$F$76-SUM(Tax!$J$10:X$10)</f>
        <v>625.751305899522</v>
      </c>
      <c r="Y10" s="13" t="n">
        <f aca="false">Funding!$F$76-SUM(Tax!$J$10:Y$10)</f>
        <v>604.000592058095</v>
      </c>
      <c r="Z10" s="13" t="n">
        <f aca="false">Funding!$F$76-SUM(Tax!$J$10:Z$10)</f>
        <v>583.923010050624</v>
      </c>
      <c r="AA10" s="13" t="n">
        <f aca="false">Funding!$F$76-SUM(Tax!$J$10:AA$10)</f>
        <v>563.845428043152</v>
      </c>
      <c r="AB10" s="13" t="n">
        <f aca="false">Funding!$F$76-SUM(Tax!$J$10:AB$10)</f>
        <v>543.767846035681</v>
      </c>
      <c r="AC10" s="13" t="n">
        <f aca="false">Funding!$F$76-SUM(Tax!$J$10:AC$10)</f>
        <v>523.69026402821</v>
      </c>
      <c r="AD10" s="13" t="n">
        <f aca="false">Funding!$F$76-SUM(Tax!$J$10:AD$10)</f>
        <v>503.612682020738</v>
      </c>
      <c r="AE10" s="13" t="n">
        <f aca="false">Funding!$F$76-SUM(Tax!$J$10:AE$10)</f>
        <v>483.535100013267</v>
      </c>
      <c r="AF10" s="13" t="n">
        <f aca="false">Funding!$F$76-SUM(Tax!$J$10:AF$10)</f>
        <v>463.457518005796</v>
      </c>
      <c r="AG10" s="13" t="n">
        <f aca="false">Funding!$F$76-SUM(Tax!$J$10:AG$10)</f>
        <v>443.379935998324</v>
      </c>
      <c r="AH10" s="13" t="n">
        <f aca="false">Funding!$F$76-SUM(Tax!$J$10:AH$10)</f>
        <v>423.302353990853</v>
      </c>
      <c r="AI10" s="13" t="n">
        <f aca="false">Funding!$F$76-SUM(Tax!$J$10:AI$10)</f>
        <v>403.224771983382</v>
      </c>
      <c r="AJ10" s="13" t="n">
        <f aca="false">Funding!$F$76-SUM(Tax!$J$10:AJ$10)</f>
        <v>383.147189975911</v>
      </c>
      <c r="AK10" s="13" t="n">
        <f aca="false">Funding!$F$76-SUM(Tax!$J$10:AK$10)</f>
        <v>363.069607968439</v>
      </c>
      <c r="AL10" s="13" t="n">
        <f aca="false">Funding!$F$76-SUM(Tax!$J$10:AL$10)</f>
        <v>342.992025960968</v>
      </c>
      <c r="AM10" s="13" t="n">
        <f aca="false">Funding!$F$76-SUM(Tax!$J$10:AM$10)</f>
        <v>322.914443953497</v>
      </c>
      <c r="AN10" s="13" t="n">
        <f aca="false">Funding!$F$76-SUM(Tax!$J$10:AN$10)</f>
        <v>302.836861946025</v>
      </c>
      <c r="AO10" s="13" t="n">
        <f aca="false">Funding!$F$76-SUM(Tax!$J$10:AO$10)</f>
        <v>282.759279938554</v>
      </c>
      <c r="AP10" s="13" t="n">
        <f aca="false">Funding!$F$76-SUM(Tax!$J$10:AP$10)</f>
        <v>262.681697931083</v>
      </c>
      <c r="AQ10" s="13" t="n">
        <f aca="false">Funding!$F$76-SUM(Tax!$J$10:AQ$10)</f>
        <v>242.604115923611</v>
      </c>
      <c r="AR10" s="13" t="n">
        <f aca="false">Funding!$F$76-SUM(Tax!$J$10:AR$10)</f>
        <v>222.52653391614</v>
      </c>
      <c r="AS10" s="13" t="n">
        <f aca="false">Funding!$F$76-SUM(Tax!$J$10:AS$10)</f>
        <v>202.448951908669</v>
      </c>
      <c r="AT10" s="13" t="n">
        <f aca="false">Funding!$F$76-SUM(Tax!$J$10:AT$10)</f>
        <v>182.371369901198</v>
      </c>
      <c r="AU10" s="13" t="n">
        <f aca="false">Funding!$F$76-SUM(Tax!$J$10:AU$10)</f>
        <v>162.293787893726</v>
      </c>
      <c r="AV10" s="13" t="n">
        <f aca="false">Funding!$F$76-SUM(Tax!$J$10:AV$10)</f>
        <v>142.216205886255</v>
      </c>
      <c r="AW10" s="13" t="n">
        <f aca="false">Funding!$F$76-SUM(Tax!$J$10:AW$10)</f>
        <v>122.138623878784</v>
      </c>
      <c r="AX10" s="13" t="n">
        <f aca="false">Funding!$F$76-SUM(Tax!$J$10:AX$10)</f>
        <v>102.061041871312</v>
      </c>
      <c r="AY10" s="13" t="n">
        <f aca="false">Funding!$F$76-SUM(Tax!$J$10:AY$10)</f>
        <v>81.9834598638411</v>
      </c>
      <c r="AZ10" s="13" t="n">
        <f aca="false">Funding!$F$76-SUM(Tax!$J$10:AZ$10)</f>
        <v>61.9058778563697</v>
      </c>
      <c r="BA10" s="13" t="n">
        <f aca="false">Funding!$F$76-SUM(Tax!$J$10:BA$10)</f>
        <v>41.8282958488984</v>
      </c>
      <c r="BB10" s="13" t="n">
        <f aca="false">Funding!$F$76-SUM(Tax!$J$10:BB$10)</f>
        <v>21.7507138414271</v>
      </c>
      <c r="BC10" s="13" t="n">
        <f aca="false">Funding!$F$76-SUM(Tax!$J$10:BC$10)</f>
        <v>8.08680386412027</v>
      </c>
      <c r="BD10" s="13" t="n">
        <f aca="false">Funding!$F$76-SUM(Tax!$J$10:BD$10)</f>
        <v>7.2502379471423</v>
      </c>
      <c r="BE10" s="13" t="n">
        <f aca="false">Funding!$F$76-SUM(Tax!$J$10:BE$10)</f>
        <v>6.41367203016432</v>
      </c>
      <c r="BF10" s="13" t="n">
        <f aca="false">Funding!$F$76-SUM(Tax!$J$10:BF$10)</f>
        <v>5.57710611318635</v>
      </c>
      <c r="BG10" s="13" t="n">
        <f aca="false">Funding!$F$76-SUM(Tax!$J$10:BG$10)</f>
        <v>4.74054019620837</v>
      </c>
      <c r="BH10" s="13" t="n">
        <f aca="false">Funding!$F$76-SUM(Tax!$J$10:BH$10)</f>
        <v>3.9039742792304</v>
      </c>
      <c r="BI10" s="13" t="n">
        <f aca="false">Funding!$F$76-SUM(Tax!$J$10:BI$10)</f>
        <v>3.06740836225242</v>
      </c>
      <c r="BJ10" s="13" t="n">
        <f aca="false">Funding!$F$76-SUM(Tax!$J$10:BJ$10)</f>
        <v>2.23084244527445</v>
      </c>
      <c r="BK10" s="13" t="n">
        <f aca="false">Funding!$F$76-SUM(Tax!$J$10:BK$10)</f>
        <v>1.39427652829647</v>
      </c>
      <c r="BL10" s="13" t="n">
        <f aca="false">Funding!$F$76-SUM(Tax!$J$10:BL$10)</f>
        <v>0.557710611318498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836.565916977971</v>
      </c>
      <c r="K11" s="13" t="n">
        <f aca="false">Funding!$F$76-SUM($J$8:K$8)</f>
        <v>836.565916977971</v>
      </c>
      <c r="L11" s="13" t="n">
        <f aca="false">Funding!$F$76-SUM($J$8:L$8)</f>
        <v>836.565916977971</v>
      </c>
      <c r="M11" s="13" t="n">
        <f aca="false">Funding!$F$76-SUM($J$8:M$8)</f>
        <v>836.565916977971</v>
      </c>
      <c r="N11" s="13" t="n">
        <f aca="false">Funding!$F$76-SUM($J$8:N$8)</f>
        <v>836.565916977971</v>
      </c>
      <c r="O11" s="13" t="n">
        <f aca="false">Funding!$F$76-SUM($J$8:O$8)</f>
        <v>830.988810864784</v>
      </c>
      <c r="P11" s="13" t="n">
        <f aca="false">Funding!$F$76-SUM($J$8:P$8)</f>
        <v>814.257492525225</v>
      </c>
      <c r="Q11" s="13" t="n">
        <f aca="false">Funding!$F$76-SUM($J$8:Q$8)</f>
        <v>797.526174185665</v>
      </c>
      <c r="R11" s="13" t="n">
        <f aca="false">Funding!$F$76-SUM($J$8:R$8)</f>
        <v>780.794855846106</v>
      </c>
      <c r="S11" s="13" t="n">
        <f aca="false">Funding!$F$76-SUM($J$8:S$8)</f>
        <v>764.063537506547</v>
      </c>
      <c r="T11" s="13" t="n">
        <f aca="false">Funding!$F$76-SUM($J$8:T$8)</f>
        <v>747.332219166987</v>
      </c>
      <c r="U11" s="13" t="n">
        <f aca="false">Funding!$F$76-SUM($J$8:U$8)</f>
        <v>730.600900827428</v>
      </c>
      <c r="V11" s="13" t="n">
        <f aca="false">Funding!$F$76-SUM($J$8:V$8)</f>
        <v>713.869582487868</v>
      </c>
      <c r="W11" s="13" t="n">
        <f aca="false">Funding!$F$76-SUM($J$8:W$8)</f>
        <v>697.138264148309</v>
      </c>
      <c r="X11" s="13" t="n">
        <f aca="false">Funding!$F$76-SUM($J$8:X$8)</f>
        <v>680.40694580875</v>
      </c>
      <c r="Y11" s="13" t="n">
        <f aca="false">Funding!$F$76-SUM($J$8:Y$8)</f>
        <v>663.67562746919</v>
      </c>
      <c r="Z11" s="13" t="n">
        <f aca="false">Funding!$F$76-SUM($J$8:Z$8)</f>
        <v>646.944309129631</v>
      </c>
      <c r="AA11" s="13" t="n">
        <f aca="false">Funding!$F$76-SUM($J$8:AA$8)</f>
        <v>630.212990790071</v>
      </c>
      <c r="AB11" s="13" t="n">
        <f aca="false">Funding!$F$76-SUM($J$8:AB$8)</f>
        <v>613.481672450512</v>
      </c>
      <c r="AC11" s="13" t="n">
        <f aca="false">Funding!$F$76-SUM($J$8:AC$8)</f>
        <v>596.750354110953</v>
      </c>
      <c r="AD11" s="13" t="n">
        <f aca="false">Funding!$F$76-SUM($J$8:AD$8)</f>
        <v>580.019035771393</v>
      </c>
      <c r="AE11" s="13" t="n">
        <f aca="false">Funding!$F$76-SUM($J$8:AE$8)</f>
        <v>563.287717431834</v>
      </c>
      <c r="AF11" s="13" t="n">
        <f aca="false">Funding!$F$76-SUM($J$8:AF$8)</f>
        <v>546.556399092274</v>
      </c>
      <c r="AG11" s="13" t="n">
        <f aca="false">Funding!$F$76-SUM($J$8:AG$8)</f>
        <v>529.825080752715</v>
      </c>
      <c r="AH11" s="13" t="n">
        <f aca="false">Funding!$F$76-SUM($J$8:AH$8)</f>
        <v>513.093762413155</v>
      </c>
      <c r="AI11" s="13" t="n">
        <f aca="false">Funding!$F$76-SUM($J$8:AI$8)</f>
        <v>496.362444073596</v>
      </c>
      <c r="AJ11" s="13" t="n">
        <f aca="false">Funding!$F$76-SUM($J$8:AJ$8)</f>
        <v>479.631125734036</v>
      </c>
      <c r="AK11" s="13" t="n">
        <f aca="false">Funding!$F$76-SUM($J$8:AK$8)</f>
        <v>462.899807394477</v>
      </c>
      <c r="AL11" s="13" t="n">
        <f aca="false">Funding!$F$76-SUM($J$8:AL$8)</f>
        <v>446.168489054918</v>
      </c>
      <c r="AM11" s="13" t="n">
        <f aca="false">Funding!$F$76-SUM($J$8:AM$8)</f>
        <v>429.437170715358</v>
      </c>
      <c r="AN11" s="13" t="n">
        <f aca="false">Funding!$F$76-SUM($J$8:AN$8)</f>
        <v>412.705852375799</v>
      </c>
      <c r="AO11" s="13" t="n">
        <f aca="false">Funding!$F$76-SUM($J$8:AO$8)</f>
        <v>395.974534036239</v>
      </c>
      <c r="AP11" s="13" t="n">
        <f aca="false">Funding!$F$76-SUM($J$8:AP$8)</f>
        <v>379.24321569668</v>
      </c>
      <c r="AQ11" s="13" t="n">
        <f aca="false">Funding!$F$76-SUM($J$8:AQ$8)</f>
        <v>362.511897357121</v>
      </c>
      <c r="AR11" s="13" t="n">
        <f aca="false">Funding!$F$76-SUM($J$8:AR$8)</f>
        <v>345.780579017561</v>
      </c>
      <c r="AS11" s="13" t="n">
        <f aca="false">Funding!$F$76-SUM($J$8:AS$8)</f>
        <v>329.049260678002</v>
      </c>
      <c r="AT11" s="13" t="n">
        <f aca="false">Funding!$F$76-SUM($J$8:AT$8)</f>
        <v>312.317942338442</v>
      </c>
      <c r="AU11" s="13" t="n">
        <f aca="false">Funding!$F$76-SUM($J$8:AU$8)</f>
        <v>295.586623998883</v>
      </c>
      <c r="AV11" s="13" t="n">
        <f aca="false">Funding!$F$76-SUM($J$8:AV$8)</f>
        <v>278.855305659324</v>
      </c>
      <c r="AW11" s="13" t="n">
        <f aca="false">Funding!$F$76-SUM($J$8:AW$8)</f>
        <v>262.123987319764</v>
      </c>
      <c r="AX11" s="13" t="n">
        <f aca="false">Funding!$F$76-SUM($J$8:AX$8)</f>
        <v>245.392668980205</v>
      </c>
      <c r="AY11" s="13" t="n">
        <f aca="false">Funding!$F$76-SUM($J$8:AY$8)</f>
        <v>228.661350640645</v>
      </c>
      <c r="AZ11" s="13" t="n">
        <f aca="false">Funding!$F$76-SUM($J$8:AZ$8)</f>
        <v>211.930032301086</v>
      </c>
      <c r="BA11" s="13" t="n">
        <f aca="false">Funding!$F$76-SUM($J$8:BA$8)</f>
        <v>195.198713961526</v>
      </c>
      <c r="BB11" s="13" t="n">
        <f aca="false">Funding!$F$76-SUM($J$8:BB$8)</f>
        <v>178.467395621967</v>
      </c>
      <c r="BC11" s="13" t="n">
        <f aca="false">Funding!$F$76-SUM($J$8:BC$8)</f>
        <v>161.736077282408</v>
      </c>
      <c r="BD11" s="13" t="n">
        <f aca="false">Funding!$F$76-SUM($J$8:BD$8)</f>
        <v>145.004758942848</v>
      </c>
      <c r="BE11" s="13" t="n">
        <f aca="false">Funding!$F$76-SUM($J$8:BE$8)</f>
        <v>128.273440603289</v>
      </c>
      <c r="BF11" s="13" t="n">
        <f aca="false">Funding!$F$76-SUM($J$8:BF$8)</f>
        <v>111.542122263729</v>
      </c>
      <c r="BG11" s="13" t="n">
        <f aca="false">Funding!$F$76-SUM($J$8:BG$8)</f>
        <v>94.8108039241699</v>
      </c>
      <c r="BH11" s="13" t="n">
        <f aca="false">Funding!$F$76-SUM($J$8:BH$8)</f>
        <v>78.0794855846106</v>
      </c>
      <c r="BI11" s="13" t="n">
        <f aca="false">Funding!$F$76-SUM($J$8:BI$8)</f>
        <v>61.3481672450512</v>
      </c>
      <c r="BJ11" s="13" t="n">
        <f aca="false">Funding!$F$76-SUM($J$8:BJ$8)</f>
        <v>44.6168489054918</v>
      </c>
      <c r="BK11" s="13" t="n">
        <f aca="false">Funding!$F$76-SUM($J$8:BK$8)</f>
        <v>27.8855305659323</v>
      </c>
      <c r="BL11" s="13" t="n">
        <f aca="false">Funding!$F$76-SUM($J$8:BL$8)</f>
        <v>11.1542122263729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-1.67313183395593</v>
      </c>
      <c r="P12" s="13" t="n">
        <f aca="false">IF(Time!P20&gt;=Time!$F$12,Inputs!$F$184/100*(P11-P10-Tax!P21),0)</f>
        <v>-6.69252733582374</v>
      </c>
      <c r="Q12" s="13" t="n">
        <f aca="false">IF(Time!Q20&gt;=Time!$F$12,Inputs!$F$184/100*(Q11-Q10-Tax!Q21),0)</f>
        <v>-11.7119228376916</v>
      </c>
      <c r="R12" s="13" t="n">
        <f aca="false">IF(Time!R20&gt;=Time!$F$12,Inputs!$F$184/100*(R11-R10-Tax!R21),0)</f>
        <v>-16.7313183395594</v>
      </c>
      <c r="S12" s="13" t="n">
        <f aca="false">IF(Time!S20&gt;=Time!$F$12,Inputs!$F$184/100*(S11-S10-Tax!S21),0)</f>
        <v>-21.7507138414272</v>
      </c>
      <c r="T12" s="13" t="n">
        <f aca="false">IF(Time!T20&gt;=Time!$F$12,Inputs!$F$184/100*(T11-T10-Tax!T21),0)</f>
        <v>-26.7701093432951</v>
      </c>
      <c r="U12" s="13" t="n">
        <f aca="false">IF(Time!U20&gt;=Time!$F$12,Inputs!$F$184/100*(U11-U10-Tax!U21),0)</f>
        <v>-31.7895048451629</v>
      </c>
      <c r="V12" s="13" t="n">
        <f aca="false">IF(Time!V20&gt;=Time!$F$12,Inputs!$F$184/100*(V11-V10-Tax!V21),0)</f>
        <v>-36.8089003470307</v>
      </c>
      <c r="W12" s="13" t="n">
        <f aca="false">IF(Time!W20&gt;=Time!$F$12,Inputs!$F$184/100*(W11-W10-Tax!W21),0)</f>
        <v>-41.8282958488985</v>
      </c>
      <c r="X12" s="13" t="n">
        <f aca="false">IF(Time!X20&gt;=Time!$F$12,Inputs!$F$184/100*(X11-X10-Tax!X21),0)</f>
        <v>-46.8476913507664</v>
      </c>
      <c r="Y12" s="13" t="n">
        <f aca="false">IF(Time!Y20&gt;=Time!$F$12,Inputs!$F$184/100*(Y11-Y10-Tax!Y21),0)</f>
        <v>-49.1069314908742</v>
      </c>
      <c r="Z12" s="13" t="n">
        <f aca="false">IF(Time!Z20&gt;=Time!$F$12,Inputs!$F$184/100*(Z11-Z10-Tax!Z21),0)</f>
        <v>-45.607375260208</v>
      </c>
      <c r="AA12" s="13" t="n">
        <f aca="false">IF(Time!AA20&gt;=Time!$F$12,Inputs!$F$184/100*(AA11-AA10-Tax!AA21),0)</f>
        <v>-41.6748350932663</v>
      </c>
      <c r="AB12" s="13" t="n">
        <f aca="false">IF(Time!AB20&gt;=Time!$F$12,Inputs!$F$184/100*(AB11-AB10-Tax!AB21),0)</f>
        <v>-37.4705627059371</v>
      </c>
      <c r="AC12" s="13" t="n">
        <f aca="false">IF(Time!AC20&gt;=Time!$F$12,Inputs!$F$184/100*(AC11-AC10-Tax!AC21),0)</f>
        <v>-32.7798201899216</v>
      </c>
      <c r="AD12" s="13" t="n">
        <f aca="false">IF(Time!AD20&gt;=Time!$F$12,Inputs!$F$184/100*(AD11-AD10-Tax!AD21),0)</f>
        <v>-31.659986815439</v>
      </c>
      <c r="AE12" s="13" t="n">
        <f aca="false">IF(Time!AE20&gt;=Time!$F$12,Inputs!$F$184/100*(AE11-AE10-Tax!AE21),0)</f>
        <v>-26.0722719230067</v>
      </c>
      <c r="AF12" s="13" t="n">
        <f aca="false">IF(Time!AF20&gt;=Time!$F$12,Inputs!$F$184/100*(AF11-AF10-Tax!AF21),0)</f>
        <v>-20.1536828718147</v>
      </c>
      <c r="AG12" s="13" t="n">
        <f aca="false">IF(Time!AG20&gt;=Time!$F$12,Inputs!$F$184/100*(AG11-AG10-Tax!AG21),0)</f>
        <v>-13.7205697097143</v>
      </c>
      <c r="AH12" s="13" t="n">
        <f aca="false">IF(Time!AH20&gt;=Time!$F$12,Inputs!$F$184/100*(AH11-AH10-Tax!AH21),0)</f>
        <v>-6.78860147871891</v>
      </c>
      <c r="AI12" s="13" t="n">
        <f aca="false">IF(Time!AI20&gt;=Time!$F$12,Inputs!$F$184/100*(AI11-AI10-Tax!AI21),0)</f>
        <v>0.750616242487234</v>
      </c>
      <c r="AJ12" s="13" t="n">
        <f aca="false">IF(Time!AJ20&gt;=Time!$F$12,Inputs!$F$184/100*(AJ11-AJ10-Tax!AJ21),0)</f>
        <v>8.80710087298522</v>
      </c>
      <c r="AK12" s="13" t="n">
        <f aca="false">IF(Time!AK20&gt;=Time!$F$12,Inputs!$F$184/100*(AK11-AK10-Tax!AK21),0)</f>
        <v>17.5555650591089</v>
      </c>
      <c r="AL12" s="13" t="n">
        <f aca="false">IF(Time!AL20&gt;=Time!$F$12,Inputs!$F$184/100*(AL11-AL10-Tax!AL21),0)</f>
        <v>25.7557703701503</v>
      </c>
      <c r="AM12" s="13" t="n">
        <f aca="false">IF(Time!AM20&gt;=Time!$F$12,Inputs!$F$184/100*(AM11-AM10-Tax!AM21),0)</f>
        <v>31.9568180285585</v>
      </c>
      <c r="AN12" s="13" t="n">
        <f aca="false">IF(Time!AN20&gt;=Time!$F$12,Inputs!$F$184/100*(AN11-AN10-Tax!AN21),0)</f>
        <v>32.960697128932</v>
      </c>
      <c r="AO12" s="13" t="n">
        <f aca="false">IF(Time!AO20&gt;=Time!$F$12,Inputs!$F$184/100*(AO11-AO10-Tax!AO21),0)</f>
        <v>33.9645762293056</v>
      </c>
      <c r="AP12" s="13" t="n">
        <f aca="false">IF(Time!AP20&gt;=Time!$F$12,Inputs!$F$184/100*(AP11-AP10-Tax!AP21),0)</f>
        <v>34.9684553296792</v>
      </c>
      <c r="AQ12" s="13" t="n">
        <f aca="false">IF(Time!AQ20&gt;=Time!$F$12,Inputs!$F$184/100*(AQ11-AQ10-Tax!AQ21),0)</f>
        <v>35.9723344300528</v>
      </c>
      <c r="AR12" s="13" t="n">
        <f aca="false">IF(Time!AR20&gt;=Time!$F$12,Inputs!$F$184/100*(AR11-AR10-Tax!AR21),0)</f>
        <v>36.9762135304263</v>
      </c>
      <c r="AS12" s="13" t="n">
        <f aca="false">IF(Time!AS20&gt;=Time!$F$12,Inputs!$F$184/100*(AS11-AS10-Tax!AS21),0)</f>
        <v>37.9800926307999</v>
      </c>
      <c r="AT12" s="13" t="n">
        <f aca="false">IF(Time!AT20&gt;=Time!$F$12,Inputs!$F$184/100*(AT11-AT10-Tax!AT21),0)</f>
        <v>38.9839717311734</v>
      </c>
      <c r="AU12" s="13" t="n">
        <f aca="false">IF(Time!AU20&gt;=Time!$F$12,Inputs!$F$184/100*(AU11-AU10-Tax!AU21),0)</f>
        <v>39.987850831547</v>
      </c>
      <c r="AV12" s="13" t="n">
        <f aca="false">IF(Time!AV20&gt;=Time!$F$12,Inputs!$F$184/100*(AV11-AV10-Tax!AV21),0)</f>
        <v>40.9917299319206</v>
      </c>
      <c r="AW12" s="13" t="n">
        <f aca="false">IF(Time!AW20&gt;=Time!$F$12,Inputs!$F$184/100*(AW11-AW10-Tax!AW21),0)</f>
        <v>41.9956090322942</v>
      </c>
      <c r="AX12" s="13" t="n">
        <f aca="false">IF(Time!AX20&gt;=Time!$F$12,Inputs!$F$184/100*(AX11-AX10-Tax!AX21),0)</f>
        <v>42.9994881326677</v>
      </c>
      <c r="AY12" s="13" t="n">
        <f aca="false">IF(Time!AY20&gt;=Time!$F$12,Inputs!$F$184/100*(AY11-AY10-Tax!AY21),0)</f>
        <v>44.0033672330413</v>
      </c>
      <c r="AZ12" s="13" t="n">
        <f aca="false">IF(Time!AZ20&gt;=Time!$F$12,Inputs!$F$184/100*(AZ11-AZ10-Tax!AZ21),0)</f>
        <v>45.0072463334149</v>
      </c>
      <c r="BA12" s="13" t="n">
        <f aca="false">IF(Time!BA20&gt;=Time!$F$12,Inputs!$F$184/100*(BA11-BA10-Tax!BA21),0)</f>
        <v>46.0111254337884</v>
      </c>
      <c r="BB12" s="13" t="n">
        <f aca="false">IF(Time!BB20&gt;=Time!$F$12,Inputs!$F$184/100*(BB11-BB10-Tax!BB21),0)</f>
        <v>47.015004534162</v>
      </c>
      <c r="BC12" s="13" t="n">
        <f aca="false">IF(Time!BC20&gt;=Time!$F$12,Inputs!$F$184/100*(BC11-BC10-Tax!BC21),0)</f>
        <v>46.0947820254862</v>
      </c>
      <c r="BD12" s="13" t="n">
        <f aca="false">IF(Time!BD20&gt;=Time!$F$12,Inputs!$F$184/100*(BD11-BD10-Tax!BD21),0)</f>
        <v>41.3263562987118</v>
      </c>
      <c r="BE12" s="13" t="n">
        <f aca="false">IF(Time!BE20&gt;=Time!$F$12,Inputs!$F$184/100*(BE11-BE10-Tax!BE21),0)</f>
        <v>36.5579305719373</v>
      </c>
      <c r="BF12" s="13" t="n">
        <f aca="false">IF(Time!BF20&gt;=Time!$F$12,Inputs!$F$184/100*(BF11-BF10-Tax!BF21),0)</f>
        <v>31.7895048451629</v>
      </c>
      <c r="BG12" s="13" t="n">
        <f aca="false">IF(Time!BG20&gt;=Time!$F$12,Inputs!$F$184/100*(BG11-BG10-Tax!BG21),0)</f>
        <v>27.0210791183885</v>
      </c>
      <c r="BH12" s="13" t="n">
        <f aca="false">IF(Time!BH20&gt;=Time!$F$12,Inputs!$F$184/100*(BH11-BH10-Tax!BH21),0)</f>
        <v>22.252653391614</v>
      </c>
      <c r="BI12" s="13" t="n">
        <f aca="false">IF(Time!BI20&gt;=Time!$F$12,Inputs!$F$184/100*(BI11-BI10-Tax!BI21),0)</f>
        <v>17.4842276648396</v>
      </c>
      <c r="BJ12" s="13" t="n">
        <f aca="false">IF(Time!BJ20&gt;=Time!$F$12,Inputs!$F$184/100*(BJ11-BJ10-Tax!BJ21),0)</f>
        <v>12.7158019380652</v>
      </c>
      <c r="BK12" s="13" t="n">
        <f aca="false">IF(Time!BK20&gt;=Time!$F$12,Inputs!$F$184/100*(BK11-BK10-Tax!BK21),0)</f>
        <v>7.94737621129075</v>
      </c>
      <c r="BL12" s="13" t="n">
        <f aca="false">IF(Time!BL20&gt;=Time!$F$12,Inputs!$F$184/100*(BL11-BL10-Tax!BL21),0)</f>
        <v>3.17895048451633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-1.67313183395593</v>
      </c>
      <c r="P13" s="13" t="n">
        <f aca="false">P12-O12</f>
        <v>-5.01939550186782</v>
      </c>
      <c r="Q13" s="13" t="n">
        <f aca="false">Q12-P12</f>
        <v>-5.01939550186785</v>
      </c>
      <c r="R13" s="13" t="n">
        <f aca="false">R12-Q12</f>
        <v>-5.01939550186782</v>
      </c>
      <c r="S13" s="13" t="n">
        <f aca="false">S12-R12</f>
        <v>-5.01939550186782</v>
      </c>
      <c r="T13" s="13" t="n">
        <f aca="false">T12-S12</f>
        <v>-5.01939550186785</v>
      </c>
      <c r="U13" s="13" t="n">
        <f aca="false">U12-T12</f>
        <v>-5.01939550186781</v>
      </c>
      <c r="V13" s="13" t="n">
        <f aca="false">V12-U12</f>
        <v>-5.01939550186781</v>
      </c>
      <c r="W13" s="13" t="n">
        <f aca="false">W12-V12</f>
        <v>-5.01939550186782</v>
      </c>
      <c r="X13" s="13" t="n">
        <f aca="false">X12-W12</f>
        <v>-5.01939550186785</v>
      </c>
      <c r="Y13" s="13" t="n">
        <f aca="false">Y12-X12</f>
        <v>-2.25924014010782</v>
      </c>
      <c r="Z13" s="13" t="n">
        <f aca="false">Z12-Y12</f>
        <v>3.49955623066618</v>
      </c>
      <c r="AA13" s="13" t="n">
        <f aca="false">AA12-Z12</f>
        <v>3.93254016694173</v>
      </c>
      <c r="AB13" s="13" t="n">
        <f aca="false">AB12-AA12</f>
        <v>4.20427238732923</v>
      </c>
      <c r="AC13" s="13" t="n">
        <f aca="false">AC12-AB12</f>
        <v>4.69074251601549</v>
      </c>
      <c r="AD13" s="13" t="n">
        <f aca="false">AD12-AC12</f>
        <v>1.11983337448256</v>
      </c>
      <c r="AE13" s="13" t="n">
        <f aca="false">AE12-AD12</f>
        <v>5.58771489243231</v>
      </c>
      <c r="AF13" s="13" t="n">
        <f aca="false">AF12-AE12</f>
        <v>5.91858905119196</v>
      </c>
      <c r="AG13" s="13" t="n">
        <f aca="false">AG12-AF12</f>
        <v>6.43311316210044</v>
      </c>
      <c r="AH13" s="13" t="n">
        <f aca="false">AH12-AG12</f>
        <v>6.93196823099538</v>
      </c>
      <c r="AI13" s="13" t="n">
        <f aca="false">AI12-AH12</f>
        <v>7.53921772120615</v>
      </c>
      <c r="AJ13" s="13" t="n">
        <f aca="false">AJ12-AI12</f>
        <v>8.05648463049798</v>
      </c>
      <c r="AK13" s="13" t="n">
        <f aca="false">AK12-AJ12</f>
        <v>8.74846418612364</v>
      </c>
      <c r="AL13" s="13" t="n">
        <f aca="false">AL12-AK12</f>
        <v>8.20020531104143</v>
      </c>
      <c r="AM13" s="13" t="n">
        <f aca="false">AM12-AL12</f>
        <v>6.20104765840819</v>
      </c>
      <c r="AN13" s="13" t="n">
        <f aca="false">AN12-AM12</f>
        <v>1.00387910037357</v>
      </c>
      <c r="AO13" s="13" t="n">
        <f aca="false">AO12-AN12</f>
        <v>1.00387910037355</v>
      </c>
      <c r="AP13" s="13" t="n">
        <f aca="false">AP12-AO12</f>
        <v>1.0038791003736</v>
      </c>
      <c r="AQ13" s="13" t="n">
        <f aca="false">AQ12-AP12</f>
        <v>1.00387910037355</v>
      </c>
      <c r="AR13" s="13" t="n">
        <f aca="false">AR12-AQ12</f>
        <v>1.00387910037355</v>
      </c>
      <c r="AS13" s="13" t="n">
        <f aca="false">AS12-AR12</f>
        <v>1.00387910037357</v>
      </c>
      <c r="AT13" s="13" t="n">
        <f aca="false">AT12-AS12</f>
        <v>1.00387910037355</v>
      </c>
      <c r="AU13" s="13" t="n">
        <f aca="false">AU12-AT12</f>
        <v>1.0038791003736</v>
      </c>
      <c r="AV13" s="13" t="n">
        <f aca="false">AV12-AU12</f>
        <v>1.00387910037357</v>
      </c>
      <c r="AW13" s="13" t="n">
        <f aca="false">AW12-AV12</f>
        <v>1.00387910037357</v>
      </c>
      <c r="AX13" s="13" t="n">
        <f aca="false">AX12-AW12</f>
        <v>1.00387910037353</v>
      </c>
      <c r="AY13" s="13" t="n">
        <f aca="false">AY12-AX12</f>
        <v>1.00387910037357</v>
      </c>
      <c r="AZ13" s="13" t="n">
        <f aca="false">AZ12-AY12</f>
        <v>1.0038791003736</v>
      </c>
      <c r="BA13" s="13" t="n">
        <f aca="false">BA12-AZ12</f>
        <v>1.00387910037354</v>
      </c>
      <c r="BB13" s="13" t="n">
        <f aca="false">BB12-BA12</f>
        <v>1.00387910037357</v>
      </c>
      <c r="BC13" s="13" t="n">
        <f aca="false">BC12-BB12</f>
        <v>-0.920222508675764</v>
      </c>
      <c r="BD13" s="13" t="n">
        <f aca="false">BD12-BC12</f>
        <v>-4.76842572677445</v>
      </c>
      <c r="BE13" s="13" t="n">
        <f aca="false">BE12-BD12</f>
        <v>-4.76842572677442</v>
      </c>
      <c r="BF13" s="13" t="n">
        <f aca="false">BF12-BE12</f>
        <v>-4.76842572677442</v>
      </c>
      <c r="BG13" s="13" t="n">
        <f aca="false">BG12-BF12</f>
        <v>-4.76842572677446</v>
      </c>
      <c r="BH13" s="13" t="n">
        <f aca="false">BH12-BG12</f>
        <v>-4.76842572677442</v>
      </c>
      <c r="BI13" s="13" t="n">
        <f aca="false">BI12-BH12</f>
        <v>-4.76842572677442</v>
      </c>
      <c r="BJ13" s="13" t="n">
        <f aca="false">BJ12-BI12</f>
        <v>-4.76842572677442</v>
      </c>
      <c r="BK13" s="13" t="n">
        <f aca="false">BK12-BJ12</f>
        <v>-4.76842572677446</v>
      </c>
      <c r="BL13" s="13" t="n">
        <f aca="false">BL12-BK12</f>
        <v>-4.76842572677442</v>
      </c>
      <c r="BM13" s="13" t="n">
        <f aca="false">BM12-BL12</f>
        <v>-3.17895048451633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1029.6593540163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9.72809301502667</v>
      </c>
      <c r="P14" s="13" t="n">
        <f aca="false">Operations!P84-P8-P9-Tax!P27-P13</f>
        <v>7.36565007594947</v>
      </c>
      <c r="Q14" s="13" t="n">
        <f aca="false">Operations!Q84-Q8-Q9-Tax!Q27-Q13</f>
        <v>8.73603663280445</v>
      </c>
      <c r="R14" s="13" t="n">
        <f aca="false">Operations!R84-R8-R9-Tax!R27-R13</f>
        <v>9.21337619623087</v>
      </c>
      <c r="S14" s="13" t="n">
        <f aca="false">Operations!S84-S8-S9-Tax!S27-S13</f>
        <v>10.4263507099848</v>
      </c>
      <c r="T14" s="13" t="n">
        <f aca="false">Operations!T84-T8-T9-Tax!T27-T13</f>
        <v>10.8667780557617</v>
      </c>
      <c r="U14" s="13" t="n">
        <f aca="false">Operations!U84-U8-U9-Tax!U27-U13</f>
        <v>12.1044651287528</v>
      </c>
      <c r="V14" s="13" t="n">
        <f aca="false">Operations!V84-V8-V9-Tax!V27-V13</f>
        <v>10.4149135332049</v>
      </c>
      <c r="W14" s="13" t="n">
        <f aca="false">Operations!W84-W8-W9-Tax!W27-W13</f>
        <v>14.2605145049187</v>
      </c>
      <c r="X14" s="13" t="n">
        <f aca="false">Operations!X84-X8-X9-Tax!X27-X13</f>
        <v>15.0035372914682</v>
      </c>
      <c r="Y14" s="13" t="n">
        <f aca="false">Operations!Y84-Y8-Y9-Tax!Y27-Y13</f>
        <v>13.0102218594128</v>
      </c>
      <c r="Z14" s="13" t="n">
        <f aca="false">Operations!Z84-Z8-Z9-Tax!Z27-Z13</f>
        <v>7.80530090518472</v>
      </c>
      <c r="AA14" s="13" t="n">
        <f aca="false">Operations!AA84-AA8-AA9-Tax!AA27-AA13</f>
        <v>8.8132388373559</v>
      </c>
      <c r="AB14" s="13" t="n">
        <f aca="false">Operations!AB84-AB8-AB9-Tax!AB27-AB13</f>
        <v>9.44503066502709</v>
      </c>
      <c r="AC14" s="13" t="n">
        <f aca="false">Operations!AC84-AC8-AC9-Tax!AC27-AC13</f>
        <v>10.5784513928814</v>
      </c>
      <c r="AD14" s="13" t="n">
        <f aca="false">Operations!AD84-AD8-AD9-Tax!AD27-AD13</f>
        <v>2.25236297122069</v>
      </c>
      <c r="AE14" s="13" t="n">
        <f aca="false">Operations!AE84-AE8-AE9-Tax!AE27-AE13</f>
        <v>12.6670892617225</v>
      </c>
      <c r="AF14" s="13" t="n">
        <f aca="false">Operations!AF84-AF8-AF9-Tax!AF27-AF13</f>
        <v>13.4345953861322</v>
      </c>
      <c r="AG14" s="13" t="n">
        <f aca="false">Operations!AG84-AG8-AG9-Tax!AG27-AG13</f>
        <v>14.6326982706531</v>
      </c>
      <c r="AH14" s="13" t="n">
        <f aca="false">Operations!AH84-AH8-AH9-Tax!AH27-AH13</f>
        <v>15.7945794075547</v>
      </c>
      <c r="AI14" s="13" t="n">
        <f aca="false">Operations!AI84-AI8-AI9-Tax!AI27-AI13</f>
        <v>17.2082152362178</v>
      </c>
      <c r="AJ14" s="13" t="n">
        <f aca="false">Operations!AJ84-AJ8-AJ9-Tax!AJ27-AJ13</f>
        <v>18.4114641766064</v>
      </c>
      <c r="AK14" s="13" t="n">
        <f aca="false">Operations!AK84-AK8-AK9-Tax!AK27-AK13</f>
        <v>20.023861284484</v>
      </c>
      <c r="AL14" s="13" t="n">
        <f aca="false">Operations!AL84-AL8-AL9-Tax!AL27-AL13</f>
        <v>18.7487666317608</v>
      </c>
      <c r="AM14" s="13" t="n">
        <f aca="false">Operations!AM84-AM8-AM9-Tax!AM27-AM13</f>
        <v>23.4705407879091</v>
      </c>
      <c r="AN14" s="13" t="n">
        <f aca="false">Operations!AN84-AN8-AN9-Tax!AN27-AN13</f>
        <v>24.7702260831146</v>
      </c>
      <c r="AO14" s="13" t="n">
        <f aca="false">Operations!AO84-AO8-AO9-Tax!AO27-AO13</f>
        <v>26.1124260209117</v>
      </c>
      <c r="AP14" s="13" t="n">
        <f aca="false">Operations!AP84-AP8-AP9-Tax!AP27-AP13</f>
        <v>27.372219802432</v>
      </c>
      <c r="AQ14" s="13" t="n">
        <f aca="false">Operations!AQ84-AQ8-AQ9-Tax!AQ27-AQ13</f>
        <v>27.5154389890665</v>
      </c>
      <c r="AR14" s="13" t="n">
        <f aca="false">Operations!AR84-AR8-AR9-Tax!AR27-AR13</f>
        <v>27.6328888863375</v>
      </c>
      <c r="AS14" s="13" t="n">
        <f aca="false">Operations!AS84-AS8-AS9-Tax!AS27-AS13</f>
        <v>27.8912111441835</v>
      </c>
      <c r="AT14" s="13" t="n">
        <f aca="false">Operations!AT84-AT8-AT9-Tax!AT27-AT13</f>
        <v>17.9513600721259</v>
      </c>
      <c r="AU14" s="13" t="n">
        <f aca="false">Operations!AU84-AU8-AU9-Tax!AU27-AU13</f>
        <v>28.3753955150365</v>
      </c>
      <c r="AV14" s="13" t="n">
        <f aca="false">Operations!AV84-AV8-AV9-Tax!AV27-AV13</f>
        <v>28.4773937765275</v>
      </c>
      <c r="AW14" s="13" t="n">
        <f aca="false">Operations!AW84-AW8-AW9-Tax!AW27-AW13</f>
        <v>28.6404167539461</v>
      </c>
      <c r="AX14" s="13" t="n">
        <f aca="false">Operations!AX84-AX8-AX9-Tax!AX27-AX13</f>
        <v>28.7753687395133</v>
      </c>
      <c r="AY14" s="13" t="n">
        <f aca="false">Operations!AY84-AY8-AY9-Tax!AY27-AY13</f>
        <v>28.9899112553684</v>
      </c>
      <c r="AZ14" s="13" t="n">
        <f aca="false">Operations!AZ84-AZ8-AZ9-Tax!AZ27-AZ13</f>
        <v>29.2196955341689</v>
      </c>
      <c r="BA14" s="13" t="n">
        <f aca="false">Operations!BA84-BA8-BA9-Tax!BA27-BA13</f>
        <v>29.5047499229273</v>
      </c>
      <c r="BB14" s="13" t="n">
        <f aca="false">Operations!BB84-BB8-BB9-Tax!BB27-BB13</f>
        <v>27.1674255294467</v>
      </c>
      <c r="BC14" s="13" t="n">
        <f aca="false">Operations!BC84-BC8-BC9-Tax!BC27-BC13</f>
        <v>30.0228261685774</v>
      </c>
      <c r="BD14" s="13" t="n">
        <f aca="false">Operations!BD84-BD8-BD9-Tax!BD27-BD13</f>
        <v>30.1189921935071</v>
      </c>
      <c r="BE14" s="13" t="n">
        <f aca="false">Operations!BE84-BE8-BE9-Tax!BE27-BE13</f>
        <v>30.3580172283573</v>
      </c>
      <c r="BF14" s="13" t="n">
        <f aca="false">Operations!BF84-BF8-BF9-Tax!BF27-BF13</f>
        <v>30.608783763587</v>
      </c>
      <c r="BG14" s="13" t="n">
        <f aca="false">Operations!BG84-BG8-BG9-Tax!BG27-BG13</f>
        <v>30.8929869248321</v>
      </c>
      <c r="BH14" s="13" t="n">
        <f aca="false">Operations!BH84-BH8-BH9-Tax!BH27-BH13</f>
        <v>31.2231866488881</v>
      </c>
      <c r="BI14" s="13" t="n">
        <f aca="false">Operations!BI84-BI8-BI9-Tax!BI27-BI13</f>
        <v>31.5217563494706</v>
      </c>
      <c r="BJ14" s="13" t="n">
        <f aca="false">Operations!BJ84-BJ8-BJ9-Tax!BJ27-BJ13</f>
        <v>19.4696123694951</v>
      </c>
      <c r="BK14" s="13" t="n">
        <f aca="false">Operations!BK84-BK8-BK9-Tax!BK27-BK13</f>
        <v>32.0750370229152</v>
      </c>
      <c r="BL14" s="13" t="n">
        <f aca="false">Operations!BL84-BL8-BL9-Tax!BL27-BL13</f>
        <v>32.22766389994</v>
      </c>
      <c r="BM14" s="13" t="n">
        <f aca="false">Operations!BM84-BM8-BM9-Tax!BM27-BM13</f>
        <v>8.32823120339864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139.024579559098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239.257889772511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433.365584958481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635.39124598995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752.98865015009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830.988810864784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814.257492525225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797.526174185665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780.794855846106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764.063537506547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747.332219166987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730.600900827428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713.869582487868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697.138264148309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680.40694580875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663.67562746919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646.944309129631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630.212990790071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613.481672450512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596.750354110953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580.019035771393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563.287717431834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546.556399092274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529.825080752715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513.093762413155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496.362444073596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479.631125734036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462.899807394477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446.168489054918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429.437170715358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412.705852375799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395.974534036239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379.24321569668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362.511897357121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345.780579017561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329.049260678002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312.317942338442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295.586623998883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278.855305659324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262.123987319764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245.392668980205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228.661350640645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211.930032301086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195.198713961526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178.467395621967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161.736077282408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145.004758942848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128.273440603289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111.542122263729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94.8108039241699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78.0794855846106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61.3481672450512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44.6168489054918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27.8855305659323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11.1542122263729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39.212826230165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37.5781902267903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38.4623561286166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38.5871196633693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39.4214125180996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39.6571452031434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40.7908134822774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38.0284815131011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36.9318804370888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38.5481840846163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40.8219932939607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42.4976250134578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44.9009484270521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46.0924194597391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48.6393517073565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36.0385431617937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35.1005699621629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34.1011341658323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33.5019119088792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32.0330640858783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30.595490177543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28.1951152695287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25.2448257940661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21.772130240572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18.835310412986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20.3755284146649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36.0337070035118</v>
      </c>
      <c r="P18" s="13" t="n">
        <f aca="false">Operations!P88+Operations!P89</f>
        <v>36.0382389045113</v>
      </c>
      <c r="Q18" s="13" t="n">
        <f aca="false">Operations!Q88+Operations!Q89</f>
        <v>36.7865123941332</v>
      </c>
      <c r="R18" s="13" t="n">
        <f aca="false">Operations!R88+Operations!R89</f>
        <v>36.5872494419712</v>
      </c>
      <c r="S18" s="13" t="n">
        <f aca="false">Operations!S88+Operations!S89</f>
        <v>37.3737630015972</v>
      </c>
      <c r="T18" s="13" t="n">
        <f aca="false">Operations!T88+Operations!T89</f>
        <v>37.2236153763029</v>
      </c>
      <c r="U18" s="13" t="n">
        <f aca="false">Operations!U88+Operations!U89</f>
        <v>37.8937031560075</v>
      </c>
      <c r="V18" s="13" t="n">
        <f aca="false">Operations!V88+Operations!V89</f>
        <v>37.7724169711662</v>
      </c>
      <c r="W18" s="13" t="n">
        <f aca="false">Operations!W88+Operations!W89</f>
        <v>38.5958512972657</v>
      </c>
      <c r="X18" s="13" t="n">
        <f aca="false">Operations!X88+Operations!X89</f>
        <v>38.459885326809</v>
      </c>
      <c r="Y18" s="13" t="n">
        <f aca="false">Operations!Y88+Operations!Y89</f>
        <v>39.2822036382987</v>
      </c>
      <c r="Z18" s="13" t="n">
        <f aca="false">Operations!Z88+Operations!Z89</f>
        <v>39.1080867049648</v>
      </c>
      <c r="AA18" s="13" t="n">
        <f aca="false">Operations!AA88+Operations!AA89</f>
        <v>39.9341891121788</v>
      </c>
      <c r="AB18" s="13" t="n">
        <f aca="false">Operations!AB88+Operations!AB89</f>
        <v>39.7345326428172</v>
      </c>
      <c r="AC18" s="13" t="n">
        <f aca="false">Operations!AC88+Operations!AC89</f>
        <v>40.4242941855273</v>
      </c>
      <c r="AD18" s="13" t="n">
        <f aca="false">Operations!AD88+Operations!AD89</f>
        <v>39.8987960953153</v>
      </c>
      <c r="AE18" s="13" t="n">
        <f aca="false">Operations!AE88+Operations!AE89</f>
        <v>41.1502390967164</v>
      </c>
      <c r="AF18" s="13" t="n">
        <f aca="false">Operations!AF88+Operations!AF89</f>
        <v>41.0834022454906</v>
      </c>
      <c r="AG18" s="13" t="n">
        <f aca="false">Operations!AG88+Operations!AG89</f>
        <v>41.9476370398596</v>
      </c>
      <c r="AH18" s="13" t="n">
        <f aca="false">Operations!AH88+Operations!AH89</f>
        <v>41.7234982635696</v>
      </c>
      <c r="AI18" s="13" t="n">
        <f aca="false">Operations!AI88+Operations!AI89</f>
        <v>42.6497880975603</v>
      </c>
      <c r="AJ18" s="13" t="n">
        <f aca="false">Operations!AJ88+Operations!AJ89</f>
        <v>42.5174336988862</v>
      </c>
      <c r="AK18" s="13" t="n">
        <f aca="false">Operations!AK88+Operations!AK89</f>
        <v>43.281282002758</v>
      </c>
      <c r="AL18" s="13" t="n">
        <f aca="false">Operations!AL88+Operations!AL89</f>
        <v>42.8386671853529</v>
      </c>
      <c r="AM18" s="13" t="n">
        <f aca="false">Operations!AM88+Operations!AM89</f>
        <v>44.115846748739</v>
      </c>
      <c r="AN18" s="13" t="n">
        <f aca="false">Operations!AN88+Operations!AN89</f>
        <v>44.0707976205935</v>
      </c>
      <c r="AO18" s="13" t="n">
        <f aca="false">Operations!AO88+Operations!AO89</f>
        <v>45.0158891284493</v>
      </c>
      <c r="AP18" s="13" t="n">
        <f aca="false">Operations!AP88+Operations!AP89</f>
        <v>44.7966526657698</v>
      </c>
      <c r="AQ18" s="13" t="n">
        <f aca="false">Operations!AQ88+Operations!AQ89</f>
        <v>45.809289703707</v>
      </c>
      <c r="AR18" s="13" t="n">
        <f aca="false">Operations!AR88+Operations!AR89</f>
        <v>45.6876697532641</v>
      </c>
      <c r="AS18" s="13" t="n">
        <f aca="false">Operations!AS88+Operations!AS89</f>
        <v>46.5251939944708</v>
      </c>
      <c r="AT18" s="13" t="n">
        <f aca="false">Operations!AT88+Operations!AT89</f>
        <v>46.2086164421781</v>
      </c>
      <c r="AU18" s="13" t="n">
        <f aca="false">Operations!AU88+Operations!AU89</f>
        <v>47.4261547743634</v>
      </c>
      <c r="AV18" s="13" t="n">
        <f aca="false">Operations!AV88+Operations!AV89</f>
        <v>47.3376843574435</v>
      </c>
      <c r="AW18" s="13" t="n">
        <f aca="false">Operations!AW88+Operations!AW89</f>
        <v>48.4274712386489</v>
      </c>
      <c r="AX18" s="13" t="n">
        <f aca="false">Operations!AX88+Operations!AX89</f>
        <v>48.3239323446047</v>
      </c>
      <c r="AY18" s="13" t="n">
        <f aca="false">Operations!AY88+Operations!AY89</f>
        <v>49.406829413379</v>
      </c>
      <c r="AZ18" s="13" t="n">
        <f aca="false">Operations!AZ88+Operations!AZ89</f>
        <v>49.2346391992398</v>
      </c>
      <c r="BA18" s="13" t="n">
        <f aca="false">Operations!BA88+Operations!BA89</f>
        <v>50.1629355723654</v>
      </c>
      <c r="BB18" s="13" t="n">
        <f aca="false">Operations!BB88+Operations!BB89</f>
        <v>49.932163427588</v>
      </c>
      <c r="BC18" s="13" t="n">
        <f aca="false">Operations!BC88+Operations!BC89</f>
        <v>51.2115775010778</v>
      </c>
      <c r="BD18" s="13" t="n">
        <f aca="false">Operations!BD88+Operations!BD89</f>
        <v>51.1871968839691</v>
      </c>
      <c r="BE18" s="13" t="n">
        <f aca="false">Operations!BE88+Operations!BE89</f>
        <v>52.3576416444683</v>
      </c>
      <c r="BF18" s="13" t="n">
        <f aca="false">Operations!BF88+Operations!BF89</f>
        <v>52.2035772461708</v>
      </c>
      <c r="BG18" s="13" t="n">
        <f aca="false">Operations!BG88+Operations!BG89</f>
        <v>53.3695564978564</v>
      </c>
      <c r="BH18" s="13" t="n">
        <f aca="false">Operations!BH88+Operations!BH89</f>
        <v>53.1501165518446</v>
      </c>
      <c r="BI18" s="13" t="n">
        <f aca="false">Operations!BI88+Operations!BI89</f>
        <v>54.2021726829559</v>
      </c>
      <c r="BJ18" s="13" t="n">
        <f aca="false">Operations!BJ88+Operations!BJ89</f>
        <v>53.8805219522639</v>
      </c>
      <c r="BK18" s="13" t="n">
        <f aca="false">Operations!BK88+Operations!BK89</f>
        <v>55.4433476184998</v>
      </c>
      <c r="BL18" s="13" t="n">
        <f aca="false">Operations!BL88+Operations!BL89</f>
        <v>55.4503296770433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1.67313183395593</v>
      </c>
      <c r="P20" s="13" t="n">
        <f aca="false">MAX(0,-P12)</f>
        <v>6.69252733582374</v>
      </c>
      <c r="Q20" s="13" t="n">
        <f aca="false">MAX(0,-Q12)</f>
        <v>11.7119228376916</v>
      </c>
      <c r="R20" s="13" t="n">
        <f aca="false">MAX(0,-R12)</f>
        <v>16.7313183395594</v>
      </c>
      <c r="S20" s="13" t="n">
        <f aca="false">MAX(0,-S12)</f>
        <v>21.7507138414272</v>
      </c>
      <c r="T20" s="13" t="n">
        <f aca="false">MAX(0,-T12)</f>
        <v>26.7701093432951</v>
      </c>
      <c r="U20" s="13" t="n">
        <f aca="false">MAX(0,-U12)</f>
        <v>31.7895048451629</v>
      </c>
      <c r="V20" s="13" t="n">
        <f aca="false">MAX(0,-V12)</f>
        <v>36.8089003470307</v>
      </c>
      <c r="W20" s="13" t="n">
        <f aca="false">MAX(0,-W12)</f>
        <v>41.8282958488985</v>
      </c>
      <c r="X20" s="13" t="n">
        <f aca="false">MAX(0,-X12)</f>
        <v>46.8476913507664</v>
      </c>
      <c r="Y20" s="13" t="n">
        <f aca="false">MAX(0,-Y12)</f>
        <v>49.1069314908742</v>
      </c>
      <c r="Z20" s="13" t="n">
        <f aca="false">MAX(0,-Z12)</f>
        <v>45.607375260208</v>
      </c>
      <c r="AA20" s="13" t="n">
        <f aca="false">MAX(0,-AA12)</f>
        <v>41.6748350932663</v>
      </c>
      <c r="AB20" s="13" t="n">
        <f aca="false">MAX(0,-AB12)</f>
        <v>37.4705627059371</v>
      </c>
      <c r="AC20" s="13" t="n">
        <f aca="false">MAX(0,-AC12)</f>
        <v>32.7798201899216</v>
      </c>
      <c r="AD20" s="13" t="n">
        <f aca="false">MAX(0,-AD12)</f>
        <v>31.659986815439</v>
      </c>
      <c r="AE20" s="13" t="n">
        <f aca="false">MAX(0,-AE12)</f>
        <v>26.0722719230067</v>
      </c>
      <c r="AF20" s="13" t="n">
        <f aca="false">MAX(0,-AF12)</f>
        <v>20.1536828718147</v>
      </c>
      <c r="AG20" s="13" t="n">
        <f aca="false">MAX(0,-AG12)</f>
        <v>13.7205697097143</v>
      </c>
      <c r="AH20" s="13" t="n">
        <f aca="false">MAX(0,-AH12)</f>
        <v>6.78860147871891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139.024579559098</v>
      </c>
      <c r="K21" s="13" t="n">
        <f aca="false">K16+K17+K18+K19+K20</f>
        <v>239.257889772511</v>
      </c>
      <c r="L21" s="13" t="n">
        <f aca="false">L16+L17+L18+L19+L20</f>
        <v>433.365584958481</v>
      </c>
      <c r="M21" s="13" t="n">
        <f aca="false">M16+M17+M18+M19+M20</f>
        <v>635.39124598995</v>
      </c>
      <c r="N21" s="13" t="n">
        <f aca="false">N16+N17+N18+N19+N20</f>
        <v>752.98865015009</v>
      </c>
      <c r="O21" s="13" t="n">
        <f aca="false">O16+O17+O18+O19+O20</f>
        <v>913.258475932417</v>
      </c>
      <c r="P21" s="13" t="n">
        <f aca="false">P16+P17+P18+P19+P20</f>
        <v>899.91644899235</v>
      </c>
      <c r="Q21" s="13" t="n">
        <f aca="false">Q16+Q17+Q18+Q19+Q20</f>
        <v>889.836965546107</v>
      </c>
      <c r="R21" s="13" t="n">
        <f aca="false">R16+R17+R18+R19+R20</f>
        <v>878.050543291006</v>
      </c>
      <c r="S21" s="13" t="n">
        <f aca="false">S16+S17+S18+S19+S20</f>
        <v>867.959426867671</v>
      </c>
      <c r="T21" s="13" t="n">
        <f aca="false">T16+T17+T18+T19+T20</f>
        <v>856.333089089728</v>
      </c>
      <c r="U21" s="13" t="n">
        <f aca="false">U16+U17+U18+U19+U20</f>
        <v>846.424922310875</v>
      </c>
      <c r="V21" s="13" t="n">
        <f aca="false">V16+V17+V18+V19+V20</f>
        <v>831.829381319166</v>
      </c>
      <c r="W21" s="13" t="n">
        <f aca="false">W16+W17+W18+W19+W20</f>
        <v>819.844291731562</v>
      </c>
      <c r="X21" s="13" t="n">
        <f aca="false">X16+X17+X18+X19+X20</f>
        <v>809.612706570941</v>
      </c>
      <c r="Y21" s="13" t="n">
        <f aca="false">Y16+Y17+Y18+Y19+Y20</f>
        <v>798.236755892324</v>
      </c>
      <c r="Z21" s="13" t="n">
        <f aca="false">Z16+Z17+Z18+Z19+Z20</f>
        <v>779.507396108261</v>
      </c>
      <c r="AA21" s="13" t="n">
        <f aca="false">AA16+AA17+AA18+AA19+AA20</f>
        <v>762.072963422569</v>
      </c>
      <c r="AB21" s="13" t="n">
        <f aca="false">AB16+AB17+AB18+AB19+AB20</f>
        <v>742.129187259005</v>
      </c>
      <c r="AC21" s="13" t="n">
        <f aca="false">AC16+AC17+AC18+AC19+AC20</f>
        <v>723.943820193758</v>
      </c>
      <c r="AD21" s="13" t="n">
        <f aca="false">AD16+AD17+AD18+AD19+AD20</f>
        <v>692.966361843941</v>
      </c>
      <c r="AE21" s="13" t="n">
        <f aca="false">AE16+AE17+AE18+AE19+AE20</f>
        <v>670.96079841372</v>
      </c>
      <c r="AF21" s="13" t="n">
        <f aca="false">AF16+AF17+AF18+AF19+AF20</f>
        <v>647.244618375412</v>
      </c>
      <c r="AG21" s="13" t="n">
        <f aca="false">AG16+AG17+AG18+AG19+AG20</f>
        <v>624.345199411168</v>
      </c>
      <c r="AH21" s="13" t="n">
        <f aca="false">AH16+AH17+AH18+AH19+AH20</f>
        <v>598.988926241322</v>
      </c>
      <c r="AI21" s="13" t="n">
        <f aca="false">AI16+AI17+AI18+AI19+AI20</f>
        <v>574.957722348699</v>
      </c>
      <c r="AJ21" s="13" t="n">
        <f aca="false">AJ16+AJ17+AJ18+AJ19+AJ20</f>
        <v>555.693674702451</v>
      </c>
      <c r="AK21" s="13" t="n">
        <f aca="false">AK16+AK17+AK18+AK19+AK20</f>
        <v>536.775915191301</v>
      </c>
      <c r="AL21" s="13" t="n">
        <f aca="false">AL16+AL17+AL18+AL19+AL20</f>
        <v>516.129286480843</v>
      </c>
      <c r="AM21" s="13" t="n">
        <f aca="false">AM16+AM17+AM18+AM19+AM20</f>
        <v>497.738327877083</v>
      </c>
      <c r="AN21" s="13" t="n">
        <f aca="false">AN16+AN17+AN18+AN19+AN20</f>
        <v>482.502178411057</v>
      </c>
      <c r="AO21" s="13" t="n">
        <f aca="false">AO16+AO17+AO18+AO19+AO20</f>
        <v>451.036201335663</v>
      </c>
      <c r="AP21" s="13" t="n">
        <f aca="false">AP16+AP17+AP18+AP19+AP20</f>
        <v>436.433535618911</v>
      </c>
      <c r="AQ21" s="13" t="n">
        <f aca="false">AQ16+AQ17+AQ18+AQ19+AQ20</f>
        <v>423.062743402775</v>
      </c>
      <c r="AR21" s="13" t="n">
        <f aca="false">AR16+AR17+AR18+AR19+AR20</f>
        <v>408.55769419826</v>
      </c>
      <c r="AS21" s="13" t="n">
        <f aca="false">AS16+AS17+AS18+AS19+AS20</f>
        <v>395.011789185394</v>
      </c>
      <c r="AT21" s="13" t="n">
        <f aca="false">AT16+AT17+AT18+AT19+AT20</f>
        <v>363.876558780621</v>
      </c>
      <c r="AU21" s="13" t="n">
        <f aca="false">AU16+AU17+AU18+AU19+AU20</f>
        <v>348.362778773246</v>
      </c>
      <c r="AV21" s="13" t="n">
        <f aca="false">AV16+AV17+AV18+AV19+AV20</f>
        <v>332.13263101769</v>
      </c>
      <c r="AW21" s="13" t="n">
        <f aca="false">AW16+AW17+AW18+AW19+AW20</f>
        <v>317.08074056026</v>
      </c>
      <c r="AX21" s="13" t="n">
        <f aca="false">AX16+AX17+AX18+AX19+AX20</f>
        <v>300.83552432758</v>
      </c>
      <c r="AY21" s="13" t="n">
        <f aca="false">AY16+AY17+AY18+AY19+AY20</f>
        <v>285.776744057718</v>
      </c>
      <c r="AZ21" s="13" t="n">
        <f aca="false">AZ16+AZ17+AZ18+AZ19+AZ20</f>
        <v>269.462876504943</v>
      </c>
      <c r="BA21" s="13" t="n">
        <f aca="false">BA16+BA17+BA18+BA19+BA20</f>
        <v>254.744463926041</v>
      </c>
      <c r="BB21" s="13" t="n">
        <f aca="false">BB16+BB17+BB18+BB19+BB20</f>
        <v>235.745677690808</v>
      </c>
      <c r="BC21" s="13" t="n">
        <f aca="false">BC16+BC17+BC18+BC19+BC20</f>
        <v>221.811346498081</v>
      </c>
      <c r="BD21" s="13" t="n">
        <f aca="false">BD16+BD17+BD18+BD19+BD20</f>
        <v>209.384198462772</v>
      </c>
      <c r="BE21" s="13" t="n">
        <f aca="false">BE16+BE17+BE18+BE19+BE20</f>
        <v>198.168659925781</v>
      </c>
      <c r="BF21" s="13" t="n">
        <f aca="false">BF16+BF17+BF18+BF19+BF20</f>
        <v>185.645579971609</v>
      </c>
      <c r="BG21" s="13" t="n">
        <f aca="false">BG16+BG17+BG18+BG19+BG20</f>
        <v>174.459697038785</v>
      </c>
      <c r="BH21" s="13" t="n">
        <f aca="false">BH16+BH17+BH18+BH19+BH20</f>
        <v>161.905735940195</v>
      </c>
      <c r="BI21" s="13" t="n">
        <f aca="false">BI16+BI17+BI18+BI19+BI20</f>
        <v>150.640801664264</v>
      </c>
      <c r="BJ21" s="13" t="n">
        <f aca="false">BJ16+BJ17+BJ18+BJ19+BJ20</f>
        <v>118.459255533372</v>
      </c>
      <c r="BK21" s="13" t="n">
        <f aca="false">BK16+BK17+BK18+BK19+BK20</f>
        <v>104.946354388023</v>
      </c>
      <c r="BL21" s="13" t="n">
        <f aca="false">BL16+BL17+BL18+BL19+BL20</f>
        <v>89.8957220653772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101.856614639852</v>
      </c>
      <c r="K22" s="13" t="n">
        <f aca="false">IF(Time!K20&lt;Time!$F$12,SUMIFS(Funding!$J$73:$BJ$73,Construction!$J$12:$BJ$12,"&lt;="&amp;Time!K20),Debt!K116)</f>
        <v>174.448995066921</v>
      </c>
      <c r="L22" s="13" t="n">
        <f aca="false">IF(Time!L20&lt;Time!$F$12,SUMIFS(Funding!$J$73:$BJ$73,Construction!$J$12:$BJ$12,"&lt;="&amp;Time!L20),Debt!L116)</f>
        <v>315.094236230922</v>
      </c>
      <c r="M22" s="13" t="n">
        <f aca="false">IF(Time!M20&lt;Time!$F$12,SUMIFS(Funding!$J$73:$BJ$73,Construction!$J$12:$BJ$12,"&lt;="&amp;Time!M20),Debt!M116)</f>
        <v>459.96758761655</v>
      </c>
      <c r="N22" s="13" t="n">
        <f aca="false">IF(Time!N20&lt;Time!$F$12,SUMIFS(Funding!$J$73:$BJ$73,Construction!$J$12:$BJ$12,"&lt;="&amp;Time!N20),Debt!N116)</f>
        <v>541.112327201487</v>
      </c>
      <c r="O22" s="13" t="n">
        <f aca="false">IF(Time!O20&lt;Time!$F$12,SUMIFS(Funding!$J$73:$BJ$73,Construction!$J$12:$BJ$12,"&lt;="&amp;Time!O20),Debt!O116)</f>
        <v>630.033308503853</v>
      </c>
      <c r="P22" s="13" t="n">
        <f aca="false">IF(Time!P20&lt;Time!$F$12,SUMIFS(Funding!$J$73:$BJ$73,Construction!$J$12:$BJ$12,"&lt;="&amp;Time!P20),Debt!P116)</f>
        <v>614.428421476773</v>
      </c>
      <c r="Q22" s="13" t="n">
        <f aca="false">IF(Time!Q20&lt;Time!$F$12,SUMIFS(Funding!$J$73:$BJ$73,Construction!$J$12:$BJ$12,"&lt;="&amp;Time!Q20),Debt!Q116)</f>
        <v>598.210643866209</v>
      </c>
      <c r="R22" s="13" t="n">
        <f aca="false">IF(Time!R20&lt;Time!$F$12,SUMIFS(Funding!$J$73:$BJ$73,Construction!$J$12:$BJ$12,"&lt;="&amp;Time!R20),Debt!R116)</f>
        <v>581.237460350146</v>
      </c>
      <c r="S22" s="13" t="n">
        <f aca="false">IF(Time!S20&lt;Time!$F$12,SUMIFS(Funding!$J$73:$BJ$73,Construction!$J$12:$BJ$12,"&lt;="&amp;Time!S20),Debt!S116)</f>
        <v>563.802028565149</v>
      </c>
      <c r="T22" s="13" t="n">
        <f aca="false">IF(Time!T20&lt;Time!$F$12,SUMIFS(Funding!$J$73:$BJ$73,Construction!$J$12:$BJ$12,"&lt;="&amp;Time!T20),Debt!T116)</f>
        <v>545.601685740489</v>
      </c>
      <c r="U22" s="13" t="n">
        <f aca="false">IF(Time!U20&lt;Time!$F$12,SUMIFS(Funding!$J$73:$BJ$73,Construction!$J$12:$BJ$12,"&lt;="&amp;Time!U20),Debt!U116)</f>
        <v>526.852032835239</v>
      </c>
      <c r="V22" s="13" t="n">
        <f aca="false">IF(Time!V20&lt;Time!$F$12,SUMIFS(Funding!$J$73:$BJ$73,Construction!$J$12:$BJ$12,"&lt;="&amp;Time!V20),Debt!V116)</f>
        <v>506.905723304872</v>
      </c>
      <c r="W22" s="13" t="n">
        <f aca="false">IF(Time!W20&lt;Time!$F$12,SUMIFS(Funding!$J$73:$BJ$73,Construction!$J$12:$BJ$12,"&lt;="&amp;Time!W20),Debt!W116)</f>
        <v>486.370177621132</v>
      </c>
      <c r="X22" s="13" t="n">
        <f aca="false">IF(Time!X20&lt;Time!$F$12,SUMIFS(Funding!$J$73:$BJ$73,Construction!$J$12:$BJ$12,"&lt;="&amp;Time!X20),Debt!X116)</f>
        <v>466.435672293961</v>
      </c>
      <c r="Y22" s="13" t="n">
        <f aca="false">IF(Time!Y20&lt;Time!$F$12,SUMIFS(Funding!$J$73:$BJ$73,Construction!$J$12:$BJ$12,"&lt;="&amp;Time!Y20),Debt!Y116)</f>
        <v>446.53824185399</v>
      </c>
      <c r="Z22" s="13" t="n">
        <f aca="false">IF(Time!Z20&lt;Time!$F$12,SUMIFS(Funding!$J$73:$BJ$73,Construction!$J$12:$BJ$12,"&lt;="&amp;Time!Z20),Debt!Z116)</f>
        <v>425.844485787903</v>
      </c>
      <c r="AA22" s="13" t="n">
        <f aca="false">IF(Time!AA20&lt;Time!$F$12,SUMIFS(Funding!$J$73:$BJ$73,Construction!$J$12:$BJ$12,"&lt;="&amp;Time!AA20),Debt!AA116)</f>
        <v>398.147621160111</v>
      </c>
      <c r="AB22" s="13" t="n">
        <f aca="false">IF(Time!AB20&lt;Time!$F$12,SUMIFS(Funding!$J$73:$BJ$73,Construction!$J$12:$BJ$12,"&lt;="&amp;Time!AB20),Debt!AB116)</f>
        <v>368.718969721647</v>
      </c>
      <c r="AC22" s="13" t="n">
        <f aca="false">IF(Time!AC20&lt;Time!$F$12,SUMIFS(Funding!$J$73:$BJ$73,Construction!$J$12:$BJ$12,"&lt;="&amp;Time!AC20),Debt!AC116)</f>
        <v>339.260760842152</v>
      </c>
      <c r="AD22" s="13" t="n">
        <f aca="false">IF(Time!AD20&lt;Time!$F$12,SUMIFS(Funding!$J$73:$BJ$73,Construction!$J$12:$BJ$12,"&lt;="&amp;Time!AD20),Debt!AD116)</f>
        <v>307.01073233468</v>
      </c>
      <c r="AE22" s="13" t="n">
        <f aca="false">IF(Time!AE20&lt;Time!$F$12,SUMIFS(Funding!$J$73:$BJ$73,Construction!$J$12:$BJ$12,"&lt;="&amp;Time!AE20),Debt!AE116)</f>
        <v>273.601530239088</v>
      </c>
      <c r="AF22" s="13" t="n">
        <f aca="false">IF(Time!AF20&lt;Time!$F$12,SUMIFS(Funding!$J$73:$BJ$73,Construction!$J$12:$BJ$12,"&lt;="&amp;Time!AF20),Debt!AF116)</f>
        <v>239.140020370564</v>
      </c>
      <c r="AG22" s="13" t="n">
        <f aca="false">IF(Time!AG20&lt;Time!$F$12,SUMIFS(Funding!$J$73:$BJ$73,Construction!$J$12:$BJ$12,"&lt;="&amp;Time!AG20),Debt!AG116)</f>
        <v>204.681015171445</v>
      </c>
      <c r="AH22" s="13" t="n">
        <f aca="false">IF(Time!AH20&lt;Time!$F$12,SUMIFS(Funding!$J$73:$BJ$73,Construction!$J$12:$BJ$12,"&lt;="&amp;Time!AH20),Debt!AH116)</f>
        <v>168.757345732536</v>
      </c>
      <c r="AI22" s="13" t="n">
        <f aca="false">IF(Time!AI20&lt;Time!$F$12,SUMIFS(Funding!$J$73:$BJ$73,Construction!$J$12:$BJ$12,"&lt;="&amp;Time!AI20),Debt!AI116)</f>
        <v>132.750976534276</v>
      </c>
      <c r="AJ22" s="13" t="n">
        <f aca="false">IF(Time!AJ20&lt;Time!$F$12,SUMIFS(Funding!$J$73:$BJ$73,Construction!$J$12:$BJ$12,"&lt;="&amp;Time!AJ20),Debt!AJ116)</f>
        <v>95.8063228467841</v>
      </c>
      <c r="AK22" s="13" t="n">
        <f aca="false">IF(Time!AK20&lt;Time!$F$12,SUMIFS(Funding!$J$73:$BJ$73,Construction!$J$12:$BJ$12,"&lt;="&amp;Time!AK20),Debt!AK116)</f>
        <v>75.3270034478626</v>
      </c>
      <c r="AL22" s="13" t="n">
        <f aca="false">IF(Time!AL20&lt;Time!$F$12,SUMIFS(Funding!$J$73:$BJ$73,Construction!$J$12:$BJ$12,"&lt;="&amp;Time!AL20),Debt!AL116)</f>
        <v>55.6070043739092</v>
      </c>
      <c r="AM22" s="13" t="n">
        <f aca="false">IF(Time!AM20&lt;Time!$F$12,SUMIFS(Funding!$J$73:$BJ$73,Construction!$J$12:$BJ$12,"&lt;="&amp;Time!AM20),Debt!AM116)</f>
        <v>35.3894431087493</v>
      </c>
      <c r="AN22" s="13" t="n">
        <f aca="false">IF(Time!AN20&lt;Time!$F$12,SUMIFS(Funding!$J$73:$BJ$73,Construction!$J$12:$BJ$12,"&lt;="&amp;Time!AN20),Debt!AN116)</f>
        <v>17.5412551830275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29.9047746537717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52.3692878398812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95.8026126774609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142.624295105509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173.290691555351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207.444548513006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202.317722300284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199.278079612124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195.277234163175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191.717884251392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187.399057601512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183.702412138877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178.667467270471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172.452477756125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167.116863815101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162.133346503244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156.298810335808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157.245603702021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157.307825122865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157.56743417312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156.679579815936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154.852162597096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152.05578282403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148.466382952581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143.293700004412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136.737048865037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127.911992167524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100.211736902961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72.4154816168083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43.9409045425257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20.6567137671982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21.1265064010088</v>
      </c>
      <c r="P24" s="13" t="n">
        <f aca="false">Operations!P90+Operations!P91+Operations!P92+Operations!P93+Operations!P94</f>
        <v>21.1505426247946</v>
      </c>
      <c r="Q24" s="13" t="n">
        <f aca="false">Operations!Q90+Operations!Q91+Operations!Q92+Operations!Q93+Operations!Q94</f>
        <v>21.5924428444708</v>
      </c>
      <c r="R24" s="13" t="n">
        <f aca="false">Operations!R90+Operations!R91+Operations!R92+Operations!R93+Operations!R94</f>
        <v>21.5666733581503</v>
      </c>
      <c r="S24" s="13" t="n">
        <f aca="false">Operations!S90+Operations!S91+Operations!S92+Operations!S93+Operations!S94</f>
        <v>22.0439879216105</v>
      </c>
      <c r="T24" s="13" t="n">
        <f aca="false">Operations!T90+Operations!T91+Operations!T92+Operations!T93+Operations!T94</f>
        <v>22.0700415624479</v>
      </c>
      <c r="U24" s="13" t="n">
        <f aca="false">Operations!U90+Operations!U91+Operations!U92+Operations!U93+Operations!U94</f>
        <v>22.503708022726</v>
      </c>
      <c r="V24" s="13" t="n">
        <f aca="false">Operations!V90+Operations!V91+Operations!V92+Operations!V93+Operations!V94</f>
        <v>22.4745078965856</v>
      </c>
      <c r="W24" s="13" t="n">
        <f aca="false">Operations!W90+Operations!W91+Operations!W92+Operations!W93+Operations!W94</f>
        <v>22.9794390021476</v>
      </c>
      <c r="X24" s="13" t="n">
        <f aca="false">Operations!X90+Operations!X91+Operations!X92+Operations!X93+Operations!X94</f>
        <v>23.014435818254</v>
      </c>
      <c r="Y24" s="13" t="n">
        <f aca="false">Operations!Y90+Operations!Y91+Operations!Y92+Operations!Y93+Operations!Y94</f>
        <v>23.5092110320518</v>
      </c>
      <c r="Z24" s="13" t="n">
        <f aca="false">Operations!Z90+Operations!Z91+Operations!Z92+Operations!Z93+Operations!Z94</f>
        <v>23.5028425763278</v>
      </c>
      <c r="AA24" s="13" t="n">
        <f aca="false">Operations!AA90+Operations!AA91+Operations!AA92+Operations!AA93+Operations!AA94</f>
        <v>24.0052423148577</v>
      </c>
      <c r="AB24" s="13" t="n">
        <f aca="false">Operations!AB90+Operations!AB91+Operations!AB92+Operations!AB93+Operations!AB94</f>
        <v>23.9828655038877</v>
      </c>
      <c r="AC24" s="13" t="n">
        <f aca="false">Operations!AC90+Operations!AC91+Operations!AC92+Operations!AC93+Operations!AC94</f>
        <v>24.4176468749987</v>
      </c>
      <c r="AD24" s="13" t="n">
        <f aca="false">Operations!AD90+Operations!AD91+Operations!AD92+Operations!AD93+Operations!AD94</f>
        <v>24.3257084186181</v>
      </c>
      <c r="AE24" s="13" t="n">
        <f aca="false">Operations!AE90+Operations!AE91+Operations!AE92+Operations!AE93+Operations!AE94</f>
        <v>24.8896750411057</v>
      </c>
      <c r="AF24" s="13" t="n">
        <f aca="false">Operations!AF90+Operations!AF91+Operations!AF92+Operations!AF93+Operations!AF94</f>
        <v>24.9967892582558</v>
      </c>
      <c r="AG24" s="13" t="n">
        <f aca="false">Operations!AG90+Operations!AG91+Operations!AG92+Operations!AG93+Operations!AG94</f>
        <v>25.5130770939265</v>
      </c>
      <c r="AH24" s="13" t="n">
        <f aca="false">Operations!AH90+Operations!AH91+Operations!AH92+Operations!AH93+Operations!AH94</f>
        <v>25.4585769036044</v>
      </c>
      <c r="AI24" s="13" t="n">
        <f aca="false">Operations!AI90+Operations!AI91+Operations!AI92+Operations!AI93+Operations!AI94</f>
        <v>26.0315618699109</v>
      </c>
      <c r="AJ24" s="13" t="n">
        <f aca="false">Operations!AJ90+Operations!AJ91+Operations!AJ92+Operations!AJ93+Operations!AJ94</f>
        <v>26.0692758015635</v>
      </c>
      <c r="AK24" s="13" t="n">
        <f aca="false">Operations!AK90+Operations!AK91+Operations!AK92+Operations!AK93+Operations!AK94</f>
        <v>26.5587654832899</v>
      </c>
      <c r="AL24" s="13" t="n">
        <f aca="false">Operations!AL90+Operations!AL91+Operations!AL92+Operations!AL93+Operations!AL94</f>
        <v>26.4794191901355</v>
      </c>
      <c r="AM24" s="13" t="n">
        <f aca="false">Operations!AM90+Operations!AM91+Operations!AM92+Operations!AM93+Operations!AM94</f>
        <v>27.1090104795014</v>
      </c>
      <c r="AN24" s="13" t="n">
        <f aca="false">Operations!AN90+Operations!AN91+Operations!AN92+Operations!AN93+Operations!AN94</f>
        <v>27.2311345310366</v>
      </c>
      <c r="AO24" s="13" t="n">
        <f aca="false">Operations!AO90+Operations!AO91+Operations!AO92+Operations!AO93+Operations!AO94</f>
        <v>27.8017255386632</v>
      </c>
      <c r="AP24" s="13" t="n">
        <f aca="false">Operations!AP90+Operations!AP91+Operations!AP92+Operations!AP93+Operations!AP94</f>
        <v>27.7500683904283</v>
      </c>
      <c r="AQ24" s="13" t="n">
        <f aca="false">Operations!AQ90+Operations!AQ91+Operations!AQ92+Operations!AQ93+Operations!AQ94</f>
        <v>28.3801440912791</v>
      </c>
      <c r="AR24" s="13" t="n">
        <f aca="false">Operations!AR90+Operations!AR91+Operations!AR92+Operations!AR93+Operations!AR94</f>
        <v>28.4231465864078</v>
      </c>
      <c r="AS24" s="13" t="n">
        <f aca="false">Operations!AS90+Operations!AS91+Operations!AS92+Operations!AS93+Operations!AS94</f>
        <v>28.9625388482493</v>
      </c>
      <c r="AT24" s="13" t="n">
        <f aca="false">Operations!AT90+Operations!AT91+Operations!AT92+Operations!AT93+Operations!AT94</f>
        <v>28.8711881220792</v>
      </c>
      <c r="AU24" s="13" t="n">
        <f aca="false">Operations!AU90+Operations!AU91+Operations!AU92+Operations!AU93+Operations!AU94</f>
        <v>29.5424399265841</v>
      </c>
      <c r="AV24" s="13" t="n">
        <f aca="false">Operations!AV90+Operations!AV91+Operations!AV92+Operations!AV93+Operations!AV94</f>
        <v>29.6144609908979</v>
      </c>
      <c r="AW24" s="13" t="n">
        <f aca="false">Operations!AW90+Operations!AW91+Operations!AW92+Operations!AW93+Operations!AW94</f>
        <v>30.2955699700158</v>
      </c>
      <c r="AX24" s="13" t="n">
        <f aca="false">Operations!AX90+Operations!AX91+Operations!AX92+Operations!AX93+Operations!AX94</f>
        <v>30.3508929511922</v>
      </c>
      <c r="AY24" s="13" t="n">
        <f aca="false">Operations!AY90+Operations!AY91+Operations!AY92+Operations!AY93+Operations!AY94</f>
        <v>31.0170263401504</v>
      </c>
      <c r="AZ24" s="13" t="n">
        <f aca="false">Operations!AZ90+Operations!AZ91+Operations!AZ92+Operations!AZ93+Operations!AZ94</f>
        <v>31.0058427450881</v>
      </c>
      <c r="BA24" s="13" t="n">
        <f aca="false">Operations!BA90+Operations!BA91+Operations!BA92+Operations!BA93+Operations!BA94</f>
        <v>31.6071463503859</v>
      </c>
      <c r="BB24" s="13" t="n">
        <f aca="false">Operations!BB90+Operations!BB91+Operations!BB92+Operations!BB93+Operations!BB94</f>
        <v>31.5263796186579</v>
      </c>
      <c r="BC24" s="13" t="n">
        <f aca="false">Operations!BC90+Operations!BC91+Operations!BC92+Operations!BC93+Operations!BC94</f>
        <v>32.2873654351082</v>
      </c>
      <c r="BD24" s="13" t="n">
        <f aca="false">Operations!BD90+Operations!BD91+Operations!BD92+Operations!BD93+Operations!BD94</f>
        <v>32.4098314449758</v>
      </c>
      <c r="BE24" s="13" t="n">
        <f aca="false">Operations!BE90+Operations!BE91+Operations!BE92+Operations!BE93+Operations!BE94</f>
        <v>33.1326069084796</v>
      </c>
      <c r="BF24" s="13" t="n">
        <f aca="false">Operations!BF90+Operations!BF91+Operations!BF92+Operations!BF93+Operations!BF94</f>
        <v>33.1339016471308</v>
      </c>
      <c r="BG24" s="13" t="n">
        <f aca="false">Operations!BG90+Operations!BG91+Operations!BG92+Operations!BG93+Operations!BG94</f>
        <v>33.8443232808785</v>
      </c>
      <c r="BH24" s="13" t="n">
        <f aca="false">Operations!BH90+Operations!BH91+Operations!BH92+Operations!BH93+Operations!BH94</f>
        <v>33.7855980738998</v>
      </c>
      <c r="BI24" s="13" t="n">
        <f aca="false">Operations!BI90+Operations!BI91+Operations!BI92+Operations!BI93+Operations!BI94</f>
        <v>34.4738193498475</v>
      </c>
      <c r="BJ24" s="13" t="n">
        <f aca="false">Operations!BJ90+Operations!BJ91+Operations!BJ92+Operations!BJ93+Operations!BJ94</f>
        <v>34.4435927123793</v>
      </c>
      <c r="BK24" s="13" t="n">
        <f aca="false">Operations!BK90+Operations!BK91+Operations!BK92+Operations!BK93+Operations!BK94</f>
        <v>35.284410184865</v>
      </c>
      <c r="BL24" s="13" t="n">
        <f aca="false">Operations!BL90+Operations!BL91+Operations!BL92+Operations!BL93+Operations!BL94</f>
        <v>35.4225564679436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0.750616242487234</v>
      </c>
      <c r="AJ25" s="13" t="n">
        <f aca="false">MAX(0,AJ12)</f>
        <v>8.80710087298522</v>
      </c>
      <c r="AK25" s="13" t="n">
        <f aca="false">MAX(0,AK12)</f>
        <v>17.5555650591089</v>
      </c>
      <c r="AL25" s="13" t="n">
        <f aca="false">MAX(0,AL12)</f>
        <v>25.7557703701503</v>
      </c>
      <c r="AM25" s="13" t="n">
        <f aca="false">MAX(0,AM12)</f>
        <v>31.9568180285585</v>
      </c>
      <c r="AN25" s="13" t="n">
        <f aca="false">MAX(0,AN12)</f>
        <v>32.960697128932</v>
      </c>
      <c r="AO25" s="13" t="n">
        <f aca="false">MAX(0,AO12)</f>
        <v>33.9645762293056</v>
      </c>
      <c r="AP25" s="13" t="n">
        <f aca="false">MAX(0,AP12)</f>
        <v>34.9684553296792</v>
      </c>
      <c r="AQ25" s="13" t="n">
        <f aca="false">MAX(0,AQ12)</f>
        <v>35.9723344300528</v>
      </c>
      <c r="AR25" s="13" t="n">
        <f aca="false">MAX(0,AR12)</f>
        <v>36.9762135304263</v>
      </c>
      <c r="AS25" s="13" t="n">
        <f aca="false">MAX(0,AS12)</f>
        <v>37.9800926307999</v>
      </c>
      <c r="AT25" s="13" t="n">
        <f aca="false">MAX(0,AT12)</f>
        <v>38.9839717311734</v>
      </c>
      <c r="AU25" s="13" t="n">
        <f aca="false">MAX(0,AU12)</f>
        <v>39.987850831547</v>
      </c>
      <c r="AV25" s="13" t="n">
        <f aca="false">MAX(0,AV12)</f>
        <v>40.9917299319206</v>
      </c>
      <c r="AW25" s="13" t="n">
        <f aca="false">MAX(0,AW12)</f>
        <v>41.9956090322942</v>
      </c>
      <c r="AX25" s="13" t="n">
        <f aca="false">MAX(0,AX12)</f>
        <v>42.9994881326677</v>
      </c>
      <c r="AY25" s="13" t="n">
        <f aca="false">MAX(0,AY12)</f>
        <v>44.0033672330413</v>
      </c>
      <c r="AZ25" s="13" t="n">
        <f aca="false">MAX(0,AZ12)</f>
        <v>45.0072463334149</v>
      </c>
      <c r="BA25" s="13" t="n">
        <f aca="false">MAX(0,BA12)</f>
        <v>46.0111254337884</v>
      </c>
      <c r="BB25" s="13" t="n">
        <f aca="false">MAX(0,BB12)</f>
        <v>47.015004534162</v>
      </c>
      <c r="BC25" s="13" t="n">
        <f aca="false">MAX(0,BC12)</f>
        <v>46.0947820254862</v>
      </c>
      <c r="BD25" s="13" t="n">
        <f aca="false">MAX(0,BD12)</f>
        <v>41.3263562987118</v>
      </c>
      <c r="BE25" s="13" t="n">
        <f aca="false">MAX(0,BE12)</f>
        <v>36.5579305719373</v>
      </c>
      <c r="BF25" s="13" t="n">
        <f aca="false">MAX(0,BF12)</f>
        <v>31.7895048451629</v>
      </c>
      <c r="BG25" s="13" t="n">
        <f aca="false">MAX(0,BG12)</f>
        <v>27.0210791183885</v>
      </c>
      <c r="BH25" s="13" t="n">
        <f aca="false">MAX(0,BH12)</f>
        <v>22.252653391614</v>
      </c>
      <c r="BI25" s="13" t="n">
        <f aca="false">MAX(0,BI12)</f>
        <v>17.4842276648396</v>
      </c>
      <c r="BJ25" s="13" t="n">
        <f aca="false">MAX(0,BJ12)</f>
        <v>12.7158019380652</v>
      </c>
      <c r="BK25" s="13" t="n">
        <f aca="false">MAX(0,BK12)</f>
        <v>7.94737621129075</v>
      </c>
      <c r="BL25" s="13" t="n">
        <f aca="false">MAX(0,BL12)</f>
        <v>3.17895048451633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7.26319026547412</v>
      </c>
      <c r="K26" s="13" t="n">
        <f aca="false">SUMIFS(Funding!$J$69:$BJ$69,Construction!$J$12:$BJ$12,"&lt;="&amp;Time!K20)</f>
        <v>12.4396068657092</v>
      </c>
      <c r="L26" s="13" t="n">
        <f aca="false">SUMIFS(Funding!$J$69:$BJ$69,Construction!$J$12:$BJ$12,"&lt;="&amp;Time!L20)</f>
        <v>22.4687360500984</v>
      </c>
      <c r="M26" s="13" t="n">
        <f aca="false">SUMIFS(Funding!$J$69:$BJ$69,Construction!$J$12:$BJ$12,"&lt;="&amp;Time!M20)</f>
        <v>32.7993632678913</v>
      </c>
      <c r="N26" s="13" t="n">
        <f aca="false">SUMIFS(Funding!$J$69:$BJ$69,Construction!$J$12:$BJ$12,"&lt;="&amp;Time!N20)</f>
        <v>38.5856313932522</v>
      </c>
      <c r="O26" s="13" t="n">
        <f aca="false">SUMIFS(Funding!$J$69:$BJ$69,Construction!$J$12:$BJ$12,"&lt;="&amp;Time!O20)</f>
        <v>44.9260194995226</v>
      </c>
      <c r="P26" s="13" t="n">
        <f aca="false">SUMIFS(Funding!$J$69:$BJ$69,Construction!$J$12:$BJ$12,"&lt;="&amp;Time!P20)</f>
        <v>44.9260194995226</v>
      </c>
      <c r="Q26" s="13" t="n">
        <f aca="false">SUMIFS(Funding!$J$69:$BJ$69,Construction!$J$12:$BJ$12,"&lt;="&amp;Time!Q20)</f>
        <v>44.9260194995226</v>
      </c>
      <c r="R26" s="13" t="n">
        <f aca="false">SUMIFS(Funding!$J$69:$BJ$69,Construction!$J$12:$BJ$12,"&lt;="&amp;Time!R20)</f>
        <v>44.9260194995226</v>
      </c>
      <c r="S26" s="13" t="n">
        <f aca="false">SUMIFS(Funding!$J$69:$BJ$69,Construction!$J$12:$BJ$12,"&lt;="&amp;Time!S20)</f>
        <v>44.9260194995226</v>
      </c>
      <c r="T26" s="13" t="n">
        <f aca="false">SUMIFS(Funding!$J$69:$BJ$69,Construction!$J$12:$BJ$12,"&lt;="&amp;Time!T20)</f>
        <v>44.9260194995226</v>
      </c>
      <c r="U26" s="13" t="n">
        <f aca="false">SUMIFS(Funding!$J$69:$BJ$69,Construction!$J$12:$BJ$12,"&lt;="&amp;Time!U20)</f>
        <v>44.9260194995226</v>
      </c>
      <c r="V26" s="13" t="n">
        <f aca="false">SUMIFS(Funding!$J$69:$BJ$69,Construction!$J$12:$BJ$12,"&lt;="&amp;Time!V20)</f>
        <v>44.9260194995226</v>
      </c>
      <c r="W26" s="13" t="n">
        <f aca="false">SUMIFS(Funding!$J$69:$BJ$69,Construction!$J$12:$BJ$12,"&lt;="&amp;Time!W20)</f>
        <v>44.9260194995226</v>
      </c>
      <c r="X26" s="13" t="n">
        <f aca="false">SUMIFS(Funding!$J$69:$BJ$69,Construction!$J$12:$BJ$12,"&lt;="&amp;Time!X20)</f>
        <v>44.9260194995226</v>
      </c>
      <c r="Y26" s="13" t="n">
        <f aca="false">SUMIFS(Funding!$J$69:$BJ$69,Construction!$J$12:$BJ$12,"&lt;="&amp;Time!Y20)</f>
        <v>44.9260194995226</v>
      </c>
      <c r="Z26" s="13" t="n">
        <f aca="false">SUMIFS(Funding!$J$69:$BJ$69,Construction!$J$12:$BJ$12,"&lt;="&amp;Time!Z20)</f>
        <v>44.9260194995226</v>
      </c>
      <c r="AA26" s="13" t="n">
        <f aca="false">SUMIFS(Funding!$J$69:$BJ$69,Construction!$J$12:$BJ$12,"&lt;="&amp;Time!AA20)</f>
        <v>44.9260194995226</v>
      </c>
      <c r="AB26" s="13" t="n">
        <f aca="false">SUMIFS(Funding!$J$69:$BJ$69,Construction!$J$12:$BJ$12,"&lt;="&amp;Time!AB20)</f>
        <v>44.9260194995226</v>
      </c>
      <c r="AC26" s="13" t="n">
        <f aca="false">SUMIFS(Funding!$J$69:$BJ$69,Construction!$J$12:$BJ$12,"&lt;="&amp;Time!AC20)</f>
        <v>44.9260194995226</v>
      </c>
      <c r="AD26" s="13" t="n">
        <f aca="false">SUMIFS(Funding!$J$69:$BJ$69,Construction!$J$12:$BJ$12,"&lt;="&amp;Time!AD20)</f>
        <v>44.9260194995226</v>
      </c>
      <c r="AE26" s="13" t="n">
        <f aca="false">SUMIFS(Funding!$J$69:$BJ$69,Construction!$J$12:$BJ$12,"&lt;="&amp;Time!AE20)</f>
        <v>44.9260194995226</v>
      </c>
      <c r="AF26" s="13" t="n">
        <f aca="false">SUMIFS(Funding!$J$69:$BJ$69,Construction!$J$12:$BJ$12,"&lt;="&amp;Time!AF20)</f>
        <v>44.9260194995226</v>
      </c>
      <c r="AG26" s="13" t="n">
        <f aca="false">SUMIFS(Funding!$J$69:$BJ$69,Construction!$J$12:$BJ$12,"&lt;="&amp;Time!AG20)</f>
        <v>44.9260194995226</v>
      </c>
      <c r="AH26" s="13" t="n">
        <f aca="false">SUMIFS(Funding!$J$69:$BJ$69,Construction!$J$12:$BJ$12,"&lt;="&amp;Time!AH20)</f>
        <v>44.9260194995226</v>
      </c>
      <c r="AI26" s="13" t="n">
        <f aca="false">SUMIFS(Funding!$J$69:$BJ$69,Construction!$J$12:$BJ$12,"&lt;="&amp;Time!AI20)</f>
        <v>44.9260194995226</v>
      </c>
      <c r="AJ26" s="13" t="n">
        <f aca="false">SUMIFS(Funding!$J$69:$BJ$69,Construction!$J$12:$BJ$12,"&lt;="&amp;Time!AJ20)</f>
        <v>44.9260194995226</v>
      </c>
      <c r="AK26" s="13" t="n">
        <f aca="false">SUMIFS(Funding!$J$69:$BJ$69,Construction!$J$12:$BJ$12,"&lt;="&amp;Time!AK20)</f>
        <v>44.9260194995226</v>
      </c>
      <c r="AL26" s="13" t="n">
        <f aca="false">SUMIFS(Funding!$J$69:$BJ$69,Construction!$J$12:$BJ$12,"&lt;="&amp;Time!AL20)</f>
        <v>44.9260194995226</v>
      </c>
      <c r="AM26" s="13" t="n">
        <f aca="false">SUMIFS(Funding!$J$69:$BJ$69,Construction!$J$12:$BJ$12,"&lt;="&amp;Time!AM20)</f>
        <v>44.9260194995226</v>
      </c>
      <c r="AN26" s="13" t="n">
        <f aca="false">SUMIFS(Funding!$J$69:$BJ$69,Construction!$J$12:$BJ$12,"&lt;="&amp;Time!AN20)</f>
        <v>44.9260194995226</v>
      </c>
      <c r="AO26" s="13" t="n">
        <f aca="false">SUMIFS(Funding!$J$69:$BJ$69,Construction!$J$12:$BJ$12,"&lt;="&amp;Time!AO20)</f>
        <v>44.9260194995226</v>
      </c>
      <c r="AP26" s="13" t="n">
        <f aca="false">SUMIFS(Funding!$J$69:$BJ$69,Construction!$J$12:$BJ$12,"&lt;="&amp;Time!AP20)</f>
        <v>44.9260194995226</v>
      </c>
      <c r="AQ26" s="13" t="n">
        <f aca="false">SUMIFS(Funding!$J$69:$BJ$69,Construction!$J$12:$BJ$12,"&lt;="&amp;Time!AQ20)</f>
        <v>44.9260194995226</v>
      </c>
      <c r="AR26" s="13" t="n">
        <f aca="false">SUMIFS(Funding!$J$69:$BJ$69,Construction!$J$12:$BJ$12,"&lt;="&amp;Time!AR20)</f>
        <v>44.9260194995226</v>
      </c>
      <c r="AS26" s="13" t="n">
        <f aca="false">SUMIFS(Funding!$J$69:$BJ$69,Construction!$J$12:$BJ$12,"&lt;="&amp;Time!AS20)</f>
        <v>44.9260194995226</v>
      </c>
      <c r="AT26" s="13" t="n">
        <f aca="false">SUMIFS(Funding!$J$69:$BJ$69,Construction!$J$12:$BJ$12,"&lt;="&amp;Time!AT20)</f>
        <v>44.9260194995226</v>
      </c>
      <c r="AU26" s="13" t="n">
        <f aca="false">SUMIFS(Funding!$J$69:$BJ$69,Construction!$J$12:$BJ$12,"&lt;="&amp;Time!AU20)</f>
        <v>44.9260194995226</v>
      </c>
      <c r="AV26" s="13" t="n">
        <f aca="false">SUMIFS(Funding!$J$69:$BJ$69,Construction!$J$12:$BJ$12,"&lt;="&amp;Time!AV20)</f>
        <v>44.9260194995226</v>
      </c>
      <c r="AW26" s="13" t="n">
        <f aca="false">SUMIFS(Funding!$J$69:$BJ$69,Construction!$J$12:$BJ$12,"&lt;="&amp;Time!AW20)</f>
        <v>44.9260194995226</v>
      </c>
      <c r="AX26" s="13" t="n">
        <f aca="false">SUMIFS(Funding!$J$69:$BJ$69,Construction!$J$12:$BJ$12,"&lt;="&amp;Time!AX20)</f>
        <v>44.9260194995226</v>
      </c>
      <c r="AY26" s="13" t="n">
        <f aca="false">SUMIFS(Funding!$J$69:$BJ$69,Construction!$J$12:$BJ$12,"&lt;="&amp;Time!AY20)</f>
        <v>44.9260194995226</v>
      </c>
      <c r="AZ26" s="13" t="n">
        <f aca="false">SUMIFS(Funding!$J$69:$BJ$69,Construction!$J$12:$BJ$12,"&lt;="&amp;Time!AZ20)</f>
        <v>44.9260194995226</v>
      </c>
      <c r="BA26" s="13" t="n">
        <f aca="false">SUMIFS(Funding!$J$69:$BJ$69,Construction!$J$12:$BJ$12,"&lt;="&amp;Time!BA20)</f>
        <v>44.9260194995226</v>
      </c>
      <c r="BB26" s="13" t="n">
        <f aca="false">SUMIFS(Funding!$J$69:$BJ$69,Construction!$J$12:$BJ$12,"&lt;="&amp;Time!BB20)</f>
        <v>44.9260194995226</v>
      </c>
      <c r="BC26" s="13" t="n">
        <f aca="false">SUMIFS(Funding!$J$69:$BJ$69,Construction!$J$12:$BJ$12,"&lt;="&amp;Time!BC20)</f>
        <v>44.9260194995226</v>
      </c>
      <c r="BD26" s="13" t="n">
        <f aca="false">SUMIFS(Funding!$J$69:$BJ$69,Construction!$J$12:$BJ$12,"&lt;="&amp;Time!BD20)</f>
        <v>44.9260194995226</v>
      </c>
      <c r="BE26" s="13" t="n">
        <f aca="false">SUMIFS(Funding!$J$69:$BJ$69,Construction!$J$12:$BJ$12,"&lt;="&amp;Time!BE20)</f>
        <v>44.9260194995226</v>
      </c>
      <c r="BF26" s="13" t="n">
        <f aca="false">SUMIFS(Funding!$J$69:$BJ$69,Construction!$J$12:$BJ$12,"&lt;="&amp;Time!BF20)</f>
        <v>44.9260194995226</v>
      </c>
      <c r="BG26" s="13" t="n">
        <f aca="false">SUMIFS(Funding!$J$69:$BJ$69,Construction!$J$12:$BJ$12,"&lt;="&amp;Time!BG20)</f>
        <v>44.9260194995226</v>
      </c>
      <c r="BH26" s="13" t="n">
        <f aca="false">SUMIFS(Funding!$J$69:$BJ$69,Construction!$J$12:$BJ$12,"&lt;="&amp;Time!BH20)</f>
        <v>44.9260194995226</v>
      </c>
      <c r="BI26" s="13" t="n">
        <f aca="false">SUMIFS(Funding!$J$69:$BJ$69,Construction!$J$12:$BJ$12,"&lt;="&amp;Time!BI20)</f>
        <v>44.9260194995226</v>
      </c>
      <c r="BJ26" s="13" t="n">
        <f aca="false">SUMIFS(Funding!$J$69:$BJ$69,Construction!$J$12:$BJ$12,"&lt;="&amp;Time!BJ20)</f>
        <v>44.9260194995226</v>
      </c>
      <c r="BK26" s="13" t="n">
        <f aca="false">SUMIFS(Funding!$J$69:$BJ$69,Construction!$J$12:$BJ$12,"&lt;="&amp;Time!BK20)</f>
        <v>44.9260194995226</v>
      </c>
      <c r="BL26" s="13" t="n">
        <f aca="false">SUMIFS(Funding!$J$69:$BJ$69,Construction!$J$12:$BJ$12,"&lt;="&amp;Time!BL20)</f>
        <v>44.9260194995226</v>
      </c>
      <c r="BM26" s="13" t="n">
        <f aca="false">SUMIFS(Funding!$J$69:$BJ$69,Construction!$J$12:$BJ$12,"&lt;="&amp;Time!BM20)</f>
        <v>44.9260194995226</v>
      </c>
      <c r="BN26" s="13" t="n">
        <f aca="false">SUMIFS(Funding!$J$69:$BJ$69,Construction!$J$12:$BJ$12,"&lt;="&amp;Time!BN20)</f>
        <v>44.9260194995226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9.72809301502667</v>
      </c>
      <c r="P27" s="18" t="n">
        <f aca="false">Waterfall!P43</f>
        <v>17.0937430909761</v>
      </c>
      <c r="Q27" s="18" t="n">
        <f aca="false">Waterfall!Q43</f>
        <v>25.8297797237806</v>
      </c>
      <c r="R27" s="18" t="n">
        <f aca="false">Waterfall!R43</f>
        <v>35.0431559200115</v>
      </c>
      <c r="S27" s="18" t="n">
        <f aca="false">Waterfall!S43</f>
        <v>45.4695066299963</v>
      </c>
      <c r="T27" s="18" t="n">
        <f aca="false">Waterfall!T43</f>
        <v>56.3362846857579</v>
      </c>
      <c r="U27" s="18" t="n">
        <f aca="false">Waterfall!U43</f>
        <v>68.4407498145108</v>
      </c>
      <c r="V27" s="18" t="n">
        <f aca="false">Waterfall!V43</f>
        <v>78.8556633477157</v>
      </c>
      <c r="W27" s="18" t="n">
        <f aca="false">Waterfall!W43</f>
        <v>93.1161778526344</v>
      </c>
      <c r="X27" s="18" t="n">
        <f aca="false">Waterfall!X43</f>
        <v>108.119715144103</v>
      </c>
      <c r="Y27" s="18" t="n">
        <f aca="false">Waterfall!Y43</f>
        <v>121.129937003515</v>
      </c>
      <c r="Z27" s="18" t="n">
        <f aca="false">Waterfall!Z43</f>
        <v>128.9352379087</v>
      </c>
      <c r="AA27" s="18" t="n">
        <f aca="false">Waterfall!AA43</f>
        <v>137.748476746056</v>
      </c>
      <c r="AB27" s="18" t="n">
        <f aca="false">Waterfall!AB43</f>
        <v>147.193507411083</v>
      </c>
      <c r="AC27" s="18" t="n">
        <f aca="false">Waterfall!AC43</f>
        <v>157.771958803965</v>
      </c>
      <c r="AD27" s="18" t="n">
        <f aca="false">Waterfall!AD43</f>
        <v>160.024321775185</v>
      </c>
      <c r="AE27" s="18" t="n">
        <f aca="false">Waterfall!AE43</f>
        <v>172.691411036908</v>
      </c>
      <c r="AF27" s="18" t="n">
        <f aca="false">Waterfall!AF43</f>
        <v>186.12600642304</v>
      </c>
      <c r="AG27" s="18" t="n">
        <f aca="false">Waterfall!AG43</f>
        <v>200.758704693693</v>
      </c>
      <c r="AH27" s="18" t="n">
        <f aca="false">Waterfall!AH43</f>
        <v>216.553284101248</v>
      </c>
      <c r="AI27" s="18" t="n">
        <f aca="false">Waterfall!AI43</f>
        <v>233.761499337465</v>
      </c>
      <c r="AJ27" s="18" t="n">
        <f aca="false">Waterfall!AJ43</f>
        <v>252.172963514072</v>
      </c>
      <c r="AK27" s="18" t="n">
        <f aca="false">Waterfall!AK43</f>
        <v>272.196824798556</v>
      </c>
      <c r="AL27" s="18" t="n">
        <f aca="false">Waterfall!AL43</f>
        <v>290.945591430317</v>
      </c>
      <c r="AM27" s="18" t="n">
        <f aca="false">Waterfall!AM43</f>
        <v>314.416132218226</v>
      </c>
      <c r="AN27" s="18" t="n">
        <f aca="false">Waterfall!AN43</f>
        <v>339.18635830134</v>
      </c>
      <c r="AO27" s="18" t="n">
        <f aca="false">Waterfall!AO43</f>
        <v>344.343880068171</v>
      </c>
      <c r="AP27" s="18" t="n">
        <f aca="false">Waterfall!AP43</f>
        <v>328.78899239928</v>
      </c>
      <c r="AQ27" s="18" t="n">
        <f aca="false">Waterfall!AQ43</f>
        <v>313.784245381921</v>
      </c>
      <c r="AR27" s="18" t="n">
        <f aca="false">Waterfall!AR43</f>
        <v>298.232314581903</v>
      </c>
      <c r="AS27" s="18" t="n">
        <f aca="false">Waterfall!AS43</f>
        <v>283.143138206822</v>
      </c>
      <c r="AT27" s="18" t="n">
        <f aca="false">Waterfall!AT43</f>
        <v>251.095379427845</v>
      </c>
      <c r="AU27" s="18" t="n">
        <f aca="false">Waterfall!AU43</f>
        <v>233.906468515593</v>
      </c>
      <c r="AV27" s="18" t="n">
        <f aca="false">Waterfall!AV43</f>
        <v>216.600420595349</v>
      </c>
      <c r="AW27" s="18" t="n">
        <f aca="false">Waterfall!AW43</f>
        <v>199.863542058427</v>
      </c>
      <c r="AX27" s="18" t="n">
        <f aca="false">Waterfall!AX43</f>
        <v>182.559123744197</v>
      </c>
      <c r="AY27" s="18" t="n">
        <f aca="false">Waterfall!AY43</f>
        <v>165.830330985004</v>
      </c>
      <c r="AZ27" s="18" t="n">
        <f aca="false">Waterfall!AZ43</f>
        <v>148.523767926917</v>
      </c>
      <c r="BA27" s="18" t="n">
        <f aca="false">Waterfall!BA43</f>
        <v>132.200172642344</v>
      </c>
      <c r="BB27" s="18" t="n">
        <f aca="false">Waterfall!BB43</f>
        <v>112.278274038466</v>
      </c>
      <c r="BC27" s="18" t="n">
        <f aca="false">Waterfall!BC43</f>
        <v>98.5031795379636</v>
      </c>
      <c r="BD27" s="18" t="n">
        <f aca="false">Waterfall!BD43</f>
        <v>90.7219912195619</v>
      </c>
      <c r="BE27" s="18" t="n">
        <f aca="false">Waterfall!BE43</f>
        <v>83.5521029458411</v>
      </c>
      <c r="BF27" s="18" t="n">
        <f aca="false">Waterfall!BF43</f>
        <v>75.7961539797924</v>
      </c>
      <c r="BG27" s="18" t="n">
        <f aca="false">Waterfall!BG43</f>
        <v>68.6682751399952</v>
      </c>
      <c r="BH27" s="18" t="n">
        <f aca="false">Waterfall!BH43</f>
        <v>60.9414649751587</v>
      </c>
      <c r="BI27" s="18" t="n">
        <f aca="false">Waterfall!BI43</f>
        <v>53.7567351500537</v>
      </c>
      <c r="BJ27" s="18" t="n">
        <f aca="false">Waterfall!BJ43</f>
        <v>26.3738413834045</v>
      </c>
      <c r="BK27" s="18" t="n">
        <f aca="false">Waterfall!BK43</f>
        <v>16.788548492344</v>
      </c>
      <c r="BL27" s="18" t="n">
        <f aca="false">Waterfall!BL43</f>
        <v>6.36819561339465</v>
      </c>
      <c r="BM27" s="18" t="n">
        <f aca="false">Waterfall!BM43</f>
        <v>-44.9260194995227</v>
      </c>
      <c r="BN27" s="18" t="n">
        <f aca="false">Waterfall!BN43</f>
        <v>-44.9260194995227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139.024579559098</v>
      </c>
      <c r="K28" s="13" t="n">
        <f aca="false">K22+K23+K24+K25+K26+K27</f>
        <v>239.257889772511</v>
      </c>
      <c r="L28" s="13" t="n">
        <f aca="false">L22+L23+L24+L25+L26+L27</f>
        <v>433.365584958481</v>
      </c>
      <c r="M28" s="13" t="n">
        <f aca="false">M22+M23+M24+M25+M26+M27</f>
        <v>635.39124598995</v>
      </c>
      <c r="N28" s="13" t="n">
        <f aca="false">N22+N23+N24+N25+N26+N27</f>
        <v>752.98865015009</v>
      </c>
      <c r="O28" s="13" t="n">
        <f aca="false">O22+O23+O24+O25+O26+O27</f>
        <v>913.258475932417</v>
      </c>
      <c r="P28" s="13" t="n">
        <f aca="false">P22+P23+P24+P25+P26+P27</f>
        <v>899.91644899235</v>
      </c>
      <c r="Q28" s="13" t="n">
        <f aca="false">Q22+Q23+Q24+Q25+Q26+Q27</f>
        <v>889.836965546107</v>
      </c>
      <c r="R28" s="13" t="n">
        <f aca="false">R22+R23+R24+R25+R26+R27</f>
        <v>878.050543291006</v>
      </c>
      <c r="S28" s="13" t="n">
        <f aca="false">S22+S23+S24+S25+S26+S27</f>
        <v>867.959426867671</v>
      </c>
      <c r="T28" s="13" t="n">
        <f aca="false">T22+T23+T24+T25+T26+T27</f>
        <v>856.333089089728</v>
      </c>
      <c r="U28" s="13" t="n">
        <f aca="false">U22+U23+U24+U25+U26+U27</f>
        <v>846.424922310876</v>
      </c>
      <c r="V28" s="13" t="n">
        <f aca="false">V22+V23+V24+V25+V26+V27</f>
        <v>831.829381319166</v>
      </c>
      <c r="W28" s="13" t="n">
        <f aca="false">W22+W23+W24+W25+W26+W27</f>
        <v>819.844291731562</v>
      </c>
      <c r="X28" s="13" t="n">
        <f aca="false">X22+X23+X24+X25+X26+X27</f>
        <v>809.612706570941</v>
      </c>
      <c r="Y28" s="13" t="n">
        <f aca="false">Y22+Y23+Y24+Y25+Y26+Y27</f>
        <v>798.236755892324</v>
      </c>
      <c r="Z28" s="13" t="n">
        <f aca="false">Z22+Z23+Z24+Z25+Z26+Z27</f>
        <v>779.507396108261</v>
      </c>
      <c r="AA28" s="13" t="n">
        <f aca="false">AA22+AA23+AA24+AA25+AA26+AA27</f>
        <v>762.072963422568</v>
      </c>
      <c r="AB28" s="13" t="n">
        <f aca="false">AB22+AB23+AB24+AB25+AB26+AB27</f>
        <v>742.129187259005</v>
      </c>
      <c r="AC28" s="13" t="n">
        <f aca="false">AC22+AC23+AC24+AC25+AC26+AC27</f>
        <v>723.943820193758</v>
      </c>
      <c r="AD28" s="13" t="n">
        <f aca="false">AD22+AD23+AD24+AD25+AD26+AD27</f>
        <v>692.966361843941</v>
      </c>
      <c r="AE28" s="13" t="n">
        <f aca="false">AE22+AE23+AE24+AE25+AE26+AE27</f>
        <v>670.960798413719</v>
      </c>
      <c r="AF28" s="13" t="n">
        <f aca="false">AF22+AF23+AF24+AF25+AF26+AF27</f>
        <v>647.244618375412</v>
      </c>
      <c r="AG28" s="13" t="n">
        <f aca="false">AG22+AG23+AG24+AG25+AG26+AG27</f>
        <v>624.345199411168</v>
      </c>
      <c r="AH28" s="13" t="n">
        <f aca="false">AH22+AH23+AH24+AH25+AH26+AH27</f>
        <v>598.988926241322</v>
      </c>
      <c r="AI28" s="13" t="n">
        <f aca="false">AI22+AI23+AI24+AI25+AI26+AI27</f>
        <v>574.957722348699</v>
      </c>
      <c r="AJ28" s="13" t="n">
        <f aca="false">AJ22+AJ23+AJ24+AJ25+AJ26+AJ27</f>
        <v>555.693674702451</v>
      </c>
      <c r="AK28" s="13" t="n">
        <f aca="false">AK22+AK23+AK24+AK25+AK26+AK27</f>
        <v>536.775915191301</v>
      </c>
      <c r="AL28" s="13" t="n">
        <f aca="false">AL22+AL23+AL24+AL25+AL26+AL27</f>
        <v>516.129286480842</v>
      </c>
      <c r="AM28" s="13" t="n">
        <f aca="false">AM22+AM23+AM24+AM25+AM26+AM27</f>
        <v>497.738327877083</v>
      </c>
      <c r="AN28" s="13" t="n">
        <f aca="false">AN22+AN23+AN24+AN25+AN26+AN27</f>
        <v>482.502178411057</v>
      </c>
      <c r="AO28" s="13" t="n">
        <f aca="false">AO22+AO23+AO24+AO25+AO26+AO27</f>
        <v>451.036201335662</v>
      </c>
      <c r="AP28" s="13" t="n">
        <f aca="false">AP22+AP23+AP24+AP25+AP26+AP27</f>
        <v>436.43353561891</v>
      </c>
      <c r="AQ28" s="13" t="n">
        <f aca="false">AQ22+AQ23+AQ24+AQ25+AQ26+AQ27</f>
        <v>423.062743402775</v>
      </c>
      <c r="AR28" s="13" t="n">
        <f aca="false">AR22+AR23+AR24+AR25+AR26+AR27</f>
        <v>408.55769419826</v>
      </c>
      <c r="AS28" s="13" t="n">
        <f aca="false">AS22+AS23+AS24+AS25+AS26+AS27</f>
        <v>395.011789185394</v>
      </c>
      <c r="AT28" s="13" t="n">
        <f aca="false">AT22+AT23+AT24+AT25+AT26+AT27</f>
        <v>363.87655878062</v>
      </c>
      <c r="AU28" s="13" t="n">
        <f aca="false">AU22+AU23+AU24+AU25+AU26+AU27</f>
        <v>348.362778773246</v>
      </c>
      <c r="AV28" s="13" t="n">
        <f aca="false">AV22+AV23+AV24+AV25+AV26+AV27</f>
        <v>332.13263101769</v>
      </c>
      <c r="AW28" s="13" t="n">
        <f aca="false">AW22+AW23+AW24+AW25+AW26+AW27</f>
        <v>317.08074056026</v>
      </c>
      <c r="AX28" s="13" t="n">
        <f aca="false">AX22+AX23+AX24+AX25+AX26+AX27</f>
        <v>300.835524327579</v>
      </c>
      <c r="AY28" s="13" t="n">
        <f aca="false">AY22+AY23+AY24+AY25+AY26+AY27</f>
        <v>285.776744057718</v>
      </c>
      <c r="AZ28" s="13" t="n">
        <f aca="false">AZ22+AZ23+AZ24+AZ25+AZ26+AZ27</f>
        <v>269.462876504942</v>
      </c>
      <c r="BA28" s="13" t="n">
        <f aca="false">BA22+BA23+BA24+BA25+BA26+BA27</f>
        <v>254.744463926041</v>
      </c>
      <c r="BB28" s="13" t="n">
        <f aca="false">BB22+BB23+BB24+BB25+BB26+BB27</f>
        <v>235.745677690808</v>
      </c>
      <c r="BC28" s="13" t="n">
        <f aca="false">BC22+BC23+BC24+BC25+BC26+BC27</f>
        <v>221.811346498081</v>
      </c>
      <c r="BD28" s="13" t="n">
        <f aca="false">BD22+BD23+BD24+BD25+BD26+BD27</f>
        <v>209.384198462772</v>
      </c>
      <c r="BE28" s="13" t="n">
        <f aca="false">BE22+BE23+BE24+BE25+BE26+BE27</f>
        <v>198.168659925781</v>
      </c>
      <c r="BF28" s="13" t="n">
        <f aca="false">BF22+BF23+BF24+BF25+BF26+BF27</f>
        <v>185.645579971609</v>
      </c>
      <c r="BG28" s="13" t="n">
        <f aca="false">BG22+BG23+BG24+BG25+BG26+BG27</f>
        <v>174.459697038785</v>
      </c>
      <c r="BH28" s="13" t="n">
        <f aca="false">BH22+BH23+BH24+BH25+BH26+BH27</f>
        <v>161.905735940195</v>
      </c>
      <c r="BI28" s="13" t="n">
        <f aca="false">BI22+BI23+BI24+BI25+BI26+BI27</f>
        <v>150.640801664263</v>
      </c>
      <c r="BJ28" s="13" t="n">
        <f aca="false">BJ22+BJ23+BJ24+BJ25+BJ26+BJ27</f>
        <v>118.459255533372</v>
      </c>
      <c r="BK28" s="13" t="n">
        <f aca="false">BK22+BK23+BK24+BK25+BK26+BK27</f>
        <v>104.946354388022</v>
      </c>
      <c r="BL28" s="13" t="n">
        <f aca="false">BL22+BL23+BL24+BL25+BL26+BL27</f>
        <v>89.8957220653771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2719.73354191166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16.8741313960732</v>
      </c>
      <c r="P32" s="18" t="n">
        <f aca="false">Operations!P84</f>
        <v>50.6580821496292</v>
      </c>
      <c r="Q32" s="18" t="n">
        <f aca="false">Operations!Q84</f>
        <v>50.9232085375646</v>
      </c>
      <c r="R32" s="18" t="n">
        <f aca="false">Operations!R84</f>
        <v>51.1254441692925</v>
      </c>
      <c r="S32" s="18" t="n">
        <f aca="false">Operations!S84</f>
        <v>51.240586769193</v>
      </c>
      <c r="T32" s="18" t="n">
        <f aca="false">Operations!T84</f>
        <v>51.3161456420434</v>
      </c>
      <c r="U32" s="18" t="n">
        <f aca="false">Operations!U84</f>
        <v>51.5196064395441</v>
      </c>
      <c r="V32" s="18" t="n">
        <f aca="false">Operations!V84</f>
        <v>49.2713145195501</v>
      </c>
      <c r="W32" s="18" t="n">
        <f aca="false">Operations!W84</f>
        <v>51.8823241300972</v>
      </c>
      <c r="X32" s="18" t="n">
        <f aca="false">Operations!X84</f>
        <v>51.9716552696997</v>
      </c>
      <c r="Y32" s="18" t="n">
        <f aca="false">Operations!Y84</f>
        <v>52.1523714947775</v>
      </c>
      <c r="Z32" s="18" t="n">
        <f aca="false">Operations!Z84</f>
        <v>52.3438905099027</v>
      </c>
      <c r="AA32" s="18" t="n">
        <f aca="false">Operations!AA84</f>
        <v>52.5018703963153</v>
      </c>
      <c r="AB32" s="18" t="n">
        <f aca="false">Operations!AB84</f>
        <v>52.6929384646642</v>
      </c>
      <c r="AC32" s="18" t="n">
        <f aca="false">Operations!AC84</f>
        <v>53.0104603226708</v>
      </c>
      <c r="AD32" s="18" t="n">
        <f aca="false">Operations!AD84</f>
        <v>40.1717234888226</v>
      </c>
      <c r="AE32" s="18" t="n">
        <f aca="false">Operations!AE84</f>
        <v>53.540072591789</v>
      </c>
      <c r="AF32" s="18" t="n">
        <f aca="false">Operations!AF84</f>
        <v>53.4972214530195</v>
      </c>
      <c r="AG32" s="18" t="n">
        <f aca="false">Operations!AG84</f>
        <v>53.7500393838735</v>
      </c>
      <c r="AH32" s="18" t="n">
        <f aca="false">Operations!AH84</f>
        <v>54.0587132965794</v>
      </c>
      <c r="AI32" s="18" t="n">
        <f aca="false">Operations!AI84</f>
        <v>54.2251798893235</v>
      </c>
      <c r="AJ32" s="18" t="n">
        <f aca="false">Operations!AJ84</f>
        <v>54.3514452327217</v>
      </c>
      <c r="AK32" s="18" t="n">
        <f aca="false">Operations!AK84</f>
        <v>54.679537480653</v>
      </c>
      <c r="AL32" s="18" t="n">
        <f aca="false">Operations!AL84</f>
        <v>50.9846982451415</v>
      </c>
      <c r="AM32" s="18" t="n">
        <f aca="false">Operations!AM84</f>
        <v>55.2266948768797</v>
      </c>
      <c r="AN32" s="18" t="n">
        <f aca="false">Operations!AN84</f>
        <v>55.2088260648634</v>
      </c>
      <c r="AO32" s="18" t="n">
        <f aca="false">Operations!AO84</f>
        <v>55.4942975263817</v>
      </c>
      <c r="AP32" s="18" t="n">
        <f aca="false">Operations!AP84</f>
        <v>55.8344894858909</v>
      </c>
      <c r="AQ32" s="18" t="n">
        <f aca="false">Operations!AQ84</f>
        <v>56.0390883239402</v>
      </c>
      <c r="AR32" s="18" t="n">
        <f aca="false">Operations!AR84</f>
        <v>56.2068738914701</v>
      </c>
      <c r="AS32" s="18" t="n">
        <f aca="false">Operations!AS84</f>
        <v>56.575905688393</v>
      </c>
      <c r="AT32" s="18" t="n">
        <f aca="false">Operations!AT84</f>
        <v>42.3761184425965</v>
      </c>
      <c r="AU32" s="18" t="n">
        <f aca="false">Operations!AU84</f>
        <v>57.2675976467544</v>
      </c>
      <c r="AV32" s="18" t="n">
        <f aca="false">Operations!AV84</f>
        <v>57.4133094488844</v>
      </c>
      <c r="AW32" s="18" t="n">
        <f aca="false">Operations!AW84</f>
        <v>57.6461994166253</v>
      </c>
      <c r="AX32" s="18" t="n">
        <f aca="false">Operations!AX84</f>
        <v>57.8389879674355</v>
      </c>
      <c r="AY32" s="18" t="n">
        <f aca="false">Operations!AY84</f>
        <v>58.1454772758</v>
      </c>
      <c r="AZ32" s="18" t="n">
        <f aca="false">Operations!AZ84</f>
        <v>58.4737405312293</v>
      </c>
      <c r="BA32" s="18" t="n">
        <f aca="false">Operations!BA84</f>
        <v>58.8809610865984</v>
      </c>
      <c r="BB32" s="18" t="n">
        <f aca="false">Operations!BB84</f>
        <v>55.5419262387689</v>
      </c>
      <c r="BC32" s="18" t="n">
        <f aca="false">Operations!BC84</f>
        <v>59.6210700089557</v>
      </c>
      <c r="BD32" s="18" t="n">
        <f aca="false">Operations!BD84</f>
        <v>59.7584500445695</v>
      </c>
      <c r="BE32" s="18" t="n">
        <f aca="false">Operations!BE84</f>
        <v>60.0999143800698</v>
      </c>
      <c r="BF32" s="18" t="n">
        <f aca="false">Operations!BF84</f>
        <v>60.4581522875409</v>
      </c>
      <c r="BG32" s="18" t="n">
        <f aca="false">Operations!BG84</f>
        <v>60.8641568036052</v>
      </c>
      <c r="BH32" s="18" t="n">
        <f aca="false">Operations!BH84</f>
        <v>61.3358706951139</v>
      </c>
      <c r="BI32" s="18" t="n">
        <f aca="false">Operations!BI84</f>
        <v>61.7623988388032</v>
      </c>
      <c r="BJ32" s="18" t="n">
        <f aca="false">Operations!BJ84</f>
        <v>44.545050295981</v>
      </c>
      <c r="BK32" s="18" t="n">
        <f aca="false">Operations!BK84</f>
        <v>62.5527998008668</v>
      </c>
      <c r="BL32" s="18" t="n">
        <f aca="false">Operations!BL84</f>
        <v>62.7708381966165</v>
      </c>
      <c r="BM32" s="18" t="n">
        <f aca="false">Operations!BM84</f>
        <v>23.0516853740852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-347.330619714659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-0.119253558735222</v>
      </c>
      <c r="Z33" s="13" t="n">
        <f aca="false">-Tax!Z27</f>
        <v>-0.360330299703011</v>
      </c>
      <c r="AA33" s="13" t="n">
        <f aca="false">-Tax!AA27</f>
        <v>-0.362688218841561</v>
      </c>
      <c r="AB33" s="13" t="n">
        <f aca="false">-Tax!AB27</f>
        <v>-0.364938238741086</v>
      </c>
      <c r="AC33" s="13" t="n">
        <f aca="false">-Tax!AC27</f>
        <v>-0.366614477821428</v>
      </c>
      <c r="AD33" s="13" t="n">
        <f aca="false">-Tax!AD27</f>
        <v>-0.360581569238638</v>
      </c>
      <c r="AE33" s="13" t="n">
        <f aca="false">-Tax!AE27</f>
        <v>-0.370912153953016</v>
      </c>
      <c r="AF33" s="13" t="n">
        <f aca="false">-Tax!AF27</f>
        <v>-0.375445733315541</v>
      </c>
      <c r="AG33" s="13" t="n">
        <f aca="false">-Tax!AG27</f>
        <v>-0.377899107581401</v>
      </c>
      <c r="AH33" s="13" t="n">
        <f aca="false">-Tax!AH27</f>
        <v>-0.380013131434513</v>
      </c>
      <c r="AI33" s="13" t="n">
        <f aca="false">-Tax!AI27</f>
        <v>-0.383292779929835</v>
      </c>
      <c r="AJ33" s="13" t="n">
        <f aca="false">-Tax!AJ27</f>
        <v>-0.386999961222321</v>
      </c>
      <c r="AK33" s="13" t="n">
        <f aca="false">-Tax!AK27</f>
        <v>-0.389221816471203</v>
      </c>
      <c r="AL33" s="13" t="n">
        <f aca="false">-Tax!AL27</f>
        <v>-0.385045760669201</v>
      </c>
      <c r="AM33" s="13" t="n">
        <f aca="false">-Tax!AM27</f>
        <v>-3.85775553640999</v>
      </c>
      <c r="AN33" s="13" t="n">
        <f aca="false">-Tax!AN27</f>
        <v>-9.61193207810411</v>
      </c>
      <c r="AO33" s="13" t="n">
        <f aca="false">-Tax!AO27</f>
        <v>-10.1871606228743</v>
      </c>
      <c r="AP33" s="13" t="n">
        <f aca="false">-Tax!AP27</f>
        <v>-10.7270722435259</v>
      </c>
      <c r="AQ33" s="13" t="n">
        <f aca="false">-Tax!AQ27</f>
        <v>-10.7884518949407</v>
      </c>
      <c r="AR33" s="13" t="n">
        <f aca="false">-Tax!AR27</f>
        <v>-10.8387875651996</v>
      </c>
      <c r="AS33" s="13" t="n">
        <f aca="false">-Tax!AS27</f>
        <v>-10.9494971042765</v>
      </c>
      <c r="AT33" s="13" t="n">
        <f aca="false">-Tax!AT27</f>
        <v>-6.68956093053755</v>
      </c>
      <c r="AU33" s="13" t="n">
        <f aca="false">-Tax!AU27</f>
        <v>-11.1570046917849</v>
      </c>
      <c r="AV33" s="13" t="n">
        <f aca="false">-Tax!AV27</f>
        <v>-11.2007182324239</v>
      </c>
      <c r="AW33" s="13" t="n">
        <f aca="false">-Tax!AW27</f>
        <v>-11.2705852227462</v>
      </c>
      <c r="AX33" s="13" t="n">
        <f aca="false">-Tax!AX27</f>
        <v>-11.3284217879893</v>
      </c>
      <c r="AY33" s="13" t="n">
        <f aca="false">-Tax!AY27</f>
        <v>-11.4203685804986</v>
      </c>
      <c r="AZ33" s="13" t="n">
        <f aca="false">-Tax!AZ27</f>
        <v>-11.5188475571274</v>
      </c>
      <c r="BA33" s="13" t="n">
        <f aca="false">-Tax!BA27</f>
        <v>-11.6410137237381</v>
      </c>
      <c r="BB33" s="13" t="n">
        <f aca="false">-Tax!BB27</f>
        <v>-10.6393032693893</v>
      </c>
      <c r="BC33" s="13" t="n">
        <f aca="false">-Tax!BC27</f>
        <v>-13.7871480094947</v>
      </c>
      <c r="BD33" s="13" t="n">
        <f aca="false">-Tax!BD27</f>
        <v>-17.6765652382775</v>
      </c>
      <c r="BE33" s="13" t="n">
        <f aca="false">-Tax!BE27</f>
        <v>-17.7790045389276</v>
      </c>
      <c r="BF33" s="13" t="n">
        <f aca="false">-Tax!BF27</f>
        <v>-17.8864759111689</v>
      </c>
      <c r="BG33" s="13" t="n">
        <f aca="false">-Tax!BG27</f>
        <v>-18.0082772659882</v>
      </c>
      <c r="BH33" s="13" t="n">
        <f aca="false">-Tax!BH27</f>
        <v>-18.1497914334408</v>
      </c>
      <c r="BI33" s="13" t="n">
        <f aca="false">-Tax!BI27</f>
        <v>-18.2777498765476</v>
      </c>
      <c r="BJ33" s="13" t="n">
        <f aca="false">-Tax!BJ27</f>
        <v>-13.1125453137009</v>
      </c>
      <c r="BK33" s="13" t="n">
        <f aca="false">-Tax!BK27</f>
        <v>-18.5148701651666</v>
      </c>
      <c r="BL33" s="13" t="n">
        <f aca="false">-Tax!BL27</f>
        <v>-18.5802816838916</v>
      </c>
      <c r="BM33" s="13" t="n">
        <f aca="false">-Tax!BM27</f>
        <v>-6.74819242882997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-14.9072006025031</v>
      </c>
      <c r="P34" s="13" t="n">
        <f aca="false">-Operations!P96+Operations!P97</f>
        <v>0.0195043227863483</v>
      </c>
      <c r="Q34" s="13" t="n">
        <f aca="false">-Operations!Q96+Operations!Q97</f>
        <v>-0.306373269945631</v>
      </c>
      <c r="R34" s="13" t="n">
        <f aca="false">-Operations!R96+Operations!R97</f>
        <v>0.173493465841498</v>
      </c>
      <c r="S34" s="13" t="n">
        <f aca="false">-Operations!S96+Operations!S97</f>
        <v>-0.309198996165799</v>
      </c>
      <c r="T34" s="13" t="n">
        <f aca="false">-Operations!T96+Operations!T97</f>
        <v>0.176201266131699</v>
      </c>
      <c r="U34" s="13" t="n">
        <f aca="false">-Operations!U96+Operations!U97</f>
        <v>-0.236421319426473</v>
      </c>
      <c r="V34" s="13" t="n">
        <f aca="false">-Operations!V96+Operations!V97</f>
        <v>0.0920860587008168</v>
      </c>
      <c r="W34" s="13" t="n">
        <f aca="false">-Operations!W96+Operations!W97</f>
        <v>-0.318503220537524</v>
      </c>
      <c r="X34" s="13" t="n">
        <f aca="false">-Operations!X96+Operations!X97</f>
        <v>0.170962786563068</v>
      </c>
      <c r="Y34" s="13" t="n">
        <f aca="false">-Operations!Y96+Operations!Y97</f>
        <v>-0.327543097691812</v>
      </c>
      <c r="Z34" s="13" t="n">
        <f aca="false">-Operations!Z96+Operations!Z97</f>
        <v>0.167748477609814</v>
      </c>
      <c r="AA34" s="13" t="n">
        <f aca="false">-Operations!AA96+Operations!AA97</f>
        <v>-0.323702668684041</v>
      </c>
      <c r="AB34" s="13" t="n">
        <f aca="false">-Operations!AB96+Operations!AB97</f>
        <v>0.177279658391576</v>
      </c>
      <c r="AC34" s="13" t="n">
        <f aca="false">-Operations!AC96+Operations!AC97</f>
        <v>-0.254980171599126</v>
      </c>
      <c r="AD34" s="13" t="n">
        <f aca="false">-Operations!AD96+Operations!AD97</f>
        <v>0.433559633831393</v>
      </c>
      <c r="AE34" s="13" t="n">
        <f aca="false">-Operations!AE96+Operations!AE97</f>
        <v>-0.687476378913388</v>
      </c>
      <c r="AF34" s="13" t="n">
        <f aca="false">-Operations!AF96+Operations!AF97</f>
        <v>0.173951068375761</v>
      </c>
      <c r="AG34" s="13" t="n">
        <f aca="false">-Operations!AG96+Operations!AG97</f>
        <v>-0.347946958698302</v>
      </c>
      <c r="AH34" s="13" t="n">
        <f aca="false">-Operations!AH96+Operations!AH97</f>
        <v>0.16963858596797</v>
      </c>
      <c r="AI34" s="13" t="n">
        <f aca="false">-Operations!AI96+Operations!AI97</f>
        <v>-0.353304867684148</v>
      </c>
      <c r="AJ34" s="13" t="n">
        <f aca="false">-Operations!AJ96+Operations!AJ97</f>
        <v>0.170068330326714</v>
      </c>
      <c r="AK34" s="13" t="n">
        <f aca="false">-Operations!AK96+Operations!AK97</f>
        <v>-0.274358622145446</v>
      </c>
      <c r="AL34" s="13" t="n">
        <f aca="false">-Operations!AL96+Operations!AL97</f>
        <v>0.363268524250699</v>
      </c>
      <c r="AM34" s="13" t="n">
        <f aca="false">-Operations!AM96+Operations!AM97</f>
        <v>-0.64758827402019</v>
      </c>
      <c r="AN34" s="13" t="n">
        <f aca="false">-Operations!AN96+Operations!AN97</f>
        <v>0.167173179680713</v>
      </c>
      <c r="AO34" s="13" t="n">
        <f aca="false">-Operations!AO96+Operations!AO97</f>
        <v>-0.374500500229235</v>
      </c>
      <c r="AP34" s="13" t="n">
        <f aca="false">-Operations!AP96+Operations!AP97</f>
        <v>0.167579314444669</v>
      </c>
      <c r="AQ34" s="13" t="n">
        <f aca="false">-Operations!AQ96+Operations!AQ97</f>
        <v>-0.382561337086511</v>
      </c>
      <c r="AR34" s="13" t="n">
        <f aca="false">-Operations!AR96+Operations!AR97</f>
        <v>0.164622445571627</v>
      </c>
      <c r="AS34" s="13" t="n">
        <f aca="false">-Operations!AS96+Operations!AS97</f>
        <v>-0.298131979365202</v>
      </c>
      <c r="AT34" s="13" t="n">
        <f aca="false">-Operations!AT96+Operations!AT97</f>
        <v>0.225226826122562</v>
      </c>
      <c r="AU34" s="13" t="n">
        <f aca="false">-Operations!AU96+Operations!AU97</f>
        <v>-0.546286527680394</v>
      </c>
      <c r="AV34" s="13" t="n">
        <f aca="false">-Operations!AV96+Operations!AV97</f>
        <v>0.160491481233748</v>
      </c>
      <c r="AW34" s="13" t="n">
        <f aca="false">-Operations!AW96+Operations!AW97</f>
        <v>-0.408677902087479</v>
      </c>
      <c r="AX34" s="13" t="n">
        <f aca="false">-Operations!AX96+Operations!AX97</f>
        <v>0.158861875220573</v>
      </c>
      <c r="AY34" s="13" t="n">
        <f aca="false">-Operations!AY96+Operations!AY97</f>
        <v>-0.416763679816157</v>
      </c>
      <c r="AZ34" s="13" t="n">
        <f aca="false">-Operations!AZ96+Operations!AZ97</f>
        <v>0.161006619076957</v>
      </c>
      <c r="BA34" s="13" t="n">
        <f aca="false">-Operations!BA96+Operations!BA97</f>
        <v>-0.326992767827775</v>
      </c>
      <c r="BB34" s="13" t="n">
        <f aca="false">-Operations!BB96+Operations!BB97</f>
        <v>0.150005413049339</v>
      </c>
      <c r="BC34" s="13" t="n">
        <f aca="false">-Operations!BC96+Operations!BC97</f>
        <v>-0.518428257039446</v>
      </c>
      <c r="BD34" s="13" t="n">
        <f aca="false">-Operations!BD96+Operations!BD97</f>
        <v>0.14684662697633</v>
      </c>
      <c r="BE34" s="13" t="n">
        <f aca="false">-Operations!BE96+Operations!BE97</f>
        <v>-0.447669296995404</v>
      </c>
      <c r="BF34" s="13" t="n">
        <f aca="false">-Operations!BF96+Operations!BF97</f>
        <v>0.155359136948686</v>
      </c>
      <c r="BG34" s="13" t="n">
        <f aca="false">-Operations!BG96+Operations!BG97</f>
        <v>-0.455557617937934</v>
      </c>
      <c r="BH34" s="13" t="n">
        <f aca="false">-Operations!BH96+Operations!BH97</f>
        <v>0.160714739033089</v>
      </c>
      <c r="BI34" s="13" t="n">
        <f aca="false">-Operations!BI96+Operations!BI97</f>
        <v>-0.363834855163599</v>
      </c>
      <c r="BJ34" s="13" t="n">
        <f aca="false">-Operations!BJ96+Operations!BJ97</f>
        <v>0.291424093223895</v>
      </c>
      <c r="BK34" s="13" t="n">
        <f aca="false">-Operations!BK96+Operations!BK97</f>
        <v>-0.722008193750192</v>
      </c>
      <c r="BL34" s="13" t="n">
        <f aca="false">-Operations!BL96+Operations!BL97</f>
        <v>0.131164224534942</v>
      </c>
      <c r="BM34" s="13" t="n">
        <f aca="false">-Operations!BM96+Operations!BM97</f>
        <v>25.3777732090998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2377.752922197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1.96693079357017</v>
      </c>
      <c r="P36" s="13" t="n">
        <f aca="false">P32+P33+P34+P35</f>
        <v>50.2613181699607</v>
      </c>
      <c r="Q36" s="13" t="n">
        <f aca="false">Q32+Q33+Q34+Q35</f>
        <v>50.2005669651641</v>
      </c>
      <c r="R36" s="13" t="n">
        <f aca="false">R32+R33+R34+R35</f>
        <v>50.8826693326791</v>
      </c>
      <c r="S36" s="13" t="n">
        <f aca="false">S32+S33+S34+S35</f>
        <v>50.5151194705723</v>
      </c>
      <c r="T36" s="13" t="n">
        <f aca="false">T32+T33+T34+T35</f>
        <v>51.0760786057203</v>
      </c>
      <c r="U36" s="13" t="n">
        <f aca="false">U32+U33+U34+U35</f>
        <v>50.8669168176627</v>
      </c>
      <c r="V36" s="13" t="n">
        <f aca="false">V32+V33+V34+V35</f>
        <v>51.8610103929801</v>
      </c>
      <c r="W36" s="13" t="n">
        <f aca="false">W32+W33+W34+W35</f>
        <v>51.5638209095596</v>
      </c>
      <c r="X36" s="13" t="n">
        <f aca="false">X32+X33+X34+X35</f>
        <v>50.1698755126293</v>
      </c>
      <c r="Y36" s="13" t="n">
        <f aca="false">Y32+Y33+Y34+Y35</f>
        <v>49.732832294717</v>
      </c>
      <c r="Z36" s="13" t="n">
        <f aca="false">Z32+Z33+Z34+Z35</f>
        <v>50.178566144176</v>
      </c>
      <c r="AA36" s="13" t="n">
        <f aca="false">AA32+AA33+AA34+AA35</f>
        <v>49.8427369651562</v>
      </c>
      <c r="AB36" s="13" t="n">
        <f aca="false">AB32+AB33+AB34+AB35</f>
        <v>50.5325373406812</v>
      </c>
      <c r="AC36" s="13" t="n">
        <f aca="false">AC32+AC33+AC34+AC35</f>
        <v>50.4161231296168</v>
      </c>
      <c r="AD36" s="13" t="n">
        <f aca="false">AD32+AD33+AD34+AD35</f>
        <v>52.0811568152161</v>
      </c>
      <c r="AE36" s="13" t="n">
        <f aca="false">AE32+AE33+AE34+AE35</f>
        <v>52.4816840589226</v>
      </c>
      <c r="AF36" s="13" t="n">
        <f aca="false">AF32+AF33+AF34+AF35</f>
        <v>52.8002988331638</v>
      </c>
      <c r="AG36" s="13" t="n">
        <f aca="false">AG32+AG33+AG34+AG35</f>
        <v>52.5287653626779</v>
      </c>
      <c r="AH36" s="13" t="n">
        <f aca="false">AH32+AH33+AH34+AH35</f>
        <v>53.3529107961969</v>
      </c>
      <c r="AI36" s="13" t="n">
        <f aca="false">AI32+AI33+AI34+AI35</f>
        <v>52.9931542867936</v>
      </c>
      <c r="AJ36" s="13" t="n">
        <f aca="false">AJ32+AJ33+AJ34+AJ35</f>
        <v>53.6390856469102</v>
      </c>
      <c r="AK36" s="13" t="n">
        <f aca="false">AK32+AK33+AK34+AK35</f>
        <v>53.5205290871205</v>
      </c>
      <c r="AL36" s="13" t="n">
        <f aca="false">AL32+AL33+AL34+AL35</f>
        <v>53.9354887382185</v>
      </c>
      <c r="AM36" s="13" t="n">
        <f aca="false">AM32+AM33+AM34+AM35</f>
        <v>50.7213510664495</v>
      </c>
      <c r="AN36" s="13" t="n">
        <f aca="false">AN32+AN33+AN34+AN35</f>
        <v>43.416178080953</v>
      </c>
      <c r="AO36" s="13" t="n">
        <f aca="false">AO32+AO33+AO34+AO35</f>
        <v>42.5847473177912</v>
      </c>
      <c r="AP36" s="13" t="n">
        <f aca="false">AP32+AP33+AP34+AP35</f>
        <v>42.9271074713228</v>
      </c>
      <c r="AQ36" s="13" t="n">
        <f aca="false">AQ32+AQ33+AQ34+AQ35</f>
        <v>42.5201860064261</v>
      </c>
      <c r="AR36" s="13" t="n">
        <f aca="false">AR32+AR33+AR34+AR35</f>
        <v>43.1848196863551</v>
      </c>
      <c r="AS36" s="13" t="n">
        <f aca="false">AS32+AS33+AS34+AS35</f>
        <v>42.9803875192643</v>
      </c>
      <c r="AT36" s="13" t="n">
        <f aca="false">AT32+AT33+AT34+AT35</f>
        <v>49.9991188511031</v>
      </c>
      <c r="AU36" s="13" t="n">
        <f aca="false">AU32+AU33+AU34+AU35</f>
        <v>45.5643064272891</v>
      </c>
      <c r="AV36" s="13" t="n">
        <f aca="false">AV32+AV33+AV34+AV35</f>
        <v>45.7834416967709</v>
      </c>
      <c r="AW36" s="13" t="n">
        <f aca="false">AW32+AW33+AW34+AW35</f>
        <v>45.3772952908682</v>
      </c>
      <c r="AX36" s="13" t="n">
        <f aca="false">AX32+AX33+AX34+AX35</f>
        <v>46.0797870537435</v>
      </c>
      <c r="AY36" s="13" t="n">
        <f aca="false">AY32+AY33+AY34+AY35</f>
        <v>45.7187040145619</v>
      </c>
      <c r="AZ36" s="13" t="n">
        <f aca="false">AZ32+AZ33+AZ34+AZ35</f>
        <v>46.5262585922555</v>
      </c>
      <c r="BA36" s="13" t="n">
        <f aca="false">BA32+BA33+BA34+BA35</f>
        <v>46.3233135941091</v>
      </c>
      <c r="BB36" s="13" t="n">
        <f aca="false">BB32+BB33+BB34+BB35</f>
        <v>48.5904743879693</v>
      </c>
      <c r="BC36" s="13" t="n">
        <f aca="false">BC32+BC33+BC34+BC35</f>
        <v>45.3154937424216</v>
      </c>
      <c r="BD36" s="13" t="n">
        <f aca="false">BD32+BD33+BD34+BD35</f>
        <v>39.4343560721554</v>
      </c>
      <c r="BE36" s="13" t="n">
        <f aca="false">BE32+BE33+BE34+BE35</f>
        <v>39.0788651830339</v>
      </c>
      <c r="BF36" s="13" t="n">
        <f aca="false">BF32+BF33+BF34+BF35</f>
        <v>39.9326601522077</v>
      </c>
      <c r="BG36" s="13" t="n">
        <f aca="false">BG32+BG33+BG34+BG35</f>
        <v>39.6059465585661</v>
      </c>
      <c r="BH36" s="13" t="n">
        <f aca="false">BH32+BH33+BH34+BH35</f>
        <v>40.5524186395932</v>
      </c>
      <c r="BI36" s="13" t="n">
        <f aca="false">BI32+BI33+BI34+BI35</f>
        <v>40.326438745979</v>
      </c>
      <c r="BJ36" s="13" t="n">
        <f aca="false">BJ32+BJ33+BJ34+BJ35</f>
        <v>48.4901812421819</v>
      </c>
      <c r="BK36" s="13" t="n">
        <f aca="false">BK32+BK33+BK34+BK35</f>
        <v>43.3159214419499</v>
      </c>
      <c r="BL36" s="13" t="n">
        <f aca="false">BL32+BL33+BL34+BL35</f>
        <v>44.3217207372599</v>
      </c>
      <c r="BM36" s="13" t="n">
        <f aca="false">BM32+BM33+BM34+BM35</f>
        <v>41.681266154355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-843.989827984118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-37.2507915835958</v>
      </c>
      <c r="Q37" s="13" t="n">
        <f aca="false">-(Debt!Q114+Debt!Q110)</f>
        <v>-37.1619219243354</v>
      </c>
      <c r="R37" s="13" t="n">
        <f aca="false">-(Debt!R114+Debt!R110)</f>
        <v>-37.6298195237069</v>
      </c>
      <c r="S37" s="13" t="n">
        <f aca="false">-(Debt!S114+Debt!S110)</f>
        <v>-37.3383147560047</v>
      </c>
      <c r="T37" s="13" t="n">
        <f aca="false">-(Debt!T114+Debt!T110)</f>
        <v>-37.7563393082801</v>
      </c>
      <c r="U37" s="13" t="n">
        <f aca="false">-(Debt!U114+Debt!U110)</f>
        <v>-37.5758036908691</v>
      </c>
      <c r="V37" s="13" t="n">
        <f aca="false">-(Debt!V114+Debt!V110)</f>
        <v>-38.2932036675482</v>
      </c>
      <c r="W37" s="13" t="n">
        <f aca="false">-(Debt!W114+Debt!W110)</f>
        <v>-38.0284815131011</v>
      </c>
      <c r="X37" s="13" t="n">
        <f aca="false">-(Debt!X114+Debt!X110)</f>
        <v>-36.9318804370888</v>
      </c>
      <c r="Y37" s="13" t="n">
        <f aca="false">-(Debt!Y114+Debt!Y110)</f>
        <v>-36.5754415409828</v>
      </c>
      <c r="Z37" s="13" t="n">
        <f aca="false">-(Debt!Z114+Debt!Z110)</f>
        <v>-36.8765082066938</v>
      </c>
      <c r="AA37" s="13" t="n">
        <f aca="false">-(Debt!AA114+Debt!AA110)</f>
        <v>-36.5793973825574</v>
      </c>
      <c r="AB37" s="13" t="n">
        <f aca="false">-(Debt!AB114+Debt!AB110)</f>
        <v>-36.3771385277743</v>
      </c>
      <c r="AC37" s="13" t="n">
        <f aca="false">-(Debt!AC114+Debt!AC110)</f>
        <v>-35.4578512720366</v>
      </c>
      <c r="AD37" s="13" t="n">
        <f aca="false">-(Debt!AD114+Debt!AD110)</f>
        <v>-35.9778630320282</v>
      </c>
      <c r="AE37" s="13" t="n">
        <f aca="false">-(Debt!AE114+Debt!AE110)</f>
        <v>-35.002601588353</v>
      </c>
      <c r="AF37" s="13" t="n">
        <f aca="false">-(Debt!AF114+Debt!AF110)</f>
        <v>-33.8705356289784</v>
      </c>
      <c r="AG37" s="13" t="n">
        <f aca="false">-(Debt!AG114+Debt!AG110)</f>
        <v>-32.1180449513254</v>
      </c>
      <c r="AH37" s="13" t="n">
        <f aca="false">-(Debt!AH114+Debt!AH110)</f>
        <v>-30.7515884914132</v>
      </c>
      <c r="AI37" s="13" t="n">
        <f aca="false">-(Debt!AI114+Debt!AI110)</f>
        <v>-28.3118392325224</v>
      </c>
      <c r="AJ37" s="13" t="n">
        <f aca="false">-(Debt!AJ114+Debt!AJ110)</f>
        <v>-25.7879881879066</v>
      </c>
      <c r="AK37" s="13" t="n">
        <f aca="false">-(Debt!AK114+Debt!AK110)</f>
        <v>-21.8612135414036</v>
      </c>
      <c r="AL37" s="13" t="n">
        <f aca="false">-(Debt!AL114+Debt!AL110)</f>
        <v>-21.8401800128756</v>
      </c>
      <c r="AM37" s="13" t="n">
        <f aca="false">-(Debt!AM114+Debt!AM110)</f>
        <v>-21.772130240572</v>
      </c>
      <c r="AN37" s="13" t="n">
        <f aca="false">-(Debt!AN114+Debt!AN110)</f>
        <v>-18.835310412986</v>
      </c>
      <c r="AO37" s="13" t="n">
        <f aca="false">-(Debt!AO114+Debt!AO110)</f>
        <v>-18.027639329178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-101.993117578772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-6.41637935631897</v>
      </c>
      <c r="AB43" s="13" t="n">
        <f aca="false">-(Waterfall!AB28+Waterfall!AB29)</f>
        <v>-7.46833516192671</v>
      </c>
      <c r="AC43" s="13" t="n">
        <f aca="false">-(Waterfall!AC28+Waterfall!AC29)</f>
        <v>-7.19204107679818</v>
      </c>
      <c r="AD43" s="13" t="n">
        <f aca="false">-(Waterfall!AD28+Waterfall!AD29)</f>
        <v>-8.43382353347502</v>
      </c>
      <c r="AE43" s="13" t="n">
        <f aca="false">-(Waterfall!AE28+Waterfall!AE29)</f>
        <v>-9.20852783510016</v>
      </c>
      <c r="AF43" s="13" t="n">
        <f aca="false">-(Waterfall!AF28+Waterfall!AF29)</f>
        <v>-10.212313477716</v>
      </c>
      <c r="AG43" s="13" t="n">
        <f aca="false">-(Waterfall!AG28+Waterfall!AG29)</f>
        <v>-10.7526853116107</v>
      </c>
      <c r="AH43" s="13" t="n">
        <f aca="false">-(Waterfall!AH28+Waterfall!AH29)</f>
        <v>-12.2827990413503</v>
      </c>
      <c r="AI43" s="13" t="n">
        <f aca="false">-(Waterfall!AI28+Waterfall!AI29)</f>
        <v>-13.3071584587612</v>
      </c>
      <c r="AJ43" s="13" t="n">
        <f aca="false">-(Waterfall!AJ28+Waterfall!AJ29)</f>
        <v>-15.3734501609669</v>
      </c>
      <c r="AK43" s="13" t="n">
        <f aca="false">-(Waterfall!AK28+Waterfall!AK29)</f>
        <v>-1.34560416474781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-394.430498554884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-15.0614308921943</v>
      </c>
      <c r="Q44" s="13" t="n">
        <f aca="false">-(Waterfall!Q34+Waterfall!Q35)</f>
        <v>-12.5707474414572</v>
      </c>
      <c r="R44" s="13" t="n">
        <f aca="false">-(Waterfall!R34+Waterfall!R35)</f>
        <v>-13.5443545766744</v>
      </c>
      <c r="S44" s="13" t="n">
        <f aca="false">-(Waterfall!S34+Waterfall!S35)</f>
        <v>-12.7587801622922</v>
      </c>
      <c r="T44" s="13" t="n">
        <f aca="false">-(Waterfall!T34+Waterfall!T35)</f>
        <v>-13.5002749148511</v>
      </c>
      <c r="U44" s="13" t="n">
        <f aca="false">-(Waterfall!U34+Waterfall!U35)</f>
        <v>-12.5737131501145</v>
      </c>
      <c r="V44" s="13" t="n">
        <f aca="false">-(Waterfall!V34+Waterfall!V35)</f>
        <v>-13.832528879879</v>
      </c>
      <c r="W44" s="13" t="n">
        <f aca="false">-(Waterfall!W34+Waterfall!W35)</f>
        <v>-14.6319404724708</v>
      </c>
      <c r="X44" s="13" t="n">
        <f aca="false">-(Waterfall!X34+Waterfall!X35)</f>
        <v>-13.5944339716465</v>
      </c>
      <c r="Y44" s="13" t="n">
        <f aca="false">-(Waterfall!Y34+Waterfall!Y35)</f>
        <v>-12.8563240880232</v>
      </c>
      <c r="Z44" s="13" t="n">
        <f aca="false">-(Waterfall!Z34+Waterfall!Z35)</f>
        <v>-13.5991687616186</v>
      </c>
      <c r="AA44" s="13" t="n">
        <f aca="false">-(Waterfall!AA34+Waterfall!AA35)</f>
        <v>-6.41637935631897</v>
      </c>
      <c r="AB44" s="13" t="n">
        <f aca="false">-(Waterfall!AB34+Waterfall!AB35)</f>
        <v>-7.46833516192671</v>
      </c>
      <c r="AC44" s="13" t="n">
        <f aca="false">-(Waterfall!AC34+Waterfall!AC35)</f>
        <v>-7.19204107679818</v>
      </c>
      <c r="AD44" s="13" t="n">
        <f aca="false">-(Waterfall!AD34+Waterfall!AD35)</f>
        <v>-8.43382353347502</v>
      </c>
      <c r="AE44" s="13" t="n">
        <f aca="false">-(Waterfall!AE34+Waterfall!AE35)</f>
        <v>-9.20852783510016</v>
      </c>
      <c r="AF44" s="13" t="n">
        <f aca="false">-(Waterfall!AF34+Waterfall!AF35)</f>
        <v>-10.212313477716</v>
      </c>
      <c r="AG44" s="13" t="n">
        <f aca="false">-(Waterfall!AG34+Waterfall!AG35)</f>
        <v>-10.7526853116107</v>
      </c>
      <c r="AH44" s="13" t="n">
        <f aca="false">-(Waterfall!AH34+Waterfall!AH35)</f>
        <v>-12.2827990413503</v>
      </c>
      <c r="AI44" s="13" t="n">
        <f aca="false">-(Waterfall!AI34+Waterfall!AI35)</f>
        <v>-13.3071584587612</v>
      </c>
      <c r="AJ44" s="13" t="n">
        <f aca="false">-(Waterfall!AJ34+Waterfall!AJ35)</f>
        <v>-15.3734501609669</v>
      </c>
      <c r="AK44" s="13" t="n">
        <f aca="false">-(Waterfall!AK34+Waterfall!AK35)</f>
        <v>-33.7594288113476</v>
      </c>
      <c r="AL44" s="13" t="n">
        <f aca="false">-(Waterfall!AL34+Waterfall!AL35)</f>
        <v>-32.5954365493415</v>
      </c>
      <c r="AM44" s="13" t="n">
        <f aca="false">-(Waterfall!AM34+Waterfall!AM35)</f>
        <v>-31.8860406534634</v>
      </c>
      <c r="AN44" s="13" t="n">
        <f aca="false">-(Waterfall!AN34+Waterfall!AN35)</f>
        <v>-25.388538751775</v>
      </c>
      <c r="AO44" s="13" t="n">
        <f aca="false">-(Waterfall!AO34+Waterfall!AO35)</f>
        <v>-21.6298430637105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-1074.58537351582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-20.9549042540808</v>
      </c>
      <c r="AP45" s="13" t="n">
        <f aca="false">-Waterfall!AP41</f>
        <v>-42.9271074713228</v>
      </c>
      <c r="AQ45" s="13" t="n">
        <f aca="false">-Waterfall!AQ41</f>
        <v>-42.5201860064261</v>
      </c>
      <c r="AR45" s="13" t="n">
        <f aca="false">-Waterfall!AR41</f>
        <v>-43.1848196863551</v>
      </c>
      <c r="AS45" s="13" t="n">
        <f aca="false">-Waterfall!AS41</f>
        <v>-42.9803875192643</v>
      </c>
      <c r="AT45" s="13" t="n">
        <f aca="false">-Waterfall!AT41</f>
        <v>-49.9991188511031</v>
      </c>
      <c r="AU45" s="13" t="n">
        <f aca="false">-Waterfall!AU41</f>
        <v>-45.5643064272891</v>
      </c>
      <c r="AV45" s="13" t="n">
        <f aca="false">-Waterfall!AV41</f>
        <v>-45.7834416967709</v>
      </c>
      <c r="AW45" s="13" t="n">
        <f aca="false">-Waterfall!AW41</f>
        <v>-45.3772952908682</v>
      </c>
      <c r="AX45" s="13" t="n">
        <f aca="false">-Waterfall!AX41</f>
        <v>-46.0797870537435</v>
      </c>
      <c r="AY45" s="13" t="n">
        <f aca="false">-Waterfall!AY41</f>
        <v>-45.7187040145619</v>
      </c>
      <c r="AZ45" s="13" t="n">
        <f aca="false">-Waterfall!AZ41</f>
        <v>-46.5262585922555</v>
      </c>
      <c r="BA45" s="13" t="n">
        <f aca="false">-Waterfall!BA41</f>
        <v>-45.8283452075004</v>
      </c>
      <c r="BB45" s="13" t="n">
        <f aca="false">-Waterfall!BB41</f>
        <v>-47.0893241333249</v>
      </c>
      <c r="BC45" s="13" t="n">
        <f aca="false">-Waterfall!BC41</f>
        <v>-43.7979206690794</v>
      </c>
      <c r="BD45" s="13" t="n">
        <f aca="false">-Waterfall!BD41</f>
        <v>-37.9001805119088</v>
      </c>
      <c r="BE45" s="13" t="n">
        <f aca="false">-Waterfall!BE41</f>
        <v>-37.5279055020781</v>
      </c>
      <c r="BF45" s="13" t="n">
        <f aca="false">-Waterfall!BF41</f>
        <v>-38.3647327296357</v>
      </c>
      <c r="BG45" s="13" t="n">
        <f aca="false">-Waterfall!BG41</f>
        <v>-38.0208657646293</v>
      </c>
      <c r="BH45" s="13" t="n">
        <f aca="false">-Waterfall!BH41</f>
        <v>-38.9499968137246</v>
      </c>
      <c r="BI45" s="13" t="n">
        <f aca="false">-Waterfall!BI41</f>
        <v>-38.7064861745756</v>
      </c>
      <c r="BJ45" s="13" t="n">
        <f aca="false">-Waterfall!BJ41</f>
        <v>-46.8525061361442</v>
      </c>
      <c r="BK45" s="13" t="n">
        <f aca="false">-Waterfall!BK41</f>
        <v>-41.6603299139757</v>
      </c>
      <c r="BL45" s="13" t="n">
        <f aca="false">-Waterfall!BL41</f>
        <v>-42.6480167788894</v>
      </c>
      <c r="BM45" s="13" t="n">
        <f aca="false">-Waterfall!BM41</f>
        <v>-59.622446316316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39.212826230165</v>
      </c>
      <c r="P49" s="13" t="n">
        <f aca="false">P36+P37+P38+P39+P40+P41+P42+P43+P44+P45+P46+P47+P48</f>
        <v>-1.63463600337464</v>
      </c>
      <c r="Q49" s="13" t="n">
        <f aca="false">Q36+Q37+Q38+Q39+Q40+Q41+Q42+Q43+Q44+Q45+Q46+Q47+Q48</f>
        <v>0.884165901826293</v>
      </c>
      <c r="R49" s="13" t="n">
        <f aca="false">R36+R37+R38+R39+R40+R41+R42+R43+R44+R45+R46+R47+R48</f>
        <v>0.124763534752681</v>
      </c>
      <c r="S49" s="13" t="n">
        <f aca="false">S36+S37+S38+S39+S40+S41+S42+S43+S44+S45+S46+S47+S48</f>
        <v>0.834292854730279</v>
      </c>
      <c r="T49" s="13" t="n">
        <f aca="false">T36+T37+T38+T39+T40+T41+T42+T43+T44+T45+T46+T47+T48</f>
        <v>0.235732685043857</v>
      </c>
      <c r="U49" s="13" t="n">
        <f aca="false">U36+U37+U38+U39+U40+U41+U42+U43+U44+U45+U46+U47+U48</f>
        <v>1.13366827913399</v>
      </c>
      <c r="V49" s="13" t="n">
        <f aca="false">V36+V37+V38+V39+V40+V41+V42+V43+V44+V45+V46+V47+V48</f>
        <v>-2.76233196917632</v>
      </c>
      <c r="W49" s="13" t="n">
        <f aca="false">W36+W37+W38+W39+W40+W41+W42+W43+W44+W45+W46+W47+W48</f>
        <v>-1.09660107601226</v>
      </c>
      <c r="X49" s="13" t="n">
        <f aca="false">X36+X37+X38+X39+X40+X41+X42+X43+X44+X45+X46+X47+X48</f>
        <v>1.61630364752745</v>
      </c>
      <c r="Y49" s="13" t="n">
        <f aca="false">Y36+Y37+Y38+Y39+Y40+Y41+Y42+Y43+Y44+Y45+Y46+Y47+Y48</f>
        <v>2.27380920934443</v>
      </c>
      <c r="Z49" s="13" t="n">
        <f aca="false">Z36+Z37+Z38+Z39+Z40+Z41+Z42+Z43+Z44+Z45+Z46+Z47+Z48</f>
        <v>1.67563171949707</v>
      </c>
      <c r="AA49" s="13" t="n">
        <f aca="false">AA36+AA37+AA38+AA39+AA40+AA41+AA42+AA43+AA44+AA45+AA46+AA47+AA48</f>
        <v>2.40332341359435</v>
      </c>
      <c r="AB49" s="13" t="n">
        <f aca="false">AB36+AB37+AB38+AB39+AB40+AB41+AB42+AB43+AB44+AB45+AB46+AB47+AB48</f>
        <v>1.191471032687</v>
      </c>
      <c r="AC49" s="13" t="n">
        <f aca="false">AC36+AC37+AC38+AC39+AC40+AC41+AC42+AC43+AC44+AC45+AC46+AC47+AC48</f>
        <v>2.54693224761734</v>
      </c>
      <c r="AD49" s="13" t="n">
        <f aca="false">AD36+AD37+AD38+AD39+AD40+AD41+AD42+AD43+AD44+AD45+AD46+AD47+AD48</f>
        <v>-12.6008085455628</v>
      </c>
      <c r="AE49" s="13" t="n">
        <f aca="false">AE36+AE37+AE38+AE39+AE40+AE41+AE42+AE43+AE44+AE45+AE46+AE47+AE48</f>
        <v>-0.937973199630754</v>
      </c>
      <c r="AF49" s="13" t="n">
        <f aca="false">AF36+AF37+AF38+AF39+AF40+AF41+AF42+AF43+AF44+AF45+AF46+AF47+AF48</f>
        <v>-0.999435796330628</v>
      </c>
      <c r="AG49" s="13" t="n">
        <f aca="false">AG36+AG37+AG38+AG39+AG40+AG41+AG42+AG43+AG44+AG45+AG46+AG47+AG48</f>
        <v>-0.599222256953025</v>
      </c>
      <c r="AH49" s="13" t="n">
        <f aca="false">AH36+AH37+AH38+AH39+AH40+AH41+AH42+AH43+AH44+AH45+AH46+AH47+AH48</f>
        <v>-1.46884782300093</v>
      </c>
      <c r="AI49" s="13" t="n">
        <f aca="false">AI36+AI37+AI38+AI39+AI40+AI41+AI42+AI43+AI44+AI45+AI46+AI47+AI48</f>
        <v>-1.43757390833528</v>
      </c>
      <c r="AJ49" s="13" t="n">
        <f aca="false">AJ36+AJ37+AJ38+AJ39+AJ40+AJ41+AJ42+AJ43+AJ44+AJ45+AJ46+AJ47+AJ48</f>
        <v>-2.40037490801438</v>
      </c>
      <c r="AK49" s="13" t="n">
        <f aca="false">AK36+AK37+AK38+AK39+AK40+AK41+AK42+AK43+AK44+AK45+AK46+AK47+AK48</f>
        <v>-2.9502894754626</v>
      </c>
      <c r="AL49" s="13" t="n">
        <f aca="false">AL36+AL37+AL38+AL39+AL40+AL41+AL42+AL43+AL44+AL45+AL46+AL47+AL48</f>
        <v>-3.47269555349411</v>
      </c>
      <c r="AM49" s="13" t="n">
        <f aca="false">AM36+AM37+AM38+AM39+AM40+AM41+AM42+AM43+AM44+AM45+AM46+AM47+AM48</f>
        <v>-2.93681982758593</v>
      </c>
      <c r="AN49" s="13" t="n">
        <f aca="false">AN36+AN37+AN38+AN39+AN40+AN41+AN42+AN43+AN44+AN45+AN46+AN47+AN48</f>
        <v>1.54021800167892</v>
      </c>
      <c r="AO49" s="13" t="n">
        <f aca="false">AO36+AO37+AO38+AO39+AO40+AO41+AO42+AO43+AO44+AO45+AO46+AO47+AO48</f>
        <v>-15.6797502436911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0.00489614700104823</v>
      </c>
      <c r="P50" s="13" t="n">
        <f aca="false">Reserves!P11-Reserves!P10-Reserves!P12</f>
        <v>-0.0888696592603822</v>
      </c>
      <c r="Q50" s="13" t="n">
        <f aca="false">Reserves!Q11-Reserves!Q10-Reserves!Q12</f>
        <v>0.467897599371433</v>
      </c>
      <c r="R50" s="13" t="n">
        <f aca="false">Reserves!R11-Reserves!R10-Reserves!R12</f>
        <v>-0.291504767702179</v>
      </c>
      <c r="S50" s="13" t="n">
        <f aca="false">Reserves!S11-Reserves!S10-Reserves!S12</f>
        <v>0.418024552275419</v>
      </c>
      <c r="T50" s="13" t="n">
        <f aca="false">Reserves!T11-Reserves!T10-Reserves!T12</f>
        <v>-0.180535617411003</v>
      </c>
      <c r="U50" s="13" t="n">
        <f aca="false">Reserves!U11-Reserves!U10-Reserves!U12</f>
        <v>0.717399976679126</v>
      </c>
      <c r="V50" s="13" t="n">
        <f aca="false">Reserves!V11-Reserves!V10-Reserves!V12</f>
        <v>-0.264722154447156</v>
      </c>
      <c r="W50" s="13" t="n">
        <f aca="false">Reserves!W11-Reserves!W10-Reserves!W12</f>
        <v>-1.09660107601226</v>
      </c>
      <c r="X50" s="13" t="n">
        <f aca="false">Reserves!X11-Reserves!X10-Reserves!X12</f>
        <v>-0.356438896106006</v>
      </c>
      <c r="Y50" s="13" t="n">
        <f aca="false">Reserves!Y11-Reserves!Y10-Reserves!Y12</f>
        <v>0.30106666571097</v>
      </c>
      <c r="Z50" s="13" t="n">
        <f aca="false">Reserves!Z11-Reserves!Z10-Reserves!Z12</f>
        <v>-0.297110824136389</v>
      </c>
      <c r="AA50" s="13" t="n">
        <f aca="false">Reserves!AA11-Reserves!AA10-Reserves!AA12</f>
        <v>0.430580869960892</v>
      </c>
      <c r="AB50" s="13" t="n">
        <f aca="false">Reserves!AB11-Reserves!AB10-Reserves!AB12</f>
        <v>-0.781271510946461</v>
      </c>
      <c r="AC50" s="13" t="n">
        <f aca="false">Reserves!AC11-Reserves!AC10-Reserves!AC12</f>
        <v>0.574189703983876</v>
      </c>
      <c r="AD50" s="13" t="n">
        <f aca="false">Reserves!AD11-Reserves!AD10-Reserves!AD12</f>
        <v>-0.764353283762063</v>
      </c>
      <c r="AE50" s="13" t="n">
        <f aca="false">Reserves!AE11-Reserves!AE10-Reserves!AE12</f>
        <v>-0.937973199630754</v>
      </c>
      <c r="AF50" s="13" t="n">
        <f aca="false">Reserves!AF11-Reserves!AF10-Reserves!AF12</f>
        <v>-1.49486375124654</v>
      </c>
      <c r="AG50" s="13" t="n">
        <f aca="false">Reserves!AG11-Reserves!AG10-Reserves!AG12</f>
        <v>-1.09465021186894</v>
      </c>
      <c r="AH50" s="13" t="n">
        <f aca="false">Reserves!AH11-Reserves!AH10-Reserves!AH12</f>
        <v>-1.96427577791684</v>
      </c>
      <c r="AI50" s="13" t="n">
        <f aca="false">Reserves!AI11-Reserves!AI10-Reserves!AI12</f>
        <v>-1.93300186325119</v>
      </c>
      <c r="AJ50" s="13" t="n">
        <f aca="false">Reserves!AJ11-Reserves!AJ10-Reserves!AJ12</f>
        <v>-2.89580286293029</v>
      </c>
      <c r="AK50" s="13" t="n">
        <f aca="false">Reserves!AK11-Reserves!AK10-Reserves!AK12</f>
        <v>-3.44571743037851</v>
      </c>
      <c r="AL50" s="13" t="n">
        <f aca="false">Reserves!AL11-Reserves!AL10-Reserves!AL12</f>
        <v>-0.500127823998621</v>
      </c>
      <c r="AM50" s="13" t="n">
        <f aca="false">Reserves!AM11-Reserves!AM10-Reserves!AM12</f>
        <v>-2.93681982758593</v>
      </c>
      <c r="AN50" s="13" t="n">
        <f aca="false">Reserves!AN11-Reserves!AN10-Reserves!AN12</f>
        <v>-0.807671083808025</v>
      </c>
      <c r="AO50" s="13" t="n">
        <f aca="false">Reserves!AO11-Reserves!AO10-Reserves!AO12</f>
        <v>-18.027639329178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39.212826230165</v>
      </c>
      <c r="P51" s="13" t="n">
        <f aca="false">P17-O17</f>
        <v>-1.63463600337464</v>
      </c>
      <c r="Q51" s="13" t="n">
        <f aca="false">Q17-P17</f>
        <v>0.884165901826293</v>
      </c>
      <c r="R51" s="13" t="n">
        <f aca="false">R17-Q17</f>
        <v>0.124763534752681</v>
      </c>
      <c r="S51" s="13" t="n">
        <f aca="false">S17-R17</f>
        <v>0.834292854730279</v>
      </c>
      <c r="T51" s="13" t="n">
        <f aca="false">T17-S17</f>
        <v>0.235732685043857</v>
      </c>
      <c r="U51" s="13" t="n">
        <f aca="false">U17-T17</f>
        <v>1.13366827913399</v>
      </c>
      <c r="V51" s="13" t="n">
        <f aca="false">V17-U17</f>
        <v>-2.76233196917632</v>
      </c>
      <c r="W51" s="13" t="n">
        <f aca="false">W17-V17</f>
        <v>-1.09660107601226</v>
      </c>
      <c r="X51" s="13" t="n">
        <f aca="false">X17-W17</f>
        <v>1.61630364752745</v>
      </c>
      <c r="Y51" s="13" t="n">
        <f aca="false">Y17-X17</f>
        <v>2.27380920934444</v>
      </c>
      <c r="Z51" s="13" t="n">
        <f aca="false">Z17-Y17</f>
        <v>1.67563171949707</v>
      </c>
      <c r="AA51" s="13" t="n">
        <f aca="false">AA17-Z17</f>
        <v>2.40332341359435</v>
      </c>
      <c r="AB51" s="13" t="n">
        <f aca="false">AB17-AA17</f>
        <v>1.191471032687</v>
      </c>
      <c r="AC51" s="13" t="n">
        <f aca="false">AC17-AB17</f>
        <v>2.54693224761733</v>
      </c>
      <c r="AD51" s="13" t="n">
        <f aca="false">AD17-AC17</f>
        <v>-12.6008085455628</v>
      </c>
      <c r="AE51" s="13" t="n">
        <f aca="false">AE17-AD17</f>
        <v>-0.937973199630754</v>
      </c>
      <c r="AF51" s="13" t="n">
        <f aca="false">AF17-AE17</f>
        <v>-0.99943579633063</v>
      </c>
      <c r="AG51" s="13" t="n">
        <f aca="false">AG17-AF17</f>
        <v>-0.59922225695302</v>
      </c>
      <c r="AH51" s="13" t="n">
        <f aca="false">AH17-AG17</f>
        <v>-1.46884782300093</v>
      </c>
      <c r="AI51" s="13" t="n">
        <f aca="false">AI17-AH17</f>
        <v>-1.43757390833527</v>
      </c>
      <c r="AJ51" s="13" t="n">
        <f aca="false">AJ17-AI17</f>
        <v>-2.40037490801438</v>
      </c>
      <c r="AK51" s="13" t="n">
        <f aca="false">AK17-AJ17</f>
        <v>-2.9502894754626</v>
      </c>
      <c r="AL51" s="13" t="n">
        <f aca="false">AL17-AK17</f>
        <v>-3.4726955534941</v>
      </c>
      <c r="AM51" s="13" t="n">
        <f aca="false">AM17-AL17</f>
        <v>-2.93681982758593</v>
      </c>
      <c r="AN51" s="13" t="n">
        <f aca="false">AN17-AM17</f>
        <v>1.54021800167892</v>
      </c>
      <c r="AO51" s="13" t="n">
        <f aca="false">AO17-AN17</f>
        <v>-15.6797502436911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0.0343567621970951</v>
      </c>
      <c r="Q7" s="16" t="n">
        <f aca="false">IF(Debt!Q115&gt;Inputs!$F$253,Debt!Q112/Debt!Q115,0)</f>
        <v>0.0340871997155219</v>
      </c>
      <c r="R7" s="16" t="n">
        <f aca="false">IF(Debt!R115&gt;Inputs!$F$253,Debt!R112/Debt!R115,0)</f>
        <v>0.0345307062310715</v>
      </c>
      <c r="S7" s="16" t="n">
        <f aca="false">IF(Debt!S115&gt;Inputs!$F$253,Debt!S112/Debt!S115,0)</f>
        <v>0.0342422578183756</v>
      </c>
      <c r="T7" s="16" t="n">
        <f aca="false">IF(Debt!T115&gt;Inputs!$F$253,Debt!T112/Debt!T115,0)</f>
        <v>0.034685927848448</v>
      </c>
      <c r="U7" s="16" t="n">
        <f aca="false">IF(Debt!U115&gt;Inputs!$F$253,Debt!U112/Debt!U115,0)</f>
        <v>0.0345053017203732</v>
      </c>
      <c r="V7" s="16" t="n">
        <f aca="false">IF(Debt!V115&gt;Inputs!$F$253,Debt!V112/Debt!V115,0)</f>
        <v>0.0348236183856927</v>
      </c>
      <c r="W7" s="16" t="n">
        <f aca="false">IF(Debt!W115&gt;Inputs!$F$253,Debt!W112/Debt!W115,0)</f>
        <v>0.0345092490084999</v>
      </c>
      <c r="X7" s="16" t="n">
        <f aca="false">IF(Debt!X115&gt;Inputs!$F$253,Debt!X112/Debt!X115,0)</f>
        <v>0.0349474040391478</v>
      </c>
      <c r="Y7" s="16" t="n">
        <f aca="false">IF(Debt!Y115&gt;Inputs!$F$253,Debt!Y112/Debt!Y115,0)</f>
        <v>0.0357562941508915</v>
      </c>
      <c r="Z7" s="16" t="n">
        <f aca="false">IF(Debt!Z115&gt;Inputs!$F$253,Debt!Z112/Debt!Z115,0)</f>
        <v>0.0362404618995612</v>
      </c>
      <c r="AA7" s="16" t="n">
        <f aca="false">IF(Debt!AA115&gt;Inputs!$F$253,Debt!AA112/Debt!AA115,0)</f>
        <v>0.0359260542796001</v>
      </c>
      <c r="AB7" s="16" t="n">
        <f aca="false">IF(Debt!AB115&gt;Inputs!$F$253,Debt!AB112/Debt!AB115,0)</f>
        <v>0.036209741023265</v>
      </c>
      <c r="AC7" s="16" t="n">
        <f aca="false">IF(Debt!AC115&gt;Inputs!$F$253,Debt!AC112/Debt!AC115,0)</f>
        <v>0.0357770675029245</v>
      </c>
      <c r="AD7" s="16" t="n">
        <f aca="false">IF(Debt!AD115&gt;Inputs!$F$253,Debt!AD112/Debt!AD115,0)</f>
        <v>0.035847523385379</v>
      </c>
      <c r="AE7" s="16" t="n">
        <f aca="false">IF(Debt!AE115&gt;Inputs!$F$253,Debt!AE112/Debt!AE115,0)</f>
        <v>0.0351842010398712</v>
      </c>
      <c r="AF7" s="16" t="n">
        <f aca="false">IF(Debt!AF115&gt;Inputs!$F$253,Debt!AF112/Debt!AF115,0)</f>
        <v>0.0351655169098024</v>
      </c>
      <c r="AG7" s="16" t="n">
        <f aca="false">IF(Debt!AG115&gt;Inputs!$F$253,Debt!AG112/Debt!AG115,0)</f>
        <v>0.0351748948201245</v>
      </c>
      <c r="AH7" s="16" t="n">
        <f aca="false">IF(Debt!AH115&gt;Inputs!$F$253,Debt!AH112/Debt!AH115,0)</f>
        <v>0.0347404867417633</v>
      </c>
      <c r="AI7" s="16" t="n">
        <f aca="false">IF(Debt!AI115&gt;Inputs!$F$253,Debt!AI112/Debt!AI115,0)</f>
        <v>0.0332585729448473</v>
      </c>
      <c r="AJ7" s="16" t="n">
        <f aca="false">IF(Debt!AJ115&gt;Inputs!$F$253,Debt!AJ112/Debt!AJ115,0)</f>
        <v>0.0317646225396507</v>
      </c>
      <c r="AK7" s="16" t="n">
        <f aca="false">IF(Debt!AK115&gt;Inputs!$F$253,Debt!AK112/Debt!AK115,0)</f>
        <v>0.0284688758130481</v>
      </c>
      <c r="AL7" s="16" t="n">
        <f aca="false">IF(Debt!AL115&gt;Inputs!$F$253,Debt!AL112/Debt!AL115,0)</f>
        <v>0.0281463597631332</v>
      </c>
      <c r="AM7" s="16" t="n">
        <f aca="false">IF(Debt!AM115&gt;Inputs!$F$253,Debt!AM112/Debt!AM115,0)</f>
        <v>0.0279563517746599</v>
      </c>
      <c r="AN7" s="16" t="n">
        <f aca="false">IF(Debt!AN115&gt;Inputs!$F$253,Debt!AN112/Debt!AN115,0)</f>
        <v>0.0278931342386715</v>
      </c>
      <c r="AO7" s="16" t="n">
        <f aca="false">IF(Debt!AO115&gt;Inputs!$F$253,Debt!AO112/Debt!AO115,0)</f>
        <v>0.0277280126807082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0.0277280126807082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0.0277280126807082</v>
      </c>
      <c r="K10" s="16" t="n">
        <f aca="false">IF(K7&gt;0,K7,$F$9)</f>
        <v>0.0277280126807082</v>
      </c>
      <c r="L10" s="16" t="n">
        <f aca="false">IF(L7&gt;0,L7,$F$9)</f>
        <v>0.0277280126807082</v>
      </c>
      <c r="M10" s="16" t="n">
        <f aca="false">IF(M7&gt;0,M7,$F$9)</f>
        <v>0.0277280126807082</v>
      </c>
      <c r="N10" s="16" t="n">
        <f aca="false">IF(N7&gt;0,N7,$F$9)</f>
        <v>0.0277280126807082</v>
      </c>
      <c r="O10" s="16" t="n">
        <f aca="false">IF(O7&gt;0,O7,$F$9)</f>
        <v>0.0277280126807082</v>
      </c>
      <c r="P10" s="16" t="n">
        <f aca="false">IF(P7&gt;0,P7,$F$9)</f>
        <v>0.0343567621970951</v>
      </c>
      <c r="Q10" s="16" t="n">
        <f aca="false">IF(Q7&gt;0,Q7,$F$9)</f>
        <v>0.0340871997155219</v>
      </c>
      <c r="R10" s="16" t="n">
        <f aca="false">IF(R7&gt;0,R7,$F$9)</f>
        <v>0.0345307062310715</v>
      </c>
      <c r="S10" s="16" t="n">
        <f aca="false">IF(S7&gt;0,S7,$F$9)</f>
        <v>0.0342422578183756</v>
      </c>
      <c r="T10" s="16" t="n">
        <f aca="false">IF(T7&gt;0,T7,$F$9)</f>
        <v>0.034685927848448</v>
      </c>
      <c r="U10" s="16" t="n">
        <f aca="false">IF(U7&gt;0,U7,$F$9)</f>
        <v>0.0345053017203732</v>
      </c>
      <c r="V10" s="16" t="n">
        <f aca="false">IF(V7&gt;0,V7,$F$9)</f>
        <v>0.0348236183856927</v>
      </c>
      <c r="W10" s="16" t="n">
        <f aca="false">IF(W7&gt;0,W7,$F$9)</f>
        <v>0.0345092490084999</v>
      </c>
      <c r="X10" s="16" t="n">
        <f aca="false">IF(X7&gt;0,X7,$F$9)</f>
        <v>0.0349474040391478</v>
      </c>
      <c r="Y10" s="16" t="n">
        <f aca="false">IF(Y7&gt;0,Y7,$F$9)</f>
        <v>0.0357562941508915</v>
      </c>
      <c r="Z10" s="16" t="n">
        <f aca="false">IF(Z7&gt;0,Z7,$F$9)</f>
        <v>0.0362404618995612</v>
      </c>
      <c r="AA10" s="16" t="n">
        <f aca="false">IF(AA7&gt;0,AA7,$F$9)</f>
        <v>0.0359260542796001</v>
      </c>
      <c r="AB10" s="16" t="n">
        <f aca="false">IF(AB7&gt;0,AB7,$F$9)</f>
        <v>0.036209741023265</v>
      </c>
      <c r="AC10" s="16" t="n">
        <f aca="false">IF(AC7&gt;0,AC7,$F$9)</f>
        <v>0.0357770675029245</v>
      </c>
      <c r="AD10" s="16" t="n">
        <f aca="false">IF(AD7&gt;0,AD7,$F$9)</f>
        <v>0.035847523385379</v>
      </c>
      <c r="AE10" s="16" t="n">
        <f aca="false">IF(AE7&gt;0,AE7,$F$9)</f>
        <v>0.0351842010398712</v>
      </c>
      <c r="AF10" s="16" t="n">
        <f aca="false">IF(AF7&gt;0,AF7,$F$9)</f>
        <v>0.0351655169098024</v>
      </c>
      <c r="AG10" s="16" t="n">
        <f aca="false">IF(AG7&gt;0,AG7,$F$9)</f>
        <v>0.0351748948201245</v>
      </c>
      <c r="AH10" s="16" t="n">
        <f aca="false">IF(AH7&gt;0,AH7,$F$9)</f>
        <v>0.0347404867417633</v>
      </c>
      <c r="AI10" s="16" t="n">
        <f aca="false">IF(AI7&gt;0,AI7,$F$9)</f>
        <v>0.0332585729448473</v>
      </c>
      <c r="AJ10" s="16" t="n">
        <f aca="false">IF(AJ7&gt;0,AJ7,$F$9)</f>
        <v>0.0317646225396507</v>
      </c>
      <c r="AK10" s="16" t="n">
        <f aca="false">IF(AK7&gt;0,AK7,$F$9)</f>
        <v>0.0284688758130481</v>
      </c>
      <c r="AL10" s="16" t="n">
        <f aca="false">IF(AL7&gt;0,AL7,$F$9)</f>
        <v>0.0281463597631332</v>
      </c>
      <c r="AM10" s="16" t="n">
        <f aca="false">IF(AM7&gt;0,AM7,$F$9)</f>
        <v>0.0279563517746599</v>
      </c>
      <c r="AN10" s="16" t="n">
        <f aca="false">IF(AN7&gt;0,AN7,$F$9)</f>
        <v>0.0278931342386715</v>
      </c>
      <c r="AO10" s="16" t="n">
        <f aca="false">IF(AO7&gt;0,AO7,$F$9)</f>
        <v>0.0277280126807082</v>
      </c>
      <c r="AP10" s="16" t="n">
        <f aca="false">IF(AP7&gt;0,AP7,$F$9)</f>
        <v>0.0277280126807082</v>
      </c>
      <c r="AQ10" s="16" t="n">
        <f aca="false">IF(AQ7&gt;0,AQ7,$F$9)</f>
        <v>0.0277280126807082</v>
      </c>
      <c r="AR10" s="16" t="n">
        <f aca="false">IF(AR7&gt;0,AR7,$F$9)</f>
        <v>0.0277280126807082</v>
      </c>
      <c r="AS10" s="16" t="n">
        <f aca="false">IF(AS7&gt;0,AS7,$F$9)</f>
        <v>0.0277280126807082</v>
      </c>
      <c r="AT10" s="16" t="n">
        <f aca="false">IF(AT7&gt;0,AT7,$F$9)</f>
        <v>0.0277280126807082</v>
      </c>
      <c r="AU10" s="16" t="n">
        <f aca="false">IF(AU7&gt;0,AU7,$F$9)</f>
        <v>0.0277280126807082</v>
      </c>
      <c r="AV10" s="16" t="n">
        <f aca="false">IF(AV7&gt;0,AV7,$F$9)</f>
        <v>0.0277280126807082</v>
      </c>
      <c r="AW10" s="16" t="n">
        <f aca="false">IF(AW7&gt;0,AW7,$F$9)</f>
        <v>0.0277280126807082</v>
      </c>
      <c r="AX10" s="16" t="n">
        <f aca="false">IF(AX7&gt;0,AX7,$F$9)</f>
        <v>0.0277280126807082</v>
      </c>
      <c r="AY10" s="16" t="n">
        <f aca="false">IF(AY7&gt;0,AY7,$F$9)</f>
        <v>0.0277280126807082</v>
      </c>
      <c r="AZ10" s="16" t="n">
        <f aca="false">IF(AZ7&gt;0,AZ7,$F$9)</f>
        <v>0.0277280126807082</v>
      </c>
      <c r="BA10" s="16" t="n">
        <f aca="false">IF(BA7&gt;0,BA7,$F$9)</f>
        <v>0.0277280126807082</v>
      </c>
      <c r="BB10" s="16" t="n">
        <f aca="false">IF(BB7&gt;0,BB7,$F$9)</f>
        <v>0.0277280126807082</v>
      </c>
      <c r="BC10" s="16" t="n">
        <f aca="false">IF(BC7&gt;0,BC7,$F$9)</f>
        <v>0.0277280126807082</v>
      </c>
      <c r="BD10" s="16" t="n">
        <f aca="false">IF(BD7&gt;0,BD7,$F$9)</f>
        <v>0.0277280126807082</v>
      </c>
      <c r="BE10" s="16" t="n">
        <f aca="false">IF(BE7&gt;0,BE7,$F$9)</f>
        <v>0.0277280126807082</v>
      </c>
      <c r="BF10" s="16" t="n">
        <f aca="false">IF(BF7&gt;0,BF7,$F$9)</f>
        <v>0.0277280126807082</v>
      </c>
      <c r="BG10" s="16" t="n">
        <f aca="false">IF(BG7&gt;0,BG7,$F$9)</f>
        <v>0.0277280126807082</v>
      </c>
      <c r="BH10" s="16" t="n">
        <f aca="false">IF(BH7&gt;0,BH7,$F$9)</f>
        <v>0.0277280126807082</v>
      </c>
      <c r="BI10" s="16" t="n">
        <f aca="false">IF(BI7&gt;0,BI7,$F$9)</f>
        <v>0.0277280126807082</v>
      </c>
      <c r="BJ10" s="16" t="n">
        <f aca="false">IF(BJ7&gt;0,BJ7,$F$9)</f>
        <v>0.0277280126807082</v>
      </c>
      <c r="BK10" s="16" t="n">
        <f aca="false">IF(BK7&gt;0,BK7,$F$9)</f>
        <v>0.0277280126807082</v>
      </c>
      <c r="BL10" s="16" t="n">
        <f aca="false">IF(BL7&gt;0,BL7,$F$9)</f>
        <v>0.0277280126807082</v>
      </c>
      <c r="BM10" s="16" t="n">
        <f aca="false">IF(BM7&gt;0,BM7,$F$9)</f>
        <v>0.0277280126807082</v>
      </c>
      <c r="BN10" s="16" t="n">
        <f aca="false">IF(BN7&gt;0,BN7,$F$9)</f>
        <v>0.0277280126807082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734.09479704714</v>
      </c>
      <c r="K11" s="13" t="n">
        <f aca="false">IF(Time!K20&lt;=$F$8,(Waterfall!K7+L11)/(1+K10),0)</f>
        <v>754.449786888505</v>
      </c>
      <c r="L11" s="13" t="n">
        <f aca="false">IF(Time!L20&lt;=$F$8,(Waterfall!L7+M11)/(1+L10),0)</f>
        <v>775.369180146307</v>
      </c>
      <c r="M11" s="13" t="n">
        <f aca="false">IF(Time!M20&lt;=$F$8,(Waterfall!M7+N11)/(1+M10),0)</f>
        <v>796.868626605634</v>
      </c>
      <c r="N11" s="13" t="n">
        <f aca="false">IF(Time!N20&lt;=$F$8,(Waterfall!N7+O11)/(1+N10),0)</f>
        <v>818.964209989014</v>
      </c>
      <c r="O11" s="13" t="n">
        <f aca="false">IF(Time!O20&lt;=$F$8,(Waterfall!O7+P11)/(1+O10),0)</f>
        <v>841.672459988635</v>
      </c>
      <c r="P11" s="13" t="n">
        <f aca="false">IF(Time!P20&lt;=$F$8,(Waterfall!P7+Q11)/(1+P10),0)</f>
        <v>863.043433838633</v>
      </c>
      <c r="Q11" s="13" t="n">
        <f aca="false">IF(Time!Q20&lt;=$F$8,(Waterfall!Q7+R11)/(1+Q10),0)</f>
        <v>842.43349369083</v>
      </c>
      <c r="R11" s="13" t="n">
        <f aca="false">IF(Time!R20&lt;=$F$8,(Waterfall!R7+S11)/(1+R10),0)</f>
        <v>820.94912547215</v>
      </c>
      <c r="S11" s="13" t="n">
        <f aca="false">IF(Time!S20&lt;=$F$8,(Waterfall!S7+T11)/(1+S10),0)</f>
        <v>798.414409221805</v>
      </c>
      <c r="T11" s="13" t="n">
        <f aca="false">IF(Time!T20&lt;=$F$8,(Waterfall!T7+U11)/(1+T10),0)</f>
        <v>775.238801797712</v>
      </c>
      <c r="U11" s="13" t="n">
        <f aca="false">IF(Time!U20&lt;=$F$8,(Waterfall!U7+V11)/(1+U10),0)</f>
        <v>751.052600336464</v>
      </c>
      <c r="V11" s="13" t="n">
        <f aca="false">IF(Time!V20&lt;=$F$8,(Waterfall!V7+W11)/(1+V10),0)</f>
        <v>726.100980101282</v>
      </c>
      <c r="W11" s="13" t="n">
        <f aca="false">IF(Time!W20&lt;=$F$8,(Waterfall!W7+X11)/(1+W10),0)</f>
        <v>699.525433148826</v>
      </c>
      <c r="X11" s="13" t="n">
        <f aca="false">IF(Time!X20&lt;=$F$8,(Waterfall!X7+Y11)/(1+X10),0)</f>
        <v>672.101709599578</v>
      </c>
      <c r="Y11" s="13" t="n">
        <f aca="false">IF(Time!Y20&lt;=$F$8,(Waterfall!Y7+Z11)/(1+Y10),0)</f>
        <v>645.420044087727</v>
      </c>
      <c r="Z11" s="13" t="n">
        <f aca="false">IF(Time!Z20&lt;=$F$8,(Waterfall!Z7+AA11)/(1+Z10),0)</f>
        <v>618.765040740293</v>
      </c>
      <c r="AA11" s="13" t="n">
        <f aca="false">IF(Time!AA20&lt;=$F$8,(Waterfall!AA7+AB11)/(1+AA10),0)</f>
        <v>591.010805479846</v>
      </c>
      <c r="AB11" s="13" t="n">
        <f aca="false">IF(Time!AB20&lt;=$F$8,(Waterfall!AB7+AC11)/(1+AB10),0)</f>
        <v>562.400754792189</v>
      </c>
      <c r="AC11" s="13" t="n">
        <f aca="false">IF(Time!AC20&lt;=$F$8,(Waterfall!AC7+AD11)/(1+AC10),0)</f>
        <v>532.232603133821</v>
      </c>
      <c r="AD11" s="13" t="n">
        <f aca="false">IF(Time!AD20&lt;=$F$8,(Waterfall!AD7+AE11)/(1+AD10),0)</f>
        <v>500.85820177378</v>
      </c>
      <c r="AE11" s="13" t="n">
        <f aca="false">IF(Time!AE20&lt;=$F$8,(Waterfall!AE7+AF11)/(1+AE10),0)</f>
        <v>466.731571059409</v>
      </c>
      <c r="AF11" s="13" t="n">
        <f aca="false">IF(Time!AF20&lt;=$F$8,(Waterfall!AF7+AG11)/(1+AF10),0)</f>
        <v>430.671464428295</v>
      </c>
      <c r="AG11" s="13" t="n">
        <f aca="false">IF(Time!AG20&lt;=$F$8,(Waterfall!AG7+AH11)/(1+AG10),0)</f>
        <v>393.015950260054</v>
      </c>
      <c r="AH11" s="13" t="n">
        <f aca="false">IF(Time!AH20&lt;=$F$8,(Waterfall!AH7+AI11)/(1+AH10),0)</f>
        <v>354.311479610405</v>
      </c>
      <c r="AI11" s="13" t="n">
        <f aca="false">IF(Time!AI20&lt;=$F$8,(Waterfall!AI7+AJ11)/(1+AI10),0)</f>
        <v>313.267522074068</v>
      </c>
      <c r="AJ11" s="13" t="n">
        <f aca="false">IF(Time!AJ20&lt;=$F$8,(Waterfall!AJ7+AK11)/(1+AJ10),0)</f>
        <v>270.693198521426</v>
      </c>
      <c r="AK11" s="13" t="n">
        <f aca="false">IF(Time!AK20&lt;=$F$8,(Waterfall!AK7+AL11)/(1+AK10),0)</f>
        <v>225.6525801496</v>
      </c>
      <c r="AL11" s="13" t="n">
        <f aca="false">IF(Time!AL20&lt;=$F$8,(Waterfall!AL7+AM11)/(1+AL10),0)</f>
        <v>178.556126343652</v>
      </c>
      <c r="AM11" s="13" t="n">
        <f aca="false">IF(Time!AM20&lt;=$F$8,(Waterfall!AM7+AN11)/(1+AM10),0)</f>
        <v>129.646342575414</v>
      </c>
      <c r="AN11" s="13" t="n">
        <f aca="false">IF(Time!AN20&lt;=$F$8,(Waterfall!AN7+AO11)/(1+AN10),0)</f>
        <v>82.5494302683005</v>
      </c>
      <c r="AO11" s="13" t="n">
        <f aca="false">IF(Time!AO20&lt;=$F$8,(Waterfall!AO7+AP11)/(1+AO10),0)</f>
        <v>41.435814527147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1009.44765281302</v>
      </c>
      <c r="K12" s="13" t="n">
        <f aca="false">IF(Time!K20&lt;=Time!$F$15,(Waterfall!K7+L12)/(1+K10),0)</f>
        <v>1037.43763013073</v>
      </c>
      <c r="L12" s="13" t="n">
        <f aca="false">IF(Time!L20&lt;=Time!$F$15,(Waterfall!L7+M12)/(1+L10),0)</f>
        <v>1066.20371389444</v>
      </c>
      <c r="M12" s="13" t="n">
        <f aca="false">IF(Time!M20&lt;=Time!$F$15,(Waterfall!M7+N12)/(1+M10),0)</f>
        <v>1095.76742399353</v>
      </c>
      <c r="N12" s="13" t="n">
        <f aca="false">IF(Time!N20&lt;=Time!$F$15,(Waterfall!N7+O12)/(1+N10),0)</f>
        <v>1126.15087702112</v>
      </c>
      <c r="O12" s="13" t="n">
        <f aca="false">IF(Time!O20&lt;=Time!$F$15,(Waterfall!O7+P12)/(1+O10),0)</f>
        <v>1157.37680281956</v>
      </c>
      <c r="P12" s="13" t="n">
        <f aca="false">IF(Time!P20&lt;=Time!$F$15,(Waterfall!P7+Q12)/(1+P10),0)</f>
        <v>1187.50163069093</v>
      </c>
      <c r="Q12" s="13" t="n">
        <f aca="false">IF(Time!Q20&lt;=Time!$F$15,(Waterfall!Q7+R12)/(1+Q10),0)</f>
        <v>1178.03902365528</v>
      </c>
      <c r="R12" s="13" t="n">
        <f aca="false">IF(Time!R20&lt;=Time!$F$15,(Waterfall!R7+S12)/(1+R10),0)</f>
        <v>1167.99450816213</v>
      </c>
      <c r="S12" s="13" t="n">
        <f aca="false">IF(Time!S20&lt;=Time!$F$15,(Waterfall!S7+T12)/(1+S10),0)</f>
        <v>1157.4435140703</v>
      </c>
      <c r="T12" s="13" t="n">
        <f aca="false">IF(Time!T20&lt;=Time!$F$15,(Waterfall!T7+U12)/(1+T10),0)</f>
        <v>1146.56187381873</v>
      </c>
      <c r="U12" s="13" t="n">
        <f aca="false">IF(Time!U20&lt;=Time!$F$15,(Waterfall!U7+V12)/(1+U10),0)</f>
        <v>1135.25535764207</v>
      </c>
      <c r="V12" s="13" t="n">
        <f aca="false">IF(Time!V20&lt;=Time!$F$15,(Waterfall!V7+W12)/(1+V10),0)</f>
        <v>1123.56076946951</v>
      </c>
      <c r="W12" s="13" t="n">
        <f aca="false">IF(Time!W20&lt;=Time!$F$15,(Waterfall!W7+X12)/(1+W10),0)</f>
        <v>1110.82621054567</v>
      </c>
      <c r="X12" s="13" t="n">
        <f aca="false">IF(Time!X20&lt;=Time!$F$15,(Waterfall!X7+Y12)/(1+X10),0)</f>
        <v>1097.596167941</v>
      </c>
      <c r="Y12" s="13" t="n">
        <f aca="false">IF(Time!Y20&lt;=Time!$F$15,(Waterfall!Y7+Z12)/(1+Y10),0)</f>
        <v>1085.78442918123</v>
      </c>
      <c r="Z12" s="13" t="n">
        <f aca="false">IF(Time!Z20&lt;=Time!$F$15,(Waterfall!Z7+AA12)/(1+Z10),0)</f>
        <v>1074.87522432077</v>
      </c>
      <c r="AA12" s="13" t="n">
        <f aca="false">IF(Time!AA20&lt;=Time!$F$15,(Waterfall!AA7+AB12)/(1+AA10),0)</f>
        <v>1063.65063279038</v>
      </c>
      <c r="AB12" s="13" t="n">
        <f aca="false">IF(Time!AB20&lt;=Time!$F$15,(Waterfall!AB7+AC12)/(1+AB10),0)</f>
        <v>1052.02066619338</v>
      </c>
      <c r="AC12" s="13" t="n">
        <f aca="false">IF(Time!AC20&lt;=Time!$F$15,(Waterfall!AC7+AD12)/(1+AC10),0)</f>
        <v>1039.58152472668</v>
      </c>
      <c r="AD12" s="13" t="n">
        <f aca="false">IF(Time!AD20&lt;=Time!$F$15,(Waterfall!AD7+AE12)/(1+AD10),0)</f>
        <v>1026.35857998201</v>
      </c>
      <c r="AE12" s="13" t="n">
        <f aca="false">IF(Time!AE20&lt;=Time!$F$15,(Waterfall!AE7+AF12)/(1+AE10),0)</f>
        <v>1011.06983636448</v>
      </c>
      <c r="AF12" s="13" t="n">
        <f aca="false">IF(Time!AF20&lt;=Time!$F$15,(Waterfall!AF7+AG12)/(1+AF10),0)</f>
        <v>994.161836693554</v>
      </c>
      <c r="AG12" s="13" t="n">
        <f aca="false">IF(Time!AG20&lt;=Time!$F$15,(Waterfall!AG7+AH12)/(1+AG10),0)</f>
        <v>976.321752739717</v>
      </c>
      <c r="AH12" s="13" t="n">
        <f aca="false">IF(Time!AH20&lt;=Time!$F$15,(Waterfall!AH7+AI12)/(1+AH10),0)</f>
        <v>958.135002340259</v>
      </c>
      <c r="AI12" s="13" t="n">
        <f aca="false">IF(Time!AI20&lt;=Time!$F$15,(Waterfall!AI7+AJ12)/(1+AI10),0)</f>
        <v>938.068167889683</v>
      </c>
      <c r="AJ12" s="13" t="n">
        <f aca="false">IF(Time!AJ20&lt;=Time!$F$15,(Waterfall!AJ7+AK12)/(1+AJ10),0)</f>
        <v>916.273822191888</v>
      </c>
      <c r="AK12" s="13" t="n">
        <f aca="false">IF(Time!AK20&lt;=Time!$F$15,(Waterfall!AK7+AL12)/(1+AK10),0)</f>
        <v>891.739828649866</v>
      </c>
      <c r="AL12" s="13" t="n">
        <f aca="false">IF(Time!AL20&lt;=Time!$F$15,(Waterfall!AL7+AM12)/(1+AL10),0)</f>
        <v>863.606130002127</v>
      </c>
      <c r="AM12" s="13" t="n">
        <f aca="false">IF(Time!AM20&lt;=Time!$F$15,(Waterfall!AM7+AN12)/(1+AM10),0)</f>
        <v>833.978010092596</v>
      </c>
      <c r="AN12" s="13" t="n">
        <f aca="false">IF(Time!AN20&lt;=Time!$F$15,(Waterfall!AN7+AO12)/(1+AN10),0)</f>
        <v>806.571641648626</v>
      </c>
      <c r="AO12" s="13" t="n">
        <f aca="false">IF(Time!AO20&lt;=Time!$F$15,(Waterfall!AO7+AP12)/(1+AO10),0)</f>
        <v>785.653274641283</v>
      </c>
      <c r="AP12" s="13" t="n">
        <f aca="false">IF(Time!AP20&lt;=Time!$F$15,(Waterfall!AP7+AQ12)/(1+AP10),0)</f>
        <v>764.853131285386</v>
      </c>
      <c r="AQ12" s="13" t="n">
        <f aca="false">IF(Time!AQ20&lt;=Time!$F$15,(Waterfall!AQ7+AR12)/(1+AQ10),0)</f>
        <v>743.133881137223</v>
      </c>
      <c r="AR12" s="13" t="n">
        <f aca="false">IF(Time!AR20&lt;=Time!$F$15,(Waterfall!AR7+AS12)/(1+AR10),0)</f>
        <v>721.219320810434</v>
      </c>
      <c r="AS12" s="13" t="n">
        <f aca="false">IF(Time!AS20&lt;=Time!$F$15,(Waterfall!AS7+AT12)/(1+AS10),0)</f>
        <v>698.032479597083</v>
      </c>
      <c r="AT12" s="13" t="n">
        <f aca="false">IF(Time!AT20&lt;=Time!$F$15,(Waterfall!AT7+AU12)/(1+AT10),0)</f>
        <v>674.407145523632</v>
      </c>
      <c r="AU12" s="13" t="n">
        <f aca="false">IF(Time!AU20&lt;=Time!$F$15,(Waterfall!AU7+AV12)/(1+AU10),0)</f>
        <v>643.107996555569</v>
      </c>
      <c r="AV12" s="13" t="n">
        <f aca="false">IF(Time!AV20&lt;=Time!$F$15,(Waterfall!AV7+AW12)/(1+AV10),0)</f>
        <v>615.375796811837</v>
      </c>
      <c r="AW12" s="13" t="n">
        <f aca="false">IF(Time!AW20&lt;=Time!$F$15,(Waterfall!AW7+AX12)/(1+AW10),0)</f>
        <v>586.655503012466</v>
      </c>
      <c r="AX12" s="13" t="n">
        <f aca="false">IF(Time!AX20&lt;=Time!$F$15,(Waterfall!AX7+AY12)/(1+AX10),0)</f>
        <v>557.544998948335</v>
      </c>
      <c r="AY12" s="13" t="n">
        <f aca="false">IF(Time!AY20&lt;=Time!$F$15,(Waterfall!AY7+AZ12)/(1+AY10),0)</f>
        <v>526.924826695496</v>
      </c>
      <c r="AZ12" s="13" t="n">
        <f aca="false">IF(Time!AZ20&lt;=Time!$F$15,(Waterfall!AZ7+BA12)/(1+AZ10),0)</f>
        <v>495.816700957327</v>
      </c>
      <c r="BA12" s="13" t="n">
        <f aca="false">IF(Time!BA20&lt;=Time!$F$15,(Waterfall!BA7+BB12)/(1+BA10),0)</f>
        <v>463.038454136523</v>
      </c>
      <c r="BB12" s="13" t="n">
        <f aca="false">IF(Time!BB20&lt;=Time!$F$15,(Waterfall!BB7+BC12)/(1+BB10),0)</f>
        <v>429.554276670367</v>
      </c>
      <c r="BC12" s="13" t="n">
        <f aca="false">IF(Time!BC20&lt;=Time!$F$15,(Waterfall!BC7+BD12)/(1+BC10),0)</f>
        <v>392.874488712966</v>
      </c>
      <c r="BD12" s="13" t="n">
        <f aca="false">IF(Time!BD20&lt;=Time!$F$15,(Waterfall!BD7+BE12)/(1+BD10),0)</f>
        <v>358.452623775504</v>
      </c>
      <c r="BE12" s="13" t="n">
        <f aca="false">IF(Time!BE20&lt;=Time!$F$15,(Waterfall!BE7+BF12)/(1+BE10),0)</f>
        <v>328.957446600829</v>
      </c>
      <c r="BF12" s="13" t="n">
        <f aca="false">IF(Time!BF20&lt;=Time!$F$15,(Waterfall!BF7+BG12)/(1+BF10),0)</f>
        <v>298.999917668557</v>
      </c>
      <c r="BG12" s="13" t="n">
        <f aca="false">IF(Time!BG20&lt;=Time!$F$15,(Waterfall!BG7+BH12)/(1+BG10),0)</f>
        <v>267.357931024993</v>
      </c>
      <c r="BH12" s="13" t="n">
        <f aca="false">IF(Time!BH20&lt;=Time!$F$15,(Waterfall!BH7+BI12)/(1+BH10),0)</f>
        <v>235.165288568176</v>
      </c>
      <c r="BI12" s="13" t="n">
        <f aca="false">IF(Time!BI20&lt;=Time!$F$15,(Waterfall!BI7+BJ12)/(1+BI10),0)</f>
        <v>201.133536032064</v>
      </c>
      <c r="BJ12" s="13" t="n">
        <f aca="false">IF(Time!BJ20&lt;=Time!$F$15,(Waterfall!BJ7+BK12)/(1+BJ10),0)</f>
        <v>166.384130523698</v>
      </c>
      <c r="BK12" s="13" t="n">
        <f aca="false">IF(Time!BK20&lt;=Time!$F$15,(Waterfall!BK7+BL12)/(1+BK10),0)</f>
        <v>122.507450562545</v>
      </c>
      <c r="BL12" s="13" t="n">
        <f aca="false">IF(Time!BL20&lt;=Time!$F$15,(Waterfall!BL7+BM12)/(1+BL10),0)</f>
        <v>82.588417263275</v>
      </c>
      <c r="BM12" s="13" t="n">
        <f aca="false">IF(Time!BM20&lt;=Time!$F$15,(Waterfall!BM7+BN12)/(1+BM10),0)</f>
        <v>40.5567092071708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1.42896290286646</v>
      </c>
      <c r="Q13" s="3" t="n">
        <f aca="false">IF(Debt!Q115&gt;Inputs!$F$253,(Q11+Reserves!Q9)/Debt!Q115,0)</f>
        <v>1.43156694070412</v>
      </c>
      <c r="R13" s="3" t="n">
        <f aca="false">IF(Debt!R115&gt;Inputs!$F$253,(R11+Reserves!R9)/Debt!R115,0)</f>
        <v>1.43524518294576</v>
      </c>
      <c r="S13" s="3" t="n">
        <f aca="false">IF(Debt!S115&gt;Inputs!$F$253,(S11+Reserves!S9)/Debt!S115,0)</f>
        <v>1.43788516912578</v>
      </c>
      <c r="T13" s="3" t="n">
        <f aca="false">IF(Debt!T115&gt;Inputs!$F$253,(T11+Reserves!T9)/Debt!T115,0)</f>
        <v>1.44198690305359</v>
      </c>
      <c r="U13" s="3" t="n">
        <f aca="false">IF(Debt!U115&gt;Inputs!$F$253,(U11+Reserves!U9)/Debt!U115,0)</f>
        <v>1.44542882589706</v>
      </c>
      <c r="V13" s="3" t="n">
        <f aca="false">IF(Debt!V115&gt;Inputs!$F$253,(V11+Reserves!V9)/Debt!V115,0)</f>
        <v>1.45087071156443</v>
      </c>
      <c r="W13" s="3" t="n">
        <f aca="false">IF(Debt!W115&gt;Inputs!$F$253,(W11+Reserves!W9)/Debt!W115,0)</f>
        <v>1.45501200864985</v>
      </c>
      <c r="X13" s="3" t="n">
        <f aca="false">IF(Debt!X115&gt;Inputs!$F$253,(X11+Reserves!X9)/Debt!X115,0)</f>
        <v>1.45780646647497</v>
      </c>
      <c r="Y13" s="3" t="n">
        <f aca="false">IF(Debt!Y115&gt;Inputs!$F$253,(Y11+Reserves!Y9)/Debt!Y115,0)</f>
        <v>1.46214264075175</v>
      </c>
      <c r="Z13" s="3" t="n">
        <f aca="false">IF(Debt!Z115&gt;Inputs!$F$253,(Z11+Reserves!Z9)/Debt!Z115,0)</f>
        <v>1.46827637029433</v>
      </c>
      <c r="AA13" s="3" t="n">
        <f aca="false">IF(Debt!AA115&gt;Inputs!$F$253,(AA11+Reserves!AA9)/Debt!AA115,0)</f>
        <v>1.47375444277793</v>
      </c>
      <c r="AB13" s="3" t="n">
        <f aca="false">IF(Debt!AB115&gt;Inputs!$F$253,(AB11+Reserves!AB9)/Debt!AB115,0)</f>
        <v>1.50549871753135</v>
      </c>
      <c r="AC13" s="3" t="n">
        <f aca="false">IF(Debt!AC115&gt;Inputs!$F$253,(AC11+Reserves!AC9)/Debt!AC115,0)</f>
        <v>1.54171972845481</v>
      </c>
      <c r="AD13" s="3" t="n">
        <f aca="false">IF(Debt!AD115&gt;Inputs!$F$253,(AD11+Reserves!AD9)/Debt!AD115,0)</f>
        <v>1.58480189953206</v>
      </c>
      <c r="AE13" s="3" t="n">
        <f aca="false">IF(Debt!AE115&gt;Inputs!$F$253,(AE11+Reserves!AE9)/Debt!AE115,0)</f>
        <v>1.63763041896894</v>
      </c>
      <c r="AF13" s="3" t="n">
        <f aca="false">IF(Debt!AF115&gt;Inputs!$F$253,(AF11+Reserves!AF9)/Debt!AF115,0)</f>
        <v>1.70237364529154</v>
      </c>
      <c r="AG13" s="3" t="n">
        <f aca="false">IF(Debt!AG115&gt;Inputs!$F$253,(AG11+Reserves!AG9)/Debt!AG115,0)</f>
        <v>1.78398268850982</v>
      </c>
      <c r="AH13" s="3" t="n">
        <f aca="false">IF(Debt!AH115&gt;Inputs!$F$253,(AH11+Reserves!AH9)/Debt!AH115,0)</f>
        <v>1.88987989572674</v>
      </c>
      <c r="AI13" s="3" t="n">
        <f aca="false">IF(Debt!AI115&gt;Inputs!$F$253,(AI11+Reserves!AI9)/Debt!AI115,0)</f>
        <v>2.03732940218266</v>
      </c>
      <c r="AJ13" s="3" t="n">
        <f aca="false">IF(Debt!AJ115&gt;Inputs!$F$253,(AJ11+Reserves!AJ9)/Debt!AJ115,0)</f>
        <v>2.25464990686547</v>
      </c>
      <c r="AK13" s="3" t="n">
        <f aca="false">IF(Debt!AK115&gt;Inputs!$F$253,(AK11+Reserves!AK9)/Debt!AK115,0)</f>
        <v>2.62373659874774</v>
      </c>
      <c r="AL13" s="3" t="n">
        <f aca="false">IF(Debt!AL115&gt;Inputs!$F$253,(AL11+Reserves!AL9)/Debt!AL115,0)</f>
        <v>2.66608752792385</v>
      </c>
      <c r="AM13" s="3" t="n">
        <f aca="false">IF(Debt!AM115&gt;Inputs!$F$253,(AM11+Reserves!AM9)/Debt!AM115,0)</f>
        <v>2.72301078831413</v>
      </c>
      <c r="AN13" s="3" t="n">
        <f aca="false">IF(Debt!AN115&gt;Inputs!$F$253,(AN11+Reserves!AN9)/Debt!AN115,0)</f>
        <v>2.86483006725306</v>
      </c>
      <c r="AO13" s="3" t="n">
        <f aca="false">IF(Debt!AO115&gt;Inputs!$F$253,(AO11+Reserves!AO9)/Debt!AO115,0)</f>
        <v>3.38992011893542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1.36983778824029</v>
      </c>
      <c r="Q14" s="3" t="n">
        <f aca="false">IF(Debt!Q115&gt;Inputs!$F$253,Q11/Debt!Q115,0)</f>
        <v>1.37108483957505</v>
      </c>
      <c r="R14" s="3" t="n">
        <f aca="false">IF(Debt!R115&gt;Inputs!$F$253,R11/Debt!R115,0)</f>
        <v>1.3723412210896</v>
      </c>
      <c r="S14" s="3" t="n">
        <f aca="false">IF(Debt!S115&gt;Inputs!$F$253,S11/Debt!S115,0)</f>
        <v>1.37364582238183</v>
      </c>
      <c r="T14" s="3" t="n">
        <f aca="false">IF(Debt!T115&gt;Inputs!$F$253,T11/Debt!T115,0)</f>
        <v>1.375019532602</v>
      </c>
      <c r="U14" s="3" t="n">
        <f aca="false">IF(Debt!U115&gt;Inputs!$F$253,U11/Debt!U115,0)</f>
        <v>1.37655843074814</v>
      </c>
      <c r="V14" s="3" t="n">
        <f aca="false">IF(Debt!V115&gt;Inputs!$F$253,V11/Debt!V115,0)</f>
        <v>1.37818767860454</v>
      </c>
      <c r="W14" s="3" t="n">
        <f aca="false">IF(Debt!W115&gt;Inputs!$F$253,W11/Debt!W115,0)</f>
        <v>1.3799911916325</v>
      </c>
      <c r="X14" s="3" t="n">
        <f aca="false">IF(Debt!X115&gt;Inputs!$F$253,X11/Debt!X115,0)</f>
        <v>1.38187278029025</v>
      </c>
      <c r="Y14" s="3" t="n">
        <f aca="false">IF(Debt!Y115&gt;Inputs!$F$253,Y11/Debt!Y115,0)</f>
        <v>1.38372788023161</v>
      </c>
      <c r="Z14" s="3" t="n">
        <f aca="false">IF(Debt!Z115&gt;Inputs!$F$253,Z11/Debt!Z115,0)</f>
        <v>1.3856932794182</v>
      </c>
      <c r="AA14" s="3" t="n">
        <f aca="false">IF(Debt!AA115&gt;Inputs!$F$253,AA11/Debt!AA115,0)</f>
        <v>1.38785595494174</v>
      </c>
      <c r="AB14" s="3" t="n">
        <f aca="false">IF(Debt!AB115&gt;Inputs!$F$253,AB11/Debt!AB115,0)</f>
        <v>1.41254330028014</v>
      </c>
      <c r="AC14" s="3" t="n">
        <f aca="false">IF(Debt!AC115&gt;Inputs!$F$253,AC11/Debt!AC115,0)</f>
        <v>1.44346411993832</v>
      </c>
      <c r="AD14" s="3" t="n">
        <f aca="false">IF(Debt!AD115&gt;Inputs!$F$253,AD11/Debt!AD115,0)</f>
        <v>1.47632222639156</v>
      </c>
      <c r="AE14" s="3" t="n">
        <f aca="false">IF(Debt!AE115&gt;Inputs!$F$253,AE11/Debt!AE115,0)</f>
        <v>1.52024513120477</v>
      </c>
      <c r="AF14" s="3" t="n">
        <f aca="false">IF(Debt!AF115&gt;Inputs!$F$253,AF11/Debt!AF115,0)</f>
        <v>1.57408280594027</v>
      </c>
      <c r="AG14" s="3" t="n">
        <f aca="false">IF(Debt!AG115&gt;Inputs!$F$253,AG11/Debt!AG115,0)</f>
        <v>1.64345536832793</v>
      </c>
      <c r="AH14" s="3" t="n">
        <f aca="false">IF(Debt!AH115&gt;Inputs!$F$253,AH11/Debt!AH115,0)</f>
        <v>1.73104222349897</v>
      </c>
      <c r="AI14" s="3" t="n">
        <f aca="false">IF(Debt!AI115&gt;Inputs!$F$253,AI11/Debt!AI115,0)</f>
        <v>1.85631932473368</v>
      </c>
      <c r="AJ14" s="3" t="n">
        <f aca="false">IF(Debt!AJ115&gt;Inputs!$F$253,AJ11/Debt!AJ115,0)</f>
        <v>2.03910513947544</v>
      </c>
      <c r="AK14" s="3" t="n">
        <f aca="false">IF(Debt!AK115&gt;Inputs!$F$253,AK11/Debt!AK115,0)</f>
        <v>2.35529945670151</v>
      </c>
      <c r="AL14" s="3" t="n">
        <f aca="false">IF(Debt!AL115&gt;Inputs!$F$253,AL11/Debt!AL115,0)</f>
        <v>2.37041324054845</v>
      </c>
      <c r="AM14" s="3" t="n">
        <f aca="false">IF(Debt!AM115&gt;Inputs!$F$253,AM11/Debt!AM115,0)</f>
        <v>2.33147503691538</v>
      </c>
      <c r="AN14" s="3" t="n">
        <f aca="false">IF(Debt!AN115&gt;Inputs!$F$253,AN11/Debt!AN115,0)</f>
        <v>2.33260043156463</v>
      </c>
      <c r="AO14" s="3" t="n">
        <f aca="false">IF(Debt!AO115&gt;Inputs!$F$253,AO11/Debt!AO115,0)</f>
        <v>2.36219210625471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1.88482357148846</v>
      </c>
      <c r="Q15" s="3" t="n">
        <f aca="false">IF(Debt!Q115&gt;Inputs!$F$253,Q12/Debt!Q115,0)</f>
        <v>1.91729253152689</v>
      </c>
      <c r="R15" s="3" t="n">
        <f aca="false">IF(Debt!R115&gt;Inputs!$F$253,R12/Debt!R115,0)</f>
        <v>1.95248031799205</v>
      </c>
      <c r="S15" s="3" t="n">
        <f aca="false">IF(Debt!S115&gt;Inputs!$F$253,S12/Debt!S115,0)</f>
        <v>1.99134362980156</v>
      </c>
      <c r="T15" s="3" t="n">
        <f aca="false">IF(Debt!T115&gt;Inputs!$F$253,T12/Debt!T115,0)</f>
        <v>2.03362495295854</v>
      </c>
      <c r="U15" s="3" t="n">
        <f aca="false">IF(Debt!U115&gt;Inputs!$F$253,U12/Debt!U115,0)</f>
        <v>2.08074019438063</v>
      </c>
      <c r="V15" s="3" t="n">
        <f aca="false">IF(Debt!V115&gt;Inputs!$F$253,V12/Debt!V115,0)</f>
        <v>2.13259264356085</v>
      </c>
      <c r="W15" s="3" t="n">
        <f aca="false">IF(Debt!W115&gt;Inputs!$F$253,W12/Debt!W115,0)</f>
        <v>2.19138620748534</v>
      </c>
      <c r="X15" s="3" t="n">
        <f aca="false">IF(Debt!X115&gt;Inputs!$F$253,X12/Debt!X115,0)</f>
        <v>2.25670943335674</v>
      </c>
      <c r="Y15" s="3" t="n">
        <f aca="false">IF(Debt!Y115&gt;Inputs!$F$253,Y12/Debt!Y115,0)</f>
        <v>2.32783316902258</v>
      </c>
      <c r="Z15" s="3" t="n">
        <f aca="false">IF(Debt!Z115&gt;Inputs!$F$253,Z12/Debt!Z115,0)</f>
        <v>2.40712916290883</v>
      </c>
      <c r="AA15" s="3" t="n">
        <f aca="false">IF(Debt!AA115&gt;Inputs!$F$253,AA12/Debt!AA115,0)</f>
        <v>2.49774428996632</v>
      </c>
      <c r="AB15" s="3" t="n">
        <f aca="false">IF(Debt!AB115&gt;Inputs!$F$253,AB12/Debt!AB115,0)</f>
        <v>2.64228796125425</v>
      </c>
      <c r="AC15" s="3" t="n">
        <f aca="false">IF(Debt!AC115&gt;Inputs!$F$253,AC12/Debt!AC115,0)</f>
        <v>2.81944139058395</v>
      </c>
      <c r="AD15" s="3" t="n">
        <f aca="false">IF(Debt!AD115&gt;Inputs!$F$253,AD12/Debt!AD115,0)</f>
        <v>3.02527936751147</v>
      </c>
      <c r="AE15" s="3" t="n">
        <f aca="false">IF(Debt!AE115&gt;Inputs!$F$253,AE12/Debt!AE115,0)</f>
        <v>3.29327196048081</v>
      </c>
      <c r="AF15" s="3" t="n">
        <f aca="false">IF(Debt!AF115&gt;Inputs!$F$253,AF12/Debt!AF115,0)</f>
        <v>3.63361212133865</v>
      </c>
      <c r="AG15" s="3" t="n">
        <f aca="false">IF(Debt!AG115&gt;Inputs!$F$253,AG12/Debt!AG115,0)</f>
        <v>4.08263640367196</v>
      </c>
      <c r="AH15" s="3" t="n">
        <f aca="false">IF(Debt!AH115&gt;Inputs!$F$253,AH12/Debt!AH115,0)</f>
        <v>4.68111320210966</v>
      </c>
      <c r="AI15" s="3" t="n">
        <f aca="false">IF(Debt!AI115&gt;Inputs!$F$253,AI12/Debt!AI115,0)</f>
        <v>5.55868050553741</v>
      </c>
      <c r="AJ15" s="3" t="n">
        <f aca="false">IF(Debt!AJ115&gt;Inputs!$F$253,AJ12/Debt!AJ115,0)</f>
        <v>6.90220024072897</v>
      </c>
      <c r="AK15" s="3" t="n">
        <f aca="false">IF(Debt!AK115&gt;Inputs!$F$253,AK12/Debt!AK115,0)</f>
        <v>9.30773462703458</v>
      </c>
      <c r="AL15" s="3" t="n">
        <f aca="false">IF(Debt!AL115&gt;Inputs!$F$253,AL12/Debt!AL115,0)</f>
        <v>11.4647615127803</v>
      </c>
      <c r="AM15" s="3" t="n">
        <f aca="false">IF(Debt!AM115&gt;Inputs!$F$253,AM12/Debt!AM115,0)</f>
        <v>14.9977151166931</v>
      </c>
      <c r="AN15" s="3" t="n">
        <f aca="false">IF(Debt!AN115&gt;Inputs!$F$253,AN12/Debt!AN115,0)</f>
        <v>22.7913064122</v>
      </c>
      <c r="AO15" s="3" t="n">
        <f aca="false">IF(Debt!AO115&gt;Inputs!$F$253,AO12/Debt!AO115,0)</f>
        <v>44.7888857692158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1.34926845936059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1.56655385918534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1.42896290286646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1.88482357148846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1.35006345554671</v>
      </c>
      <c r="P20" s="3" t="n">
        <f aca="false">IF(Debt!Q114&gt;Inputs!$F$253,(Waterfall!Q7+IF(Debt!R114&gt;Inputs!$F$253,Waterfall!R7,0))/(Debt!Q114+Debt!R114),0)</f>
        <v>1.35152938467231</v>
      </c>
      <c r="Q20" s="3" t="n">
        <f aca="false">IF(Debt!R114&gt;Inputs!$F$253,(Waterfall!R7+IF(Debt!S114&gt;Inputs!$F$253,Waterfall!S7,0))/(Debt!R114+Debt!S114),0)</f>
        <v>1.3525451817292</v>
      </c>
      <c r="R20" s="3" t="n">
        <f aca="false">IF(Debt!S114&gt;Inputs!$F$253,(Waterfall!S7+IF(Debt!T114&gt;Inputs!$F$253,Waterfall!T7,0))/(Debt!S114+Debt!T114),0)</f>
        <v>1.3528419478346</v>
      </c>
      <c r="S20" s="3" t="n">
        <f aca="false">IF(Debt!T114&gt;Inputs!$F$253,(Waterfall!T7+IF(Debt!U114&gt;Inputs!$F$253,Waterfall!U7,0))/(Debt!T114+Debt!U114),0)</f>
        <v>1.35324698548048</v>
      </c>
      <c r="T20" s="3" t="n">
        <f aca="false">IF(Debt!U114&gt;Inputs!$F$253,(Waterfall!U7+IF(Debt!V114&gt;Inputs!$F$253,Waterfall!V7,0))/(Debt!U114+Debt!V114),0)</f>
        <v>1.35401701943113</v>
      </c>
      <c r="U20" s="3" t="n">
        <f aca="false">IF(Debt!V114&gt;Inputs!$F$253,(Waterfall!V7+IF(Debt!W114&gt;Inputs!$F$253,Waterfall!W7,0))/(Debt!V114+Debt!W114),0)</f>
        <v>1.35511723906173</v>
      </c>
      <c r="V20" s="3" t="n">
        <f aca="false">IF(Debt!W114&gt;Inputs!$F$253,(Waterfall!W7+IF(Debt!X114&gt;Inputs!$F$253,Waterfall!X7,0))/(Debt!W114+Debt!X114),0)</f>
        <v>1.35716655810426</v>
      </c>
      <c r="W20" s="3" t="n">
        <f aca="false">IF(Debt!X114&gt;Inputs!$F$253,(Waterfall!X7+IF(Debt!Y114&gt;Inputs!$F$253,Waterfall!Y7,0))/(Debt!X114+Debt!Y114),0)</f>
        <v>1.35908512402545</v>
      </c>
      <c r="X20" s="3" t="n">
        <f aca="false">IF(Debt!Y114&gt;Inputs!$F$253,(Waterfall!Y7+IF(Debt!Z114&gt;Inputs!$F$253,Waterfall!Z7,0))/(Debt!Y114+Debt!Z114),0)</f>
        <v>1.36022799642638</v>
      </c>
      <c r="Y20" s="3" t="n">
        <f aca="false">IF(Debt!Z114&gt;Inputs!$F$253,(Waterfall!Z7+IF(Debt!AA114&gt;Inputs!$F$253,Waterfall!AA7,0))/(Debt!Z114+Debt!AA114),0)</f>
        <v>1.36165094292934</v>
      </c>
      <c r="Z20" s="3" t="n">
        <f aca="false">IF(Debt!AA114&gt;Inputs!$F$253,(Waterfall!AA7+IF(Debt!AB114&gt;Inputs!$F$253,Waterfall!AB7,0))/(Debt!AA114+Debt!AB114),0)</f>
        <v>1.37582292050167</v>
      </c>
      <c r="AA20" s="3" t="n">
        <f aca="false">IF(Debt!AB114&gt;Inputs!$F$253,(Waterfall!AB7+IF(Debt!AC114&gt;Inputs!$F$253,Waterfall!AC7,0))/(Debt!AB114+Debt!AC114),0)</f>
        <v>1.4052853734875</v>
      </c>
      <c r="AB20" s="3" t="n">
        <f aca="false">IF(Debt!AC114&gt;Inputs!$F$253,(Waterfall!AC7+IF(Debt!AD114&gt;Inputs!$F$253,Waterfall!AD7,0))/(Debt!AC114+Debt!AD114),0)</f>
        <v>1.43481843701535</v>
      </c>
      <c r="AC20" s="3" t="n">
        <f aca="false">IF(Debt!AD114&gt;Inputs!$F$253,(Waterfall!AD7+IF(Debt!AE114&gt;Inputs!$F$253,Waterfall!AE7,0))/(Debt!AD114+Debt!AE114),0)</f>
        <v>1.47312139239104</v>
      </c>
      <c r="AD20" s="3" t="n">
        <f aca="false">IF(Debt!AE114&gt;Inputs!$F$253,(Waterfall!AE7+IF(Debt!AF114&gt;Inputs!$F$253,Waterfall!AF7,0))/(Debt!AE114+Debt!AF114),0)</f>
        <v>1.52863637618054</v>
      </c>
      <c r="AE20" s="3" t="n">
        <f aca="false">IF(Debt!AF114&gt;Inputs!$F$253,(Waterfall!AF7+IF(Debt!AG114&gt;Inputs!$F$253,Waterfall!AG7,0))/(Debt!AF114+Debt!AG114),0)</f>
        <v>1.59617108399026</v>
      </c>
      <c r="AF20" s="3" t="n">
        <f aca="false">IF(Debt!AG114&gt;Inputs!$F$253,(Waterfall!AG7+IF(Debt!AH114&gt;Inputs!$F$253,Waterfall!AH7,0))/(Debt!AG114+Debt!AH114),0)</f>
        <v>1.68414654835409</v>
      </c>
      <c r="AG20" s="3" t="n">
        <f aca="false">IF(Debt!AH114&gt;Inputs!$F$253,(Waterfall!AH7+IF(Debt!AI114&gt;Inputs!$F$253,Waterfall!AI7,0))/(Debt!AH114+Debt!AI114),0)</f>
        <v>1.80054001572776</v>
      </c>
      <c r="AH20" s="3" t="n">
        <f aca="false">IF(Debt!AI114&gt;Inputs!$F$253,(Waterfall!AI7+IF(Debt!AJ114&gt;Inputs!$F$253,Waterfall!AJ7,0))/(Debt!AI114+Debt!AJ114),0)</f>
        <v>1.97102735846136</v>
      </c>
      <c r="AI20" s="3" t="n">
        <f aca="false">IF(Debt!AJ114&gt;Inputs!$F$253,(Waterfall!AJ7+IF(Debt!AK114&gt;Inputs!$F$253,Waterfall!AK7,0))/(Debt!AJ114+Debt!AK114),0)</f>
        <v>2.2489278066565</v>
      </c>
      <c r="AJ20" s="3" t="n">
        <f aca="false">IF(Debt!AK114&gt;Inputs!$F$253,(Waterfall!AK7+IF(Debt!AL114&gt;Inputs!$F$253,Waterfall!AL7,0))/(Debt!AK114+Debt!AL114),0)</f>
        <v>2.45886936515819</v>
      </c>
      <c r="AK20" s="3" t="n">
        <f aca="false">IF(Debt!AL114&gt;Inputs!$F$253,(Waterfall!AL7+IF(Debt!AM114&gt;Inputs!$F$253,Waterfall!AM7,0))/(Debt!AL114+Debt!AM114),0)</f>
        <v>2.39970868767253</v>
      </c>
      <c r="AL20" s="3" t="n">
        <f aca="false">IF(Debt!AM114&gt;Inputs!$F$253,(Waterfall!AM7+IF(Debt!AN114&gt;Inputs!$F$253,Waterfall!AN7,0))/(Debt!AM114+Debt!AN114),0)</f>
        <v>2.31823349692329</v>
      </c>
      <c r="AM20" s="3" t="n">
        <f aca="false">IF(Debt!AN114&gt;Inputs!$F$253,(Waterfall!AN7+IF(Debt!AO114&gt;Inputs!$F$253,Waterfall!AO7,0))/(Debt!AN114+Debt!AO114),0)</f>
        <v>2.33299087566983</v>
      </c>
      <c r="AN20" s="3" t="n">
        <f aca="false">IF(Debt!AO114&gt;Inputs!$F$253,(Waterfall!AO7+IF(Debt!AP114&gt;Inputs!$F$253,Waterfall!AP7,0))/(Debt!AO114+Debt!AP114),0)</f>
        <v>2.36219210625471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1244.38577457309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-0.655440864013448</v>
      </c>
      <c r="M8" s="13" t="n">
        <f aca="false">-Funding!L68</f>
        <v>-0.835821394974914</v>
      </c>
      <c r="N8" s="13" t="n">
        <f aca="false">-Funding!M68</f>
        <v>-1.18217250518363</v>
      </c>
      <c r="O8" s="13" t="n">
        <f aca="false">-Funding!N68</f>
        <v>-1.70277693180435</v>
      </c>
      <c r="P8" s="13" t="n">
        <f aca="false">-Funding!O68</f>
        <v>-2.34693581621191</v>
      </c>
      <c r="Q8" s="13" t="n">
        <f aca="false">-Funding!P68</f>
        <v>-3.06214900100732</v>
      </c>
      <c r="R8" s="13" t="n">
        <f aca="false">-Funding!Q68</f>
        <v>-3.88706810556589</v>
      </c>
      <c r="S8" s="13" t="n">
        <f aca="false">-Funding!R68</f>
        <v>-4.70936145925717</v>
      </c>
      <c r="T8" s="13" t="n">
        <f aca="false">-Funding!S68</f>
        <v>-5.54659523041599</v>
      </c>
      <c r="U8" s="13" t="n">
        <f aca="false">-Funding!T68</f>
        <v>-6.329973388717</v>
      </c>
      <c r="V8" s="13" t="n">
        <f aca="false">-Funding!U68</f>
        <v>-7.08115316555175</v>
      </c>
      <c r="W8" s="13" t="n">
        <f aca="false">-Funding!V68</f>
        <v>-7.74163084194396</v>
      </c>
      <c r="X8" s="13" t="n">
        <f aca="false">-Funding!W68</f>
        <v>-8.29093028901597</v>
      </c>
      <c r="Y8" s="13" t="n">
        <f aca="false">-Funding!X68</f>
        <v>-8.74558067913655</v>
      </c>
      <c r="Z8" s="13" t="n">
        <f aca="false">-Funding!Y68</f>
        <v>-9.04837201189693</v>
      </c>
      <c r="AA8" s="13" t="n">
        <f aca="false">-Funding!Z68</f>
        <v>-9.2379789344011</v>
      </c>
      <c r="AB8" s="13" t="n">
        <f aca="false">-Funding!AA68</f>
        <v>-9.58279132149293</v>
      </c>
      <c r="AC8" s="13" t="n">
        <f aca="false">-Funding!AB68</f>
        <v>-9.14074117008531</v>
      </c>
      <c r="AD8" s="13" t="n">
        <f aca="false">-Funding!AC68</f>
        <v>-8.92334507930773</v>
      </c>
      <c r="AE8" s="13" t="n">
        <f aca="false">-Funding!AD68</f>
        <v>-8.53002449686281</v>
      </c>
      <c r="AF8" s="13" t="n">
        <f aca="false">-Funding!AE68</f>
        <v>-8.04792889565113</v>
      </c>
      <c r="AG8" s="13" t="n">
        <f aca="false">-Funding!AF68</f>
        <v>-7.42830512556466</v>
      </c>
      <c r="AH8" s="13" t="n">
        <f aca="false">-Funding!AG68</f>
        <v>-6.7574467333614</v>
      </c>
      <c r="AI8" s="13" t="n">
        <f aca="false">-Funding!AH68</f>
        <v>-6.00565292144193</v>
      </c>
      <c r="AJ8" s="13" t="n">
        <f aca="false">-Funding!AI68</f>
        <v>-5.19821256243663</v>
      </c>
      <c r="AK8" s="13" t="n">
        <f aca="false">-Funding!AJ68</f>
        <v>-4.41877723352064</v>
      </c>
      <c r="AL8" s="13" t="n">
        <f aca="false">-Funding!AK68</f>
        <v>-3.6253059555612</v>
      </c>
      <c r="AM8" s="13" t="n">
        <f aca="false">-Funding!AL68</f>
        <v>-2.92594522048271</v>
      </c>
      <c r="AN8" s="13" t="n">
        <f aca="false">-Funding!AM68</f>
        <v>-2.29954489215175</v>
      </c>
      <c r="AO8" s="13" t="n">
        <f aca="false">-Funding!AN68</f>
        <v>-1.73939562421245</v>
      </c>
      <c r="AP8" s="13" t="n">
        <f aca="false">-Funding!AO68</f>
        <v>-1.45093160788492</v>
      </c>
      <c r="AQ8" s="13" t="n">
        <f aca="false">-Funding!AP68</f>
        <v>-14.2543756359922</v>
      </c>
      <c r="AR8" s="13" t="n">
        <f aca="false">-Funding!AQ68</f>
        <v>-10.9859856049876</v>
      </c>
      <c r="AS8" s="13" t="n">
        <f aca="false">-Funding!AR68</f>
        <v>-0.971707166122899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15.0614308921943</v>
      </c>
      <c r="BS8" s="18" t="n">
        <f aca="false">Waterfall!Q44</f>
        <v>12.5707474414572</v>
      </c>
      <c r="BT8" s="18" t="n">
        <f aca="false">Waterfall!R44</f>
        <v>13.5443545766744</v>
      </c>
      <c r="BU8" s="18" t="n">
        <f aca="false">Waterfall!S44</f>
        <v>12.7587801622922</v>
      </c>
      <c r="BV8" s="18" t="n">
        <f aca="false">Waterfall!T44</f>
        <v>13.5002749148511</v>
      </c>
      <c r="BW8" s="18" t="n">
        <f aca="false">Waterfall!U44</f>
        <v>12.5737131501145</v>
      </c>
      <c r="BX8" s="18" t="n">
        <f aca="false">Waterfall!V44</f>
        <v>13.832528879879</v>
      </c>
      <c r="BY8" s="18" t="n">
        <f aca="false">Waterfall!W44</f>
        <v>14.6319404724708</v>
      </c>
      <c r="BZ8" s="18" t="n">
        <f aca="false">Waterfall!X44</f>
        <v>13.5944339716465</v>
      </c>
      <c r="CA8" s="18" t="n">
        <f aca="false">Waterfall!Y44</f>
        <v>12.8563240880232</v>
      </c>
      <c r="CB8" s="18" t="n">
        <f aca="false">Waterfall!Z44</f>
        <v>13.5991687616186</v>
      </c>
      <c r="CC8" s="18" t="n">
        <f aca="false">Waterfall!AA44</f>
        <v>6.41637935631897</v>
      </c>
      <c r="CD8" s="18" t="n">
        <f aca="false">Waterfall!AB44</f>
        <v>7.46833516192671</v>
      </c>
      <c r="CE8" s="18" t="n">
        <f aca="false">Waterfall!AC44</f>
        <v>7.19204107679818</v>
      </c>
      <c r="CF8" s="18" t="n">
        <f aca="false">Waterfall!AD44</f>
        <v>8.43382353347502</v>
      </c>
      <c r="CG8" s="18" t="n">
        <f aca="false">Waterfall!AE44</f>
        <v>9.20852783510016</v>
      </c>
      <c r="CH8" s="18" t="n">
        <f aca="false">Waterfall!AF44</f>
        <v>10.212313477716</v>
      </c>
      <c r="CI8" s="18" t="n">
        <f aca="false">Waterfall!AG44</f>
        <v>10.7526853116107</v>
      </c>
      <c r="CJ8" s="18" t="n">
        <f aca="false">Waterfall!AH44</f>
        <v>12.2827990413503</v>
      </c>
      <c r="CK8" s="18" t="n">
        <f aca="false">Waterfall!AI44</f>
        <v>13.3071584587612</v>
      </c>
      <c r="CL8" s="18" t="n">
        <f aca="false">Waterfall!AJ44</f>
        <v>15.3734501609669</v>
      </c>
      <c r="CM8" s="18" t="n">
        <f aca="false">Waterfall!AK44</f>
        <v>33.7594288113476</v>
      </c>
      <c r="CN8" s="18" t="n">
        <f aca="false">Waterfall!AL44</f>
        <v>32.5954365493415</v>
      </c>
      <c r="CO8" s="18" t="n">
        <f aca="false">Waterfall!AM44</f>
        <v>31.8860406534634</v>
      </c>
      <c r="CP8" s="18" t="n">
        <f aca="false">Waterfall!AN44</f>
        <v>25.388538751775</v>
      </c>
      <c r="CQ8" s="18" t="n">
        <f aca="false">Waterfall!AO44</f>
        <v>42.5847473177912</v>
      </c>
      <c r="CR8" s="18" t="n">
        <f aca="false">Waterfall!AP44</f>
        <v>42.9271074713228</v>
      </c>
      <c r="CS8" s="18" t="n">
        <f aca="false">Waterfall!AQ44</f>
        <v>42.5201860064261</v>
      </c>
      <c r="CT8" s="18" t="n">
        <f aca="false">Waterfall!AR44</f>
        <v>43.1848196863551</v>
      </c>
      <c r="CU8" s="18" t="n">
        <f aca="false">Waterfall!AS44</f>
        <v>42.9803875192643</v>
      </c>
      <c r="CV8" s="18" t="n">
        <f aca="false">Waterfall!AT44</f>
        <v>49.9991188511031</v>
      </c>
      <c r="CW8" s="18" t="n">
        <f aca="false">Waterfall!AU44</f>
        <v>45.5643064272891</v>
      </c>
      <c r="CX8" s="18" t="n">
        <f aca="false">Waterfall!AV44</f>
        <v>45.7834416967709</v>
      </c>
      <c r="CY8" s="18" t="n">
        <f aca="false">Waterfall!AW44</f>
        <v>45.3772952908682</v>
      </c>
      <c r="CZ8" s="18" t="n">
        <f aca="false">Waterfall!AX44</f>
        <v>46.0797870537435</v>
      </c>
      <c r="DA8" s="18" t="n">
        <f aca="false">Waterfall!AY44</f>
        <v>45.7187040145619</v>
      </c>
      <c r="DB8" s="18" t="n">
        <f aca="false">Waterfall!AZ44</f>
        <v>46.5262585922555</v>
      </c>
      <c r="DC8" s="18" t="n">
        <f aca="false">Waterfall!BA44</f>
        <v>45.8283452075004</v>
      </c>
      <c r="DD8" s="18" t="n">
        <f aca="false">Waterfall!BB44</f>
        <v>47.0893241333249</v>
      </c>
      <c r="DE8" s="18" t="n">
        <f aca="false">Waterfall!BC44</f>
        <v>43.7979206690794</v>
      </c>
      <c r="DF8" s="18" t="n">
        <f aca="false">Waterfall!BD44</f>
        <v>37.9001805119088</v>
      </c>
      <c r="DG8" s="18" t="n">
        <f aca="false">Waterfall!BE44</f>
        <v>37.5279055020781</v>
      </c>
      <c r="DH8" s="18" t="n">
        <f aca="false">Waterfall!BF44</f>
        <v>38.3647327296357</v>
      </c>
      <c r="DI8" s="18" t="n">
        <f aca="false">Waterfall!BG44</f>
        <v>38.0208657646293</v>
      </c>
      <c r="DJ8" s="18" t="n">
        <f aca="false">Waterfall!BH44</f>
        <v>38.9499968137246</v>
      </c>
      <c r="DK8" s="18" t="n">
        <f aca="false">Waterfall!BI44</f>
        <v>38.7064861745756</v>
      </c>
      <c r="DL8" s="18" t="n">
        <f aca="false">Waterfall!BJ44</f>
        <v>46.8525061361442</v>
      </c>
      <c r="DM8" s="18" t="n">
        <f aca="false">Waterfall!BK44</f>
        <v>41.6603299139757</v>
      </c>
      <c r="DN8" s="18" t="n">
        <f aca="false">Waterfall!BL44</f>
        <v>42.6480167788894</v>
      </c>
      <c r="DO8" s="18" t="n">
        <f aca="false">Waterfall!BM44</f>
        <v>59.622446316316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1666.762922197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1.96693079357017</v>
      </c>
      <c r="BR9" s="18" t="n">
        <f aca="false">Waterfall!P7</f>
        <v>50.2613181699607</v>
      </c>
      <c r="BS9" s="18" t="n">
        <f aca="false">Waterfall!Q7</f>
        <v>50.2005669651641</v>
      </c>
      <c r="BT9" s="18" t="n">
        <f aca="false">Waterfall!R7</f>
        <v>50.8826693326791</v>
      </c>
      <c r="BU9" s="18" t="n">
        <f aca="false">Waterfall!S7</f>
        <v>50.5151194705723</v>
      </c>
      <c r="BV9" s="18" t="n">
        <f aca="false">Waterfall!T7</f>
        <v>51.0760786057203</v>
      </c>
      <c r="BW9" s="18" t="n">
        <f aca="false">Waterfall!U7</f>
        <v>50.8669168176627</v>
      </c>
      <c r="BX9" s="18" t="n">
        <f aca="false">Waterfall!V7</f>
        <v>51.8610103929801</v>
      </c>
      <c r="BY9" s="18" t="n">
        <f aca="false">Waterfall!W7</f>
        <v>51.5638209095596</v>
      </c>
      <c r="BZ9" s="18" t="n">
        <f aca="false">Waterfall!X7</f>
        <v>50.1698755126293</v>
      </c>
      <c r="CA9" s="18" t="n">
        <f aca="false">Waterfall!Y7</f>
        <v>49.732832294717</v>
      </c>
      <c r="CB9" s="18" t="n">
        <f aca="false">Waterfall!Z7</f>
        <v>50.178566144176</v>
      </c>
      <c r="CC9" s="18" t="n">
        <f aca="false">Waterfall!AA7</f>
        <v>49.8427369651562</v>
      </c>
      <c r="CD9" s="18" t="n">
        <f aca="false">Waterfall!AB7</f>
        <v>50.5325373406812</v>
      </c>
      <c r="CE9" s="18" t="n">
        <f aca="false">Waterfall!AC7</f>
        <v>50.4161231296168</v>
      </c>
      <c r="CF9" s="18" t="n">
        <f aca="false">Waterfall!AD7</f>
        <v>52.0811568152161</v>
      </c>
      <c r="CG9" s="18" t="n">
        <f aca="false">Waterfall!AE7</f>
        <v>52.4816840589226</v>
      </c>
      <c r="CH9" s="18" t="n">
        <f aca="false">Waterfall!AF7</f>
        <v>52.8002988331638</v>
      </c>
      <c r="CI9" s="18" t="n">
        <f aca="false">Waterfall!AG7</f>
        <v>52.5287653626779</v>
      </c>
      <c r="CJ9" s="18" t="n">
        <f aca="false">Waterfall!AH7</f>
        <v>53.3529107961969</v>
      </c>
      <c r="CK9" s="18" t="n">
        <f aca="false">Waterfall!AI7</f>
        <v>52.9931542867936</v>
      </c>
      <c r="CL9" s="18" t="n">
        <f aca="false">Waterfall!AJ7</f>
        <v>53.6390856469102</v>
      </c>
      <c r="CM9" s="18" t="n">
        <f aca="false">Waterfall!AK7</f>
        <v>53.5205290871205</v>
      </c>
      <c r="CN9" s="18" t="n">
        <f aca="false">Waterfall!AL7</f>
        <v>53.9354887382185</v>
      </c>
      <c r="CO9" s="18" t="n">
        <f aca="false">Waterfall!AM7</f>
        <v>50.7213510664495</v>
      </c>
      <c r="CP9" s="18" t="n">
        <f aca="false">Waterfall!AN7</f>
        <v>43.416178080953</v>
      </c>
      <c r="CQ9" s="18" t="n">
        <f aca="false">Waterfall!AO7</f>
        <v>42.5847473177912</v>
      </c>
      <c r="CR9" s="18" t="n">
        <f aca="false">Waterfall!AP7</f>
        <v>42.9271074713228</v>
      </c>
      <c r="CS9" s="18" t="n">
        <f aca="false">Waterfall!AQ7</f>
        <v>42.5201860064261</v>
      </c>
      <c r="CT9" s="18" t="n">
        <f aca="false">Waterfall!AR7</f>
        <v>43.1848196863551</v>
      </c>
      <c r="CU9" s="18" t="n">
        <f aca="false">Waterfall!AS7</f>
        <v>42.9803875192643</v>
      </c>
      <c r="CV9" s="18" t="n">
        <f aca="false">Waterfall!AT7</f>
        <v>49.9991188511031</v>
      </c>
      <c r="CW9" s="18" t="n">
        <f aca="false">Waterfall!AU7</f>
        <v>45.5643064272891</v>
      </c>
      <c r="CX9" s="18" t="n">
        <f aca="false">Waterfall!AV7</f>
        <v>45.7834416967709</v>
      </c>
      <c r="CY9" s="18" t="n">
        <f aca="false">Waterfall!AW7</f>
        <v>45.3772952908682</v>
      </c>
      <c r="CZ9" s="18" t="n">
        <f aca="false">Waterfall!AX7</f>
        <v>46.0797870537435</v>
      </c>
      <c r="DA9" s="18" t="n">
        <f aca="false">Waterfall!AY7</f>
        <v>45.7187040145619</v>
      </c>
      <c r="DB9" s="18" t="n">
        <f aca="false">Waterfall!AZ7</f>
        <v>46.5262585922555</v>
      </c>
      <c r="DC9" s="18" t="n">
        <f aca="false">Waterfall!BA7</f>
        <v>46.3233135941091</v>
      </c>
      <c r="DD9" s="18" t="n">
        <f aca="false">Waterfall!BB7</f>
        <v>48.5904743879693</v>
      </c>
      <c r="DE9" s="18" t="n">
        <f aca="false">Waterfall!BC7</f>
        <v>45.3154937424216</v>
      </c>
      <c r="DF9" s="18" t="n">
        <f aca="false">Waterfall!BD7</f>
        <v>39.4343560721554</v>
      </c>
      <c r="DG9" s="18" t="n">
        <f aca="false">Waterfall!BE7</f>
        <v>39.0788651830339</v>
      </c>
      <c r="DH9" s="18" t="n">
        <f aca="false">Waterfall!BF7</f>
        <v>39.9326601522077</v>
      </c>
      <c r="DI9" s="18" t="n">
        <f aca="false">Waterfall!BG7</f>
        <v>39.6059465585661</v>
      </c>
      <c r="DJ9" s="18" t="n">
        <f aca="false">Waterfall!BH7</f>
        <v>40.5524186395932</v>
      </c>
      <c r="DK9" s="18" t="n">
        <f aca="false">Waterfall!BI7</f>
        <v>40.326438745979</v>
      </c>
      <c r="DL9" s="18" t="n">
        <f aca="false">Waterfall!BJ7</f>
        <v>48.4901812421819</v>
      </c>
      <c r="DM9" s="18" t="n">
        <f aca="false">Waterfall!BK7</f>
        <v>43.3159214419499</v>
      </c>
      <c r="DN9" s="18" t="n">
        <f aca="false">Waterfall!BL7</f>
        <v>44.3217207372599</v>
      </c>
      <c r="DO9" s="18" t="n">
        <f aca="false">Waterfall!BM7</f>
        <v>41.681266154355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2014.09354191166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1.96693079357017</v>
      </c>
      <c r="BR10" s="13" t="n">
        <f aca="false">Waterfall!P7+Tax!P27</f>
        <v>50.2613181699607</v>
      </c>
      <c r="BS10" s="13" t="n">
        <f aca="false">Waterfall!Q7+Tax!Q27</f>
        <v>50.2005669651641</v>
      </c>
      <c r="BT10" s="13" t="n">
        <f aca="false">Waterfall!R7+Tax!R27</f>
        <v>50.8826693326791</v>
      </c>
      <c r="BU10" s="13" t="n">
        <f aca="false">Waterfall!S7+Tax!S27</f>
        <v>50.5151194705723</v>
      </c>
      <c r="BV10" s="13" t="n">
        <f aca="false">Waterfall!T7+Tax!T27</f>
        <v>51.0760786057203</v>
      </c>
      <c r="BW10" s="13" t="n">
        <f aca="false">Waterfall!U7+Tax!U27</f>
        <v>50.8669168176627</v>
      </c>
      <c r="BX10" s="13" t="n">
        <f aca="false">Waterfall!V7+Tax!V27</f>
        <v>51.8610103929801</v>
      </c>
      <c r="BY10" s="13" t="n">
        <f aca="false">Waterfall!W7+Tax!W27</f>
        <v>51.5638209095596</v>
      </c>
      <c r="BZ10" s="13" t="n">
        <f aca="false">Waterfall!X7+Tax!X27</f>
        <v>50.1698755126293</v>
      </c>
      <c r="CA10" s="13" t="n">
        <f aca="false">Waterfall!Y7+Tax!Y27</f>
        <v>49.8520858534523</v>
      </c>
      <c r="CB10" s="13" t="n">
        <f aca="false">Waterfall!Z7+Tax!Z27</f>
        <v>50.538896443879</v>
      </c>
      <c r="CC10" s="13" t="n">
        <f aca="false">Waterfall!AA7+Tax!AA27</f>
        <v>50.2054251839978</v>
      </c>
      <c r="CD10" s="13" t="n">
        <f aca="false">Waterfall!AB7+Tax!AB27</f>
        <v>50.8974755794223</v>
      </c>
      <c r="CE10" s="13" t="n">
        <f aca="false">Waterfall!AC7+Tax!AC27</f>
        <v>50.7827376074382</v>
      </c>
      <c r="CF10" s="13" t="n">
        <f aca="false">Waterfall!AD7+Tax!AD27</f>
        <v>52.4417383844548</v>
      </c>
      <c r="CG10" s="13" t="n">
        <f aca="false">Waterfall!AE7+Tax!AE27</f>
        <v>52.8525962128756</v>
      </c>
      <c r="CH10" s="13" t="n">
        <f aca="false">Waterfall!AF7+Tax!AF27</f>
        <v>53.1757445664794</v>
      </c>
      <c r="CI10" s="13" t="n">
        <f aca="false">Waterfall!AG7+Tax!AG27</f>
        <v>52.9066644702593</v>
      </c>
      <c r="CJ10" s="13" t="n">
        <f aca="false">Waterfall!AH7+Tax!AH27</f>
        <v>53.7329239276315</v>
      </c>
      <c r="CK10" s="13" t="n">
        <f aca="false">Waterfall!AI7+Tax!AI27</f>
        <v>53.3764470667235</v>
      </c>
      <c r="CL10" s="13" t="n">
        <f aca="false">Waterfall!AJ7+Tax!AJ27</f>
        <v>54.0260856081326</v>
      </c>
      <c r="CM10" s="13" t="n">
        <f aca="false">Waterfall!AK7+Tax!AK27</f>
        <v>53.9097509035917</v>
      </c>
      <c r="CN10" s="13" t="n">
        <f aca="false">Waterfall!AL7+Tax!AL27</f>
        <v>54.3205344988877</v>
      </c>
      <c r="CO10" s="13" t="n">
        <f aca="false">Waterfall!AM7+Tax!AM27</f>
        <v>54.5791066028595</v>
      </c>
      <c r="CP10" s="13" t="n">
        <f aca="false">Waterfall!AN7+Tax!AN27</f>
        <v>53.0281101590572</v>
      </c>
      <c r="CQ10" s="13" t="n">
        <f aca="false">Waterfall!AO7+Tax!AO27</f>
        <v>52.7719079406655</v>
      </c>
      <c r="CR10" s="13" t="n">
        <f aca="false">Waterfall!AP7+Tax!AP27</f>
        <v>53.6541797148487</v>
      </c>
      <c r="CS10" s="13" t="n">
        <f aca="false">Waterfall!AQ7+Tax!AQ27</f>
        <v>53.3086379013667</v>
      </c>
      <c r="CT10" s="13" t="n">
        <f aca="false">Waterfall!AR7+Tax!AR27</f>
        <v>54.0236072515547</v>
      </c>
      <c r="CU10" s="13" t="n">
        <f aca="false">Waterfall!AS7+Tax!AS27</f>
        <v>53.9298846235408</v>
      </c>
      <c r="CV10" s="13" t="n">
        <f aca="false">Waterfall!AT7+Tax!AT27</f>
        <v>56.6886797816407</v>
      </c>
      <c r="CW10" s="13" t="n">
        <f aca="false">Waterfall!AU7+Tax!AU27</f>
        <v>56.721311119074</v>
      </c>
      <c r="CX10" s="13" t="n">
        <f aca="false">Waterfall!AV7+Tax!AV27</f>
        <v>56.9841599291948</v>
      </c>
      <c r="CY10" s="13" t="n">
        <f aca="false">Waterfall!AW7+Tax!AW27</f>
        <v>56.6478805136144</v>
      </c>
      <c r="CZ10" s="13" t="n">
        <f aca="false">Waterfall!AX7+Tax!AX27</f>
        <v>57.4082088417327</v>
      </c>
      <c r="DA10" s="13" t="n">
        <f aca="false">Waterfall!AY7+Tax!AY27</f>
        <v>57.1390725950605</v>
      </c>
      <c r="DB10" s="13" t="n">
        <f aca="false">Waterfall!AZ7+Tax!AZ27</f>
        <v>58.0451061493828</v>
      </c>
      <c r="DC10" s="13" t="n">
        <f aca="false">Waterfall!BA7+Tax!BA27</f>
        <v>57.9643273178472</v>
      </c>
      <c r="DD10" s="13" t="n">
        <f aca="false">Waterfall!BB7+Tax!BB27</f>
        <v>59.2297776573586</v>
      </c>
      <c r="DE10" s="13" t="n">
        <f aca="false">Waterfall!BC7+Tax!BC27</f>
        <v>59.1026417519163</v>
      </c>
      <c r="DF10" s="13" t="n">
        <f aca="false">Waterfall!BD7+Tax!BD27</f>
        <v>57.1109213104329</v>
      </c>
      <c r="DG10" s="13" t="n">
        <f aca="false">Waterfall!BE7+Tax!BE27</f>
        <v>56.8578697219614</v>
      </c>
      <c r="DH10" s="13" t="n">
        <f aca="false">Waterfall!BF7+Tax!BF27</f>
        <v>57.8191360633766</v>
      </c>
      <c r="DI10" s="13" t="n">
        <f aca="false">Waterfall!BG7+Tax!BG27</f>
        <v>57.6142238245543</v>
      </c>
      <c r="DJ10" s="13" t="n">
        <f aca="false">Waterfall!BH7+Tax!BH27</f>
        <v>58.702210073034</v>
      </c>
      <c r="DK10" s="13" t="n">
        <f aca="false">Waterfall!BI7+Tax!BI27</f>
        <v>58.6041886225266</v>
      </c>
      <c r="DL10" s="13" t="n">
        <f aca="false">Waterfall!BJ7+Tax!BJ27</f>
        <v>61.6027265558828</v>
      </c>
      <c r="DM10" s="13" t="n">
        <f aca="false">Waterfall!BK7+Tax!BK27</f>
        <v>61.8307916071166</v>
      </c>
      <c r="DN10" s="13" t="n">
        <f aca="false">Waterfall!BL7+Tax!BL27</f>
        <v>62.9020024211515</v>
      </c>
      <c r="DO10" s="13" t="n">
        <f aca="false">Waterfall!BM7+Tax!BM27</f>
        <v>48.429458583185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-32.5951804954077</v>
      </c>
      <c r="M11" s="13" t="n">
        <f aca="false">L11+M8</f>
        <v>-33.4310018903826</v>
      </c>
      <c r="N11" s="13" t="n">
        <f aca="false">M11+N8</f>
        <v>-34.6131743955662</v>
      </c>
      <c r="O11" s="13" t="n">
        <f aca="false">N11+O8</f>
        <v>-36.3159513273706</v>
      </c>
      <c r="P11" s="13" t="n">
        <f aca="false">O11+P8</f>
        <v>-38.6628871435825</v>
      </c>
      <c r="Q11" s="13" t="n">
        <f aca="false">P11+Q8</f>
        <v>-41.7250361445898</v>
      </c>
      <c r="R11" s="13" t="n">
        <f aca="false">Q11+R8</f>
        <v>-45.6121042501557</v>
      </c>
      <c r="S11" s="13" t="n">
        <f aca="false">R11+S8</f>
        <v>-50.3214657094129</v>
      </c>
      <c r="T11" s="13" t="n">
        <f aca="false">S11+T8</f>
        <v>-55.8680609398289</v>
      </c>
      <c r="U11" s="13" t="n">
        <f aca="false">T11+U8</f>
        <v>-62.1980343285459</v>
      </c>
      <c r="V11" s="13" t="n">
        <f aca="false">U11+V8</f>
        <v>-69.2791874940976</v>
      </c>
      <c r="W11" s="13" t="n">
        <f aca="false">V11+W8</f>
        <v>-77.0208183360416</v>
      </c>
      <c r="X11" s="13" t="n">
        <f aca="false">W11+X8</f>
        <v>-85.3117486250575</v>
      </c>
      <c r="Y11" s="13" t="n">
        <f aca="false">X11+Y8</f>
        <v>-94.0573293041941</v>
      </c>
      <c r="Z11" s="13" t="n">
        <f aca="false">Y11+Z8</f>
        <v>-103.105701316091</v>
      </c>
      <c r="AA11" s="13" t="n">
        <f aca="false">Z11+AA8</f>
        <v>-112.343680250492</v>
      </c>
      <c r="AB11" s="13" t="n">
        <f aca="false">AA11+AB8</f>
        <v>-121.926471571985</v>
      </c>
      <c r="AC11" s="13" t="n">
        <f aca="false">AB11+AC8</f>
        <v>-131.06721274207</v>
      </c>
      <c r="AD11" s="13" t="n">
        <f aca="false">AC11+AD8</f>
        <v>-139.990557821378</v>
      </c>
      <c r="AE11" s="13" t="n">
        <f aca="false">AD11+AE8</f>
        <v>-148.520582318241</v>
      </c>
      <c r="AF11" s="13" t="n">
        <f aca="false">AE11+AF8</f>
        <v>-156.568511213892</v>
      </c>
      <c r="AG11" s="13" t="n">
        <f aca="false">AF11+AG8</f>
        <v>-163.996816339457</v>
      </c>
      <c r="AH11" s="13" t="n">
        <f aca="false">AG11+AH8</f>
        <v>-170.754263072818</v>
      </c>
      <c r="AI11" s="13" t="n">
        <f aca="false">AH11+AI8</f>
        <v>-176.75991599426</v>
      </c>
      <c r="AJ11" s="13" t="n">
        <f aca="false">AI11+AJ8</f>
        <v>-181.958128556697</v>
      </c>
      <c r="AK11" s="13" t="n">
        <f aca="false">AJ11+AK8</f>
        <v>-186.376905790217</v>
      </c>
      <c r="AL11" s="13" t="n">
        <f aca="false">AK11+AL8</f>
        <v>-190.002211745778</v>
      </c>
      <c r="AM11" s="13" t="n">
        <f aca="false">AL11+AM8</f>
        <v>-192.928156966261</v>
      </c>
      <c r="AN11" s="13" t="n">
        <f aca="false">AM11+AN8</f>
        <v>-195.227701858413</v>
      </c>
      <c r="AO11" s="13" t="n">
        <f aca="false">AN11+AO8</f>
        <v>-196.967097482625</v>
      </c>
      <c r="AP11" s="13" t="n">
        <f aca="false">AO11+AP8</f>
        <v>-198.41802909051</v>
      </c>
      <c r="AQ11" s="13" t="n">
        <f aca="false">AP11+AQ8</f>
        <v>-212.672404726503</v>
      </c>
      <c r="AR11" s="13" t="n">
        <f aca="false">AQ11+AR8</f>
        <v>-223.65839033149</v>
      </c>
      <c r="AS11" s="13" t="n">
        <f aca="false">AR11+AS8</f>
        <v>-224.630097497613</v>
      </c>
      <c r="AT11" s="13" t="n">
        <f aca="false">AS11+AT8</f>
        <v>-224.630097497613</v>
      </c>
      <c r="AU11" s="13" t="n">
        <f aca="false">AT11+AU8</f>
        <v>-224.630097497613</v>
      </c>
      <c r="AV11" s="13" t="n">
        <f aca="false">AU11+AV8</f>
        <v>-224.630097497613</v>
      </c>
      <c r="AW11" s="13" t="n">
        <f aca="false">AV11+AW8</f>
        <v>-224.630097497613</v>
      </c>
      <c r="AX11" s="13" t="n">
        <f aca="false">AW11+AX8</f>
        <v>-224.630097497613</v>
      </c>
      <c r="AY11" s="13" t="n">
        <f aca="false">AX11+AY8</f>
        <v>-224.630097497613</v>
      </c>
      <c r="AZ11" s="13" t="n">
        <f aca="false">AY11+AZ8</f>
        <v>-224.630097497613</v>
      </c>
      <c r="BA11" s="13" t="n">
        <f aca="false">AZ11+BA8</f>
        <v>-224.630097497613</v>
      </c>
      <c r="BB11" s="13" t="n">
        <f aca="false">BA11+BB8</f>
        <v>-224.630097497613</v>
      </c>
      <c r="BC11" s="13" t="n">
        <f aca="false">BB11+BC8</f>
        <v>-224.630097497613</v>
      </c>
      <c r="BD11" s="13" t="n">
        <f aca="false">BC11+BD8</f>
        <v>-224.630097497613</v>
      </c>
      <c r="BE11" s="13" t="n">
        <f aca="false">BD11+BE8</f>
        <v>-224.630097497613</v>
      </c>
      <c r="BF11" s="13" t="n">
        <f aca="false">BE11+BF8</f>
        <v>-224.630097497613</v>
      </c>
      <c r="BG11" s="13" t="n">
        <f aca="false">BF11+BG8</f>
        <v>-224.630097497613</v>
      </c>
      <c r="BH11" s="13" t="n">
        <f aca="false">BG11+BH8</f>
        <v>-224.630097497613</v>
      </c>
      <c r="BI11" s="13" t="n">
        <f aca="false">BH11+BI8</f>
        <v>-224.630097497613</v>
      </c>
      <c r="BJ11" s="13" t="n">
        <f aca="false">BI11+BJ8</f>
        <v>-224.630097497613</v>
      </c>
      <c r="BK11" s="13" t="n">
        <f aca="false">BJ11+BK8</f>
        <v>-224.630097497613</v>
      </c>
      <c r="BL11" s="13" t="n">
        <f aca="false">BK11+BL8</f>
        <v>-224.630097497613</v>
      </c>
      <c r="BM11" s="13" t="n">
        <f aca="false">BL11+BM8</f>
        <v>-224.630097497613</v>
      </c>
      <c r="BN11" s="13" t="n">
        <f aca="false">BM11+BN8</f>
        <v>-224.630097497613</v>
      </c>
      <c r="BO11" s="13" t="n">
        <f aca="false">BN11+BO8</f>
        <v>-224.630097497613</v>
      </c>
      <c r="BP11" s="13" t="n">
        <f aca="false">BO11+BP8</f>
        <v>-224.630097497613</v>
      </c>
      <c r="BQ11" s="13" t="n">
        <f aca="false">BP11+BQ8</f>
        <v>-224.630097497613</v>
      </c>
      <c r="BR11" s="13" t="n">
        <f aca="false">BQ11+BR8</f>
        <v>-209.568666605419</v>
      </c>
      <c r="BS11" s="13" t="n">
        <f aca="false">BR11+BS8</f>
        <v>-196.997919163961</v>
      </c>
      <c r="BT11" s="13" t="n">
        <f aca="false">BS11+BT8</f>
        <v>-183.453564587287</v>
      </c>
      <c r="BU11" s="13" t="n">
        <f aca="false">BT11+BU8</f>
        <v>-170.694784424995</v>
      </c>
      <c r="BV11" s="13" t="n">
        <f aca="false">BU11+BV8</f>
        <v>-157.194509510144</v>
      </c>
      <c r="BW11" s="13" t="n">
        <f aca="false">BV11+BW8</f>
        <v>-144.620796360029</v>
      </c>
      <c r="BX11" s="13" t="n">
        <f aca="false">BW11+BX8</f>
        <v>-130.78826748015</v>
      </c>
      <c r="BY11" s="13" t="n">
        <f aca="false">BX11+BY8</f>
        <v>-116.156327007679</v>
      </c>
      <c r="BZ11" s="13" t="n">
        <f aca="false">BY11+BZ8</f>
        <v>-102.561893036033</v>
      </c>
      <c r="CA11" s="13" t="n">
        <f aca="false">BZ11+CA8</f>
        <v>-89.7055689480097</v>
      </c>
      <c r="CB11" s="13" t="n">
        <f aca="false">CA11+CB8</f>
        <v>-76.1064001863911</v>
      </c>
      <c r="CC11" s="13" t="n">
        <f aca="false">CB11+CC8</f>
        <v>-69.6900208300721</v>
      </c>
      <c r="CD11" s="13" t="n">
        <f aca="false">CC11+CD8</f>
        <v>-62.2216856681454</v>
      </c>
      <c r="CE11" s="13" t="n">
        <f aca="false">CD11+CE8</f>
        <v>-55.0296445913472</v>
      </c>
      <c r="CF11" s="13" t="n">
        <f aca="false">CE11+CF8</f>
        <v>-46.5958210578722</v>
      </c>
      <c r="CG11" s="13" t="n">
        <f aca="false">CF11+CG8</f>
        <v>-37.3872932227721</v>
      </c>
      <c r="CH11" s="13" t="n">
        <f aca="false">CG11+CH8</f>
        <v>-27.1749797450561</v>
      </c>
      <c r="CI11" s="13" t="n">
        <f aca="false">CH11+CI8</f>
        <v>-16.4222944334453</v>
      </c>
      <c r="CJ11" s="13" t="n">
        <f aca="false">CI11+CJ8</f>
        <v>-4.13949539209505</v>
      </c>
      <c r="CK11" s="13" t="n">
        <f aca="false">CJ11+CK8</f>
        <v>9.16766306666616</v>
      </c>
      <c r="CL11" s="13" t="n">
        <f aca="false">CK11+CL8</f>
        <v>24.5411132276331</v>
      </c>
      <c r="CM11" s="13" t="n">
        <f aca="false">CL11+CM8</f>
        <v>58.3005420389807</v>
      </c>
      <c r="CN11" s="13" t="n">
        <f aca="false">CM11+CN8</f>
        <v>90.8959785883222</v>
      </c>
      <c r="CO11" s="13" t="n">
        <f aca="false">CN11+CO8</f>
        <v>122.782019241786</v>
      </c>
      <c r="CP11" s="13" t="n">
        <f aca="false">CO11+CP8</f>
        <v>148.170557993561</v>
      </c>
      <c r="CQ11" s="13" t="n">
        <f aca="false">CP11+CQ8</f>
        <v>190.755305311352</v>
      </c>
      <c r="CR11" s="13" t="n">
        <f aca="false">CQ11+CR8</f>
        <v>233.682412782675</v>
      </c>
      <c r="CS11" s="13" t="n">
        <f aca="false">CR11+CS8</f>
        <v>276.202598789101</v>
      </c>
      <c r="CT11" s="13" t="n">
        <f aca="false">CS11+CT8</f>
        <v>319.387418475456</v>
      </c>
      <c r="CU11" s="13" t="n">
        <f aca="false">CT11+CU8</f>
        <v>362.36780599472</v>
      </c>
      <c r="CV11" s="13" t="n">
        <f aca="false">CU11+CV8</f>
        <v>412.366924845823</v>
      </c>
      <c r="CW11" s="13" t="n">
        <f aca="false">CV11+CW8</f>
        <v>457.931231273112</v>
      </c>
      <c r="CX11" s="13" t="n">
        <f aca="false">CW11+CX8</f>
        <v>503.714672969883</v>
      </c>
      <c r="CY11" s="13" t="n">
        <f aca="false">CX11+CY8</f>
        <v>549.091968260751</v>
      </c>
      <c r="CZ11" s="13" t="n">
        <f aca="false">CY11+CZ8</f>
        <v>595.171755314495</v>
      </c>
      <c r="DA11" s="13" t="n">
        <f aca="false">CZ11+DA8</f>
        <v>640.890459329057</v>
      </c>
      <c r="DB11" s="13" t="n">
        <f aca="false">DA11+DB8</f>
        <v>687.416717921312</v>
      </c>
      <c r="DC11" s="13" t="n">
        <f aca="false">DB11+DC8</f>
        <v>733.245063128813</v>
      </c>
      <c r="DD11" s="13" t="n">
        <f aca="false">DC11+DD8</f>
        <v>780.334387262138</v>
      </c>
      <c r="DE11" s="13" t="n">
        <f aca="false">DD11+DE8</f>
        <v>824.132307931217</v>
      </c>
      <c r="DF11" s="13" t="n">
        <f aca="false">DE11+DF8</f>
        <v>862.032488443126</v>
      </c>
      <c r="DG11" s="13" t="n">
        <f aca="false">DF11+DG8</f>
        <v>899.560393945204</v>
      </c>
      <c r="DH11" s="13" t="n">
        <f aca="false">DG11+DH8</f>
        <v>937.92512667484</v>
      </c>
      <c r="DI11" s="13" t="n">
        <f aca="false">DH11+DI8</f>
        <v>975.945992439469</v>
      </c>
      <c r="DJ11" s="13" t="n">
        <f aca="false">DI11+DJ8</f>
        <v>1014.89598925319</v>
      </c>
      <c r="DK11" s="13" t="n">
        <f aca="false">DJ11+DK8</f>
        <v>1053.60247542777</v>
      </c>
      <c r="DL11" s="13" t="n">
        <f aca="false">DK11+DL8</f>
        <v>1100.45498156391</v>
      </c>
      <c r="DM11" s="13" t="n">
        <f aca="false">DL11+DM8</f>
        <v>1142.11531147789</v>
      </c>
      <c r="DN11" s="13" t="n">
        <f aca="false">DM11+DN8</f>
        <v>1184.76332825678</v>
      </c>
      <c r="DO11" s="13" t="n">
        <f aca="false">DN11+DO8</f>
        <v>1244.38577457309</v>
      </c>
      <c r="DP11" s="13" t="n">
        <f aca="false">DO11+DP8</f>
        <v>1244.38577457309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0.134676482583467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0.111436038741163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0.118030281849266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-41.0201688210097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854.663406001466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224.630097497613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0.737171270092699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63.5755812946693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20.7167043967891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0.0836337254194869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0.0278779084731623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1.34926845936059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1.56655385918534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1.42896290286646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1.88482357148846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0.134676482583467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0.111436038741163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-41.0201688210097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2026-10-03T23:22:11Z</dcterms:created>
  <dc:creator>openpyxl</dc:creator>
  <dc:description/>
  <dc:language>en-US</dc:language>
  <cp:lastModifiedBy/>
  <dcterms:modified xsi:type="dcterms:W3CDTF">2026-10-03T23:22:21Z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